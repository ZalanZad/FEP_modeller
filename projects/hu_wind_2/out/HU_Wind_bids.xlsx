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</sheets>
  <definedNames>
    <definedName name="FX">Inputs!$E$6</definedName>
    <definedName name="Bench_Wind">Inputs!$E$7</definedName>
    <definedName name="Bench_BESS">Inputs!$E$8</definedName>
    <definedName name="Bid_Sec_Rate">Inputs!$E$9</definedName>
    <definedName name="PB_Rate">Inputs!$E$10</definedName>
    <definedName name="Part_Fee">Inputs!$E$11</definedName>
    <definedName name="TSO_Rate">Inputs!$E$12</definedName>
    <definedName name="Rate_Cash">Inputs!$E$31</definedName>
    <definedName name="Rate_Devex">Inputs!$E$32</definedName>
    <definedName name="Devex_Floor">Inputs!$E$33</definedName>
    <definedName name="Freeze_Date">Inputs!$E$34</definedName>
    <definedName name="Sale_Date">Inputs!$E$35</definedName>
    <definedName name="Sale_Costs">Inputs!$E$36</definedName>
    <definedName name="DSA_Rate">Inputs!$E$37</definedName>
    <definedName name="DSA_Cap">Inputs!$E$38</definedName>
    <definedName name="CIT_Rate">Inputs!$E$39</definedName>
    <definedName name="Turbine_EU">Inputs!$E$41</definedName>
    <definedName name="Turbine_CN">Inputs!$E$42</definedName>
    <definedName name="Capex_Install">Inputs!$E$43</definedName>
    <definedName name="Capex_Fdn">Inputs!$E$44</definedName>
    <definedName name="Capex_Civil">Inputs!$E$45</definedName>
    <definedName name="Capex_Elec">Inputs!$E$46</definedName>
    <definedName name="Capex_Owner">Inputs!$E$47</definedName>
    <definedName name="Capex_Land">Inputs!$E$48</definedName>
    <definedName name="Subs_Lump">Inputs!$E$49</definedName>
    <definedName name="Lump_Basis">Inputs!$E$50</definedName>
    <definedName name="Capex_Cont">Inputs!$E$51</definedName>
    <definedName name="BESS_Capex">Inputs!$E$52</definedName>
    <definedName name="Hours_P50">Inputs!$E$54</definedName>
    <definedName name="Curtailment">Inputs!$E$55</definedName>
    <definedName name="Clipping">Inputs!$E$56</definedName>
    <definedName name="Degradation">Inputs!$E$57</definedName>
    <definedName name="PPA_Price">Inputs!$E$58</definedName>
    <definedName name="PPA_Esc">Inputs!$E$59</definedName>
    <definedName name="Opex_OM">Inputs!$E$61</definedName>
    <definedName name="Opex_BoP">Inputs!$E$62</definedName>
    <definedName name="Opex_Lease">Inputs!$E$63</definedName>
    <definedName name="Opex_Ins">Inputs!$E$64</definedName>
    <definedName name="Opex_Mgmt">Inputs!$E$65</definedName>
    <definedName name="Opex_PropTax">Inputs!$E$66</definedName>
    <definedName name="Opex_Admin">Inputs!$E$67</definedName>
    <definedName name="Balancing">Inputs!$E$68</definedName>
    <definedName name="Grid_Charges">Inputs!$E$69</definedName>
    <definedName name="MEKH_Fee">Inputs!$E$70</definedName>
    <definedName name="HIPA_Rate">Inputs!$E$71</definedName>
    <definedName name="Opex_Cont">Inputs!$E$72</definedName>
    <definedName name="Opex_Esc">Inputs!$E$73</definedName>
    <definedName name="Life">Inputs!$E$75</definedName>
    <definedName name="Discount_Rate">Inputs!$E$76</definedName>
    <definedName name="First_Year">Inputs!$E$77</definedName>
    <definedName name="Thousand">Inputs!$E$78</definedName>
    <definedName name="Days_In_Year">Inputs!$E$79</definedName>
    <definedName name="Months_In_Year">Inputs!$E$80</definedName>
    <definedName name="Tolerance">Inputs!$E$81</definedName>
    <definedName name="Opex_Per_MW">Inputs!$E$61:$E$66</definedName>
    <definedName name="Osz1_LB">Inputs!$E$84:$M$84</definedName>
    <definedName name="Osz1_Incl">Inputs!$E$85:$M$85</definedName>
    <definedName name="Osz1_Pts">Inputs!$E$86:$N$86</definedName>
    <definedName name="Osz2_LB">Inputs!$E$87:$O$87</definedName>
    <definedName name="Osz2_Incl">Inputs!$E$88:$O$88</definedName>
    <definedName name="Osz2_Pts">Inputs!$E$89:$P$89</definedName>
    <definedName name="Osz3_LB">Inputs!$E$90:$N$90</definedName>
    <definedName name="Osz3_Incl">Inputs!$E$91:$N$91</definedName>
    <definedName name="Osz3_Pts">Inputs!$E$92:$O$92</definedName>
    <definedName name="Osz6_LB">Inputs!$E$93:$N$93</definedName>
    <definedName name="Osz6_Incl">Inputs!$E$94:$N$94</definedName>
    <definedName name="Osz6_Pts">Inputs!$E$95:$O$95</definedName>
    <definedName name="Osz5_Pts">Inputs!$E$96</definedName>
    <definedName name="Osz7_Pts">Inputs!$E$97</definedName>
    <definedName name="Osz8_Pts">Inputs!$E$98</definedName>
    <definedName name="Osz9a_Pts">Inputs!$E$99</definedName>
    <definedName name="Osz9b_Pts">Inputs!$E$100</definedName>
    <definedName name="Osz1_W">Inputs!$E$101</definedName>
    <definedName name="Osz2_W">Inputs!$E$102</definedName>
    <definedName name="Osz3_W">Inputs!$E$103</definedName>
    <definedName name="Osz4_W">Inputs!$E$104</definedName>
    <definedName name="Osz5_W">Inputs!$E$105</definedName>
    <definedName name="Osz6_W">Inputs!$E$106</definedName>
    <definedName name="Osz7_W">Inputs!$E$107</definedName>
    <definedName name="Osz8_W">Inputs!$E$108</definedName>
    <definedName name="Osz9_W">Inputs!$E$109</definedName>
    <definedName name="Dash_MVA">Dashboard!$E$6:$G$6</definedName>
    <definedName name="Dash_Overbuild">Dashboard!$E$7:$G$7</definedName>
    <definedName name="Dash_BESS_Share">Dashboard!$E$8:$G$8</definedName>
    <definedName name="Dash_Hours">Dashboard!$E$9:$G$9</definedName>
    <definedName name="Dash_Shortfall">Dashboard!$E$10:$G$10</definedName>
    <definedName name="Dash_Municipal">Dashboard!$E$11:$G$11</definedName>
    <definedName name="Dash_Community">Dashboard!$E$12:$G$12</definedName>
    <definedName name="Dash_Partial">Dashboard!$E$13:$G$13</definedName>
    <definedName name="Dash_PB_Mult">Dashboard!$E$14:$G$14</definedName>
    <definedName name="Dash_Brownfield">Dashboard!$E$15:$G$15</definedName>
    <definedName name="Dash_Shared">Dashboard!$E$16:$G$16</definedName>
    <definedName name="Dash_Turbine">Dashboard!$E$17:$G$17</definedName>
    <definedName name="Dash_Premium">Dashboard!$E$19:$G$19</definedName>
    <definedName name="Dash_FEP_Share">Dashboard!$E$20:$G$20</definedName>
    <definedName name="Dash_DSA">Dashboard!$E$21:$G$21</definedName>
    <definedName name="Master_Check">Dashboard!$H$242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0.0%;(0.0%);&quot;–&quot;"/>
    <numFmt numFmtId="166" formatCode="#,##0.0;(#,##0.0);&quot;–&quot;"/>
    <numFmt numFmtId="167" formatCode="yyyy-mm-dd h:mm:ss"/>
    <numFmt numFmtId="168" formatCode="dd-mmm-yy"/>
    <numFmt numFmtId="169" formatCode="0.00&quot;x&quot;"/>
    <numFmt numFmtId="170" formatCode="0.000"/>
    <numFmt numFmtId="171" formatCode="0.0000"/>
    <numFmt numFmtId="172" formatCode="#,##0.00;(#,##0.00);&quot;–&quot;"/>
    <numFmt numFmtId="173" formatCode="0;-0;&quot;–&quot;"/>
    <numFmt numFmtId="174" formatCode="0.000;(0.000);&quot;–&quot;"/>
    <numFmt numFmtId="175" formatCode="&quot;CHECK&quot; 0;&quot;CHECK&quot; -0;&quot;OK&quot;"/>
  </numFmts>
  <fonts count="8">
    <font>
      <name val="Calibri"/>
      <family val="2"/>
      <color theme="1"/>
      <sz val="11"/>
      <scheme val="minor"/>
    </font>
    <font>
      <name val="Aptos Narrow"/>
      <b val="1"/>
      <color rgb="0000000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color rgb="00000000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b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00563C"/>
      </patternFill>
    </fill>
    <fill>
      <patternFill patternType="solid">
        <fgColor rgb="00E6F4EC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75" fontId="1" fillId="0" borderId="0" applyAlignment="1" pivotButton="0" quotePrefix="0" xfId="0">
      <alignment horizontal="right"/>
    </xf>
    <xf numFmtId="0" fontId="2" fillId="2" borderId="0" pivotButton="0" quotePrefix="0" xfId="0"/>
    <xf numFmtId="0" fontId="2" fillId="2" borderId="0" applyAlignment="1" pivotButton="0" quotePrefix="0" xfId="0">
      <alignment horizontal="right"/>
    </xf>
    <xf numFmtId="0" fontId="4" fillId="0" borderId="0" pivotButton="0" quotePrefix="0" xfId="0"/>
    <xf numFmtId="164" fontId="6" fillId="4" borderId="1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3" fillId="3" borderId="0" pivotButton="0" quotePrefix="0" xfId="0"/>
    <xf numFmtId="164" fontId="1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1" fillId="0" borderId="2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1" fillId="0" borderId="2" applyAlignment="1" pivotButton="0" quotePrefix="0" xfId="0">
      <alignment horizontal="right"/>
    </xf>
    <xf numFmtId="0" fontId="7" fillId="0" borderId="0" pivotButton="0" quotePrefix="0" xfId="0"/>
    <xf numFmtId="168" fontId="6" fillId="4" borderId="1" applyAlignment="1" pivotButton="0" quotePrefix="0" xfId="0">
      <alignment horizontal="right"/>
    </xf>
    <xf numFmtId="170" fontId="6" fillId="4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S24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</cols>
  <sheetData>
    <row r="2">
      <c r="C2" s="1" t="inlineStr">
        <is>
          <t>HU wind bids: Bora (low bid), Iváncsa, Dunaújváros – RtB exit, build and hold, COD exit (EUR k)</t>
        </is>
      </c>
    </row>
    <row r="3">
      <c r="C3" s="1" t="inlineStr">
        <is>
          <t>Master check (0 = OK)</t>
        </is>
      </c>
      <c r="D3" s="2" t="inlineStr">
        <is>
          <t>flag</t>
        </is>
      </c>
      <c r="H3" s="3">
        <f>Master_Check</f>
        <v/>
      </c>
    </row>
    <row r="5">
      <c r="B5" s="4" t="inlineStr">
        <is>
          <t>x</t>
        </is>
      </c>
      <c r="C5" s="4" t="inlineStr">
        <is>
          <t>Key inputs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Net connection capacity</t>
        </is>
      </c>
      <c r="D6" s="2" t="inlineStr">
        <is>
          <t>MVA</t>
        </is>
      </c>
      <c r="E6" s="7" t="n">
        <v>100</v>
      </c>
      <c r="F6" s="7" t="n">
        <v>50</v>
      </c>
      <c r="G6" s="7" t="n">
        <v>50</v>
      </c>
      <c r="H6" s="8">
        <f>SUM(E6:G6)</f>
        <v/>
      </c>
    </row>
    <row r="7">
      <c r="C7" s="6" t="inlineStr">
        <is>
          <t>Overbuild (ÖSZ-3)</t>
        </is>
      </c>
      <c r="D7" s="2" t="inlineStr">
        <is>
          <t>%</t>
        </is>
      </c>
      <c r="E7" s="9" t="n">
        <v>0.2</v>
      </c>
      <c r="F7" s="9" t="n">
        <v>0.41</v>
      </c>
      <c r="G7" s="9" t="n">
        <v>0.41</v>
      </c>
    </row>
    <row r="8">
      <c r="C8" s="6" t="inlineStr">
        <is>
          <t>BESS power, share of MVA (ÖSZ-4)</t>
        </is>
      </c>
      <c r="D8" s="2" t="inlineStr">
        <is>
          <t>%</t>
        </is>
      </c>
      <c r="E8" s="9" t="n">
        <v>0.1</v>
      </c>
      <c r="F8" s="9" t="n">
        <v>0.4</v>
      </c>
      <c r="G8" s="9" t="n">
        <v>0.4</v>
      </c>
    </row>
    <row r="9">
      <c r="C9" s="6" t="inlineStr">
        <is>
          <t>BESS duration</t>
        </is>
      </c>
      <c r="D9" s="2" t="inlineStr">
        <is>
          <t>h</t>
        </is>
      </c>
      <c r="E9" s="7" t="n">
        <v>4</v>
      </c>
      <c r="F9" s="7" t="n">
        <v>4</v>
      </c>
      <c r="G9" s="7" t="n">
        <v>4</v>
      </c>
    </row>
    <row r="10">
      <c r="C10" s="6" t="inlineStr">
        <is>
          <t>Wind built below the bid</t>
        </is>
      </c>
      <c r="D10" s="2" t="inlineStr">
        <is>
          <t>%</t>
        </is>
      </c>
      <c r="E10" s="9" t="n">
        <v>0.1</v>
      </c>
      <c r="F10" s="9" t="n">
        <v>0.1</v>
      </c>
      <c r="G10" s="9" t="n">
        <v>0.1</v>
      </c>
    </row>
    <row r="11">
      <c r="C11" s="6" t="inlineStr">
        <is>
          <t>Municipal one-off (ÖSZ-1), at COD</t>
        </is>
      </c>
      <c r="D11" s="2" t="inlineStr">
        <is>
          <t>EUR k/MVA</t>
        </is>
      </c>
      <c r="E11" s="7" t="n">
        <v>20</v>
      </c>
      <c r="F11" s="7" t="n">
        <v>50</v>
      </c>
      <c r="G11" s="7" t="n">
        <v>50</v>
      </c>
    </row>
    <row r="12">
      <c r="C12" s="6" t="inlineStr">
        <is>
          <t>Community contribution (ÖSZ-2)</t>
        </is>
      </c>
      <c r="D12" s="2" t="inlineStr">
        <is>
          <t>EUR/MWh</t>
        </is>
      </c>
      <c r="E12" s="10" t="n">
        <v>0</v>
      </c>
      <c r="F12" s="10" t="n">
        <v>3</v>
      </c>
      <c r="G12" s="10" t="n">
        <v>3</v>
      </c>
    </row>
    <row r="13">
      <c r="C13" s="6" t="inlineStr">
        <is>
          <t>Partial award accepted (ÖSZ-5)</t>
        </is>
      </c>
      <c r="D13" s="2" t="inlineStr">
        <is>
          <t>flag</t>
        </is>
      </c>
      <c r="E13" s="11" t="n">
        <v>1</v>
      </c>
      <c r="F13" s="11" t="n">
        <v>0</v>
      </c>
      <c r="G13" s="11" t="n">
        <v>0</v>
      </c>
    </row>
    <row r="14">
      <c r="C14" s="6" t="inlineStr">
        <is>
          <t>Performance security multiple (ÖSZ-6)</t>
        </is>
      </c>
      <c r="D14" s="2" t="inlineStr">
        <is>
          <t>x</t>
        </is>
      </c>
      <c r="E14" s="12" t="n">
        <v>1</v>
      </c>
      <c r="F14" s="12" t="n">
        <v>1</v>
      </c>
      <c r="G14" s="12" t="n">
        <v>1</v>
      </c>
    </row>
    <row r="15">
      <c r="C15" s="6" t="inlineStr">
        <is>
          <t>Brownfield site (ÖSZ-7)</t>
        </is>
      </c>
      <c r="D15" s="2" t="inlineStr">
        <is>
          <t>flag</t>
        </is>
      </c>
      <c r="E15" s="11" t="n">
        <v>0</v>
      </c>
      <c r="F15" s="11" t="n">
        <v>0</v>
      </c>
      <c r="G15" s="11" t="n">
        <v>0</v>
      </c>
    </row>
    <row r="16">
      <c r="C16" s="6" t="inlineStr">
        <is>
          <t>Shared connection (ÖSZ-8)</t>
        </is>
      </c>
      <c r="D16" s="2" t="inlineStr">
        <is>
          <t>flag</t>
        </is>
      </c>
      <c r="E16" s="11" t="n">
        <v>1</v>
      </c>
      <c r="F16" s="11" t="n">
        <v>0</v>
      </c>
      <c r="G16" s="11" t="n">
        <v>0</v>
      </c>
    </row>
    <row r="17">
      <c r="C17" s="6" t="inlineStr">
        <is>
          <t>Turbine route (EU or CN; EU scores ÖSZ-9)</t>
        </is>
      </c>
      <c r="D17" s="2" t="inlineStr">
        <is>
          <t>text</t>
        </is>
      </c>
      <c r="E17" s="13" t="inlineStr">
        <is>
          <t>CN</t>
        </is>
      </c>
      <c r="F17" s="13" t="inlineStr">
        <is>
          <t>EU</t>
        </is>
      </c>
      <c r="G17" s="13" t="inlineStr">
        <is>
          <t>EU</t>
        </is>
      </c>
    </row>
    <row r="18">
      <c r="C18" s="6" t="inlineStr">
        <is>
          <t>Turbine supply price for the route</t>
        </is>
      </c>
      <c r="D18" s="2" t="inlineStr">
        <is>
          <t>EUR k/MW</t>
        </is>
      </c>
      <c r="E18" s="8">
        <f>IF(E17="EU",Turbine_EU,Turbine_CN)</f>
        <v/>
      </c>
      <c r="F18" s="8">
        <f>IF(F17="EU",Turbine_EU,Turbine_CN)</f>
        <v/>
      </c>
      <c r="G18" s="8">
        <f>IF(G17="EU",Turbine_EU,Turbine_CN)</f>
        <v/>
      </c>
    </row>
    <row r="19">
      <c r="C19" s="6" t="inlineStr">
        <is>
          <t>RtB premium</t>
        </is>
      </c>
      <c r="D19" s="2" t="inlineStr">
        <is>
          <t>EUR k/MVA</t>
        </is>
      </c>
      <c r="E19" s="7" t="n">
        <v>150</v>
      </c>
      <c r="F19" s="7" t="n">
        <v>150</v>
      </c>
      <c r="G19" s="7" t="n">
        <v>150</v>
      </c>
    </row>
    <row r="20">
      <c r="C20" s="6" t="inlineStr">
        <is>
          <t>FEP share of distributable proceeds</t>
        </is>
      </c>
      <c r="D20" s="2" t="inlineStr">
        <is>
          <t>%</t>
        </is>
      </c>
      <c r="E20" s="9" t="n">
        <v>0.7</v>
      </c>
      <c r="F20" s="9" t="n">
        <v>1</v>
      </c>
      <c r="G20" s="9" t="n">
        <v>1</v>
      </c>
    </row>
    <row r="21">
      <c r="C21" s="6" t="inlineStr">
        <is>
          <t>Developer success fee (DSA) on</t>
        </is>
      </c>
      <c r="D21" s="2" t="inlineStr">
        <is>
          <t>flag</t>
        </is>
      </c>
      <c r="E21" s="11" t="n">
        <v>1</v>
      </c>
      <c r="F21" s="11" t="n">
        <v>0</v>
      </c>
      <c r="G21" s="11" t="n">
        <v>0</v>
      </c>
    </row>
    <row r="23">
      <c r="B23" s="4" t="inlineStr">
        <is>
          <t>x</t>
        </is>
      </c>
      <c r="C23" s="4" t="inlineStr">
        <is>
          <t>Executive values (links to the calculations below)</t>
        </is>
      </c>
      <c r="D23" s="4" t="n"/>
      <c r="E23" s="5" t="inlineStr">
        <is>
          <t>Bora</t>
        </is>
      </c>
      <c r="F23" s="5" t="inlineStr">
        <is>
          <t>Iváncsa</t>
        </is>
      </c>
      <c r="G23" s="5" t="inlineStr">
        <is>
          <t>Dunaújváros</t>
        </is>
      </c>
      <c r="H23" s="5" t="inlineStr">
        <is>
          <t>Total</t>
        </is>
      </c>
    </row>
    <row r="24">
      <c r="C24" s="6" t="inlineStr">
        <is>
          <t>Points (ÖSZ, of 100)</t>
        </is>
      </c>
      <c r="D24" s="2" t="inlineStr">
        <is>
          <t>points</t>
        </is>
      </c>
      <c r="E24" s="14">
        <f>E63</f>
        <v/>
      </c>
      <c r="F24" s="14">
        <f>F63</f>
        <v/>
      </c>
      <c r="G24" s="14">
        <f>G63</f>
        <v/>
      </c>
    </row>
    <row r="25">
      <c r="C25" s="6" t="inlineStr">
        <is>
          <t>Cash to RtB (deposits, fees, devex, signing)</t>
        </is>
      </c>
      <c r="D25" s="2" t="inlineStr">
        <is>
          <t>EUR k</t>
        </is>
      </c>
      <c r="E25" s="8">
        <f>E78</f>
        <v/>
      </c>
      <c r="F25" s="8">
        <f>F78</f>
        <v/>
      </c>
      <c r="G25" s="8">
        <f>G78</f>
        <v/>
      </c>
      <c r="H25" s="8">
        <f>H78</f>
        <v/>
      </c>
    </row>
    <row r="26">
      <c r="C26" s="15" t="inlineStr">
        <is>
          <t>RtB exit at the sale (30-Sep-2029)</t>
        </is>
      </c>
      <c r="D26" s="15" t="n"/>
      <c r="E26" s="15" t="n"/>
      <c r="F26" s="15" t="n"/>
      <c r="G26" s="15" t="n"/>
      <c r="H26" s="15" t="n"/>
    </row>
    <row r="27">
      <c r="C27" s="6" t="inlineStr">
        <is>
          <t>FEP profit, pre-tax</t>
        </is>
      </c>
      <c r="D27" s="2" t="inlineStr">
        <is>
          <t>EUR k</t>
        </is>
      </c>
      <c r="E27" s="8">
        <f>E116</f>
        <v/>
      </c>
      <c r="F27" s="8">
        <f>F116</f>
        <v/>
      </c>
      <c r="G27" s="8">
        <f>G116</f>
        <v/>
      </c>
      <c r="H27" s="8">
        <f>H116</f>
        <v/>
      </c>
    </row>
    <row r="28">
      <c r="C28" s="6" t="inlineStr">
        <is>
          <t>CIT on the gain</t>
        </is>
      </c>
      <c r="D28" s="2" t="inlineStr">
        <is>
          <t>EUR k</t>
        </is>
      </c>
      <c r="E28" s="8">
        <f>E117</f>
        <v/>
      </c>
      <c r="F28" s="8">
        <f>F117</f>
        <v/>
      </c>
      <c r="G28" s="8">
        <f>G117</f>
        <v/>
      </c>
      <c r="H28" s="8">
        <f>H117</f>
        <v/>
      </c>
    </row>
    <row r="29">
      <c r="C29" s="1" t="inlineStr">
        <is>
          <t>FEP profit, post-tax</t>
        </is>
      </c>
      <c r="D29" s="2" t="inlineStr">
        <is>
          <t>EUR k</t>
        </is>
      </c>
      <c r="E29" s="16">
        <f>E118</f>
        <v/>
      </c>
      <c r="F29" s="16">
        <f>F118</f>
        <v/>
      </c>
      <c r="G29" s="16">
        <f>G118</f>
        <v/>
      </c>
      <c r="H29" s="16">
        <f>H118</f>
        <v/>
      </c>
    </row>
    <row r="30">
      <c r="C30" s="6" t="inlineStr">
        <is>
          <t>FEP IRR, pre-tax</t>
        </is>
      </c>
      <c r="D30" s="2" t="inlineStr">
        <is>
          <t>%</t>
        </is>
      </c>
      <c r="E30" s="17">
        <f>XIRR(E107:E115,J107:J115)</f>
        <v/>
      </c>
      <c r="F30" s="17">
        <f>XIRR(F107:F115,K107:K115)</f>
        <v/>
      </c>
      <c r="G30" s="17">
        <f>XIRR(G107:G115,L107:L115)</f>
        <v/>
      </c>
    </row>
    <row r="31">
      <c r="C31" s="6" t="inlineStr">
        <is>
          <t>FEP MOIC, pre-tax</t>
        </is>
      </c>
      <c r="D31" s="2" t="inlineStr">
        <is>
          <t>x</t>
        </is>
      </c>
      <c r="E31" s="18">
        <f>SUMIF(E107:E115,"&gt;0")/-SUMIF(E107:E115,"&lt;0")</f>
        <v/>
      </c>
      <c r="F31" s="18">
        <f>SUMIF(F107:F115,"&gt;0")/-SUMIF(F107:F115,"&lt;0")</f>
        <v/>
      </c>
      <c r="G31" s="18">
        <f>SUMIF(G107:G115,"&gt;0")/-SUMIF(G107:G115,"&lt;0")</f>
        <v/>
      </c>
      <c r="H31" s="18">
        <f>SUMIF(H107:H115,"&gt;0")/-SUMIF(H107:H115,"&lt;0")</f>
        <v/>
      </c>
    </row>
    <row r="32">
      <c r="C32" s="6" t="inlineStr">
        <is>
          <t>FEP profit per MVA, pre-tax</t>
        </is>
      </c>
      <c r="D32" s="2" t="inlineStr">
        <is>
          <t>EUR k/MVA</t>
        </is>
      </c>
      <c r="E32" s="14">
        <f>E116/E6</f>
        <v/>
      </c>
      <c r="F32" s="14">
        <f>F116/F6</f>
        <v/>
      </c>
      <c r="G32" s="14">
        <f>G116/G6</f>
        <v/>
      </c>
      <c r="H32" s="14">
        <f>H116/H6</f>
        <v/>
      </c>
    </row>
    <row r="33">
      <c r="C33" s="15" t="inlineStr">
        <is>
          <t>Build and operate, hold to maturity (EBITDA only, no debt, no tax)</t>
        </is>
      </c>
      <c r="D33" s="15" t="n"/>
      <c r="E33" s="15" t="n"/>
      <c r="F33" s="15" t="n"/>
      <c r="G33" s="15" t="n"/>
      <c r="H33" s="15" t="n"/>
    </row>
    <row r="34">
      <c r="C34" s="6" t="inlineStr">
        <is>
          <t>Wind built</t>
        </is>
      </c>
      <c r="D34" s="2" t="inlineStr">
        <is>
          <t>MW</t>
        </is>
      </c>
      <c r="E34" s="14">
        <f>E66</f>
        <v/>
      </c>
      <c r="F34" s="14">
        <f>F66</f>
        <v/>
      </c>
      <c r="G34" s="14">
        <f>G66</f>
        <v/>
      </c>
      <c r="H34" s="14">
        <f>H66</f>
        <v/>
      </c>
    </row>
    <row r="35">
      <c r="C35" s="6" t="inlineStr">
        <is>
          <t>All-in cost to COD</t>
        </is>
      </c>
      <c r="D35" s="2" t="inlineStr">
        <is>
          <t>EUR m</t>
        </is>
      </c>
      <c r="E35" s="14">
        <f>E135/Thousand</f>
        <v/>
      </c>
      <c r="F35" s="14">
        <f>F135/Thousand</f>
        <v/>
      </c>
      <c r="G35" s="14">
        <f>G135/Thousand</f>
        <v/>
      </c>
      <c r="H35" s="14">
        <f>H135/Thousand</f>
        <v/>
      </c>
    </row>
    <row r="36">
      <c r="C36" s="6" t="inlineStr">
        <is>
          <t>All-in cost per MW built</t>
        </is>
      </c>
      <c r="D36" s="2" t="inlineStr">
        <is>
          <t>EUR k/MW</t>
        </is>
      </c>
      <c r="E36" s="14">
        <f>E135/E66</f>
        <v/>
      </c>
      <c r="F36" s="14">
        <f>F135/F66</f>
        <v/>
      </c>
      <c r="G36" s="14">
        <f>G135/G66</f>
        <v/>
      </c>
      <c r="H36" s="14">
        <f>H135/H66</f>
        <v/>
      </c>
    </row>
    <row r="37">
      <c r="C37" s="6" t="inlineStr">
        <is>
          <t>All-in cost per MVA</t>
        </is>
      </c>
      <c r="D37" s="2" t="inlineStr">
        <is>
          <t>EUR k/MVA</t>
        </is>
      </c>
      <c r="E37" s="14">
        <f>E135/E6</f>
        <v/>
      </c>
      <c r="F37" s="14">
        <f>F135/F6</f>
        <v/>
      </c>
      <c r="G37" s="14">
        <f>G135/G6</f>
        <v/>
      </c>
      <c r="H37" s="14">
        <f>H135/H6</f>
        <v/>
      </c>
    </row>
    <row r="38">
      <c r="C38" s="6" t="inlineStr">
        <is>
          <t>First full operating year: EBITDA</t>
        </is>
      </c>
      <c r="D38" s="2" t="inlineStr">
        <is>
          <t>EUR k</t>
        </is>
      </c>
      <c r="E38" s="8">
        <f>SUMIF($J$138:$AS$138,YEAR(Inputs!E$27)+1,$J$165:$AS$165)</f>
        <v/>
      </c>
      <c r="F38" s="8">
        <f>SUMIF($J$138:$AS$138,YEAR(Inputs!F$27)+1,$J$195:$AS$195)</f>
        <v/>
      </c>
      <c r="G38" s="8">
        <f>SUMIF($J$138:$AS$138,YEAR(Inputs!G$27)+1,$J$225:$AS$225)</f>
        <v/>
      </c>
      <c r="H38" s="8">
        <f>SUM(E38:G38)</f>
        <v/>
      </c>
    </row>
    <row r="39">
      <c r="C39" s="6" t="inlineStr">
        <is>
          <t>First full operating year: net generation</t>
        </is>
      </c>
      <c r="D39" s="2" t="inlineStr">
        <is>
          <t>GWh</t>
        </is>
      </c>
      <c r="E39" s="14">
        <f>SUMIF($J$138:$AS$138,YEAR(Inputs!E$27)+1,$J$154:$AS$154)</f>
        <v/>
      </c>
      <c r="F39" s="14">
        <f>SUMIF($J$138:$AS$138,YEAR(Inputs!F$27)+1,$J$184:$AS$184)</f>
        <v/>
      </c>
      <c r="G39" s="14">
        <f>SUMIF($J$138:$AS$138,YEAR(Inputs!G$27)+1,$J$214:$AS$214)</f>
        <v/>
      </c>
      <c r="H39" s="14">
        <f>SUM(E39:G39)</f>
        <v/>
      </c>
    </row>
    <row r="40">
      <c r="C40" s="1" t="inlineStr">
        <is>
          <t>Project IRR, pre-tax (unlevered)</t>
        </is>
      </c>
      <c r="D40" s="2" t="inlineStr">
        <is>
          <t>%</t>
        </is>
      </c>
      <c r="E40" s="19">
        <f>XIRR($J$166:$AS$166,$J$139:$AS$139)</f>
        <v/>
      </c>
      <c r="F40" s="19">
        <f>XIRR($J$196:$AS$196,$J$139:$AS$139)</f>
        <v/>
      </c>
      <c r="G40" s="19">
        <f>XIRR($J$226:$AS$226,$J$139:$AS$139)</f>
        <v/>
      </c>
    </row>
    <row r="41">
      <c r="C41" s="6" t="inlineStr">
        <is>
          <t>NPV at the discount rate, at the first year end</t>
        </is>
      </c>
      <c r="D41" s="2" t="inlineStr">
        <is>
          <t>EUR k</t>
        </is>
      </c>
      <c r="E41" s="8">
        <f>XNPV(Discount_Rate,$J$166:$AS$166,$J$139:$AS$139)</f>
        <v/>
      </c>
      <c r="F41" s="8">
        <f>XNPV(Discount_Rate,$J$196:$AS$196,$J$139:$AS$139)</f>
        <v/>
      </c>
      <c r="G41" s="8">
        <f>XNPV(Discount_Rate,$J$226:$AS$226,$J$139:$AS$139)</f>
        <v/>
      </c>
      <c r="H41" s="8">
        <f>SUM(E41:G41)</f>
        <v/>
      </c>
    </row>
    <row r="42">
      <c r="C42" s="15" t="inlineStr">
        <is>
          <t>COD exit (buyer earns the discount rate, pre-tax)</t>
        </is>
      </c>
      <c r="D42" s="15" t="n"/>
      <c r="E42" s="15" t="n"/>
      <c r="F42" s="15" t="n"/>
      <c r="G42" s="15" t="n"/>
      <c r="H42" s="15" t="n"/>
    </row>
    <row r="43">
      <c r="C43" s="6" t="inlineStr">
        <is>
          <t>Price at COD</t>
        </is>
      </c>
      <c r="D43" s="2" t="inlineStr">
        <is>
          <t>EUR m</t>
        </is>
      </c>
      <c r="E43" s="14">
        <f>$H$168/Thousand</f>
        <v/>
      </c>
      <c r="F43" s="14">
        <f>$H$198/Thousand</f>
        <v/>
      </c>
      <c r="G43" s="14">
        <f>$H$228/Thousand</f>
        <v/>
      </c>
      <c r="H43" s="14">
        <f>SUM(E43:G43)</f>
        <v/>
      </c>
    </row>
    <row r="44">
      <c r="C44" s="6" t="inlineStr">
        <is>
          <t>Price per MW built</t>
        </is>
      </c>
      <c r="D44" s="2" t="inlineStr">
        <is>
          <t>EUR k/MW</t>
        </is>
      </c>
      <c r="E44" s="14">
        <f>$H$168/E66</f>
        <v/>
      </c>
      <c r="F44" s="14">
        <f>$H$198/F66</f>
        <v/>
      </c>
      <c r="G44" s="14">
        <f>$H$228/G66</f>
        <v/>
      </c>
      <c r="H44" s="14">
        <f>H43*Thousand/H66</f>
        <v/>
      </c>
    </row>
    <row r="45">
      <c r="C45" s="6" t="inlineStr">
        <is>
          <t>Price per MVA</t>
        </is>
      </c>
      <c r="D45" s="2" t="inlineStr">
        <is>
          <t>EUR k/MVA</t>
        </is>
      </c>
      <c r="E45" s="14">
        <f>$H$168/E6</f>
        <v/>
      </c>
      <c r="F45" s="14">
        <f>$H$198/F6</f>
        <v/>
      </c>
      <c r="G45" s="14">
        <f>$H$228/G6</f>
        <v/>
      </c>
      <c r="H45" s="14">
        <f>H43*Thousand/H6</f>
        <v/>
      </c>
    </row>
    <row r="46">
      <c r="C46" s="6" t="inlineStr">
        <is>
          <t>FEP profit, pre-tax</t>
        </is>
      </c>
      <c r="D46" s="2" t="inlineStr">
        <is>
          <t>EUR k</t>
        </is>
      </c>
      <c r="E46" s="8">
        <f>$H$169</f>
        <v/>
      </c>
      <c r="F46" s="8">
        <f>$H$199</f>
        <v/>
      </c>
      <c r="G46" s="8">
        <f>$H$229</f>
        <v/>
      </c>
      <c r="H46" s="8">
        <f>SUM(E46:G46)</f>
        <v/>
      </c>
    </row>
    <row r="47">
      <c r="C47" s="6" t="inlineStr">
        <is>
          <t>CIT on the gain</t>
        </is>
      </c>
      <c r="D47" s="2" t="inlineStr">
        <is>
          <t>EUR k</t>
        </is>
      </c>
      <c r="E47" s="8">
        <f>E232</f>
        <v/>
      </c>
      <c r="F47" s="8">
        <f>F232</f>
        <v/>
      </c>
      <c r="G47" s="8">
        <f>G232</f>
        <v/>
      </c>
      <c r="H47" s="8">
        <f>H232</f>
        <v/>
      </c>
    </row>
    <row r="48">
      <c r="C48" s="1" t="inlineStr">
        <is>
          <t>FEP profit, post-tax</t>
        </is>
      </c>
      <c r="D48" s="2" t="inlineStr">
        <is>
          <t>EUR k</t>
        </is>
      </c>
      <c r="E48" s="16">
        <f>E233</f>
        <v/>
      </c>
      <c r="F48" s="16">
        <f>F233</f>
        <v/>
      </c>
      <c r="G48" s="16">
        <f>G233</f>
        <v/>
      </c>
      <c r="H48" s="16">
        <f>H233</f>
        <v/>
      </c>
    </row>
    <row r="49">
      <c r="C49" s="6" t="inlineStr">
        <is>
          <t>FEP IRR, pre-tax</t>
        </is>
      </c>
      <c r="D49" s="2" t="inlineStr">
        <is>
          <t>%</t>
        </is>
      </c>
      <c r="E49" s="17">
        <f>XIRR($J$169:$AS$169,$J$139:$AS$139)</f>
        <v/>
      </c>
      <c r="F49" s="17">
        <f>XIRR($J$199:$AS$199,$J$139:$AS$139)</f>
        <v/>
      </c>
      <c r="G49" s="17">
        <f>XIRR($J$229:$AS$229,$J$139:$AS$139)</f>
        <v/>
      </c>
    </row>
    <row r="50">
      <c r="C50" s="6" t="inlineStr">
        <is>
          <t>FEP MOIC, pre-tax</t>
        </is>
      </c>
      <c r="D50" s="2" t="inlineStr">
        <is>
          <t>x</t>
        </is>
      </c>
      <c r="E50" s="18">
        <f>SUMIF($J$169:$AS$169,"&gt;0")/-SUMIF($J$169:$AS$169,"&lt;0")</f>
        <v/>
      </c>
      <c r="F50" s="18">
        <f>SUMIF($J$199:$AS$199,"&gt;0")/-SUMIF($J$199:$AS$199,"&lt;0")</f>
        <v/>
      </c>
      <c r="G50" s="18">
        <f>SUMIF($J$229:$AS$229,"&gt;0")/-SUMIF($J$229:$AS$229,"&lt;0")</f>
        <v/>
      </c>
    </row>
    <row r="52">
      <c r="B52" s="4" t="inlineStr">
        <is>
          <t>x</t>
        </is>
      </c>
      <c r="C52" s="4" t="inlineStr">
        <is>
          <t>Bid points and capacity</t>
        </is>
      </c>
      <c r="D52" s="4" t="n"/>
      <c r="E52" s="5" t="inlineStr">
        <is>
          <t>Bora</t>
        </is>
      </c>
      <c r="F52" s="5" t="inlineStr">
        <is>
          <t>Iváncsa</t>
        </is>
      </c>
      <c r="G52" s="5" t="inlineStr">
        <is>
          <t>Dunaújváros</t>
        </is>
      </c>
      <c r="H52" s="5" t="inlineStr">
        <is>
          <t>Total</t>
        </is>
      </c>
    </row>
    <row r="53">
      <c r="C53" s="6" t="inlineStr">
        <is>
          <t>Points – municipal one-off</t>
        </is>
      </c>
      <c r="D53" s="2" t="inlineStr">
        <is>
          <t>points</t>
        </is>
      </c>
      <c r="E53" s="14">
        <f>INDEX(Osz1_Pts,1+SUMPRODUCT((Osz1_LB&lt;E11)+(Osz1_LB=E11)*Osz1_Incl))*Osz1_W</f>
        <v/>
      </c>
      <c r="F53" s="14">
        <f>INDEX(Osz1_Pts,1+SUMPRODUCT((Osz1_LB&lt;F11)+(Osz1_LB=F11)*Osz1_Incl))*Osz1_W</f>
        <v/>
      </c>
      <c r="G53" s="14">
        <f>INDEX(Osz1_Pts,1+SUMPRODUCT((Osz1_LB&lt;G11)+(Osz1_LB=G11)*Osz1_Incl))*Osz1_W</f>
        <v/>
      </c>
    </row>
    <row r="54">
      <c r="C54" s="6" t="inlineStr">
        <is>
          <t>Points – community contribution</t>
        </is>
      </c>
      <c r="D54" s="2" t="inlineStr">
        <is>
          <t>points</t>
        </is>
      </c>
      <c r="E54" s="14">
        <f>INDEX(Osz2_Pts,1+SUMPRODUCT((Osz2_LB&lt;E12)+(Osz2_LB=E12)*Osz2_Incl))*Osz2_W</f>
        <v/>
      </c>
      <c r="F54" s="14">
        <f>INDEX(Osz2_Pts,1+SUMPRODUCT((Osz2_LB&lt;F12)+(Osz2_LB=F12)*Osz2_Incl))*Osz2_W</f>
        <v/>
      </c>
      <c r="G54" s="14">
        <f>INDEX(Osz2_Pts,1+SUMPRODUCT((Osz2_LB&lt;G12)+(Osz2_LB=G12)*Osz2_Incl))*Osz2_W</f>
        <v/>
      </c>
    </row>
    <row r="55">
      <c r="C55" s="6" t="inlineStr">
        <is>
          <t>Points – overbuild</t>
        </is>
      </c>
      <c r="D55" s="2" t="inlineStr">
        <is>
          <t>points</t>
        </is>
      </c>
      <c r="E55" s="14">
        <f>INDEX(Osz3_Pts,1+SUMPRODUCT((Osz3_LB&lt;E7)+(Osz3_LB=E7)*Osz3_Incl))*Osz3_W</f>
        <v/>
      </c>
      <c r="F55" s="14">
        <f>INDEX(Osz3_Pts,1+SUMPRODUCT((Osz3_LB&lt;F7)+(Osz3_LB=F7)*Osz3_Incl))*Osz3_W</f>
        <v/>
      </c>
      <c r="G55" s="14">
        <f>INDEX(Osz3_Pts,1+SUMPRODUCT((Osz3_LB&lt;G7)+(Osz3_LB=G7)*Osz3_Incl))*Osz3_W</f>
        <v/>
      </c>
    </row>
    <row r="56">
      <c r="C56" s="6" t="inlineStr">
        <is>
          <t>Points – BESS</t>
        </is>
      </c>
      <c r="D56" s="2" t="inlineStr">
        <is>
          <t>points</t>
        </is>
      </c>
      <c r="E56" s="14">
        <f>INDEX(Osz3_Pts,1+SUMPRODUCT((Osz3_LB&lt;E8)+(Osz3_LB=E8)*Osz3_Incl))*Osz4_W</f>
        <v/>
      </c>
      <c r="F56" s="14">
        <f>INDEX(Osz3_Pts,1+SUMPRODUCT((Osz3_LB&lt;F8)+(Osz3_LB=F8)*Osz3_Incl))*Osz4_W</f>
        <v/>
      </c>
      <c r="G56" s="14">
        <f>INDEX(Osz3_Pts,1+SUMPRODUCT((Osz3_LB&lt;G8)+(Osz3_LB=G8)*Osz3_Incl))*Osz4_W</f>
        <v/>
      </c>
    </row>
    <row r="57">
      <c r="C57" s="6" t="inlineStr">
        <is>
          <t>Points – partial award</t>
        </is>
      </c>
      <c r="D57" s="2" t="inlineStr">
        <is>
          <t>points</t>
        </is>
      </c>
      <c r="E57" s="14">
        <f>E13*Osz5_Pts*Osz5_W</f>
        <v/>
      </c>
      <c r="F57" s="14">
        <f>F13*Osz5_Pts*Osz5_W</f>
        <v/>
      </c>
      <c r="G57" s="14">
        <f>G13*Osz5_Pts*Osz5_W</f>
        <v/>
      </c>
    </row>
    <row r="58">
      <c r="C58" s="6" t="inlineStr">
        <is>
          <t>Points – performance security</t>
        </is>
      </c>
      <c r="D58" s="2" t="inlineStr">
        <is>
          <t>points</t>
        </is>
      </c>
      <c r="E58" s="14">
        <f>INDEX(Osz6_Pts,1+SUMPRODUCT((Osz6_LB&lt;E14)+(Osz6_LB=E14)*Osz6_Incl))*Osz6_W</f>
        <v/>
      </c>
      <c r="F58" s="14">
        <f>INDEX(Osz6_Pts,1+SUMPRODUCT((Osz6_LB&lt;F14)+(Osz6_LB=F14)*Osz6_Incl))*Osz6_W</f>
        <v/>
      </c>
      <c r="G58" s="14">
        <f>INDEX(Osz6_Pts,1+SUMPRODUCT((Osz6_LB&lt;G14)+(Osz6_LB=G14)*Osz6_Incl))*Osz6_W</f>
        <v/>
      </c>
    </row>
    <row r="59">
      <c r="C59" s="6" t="inlineStr">
        <is>
          <t>Points – brownfield</t>
        </is>
      </c>
      <c r="D59" s="2" t="inlineStr">
        <is>
          <t>points</t>
        </is>
      </c>
      <c r="E59" s="14">
        <f>E15*Osz7_Pts*Osz7_W</f>
        <v/>
      </c>
      <c r="F59" s="14">
        <f>F15*Osz7_Pts*Osz7_W</f>
        <v/>
      </c>
      <c r="G59" s="14">
        <f>G15*Osz7_Pts*Osz7_W</f>
        <v/>
      </c>
    </row>
    <row r="60">
      <c r="C60" s="6" t="inlineStr">
        <is>
          <t>Points – shared connection</t>
        </is>
      </c>
      <c r="D60" s="2" t="inlineStr">
        <is>
          <t>points</t>
        </is>
      </c>
      <c r="E60" s="14">
        <f>E16*Osz8_Pts*Osz8_W</f>
        <v/>
      </c>
      <c r="F60" s="14">
        <f>F16*Osz8_Pts*Osz8_W</f>
        <v/>
      </c>
      <c r="G60" s="14">
        <f>G16*Osz8_Pts*Osz8_W</f>
        <v/>
      </c>
    </row>
    <row r="61">
      <c r="C61" s="6" t="inlineStr">
        <is>
          <t>Points – EU turbines</t>
        </is>
      </c>
      <c r="D61" s="2" t="inlineStr">
        <is>
          <t>points</t>
        </is>
      </c>
      <c r="E61" s="14">
        <f>N(E17="EU")*Osz9a_Pts*Osz9_W</f>
        <v/>
      </c>
      <c r="F61" s="14">
        <f>N(F17="EU")*Osz9a_Pts*Osz9_W</f>
        <v/>
      </c>
      <c r="G61" s="14">
        <f>N(G17="EU")*Osz9a_Pts*Osz9_W</f>
        <v/>
      </c>
    </row>
    <row r="62">
      <c r="C62" s="6" t="inlineStr">
        <is>
          <t>Points – EU transformers</t>
        </is>
      </c>
      <c r="D62" s="2" t="inlineStr">
        <is>
          <t>points</t>
        </is>
      </c>
      <c r="E62" s="14">
        <f>Inputs!E19*Osz9b_Pts*Osz9_W</f>
        <v/>
      </c>
      <c r="F62" s="14">
        <f>Inputs!F19*Osz9b_Pts*Osz9_W</f>
        <v/>
      </c>
      <c r="G62" s="14">
        <f>Inputs!G19*Osz9b_Pts*Osz9_W</f>
        <v/>
      </c>
    </row>
    <row r="63">
      <c r="C63" s="1" t="inlineStr">
        <is>
          <t>Points total</t>
        </is>
      </c>
      <c r="D63" s="2" t="inlineStr">
        <is>
          <t>points</t>
        </is>
      </c>
      <c r="E63" s="20">
        <f>SUM(E53:E62)</f>
        <v/>
      </c>
      <c r="F63" s="20">
        <f>SUM(F53:F62)</f>
        <v/>
      </c>
      <c r="G63" s="20">
        <f>SUM(G53:G62)</f>
        <v/>
      </c>
    </row>
    <row r="64">
      <c r="C64" s="6" t="inlineStr">
        <is>
          <t>Wind committed in the bid</t>
        </is>
      </c>
      <c r="D64" s="2" t="inlineStr">
        <is>
          <t>MW</t>
        </is>
      </c>
      <c r="E64" s="14">
        <f>E6*(1+E7)</f>
        <v/>
      </c>
      <c r="F64" s="14">
        <f>F6*(1+F7)</f>
        <v/>
      </c>
      <c r="G64" s="14">
        <f>G6*(1+G7)</f>
        <v/>
      </c>
      <c r="H64" s="14">
        <f>SUM(E64:G64)</f>
        <v/>
      </c>
    </row>
    <row r="65">
      <c r="C65" s="6" t="inlineStr">
        <is>
          <t>BESS energy</t>
        </is>
      </c>
      <c r="D65" s="2" t="inlineStr">
        <is>
          <t>MWh</t>
        </is>
      </c>
      <c r="E65" s="14">
        <f>E6*E8*E9</f>
        <v/>
      </c>
      <c r="F65" s="14">
        <f>F6*F8*F9</f>
        <v/>
      </c>
      <c r="G65" s="14">
        <f>G6*G8*G9</f>
        <v/>
      </c>
      <c r="H65" s="14">
        <f>SUM(E65:G65)</f>
        <v/>
      </c>
    </row>
    <row r="66">
      <c r="C66" s="6" t="inlineStr">
        <is>
          <t>Wind built (committed less the build shortfall)</t>
        </is>
      </c>
      <c r="D66" s="2" t="inlineStr">
        <is>
          <t>MW</t>
        </is>
      </c>
      <c r="E66" s="14">
        <f>E64*(1-E10)</f>
        <v/>
      </c>
      <c r="F66" s="14">
        <f>F64*(1-F10)</f>
        <v/>
      </c>
      <c r="G66" s="14">
        <f>G64*(1-G10)</f>
        <v/>
      </c>
      <c r="H66" s="14">
        <f>SUM(E66:G66)</f>
        <v/>
      </c>
    </row>
    <row r="68">
      <c r="B68" s="4" t="inlineStr">
        <is>
          <t>x</t>
        </is>
      </c>
      <c r="C68" s="4" t="inlineStr">
        <is>
          <t>Deposits, fees and devex to RtB (HUF rates at the FX rate)</t>
        </is>
      </c>
      <c r="D68" s="4" t="n"/>
      <c r="E68" s="5" t="inlineStr">
        <is>
          <t>Bora</t>
        </is>
      </c>
      <c r="F68" s="5" t="inlineStr">
        <is>
          <t>Iváncsa</t>
        </is>
      </c>
      <c r="G68" s="5" t="inlineStr">
        <is>
          <t>Dunaújváros</t>
        </is>
      </c>
      <c r="H68" s="5" t="inlineStr">
        <is>
          <t>Total</t>
        </is>
      </c>
      <c r="J68" s="5" t="inlineStr">
        <is>
          <t>Paid: Bora</t>
        </is>
      </c>
      <c r="K68" s="5" t="inlineStr">
        <is>
          <t>Iváncsa</t>
        </is>
      </c>
      <c r="L68" s="5" t="inlineStr">
        <is>
          <t>Dunaújváros</t>
        </is>
      </c>
    </row>
    <row r="69">
      <c r="C69" s="6" t="inlineStr">
        <is>
          <t>Security base (benchmark investment), not cash</t>
        </is>
      </c>
      <c r="D69" s="2" t="inlineStr">
        <is>
          <t>EUR k</t>
        </is>
      </c>
      <c r="E69" s="8">
        <f>(E64*Bench_Wind+E65*Bench_BESS)/FX/Thousand</f>
        <v/>
      </c>
      <c r="F69" s="8">
        <f>(F64*Bench_Wind+F65*Bench_BESS)/FX/Thousand</f>
        <v/>
      </c>
      <c r="G69" s="8">
        <f>(G64*Bench_Wind+G65*Bench_BESS)/FX/Thousand</f>
        <v/>
      </c>
      <c r="H69" s="8">
        <f>SUM(E69:G69)</f>
        <v/>
      </c>
    </row>
    <row r="70">
      <c r="C70" s="6" t="inlineStr">
        <is>
          <t>Participation fee</t>
        </is>
      </c>
      <c r="D70" s="2" t="inlineStr">
        <is>
          <t>EUR k</t>
        </is>
      </c>
      <c r="E70" s="14">
        <f>Part_Fee/FX/Thousand</f>
        <v/>
      </c>
      <c r="F70" s="14">
        <f>Part_Fee/FX/Thousand</f>
        <v/>
      </c>
      <c r="G70" s="14">
        <f>Part_Fee/FX/Thousand</f>
        <v/>
      </c>
      <c r="H70" s="14">
        <f>SUM(E70:G70)</f>
        <v/>
      </c>
      <c r="J70" s="21">
        <f>Inputs!E$21</f>
        <v/>
      </c>
      <c r="K70" s="21">
        <f>Inputs!F$21</f>
        <v/>
      </c>
      <c r="L70" s="21">
        <f>Inputs!G$21</f>
        <v/>
      </c>
    </row>
    <row r="71">
      <c r="C71" s="6" t="inlineStr">
        <is>
          <t>Bid security (cash)</t>
        </is>
      </c>
      <c r="D71" s="2" t="inlineStr">
        <is>
          <t>EUR k</t>
        </is>
      </c>
      <c r="E71" s="8">
        <f>Bid_Sec_Rate*E69</f>
        <v/>
      </c>
      <c r="F71" s="8">
        <f>Bid_Sec_Rate*F69</f>
        <v/>
      </c>
      <c r="G71" s="8">
        <f>Bid_Sec_Rate*G69</f>
        <v/>
      </c>
      <c r="H71" s="8">
        <f>SUM(E71:G71)</f>
        <v/>
      </c>
      <c r="J71" s="21">
        <f>Inputs!E$21</f>
        <v/>
      </c>
      <c r="K71" s="21">
        <f>Inputs!F$21</f>
        <v/>
      </c>
      <c r="L71" s="21">
        <f>Inputs!G$21</f>
        <v/>
      </c>
    </row>
    <row r="72">
      <c r="C72" s="6" t="inlineStr">
        <is>
          <t>Performance security payable (bid security deducted)</t>
        </is>
      </c>
      <c r="D72" s="2" t="inlineStr">
        <is>
          <t>EUR k</t>
        </is>
      </c>
      <c r="E72" s="8">
        <f>PB_Rate*E14*E69-E71</f>
        <v/>
      </c>
      <c r="F72" s="8">
        <f>PB_Rate*F14*F69-F71</f>
        <v/>
      </c>
      <c r="G72" s="8">
        <f>PB_Rate*G14*G69-G71</f>
        <v/>
      </c>
      <c r="H72" s="8">
        <f>SUM(E72:G72)</f>
        <v/>
      </c>
      <c r="J72" s="21">
        <f>Inputs!E$22</f>
        <v/>
      </c>
      <c r="K72" s="21">
        <f>Inputs!F$22</f>
        <v/>
      </c>
      <c r="L72" s="21">
        <f>Inputs!G$22</f>
        <v/>
      </c>
    </row>
    <row r="73">
      <c r="C73" s="6" t="inlineStr">
        <is>
          <t>TSO connection-request security</t>
        </is>
      </c>
      <c r="D73" s="2" t="inlineStr">
        <is>
          <t>EUR k</t>
        </is>
      </c>
      <c r="E73" s="8">
        <f>TSO_Rate*E6/FX/Thousand</f>
        <v/>
      </c>
      <c r="F73" s="8">
        <f>TSO_Rate*F6/FX/Thousand</f>
        <v/>
      </c>
      <c r="G73" s="8">
        <f>TSO_Rate*G6/FX/Thousand</f>
        <v/>
      </c>
      <c r="H73" s="8">
        <f>SUM(E73:G73)</f>
        <v/>
      </c>
      <c r="J73" s="21">
        <f>Inputs!E$23</f>
        <v/>
      </c>
      <c r="K73" s="21">
        <f>Inputs!F$23</f>
        <v/>
      </c>
      <c r="L73" s="21">
        <f>Inputs!G$23</f>
        <v/>
      </c>
    </row>
    <row r="74">
      <c r="C74" s="6" t="inlineStr">
        <is>
          <t>Direct connection fee (per point ÷ bids sharing it)</t>
        </is>
      </c>
      <c r="D74" s="2" t="inlineStr">
        <is>
          <t>EUR k</t>
        </is>
      </c>
      <c r="E74" s="8">
        <f>Inputs!E$15/Inputs!E$16/FX/Thousand</f>
        <v/>
      </c>
      <c r="F74" s="8">
        <f>Inputs!F$15/Inputs!F$16/FX/Thousand</f>
        <v/>
      </c>
      <c r="G74" s="8">
        <f>Inputs!G$15/Inputs!G$16/FX/Thousand</f>
        <v/>
      </c>
      <c r="H74" s="8">
        <f>SUM(E74:G74)</f>
        <v/>
      </c>
      <c r="J74" s="21">
        <f>Inputs!E$24</f>
        <v/>
      </c>
      <c r="K74" s="21">
        <f>Inputs!F$24</f>
        <v/>
      </c>
      <c r="L74" s="21">
        <f>Inputs!G$24</f>
        <v/>
      </c>
    </row>
    <row r="75">
      <c r="C75" s="6" t="inlineStr">
        <is>
          <t>Indirect connection fee, payable (TSO security deducted)</t>
        </is>
      </c>
      <c r="D75" s="2" t="inlineStr">
        <is>
          <t>EUR k</t>
        </is>
      </c>
      <c r="E75" s="8">
        <f>Inputs!E$14*E6/FX/Thousand-E73</f>
        <v/>
      </c>
      <c r="F75" s="8">
        <f>Inputs!F$14*F6/FX/Thousand-F73</f>
        <v/>
      </c>
      <c r="G75" s="8">
        <f>Inputs!G$14*G6/FX/Thousand-G73</f>
        <v/>
      </c>
      <c r="H75" s="8">
        <f>SUM(E75:G75)</f>
        <v/>
      </c>
      <c r="J75" s="21">
        <f>Inputs!E$24</f>
        <v/>
      </c>
      <c r="K75" s="21">
        <f>Inputs!F$24</f>
        <v/>
      </c>
      <c r="L75" s="21">
        <f>Inputs!G$24</f>
        <v/>
      </c>
    </row>
    <row r="76">
      <c r="C76" s="6" t="inlineStr">
        <is>
          <t>Devex incl. contingency</t>
        </is>
      </c>
      <c r="D76" s="2" t="inlineStr">
        <is>
          <t>EUR k</t>
        </is>
      </c>
      <c r="E76" s="8">
        <f>Inputs!E$18</f>
        <v/>
      </c>
      <c r="F76" s="8">
        <f>Inputs!F$18</f>
        <v/>
      </c>
      <c r="G76" s="8">
        <f>Inputs!G$18</f>
        <v/>
      </c>
      <c r="H76" s="8">
        <f>SUM(E76:G76)</f>
        <v/>
      </c>
      <c r="J76" s="21">
        <f>Inputs!E$25</f>
        <v/>
      </c>
      <c r="K76" s="21">
        <f>Inputs!F$25</f>
        <v/>
      </c>
      <c r="L76" s="21">
        <f>Inputs!G$25</f>
        <v/>
      </c>
    </row>
    <row r="77">
      <c r="C77" s="6" t="inlineStr">
        <is>
          <t>Signing fee and DD</t>
        </is>
      </c>
      <c r="D77" s="2" t="inlineStr">
        <is>
          <t>EUR k</t>
        </is>
      </c>
      <c r="E77" s="8">
        <f>Inputs!E$17</f>
        <v/>
      </c>
      <c r="F77" s="8">
        <f>Inputs!F$17</f>
        <v/>
      </c>
      <c r="G77" s="8">
        <f>Inputs!G$17</f>
        <v/>
      </c>
      <c r="H77" s="8">
        <f>SUM(E77:G77)</f>
        <v/>
      </c>
      <c r="J77" s="21">
        <f>Inputs!E$20</f>
        <v/>
      </c>
      <c r="K77" s="21">
        <f>Inputs!F$20</f>
        <v/>
      </c>
      <c r="L77" s="21">
        <f>Inputs!G$20</f>
        <v/>
      </c>
    </row>
    <row r="78">
      <c r="C78" s="1" t="inlineStr">
        <is>
          <t>Total cash to RtB</t>
        </is>
      </c>
      <c r="D78" s="2" t="inlineStr">
        <is>
          <t>EUR k</t>
        </is>
      </c>
      <c r="E78" s="22">
        <f>SUM(E70:E77)</f>
        <v/>
      </c>
      <c r="F78" s="22">
        <f>SUM(F70:F77)</f>
        <v/>
      </c>
      <c r="G78" s="22">
        <f>SUM(G70:G77)</f>
        <v/>
      </c>
      <c r="H78" s="22">
        <f>SUM(E78:G78)</f>
        <v/>
      </c>
    </row>
    <row r="80">
      <c r="B80" s="4" t="inlineStr">
        <is>
          <t>x</t>
        </is>
      </c>
      <c r="C80" s="4" t="inlineStr">
        <is>
          <t>RtB exit: FEP claims at the sale (interest to the freeze, act/365, capitalised 31-Dec)</t>
        </is>
      </c>
      <c r="D80" s="4" t="n"/>
      <c r="E80" s="5" t="inlineStr">
        <is>
          <t>Bora</t>
        </is>
      </c>
      <c r="F80" s="5" t="inlineStr">
        <is>
          <t>Iváncsa</t>
        </is>
      </c>
      <c r="G80" s="5" t="inlineStr">
        <is>
          <t>Dunaújváros</t>
        </is>
      </c>
      <c r="H80" s="5" t="inlineStr">
        <is>
          <t>Total</t>
        </is>
      </c>
      <c r="J80" s="5" t="inlineStr">
        <is>
          <t>Rate</t>
        </is>
      </c>
      <c r="K80" s="5" t="inlineStr">
        <is>
          <t>Bora: days 1st yr</t>
        </is>
      </c>
      <c r="L80" s="5" t="inlineStr">
        <is>
          <t>full years</t>
        </is>
      </c>
      <c r="M80" s="5" t="inlineStr">
        <is>
          <t>factor</t>
        </is>
      </c>
      <c r="N80" s="5" t="inlineStr">
        <is>
          <t>Iváncsa: days 1st yr</t>
        </is>
      </c>
      <c r="O80" s="5" t="inlineStr">
        <is>
          <t>full years</t>
        </is>
      </c>
      <c r="P80" s="5" t="inlineStr">
        <is>
          <t>factor</t>
        </is>
      </c>
      <c r="Q80" s="5" t="inlineStr">
        <is>
          <t>Dunaújváros: days 1st yr</t>
        </is>
      </c>
      <c r="R80" s="5" t="inlineStr">
        <is>
          <t>full years</t>
        </is>
      </c>
      <c r="S80" s="5" t="inlineStr">
        <is>
          <t>factor</t>
        </is>
      </c>
    </row>
    <row r="81">
      <c r="C81" s="6" t="inlineStr">
        <is>
          <t>Interest accrual end (earlier of freeze and sale)</t>
        </is>
      </c>
      <c r="D81" s="2" t="inlineStr">
        <is>
          <t>date</t>
        </is>
      </c>
      <c r="E81" s="21">
        <f>MIN(Freeze_Date,Sale_Date)</f>
        <v/>
      </c>
      <c r="F81" s="21">
        <f>MIN(Freeze_Date,Sale_Date)</f>
        <v/>
      </c>
      <c r="G81" s="21">
        <f>MIN(Freeze_Date,Sale_Date)</f>
        <v/>
      </c>
    </row>
    <row r="82">
      <c r="C82" s="6" t="inlineStr">
        <is>
          <t>Days in the accrual end year</t>
        </is>
      </c>
      <c r="D82" s="2" t="inlineStr">
        <is>
          <t>days</t>
        </is>
      </c>
      <c r="E82" s="23">
        <f>E81-DATE(YEAR(E81),1,1)+1</f>
        <v/>
      </c>
      <c r="F82" s="23">
        <f>F81-DATE(YEAR(F81),1,1)+1</f>
        <v/>
      </c>
      <c r="G82" s="23">
        <f>G81-DATE(YEAR(G81),1,1)+1</f>
        <v/>
      </c>
    </row>
    <row r="83">
      <c r="C83" s="6" t="inlineStr">
        <is>
          <t>Participation fee (not reimbursed)</t>
        </is>
      </c>
      <c r="D83" s="2" t="inlineStr">
        <is>
          <t>EUR k</t>
        </is>
      </c>
      <c r="E83" s="14">
        <f>E70*(M83-1)</f>
        <v/>
      </c>
      <c r="F83" s="14">
        <f>F70*(P83-1)</f>
        <v/>
      </c>
      <c r="G83" s="14">
        <f>G70*(S83-1)</f>
        <v/>
      </c>
      <c r="H83" s="8">
        <f>SUM(E83:G83)</f>
        <v/>
      </c>
      <c r="J83" s="17">
        <f>Rate_Cash</f>
        <v/>
      </c>
      <c r="K83" s="23">
        <f>DATE(YEAR(J70)+1,1,1)-J70</f>
        <v/>
      </c>
      <c r="L83" s="23">
        <f>YEAR(E$81)-YEAR(J70)-1</f>
        <v/>
      </c>
      <c r="M83" s="24">
        <f>(1+$J83*K83/Days_In_Year)*(1+$J83)^L83*(1+$J83*E$82/Days_In_Year)</f>
        <v/>
      </c>
      <c r="N83" s="23">
        <f>DATE(YEAR(K70)+1,1,1)-K70</f>
        <v/>
      </c>
      <c r="O83" s="23">
        <f>YEAR(F$81)-YEAR(K70)-1</f>
        <v/>
      </c>
      <c r="P83" s="24">
        <f>(1+$J83*N83/Days_In_Year)*(1+$J83)^O83*(1+$J83*F$82/Days_In_Year)</f>
        <v/>
      </c>
      <c r="Q83" s="23">
        <f>DATE(YEAR(L70)+1,1,1)-L70</f>
        <v/>
      </c>
      <c r="R83" s="23">
        <f>YEAR(G$81)-YEAR(L70)-1</f>
        <v/>
      </c>
      <c r="S83" s="24">
        <f>(1+$J83*Q83/Days_In_Year)*(1+$J83)^R83*(1+$J83*G$82/Days_In_Year)</f>
        <v/>
      </c>
    </row>
    <row r="84">
      <c r="C84" s="6" t="inlineStr">
        <is>
          <t>Bid security (cash)</t>
        </is>
      </c>
      <c r="D84" s="2" t="inlineStr">
        <is>
          <t>EUR k</t>
        </is>
      </c>
      <c r="E84" s="8">
        <f>E71*(M84-1)</f>
        <v/>
      </c>
      <c r="F84" s="8">
        <f>F71*(P84-1)</f>
        <v/>
      </c>
      <c r="G84" s="8">
        <f>G71*(S84-1)</f>
        <v/>
      </c>
      <c r="H84" s="8">
        <f>SUM(E84:G84)</f>
        <v/>
      </c>
      <c r="J84" s="17">
        <f>Rate_Cash</f>
        <v/>
      </c>
      <c r="K84" s="23">
        <f>DATE(YEAR(J71)+1,1,1)-J71</f>
        <v/>
      </c>
      <c r="L84" s="23">
        <f>YEAR(E$81)-YEAR(J71)-1</f>
        <v/>
      </c>
      <c r="M84" s="24">
        <f>(1+$J84*K84/Days_In_Year)*(1+$J84)^L84*(1+$J84*E$82/Days_In_Year)</f>
        <v/>
      </c>
      <c r="N84" s="23">
        <f>DATE(YEAR(K71)+1,1,1)-K71</f>
        <v/>
      </c>
      <c r="O84" s="23">
        <f>YEAR(F$81)-YEAR(K71)-1</f>
        <v/>
      </c>
      <c r="P84" s="24">
        <f>(1+$J84*N84/Days_In_Year)*(1+$J84)^O84*(1+$J84*F$82/Days_In_Year)</f>
        <v/>
      </c>
      <c r="Q84" s="23">
        <f>DATE(YEAR(L71)+1,1,1)-L71</f>
        <v/>
      </c>
      <c r="R84" s="23">
        <f>YEAR(G$81)-YEAR(L71)-1</f>
        <v/>
      </c>
      <c r="S84" s="24">
        <f>(1+$J84*Q84/Days_In_Year)*(1+$J84)^R84*(1+$J84*G$82/Days_In_Year)</f>
        <v/>
      </c>
    </row>
    <row r="85">
      <c r="C85" s="6" t="inlineStr">
        <is>
          <t>Performance security payable (cash)</t>
        </is>
      </c>
      <c r="D85" s="2" t="inlineStr">
        <is>
          <t>EUR k</t>
        </is>
      </c>
      <c r="E85" s="8">
        <f>E72*(M85-1)</f>
        <v/>
      </c>
      <c r="F85" s="8">
        <f>F72*(P85-1)</f>
        <v/>
      </c>
      <c r="G85" s="8">
        <f>G72*(S85-1)</f>
        <v/>
      </c>
      <c r="H85" s="8">
        <f>SUM(E85:G85)</f>
        <v/>
      </c>
      <c r="J85" s="17">
        <f>Rate_Cash</f>
        <v/>
      </c>
      <c r="K85" s="23">
        <f>DATE(YEAR(J72)+1,1,1)-J72</f>
        <v/>
      </c>
      <c r="L85" s="23">
        <f>YEAR(E$81)-YEAR(J72)-1</f>
        <v/>
      </c>
      <c r="M85" s="24">
        <f>(1+$J85*K85/Days_In_Year)*(1+$J85)^L85*(1+$J85*E$82/Days_In_Year)</f>
        <v/>
      </c>
      <c r="N85" s="23">
        <f>DATE(YEAR(K72)+1,1,1)-K72</f>
        <v/>
      </c>
      <c r="O85" s="23">
        <f>YEAR(F$81)-YEAR(K72)-1</f>
        <v/>
      </c>
      <c r="P85" s="24">
        <f>(1+$J85*N85/Days_In_Year)*(1+$J85)^O85*(1+$J85*F$82/Days_In_Year)</f>
        <v/>
      </c>
      <c r="Q85" s="23">
        <f>DATE(YEAR(L72)+1,1,1)-L72</f>
        <v/>
      </c>
      <c r="R85" s="23">
        <f>YEAR(G$81)-YEAR(L72)-1</f>
        <v/>
      </c>
      <c r="S85" s="24">
        <f>(1+$J85*Q85/Days_In_Year)*(1+$J85)^R85*(1+$J85*G$82/Days_In_Year)</f>
        <v/>
      </c>
    </row>
    <row r="86">
      <c r="C86" s="6" t="inlineStr">
        <is>
          <t>TSO connection-request security</t>
        </is>
      </c>
      <c r="D86" s="2" t="inlineStr">
        <is>
          <t>EUR k</t>
        </is>
      </c>
      <c r="E86" s="8">
        <f>E73*(M86-1)</f>
        <v/>
      </c>
      <c r="F86" s="8">
        <f>F73*(P86-1)</f>
        <v/>
      </c>
      <c r="G86" s="8">
        <f>G73*(S86-1)</f>
        <v/>
      </c>
      <c r="H86" s="8">
        <f>SUM(E86:G86)</f>
        <v/>
      </c>
      <c r="J86" s="17">
        <f>Rate_Cash</f>
        <v/>
      </c>
      <c r="K86" s="23">
        <f>DATE(YEAR(J73)+1,1,1)-J73</f>
        <v/>
      </c>
      <c r="L86" s="23">
        <f>YEAR(E$81)-YEAR(J73)-1</f>
        <v/>
      </c>
      <c r="M86" s="24">
        <f>(1+$J86*K86/Days_In_Year)*(1+$J86)^L86*(1+$J86*E$82/Days_In_Year)</f>
        <v/>
      </c>
      <c r="N86" s="23">
        <f>DATE(YEAR(K73)+1,1,1)-K73</f>
        <v/>
      </c>
      <c r="O86" s="23">
        <f>YEAR(F$81)-YEAR(K73)-1</f>
        <v/>
      </c>
      <c r="P86" s="24">
        <f>(1+$J86*N86/Days_In_Year)*(1+$J86)^O86*(1+$J86*F$82/Days_In_Year)</f>
        <v/>
      </c>
      <c r="Q86" s="23">
        <f>DATE(YEAR(L73)+1,1,1)-L73</f>
        <v/>
      </c>
      <c r="R86" s="23">
        <f>YEAR(G$81)-YEAR(L73)-1</f>
        <v/>
      </c>
      <c r="S86" s="24">
        <f>(1+$J86*Q86/Days_In_Year)*(1+$J86)^R86*(1+$J86*G$82/Days_In_Year)</f>
        <v/>
      </c>
    </row>
    <row r="87">
      <c r="C87" s="6" t="inlineStr">
        <is>
          <t>Direct connection fee</t>
        </is>
      </c>
      <c r="D87" s="2" t="inlineStr">
        <is>
          <t>EUR k</t>
        </is>
      </c>
      <c r="E87" s="8">
        <f>E74*(M87-1)</f>
        <v/>
      </c>
      <c r="F87" s="8">
        <f>F74*(P87-1)</f>
        <v/>
      </c>
      <c r="G87" s="8">
        <f>G74*(S87-1)</f>
        <v/>
      </c>
      <c r="H87" s="8">
        <f>SUM(E87:G87)</f>
        <v/>
      </c>
      <c r="J87" s="17">
        <f>Rate_Cash</f>
        <v/>
      </c>
      <c r="K87" s="23">
        <f>DATE(YEAR(J74)+1,1,1)-J74</f>
        <v/>
      </c>
      <c r="L87" s="23">
        <f>YEAR(E$81)-YEAR(J74)-1</f>
        <v/>
      </c>
      <c r="M87" s="24">
        <f>(1+$J87*K87/Days_In_Year)*(1+$J87)^L87*(1+$J87*E$82/Days_In_Year)</f>
        <v/>
      </c>
      <c r="N87" s="23">
        <f>DATE(YEAR(K74)+1,1,1)-K74</f>
        <v/>
      </c>
      <c r="O87" s="23">
        <f>YEAR(F$81)-YEAR(K74)-1</f>
        <v/>
      </c>
      <c r="P87" s="24">
        <f>(1+$J87*N87/Days_In_Year)*(1+$J87)^O87*(1+$J87*F$82/Days_In_Year)</f>
        <v/>
      </c>
      <c r="Q87" s="23">
        <f>DATE(YEAR(L74)+1,1,1)-L74</f>
        <v/>
      </c>
      <c r="R87" s="23">
        <f>YEAR(G$81)-YEAR(L74)-1</f>
        <v/>
      </c>
      <c r="S87" s="24">
        <f>(1+$J87*Q87/Days_In_Year)*(1+$J87)^R87*(1+$J87*G$82/Days_In_Year)</f>
        <v/>
      </c>
    </row>
    <row r="88">
      <c r="C88" s="6" t="inlineStr">
        <is>
          <t>Indirect connection fee, payable</t>
        </is>
      </c>
      <c r="D88" s="2" t="inlineStr">
        <is>
          <t>EUR k</t>
        </is>
      </c>
      <c r="E88" s="8">
        <f>E75*(M88-1)</f>
        <v/>
      </c>
      <c r="F88" s="8">
        <f>F75*(P88-1)</f>
        <v/>
      </c>
      <c r="G88" s="8">
        <f>G75*(S88-1)</f>
        <v/>
      </c>
      <c r="H88" s="8">
        <f>SUM(E88:G88)</f>
        <v/>
      </c>
      <c r="J88" s="17">
        <f>Rate_Cash</f>
        <v/>
      </c>
      <c r="K88" s="23">
        <f>DATE(YEAR(J75)+1,1,1)-J75</f>
        <v/>
      </c>
      <c r="L88" s="23">
        <f>YEAR(E$81)-YEAR(J75)-1</f>
        <v/>
      </c>
      <c r="M88" s="24">
        <f>(1+$J88*K88/Days_In_Year)*(1+$J88)^L88*(1+$J88*E$82/Days_In_Year)</f>
        <v/>
      </c>
      <c r="N88" s="23">
        <f>DATE(YEAR(K75)+1,1,1)-K75</f>
        <v/>
      </c>
      <c r="O88" s="23">
        <f>YEAR(F$81)-YEAR(K75)-1</f>
        <v/>
      </c>
      <c r="P88" s="24">
        <f>(1+$J88*N88/Days_In_Year)*(1+$J88)^O88*(1+$J88*F$82/Days_In_Year)</f>
        <v/>
      </c>
      <c r="Q88" s="23">
        <f>DATE(YEAR(L75)+1,1,1)-L75</f>
        <v/>
      </c>
      <c r="R88" s="23">
        <f>YEAR(G$81)-YEAR(L75)-1</f>
        <v/>
      </c>
      <c r="S88" s="24">
        <f>(1+$J88*Q88/Days_In_Year)*(1+$J88)^R88*(1+$J88*G$82/Days_In_Year)</f>
        <v/>
      </c>
    </row>
    <row r="89">
      <c r="C89" s="6" t="inlineStr">
        <is>
          <t>Devex: MAX(20 % accrued, 1× principal), not reimbursed</t>
        </is>
      </c>
      <c r="D89" s="2" t="inlineStr">
        <is>
          <t>EUR k</t>
        </is>
      </c>
      <c r="E89" s="8">
        <f>E76*MAX(M89-1,Devex_Floor-1)</f>
        <v/>
      </c>
      <c r="F89" s="8">
        <f>F76*MAX(P89-1,Devex_Floor-1)</f>
        <v/>
      </c>
      <c r="G89" s="8">
        <f>G76*MAX(S89-1,Devex_Floor-1)</f>
        <v/>
      </c>
      <c r="H89" s="8">
        <f>SUM(E89:G89)</f>
        <v/>
      </c>
      <c r="J89" s="17">
        <f>Rate_Devex</f>
        <v/>
      </c>
      <c r="K89" s="23">
        <f>DATE(YEAR(J76)+1,1,1)-J76</f>
        <v/>
      </c>
      <c r="L89" s="23">
        <f>YEAR(E$81)-YEAR(J76)-1</f>
        <v/>
      </c>
      <c r="M89" s="24">
        <f>(1+$J89*K89/Days_In_Year)*(1+$J89)^L89*(1+$J89*E$82/Days_In_Year)</f>
        <v/>
      </c>
      <c r="N89" s="23">
        <f>DATE(YEAR(K76)+1,1,1)-K76</f>
        <v/>
      </c>
      <c r="O89" s="23">
        <f>YEAR(F$81)-YEAR(K76)-1</f>
        <v/>
      </c>
      <c r="P89" s="24">
        <f>(1+$J89*N89/Days_In_Year)*(1+$J89)^O89*(1+$J89*F$82/Days_In_Year)</f>
        <v/>
      </c>
      <c r="Q89" s="23">
        <f>DATE(YEAR(L76)+1,1,1)-L76</f>
        <v/>
      </c>
      <c r="R89" s="23">
        <f>YEAR(G$81)-YEAR(L76)-1</f>
        <v/>
      </c>
      <c r="S89" s="24">
        <f>(1+$J89*Q89/Days_In_Year)*(1+$J89)^R89*(1+$J89*G$82/Days_In_Year)</f>
        <v/>
      </c>
    </row>
    <row r="90">
      <c r="C90" s="1" t="inlineStr">
        <is>
          <t>Total FEP claims</t>
        </is>
      </c>
      <c r="D90" s="2" t="inlineStr">
        <is>
          <t>EUR k</t>
        </is>
      </c>
      <c r="E90" s="22">
        <f>SUM(E83:E89)</f>
        <v/>
      </c>
      <c r="F90" s="22">
        <f>SUM(F83:F89)</f>
        <v/>
      </c>
      <c r="G90" s="22">
        <f>SUM(G83:G89)</f>
        <v/>
      </c>
      <c r="H90" s="22">
        <f>SUM(E90:G90)</f>
        <v/>
      </c>
    </row>
    <row r="91">
      <c r="C91" s="6" t="inlineStr">
        <is>
          <t>Developer success fee due (DSA, capped)</t>
        </is>
      </c>
      <c r="D91" s="2" t="inlineStr">
        <is>
          <t>EUR k</t>
        </is>
      </c>
      <c r="E91" s="8">
        <f>E21*MIN(DSA_Rate*YEARFRAC(Inputs!E$29,Sale_Date),DSA_Cap)*E64</f>
        <v/>
      </c>
      <c r="F91" s="8">
        <f>F21*MIN(DSA_Rate*YEARFRAC(Inputs!F$29,Sale_Date),DSA_Cap)*F64</f>
        <v/>
      </c>
      <c r="G91" s="8">
        <f>G21*MIN(DSA_Rate*YEARFRAC(Inputs!G$29,Sale_Date),DSA_Cap)*G64</f>
        <v/>
      </c>
      <c r="H91" s="8">
        <f>SUM(E91:G91)</f>
        <v/>
      </c>
    </row>
    <row r="93">
      <c r="B93" s="4" t="inlineStr">
        <is>
          <t>x</t>
        </is>
      </c>
      <c r="C93" s="4" t="inlineStr">
        <is>
          <t>RtB exit: waterfall at the sale</t>
        </is>
      </c>
      <c r="D93" s="4" t="n"/>
      <c r="E93" s="5" t="inlineStr">
        <is>
          <t>Bora</t>
        </is>
      </c>
      <c r="F93" s="5" t="inlineStr">
        <is>
          <t>Iváncsa</t>
        </is>
      </c>
      <c r="G93" s="5" t="inlineStr">
        <is>
          <t>Dunaújváros</t>
        </is>
      </c>
      <c r="H93" s="5" t="inlineStr">
        <is>
          <t>Total</t>
        </is>
      </c>
      <c r="J93" s="5" t="inlineStr">
        <is>
          <t>Date: Bora</t>
        </is>
      </c>
      <c r="K93" s="5" t="inlineStr">
        <is>
          <t>Iváncsa</t>
        </is>
      </c>
      <c r="L93" s="5" t="inlineStr">
        <is>
          <t>Dunaújváros</t>
        </is>
      </c>
    </row>
    <row r="94">
      <c r="C94" s="6" t="inlineStr">
        <is>
          <t>RtB premium</t>
        </is>
      </c>
      <c r="D94" s="2" t="inlineStr">
        <is>
          <t>EUR k</t>
        </is>
      </c>
      <c r="E94" s="8">
        <f>E19*E6</f>
        <v/>
      </c>
      <c r="F94" s="8">
        <f>F19*F6</f>
        <v/>
      </c>
      <c r="G94" s="8">
        <f>G19*G6</f>
        <v/>
      </c>
      <c r="H94" s="8">
        <f>SUM(E94:G94)</f>
        <v/>
      </c>
    </row>
    <row r="95">
      <c r="C95" s="6" t="inlineStr">
        <is>
          <t>Buyer reimburses securities and connection fees at cost</t>
        </is>
      </c>
      <c r="D95" s="2" t="inlineStr">
        <is>
          <t>EUR k</t>
        </is>
      </c>
      <c r="E95" s="8">
        <f>SUM(E71:E75)</f>
        <v/>
      </c>
      <c r="F95" s="8">
        <f>SUM(F71:F75)</f>
        <v/>
      </c>
      <c r="G95" s="8">
        <f>SUM(G71:G75)</f>
        <v/>
      </c>
      <c r="H95" s="8">
        <f>SUM(E95:G95)</f>
        <v/>
      </c>
    </row>
    <row r="96">
      <c r="C96" s="1" t="inlineStr">
        <is>
          <t>Total proceeds</t>
        </is>
      </c>
      <c r="D96" s="2" t="inlineStr">
        <is>
          <t>EUR k</t>
        </is>
      </c>
      <c r="E96" s="16">
        <f>E94+E95</f>
        <v/>
      </c>
      <c r="F96" s="16">
        <f>F94+F95</f>
        <v/>
      </c>
      <c r="G96" s="16">
        <f>G94+G95</f>
        <v/>
      </c>
      <c r="H96" s="16">
        <f>SUM(E96:G96)</f>
        <v/>
      </c>
    </row>
    <row r="97">
      <c r="C97" s="6" t="inlineStr">
        <is>
          <t>Less sale costs</t>
        </is>
      </c>
      <c r="D97" s="2" t="inlineStr">
        <is>
          <t>EUR k</t>
        </is>
      </c>
      <c r="E97" s="8">
        <f>-MIN(E96,Sale_Costs)</f>
        <v/>
      </c>
      <c r="F97" s="8">
        <f>-MIN(F96,Sale_Costs)</f>
        <v/>
      </c>
      <c r="G97" s="8">
        <f>-MIN(G96,Sale_Costs)</f>
        <v/>
      </c>
      <c r="H97" s="8">
        <f>SUM(E97:G97)</f>
        <v/>
      </c>
    </row>
    <row r="98">
      <c r="C98" s="6" t="inlineStr">
        <is>
          <t>Less securities and fees repaid to FEP</t>
        </is>
      </c>
      <c r="D98" s="2" t="inlineStr">
        <is>
          <t>EUR k</t>
        </is>
      </c>
      <c r="E98" s="8">
        <f>-MIN(SUM(E96:E97),E95)</f>
        <v/>
      </c>
      <c r="F98" s="8">
        <f>-MIN(SUM(F96:F97),F95)</f>
        <v/>
      </c>
      <c r="G98" s="8">
        <f>-MIN(SUM(G96:G97),G95)</f>
        <v/>
      </c>
      <c r="H98" s="8">
        <f>SUM(E98:G98)</f>
        <v/>
      </c>
    </row>
    <row r="99">
      <c r="C99" s="6" t="inlineStr">
        <is>
          <t>Less FEP claims at 12 %</t>
        </is>
      </c>
      <c r="D99" s="2" t="inlineStr">
        <is>
          <t>EUR k</t>
        </is>
      </c>
      <c r="E99" s="8">
        <f>-MIN(SUM(E96:E98),SUM(E83:E88))</f>
        <v/>
      </c>
      <c r="F99" s="8">
        <f>-MIN(SUM(F96:F98),SUM(F83:F88))</f>
        <v/>
      </c>
      <c r="G99" s="8">
        <f>-MIN(SUM(G96:G98),SUM(G83:G88))</f>
        <v/>
      </c>
      <c r="H99" s="8">
        <f>SUM(E99:G99)</f>
        <v/>
      </c>
    </row>
    <row r="100">
      <c r="C100" s="6" t="inlineStr">
        <is>
          <t>Less FEP devex return</t>
        </is>
      </c>
      <c r="D100" s="2" t="inlineStr">
        <is>
          <t>EUR k</t>
        </is>
      </c>
      <c r="E100" s="8">
        <f>-MIN(SUM(E96:E99),E89)</f>
        <v/>
      </c>
      <c r="F100" s="8">
        <f>-MIN(SUM(F96:F99),F89)</f>
        <v/>
      </c>
      <c r="G100" s="8">
        <f>-MIN(SUM(G96:G99),G89)</f>
        <v/>
      </c>
      <c r="H100" s="8">
        <f>SUM(E100:G100)</f>
        <v/>
      </c>
    </row>
    <row r="101">
      <c r="C101" s="6" t="inlineStr">
        <is>
          <t>Less developer success fee (DSA)</t>
        </is>
      </c>
      <c r="D101" s="2" t="inlineStr">
        <is>
          <t>EUR k</t>
        </is>
      </c>
      <c r="E101" s="8">
        <f>-MIN(SUM(E96:E100),E91)</f>
        <v/>
      </c>
      <c r="F101" s="8">
        <f>-MIN(SUM(F96:F100),F91)</f>
        <v/>
      </c>
      <c r="G101" s="8">
        <f>-MIN(SUM(G96:G100),G91)</f>
        <v/>
      </c>
      <c r="H101" s="8">
        <f>SUM(E101:G101)</f>
        <v/>
      </c>
    </row>
    <row r="102">
      <c r="C102" s="1" t="inlineStr">
        <is>
          <t>Distributable proceeds</t>
        </is>
      </c>
      <c r="D102" s="2" t="inlineStr">
        <is>
          <t>EUR k</t>
        </is>
      </c>
      <c r="E102" s="22">
        <f>SUM(E96:E101)</f>
        <v/>
      </c>
      <c r="F102" s="22">
        <f>SUM(F96:F101)</f>
        <v/>
      </c>
      <c r="G102" s="22">
        <f>SUM(G96:G101)</f>
        <v/>
      </c>
      <c r="H102" s="22">
        <f>SUM(E102:G102)</f>
        <v/>
      </c>
    </row>
    <row r="103">
      <c r="C103" s="6" t="inlineStr">
        <is>
          <t>FEP share of distributable</t>
        </is>
      </c>
      <c r="D103" s="2" t="inlineStr">
        <is>
          <t>EUR k</t>
        </is>
      </c>
      <c r="E103" s="8">
        <f>E102*E20</f>
        <v/>
      </c>
      <c r="F103" s="8">
        <f>F102*F20</f>
        <v/>
      </c>
      <c r="G103" s="8">
        <f>G102*G20</f>
        <v/>
      </c>
      <c r="H103" s="8">
        <f>SUM(E103:G103)</f>
        <v/>
      </c>
    </row>
    <row r="104">
      <c r="C104" s="6" t="inlineStr">
        <is>
          <t>Developer share of distributable</t>
        </is>
      </c>
      <c r="D104" s="2" t="inlineStr">
        <is>
          <t>EUR k</t>
        </is>
      </c>
      <c r="E104" s="8">
        <f>E102-E103</f>
        <v/>
      </c>
      <c r="F104" s="8">
        <f>F102-F103</f>
        <v/>
      </c>
      <c r="G104" s="8">
        <f>G102-G103</f>
        <v/>
      </c>
      <c r="H104" s="8">
        <f>SUM(E104:G104)</f>
        <v/>
      </c>
    </row>
    <row r="106">
      <c r="C106" s="15" t="inlineStr">
        <is>
          <t>FEP cash flows, dated (outlays, then receipts at the sale)</t>
        </is>
      </c>
      <c r="D106" s="15" t="n"/>
      <c r="E106" s="15" t="n"/>
      <c r="F106" s="15" t="n"/>
      <c r="G106" s="15" t="n"/>
      <c r="H106" s="15" t="n"/>
      <c r="J106" s="15" t="n"/>
      <c r="K106" s="15" t="n"/>
      <c r="L106" s="15" t="n"/>
    </row>
    <row r="107">
      <c r="C107" s="6" t="inlineStr">
        <is>
          <t>Signing fee and DD</t>
        </is>
      </c>
      <c r="D107" s="2" t="inlineStr">
        <is>
          <t>EUR k</t>
        </is>
      </c>
      <c r="E107" s="8">
        <f>-E77</f>
        <v/>
      </c>
      <c r="F107" s="8">
        <f>-F77</f>
        <v/>
      </c>
      <c r="G107" s="8">
        <f>-G77</f>
        <v/>
      </c>
      <c r="H107" s="8">
        <f>SUM(E107:G107)</f>
        <v/>
      </c>
      <c r="J107" s="21">
        <f>Inputs!E$20</f>
        <v/>
      </c>
      <c r="K107" s="21">
        <f>Inputs!F$20</f>
        <v/>
      </c>
      <c r="L107" s="21">
        <f>Inputs!G$20</f>
        <v/>
      </c>
    </row>
    <row r="108">
      <c r="C108" s="6" t="inlineStr">
        <is>
          <t>Participation fee</t>
        </is>
      </c>
      <c r="D108" s="2" t="inlineStr">
        <is>
          <t>EUR k</t>
        </is>
      </c>
      <c r="E108" s="14">
        <f>-E70</f>
        <v/>
      </c>
      <c r="F108" s="14">
        <f>-F70</f>
        <v/>
      </c>
      <c r="G108" s="14">
        <f>-G70</f>
        <v/>
      </c>
      <c r="H108" s="14">
        <f>SUM(E108:G108)</f>
        <v/>
      </c>
      <c r="J108" s="21">
        <f>Inputs!E$21</f>
        <v/>
      </c>
      <c r="K108" s="21">
        <f>Inputs!F$21</f>
        <v/>
      </c>
      <c r="L108" s="21">
        <f>Inputs!G$21</f>
        <v/>
      </c>
    </row>
    <row r="109">
      <c r="C109" s="6" t="inlineStr">
        <is>
          <t>Bid security</t>
        </is>
      </c>
      <c r="D109" s="2" t="inlineStr">
        <is>
          <t>EUR k</t>
        </is>
      </c>
      <c r="E109" s="8">
        <f>-E71</f>
        <v/>
      </c>
      <c r="F109" s="8">
        <f>-F71</f>
        <v/>
      </c>
      <c r="G109" s="8">
        <f>-G71</f>
        <v/>
      </c>
      <c r="H109" s="8">
        <f>SUM(E109:G109)</f>
        <v/>
      </c>
      <c r="J109" s="21">
        <f>Inputs!E$21</f>
        <v/>
      </c>
      <c r="K109" s="21">
        <f>Inputs!F$21</f>
        <v/>
      </c>
      <c r="L109" s="21">
        <f>Inputs!G$21</f>
        <v/>
      </c>
    </row>
    <row r="110">
      <c r="C110" s="6" t="inlineStr">
        <is>
          <t>Performance security payable</t>
        </is>
      </c>
      <c r="D110" s="2" t="inlineStr">
        <is>
          <t>EUR k</t>
        </is>
      </c>
      <c r="E110" s="8">
        <f>-E72</f>
        <v/>
      </c>
      <c r="F110" s="8">
        <f>-F72</f>
        <v/>
      </c>
      <c r="G110" s="8">
        <f>-G72</f>
        <v/>
      </c>
      <c r="H110" s="8">
        <f>SUM(E110:G110)</f>
        <v/>
      </c>
      <c r="J110" s="21">
        <f>Inputs!E$22</f>
        <v/>
      </c>
      <c r="K110" s="21">
        <f>Inputs!F$22</f>
        <v/>
      </c>
      <c r="L110" s="21">
        <f>Inputs!G$22</f>
        <v/>
      </c>
    </row>
    <row r="111">
      <c r="C111" s="6" t="inlineStr">
        <is>
          <t>TSO connection-request security</t>
        </is>
      </c>
      <c r="D111" s="2" t="inlineStr">
        <is>
          <t>EUR k</t>
        </is>
      </c>
      <c r="E111" s="8">
        <f>-E73</f>
        <v/>
      </c>
      <c r="F111" s="8">
        <f>-F73</f>
        <v/>
      </c>
      <c r="G111" s="8">
        <f>-G73</f>
        <v/>
      </c>
      <c r="H111" s="8">
        <f>SUM(E111:G111)</f>
        <v/>
      </c>
      <c r="J111" s="21">
        <f>Inputs!E$23</f>
        <v/>
      </c>
      <c r="K111" s="21">
        <f>Inputs!F$23</f>
        <v/>
      </c>
      <c r="L111" s="21">
        <f>Inputs!G$23</f>
        <v/>
      </c>
    </row>
    <row r="112">
      <c r="C112" s="6" t="inlineStr">
        <is>
          <t>Direct connection fee</t>
        </is>
      </c>
      <c r="D112" s="2" t="inlineStr">
        <is>
          <t>EUR k</t>
        </is>
      </c>
      <c r="E112" s="8">
        <f>-E74</f>
        <v/>
      </c>
      <c r="F112" s="8">
        <f>-F74</f>
        <v/>
      </c>
      <c r="G112" s="8">
        <f>-G74</f>
        <v/>
      </c>
      <c r="H112" s="8">
        <f>SUM(E112:G112)</f>
        <v/>
      </c>
      <c r="J112" s="21">
        <f>Inputs!E$24</f>
        <v/>
      </c>
      <c r="K112" s="21">
        <f>Inputs!F$24</f>
        <v/>
      </c>
      <c r="L112" s="21">
        <f>Inputs!G$24</f>
        <v/>
      </c>
    </row>
    <row r="113">
      <c r="C113" s="6" t="inlineStr">
        <is>
          <t>Indirect connection fee, payable</t>
        </is>
      </c>
      <c r="D113" s="2" t="inlineStr">
        <is>
          <t>EUR k</t>
        </is>
      </c>
      <c r="E113" s="8">
        <f>-E75</f>
        <v/>
      </c>
      <c r="F113" s="8">
        <f>-F75</f>
        <v/>
      </c>
      <c r="G113" s="8">
        <f>-G75</f>
        <v/>
      </c>
      <c r="H113" s="8">
        <f>SUM(E113:G113)</f>
        <v/>
      </c>
      <c r="J113" s="21">
        <f>Inputs!E$24</f>
        <v/>
      </c>
      <c r="K113" s="21">
        <f>Inputs!F$24</f>
        <v/>
      </c>
      <c r="L113" s="21">
        <f>Inputs!G$24</f>
        <v/>
      </c>
    </row>
    <row r="114">
      <c r="C114" s="6" t="inlineStr">
        <is>
          <t>Devex</t>
        </is>
      </c>
      <c r="D114" s="2" t="inlineStr">
        <is>
          <t>EUR k</t>
        </is>
      </c>
      <c r="E114" s="8">
        <f>-E76</f>
        <v/>
      </c>
      <c r="F114" s="8">
        <f>-F76</f>
        <v/>
      </c>
      <c r="G114" s="8">
        <f>-G76</f>
        <v/>
      </c>
      <c r="H114" s="8">
        <f>SUM(E114:G114)</f>
        <v/>
      </c>
      <c r="J114" s="21">
        <f>Inputs!E$25</f>
        <v/>
      </c>
      <c r="K114" s="21">
        <f>Inputs!F$25</f>
        <v/>
      </c>
      <c r="L114" s="21">
        <f>Inputs!G$25</f>
        <v/>
      </c>
    </row>
    <row r="115">
      <c r="C115" s="1" t="inlineStr">
        <is>
          <t>FEP receipts at the sale (repaid, claims, share)</t>
        </is>
      </c>
      <c r="D115" s="2" t="inlineStr">
        <is>
          <t>EUR k</t>
        </is>
      </c>
      <c r="E115" s="16">
        <f>E103-SUM(E98:E100)</f>
        <v/>
      </c>
      <c r="F115" s="16">
        <f>F103-SUM(F98:F100)</f>
        <v/>
      </c>
      <c r="G115" s="16">
        <f>G103-SUM(G98:G100)</f>
        <v/>
      </c>
      <c r="H115" s="16">
        <f>SUM(E115:G115)</f>
        <v/>
      </c>
      <c r="J115" s="21">
        <f>Sale_Date</f>
        <v/>
      </c>
      <c r="K115" s="21">
        <f>Sale_Date</f>
        <v/>
      </c>
      <c r="L115" s="21">
        <f>Sale_Date</f>
        <v/>
      </c>
    </row>
    <row r="116">
      <c r="C116" s="1" t="inlineStr">
        <is>
          <t>FEP profit, pre-tax</t>
        </is>
      </c>
      <c r="D116" s="2" t="inlineStr">
        <is>
          <t>EUR k</t>
        </is>
      </c>
      <c r="E116" s="22">
        <f>SUM(E107:E115)</f>
        <v/>
      </c>
      <c r="F116" s="22">
        <f>SUM(F107:F115)</f>
        <v/>
      </c>
      <c r="G116" s="22">
        <f>SUM(G107:G115)</f>
        <v/>
      </c>
      <c r="H116" s="22">
        <f>SUM(E116:G116)</f>
        <v/>
      </c>
    </row>
    <row r="117">
      <c r="C117" s="6" t="inlineStr">
        <is>
          <t>CIT on the gain</t>
        </is>
      </c>
      <c r="D117" s="2" t="inlineStr">
        <is>
          <t>EUR k</t>
        </is>
      </c>
      <c r="E117" s="8">
        <f>-MAX(0,E116)*CIT_Rate</f>
        <v/>
      </c>
      <c r="F117" s="8">
        <f>-MAX(0,F116)*CIT_Rate</f>
        <v/>
      </c>
      <c r="G117" s="8">
        <f>-MAX(0,G116)*CIT_Rate</f>
        <v/>
      </c>
      <c r="H117" s="8">
        <f>SUM(E117:G117)</f>
        <v/>
      </c>
    </row>
    <row r="118">
      <c r="C118" s="1" t="inlineStr">
        <is>
          <t>FEP profit, post-tax</t>
        </is>
      </c>
      <c r="D118" s="2" t="inlineStr">
        <is>
          <t>EUR k</t>
        </is>
      </c>
      <c r="E118" s="16">
        <f>E116+E117</f>
        <v/>
      </c>
      <c r="F118" s="16">
        <f>F116+F117</f>
        <v/>
      </c>
      <c r="G118" s="16">
        <f>G116+G117</f>
        <v/>
      </c>
      <c r="H118" s="16">
        <f>SUM(E118:G118)</f>
        <v/>
      </c>
    </row>
    <row r="120">
      <c r="B120" s="4" t="inlineStr">
        <is>
          <t>x</t>
        </is>
      </c>
      <c r="C120" s="4" t="inlineStr">
        <is>
          <t>Capex and all-in cost to COD</t>
        </is>
      </c>
      <c r="D120" s="4" t="n"/>
      <c r="E120" s="5" t="inlineStr">
        <is>
          <t>Bora</t>
        </is>
      </c>
      <c r="F120" s="5" t="inlineStr">
        <is>
          <t>Iváncsa</t>
        </is>
      </c>
      <c r="G120" s="5" t="inlineStr">
        <is>
          <t>Dunaújváros</t>
        </is>
      </c>
      <c r="H120" s="5" t="inlineStr">
        <is>
          <t>Total</t>
        </is>
      </c>
    </row>
    <row r="121">
      <c r="C121" s="6" t="inlineStr">
        <is>
          <t>Turbine supply incl. transport (route price)</t>
        </is>
      </c>
      <c r="D121" s="2" t="inlineStr">
        <is>
          <t>EUR k</t>
        </is>
      </c>
      <c r="E121" s="8">
        <f>E18*E66</f>
        <v/>
      </c>
      <c r="F121" s="8">
        <f>F18*F66</f>
        <v/>
      </c>
      <c r="G121" s="8">
        <f>G18*G66</f>
        <v/>
      </c>
      <c r="H121" s="8">
        <f>SUM(E121:G121)</f>
        <v/>
      </c>
    </row>
    <row r="122">
      <c r="C122" s="6" t="inlineStr">
        <is>
          <t>Turbine installation and erection</t>
        </is>
      </c>
      <c r="D122" s="2" t="inlineStr">
        <is>
          <t>EUR k</t>
        </is>
      </c>
      <c r="E122" s="8">
        <f>Capex_Install*E66</f>
        <v/>
      </c>
      <c r="F122" s="8">
        <f>Capex_Install*F66</f>
        <v/>
      </c>
      <c r="G122" s="8">
        <f>Capex_Install*G66</f>
        <v/>
      </c>
      <c r="H122" s="8">
        <f>SUM(E122:G122)</f>
        <v/>
      </c>
    </row>
    <row r="123">
      <c r="C123" s="6" t="inlineStr">
        <is>
          <t>Foundations</t>
        </is>
      </c>
      <c r="D123" s="2" t="inlineStr">
        <is>
          <t>EUR k</t>
        </is>
      </c>
      <c r="E123" s="8">
        <f>Capex_Fdn*E66</f>
        <v/>
      </c>
      <c r="F123" s="8">
        <f>Capex_Fdn*F66</f>
        <v/>
      </c>
      <c r="G123" s="8">
        <f>Capex_Fdn*G66</f>
        <v/>
      </c>
      <c r="H123" s="8">
        <f>SUM(E123:G123)</f>
        <v/>
      </c>
    </row>
    <row r="124">
      <c r="C124" s="6" t="inlineStr">
        <is>
          <t>Balance of plant – civil</t>
        </is>
      </c>
      <c r="D124" s="2" t="inlineStr">
        <is>
          <t>EUR k</t>
        </is>
      </c>
      <c r="E124" s="8">
        <f>Capex_Civil*E66</f>
        <v/>
      </c>
      <c r="F124" s="8">
        <f>Capex_Civil*F66</f>
        <v/>
      </c>
      <c r="G124" s="8">
        <f>Capex_Civil*G66</f>
        <v/>
      </c>
      <c r="H124" s="8">
        <f>SUM(E124:G124)</f>
        <v/>
      </c>
    </row>
    <row r="125">
      <c r="C125" s="6" t="inlineStr">
        <is>
          <t>Balance of plant – electrical</t>
        </is>
      </c>
      <c r="D125" s="2" t="inlineStr">
        <is>
          <t>EUR k</t>
        </is>
      </c>
      <c r="E125" s="8">
        <f>Capex_Elec*E66</f>
        <v/>
      </c>
      <c r="F125" s="8">
        <f>Capex_Elec*F66</f>
        <v/>
      </c>
      <c r="G125" s="8">
        <f>Capex_Elec*G66</f>
        <v/>
      </c>
      <c r="H125" s="8">
        <f>SUM(E125:G125)</f>
        <v/>
      </c>
    </row>
    <row r="126">
      <c r="C126" s="6" t="inlineStr">
        <is>
          <t>Owner's costs, engineering, PM, construction insurance</t>
        </is>
      </c>
      <c r="D126" s="2" t="inlineStr">
        <is>
          <t>EUR k</t>
        </is>
      </c>
      <c r="E126" s="8">
        <f>Capex_Owner*E66</f>
        <v/>
      </c>
      <c r="F126" s="8">
        <f>Capex_Owner*F66</f>
        <v/>
      </c>
      <c r="G126" s="8">
        <f>Capex_Owner*G66</f>
        <v/>
      </c>
      <c r="H126" s="8">
        <f>SUM(E126:G126)</f>
        <v/>
      </c>
    </row>
    <row r="127">
      <c r="C127" s="6" t="inlineStr">
        <is>
          <t>Land purchase and easements</t>
        </is>
      </c>
      <c r="D127" s="2" t="inlineStr">
        <is>
          <t>EUR k</t>
        </is>
      </c>
      <c r="E127" s="8">
        <f>Capex_Land*E66</f>
        <v/>
      </c>
      <c r="F127" s="8">
        <f>Capex_Land*F66</f>
        <v/>
      </c>
      <c r="G127" s="8">
        <f>Capex_Land*G66</f>
        <v/>
      </c>
      <c r="H127" s="8">
        <f>SUM(E127:G127)</f>
        <v/>
      </c>
    </row>
    <row r="128">
      <c r="C128" s="6" t="inlineStr">
        <is>
          <t>On-site substation and 132 kV bay (scaled by MVA)</t>
        </is>
      </c>
      <c r="D128" s="2" t="inlineStr">
        <is>
          <t>EUR k</t>
        </is>
      </c>
      <c r="E128" s="8">
        <f>Subs_Lump*E6/Lump_Basis</f>
        <v/>
      </c>
      <c r="F128" s="8">
        <f>Subs_Lump*F6/Lump_Basis</f>
        <v/>
      </c>
      <c r="G128" s="8">
        <f>Subs_Lump*G6/Lump_Basis</f>
        <v/>
      </c>
      <c r="H128" s="8">
        <f>SUM(E128:G128)</f>
        <v/>
      </c>
    </row>
    <row r="129">
      <c r="C129" s="6" t="inlineStr">
        <is>
          <t>Capex contingency</t>
        </is>
      </c>
      <c r="D129" s="2" t="inlineStr">
        <is>
          <t>EUR k</t>
        </is>
      </c>
      <c r="E129" s="8">
        <f>SUM(E121:E128)*Capex_Cont</f>
        <v/>
      </c>
      <c r="F129" s="8">
        <f>SUM(F121:F128)*Capex_Cont</f>
        <v/>
      </c>
      <c r="G129" s="8">
        <f>SUM(G121:G128)*Capex_Cont</f>
        <v/>
      </c>
      <c r="H129" s="8">
        <f>SUM(E129:G129)</f>
        <v/>
      </c>
    </row>
    <row r="130">
      <c r="C130" s="6" t="inlineStr">
        <is>
          <t>BESS (on BESS energy)</t>
        </is>
      </c>
      <c r="D130" s="2" t="inlineStr">
        <is>
          <t>EUR k</t>
        </is>
      </c>
      <c r="E130" s="8">
        <f>BESS_Capex*E65</f>
        <v/>
      </c>
      <c r="F130" s="8">
        <f>BESS_Capex*F65</f>
        <v/>
      </c>
      <c r="G130" s="8">
        <f>BESS_Capex*G65</f>
        <v/>
      </c>
      <c r="H130" s="8">
        <f>SUM(E130:G130)</f>
        <v/>
      </c>
    </row>
    <row r="131">
      <c r="C131" s="1" t="inlineStr">
        <is>
          <t>Construction capex</t>
        </is>
      </c>
      <c r="D131" s="2" t="inlineStr">
        <is>
          <t>EUR k</t>
        </is>
      </c>
      <c r="E131" s="22">
        <f>SUM(E121:E130)</f>
        <v/>
      </c>
      <c r="F131" s="22">
        <f>SUM(F121:F130)</f>
        <v/>
      </c>
      <c r="G131" s="22">
        <f>SUM(G121:G130)</f>
        <v/>
      </c>
      <c r="H131" s="22">
        <f>SUM(E131:G131)</f>
        <v/>
      </c>
    </row>
    <row r="132">
      <c r="C132" s="6" t="inlineStr">
        <is>
          <t>Connection fees (TSO security, direct, indirect)</t>
        </is>
      </c>
      <c r="D132" s="2" t="inlineStr">
        <is>
          <t>EUR k</t>
        </is>
      </c>
      <c r="E132" s="8">
        <f>E73+E74+E75</f>
        <v/>
      </c>
      <c r="F132" s="8">
        <f>F73+F74+F75</f>
        <v/>
      </c>
      <c r="G132" s="8">
        <f>G73+G74+G75</f>
        <v/>
      </c>
      <c r="H132" s="8">
        <f>SUM(E132:G132)</f>
        <v/>
      </c>
    </row>
    <row r="133">
      <c r="C133" s="6" t="inlineStr">
        <is>
          <t>Municipal one-off</t>
        </is>
      </c>
      <c r="D133" s="2" t="inlineStr">
        <is>
          <t>EUR k</t>
        </is>
      </c>
      <c r="E133" s="8">
        <f>E11*E6</f>
        <v/>
      </c>
      <c r="F133" s="8">
        <f>F11*F6</f>
        <v/>
      </c>
      <c r="G133" s="8">
        <f>G11*G6</f>
        <v/>
      </c>
      <c r="H133" s="8">
        <f>SUM(E133:G133)</f>
        <v/>
      </c>
    </row>
    <row r="134">
      <c r="C134" s="6" t="inlineStr">
        <is>
          <t>Development (participation fee, devex, signing and DD)</t>
        </is>
      </c>
      <c r="D134" s="2" t="inlineStr">
        <is>
          <t>EUR k</t>
        </is>
      </c>
      <c r="E134" s="8">
        <f>E70+E76+E77</f>
        <v/>
      </c>
      <c r="F134" s="8">
        <f>F70+F76+F77</f>
        <v/>
      </c>
      <c r="G134" s="8">
        <f>G70+G76+G77</f>
        <v/>
      </c>
      <c r="H134" s="8">
        <f>SUM(E134:G134)</f>
        <v/>
      </c>
    </row>
    <row r="135">
      <c r="C135" s="1" t="inlineStr">
        <is>
          <t>All-in cost to COD (securities excluded: returned)</t>
        </is>
      </c>
      <c r="D135" s="2" t="inlineStr">
        <is>
          <t>EUR k</t>
        </is>
      </c>
      <c r="E135" s="22">
        <f>E131+SUM(E132:E134)</f>
        <v/>
      </c>
      <c r="F135" s="22">
        <f>F131+SUM(F132:F134)</f>
        <v/>
      </c>
      <c r="G135" s="22">
        <f>G131+SUM(G132:G134)</f>
        <v/>
      </c>
      <c r="H135" s="22">
        <f>SUM(E135:G135)</f>
        <v/>
      </c>
    </row>
    <row r="137">
      <c r="B137" s="4" t="inlineStr">
        <is>
          <t>x</t>
        </is>
      </c>
      <c r="C137" s="4" t="inlineStr">
        <is>
          <t>Annual timeline</t>
        </is>
      </c>
      <c r="D137" s="4" t="n"/>
      <c r="E137" s="5" t="n"/>
      <c r="F137" s="5" t="n"/>
      <c r="G137" s="5" t="n"/>
      <c r="H137" s="5" t="inlineStr">
        <is>
          <t>Total</t>
        </is>
      </c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</row>
    <row r="138">
      <c r="C138" s="6" t="inlineStr">
        <is>
          <t>Year</t>
        </is>
      </c>
      <c r="D138" s="2" t="inlineStr">
        <is>
          <t>year</t>
        </is>
      </c>
      <c r="J138" s="23">
        <f>First_Year+COLUMN()-COLUMN($J$1)</f>
        <v/>
      </c>
      <c r="K138" s="23">
        <f>First_Year+COLUMN()-COLUMN($J$1)</f>
        <v/>
      </c>
      <c r="L138" s="23">
        <f>First_Year+COLUMN()-COLUMN($J$1)</f>
        <v/>
      </c>
      <c r="M138" s="23">
        <f>First_Year+COLUMN()-COLUMN($J$1)</f>
        <v/>
      </c>
      <c r="N138" s="23">
        <f>First_Year+COLUMN()-COLUMN($J$1)</f>
        <v/>
      </c>
      <c r="O138" s="23">
        <f>First_Year+COLUMN()-COLUMN($J$1)</f>
        <v/>
      </c>
      <c r="P138" s="23">
        <f>First_Year+COLUMN()-COLUMN($J$1)</f>
        <v/>
      </c>
      <c r="Q138" s="23">
        <f>First_Year+COLUMN()-COLUMN($J$1)</f>
        <v/>
      </c>
      <c r="R138" s="23">
        <f>First_Year+COLUMN()-COLUMN($J$1)</f>
        <v/>
      </c>
      <c r="S138" s="23">
        <f>First_Year+COLUMN()-COLUMN($J$1)</f>
        <v/>
      </c>
      <c r="T138" s="23">
        <f>First_Year+COLUMN()-COLUMN($J$1)</f>
        <v/>
      </c>
      <c r="U138" s="23">
        <f>First_Year+COLUMN()-COLUMN($J$1)</f>
        <v/>
      </c>
      <c r="V138" s="23">
        <f>First_Year+COLUMN()-COLUMN($J$1)</f>
        <v/>
      </c>
      <c r="W138" s="23">
        <f>First_Year+COLUMN()-COLUMN($J$1)</f>
        <v/>
      </c>
      <c r="X138" s="23">
        <f>First_Year+COLUMN()-COLUMN($J$1)</f>
        <v/>
      </c>
      <c r="Y138" s="23">
        <f>First_Year+COLUMN()-COLUMN($J$1)</f>
        <v/>
      </c>
      <c r="Z138" s="23">
        <f>First_Year+COLUMN()-COLUMN($J$1)</f>
        <v/>
      </c>
      <c r="AA138" s="23">
        <f>First_Year+COLUMN()-COLUMN($J$1)</f>
        <v/>
      </c>
      <c r="AB138" s="23">
        <f>First_Year+COLUMN()-COLUMN($J$1)</f>
        <v/>
      </c>
      <c r="AC138" s="23">
        <f>First_Year+COLUMN()-COLUMN($J$1)</f>
        <v/>
      </c>
      <c r="AD138" s="23">
        <f>First_Year+COLUMN()-COLUMN($J$1)</f>
        <v/>
      </c>
      <c r="AE138" s="23">
        <f>First_Year+COLUMN()-COLUMN($J$1)</f>
        <v/>
      </c>
      <c r="AF138" s="23">
        <f>First_Year+COLUMN()-COLUMN($J$1)</f>
        <v/>
      </c>
      <c r="AG138" s="23">
        <f>First_Year+COLUMN()-COLUMN($J$1)</f>
        <v/>
      </c>
      <c r="AH138" s="23">
        <f>First_Year+COLUMN()-COLUMN($J$1)</f>
        <v/>
      </c>
      <c r="AI138" s="23">
        <f>First_Year+COLUMN()-COLUMN($J$1)</f>
        <v/>
      </c>
      <c r="AJ138" s="23">
        <f>First_Year+COLUMN()-COLUMN($J$1)</f>
        <v/>
      </c>
      <c r="AK138" s="23">
        <f>First_Year+COLUMN()-COLUMN($J$1)</f>
        <v/>
      </c>
      <c r="AL138" s="23">
        <f>First_Year+COLUMN()-COLUMN($J$1)</f>
        <v/>
      </c>
      <c r="AM138" s="23">
        <f>First_Year+COLUMN()-COLUMN($J$1)</f>
        <v/>
      </c>
      <c r="AN138" s="23">
        <f>First_Year+COLUMN()-COLUMN($J$1)</f>
        <v/>
      </c>
      <c r="AO138" s="23">
        <f>First_Year+COLUMN()-COLUMN($J$1)</f>
        <v/>
      </c>
      <c r="AP138" s="23">
        <f>First_Year+COLUMN()-COLUMN($J$1)</f>
        <v/>
      </c>
      <c r="AQ138" s="23">
        <f>First_Year+COLUMN()-COLUMN($J$1)</f>
        <v/>
      </c>
      <c r="AR138" s="23">
        <f>First_Year+COLUMN()-COLUMN($J$1)</f>
        <v/>
      </c>
      <c r="AS138" s="23">
        <f>First_Year+COLUMN()-COLUMN($J$1)</f>
        <v/>
      </c>
    </row>
    <row r="139">
      <c r="C139" s="6" t="inlineStr">
        <is>
          <t>Year end</t>
        </is>
      </c>
      <c r="D139" s="2" t="inlineStr">
        <is>
          <t>date</t>
        </is>
      </c>
      <c r="J139" s="21">
        <f>DATE(J138+1,1,1)-1</f>
        <v/>
      </c>
      <c r="K139" s="21">
        <f>DATE(K138+1,1,1)-1</f>
        <v/>
      </c>
      <c r="L139" s="21">
        <f>DATE(L138+1,1,1)-1</f>
        <v/>
      </c>
      <c r="M139" s="21">
        <f>DATE(M138+1,1,1)-1</f>
        <v/>
      </c>
      <c r="N139" s="21">
        <f>DATE(N138+1,1,1)-1</f>
        <v/>
      </c>
      <c r="O139" s="21">
        <f>DATE(O138+1,1,1)-1</f>
        <v/>
      </c>
      <c r="P139" s="21">
        <f>DATE(P138+1,1,1)-1</f>
        <v/>
      </c>
      <c r="Q139" s="21">
        <f>DATE(Q138+1,1,1)-1</f>
        <v/>
      </c>
      <c r="R139" s="21">
        <f>DATE(R138+1,1,1)-1</f>
        <v/>
      </c>
      <c r="S139" s="21">
        <f>DATE(S138+1,1,1)-1</f>
        <v/>
      </c>
      <c r="T139" s="21">
        <f>DATE(T138+1,1,1)-1</f>
        <v/>
      </c>
      <c r="U139" s="21">
        <f>DATE(U138+1,1,1)-1</f>
        <v/>
      </c>
      <c r="V139" s="21">
        <f>DATE(V138+1,1,1)-1</f>
        <v/>
      </c>
      <c r="W139" s="21">
        <f>DATE(W138+1,1,1)-1</f>
        <v/>
      </c>
      <c r="X139" s="21">
        <f>DATE(X138+1,1,1)-1</f>
        <v/>
      </c>
      <c r="Y139" s="21">
        <f>DATE(Y138+1,1,1)-1</f>
        <v/>
      </c>
      <c r="Z139" s="21">
        <f>DATE(Z138+1,1,1)-1</f>
        <v/>
      </c>
      <c r="AA139" s="21">
        <f>DATE(AA138+1,1,1)-1</f>
        <v/>
      </c>
      <c r="AB139" s="21">
        <f>DATE(AB138+1,1,1)-1</f>
        <v/>
      </c>
      <c r="AC139" s="21">
        <f>DATE(AC138+1,1,1)-1</f>
        <v/>
      </c>
      <c r="AD139" s="21">
        <f>DATE(AD138+1,1,1)-1</f>
        <v/>
      </c>
      <c r="AE139" s="21">
        <f>DATE(AE138+1,1,1)-1</f>
        <v/>
      </c>
      <c r="AF139" s="21">
        <f>DATE(AF138+1,1,1)-1</f>
        <v/>
      </c>
      <c r="AG139" s="21">
        <f>DATE(AG138+1,1,1)-1</f>
        <v/>
      </c>
      <c r="AH139" s="21">
        <f>DATE(AH138+1,1,1)-1</f>
        <v/>
      </c>
      <c r="AI139" s="21">
        <f>DATE(AI138+1,1,1)-1</f>
        <v/>
      </c>
      <c r="AJ139" s="21">
        <f>DATE(AJ138+1,1,1)-1</f>
        <v/>
      </c>
      <c r="AK139" s="21">
        <f>DATE(AK138+1,1,1)-1</f>
        <v/>
      </c>
      <c r="AL139" s="21">
        <f>DATE(AL138+1,1,1)-1</f>
        <v/>
      </c>
      <c r="AM139" s="21">
        <f>DATE(AM138+1,1,1)-1</f>
        <v/>
      </c>
      <c r="AN139" s="21">
        <f>DATE(AN138+1,1,1)-1</f>
        <v/>
      </c>
      <c r="AO139" s="21">
        <f>DATE(AO138+1,1,1)-1</f>
        <v/>
      </c>
      <c r="AP139" s="21">
        <f>DATE(AP138+1,1,1)-1</f>
        <v/>
      </c>
      <c r="AQ139" s="21">
        <f>DATE(AQ138+1,1,1)-1</f>
        <v/>
      </c>
      <c r="AR139" s="21">
        <f>DATE(AR138+1,1,1)-1</f>
        <v/>
      </c>
      <c r="AS139" s="21">
        <f>DATE(AS138+1,1,1)-1</f>
        <v/>
      </c>
    </row>
    <row r="141">
      <c r="B141" s="4" t="inlineStr">
        <is>
          <t>x</t>
        </is>
      </c>
      <c r="C141" s="4" t="inlineStr">
        <is>
          <t>Bora: annual cash flow (EUR k)</t>
        </is>
      </c>
      <c r="D141" s="4" t="n"/>
      <c r="E141" s="5" t="inlineStr">
        <is>
          <t>Value</t>
        </is>
      </c>
      <c r="F141" s="5" t="n"/>
      <c r="G141" s="5" t="n"/>
      <c r="H141" s="5" t="inlineStr">
        <is>
          <t>Total</t>
        </is>
      </c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</row>
    <row r="142">
      <c r="C142" s="6" t="inlineStr">
        <is>
          <t>Years from the COD year</t>
        </is>
      </c>
      <c r="D142" s="2" t="inlineStr">
        <is>
          <t>years</t>
        </is>
      </c>
      <c r="J142" s="23">
        <f>J$138-YEAR(Inputs!$E$27)</f>
        <v/>
      </c>
      <c r="K142" s="23">
        <f>K$138-YEAR(Inputs!$E$27)</f>
        <v/>
      </c>
      <c r="L142" s="23">
        <f>L$138-YEAR(Inputs!$E$27)</f>
        <v/>
      </c>
      <c r="M142" s="23">
        <f>M$138-YEAR(Inputs!$E$27)</f>
        <v/>
      </c>
      <c r="N142" s="23">
        <f>N$138-YEAR(Inputs!$E$27)</f>
        <v/>
      </c>
      <c r="O142" s="23">
        <f>O$138-YEAR(Inputs!$E$27)</f>
        <v/>
      </c>
      <c r="P142" s="23">
        <f>P$138-YEAR(Inputs!$E$27)</f>
        <v/>
      </c>
      <c r="Q142" s="23">
        <f>Q$138-YEAR(Inputs!$E$27)</f>
        <v/>
      </c>
      <c r="R142" s="23">
        <f>R$138-YEAR(Inputs!$E$27)</f>
        <v/>
      </c>
      <c r="S142" s="23">
        <f>S$138-YEAR(Inputs!$E$27)</f>
        <v/>
      </c>
      <c r="T142" s="23">
        <f>T$138-YEAR(Inputs!$E$27)</f>
        <v/>
      </c>
      <c r="U142" s="23">
        <f>U$138-YEAR(Inputs!$E$27)</f>
        <v/>
      </c>
      <c r="V142" s="23">
        <f>V$138-YEAR(Inputs!$E$27)</f>
        <v/>
      </c>
      <c r="W142" s="23">
        <f>W$138-YEAR(Inputs!$E$27)</f>
        <v/>
      </c>
      <c r="X142" s="23">
        <f>X$138-YEAR(Inputs!$E$27)</f>
        <v/>
      </c>
      <c r="Y142" s="23">
        <f>Y$138-YEAR(Inputs!$E$27)</f>
        <v/>
      </c>
      <c r="Z142" s="23">
        <f>Z$138-YEAR(Inputs!$E$27)</f>
        <v/>
      </c>
      <c r="AA142" s="23">
        <f>AA$138-YEAR(Inputs!$E$27)</f>
        <v/>
      </c>
      <c r="AB142" s="23">
        <f>AB$138-YEAR(Inputs!$E$27)</f>
        <v/>
      </c>
      <c r="AC142" s="23">
        <f>AC$138-YEAR(Inputs!$E$27)</f>
        <v/>
      </c>
      <c r="AD142" s="23">
        <f>AD$138-YEAR(Inputs!$E$27)</f>
        <v/>
      </c>
      <c r="AE142" s="23">
        <f>AE$138-YEAR(Inputs!$E$27)</f>
        <v/>
      </c>
      <c r="AF142" s="23">
        <f>AF$138-YEAR(Inputs!$E$27)</f>
        <v/>
      </c>
      <c r="AG142" s="23">
        <f>AG$138-YEAR(Inputs!$E$27)</f>
        <v/>
      </c>
      <c r="AH142" s="23">
        <f>AH$138-YEAR(Inputs!$E$27)</f>
        <v/>
      </c>
      <c r="AI142" s="23">
        <f>AI$138-YEAR(Inputs!$E$27)</f>
        <v/>
      </c>
      <c r="AJ142" s="23">
        <f>AJ$138-YEAR(Inputs!$E$27)</f>
        <v/>
      </c>
      <c r="AK142" s="23">
        <f>AK$138-YEAR(Inputs!$E$27)</f>
        <v/>
      </c>
      <c r="AL142" s="23">
        <f>AL$138-YEAR(Inputs!$E$27)</f>
        <v/>
      </c>
      <c r="AM142" s="23">
        <f>AM$138-YEAR(Inputs!$E$27)</f>
        <v/>
      </c>
      <c r="AN142" s="23">
        <f>AN$138-YEAR(Inputs!$E$27)</f>
        <v/>
      </c>
      <c r="AO142" s="23">
        <f>AO$138-YEAR(Inputs!$E$27)</f>
        <v/>
      </c>
      <c r="AP142" s="23">
        <f>AP$138-YEAR(Inputs!$E$27)</f>
        <v/>
      </c>
      <c r="AQ142" s="23">
        <f>AQ$138-YEAR(Inputs!$E$27)</f>
        <v/>
      </c>
      <c r="AR142" s="23">
        <f>AR$138-YEAR(Inputs!$E$27)</f>
        <v/>
      </c>
      <c r="AS142" s="23">
        <f>AS$138-YEAR(Inputs!$E$27)</f>
        <v/>
      </c>
    </row>
    <row r="143">
      <c r="C143" s="6" t="inlineStr">
        <is>
          <t>Construction months by year end (value: construction period)</t>
        </is>
      </c>
      <c r="D143" s="2" t="inlineStr">
        <is>
          <t>months</t>
        </is>
      </c>
      <c r="E143" s="23">
        <f>DATEDIF(Inputs!$E$26,Inputs!$E$27,"m")</f>
        <v/>
      </c>
      <c r="J143" s="23">
        <f>(J$138+1-YEAR(Inputs!$E$26))*Months_In_Year-MONTH(Inputs!$E$26)</f>
        <v/>
      </c>
      <c r="K143" s="23">
        <f>(K$138+1-YEAR(Inputs!$E$26))*Months_In_Year-MONTH(Inputs!$E$26)</f>
        <v/>
      </c>
      <c r="L143" s="23">
        <f>(L$138+1-YEAR(Inputs!$E$26))*Months_In_Year-MONTH(Inputs!$E$26)</f>
        <v/>
      </c>
      <c r="M143" s="23">
        <f>(M$138+1-YEAR(Inputs!$E$26))*Months_In_Year-MONTH(Inputs!$E$26)</f>
        <v/>
      </c>
      <c r="N143" s="23">
        <f>(N$138+1-YEAR(Inputs!$E$26))*Months_In_Year-MONTH(Inputs!$E$26)</f>
        <v/>
      </c>
      <c r="O143" s="23">
        <f>(O$138+1-YEAR(Inputs!$E$26))*Months_In_Year-MONTH(Inputs!$E$26)</f>
        <v/>
      </c>
      <c r="P143" s="23">
        <f>(P$138+1-YEAR(Inputs!$E$26))*Months_In_Year-MONTH(Inputs!$E$26)</f>
        <v/>
      </c>
      <c r="Q143" s="23">
        <f>(Q$138+1-YEAR(Inputs!$E$26))*Months_In_Year-MONTH(Inputs!$E$26)</f>
        <v/>
      </c>
      <c r="R143" s="23">
        <f>(R$138+1-YEAR(Inputs!$E$26))*Months_In_Year-MONTH(Inputs!$E$26)</f>
        <v/>
      </c>
      <c r="S143" s="23">
        <f>(S$138+1-YEAR(Inputs!$E$26))*Months_In_Year-MONTH(Inputs!$E$26)</f>
        <v/>
      </c>
      <c r="T143" s="23">
        <f>(T$138+1-YEAR(Inputs!$E$26))*Months_In_Year-MONTH(Inputs!$E$26)</f>
        <v/>
      </c>
      <c r="U143" s="23">
        <f>(U$138+1-YEAR(Inputs!$E$26))*Months_In_Year-MONTH(Inputs!$E$26)</f>
        <v/>
      </c>
      <c r="V143" s="23">
        <f>(V$138+1-YEAR(Inputs!$E$26))*Months_In_Year-MONTH(Inputs!$E$26)</f>
        <v/>
      </c>
      <c r="W143" s="23">
        <f>(W$138+1-YEAR(Inputs!$E$26))*Months_In_Year-MONTH(Inputs!$E$26)</f>
        <v/>
      </c>
      <c r="X143" s="23">
        <f>(X$138+1-YEAR(Inputs!$E$26))*Months_In_Year-MONTH(Inputs!$E$26)</f>
        <v/>
      </c>
      <c r="Y143" s="23">
        <f>(Y$138+1-YEAR(Inputs!$E$26))*Months_In_Year-MONTH(Inputs!$E$26)</f>
        <v/>
      </c>
      <c r="Z143" s="23">
        <f>(Z$138+1-YEAR(Inputs!$E$26))*Months_In_Year-MONTH(Inputs!$E$26)</f>
        <v/>
      </c>
      <c r="AA143" s="23">
        <f>(AA$138+1-YEAR(Inputs!$E$26))*Months_In_Year-MONTH(Inputs!$E$26)</f>
        <v/>
      </c>
      <c r="AB143" s="23">
        <f>(AB$138+1-YEAR(Inputs!$E$26))*Months_In_Year-MONTH(Inputs!$E$26)</f>
        <v/>
      </c>
      <c r="AC143" s="23">
        <f>(AC$138+1-YEAR(Inputs!$E$26))*Months_In_Year-MONTH(Inputs!$E$26)</f>
        <v/>
      </c>
      <c r="AD143" s="23">
        <f>(AD$138+1-YEAR(Inputs!$E$26))*Months_In_Year-MONTH(Inputs!$E$26)</f>
        <v/>
      </c>
      <c r="AE143" s="23">
        <f>(AE$138+1-YEAR(Inputs!$E$26))*Months_In_Year-MONTH(Inputs!$E$26)</f>
        <v/>
      </c>
      <c r="AF143" s="23">
        <f>(AF$138+1-YEAR(Inputs!$E$26))*Months_In_Year-MONTH(Inputs!$E$26)</f>
        <v/>
      </c>
      <c r="AG143" s="23">
        <f>(AG$138+1-YEAR(Inputs!$E$26))*Months_In_Year-MONTH(Inputs!$E$26)</f>
        <v/>
      </c>
      <c r="AH143" s="23">
        <f>(AH$138+1-YEAR(Inputs!$E$26))*Months_In_Year-MONTH(Inputs!$E$26)</f>
        <v/>
      </c>
      <c r="AI143" s="23">
        <f>(AI$138+1-YEAR(Inputs!$E$26))*Months_In_Year-MONTH(Inputs!$E$26)</f>
        <v/>
      </c>
      <c r="AJ143" s="23">
        <f>(AJ$138+1-YEAR(Inputs!$E$26))*Months_In_Year-MONTH(Inputs!$E$26)</f>
        <v/>
      </c>
      <c r="AK143" s="23">
        <f>(AK$138+1-YEAR(Inputs!$E$26))*Months_In_Year-MONTH(Inputs!$E$26)</f>
        <v/>
      </c>
      <c r="AL143" s="23">
        <f>(AL$138+1-YEAR(Inputs!$E$26))*Months_In_Year-MONTH(Inputs!$E$26)</f>
        <v/>
      </c>
      <c r="AM143" s="23">
        <f>(AM$138+1-YEAR(Inputs!$E$26))*Months_In_Year-MONTH(Inputs!$E$26)</f>
        <v/>
      </c>
      <c r="AN143" s="23">
        <f>(AN$138+1-YEAR(Inputs!$E$26))*Months_In_Year-MONTH(Inputs!$E$26)</f>
        <v/>
      </c>
      <c r="AO143" s="23">
        <f>(AO$138+1-YEAR(Inputs!$E$26))*Months_In_Year-MONTH(Inputs!$E$26)</f>
        <v/>
      </c>
      <c r="AP143" s="23">
        <f>(AP$138+1-YEAR(Inputs!$E$26))*Months_In_Year-MONTH(Inputs!$E$26)</f>
        <v/>
      </c>
      <c r="AQ143" s="23">
        <f>(AQ$138+1-YEAR(Inputs!$E$26))*Months_In_Year-MONTH(Inputs!$E$26)</f>
        <v/>
      </c>
      <c r="AR143" s="23">
        <f>(AR$138+1-YEAR(Inputs!$E$26))*Months_In_Year-MONTH(Inputs!$E$26)</f>
        <v/>
      </c>
      <c r="AS143" s="23">
        <f>(AS$138+1-YEAR(Inputs!$E$26))*Months_In_Year-MONTH(Inputs!$E$26)</f>
        <v/>
      </c>
    </row>
    <row r="144">
      <c r="C144" s="6" t="inlineStr">
        <is>
          <t>Construction share of the year (NTP to COD)</t>
        </is>
      </c>
      <c r="D144" s="2" t="inlineStr">
        <is>
          <t>%</t>
        </is>
      </c>
      <c r="H144" s="25">
        <f>SUM(J144:AS144)</f>
        <v/>
      </c>
      <c r="J144" s="17">
        <f>MAX(0,MIN(J143,$E143)-MAX(J143-Months_In_Year,0))/$E143</f>
        <v/>
      </c>
      <c r="K144" s="17">
        <f>MAX(0,MIN(K143,$E143)-MAX(K143-Months_In_Year,0))/$E143</f>
        <v/>
      </c>
      <c r="L144" s="17">
        <f>MAX(0,MIN(L143,$E143)-MAX(L143-Months_In_Year,0))/$E143</f>
        <v/>
      </c>
      <c r="M144" s="17">
        <f>MAX(0,MIN(M143,$E143)-MAX(M143-Months_In_Year,0))/$E143</f>
        <v/>
      </c>
      <c r="N144" s="17">
        <f>MAX(0,MIN(N143,$E143)-MAX(N143-Months_In_Year,0))/$E143</f>
        <v/>
      </c>
      <c r="O144" s="17">
        <f>MAX(0,MIN(O143,$E143)-MAX(O143-Months_In_Year,0))/$E143</f>
        <v/>
      </c>
      <c r="P144" s="17">
        <f>MAX(0,MIN(P143,$E143)-MAX(P143-Months_In_Year,0))/$E143</f>
        <v/>
      </c>
      <c r="Q144" s="17">
        <f>MAX(0,MIN(Q143,$E143)-MAX(Q143-Months_In_Year,0))/$E143</f>
        <v/>
      </c>
      <c r="R144" s="17">
        <f>MAX(0,MIN(R143,$E143)-MAX(R143-Months_In_Year,0))/$E143</f>
        <v/>
      </c>
      <c r="S144" s="17">
        <f>MAX(0,MIN(S143,$E143)-MAX(S143-Months_In_Year,0))/$E143</f>
        <v/>
      </c>
      <c r="T144" s="17">
        <f>MAX(0,MIN(T143,$E143)-MAX(T143-Months_In_Year,0))/$E143</f>
        <v/>
      </c>
      <c r="U144" s="17">
        <f>MAX(0,MIN(U143,$E143)-MAX(U143-Months_In_Year,0))/$E143</f>
        <v/>
      </c>
      <c r="V144" s="17">
        <f>MAX(0,MIN(V143,$E143)-MAX(V143-Months_In_Year,0))/$E143</f>
        <v/>
      </c>
      <c r="W144" s="17">
        <f>MAX(0,MIN(W143,$E143)-MAX(W143-Months_In_Year,0))/$E143</f>
        <v/>
      </c>
      <c r="X144" s="17">
        <f>MAX(0,MIN(X143,$E143)-MAX(X143-Months_In_Year,0))/$E143</f>
        <v/>
      </c>
      <c r="Y144" s="17">
        <f>MAX(0,MIN(Y143,$E143)-MAX(Y143-Months_In_Year,0))/$E143</f>
        <v/>
      </c>
      <c r="Z144" s="17">
        <f>MAX(0,MIN(Z143,$E143)-MAX(Z143-Months_In_Year,0))/$E143</f>
        <v/>
      </c>
      <c r="AA144" s="17">
        <f>MAX(0,MIN(AA143,$E143)-MAX(AA143-Months_In_Year,0))/$E143</f>
        <v/>
      </c>
      <c r="AB144" s="17">
        <f>MAX(0,MIN(AB143,$E143)-MAX(AB143-Months_In_Year,0))/$E143</f>
        <v/>
      </c>
      <c r="AC144" s="17">
        <f>MAX(0,MIN(AC143,$E143)-MAX(AC143-Months_In_Year,0))/$E143</f>
        <v/>
      </c>
      <c r="AD144" s="17">
        <f>MAX(0,MIN(AD143,$E143)-MAX(AD143-Months_In_Year,0))/$E143</f>
        <v/>
      </c>
      <c r="AE144" s="17">
        <f>MAX(0,MIN(AE143,$E143)-MAX(AE143-Months_In_Year,0))/$E143</f>
        <v/>
      </c>
      <c r="AF144" s="17">
        <f>MAX(0,MIN(AF143,$E143)-MAX(AF143-Months_In_Year,0))/$E143</f>
        <v/>
      </c>
      <c r="AG144" s="17">
        <f>MAX(0,MIN(AG143,$E143)-MAX(AG143-Months_In_Year,0))/$E143</f>
        <v/>
      </c>
      <c r="AH144" s="17">
        <f>MAX(0,MIN(AH143,$E143)-MAX(AH143-Months_In_Year,0))/$E143</f>
        <v/>
      </c>
      <c r="AI144" s="17">
        <f>MAX(0,MIN(AI143,$E143)-MAX(AI143-Months_In_Year,0))/$E143</f>
        <v/>
      </c>
      <c r="AJ144" s="17">
        <f>MAX(0,MIN(AJ143,$E143)-MAX(AJ143-Months_In_Year,0))/$E143</f>
        <v/>
      </c>
      <c r="AK144" s="17">
        <f>MAX(0,MIN(AK143,$E143)-MAX(AK143-Months_In_Year,0))/$E143</f>
        <v/>
      </c>
      <c r="AL144" s="17">
        <f>MAX(0,MIN(AL143,$E143)-MAX(AL143-Months_In_Year,0))/$E143</f>
        <v/>
      </c>
      <c r="AM144" s="17">
        <f>MAX(0,MIN(AM143,$E143)-MAX(AM143-Months_In_Year,0))/$E143</f>
        <v/>
      </c>
      <c r="AN144" s="17">
        <f>MAX(0,MIN(AN143,$E143)-MAX(AN143-Months_In_Year,0))/$E143</f>
        <v/>
      </c>
      <c r="AO144" s="17">
        <f>MAX(0,MIN(AO143,$E143)-MAX(AO143-Months_In_Year,0))/$E143</f>
        <v/>
      </c>
      <c r="AP144" s="17">
        <f>MAX(0,MIN(AP143,$E143)-MAX(AP143-Months_In_Year,0))/$E143</f>
        <v/>
      </c>
      <c r="AQ144" s="17">
        <f>MAX(0,MIN(AQ143,$E143)-MAX(AQ143-Months_In_Year,0))/$E143</f>
        <v/>
      </c>
      <c r="AR144" s="17">
        <f>MAX(0,MIN(AR143,$E143)-MAX(AR143-Months_In_Year,0))/$E143</f>
        <v/>
      </c>
      <c r="AS144" s="17">
        <f>MAX(0,MIN(AS143,$E143)-MAX(AS143-Months_In_Year,0))/$E143</f>
        <v/>
      </c>
    </row>
    <row r="145">
      <c r="C145" s="6" t="inlineStr">
        <is>
          <t>Months operated by year end (value: operating life)</t>
        </is>
      </c>
      <c r="D145" s="2" t="inlineStr">
        <is>
          <t>months</t>
        </is>
      </c>
      <c r="E145" s="23">
        <f>Life*Months_In_Year</f>
        <v/>
      </c>
      <c r="J145" s="23">
        <f>(J$138+1-YEAR(Inputs!$E$27))*Months_In_Year-MONTH(Inputs!$E$27)</f>
        <v/>
      </c>
      <c r="K145" s="23">
        <f>(K$138+1-YEAR(Inputs!$E$27))*Months_In_Year-MONTH(Inputs!$E$27)</f>
        <v/>
      </c>
      <c r="L145" s="23">
        <f>(L$138+1-YEAR(Inputs!$E$27))*Months_In_Year-MONTH(Inputs!$E$27)</f>
        <v/>
      </c>
      <c r="M145" s="23">
        <f>(M$138+1-YEAR(Inputs!$E$27))*Months_In_Year-MONTH(Inputs!$E$27)</f>
        <v/>
      </c>
      <c r="N145" s="23">
        <f>(N$138+1-YEAR(Inputs!$E$27))*Months_In_Year-MONTH(Inputs!$E$27)</f>
        <v/>
      </c>
      <c r="O145" s="23">
        <f>(O$138+1-YEAR(Inputs!$E$27))*Months_In_Year-MONTH(Inputs!$E$27)</f>
        <v/>
      </c>
      <c r="P145" s="23">
        <f>(P$138+1-YEAR(Inputs!$E$27))*Months_In_Year-MONTH(Inputs!$E$27)</f>
        <v/>
      </c>
      <c r="Q145" s="23">
        <f>(Q$138+1-YEAR(Inputs!$E$27))*Months_In_Year-MONTH(Inputs!$E$27)</f>
        <v/>
      </c>
      <c r="R145" s="23">
        <f>(R$138+1-YEAR(Inputs!$E$27))*Months_In_Year-MONTH(Inputs!$E$27)</f>
        <v/>
      </c>
      <c r="S145" s="23">
        <f>(S$138+1-YEAR(Inputs!$E$27))*Months_In_Year-MONTH(Inputs!$E$27)</f>
        <v/>
      </c>
      <c r="T145" s="23">
        <f>(T$138+1-YEAR(Inputs!$E$27))*Months_In_Year-MONTH(Inputs!$E$27)</f>
        <v/>
      </c>
      <c r="U145" s="23">
        <f>(U$138+1-YEAR(Inputs!$E$27))*Months_In_Year-MONTH(Inputs!$E$27)</f>
        <v/>
      </c>
      <c r="V145" s="23">
        <f>(V$138+1-YEAR(Inputs!$E$27))*Months_In_Year-MONTH(Inputs!$E$27)</f>
        <v/>
      </c>
      <c r="W145" s="23">
        <f>(W$138+1-YEAR(Inputs!$E$27))*Months_In_Year-MONTH(Inputs!$E$27)</f>
        <v/>
      </c>
      <c r="X145" s="23">
        <f>(X$138+1-YEAR(Inputs!$E$27))*Months_In_Year-MONTH(Inputs!$E$27)</f>
        <v/>
      </c>
      <c r="Y145" s="23">
        <f>(Y$138+1-YEAR(Inputs!$E$27))*Months_In_Year-MONTH(Inputs!$E$27)</f>
        <v/>
      </c>
      <c r="Z145" s="23">
        <f>(Z$138+1-YEAR(Inputs!$E$27))*Months_In_Year-MONTH(Inputs!$E$27)</f>
        <v/>
      </c>
      <c r="AA145" s="23">
        <f>(AA$138+1-YEAR(Inputs!$E$27))*Months_In_Year-MONTH(Inputs!$E$27)</f>
        <v/>
      </c>
      <c r="AB145" s="23">
        <f>(AB$138+1-YEAR(Inputs!$E$27))*Months_In_Year-MONTH(Inputs!$E$27)</f>
        <v/>
      </c>
      <c r="AC145" s="23">
        <f>(AC$138+1-YEAR(Inputs!$E$27))*Months_In_Year-MONTH(Inputs!$E$27)</f>
        <v/>
      </c>
      <c r="AD145" s="23">
        <f>(AD$138+1-YEAR(Inputs!$E$27))*Months_In_Year-MONTH(Inputs!$E$27)</f>
        <v/>
      </c>
      <c r="AE145" s="23">
        <f>(AE$138+1-YEAR(Inputs!$E$27))*Months_In_Year-MONTH(Inputs!$E$27)</f>
        <v/>
      </c>
      <c r="AF145" s="23">
        <f>(AF$138+1-YEAR(Inputs!$E$27))*Months_In_Year-MONTH(Inputs!$E$27)</f>
        <v/>
      </c>
      <c r="AG145" s="23">
        <f>(AG$138+1-YEAR(Inputs!$E$27))*Months_In_Year-MONTH(Inputs!$E$27)</f>
        <v/>
      </c>
      <c r="AH145" s="23">
        <f>(AH$138+1-YEAR(Inputs!$E$27))*Months_In_Year-MONTH(Inputs!$E$27)</f>
        <v/>
      </c>
      <c r="AI145" s="23">
        <f>(AI$138+1-YEAR(Inputs!$E$27))*Months_In_Year-MONTH(Inputs!$E$27)</f>
        <v/>
      </c>
      <c r="AJ145" s="23">
        <f>(AJ$138+1-YEAR(Inputs!$E$27))*Months_In_Year-MONTH(Inputs!$E$27)</f>
        <v/>
      </c>
      <c r="AK145" s="23">
        <f>(AK$138+1-YEAR(Inputs!$E$27))*Months_In_Year-MONTH(Inputs!$E$27)</f>
        <v/>
      </c>
      <c r="AL145" s="23">
        <f>(AL$138+1-YEAR(Inputs!$E$27))*Months_In_Year-MONTH(Inputs!$E$27)</f>
        <v/>
      </c>
      <c r="AM145" s="23">
        <f>(AM$138+1-YEAR(Inputs!$E$27))*Months_In_Year-MONTH(Inputs!$E$27)</f>
        <v/>
      </c>
      <c r="AN145" s="23">
        <f>(AN$138+1-YEAR(Inputs!$E$27))*Months_In_Year-MONTH(Inputs!$E$27)</f>
        <v/>
      </c>
      <c r="AO145" s="23">
        <f>(AO$138+1-YEAR(Inputs!$E$27))*Months_In_Year-MONTH(Inputs!$E$27)</f>
        <v/>
      </c>
      <c r="AP145" s="23">
        <f>(AP$138+1-YEAR(Inputs!$E$27))*Months_In_Year-MONTH(Inputs!$E$27)</f>
        <v/>
      </c>
      <c r="AQ145" s="23">
        <f>(AQ$138+1-YEAR(Inputs!$E$27))*Months_In_Year-MONTH(Inputs!$E$27)</f>
        <v/>
      </c>
      <c r="AR145" s="23">
        <f>(AR$138+1-YEAR(Inputs!$E$27))*Months_In_Year-MONTH(Inputs!$E$27)</f>
        <v/>
      </c>
      <c r="AS145" s="23">
        <f>(AS$138+1-YEAR(Inputs!$E$27))*Months_In_Year-MONTH(Inputs!$E$27)</f>
        <v/>
      </c>
    </row>
    <row r="146">
      <c r="C146" s="6" t="inlineStr">
        <is>
          <t>Operating share of the year (COD to end of life)</t>
        </is>
      </c>
      <c r="D146" s="2" t="inlineStr">
        <is>
          <t>%</t>
        </is>
      </c>
      <c r="H146" s="25">
        <f>SUM(J146:AS146)</f>
        <v/>
      </c>
      <c r="J146" s="17">
        <f>MAX(0,MIN(J145,$E145)-MAX(J145-Months_In_Year,0))/Months_In_Year</f>
        <v/>
      </c>
      <c r="K146" s="17">
        <f>MAX(0,MIN(K145,$E145)-MAX(K145-Months_In_Year,0))/Months_In_Year</f>
        <v/>
      </c>
      <c r="L146" s="17">
        <f>MAX(0,MIN(L145,$E145)-MAX(L145-Months_In_Year,0))/Months_In_Year</f>
        <v/>
      </c>
      <c r="M146" s="17">
        <f>MAX(0,MIN(M145,$E145)-MAX(M145-Months_In_Year,0))/Months_In_Year</f>
        <v/>
      </c>
      <c r="N146" s="17">
        <f>MAX(0,MIN(N145,$E145)-MAX(N145-Months_In_Year,0))/Months_In_Year</f>
        <v/>
      </c>
      <c r="O146" s="17">
        <f>MAX(0,MIN(O145,$E145)-MAX(O145-Months_In_Year,0))/Months_In_Year</f>
        <v/>
      </c>
      <c r="P146" s="17">
        <f>MAX(0,MIN(P145,$E145)-MAX(P145-Months_In_Year,0))/Months_In_Year</f>
        <v/>
      </c>
      <c r="Q146" s="17">
        <f>MAX(0,MIN(Q145,$E145)-MAX(Q145-Months_In_Year,0))/Months_In_Year</f>
        <v/>
      </c>
      <c r="R146" s="17">
        <f>MAX(0,MIN(R145,$E145)-MAX(R145-Months_In_Year,0))/Months_In_Year</f>
        <v/>
      </c>
      <c r="S146" s="17">
        <f>MAX(0,MIN(S145,$E145)-MAX(S145-Months_In_Year,0))/Months_In_Year</f>
        <v/>
      </c>
      <c r="T146" s="17">
        <f>MAX(0,MIN(T145,$E145)-MAX(T145-Months_In_Year,0))/Months_In_Year</f>
        <v/>
      </c>
      <c r="U146" s="17">
        <f>MAX(0,MIN(U145,$E145)-MAX(U145-Months_In_Year,0))/Months_In_Year</f>
        <v/>
      </c>
      <c r="V146" s="17">
        <f>MAX(0,MIN(V145,$E145)-MAX(V145-Months_In_Year,0))/Months_In_Year</f>
        <v/>
      </c>
      <c r="W146" s="17">
        <f>MAX(0,MIN(W145,$E145)-MAX(W145-Months_In_Year,0))/Months_In_Year</f>
        <v/>
      </c>
      <c r="X146" s="17">
        <f>MAX(0,MIN(X145,$E145)-MAX(X145-Months_In_Year,0))/Months_In_Year</f>
        <v/>
      </c>
      <c r="Y146" s="17">
        <f>MAX(0,MIN(Y145,$E145)-MAX(Y145-Months_In_Year,0))/Months_In_Year</f>
        <v/>
      </c>
      <c r="Z146" s="17">
        <f>MAX(0,MIN(Z145,$E145)-MAX(Z145-Months_In_Year,0))/Months_In_Year</f>
        <v/>
      </c>
      <c r="AA146" s="17">
        <f>MAX(0,MIN(AA145,$E145)-MAX(AA145-Months_In_Year,0))/Months_In_Year</f>
        <v/>
      </c>
      <c r="AB146" s="17">
        <f>MAX(0,MIN(AB145,$E145)-MAX(AB145-Months_In_Year,0))/Months_In_Year</f>
        <v/>
      </c>
      <c r="AC146" s="17">
        <f>MAX(0,MIN(AC145,$E145)-MAX(AC145-Months_In_Year,0))/Months_In_Year</f>
        <v/>
      </c>
      <c r="AD146" s="17">
        <f>MAX(0,MIN(AD145,$E145)-MAX(AD145-Months_In_Year,0))/Months_In_Year</f>
        <v/>
      </c>
      <c r="AE146" s="17">
        <f>MAX(0,MIN(AE145,$E145)-MAX(AE145-Months_In_Year,0))/Months_In_Year</f>
        <v/>
      </c>
      <c r="AF146" s="17">
        <f>MAX(0,MIN(AF145,$E145)-MAX(AF145-Months_In_Year,0))/Months_In_Year</f>
        <v/>
      </c>
      <c r="AG146" s="17">
        <f>MAX(0,MIN(AG145,$E145)-MAX(AG145-Months_In_Year,0))/Months_In_Year</f>
        <v/>
      </c>
      <c r="AH146" s="17">
        <f>MAX(0,MIN(AH145,$E145)-MAX(AH145-Months_In_Year,0))/Months_In_Year</f>
        <v/>
      </c>
      <c r="AI146" s="17">
        <f>MAX(0,MIN(AI145,$E145)-MAX(AI145-Months_In_Year,0))/Months_In_Year</f>
        <v/>
      </c>
      <c r="AJ146" s="17">
        <f>MAX(0,MIN(AJ145,$E145)-MAX(AJ145-Months_In_Year,0))/Months_In_Year</f>
        <v/>
      </c>
      <c r="AK146" s="17">
        <f>MAX(0,MIN(AK145,$E145)-MAX(AK145-Months_In_Year,0))/Months_In_Year</f>
        <v/>
      </c>
      <c r="AL146" s="17">
        <f>MAX(0,MIN(AL145,$E145)-MAX(AL145-Months_In_Year,0))/Months_In_Year</f>
        <v/>
      </c>
      <c r="AM146" s="17">
        <f>MAX(0,MIN(AM145,$E145)-MAX(AM145-Months_In_Year,0))/Months_In_Year</f>
        <v/>
      </c>
      <c r="AN146" s="17">
        <f>MAX(0,MIN(AN145,$E145)-MAX(AN145-Months_In_Year,0))/Months_In_Year</f>
        <v/>
      </c>
      <c r="AO146" s="17">
        <f>MAX(0,MIN(AO145,$E145)-MAX(AO145-Months_In_Year,0))/Months_In_Year</f>
        <v/>
      </c>
      <c r="AP146" s="17">
        <f>MAX(0,MIN(AP145,$E145)-MAX(AP145-Months_In_Year,0))/Months_In_Year</f>
        <v/>
      </c>
      <c r="AQ146" s="17">
        <f>MAX(0,MIN(AQ145,$E145)-MAX(AQ145-Months_In_Year,0))/Months_In_Year</f>
        <v/>
      </c>
      <c r="AR146" s="17">
        <f>MAX(0,MIN(AR145,$E145)-MAX(AR145-Months_In_Year,0))/Months_In_Year</f>
        <v/>
      </c>
      <c r="AS146" s="17">
        <f>MAX(0,MIN(AS145,$E145)-MAX(AS145-Months_In_Year,0))/Months_In_Year</f>
        <v/>
      </c>
    </row>
    <row r="147">
      <c r="C147" s="6" t="inlineStr">
        <is>
          <t>COD year flag</t>
        </is>
      </c>
      <c r="D147" s="2" t="inlineStr">
        <is>
          <t>flag</t>
        </is>
      </c>
      <c r="J147" s="26">
        <f>N(J142=0)</f>
        <v/>
      </c>
      <c r="K147" s="26">
        <f>N(K142=0)</f>
        <v/>
      </c>
      <c r="L147" s="26">
        <f>N(L142=0)</f>
        <v/>
      </c>
      <c r="M147" s="26">
        <f>N(M142=0)</f>
        <v/>
      </c>
      <c r="N147" s="26">
        <f>N(N142=0)</f>
        <v/>
      </c>
      <c r="O147" s="26">
        <f>N(O142=0)</f>
        <v/>
      </c>
      <c r="P147" s="26">
        <f>N(P142=0)</f>
        <v/>
      </c>
      <c r="Q147" s="26">
        <f>N(Q142=0)</f>
        <v/>
      </c>
      <c r="R147" s="26">
        <f>N(R142=0)</f>
        <v/>
      </c>
      <c r="S147" s="26">
        <f>N(S142=0)</f>
        <v/>
      </c>
      <c r="T147" s="26">
        <f>N(T142=0)</f>
        <v/>
      </c>
      <c r="U147" s="26">
        <f>N(U142=0)</f>
        <v/>
      </c>
      <c r="V147" s="26">
        <f>N(V142=0)</f>
        <v/>
      </c>
      <c r="W147" s="26">
        <f>N(W142=0)</f>
        <v/>
      </c>
      <c r="X147" s="26">
        <f>N(X142=0)</f>
        <v/>
      </c>
      <c r="Y147" s="26">
        <f>N(Y142=0)</f>
        <v/>
      </c>
      <c r="Z147" s="26">
        <f>N(Z142=0)</f>
        <v/>
      </c>
      <c r="AA147" s="26">
        <f>N(AA142=0)</f>
        <v/>
      </c>
      <c r="AB147" s="26">
        <f>N(AB142=0)</f>
        <v/>
      </c>
      <c r="AC147" s="26">
        <f>N(AC142=0)</f>
        <v/>
      </c>
      <c r="AD147" s="26">
        <f>N(AD142=0)</f>
        <v/>
      </c>
      <c r="AE147" s="26">
        <f>N(AE142=0)</f>
        <v/>
      </c>
      <c r="AF147" s="26">
        <f>N(AF142=0)</f>
        <v/>
      </c>
      <c r="AG147" s="26">
        <f>N(AG142=0)</f>
        <v/>
      </c>
      <c r="AH147" s="26">
        <f>N(AH142=0)</f>
        <v/>
      </c>
      <c r="AI147" s="26">
        <f>N(AI142=0)</f>
        <v/>
      </c>
      <c r="AJ147" s="26">
        <f>N(AJ142=0)</f>
        <v/>
      </c>
      <c r="AK147" s="26">
        <f>N(AK142=0)</f>
        <v/>
      </c>
      <c r="AL147" s="26">
        <f>N(AL142=0)</f>
        <v/>
      </c>
      <c r="AM147" s="26">
        <f>N(AM142=0)</f>
        <v/>
      </c>
      <c r="AN147" s="26">
        <f>N(AN142=0)</f>
        <v/>
      </c>
      <c r="AO147" s="26">
        <f>N(AO142=0)</f>
        <v/>
      </c>
      <c r="AP147" s="26">
        <f>N(AP142=0)</f>
        <v/>
      </c>
      <c r="AQ147" s="26">
        <f>N(AQ142=0)</f>
        <v/>
      </c>
      <c r="AR147" s="26">
        <f>N(AR142=0)</f>
        <v/>
      </c>
      <c r="AS147" s="26">
        <f>N(AS142=0)</f>
        <v/>
      </c>
    </row>
    <row r="148">
      <c r="C148" s="6" t="inlineStr">
        <is>
          <t>FEP outlays at their dates (signing, fee, securities, fees, devex)</t>
        </is>
      </c>
      <c r="D148" s="2" t="inlineStr">
        <is>
          <t>EUR k</t>
        </is>
      </c>
      <c r="H148" s="8">
        <f>SUM(J148:AS148)</f>
        <v/>
      </c>
      <c r="J148" s="8">
        <f>SUMPRODUCT((YEAR($J$107:$J$114)=J$138)*$E$107:$E$114)</f>
        <v/>
      </c>
      <c r="K148" s="8">
        <f>SUMPRODUCT((YEAR($J$107:$J$114)=K$138)*$E$107:$E$114)</f>
        <v/>
      </c>
      <c r="L148" s="8">
        <f>SUMPRODUCT((YEAR($J$107:$J$114)=L$138)*$E$107:$E$114)</f>
        <v/>
      </c>
      <c r="M148" s="8">
        <f>SUMPRODUCT((YEAR($J$107:$J$114)=M$138)*$E$107:$E$114)</f>
        <v/>
      </c>
      <c r="N148" s="8">
        <f>SUMPRODUCT((YEAR($J$107:$J$114)=N$138)*$E$107:$E$114)</f>
        <v/>
      </c>
      <c r="O148" s="8">
        <f>SUMPRODUCT((YEAR($J$107:$J$114)=O$138)*$E$107:$E$114)</f>
        <v/>
      </c>
      <c r="P148" s="8">
        <f>SUMPRODUCT((YEAR($J$107:$J$114)=P$138)*$E$107:$E$114)</f>
        <v/>
      </c>
      <c r="Q148" s="8">
        <f>SUMPRODUCT((YEAR($J$107:$J$114)=Q$138)*$E$107:$E$114)</f>
        <v/>
      </c>
      <c r="R148" s="8">
        <f>SUMPRODUCT((YEAR($J$107:$J$114)=R$138)*$E$107:$E$114)</f>
        <v/>
      </c>
      <c r="S148" s="8">
        <f>SUMPRODUCT((YEAR($J$107:$J$114)=S$138)*$E$107:$E$114)</f>
        <v/>
      </c>
      <c r="T148" s="8">
        <f>SUMPRODUCT((YEAR($J$107:$J$114)=T$138)*$E$107:$E$114)</f>
        <v/>
      </c>
      <c r="U148" s="8">
        <f>SUMPRODUCT((YEAR($J$107:$J$114)=U$138)*$E$107:$E$114)</f>
        <v/>
      </c>
      <c r="V148" s="8">
        <f>SUMPRODUCT((YEAR($J$107:$J$114)=V$138)*$E$107:$E$114)</f>
        <v/>
      </c>
      <c r="W148" s="8">
        <f>SUMPRODUCT((YEAR($J$107:$J$114)=W$138)*$E$107:$E$114)</f>
        <v/>
      </c>
      <c r="X148" s="8">
        <f>SUMPRODUCT((YEAR($J$107:$J$114)=X$138)*$E$107:$E$114)</f>
        <v/>
      </c>
      <c r="Y148" s="8">
        <f>SUMPRODUCT((YEAR($J$107:$J$114)=Y$138)*$E$107:$E$114)</f>
        <v/>
      </c>
      <c r="Z148" s="8">
        <f>SUMPRODUCT((YEAR($J$107:$J$114)=Z$138)*$E$107:$E$114)</f>
        <v/>
      </c>
      <c r="AA148" s="8">
        <f>SUMPRODUCT((YEAR($J$107:$J$114)=AA$138)*$E$107:$E$114)</f>
        <v/>
      </c>
      <c r="AB148" s="8">
        <f>SUMPRODUCT((YEAR($J$107:$J$114)=AB$138)*$E$107:$E$114)</f>
        <v/>
      </c>
      <c r="AC148" s="8">
        <f>SUMPRODUCT((YEAR($J$107:$J$114)=AC$138)*$E$107:$E$114)</f>
        <v/>
      </c>
      <c r="AD148" s="8">
        <f>SUMPRODUCT((YEAR($J$107:$J$114)=AD$138)*$E$107:$E$114)</f>
        <v/>
      </c>
      <c r="AE148" s="8">
        <f>SUMPRODUCT((YEAR($J$107:$J$114)=AE$138)*$E$107:$E$114)</f>
        <v/>
      </c>
      <c r="AF148" s="8">
        <f>SUMPRODUCT((YEAR($J$107:$J$114)=AF$138)*$E$107:$E$114)</f>
        <v/>
      </c>
      <c r="AG148" s="8">
        <f>SUMPRODUCT((YEAR($J$107:$J$114)=AG$138)*$E$107:$E$114)</f>
        <v/>
      </c>
      <c r="AH148" s="8">
        <f>SUMPRODUCT((YEAR($J$107:$J$114)=AH$138)*$E$107:$E$114)</f>
        <v/>
      </c>
      <c r="AI148" s="8">
        <f>SUMPRODUCT((YEAR($J$107:$J$114)=AI$138)*$E$107:$E$114)</f>
        <v/>
      </c>
      <c r="AJ148" s="8">
        <f>SUMPRODUCT((YEAR($J$107:$J$114)=AJ$138)*$E$107:$E$114)</f>
        <v/>
      </c>
      <c r="AK148" s="8">
        <f>SUMPRODUCT((YEAR($J$107:$J$114)=AK$138)*$E$107:$E$114)</f>
        <v/>
      </c>
      <c r="AL148" s="8">
        <f>SUMPRODUCT((YEAR($J$107:$J$114)=AL$138)*$E$107:$E$114)</f>
        <v/>
      </c>
      <c r="AM148" s="8">
        <f>SUMPRODUCT((YEAR($J$107:$J$114)=AM$138)*$E$107:$E$114)</f>
        <v/>
      </c>
      <c r="AN148" s="8">
        <f>SUMPRODUCT((YEAR($J$107:$J$114)=AN$138)*$E$107:$E$114)</f>
        <v/>
      </c>
      <c r="AO148" s="8">
        <f>SUMPRODUCT((YEAR($J$107:$J$114)=AO$138)*$E$107:$E$114)</f>
        <v/>
      </c>
      <c r="AP148" s="8">
        <f>SUMPRODUCT((YEAR($J$107:$J$114)=AP$138)*$E$107:$E$114)</f>
        <v/>
      </c>
      <c r="AQ148" s="8">
        <f>SUMPRODUCT((YEAR($J$107:$J$114)=AQ$138)*$E$107:$E$114)</f>
        <v/>
      </c>
      <c r="AR148" s="8">
        <f>SUMPRODUCT((YEAR($J$107:$J$114)=AR$138)*$E$107:$E$114)</f>
        <v/>
      </c>
      <c r="AS148" s="8">
        <f>SUMPRODUCT((YEAR($J$107:$J$114)=AS$138)*$E$107:$E$114)</f>
        <v/>
      </c>
    </row>
    <row r="149">
      <c r="C149" s="6" t="inlineStr">
        <is>
          <t>Performance security released (bid security included)</t>
        </is>
      </c>
      <c r="D149" s="2" t="inlineStr">
        <is>
          <t>EUR k</t>
        </is>
      </c>
      <c r="H149" s="8">
        <f>SUM(J149:AS149)</f>
        <v/>
      </c>
      <c r="J149" s="8">
        <f>($E$71+$E$72)*(J$138=YEAR(Inputs!$E$28))</f>
        <v/>
      </c>
      <c r="K149" s="8">
        <f>($E$71+$E$72)*(K$138=YEAR(Inputs!$E$28))</f>
        <v/>
      </c>
      <c r="L149" s="8">
        <f>($E$71+$E$72)*(L$138=YEAR(Inputs!$E$28))</f>
        <v/>
      </c>
      <c r="M149" s="8">
        <f>($E$71+$E$72)*(M$138=YEAR(Inputs!$E$28))</f>
        <v/>
      </c>
      <c r="N149" s="8">
        <f>($E$71+$E$72)*(N$138=YEAR(Inputs!$E$28))</f>
        <v/>
      </c>
      <c r="O149" s="8">
        <f>($E$71+$E$72)*(O$138=YEAR(Inputs!$E$28))</f>
        <v/>
      </c>
      <c r="P149" s="8">
        <f>($E$71+$E$72)*(P$138=YEAR(Inputs!$E$28))</f>
        <v/>
      </c>
      <c r="Q149" s="8">
        <f>($E$71+$E$72)*(Q$138=YEAR(Inputs!$E$28))</f>
        <v/>
      </c>
      <c r="R149" s="8">
        <f>($E$71+$E$72)*(R$138=YEAR(Inputs!$E$28))</f>
        <v/>
      </c>
      <c r="S149" s="8">
        <f>($E$71+$E$72)*(S$138=YEAR(Inputs!$E$28))</f>
        <v/>
      </c>
      <c r="T149" s="8">
        <f>($E$71+$E$72)*(T$138=YEAR(Inputs!$E$28))</f>
        <v/>
      </c>
      <c r="U149" s="8">
        <f>($E$71+$E$72)*(U$138=YEAR(Inputs!$E$28))</f>
        <v/>
      </c>
      <c r="V149" s="8">
        <f>($E$71+$E$72)*(V$138=YEAR(Inputs!$E$28))</f>
        <v/>
      </c>
      <c r="W149" s="8">
        <f>($E$71+$E$72)*(W$138=YEAR(Inputs!$E$28))</f>
        <v/>
      </c>
      <c r="X149" s="8">
        <f>($E$71+$E$72)*(X$138=YEAR(Inputs!$E$28))</f>
        <v/>
      </c>
      <c r="Y149" s="8">
        <f>($E$71+$E$72)*(Y$138=YEAR(Inputs!$E$28))</f>
        <v/>
      </c>
      <c r="Z149" s="8">
        <f>($E$71+$E$72)*(Z$138=YEAR(Inputs!$E$28))</f>
        <v/>
      </c>
      <c r="AA149" s="8">
        <f>($E$71+$E$72)*(AA$138=YEAR(Inputs!$E$28))</f>
        <v/>
      </c>
      <c r="AB149" s="8">
        <f>($E$71+$E$72)*(AB$138=YEAR(Inputs!$E$28))</f>
        <v/>
      </c>
      <c r="AC149" s="8">
        <f>($E$71+$E$72)*(AC$138=YEAR(Inputs!$E$28))</f>
        <v/>
      </c>
      <c r="AD149" s="8">
        <f>($E$71+$E$72)*(AD$138=YEAR(Inputs!$E$28))</f>
        <v/>
      </c>
      <c r="AE149" s="8">
        <f>($E$71+$E$72)*(AE$138=YEAR(Inputs!$E$28))</f>
        <v/>
      </c>
      <c r="AF149" s="8">
        <f>($E$71+$E$72)*(AF$138=YEAR(Inputs!$E$28))</f>
        <v/>
      </c>
      <c r="AG149" s="8">
        <f>($E$71+$E$72)*(AG$138=YEAR(Inputs!$E$28))</f>
        <v/>
      </c>
      <c r="AH149" s="8">
        <f>($E$71+$E$72)*(AH$138=YEAR(Inputs!$E$28))</f>
        <v/>
      </c>
      <c r="AI149" s="8">
        <f>($E$71+$E$72)*(AI$138=YEAR(Inputs!$E$28))</f>
        <v/>
      </c>
      <c r="AJ149" s="8">
        <f>($E$71+$E$72)*(AJ$138=YEAR(Inputs!$E$28))</f>
        <v/>
      </c>
      <c r="AK149" s="8">
        <f>($E$71+$E$72)*(AK$138=YEAR(Inputs!$E$28))</f>
        <v/>
      </c>
      <c r="AL149" s="8">
        <f>($E$71+$E$72)*(AL$138=YEAR(Inputs!$E$28))</f>
        <v/>
      </c>
      <c r="AM149" s="8">
        <f>($E$71+$E$72)*(AM$138=YEAR(Inputs!$E$28))</f>
        <v/>
      </c>
      <c r="AN149" s="8">
        <f>($E$71+$E$72)*(AN$138=YEAR(Inputs!$E$28))</f>
        <v/>
      </c>
      <c r="AO149" s="8">
        <f>($E$71+$E$72)*(AO$138=YEAR(Inputs!$E$28))</f>
        <v/>
      </c>
      <c r="AP149" s="8">
        <f>($E$71+$E$72)*(AP$138=YEAR(Inputs!$E$28))</f>
        <v/>
      </c>
      <c r="AQ149" s="8">
        <f>($E$71+$E$72)*(AQ$138=YEAR(Inputs!$E$28))</f>
        <v/>
      </c>
      <c r="AR149" s="8">
        <f>($E$71+$E$72)*(AR$138=YEAR(Inputs!$E$28))</f>
        <v/>
      </c>
      <c r="AS149" s="8">
        <f>($E$71+$E$72)*(AS$138=YEAR(Inputs!$E$28))</f>
        <v/>
      </c>
    </row>
    <row r="150">
      <c r="C150" s="6" t="inlineStr">
        <is>
          <t>Construction capex (straight-line NTP to COD)</t>
        </is>
      </c>
      <c r="D150" s="2" t="inlineStr">
        <is>
          <t>EUR k</t>
        </is>
      </c>
      <c r="H150" s="8">
        <f>SUM(J150:AS150)</f>
        <v/>
      </c>
      <c r="J150" s="8">
        <f>-$E$131*J144</f>
        <v/>
      </c>
      <c r="K150" s="8">
        <f>-$E$131*K144</f>
        <v/>
      </c>
      <c r="L150" s="8">
        <f>-$E$131*L144</f>
        <v/>
      </c>
      <c r="M150" s="8">
        <f>-$E$131*M144</f>
        <v/>
      </c>
      <c r="N150" s="8">
        <f>-$E$131*N144</f>
        <v/>
      </c>
      <c r="O150" s="8">
        <f>-$E$131*O144</f>
        <v/>
      </c>
      <c r="P150" s="8">
        <f>-$E$131*P144</f>
        <v/>
      </c>
      <c r="Q150" s="8">
        <f>-$E$131*Q144</f>
        <v/>
      </c>
      <c r="R150" s="8">
        <f>-$E$131*R144</f>
        <v/>
      </c>
      <c r="S150" s="8">
        <f>-$E$131*S144</f>
        <v/>
      </c>
      <c r="T150" s="8">
        <f>-$E$131*T144</f>
        <v/>
      </c>
      <c r="U150" s="8">
        <f>-$E$131*U144</f>
        <v/>
      </c>
      <c r="V150" s="8">
        <f>-$E$131*V144</f>
        <v/>
      </c>
      <c r="W150" s="8">
        <f>-$E$131*W144</f>
        <v/>
      </c>
      <c r="X150" s="8">
        <f>-$E$131*X144</f>
        <v/>
      </c>
      <c r="Y150" s="8">
        <f>-$E$131*Y144</f>
        <v/>
      </c>
      <c r="Z150" s="8">
        <f>-$E$131*Z144</f>
        <v/>
      </c>
      <c r="AA150" s="8">
        <f>-$E$131*AA144</f>
        <v/>
      </c>
      <c r="AB150" s="8">
        <f>-$E$131*AB144</f>
        <v/>
      </c>
      <c r="AC150" s="8">
        <f>-$E$131*AC144</f>
        <v/>
      </c>
      <c r="AD150" s="8">
        <f>-$E$131*AD144</f>
        <v/>
      </c>
      <c r="AE150" s="8">
        <f>-$E$131*AE144</f>
        <v/>
      </c>
      <c r="AF150" s="8">
        <f>-$E$131*AF144</f>
        <v/>
      </c>
      <c r="AG150" s="8">
        <f>-$E$131*AG144</f>
        <v/>
      </c>
      <c r="AH150" s="8">
        <f>-$E$131*AH144</f>
        <v/>
      </c>
      <c r="AI150" s="8">
        <f>-$E$131*AI144</f>
        <v/>
      </c>
      <c r="AJ150" s="8">
        <f>-$E$131*AJ144</f>
        <v/>
      </c>
      <c r="AK150" s="8">
        <f>-$E$131*AK144</f>
        <v/>
      </c>
      <c r="AL150" s="8">
        <f>-$E$131*AL144</f>
        <v/>
      </c>
      <c r="AM150" s="8">
        <f>-$E$131*AM144</f>
        <v/>
      </c>
      <c r="AN150" s="8">
        <f>-$E$131*AN144</f>
        <v/>
      </c>
      <c r="AO150" s="8">
        <f>-$E$131*AO144</f>
        <v/>
      </c>
      <c r="AP150" s="8">
        <f>-$E$131*AP144</f>
        <v/>
      </c>
      <c r="AQ150" s="8">
        <f>-$E$131*AQ144</f>
        <v/>
      </c>
      <c r="AR150" s="8">
        <f>-$E$131*AR144</f>
        <v/>
      </c>
      <c r="AS150" s="8">
        <f>-$E$131*AS144</f>
        <v/>
      </c>
    </row>
    <row r="151">
      <c r="C151" s="6" t="inlineStr">
        <is>
          <t>Municipal one-off at COD</t>
        </is>
      </c>
      <c r="D151" s="2" t="inlineStr">
        <is>
          <t>EUR k</t>
        </is>
      </c>
      <c r="H151" s="8">
        <f>SUM(J151:AS151)</f>
        <v/>
      </c>
      <c r="J151" s="8">
        <f>-$E$133*J147</f>
        <v/>
      </c>
      <c r="K151" s="8">
        <f>-$E$133*K147</f>
        <v/>
      </c>
      <c r="L151" s="8">
        <f>-$E$133*L147</f>
        <v/>
      </c>
      <c r="M151" s="8">
        <f>-$E$133*M147</f>
        <v/>
      </c>
      <c r="N151" s="8">
        <f>-$E$133*N147</f>
        <v/>
      </c>
      <c r="O151" s="8">
        <f>-$E$133*O147</f>
        <v/>
      </c>
      <c r="P151" s="8">
        <f>-$E$133*P147</f>
        <v/>
      </c>
      <c r="Q151" s="8">
        <f>-$E$133*Q147</f>
        <v/>
      </c>
      <c r="R151" s="8">
        <f>-$E$133*R147</f>
        <v/>
      </c>
      <c r="S151" s="8">
        <f>-$E$133*S147</f>
        <v/>
      </c>
      <c r="T151" s="8">
        <f>-$E$133*T147</f>
        <v/>
      </c>
      <c r="U151" s="8">
        <f>-$E$133*U147</f>
        <v/>
      </c>
      <c r="V151" s="8">
        <f>-$E$133*V147</f>
        <v/>
      </c>
      <c r="W151" s="8">
        <f>-$E$133*W147</f>
        <v/>
      </c>
      <c r="X151" s="8">
        <f>-$E$133*X147</f>
        <v/>
      </c>
      <c r="Y151" s="8">
        <f>-$E$133*Y147</f>
        <v/>
      </c>
      <c r="Z151" s="8">
        <f>-$E$133*Z147</f>
        <v/>
      </c>
      <c r="AA151" s="8">
        <f>-$E$133*AA147</f>
        <v/>
      </c>
      <c r="AB151" s="8">
        <f>-$E$133*AB147</f>
        <v/>
      </c>
      <c r="AC151" s="8">
        <f>-$E$133*AC147</f>
        <v/>
      </c>
      <c r="AD151" s="8">
        <f>-$E$133*AD147</f>
        <v/>
      </c>
      <c r="AE151" s="8">
        <f>-$E$133*AE147</f>
        <v/>
      </c>
      <c r="AF151" s="8">
        <f>-$E$133*AF147</f>
        <v/>
      </c>
      <c r="AG151" s="8">
        <f>-$E$133*AG147</f>
        <v/>
      </c>
      <c r="AH151" s="8">
        <f>-$E$133*AH147</f>
        <v/>
      </c>
      <c r="AI151" s="8">
        <f>-$E$133*AI147</f>
        <v/>
      </c>
      <c r="AJ151" s="8">
        <f>-$E$133*AJ147</f>
        <v/>
      </c>
      <c r="AK151" s="8">
        <f>-$E$133*AK147</f>
        <v/>
      </c>
      <c r="AL151" s="8">
        <f>-$E$133*AL147</f>
        <v/>
      </c>
      <c r="AM151" s="8">
        <f>-$E$133*AM147</f>
        <v/>
      </c>
      <c r="AN151" s="8">
        <f>-$E$133*AN147</f>
        <v/>
      </c>
      <c r="AO151" s="8">
        <f>-$E$133*AO147</f>
        <v/>
      </c>
      <c r="AP151" s="8">
        <f>-$E$133*AP147</f>
        <v/>
      </c>
      <c r="AQ151" s="8">
        <f>-$E$133*AQ147</f>
        <v/>
      </c>
      <c r="AR151" s="8">
        <f>-$E$133*AR147</f>
        <v/>
      </c>
      <c r="AS151" s="8">
        <f>-$E$133*AS147</f>
        <v/>
      </c>
    </row>
    <row r="152">
      <c r="C152" s="1" t="inlineStr">
        <is>
          <t>Investment cash flow</t>
        </is>
      </c>
      <c r="D152" s="2" t="inlineStr">
        <is>
          <t>EUR k</t>
        </is>
      </c>
      <c r="H152" s="16">
        <f>SUM(J152:AS152)</f>
        <v/>
      </c>
      <c r="J152" s="16">
        <f>SUM(J148:J151)</f>
        <v/>
      </c>
      <c r="K152" s="16">
        <f>SUM(K148:K151)</f>
        <v/>
      </c>
      <c r="L152" s="16">
        <f>SUM(L148:L151)</f>
        <v/>
      </c>
      <c r="M152" s="16">
        <f>SUM(M148:M151)</f>
        <v/>
      </c>
      <c r="N152" s="16">
        <f>SUM(N148:N151)</f>
        <v/>
      </c>
      <c r="O152" s="16">
        <f>SUM(O148:O151)</f>
        <v/>
      </c>
      <c r="P152" s="16">
        <f>SUM(P148:P151)</f>
        <v/>
      </c>
      <c r="Q152" s="16">
        <f>SUM(Q148:Q151)</f>
        <v/>
      </c>
      <c r="R152" s="16">
        <f>SUM(R148:R151)</f>
        <v/>
      </c>
      <c r="S152" s="16">
        <f>SUM(S148:S151)</f>
        <v/>
      </c>
      <c r="T152" s="16">
        <f>SUM(T148:T151)</f>
        <v/>
      </c>
      <c r="U152" s="16">
        <f>SUM(U148:U151)</f>
        <v/>
      </c>
      <c r="V152" s="16">
        <f>SUM(V148:V151)</f>
        <v/>
      </c>
      <c r="W152" s="16">
        <f>SUM(W148:W151)</f>
        <v/>
      </c>
      <c r="X152" s="16">
        <f>SUM(X148:X151)</f>
        <v/>
      </c>
      <c r="Y152" s="16">
        <f>SUM(Y148:Y151)</f>
        <v/>
      </c>
      <c r="Z152" s="16">
        <f>SUM(Z148:Z151)</f>
        <v/>
      </c>
      <c r="AA152" s="16">
        <f>SUM(AA148:AA151)</f>
        <v/>
      </c>
      <c r="AB152" s="16">
        <f>SUM(AB148:AB151)</f>
        <v/>
      </c>
      <c r="AC152" s="16">
        <f>SUM(AC148:AC151)</f>
        <v/>
      </c>
      <c r="AD152" s="16">
        <f>SUM(AD148:AD151)</f>
        <v/>
      </c>
      <c r="AE152" s="16">
        <f>SUM(AE148:AE151)</f>
        <v/>
      </c>
      <c r="AF152" s="16">
        <f>SUM(AF148:AF151)</f>
        <v/>
      </c>
      <c r="AG152" s="16">
        <f>SUM(AG148:AG151)</f>
        <v/>
      </c>
      <c r="AH152" s="16">
        <f>SUM(AH148:AH151)</f>
        <v/>
      </c>
      <c r="AI152" s="16">
        <f>SUM(AI148:AI151)</f>
        <v/>
      </c>
      <c r="AJ152" s="16">
        <f>SUM(AJ148:AJ151)</f>
        <v/>
      </c>
      <c r="AK152" s="16">
        <f>SUM(AK148:AK151)</f>
        <v/>
      </c>
      <c r="AL152" s="16">
        <f>SUM(AL148:AL151)</f>
        <v/>
      </c>
      <c r="AM152" s="16">
        <f>SUM(AM148:AM151)</f>
        <v/>
      </c>
      <c r="AN152" s="16">
        <f>SUM(AN148:AN151)</f>
        <v/>
      </c>
      <c r="AO152" s="16">
        <f>SUM(AO148:AO151)</f>
        <v/>
      </c>
      <c r="AP152" s="16">
        <f>SUM(AP148:AP151)</f>
        <v/>
      </c>
      <c r="AQ152" s="16">
        <f>SUM(AQ148:AQ151)</f>
        <v/>
      </c>
      <c r="AR152" s="16">
        <f>SUM(AR148:AR151)</f>
        <v/>
      </c>
      <c r="AS152" s="16">
        <f>SUM(AS148:AS151)</f>
        <v/>
      </c>
    </row>
    <row r="153">
      <c r="C153" s="6" t="inlineStr">
        <is>
          <t>Degradation factor (from the first full year)</t>
        </is>
      </c>
      <c r="D153" s="2" t="inlineStr">
        <is>
          <t>x</t>
        </is>
      </c>
      <c r="J153" s="27">
        <f>(1-Degradation)^MAX(J142-1,0)</f>
        <v/>
      </c>
      <c r="K153" s="27">
        <f>(1-Degradation)^MAX(K142-1,0)</f>
        <v/>
      </c>
      <c r="L153" s="27">
        <f>(1-Degradation)^MAX(L142-1,0)</f>
        <v/>
      </c>
      <c r="M153" s="27">
        <f>(1-Degradation)^MAX(M142-1,0)</f>
        <v/>
      </c>
      <c r="N153" s="27">
        <f>(1-Degradation)^MAX(N142-1,0)</f>
        <v/>
      </c>
      <c r="O153" s="27">
        <f>(1-Degradation)^MAX(O142-1,0)</f>
        <v/>
      </c>
      <c r="P153" s="27">
        <f>(1-Degradation)^MAX(P142-1,0)</f>
        <v/>
      </c>
      <c r="Q153" s="27">
        <f>(1-Degradation)^MAX(Q142-1,0)</f>
        <v/>
      </c>
      <c r="R153" s="27">
        <f>(1-Degradation)^MAX(R142-1,0)</f>
        <v/>
      </c>
      <c r="S153" s="27">
        <f>(1-Degradation)^MAX(S142-1,0)</f>
        <v/>
      </c>
      <c r="T153" s="27">
        <f>(1-Degradation)^MAX(T142-1,0)</f>
        <v/>
      </c>
      <c r="U153" s="27">
        <f>(1-Degradation)^MAX(U142-1,0)</f>
        <v/>
      </c>
      <c r="V153" s="27">
        <f>(1-Degradation)^MAX(V142-1,0)</f>
        <v/>
      </c>
      <c r="W153" s="27">
        <f>(1-Degradation)^MAX(W142-1,0)</f>
        <v/>
      </c>
      <c r="X153" s="27">
        <f>(1-Degradation)^MAX(X142-1,0)</f>
        <v/>
      </c>
      <c r="Y153" s="27">
        <f>(1-Degradation)^MAX(Y142-1,0)</f>
        <v/>
      </c>
      <c r="Z153" s="27">
        <f>(1-Degradation)^MAX(Z142-1,0)</f>
        <v/>
      </c>
      <c r="AA153" s="27">
        <f>(1-Degradation)^MAX(AA142-1,0)</f>
        <v/>
      </c>
      <c r="AB153" s="27">
        <f>(1-Degradation)^MAX(AB142-1,0)</f>
        <v/>
      </c>
      <c r="AC153" s="27">
        <f>(1-Degradation)^MAX(AC142-1,0)</f>
        <v/>
      </c>
      <c r="AD153" s="27">
        <f>(1-Degradation)^MAX(AD142-1,0)</f>
        <v/>
      </c>
      <c r="AE153" s="27">
        <f>(1-Degradation)^MAX(AE142-1,0)</f>
        <v/>
      </c>
      <c r="AF153" s="27">
        <f>(1-Degradation)^MAX(AF142-1,0)</f>
        <v/>
      </c>
      <c r="AG153" s="27">
        <f>(1-Degradation)^MAX(AG142-1,0)</f>
        <v/>
      </c>
      <c r="AH153" s="27">
        <f>(1-Degradation)^MAX(AH142-1,0)</f>
        <v/>
      </c>
      <c r="AI153" s="27">
        <f>(1-Degradation)^MAX(AI142-1,0)</f>
        <v/>
      </c>
      <c r="AJ153" s="27">
        <f>(1-Degradation)^MAX(AJ142-1,0)</f>
        <v/>
      </c>
      <c r="AK153" s="27">
        <f>(1-Degradation)^MAX(AK142-1,0)</f>
        <v/>
      </c>
      <c r="AL153" s="27">
        <f>(1-Degradation)^MAX(AL142-1,0)</f>
        <v/>
      </c>
      <c r="AM153" s="27">
        <f>(1-Degradation)^MAX(AM142-1,0)</f>
        <v/>
      </c>
      <c r="AN153" s="27">
        <f>(1-Degradation)^MAX(AN142-1,0)</f>
        <v/>
      </c>
      <c r="AO153" s="27">
        <f>(1-Degradation)^MAX(AO142-1,0)</f>
        <v/>
      </c>
      <c r="AP153" s="27">
        <f>(1-Degradation)^MAX(AP142-1,0)</f>
        <v/>
      </c>
      <c r="AQ153" s="27">
        <f>(1-Degradation)^MAX(AQ142-1,0)</f>
        <v/>
      </c>
      <c r="AR153" s="27">
        <f>(1-Degradation)^MAX(AR142-1,0)</f>
        <v/>
      </c>
      <c r="AS153" s="27">
        <f>(1-Degradation)^MAX(AS142-1,0)</f>
        <v/>
      </c>
    </row>
    <row r="154">
      <c r="C154" s="6" t="inlineStr">
        <is>
          <t>Net generation</t>
        </is>
      </c>
      <c r="D154" s="2" t="inlineStr">
        <is>
          <t>GWh</t>
        </is>
      </c>
      <c r="H154" s="14">
        <f>SUM(J154:AS154)</f>
        <v/>
      </c>
      <c r="J154" s="14">
        <f>$E$66*Hours_P50*(1-Curtailment)*(1-Clipping)*J146*J153/Thousand</f>
        <v/>
      </c>
      <c r="K154" s="14">
        <f>$E$66*Hours_P50*(1-Curtailment)*(1-Clipping)*K146*K153/Thousand</f>
        <v/>
      </c>
      <c r="L154" s="14">
        <f>$E$66*Hours_P50*(1-Curtailment)*(1-Clipping)*L146*L153/Thousand</f>
        <v/>
      </c>
      <c r="M154" s="14">
        <f>$E$66*Hours_P50*(1-Curtailment)*(1-Clipping)*M146*M153/Thousand</f>
        <v/>
      </c>
      <c r="N154" s="14">
        <f>$E$66*Hours_P50*(1-Curtailment)*(1-Clipping)*N146*N153/Thousand</f>
        <v/>
      </c>
      <c r="O154" s="14">
        <f>$E$66*Hours_P50*(1-Curtailment)*(1-Clipping)*O146*O153/Thousand</f>
        <v/>
      </c>
      <c r="P154" s="14">
        <f>$E$66*Hours_P50*(1-Curtailment)*(1-Clipping)*P146*P153/Thousand</f>
        <v/>
      </c>
      <c r="Q154" s="14">
        <f>$E$66*Hours_P50*(1-Curtailment)*(1-Clipping)*Q146*Q153/Thousand</f>
        <v/>
      </c>
      <c r="R154" s="14">
        <f>$E$66*Hours_P50*(1-Curtailment)*(1-Clipping)*R146*R153/Thousand</f>
        <v/>
      </c>
      <c r="S154" s="14">
        <f>$E$66*Hours_P50*(1-Curtailment)*(1-Clipping)*S146*S153/Thousand</f>
        <v/>
      </c>
      <c r="T154" s="14">
        <f>$E$66*Hours_P50*(1-Curtailment)*(1-Clipping)*T146*T153/Thousand</f>
        <v/>
      </c>
      <c r="U154" s="14">
        <f>$E$66*Hours_P50*(1-Curtailment)*(1-Clipping)*U146*U153/Thousand</f>
        <v/>
      </c>
      <c r="V154" s="14">
        <f>$E$66*Hours_P50*(1-Curtailment)*(1-Clipping)*V146*V153/Thousand</f>
        <v/>
      </c>
      <c r="W154" s="14">
        <f>$E$66*Hours_P50*(1-Curtailment)*(1-Clipping)*W146*W153/Thousand</f>
        <v/>
      </c>
      <c r="X154" s="14">
        <f>$E$66*Hours_P50*(1-Curtailment)*(1-Clipping)*X146*X153/Thousand</f>
        <v/>
      </c>
      <c r="Y154" s="14">
        <f>$E$66*Hours_P50*(1-Curtailment)*(1-Clipping)*Y146*Y153/Thousand</f>
        <v/>
      </c>
      <c r="Z154" s="14">
        <f>$E$66*Hours_P50*(1-Curtailment)*(1-Clipping)*Z146*Z153/Thousand</f>
        <v/>
      </c>
      <c r="AA154" s="14">
        <f>$E$66*Hours_P50*(1-Curtailment)*(1-Clipping)*AA146*AA153/Thousand</f>
        <v/>
      </c>
      <c r="AB154" s="14">
        <f>$E$66*Hours_P50*(1-Curtailment)*(1-Clipping)*AB146*AB153/Thousand</f>
        <v/>
      </c>
      <c r="AC154" s="14">
        <f>$E$66*Hours_P50*(1-Curtailment)*(1-Clipping)*AC146*AC153/Thousand</f>
        <v/>
      </c>
      <c r="AD154" s="14">
        <f>$E$66*Hours_P50*(1-Curtailment)*(1-Clipping)*AD146*AD153/Thousand</f>
        <v/>
      </c>
      <c r="AE154" s="14">
        <f>$E$66*Hours_P50*(1-Curtailment)*(1-Clipping)*AE146*AE153/Thousand</f>
        <v/>
      </c>
      <c r="AF154" s="14">
        <f>$E$66*Hours_P50*(1-Curtailment)*(1-Clipping)*AF146*AF153/Thousand</f>
        <v/>
      </c>
      <c r="AG154" s="14">
        <f>$E$66*Hours_P50*(1-Curtailment)*(1-Clipping)*AG146*AG153/Thousand</f>
        <v/>
      </c>
      <c r="AH154" s="14">
        <f>$E$66*Hours_P50*(1-Curtailment)*(1-Clipping)*AH146*AH153/Thousand</f>
        <v/>
      </c>
      <c r="AI154" s="14">
        <f>$E$66*Hours_P50*(1-Curtailment)*(1-Clipping)*AI146*AI153/Thousand</f>
        <v/>
      </c>
      <c r="AJ154" s="14">
        <f>$E$66*Hours_P50*(1-Curtailment)*(1-Clipping)*AJ146*AJ153/Thousand</f>
        <v/>
      </c>
      <c r="AK154" s="14">
        <f>$E$66*Hours_P50*(1-Curtailment)*(1-Clipping)*AK146*AK153/Thousand</f>
        <v/>
      </c>
      <c r="AL154" s="14">
        <f>$E$66*Hours_P50*(1-Curtailment)*(1-Clipping)*AL146*AL153/Thousand</f>
        <v/>
      </c>
      <c r="AM154" s="14">
        <f>$E$66*Hours_P50*(1-Curtailment)*(1-Clipping)*AM146*AM153/Thousand</f>
        <v/>
      </c>
      <c r="AN154" s="14">
        <f>$E$66*Hours_P50*(1-Curtailment)*(1-Clipping)*AN146*AN153/Thousand</f>
        <v/>
      </c>
      <c r="AO154" s="14">
        <f>$E$66*Hours_P50*(1-Curtailment)*(1-Clipping)*AO146*AO153/Thousand</f>
        <v/>
      </c>
      <c r="AP154" s="14">
        <f>$E$66*Hours_P50*(1-Curtailment)*(1-Clipping)*AP146*AP153/Thousand</f>
        <v/>
      </c>
      <c r="AQ154" s="14">
        <f>$E$66*Hours_P50*(1-Curtailment)*(1-Clipping)*AQ146*AQ153/Thousand</f>
        <v/>
      </c>
      <c r="AR154" s="14">
        <f>$E$66*Hours_P50*(1-Curtailment)*(1-Clipping)*AR146*AR153/Thousand</f>
        <v/>
      </c>
      <c r="AS154" s="14">
        <f>$E$66*Hours_P50*(1-Curtailment)*(1-Clipping)*AS146*AS153/Thousand</f>
        <v/>
      </c>
    </row>
    <row r="155">
      <c r="C155" s="6" t="inlineStr">
        <is>
          <t>PPA price</t>
        </is>
      </c>
      <c r="D155" s="2" t="inlineStr">
        <is>
          <t>EUR/MWh</t>
        </is>
      </c>
      <c r="J155" s="14">
        <f>PPA_Price*(1+PPA_Esc)^J142*(J146&gt;0)</f>
        <v/>
      </c>
      <c r="K155" s="14">
        <f>PPA_Price*(1+PPA_Esc)^K142*(K146&gt;0)</f>
        <v/>
      </c>
      <c r="L155" s="14">
        <f>PPA_Price*(1+PPA_Esc)^L142*(L146&gt;0)</f>
        <v/>
      </c>
      <c r="M155" s="14">
        <f>PPA_Price*(1+PPA_Esc)^M142*(M146&gt;0)</f>
        <v/>
      </c>
      <c r="N155" s="14">
        <f>PPA_Price*(1+PPA_Esc)^N142*(N146&gt;0)</f>
        <v/>
      </c>
      <c r="O155" s="14">
        <f>PPA_Price*(1+PPA_Esc)^O142*(O146&gt;0)</f>
        <v/>
      </c>
      <c r="P155" s="14">
        <f>PPA_Price*(1+PPA_Esc)^P142*(P146&gt;0)</f>
        <v/>
      </c>
      <c r="Q155" s="14">
        <f>PPA_Price*(1+PPA_Esc)^Q142*(Q146&gt;0)</f>
        <v/>
      </c>
      <c r="R155" s="14">
        <f>PPA_Price*(1+PPA_Esc)^R142*(R146&gt;0)</f>
        <v/>
      </c>
      <c r="S155" s="14">
        <f>PPA_Price*(1+PPA_Esc)^S142*(S146&gt;0)</f>
        <v/>
      </c>
      <c r="T155" s="14">
        <f>PPA_Price*(1+PPA_Esc)^T142*(T146&gt;0)</f>
        <v/>
      </c>
      <c r="U155" s="14">
        <f>PPA_Price*(1+PPA_Esc)^U142*(U146&gt;0)</f>
        <v/>
      </c>
      <c r="V155" s="14">
        <f>PPA_Price*(1+PPA_Esc)^V142*(V146&gt;0)</f>
        <v/>
      </c>
      <c r="W155" s="14">
        <f>PPA_Price*(1+PPA_Esc)^W142*(W146&gt;0)</f>
        <v/>
      </c>
      <c r="X155" s="14">
        <f>PPA_Price*(1+PPA_Esc)^X142*(X146&gt;0)</f>
        <v/>
      </c>
      <c r="Y155" s="14">
        <f>PPA_Price*(1+PPA_Esc)^Y142*(Y146&gt;0)</f>
        <v/>
      </c>
      <c r="Z155" s="14">
        <f>PPA_Price*(1+PPA_Esc)^Z142*(Z146&gt;0)</f>
        <v/>
      </c>
      <c r="AA155" s="14">
        <f>PPA_Price*(1+PPA_Esc)^AA142*(AA146&gt;0)</f>
        <v/>
      </c>
      <c r="AB155" s="14">
        <f>PPA_Price*(1+PPA_Esc)^AB142*(AB146&gt;0)</f>
        <v/>
      </c>
      <c r="AC155" s="14">
        <f>PPA_Price*(1+PPA_Esc)^AC142*(AC146&gt;0)</f>
        <v/>
      </c>
      <c r="AD155" s="14">
        <f>PPA_Price*(1+PPA_Esc)^AD142*(AD146&gt;0)</f>
        <v/>
      </c>
      <c r="AE155" s="14">
        <f>PPA_Price*(1+PPA_Esc)^AE142*(AE146&gt;0)</f>
        <v/>
      </c>
      <c r="AF155" s="14">
        <f>PPA_Price*(1+PPA_Esc)^AF142*(AF146&gt;0)</f>
        <v/>
      </c>
      <c r="AG155" s="14">
        <f>PPA_Price*(1+PPA_Esc)^AG142*(AG146&gt;0)</f>
        <v/>
      </c>
      <c r="AH155" s="14">
        <f>PPA_Price*(1+PPA_Esc)^AH142*(AH146&gt;0)</f>
        <v/>
      </c>
      <c r="AI155" s="14">
        <f>PPA_Price*(1+PPA_Esc)^AI142*(AI146&gt;0)</f>
        <v/>
      </c>
      <c r="AJ155" s="14">
        <f>PPA_Price*(1+PPA_Esc)^AJ142*(AJ146&gt;0)</f>
        <v/>
      </c>
      <c r="AK155" s="14">
        <f>PPA_Price*(1+PPA_Esc)^AK142*(AK146&gt;0)</f>
        <v/>
      </c>
      <c r="AL155" s="14">
        <f>PPA_Price*(1+PPA_Esc)^AL142*(AL146&gt;0)</f>
        <v/>
      </c>
      <c r="AM155" s="14">
        <f>PPA_Price*(1+PPA_Esc)^AM142*(AM146&gt;0)</f>
        <v/>
      </c>
      <c r="AN155" s="14">
        <f>PPA_Price*(1+PPA_Esc)^AN142*(AN146&gt;0)</f>
        <v/>
      </c>
      <c r="AO155" s="14">
        <f>PPA_Price*(1+PPA_Esc)^AO142*(AO146&gt;0)</f>
        <v/>
      </c>
      <c r="AP155" s="14">
        <f>PPA_Price*(1+PPA_Esc)^AP142*(AP146&gt;0)</f>
        <v/>
      </c>
      <c r="AQ155" s="14">
        <f>PPA_Price*(1+PPA_Esc)^AQ142*(AQ146&gt;0)</f>
        <v/>
      </c>
      <c r="AR155" s="14">
        <f>PPA_Price*(1+PPA_Esc)^AR142*(AR146&gt;0)</f>
        <v/>
      </c>
      <c r="AS155" s="14">
        <f>PPA_Price*(1+PPA_Esc)^AS142*(AS146&gt;0)</f>
        <v/>
      </c>
    </row>
    <row r="156">
      <c r="C156" s="1" t="inlineStr">
        <is>
          <t>Revenue</t>
        </is>
      </c>
      <c r="D156" s="2" t="inlineStr">
        <is>
          <t>EUR k</t>
        </is>
      </c>
      <c r="H156" s="22">
        <f>SUM(J156:AS156)</f>
        <v/>
      </c>
      <c r="J156" s="22">
        <f>J154*J155</f>
        <v/>
      </c>
      <c r="K156" s="22">
        <f>K154*K155</f>
        <v/>
      </c>
      <c r="L156" s="22">
        <f>L154*L155</f>
        <v/>
      </c>
      <c r="M156" s="22">
        <f>M154*M155</f>
        <v/>
      </c>
      <c r="N156" s="22">
        <f>N154*N155</f>
        <v/>
      </c>
      <c r="O156" s="22">
        <f>O154*O155</f>
        <v/>
      </c>
      <c r="P156" s="22">
        <f>P154*P155</f>
        <v/>
      </c>
      <c r="Q156" s="22">
        <f>Q154*Q155</f>
        <v/>
      </c>
      <c r="R156" s="22">
        <f>R154*R155</f>
        <v/>
      </c>
      <c r="S156" s="22">
        <f>S154*S155</f>
        <v/>
      </c>
      <c r="T156" s="22">
        <f>T154*T155</f>
        <v/>
      </c>
      <c r="U156" s="22">
        <f>U154*U155</f>
        <v/>
      </c>
      <c r="V156" s="22">
        <f>V154*V155</f>
        <v/>
      </c>
      <c r="W156" s="22">
        <f>W154*W155</f>
        <v/>
      </c>
      <c r="X156" s="22">
        <f>X154*X155</f>
        <v/>
      </c>
      <c r="Y156" s="22">
        <f>Y154*Y155</f>
        <v/>
      </c>
      <c r="Z156" s="22">
        <f>Z154*Z155</f>
        <v/>
      </c>
      <c r="AA156" s="22">
        <f>AA154*AA155</f>
        <v/>
      </c>
      <c r="AB156" s="22">
        <f>AB154*AB155</f>
        <v/>
      </c>
      <c r="AC156" s="22">
        <f>AC154*AC155</f>
        <v/>
      </c>
      <c r="AD156" s="22">
        <f>AD154*AD155</f>
        <v/>
      </c>
      <c r="AE156" s="22">
        <f>AE154*AE155</f>
        <v/>
      </c>
      <c r="AF156" s="22">
        <f>AF154*AF155</f>
        <v/>
      </c>
      <c r="AG156" s="22">
        <f>AG154*AG155</f>
        <v/>
      </c>
      <c r="AH156" s="22">
        <f>AH154*AH155</f>
        <v/>
      </c>
      <c r="AI156" s="22">
        <f>AI154*AI155</f>
        <v/>
      </c>
      <c r="AJ156" s="22">
        <f>AJ154*AJ155</f>
        <v/>
      </c>
      <c r="AK156" s="22">
        <f>AK154*AK155</f>
        <v/>
      </c>
      <c r="AL156" s="22">
        <f>AL154*AL155</f>
        <v/>
      </c>
      <c r="AM156" s="22">
        <f>AM154*AM155</f>
        <v/>
      </c>
      <c r="AN156" s="22">
        <f>AN154*AN155</f>
        <v/>
      </c>
      <c r="AO156" s="22">
        <f>AO154*AO155</f>
        <v/>
      </c>
      <c r="AP156" s="22">
        <f>AP154*AP155</f>
        <v/>
      </c>
      <c r="AQ156" s="22">
        <f>AQ154*AQ155</f>
        <v/>
      </c>
      <c r="AR156" s="22">
        <f>AR154*AR155</f>
        <v/>
      </c>
      <c r="AS156" s="22">
        <f>AS154*AS155</f>
        <v/>
      </c>
    </row>
    <row r="157">
      <c r="C157" s="6" t="inlineStr">
        <is>
          <t>Opex index (COD year = 1)</t>
        </is>
      </c>
      <c r="D157" s="2" t="inlineStr">
        <is>
          <t>x</t>
        </is>
      </c>
      <c r="J157" s="27">
        <f>(1+Opex_Esc)^J142</f>
        <v/>
      </c>
      <c r="K157" s="27">
        <f>(1+Opex_Esc)^K142</f>
        <v/>
      </c>
      <c r="L157" s="27">
        <f>(1+Opex_Esc)^L142</f>
        <v/>
      </c>
      <c r="M157" s="27">
        <f>(1+Opex_Esc)^M142</f>
        <v/>
      </c>
      <c r="N157" s="27">
        <f>(1+Opex_Esc)^N142</f>
        <v/>
      </c>
      <c r="O157" s="27">
        <f>(1+Opex_Esc)^O142</f>
        <v/>
      </c>
      <c r="P157" s="27">
        <f>(1+Opex_Esc)^P142</f>
        <v/>
      </c>
      <c r="Q157" s="27">
        <f>(1+Opex_Esc)^Q142</f>
        <v/>
      </c>
      <c r="R157" s="27">
        <f>(1+Opex_Esc)^R142</f>
        <v/>
      </c>
      <c r="S157" s="27">
        <f>(1+Opex_Esc)^S142</f>
        <v/>
      </c>
      <c r="T157" s="27">
        <f>(1+Opex_Esc)^T142</f>
        <v/>
      </c>
      <c r="U157" s="27">
        <f>(1+Opex_Esc)^U142</f>
        <v/>
      </c>
      <c r="V157" s="27">
        <f>(1+Opex_Esc)^V142</f>
        <v/>
      </c>
      <c r="W157" s="27">
        <f>(1+Opex_Esc)^W142</f>
        <v/>
      </c>
      <c r="X157" s="27">
        <f>(1+Opex_Esc)^X142</f>
        <v/>
      </c>
      <c r="Y157" s="27">
        <f>(1+Opex_Esc)^Y142</f>
        <v/>
      </c>
      <c r="Z157" s="27">
        <f>(1+Opex_Esc)^Z142</f>
        <v/>
      </c>
      <c r="AA157" s="27">
        <f>(1+Opex_Esc)^AA142</f>
        <v/>
      </c>
      <c r="AB157" s="27">
        <f>(1+Opex_Esc)^AB142</f>
        <v/>
      </c>
      <c r="AC157" s="27">
        <f>(1+Opex_Esc)^AC142</f>
        <v/>
      </c>
      <c r="AD157" s="27">
        <f>(1+Opex_Esc)^AD142</f>
        <v/>
      </c>
      <c r="AE157" s="27">
        <f>(1+Opex_Esc)^AE142</f>
        <v/>
      </c>
      <c r="AF157" s="27">
        <f>(1+Opex_Esc)^AF142</f>
        <v/>
      </c>
      <c r="AG157" s="27">
        <f>(1+Opex_Esc)^AG142</f>
        <v/>
      </c>
      <c r="AH157" s="27">
        <f>(1+Opex_Esc)^AH142</f>
        <v/>
      </c>
      <c r="AI157" s="27">
        <f>(1+Opex_Esc)^AI142</f>
        <v/>
      </c>
      <c r="AJ157" s="27">
        <f>(1+Opex_Esc)^AJ142</f>
        <v/>
      </c>
      <c r="AK157" s="27">
        <f>(1+Opex_Esc)^AK142</f>
        <v/>
      </c>
      <c r="AL157" s="27">
        <f>(1+Opex_Esc)^AL142</f>
        <v/>
      </c>
      <c r="AM157" s="27">
        <f>(1+Opex_Esc)^AM142</f>
        <v/>
      </c>
      <c r="AN157" s="27">
        <f>(1+Opex_Esc)^AN142</f>
        <v/>
      </c>
      <c r="AO157" s="27">
        <f>(1+Opex_Esc)^AO142</f>
        <v/>
      </c>
      <c r="AP157" s="27">
        <f>(1+Opex_Esc)^AP142</f>
        <v/>
      </c>
      <c r="AQ157" s="27">
        <f>(1+Opex_Esc)^AQ142</f>
        <v/>
      </c>
      <c r="AR157" s="27">
        <f>(1+Opex_Esc)^AR142</f>
        <v/>
      </c>
      <c r="AS157" s="27">
        <f>(1+Opex_Esc)^AS142</f>
        <v/>
      </c>
    </row>
    <row r="158">
      <c r="C158" s="6" t="inlineStr">
        <is>
          <t>O&amp;M, BoP, lease, insurance, management, property tax</t>
        </is>
      </c>
      <c r="D158" s="2" t="inlineStr">
        <is>
          <t>EUR k</t>
        </is>
      </c>
      <c r="H158" s="8">
        <f>SUM(J158:AS158)</f>
        <v/>
      </c>
      <c r="J158" s="8">
        <f>-SUM(Opex_Per_MW)*$E$66*J157*J146</f>
        <v/>
      </c>
      <c r="K158" s="8">
        <f>-SUM(Opex_Per_MW)*$E$66*K157*K146</f>
        <v/>
      </c>
      <c r="L158" s="8">
        <f>-SUM(Opex_Per_MW)*$E$66*L157*L146</f>
        <v/>
      </c>
      <c r="M158" s="8">
        <f>-SUM(Opex_Per_MW)*$E$66*M157*M146</f>
        <v/>
      </c>
      <c r="N158" s="8">
        <f>-SUM(Opex_Per_MW)*$E$66*N157*N146</f>
        <v/>
      </c>
      <c r="O158" s="8">
        <f>-SUM(Opex_Per_MW)*$E$66*O157*O146</f>
        <v/>
      </c>
      <c r="P158" s="8">
        <f>-SUM(Opex_Per_MW)*$E$66*P157*P146</f>
        <v/>
      </c>
      <c r="Q158" s="8">
        <f>-SUM(Opex_Per_MW)*$E$66*Q157*Q146</f>
        <v/>
      </c>
      <c r="R158" s="8">
        <f>-SUM(Opex_Per_MW)*$E$66*R157*R146</f>
        <v/>
      </c>
      <c r="S158" s="8">
        <f>-SUM(Opex_Per_MW)*$E$66*S157*S146</f>
        <v/>
      </c>
      <c r="T158" s="8">
        <f>-SUM(Opex_Per_MW)*$E$66*T157*T146</f>
        <v/>
      </c>
      <c r="U158" s="8">
        <f>-SUM(Opex_Per_MW)*$E$66*U157*U146</f>
        <v/>
      </c>
      <c r="V158" s="8">
        <f>-SUM(Opex_Per_MW)*$E$66*V157*V146</f>
        <v/>
      </c>
      <c r="W158" s="8">
        <f>-SUM(Opex_Per_MW)*$E$66*W157*W146</f>
        <v/>
      </c>
      <c r="X158" s="8">
        <f>-SUM(Opex_Per_MW)*$E$66*X157*X146</f>
        <v/>
      </c>
      <c r="Y158" s="8">
        <f>-SUM(Opex_Per_MW)*$E$66*Y157*Y146</f>
        <v/>
      </c>
      <c r="Z158" s="8">
        <f>-SUM(Opex_Per_MW)*$E$66*Z157*Z146</f>
        <v/>
      </c>
      <c r="AA158" s="8">
        <f>-SUM(Opex_Per_MW)*$E$66*AA157*AA146</f>
        <v/>
      </c>
      <c r="AB158" s="8">
        <f>-SUM(Opex_Per_MW)*$E$66*AB157*AB146</f>
        <v/>
      </c>
      <c r="AC158" s="8">
        <f>-SUM(Opex_Per_MW)*$E$66*AC157*AC146</f>
        <v/>
      </c>
      <c r="AD158" s="8">
        <f>-SUM(Opex_Per_MW)*$E$66*AD157*AD146</f>
        <v/>
      </c>
      <c r="AE158" s="8">
        <f>-SUM(Opex_Per_MW)*$E$66*AE157*AE146</f>
        <v/>
      </c>
      <c r="AF158" s="8">
        <f>-SUM(Opex_Per_MW)*$E$66*AF157*AF146</f>
        <v/>
      </c>
      <c r="AG158" s="8">
        <f>-SUM(Opex_Per_MW)*$E$66*AG157*AG146</f>
        <v/>
      </c>
      <c r="AH158" s="8">
        <f>-SUM(Opex_Per_MW)*$E$66*AH157*AH146</f>
        <v/>
      </c>
      <c r="AI158" s="8">
        <f>-SUM(Opex_Per_MW)*$E$66*AI157*AI146</f>
        <v/>
      </c>
      <c r="AJ158" s="8">
        <f>-SUM(Opex_Per_MW)*$E$66*AJ157*AJ146</f>
        <v/>
      </c>
      <c r="AK158" s="8">
        <f>-SUM(Opex_Per_MW)*$E$66*AK157*AK146</f>
        <v/>
      </c>
      <c r="AL158" s="8">
        <f>-SUM(Opex_Per_MW)*$E$66*AL157*AL146</f>
        <v/>
      </c>
      <c r="AM158" s="8">
        <f>-SUM(Opex_Per_MW)*$E$66*AM157*AM146</f>
        <v/>
      </c>
      <c r="AN158" s="8">
        <f>-SUM(Opex_Per_MW)*$E$66*AN157*AN146</f>
        <v/>
      </c>
      <c r="AO158" s="8">
        <f>-SUM(Opex_Per_MW)*$E$66*AO157*AO146</f>
        <v/>
      </c>
      <c r="AP158" s="8">
        <f>-SUM(Opex_Per_MW)*$E$66*AP157*AP146</f>
        <v/>
      </c>
      <c r="AQ158" s="8">
        <f>-SUM(Opex_Per_MW)*$E$66*AQ157*AQ146</f>
        <v/>
      </c>
      <c r="AR158" s="8">
        <f>-SUM(Opex_Per_MW)*$E$66*AR157*AR146</f>
        <v/>
      </c>
      <c r="AS158" s="8">
        <f>-SUM(Opex_Per_MW)*$E$66*AS157*AS146</f>
        <v/>
      </c>
    </row>
    <row r="159">
      <c r="C159" s="6" t="inlineStr">
        <is>
          <t>Administration, audit, compliance</t>
        </is>
      </c>
      <c r="D159" s="2" t="inlineStr">
        <is>
          <t>EUR k</t>
        </is>
      </c>
      <c r="H159" s="8">
        <f>SUM(J159:AS159)</f>
        <v/>
      </c>
      <c r="J159" s="8">
        <f>-Opex_Admin*$E$6/Lump_Basis*J157*J146</f>
        <v/>
      </c>
      <c r="K159" s="8">
        <f>-Opex_Admin*$E$6/Lump_Basis*K157*K146</f>
        <v/>
      </c>
      <c r="L159" s="8">
        <f>-Opex_Admin*$E$6/Lump_Basis*L157*L146</f>
        <v/>
      </c>
      <c r="M159" s="8">
        <f>-Opex_Admin*$E$6/Lump_Basis*M157*M146</f>
        <v/>
      </c>
      <c r="N159" s="8">
        <f>-Opex_Admin*$E$6/Lump_Basis*N157*N146</f>
        <v/>
      </c>
      <c r="O159" s="8">
        <f>-Opex_Admin*$E$6/Lump_Basis*O157*O146</f>
        <v/>
      </c>
      <c r="P159" s="8">
        <f>-Opex_Admin*$E$6/Lump_Basis*P157*P146</f>
        <v/>
      </c>
      <c r="Q159" s="8">
        <f>-Opex_Admin*$E$6/Lump_Basis*Q157*Q146</f>
        <v/>
      </c>
      <c r="R159" s="8">
        <f>-Opex_Admin*$E$6/Lump_Basis*R157*R146</f>
        <v/>
      </c>
      <c r="S159" s="8">
        <f>-Opex_Admin*$E$6/Lump_Basis*S157*S146</f>
        <v/>
      </c>
      <c r="T159" s="8">
        <f>-Opex_Admin*$E$6/Lump_Basis*T157*T146</f>
        <v/>
      </c>
      <c r="U159" s="8">
        <f>-Opex_Admin*$E$6/Lump_Basis*U157*U146</f>
        <v/>
      </c>
      <c r="V159" s="8">
        <f>-Opex_Admin*$E$6/Lump_Basis*V157*V146</f>
        <v/>
      </c>
      <c r="W159" s="8">
        <f>-Opex_Admin*$E$6/Lump_Basis*W157*W146</f>
        <v/>
      </c>
      <c r="X159" s="8">
        <f>-Opex_Admin*$E$6/Lump_Basis*X157*X146</f>
        <v/>
      </c>
      <c r="Y159" s="8">
        <f>-Opex_Admin*$E$6/Lump_Basis*Y157*Y146</f>
        <v/>
      </c>
      <c r="Z159" s="8">
        <f>-Opex_Admin*$E$6/Lump_Basis*Z157*Z146</f>
        <v/>
      </c>
      <c r="AA159" s="8">
        <f>-Opex_Admin*$E$6/Lump_Basis*AA157*AA146</f>
        <v/>
      </c>
      <c r="AB159" s="8">
        <f>-Opex_Admin*$E$6/Lump_Basis*AB157*AB146</f>
        <v/>
      </c>
      <c r="AC159" s="8">
        <f>-Opex_Admin*$E$6/Lump_Basis*AC157*AC146</f>
        <v/>
      </c>
      <c r="AD159" s="8">
        <f>-Opex_Admin*$E$6/Lump_Basis*AD157*AD146</f>
        <v/>
      </c>
      <c r="AE159" s="8">
        <f>-Opex_Admin*$E$6/Lump_Basis*AE157*AE146</f>
        <v/>
      </c>
      <c r="AF159" s="8">
        <f>-Opex_Admin*$E$6/Lump_Basis*AF157*AF146</f>
        <v/>
      </c>
      <c r="AG159" s="8">
        <f>-Opex_Admin*$E$6/Lump_Basis*AG157*AG146</f>
        <v/>
      </c>
      <c r="AH159" s="8">
        <f>-Opex_Admin*$E$6/Lump_Basis*AH157*AH146</f>
        <v/>
      </c>
      <c r="AI159" s="8">
        <f>-Opex_Admin*$E$6/Lump_Basis*AI157*AI146</f>
        <v/>
      </c>
      <c r="AJ159" s="8">
        <f>-Opex_Admin*$E$6/Lump_Basis*AJ157*AJ146</f>
        <v/>
      </c>
      <c r="AK159" s="8">
        <f>-Opex_Admin*$E$6/Lump_Basis*AK157*AK146</f>
        <v/>
      </c>
      <c r="AL159" s="8">
        <f>-Opex_Admin*$E$6/Lump_Basis*AL157*AL146</f>
        <v/>
      </c>
      <c r="AM159" s="8">
        <f>-Opex_Admin*$E$6/Lump_Basis*AM157*AM146</f>
        <v/>
      </c>
      <c r="AN159" s="8">
        <f>-Opex_Admin*$E$6/Lump_Basis*AN157*AN146</f>
        <v/>
      </c>
      <c r="AO159" s="8">
        <f>-Opex_Admin*$E$6/Lump_Basis*AO157*AO146</f>
        <v/>
      </c>
      <c r="AP159" s="8">
        <f>-Opex_Admin*$E$6/Lump_Basis*AP157*AP146</f>
        <v/>
      </c>
      <c r="AQ159" s="8">
        <f>-Opex_Admin*$E$6/Lump_Basis*AQ157*AQ146</f>
        <v/>
      </c>
      <c r="AR159" s="8">
        <f>-Opex_Admin*$E$6/Lump_Basis*AR157*AR146</f>
        <v/>
      </c>
      <c r="AS159" s="8">
        <f>-Opex_Admin*$E$6/Lump_Basis*AS157*AS146</f>
        <v/>
      </c>
    </row>
    <row r="160">
      <c r="C160" s="6" t="inlineStr">
        <is>
          <t>Balancing and grid charges</t>
        </is>
      </c>
      <c r="D160" s="2" t="inlineStr">
        <is>
          <t>EUR k</t>
        </is>
      </c>
      <c r="H160" s="8">
        <f>SUM(J160:AS160)</f>
        <v/>
      </c>
      <c r="J160" s="8">
        <f>-J154*(Balancing+Grid_Charges)*J157</f>
        <v/>
      </c>
      <c r="K160" s="8">
        <f>-K154*(Balancing+Grid_Charges)*K157</f>
        <v/>
      </c>
      <c r="L160" s="8">
        <f>-L154*(Balancing+Grid_Charges)*L157</f>
        <v/>
      </c>
      <c r="M160" s="8">
        <f>-M154*(Balancing+Grid_Charges)*M157</f>
        <v/>
      </c>
      <c r="N160" s="8">
        <f>-N154*(Balancing+Grid_Charges)*N157</f>
        <v/>
      </c>
      <c r="O160" s="8">
        <f>-O154*(Balancing+Grid_Charges)*O157</f>
        <v/>
      </c>
      <c r="P160" s="8">
        <f>-P154*(Balancing+Grid_Charges)*P157</f>
        <v/>
      </c>
      <c r="Q160" s="8">
        <f>-Q154*(Balancing+Grid_Charges)*Q157</f>
        <v/>
      </c>
      <c r="R160" s="8">
        <f>-R154*(Balancing+Grid_Charges)*R157</f>
        <v/>
      </c>
      <c r="S160" s="8">
        <f>-S154*(Balancing+Grid_Charges)*S157</f>
        <v/>
      </c>
      <c r="T160" s="8">
        <f>-T154*(Balancing+Grid_Charges)*T157</f>
        <v/>
      </c>
      <c r="U160" s="8">
        <f>-U154*(Balancing+Grid_Charges)*U157</f>
        <v/>
      </c>
      <c r="V160" s="8">
        <f>-V154*(Balancing+Grid_Charges)*V157</f>
        <v/>
      </c>
      <c r="W160" s="8">
        <f>-W154*(Balancing+Grid_Charges)*W157</f>
        <v/>
      </c>
      <c r="X160" s="8">
        <f>-X154*(Balancing+Grid_Charges)*X157</f>
        <v/>
      </c>
      <c r="Y160" s="8">
        <f>-Y154*(Balancing+Grid_Charges)*Y157</f>
        <v/>
      </c>
      <c r="Z160" s="8">
        <f>-Z154*(Balancing+Grid_Charges)*Z157</f>
        <v/>
      </c>
      <c r="AA160" s="8">
        <f>-AA154*(Balancing+Grid_Charges)*AA157</f>
        <v/>
      </c>
      <c r="AB160" s="8">
        <f>-AB154*(Balancing+Grid_Charges)*AB157</f>
        <v/>
      </c>
      <c r="AC160" s="8">
        <f>-AC154*(Balancing+Grid_Charges)*AC157</f>
        <v/>
      </c>
      <c r="AD160" s="8">
        <f>-AD154*(Balancing+Grid_Charges)*AD157</f>
        <v/>
      </c>
      <c r="AE160" s="8">
        <f>-AE154*(Balancing+Grid_Charges)*AE157</f>
        <v/>
      </c>
      <c r="AF160" s="8">
        <f>-AF154*(Balancing+Grid_Charges)*AF157</f>
        <v/>
      </c>
      <c r="AG160" s="8">
        <f>-AG154*(Balancing+Grid_Charges)*AG157</f>
        <v/>
      </c>
      <c r="AH160" s="8">
        <f>-AH154*(Balancing+Grid_Charges)*AH157</f>
        <v/>
      </c>
      <c r="AI160" s="8">
        <f>-AI154*(Balancing+Grid_Charges)*AI157</f>
        <v/>
      </c>
      <c r="AJ160" s="8">
        <f>-AJ154*(Balancing+Grid_Charges)*AJ157</f>
        <v/>
      </c>
      <c r="AK160" s="8">
        <f>-AK154*(Balancing+Grid_Charges)*AK157</f>
        <v/>
      </c>
      <c r="AL160" s="8">
        <f>-AL154*(Balancing+Grid_Charges)*AL157</f>
        <v/>
      </c>
      <c r="AM160" s="8">
        <f>-AM154*(Balancing+Grid_Charges)*AM157</f>
        <v/>
      </c>
      <c r="AN160" s="8">
        <f>-AN154*(Balancing+Grid_Charges)*AN157</f>
        <v/>
      </c>
      <c r="AO160" s="8">
        <f>-AO154*(Balancing+Grid_Charges)*AO157</f>
        <v/>
      </c>
      <c r="AP160" s="8">
        <f>-AP154*(Balancing+Grid_Charges)*AP157</f>
        <v/>
      </c>
      <c r="AQ160" s="8">
        <f>-AQ154*(Balancing+Grid_Charges)*AQ157</f>
        <v/>
      </c>
      <c r="AR160" s="8">
        <f>-AR154*(Balancing+Grid_Charges)*AR157</f>
        <v/>
      </c>
      <c r="AS160" s="8">
        <f>-AS154*(Balancing+Grid_Charges)*AS157</f>
        <v/>
      </c>
    </row>
    <row r="161">
      <c r="C161" s="6" t="inlineStr">
        <is>
          <t>MEKH supervisory fee</t>
        </is>
      </c>
      <c r="D161" s="2" t="inlineStr">
        <is>
          <t>EUR k</t>
        </is>
      </c>
      <c r="H161" s="8">
        <f>SUM(J161:AS161)</f>
        <v/>
      </c>
      <c r="J161" s="8">
        <f>-J156*MEKH_Fee</f>
        <v/>
      </c>
      <c r="K161" s="8">
        <f>-K156*MEKH_Fee</f>
        <v/>
      </c>
      <c r="L161" s="8">
        <f>-L156*MEKH_Fee</f>
        <v/>
      </c>
      <c r="M161" s="8">
        <f>-M156*MEKH_Fee</f>
        <v/>
      </c>
      <c r="N161" s="8">
        <f>-N156*MEKH_Fee</f>
        <v/>
      </c>
      <c r="O161" s="8">
        <f>-O156*MEKH_Fee</f>
        <v/>
      </c>
      <c r="P161" s="8">
        <f>-P156*MEKH_Fee</f>
        <v/>
      </c>
      <c r="Q161" s="8">
        <f>-Q156*MEKH_Fee</f>
        <v/>
      </c>
      <c r="R161" s="8">
        <f>-R156*MEKH_Fee</f>
        <v/>
      </c>
      <c r="S161" s="8">
        <f>-S156*MEKH_Fee</f>
        <v/>
      </c>
      <c r="T161" s="8">
        <f>-T156*MEKH_Fee</f>
        <v/>
      </c>
      <c r="U161" s="8">
        <f>-U156*MEKH_Fee</f>
        <v/>
      </c>
      <c r="V161" s="8">
        <f>-V156*MEKH_Fee</f>
        <v/>
      </c>
      <c r="W161" s="8">
        <f>-W156*MEKH_Fee</f>
        <v/>
      </c>
      <c r="X161" s="8">
        <f>-X156*MEKH_Fee</f>
        <v/>
      </c>
      <c r="Y161" s="8">
        <f>-Y156*MEKH_Fee</f>
        <v/>
      </c>
      <c r="Z161" s="8">
        <f>-Z156*MEKH_Fee</f>
        <v/>
      </c>
      <c r="AA161" s="8">
        <f>-AA156*MEKH_Fee</f>
        <v/>
      </c>
      <c r="AB161" s="8">
        <f>-AB156*MEKH_Fee</f>
        <v/>
      </c>
      <c r="AC161" s="8">
        <f>-AC156*MEKH_Fee</f>
        <v/>
      </c>
      <c r="AD161" s="8">
        <f>-AD156*MEKH_Fee</f>
        <v/>
      </c>
      <c r="AE161" s="8">
        <f>-AE156*MEKH_Fee</f>
        <v/>
      </c>
      <c r="AF161" s="8">
        <f>-AF156*MEKH_Fee</f>
        <v/>
      </c>
      <c r="AG161" s="8">
        <f>-AG156*MEKH_Fee</f>
        <v/>
      </c>
      <c r="AH161" s="8">
        <f>-AH156*MEKH_Fee</f>
        <v/>
      </c>
      <c r="AI161" s="8">
        <f>-AI156*MEKH_Fee</f>
        <v/>
      </c>
      <c r="AJ161" s="8">
        <f>-AJ156*MEKH_Fee</f>
        <v/>
      </c>
      <c r="AK161" s="8">
        <f>-AK156*MEKH_Fee</f>
        <v/>
      </c>
      <c r="AL161" s="8">
        <f>-AL156*MEKH_Fee</f>
        <v/>
      </c>
      <c r="AM161" s="8">
        <f>-AM156*MEKH_Fee</f>
        <v/>
      </c>
      <c r="AN161" s="8">
        <f>-AN156*MEKH_Fee</f>
        <v/>
      </c>
      <c r="AO161" s="8">
        <f>-AO156*MEKH_Fee</f>
        <v/>
      </c>
      <c r="AP161" s="8">
        <f>-AP156*MEKH_Fee</f>
        <v/>
      </c>
      <c r="AQ161" s="8">
        <f>-AQ156*MEKH_Fee</f>
        <v/>
      </c>
      <c r="AR161" s="8">
        <f>-AR156*MEKH_Fee</f>
        <v/>
      </c>
      <c r="AS161" s="8">
        <f>-AS156*MEKH_Fee</f>
        <v/>
      </c>
    </row>
    <row r="162">
      <c r="C162" s="6" t="inlineStr">
        <is>
          <t>Opex contingency</t>
        </is>
      </c>
      <c r="D162" s="2" t="inlineStr">
        <is>
          <t>EUR k</t>
        </is>
      </c>
      <c r="H162" s="8">
        <f>SUM(J162:AS162)</f>
        <v/>
      </c>
      <c r="J162" s="8">
        <f>SUM(J158:J161)*Opex_Cont</f>
        <v/>
      </c>
      <c r="K162" s="8">
        <f>SUM(K158:K161)*Opex_Cont</f>
        <v/>
      </c>
      <c r="L162" s="8">
        <f>SUM(L158:L161)*Opex_Cont</f>
        <v/>
      </c>
      <c r="M162" s="8">
        <f>SUM(M158:M161)*Opex_Cont</f>
        <v/>
      </c>
      <c r="N162" s="8">
        <f>SUM(N158:N161)*Opex_Cont</f>
        <v/>
      </c>
      <c r="O162" s="8">
        <f>SUM(O158:O161)*Opex_Cont</f>
        <v/>
      </c>
      <c r="P162" s="8">
        <f>SUM(P158:P161)*Opex_Cont</f>
        <v/>
      </c>
      <c r="Q162" s="8">
        <f>SUM(Q158:Q161)*Opex_Cont</f>
        <v/>
      </c>
      <c r="R162" s="8">
        <f>SUM(R158:R161)*Opex_Cont</f>
        <v/>
      </c>
      <c r="S162" s="8">
        <f>SUM(S158:S161)*Opex_Cont</f>
        <v/>
      </c>
      <c r="T162" s="8">
        <f>SUM(T158:T161)*Opex_Cont</f>
        <v/>
      </c>
      <c r="U162" s="8">
        <f>SUM(U158:U161)*Opex_Cont</f>
        <v/>
      </c>
      <c r="V162" s="8">
        <f>SUM(V158:V161)*Opex_Cont</f>
        <v/>
      </c>
      <c r="W162" s="8">
        <f>SUM(W158:W161)*Opex_Cont</f>
        <v/>
      </c>
      <c r="X162" s="8">
        <f>SUM(X158:X161)*Opex_Cont</f>
        <v/>
      </c>
      <c r="Y162" s="8">
        <f>SUM(Y158:Y161)*Opex_Cont</f>
        <v/>
      </c>
      <c r="Z162" s="8">
        <f>SUM(Z158:Z161)*Opex_Cont</f>
        <v/>
      </c>
      <c r="AA162" s="8">
        <f>SUM(AA158:AA161)*Opex_Cont</f>
        <v/>
      </c>
      <c r="AB162" s="8">
        <f>SUM(AB158:AB161)*Opex_Cont</f>
        <v/>
      </c>
      <c r="AC162" s="8">
        <f>SUM(AC158:AC161)*Opex_Cont</f>
        <v/>
      </c>
      <c r="AD162" s="8">
        <f>SUM(AD158:AD161)*Opex_Cont</f>
        <v/>
      </c>
      <c r="AE162" s="8">
        <f>SUM(AE158:AE161)*Opex_Cont</f>
        <v/>
      </c>
      <c r="AF162" s="8">
        <f>SUM(AF158:AF161)*Opex_Cont</f>
        <v/>
      </c>
      <c r="AG162" s="8">
        <f>SUM(AG158:AG161)*Opex_Cont</f>
        <v/>
      </c>
      <c r="AH162" s="8">
        <f>SUM(AH158:AH161)*Opex_Cont</f>
        <v/>
      </c>
      <c r="AI162" s="8">
        <f>SUM(AI158:AI161)*Opex_Cont</f>
        <v/>
      </c>
      <c r="AJ162" s="8">
        <f>SUM(AJ158:AJ161)*Opex_Cont</f>
        <v/>
      </c>
      <c r="AK162" s="8">
        <f>SUM(AK158:AK161)*Opex_Cont</f>
        <v/>
      </c>
      <c r="AL162" s="8">
        <f>SUM(AL158:AL161)*Opex_Cont</f>
        <v/>
      </c>
      <c r="AM162" s="8">
        <f>SUM(AM158:AM161)*Opex_Cont</f>
        <v/>
      </c>
      <c r="AN162" s="8">
        <f>SUM(AN158:AN161)*Opex_Cont</f>
        <v/>
      </c>
      <c r="AO162" s="8">
        <f>SUM(AO158:AO161)*Opex_Cont</f>
        <v/>
      </c>
      <c r="AP162" s="8">
        <f>SUM(AP158:AP161)*Opex_Cont</f>
        <v/>
      </c>
      <c r="AQ162" s="8">
        <f>SUM(AQ158:AQ161)*Opex_Cont</f>
        <v/>
      </c>
      <c r="AR162" s="8">
        <f>SUM(AR158:AR161)*Opex_Cont</f>
        <v/>
      </c>
      <c r="AS162" s="8">
        <f>SUM(AS158:AS161)*Opex_Cont</f>
        <v/>
      </c>
    </row>
    <row r="163">
      <c r="C163" s="6" t="inlineStr">
        <is>
          <t>Community contribution</t>
        </is>
      </c>
      <c r="D163" s="2" t="inlineStr">
        <is>
          <t>EUR k</t>
        </is>
      </c>
      <c r="H163" s="8">
        <f>SUM(J163:AS163)</f>
        <v/>
      </c>
      <c r="J163" s="8">
        <f>-J154*$E$12</f>
        <v/>
      </c>
      <c r="K163" s="8">
        <f>-K154*$E$12</f>
        <v/>
      </c>
      <c r="L163" s="8">
        <f>-L154*$E$12</f>
        <v/>
      </c>
      <c r="M163" s="8">
        <f>-M154*$E$12</f>
        <v/>
      </c>
      <c r="N163" s="8">
        <f>-N154*$E$12</f>
        <v/>
      </c>
      <c r="O163" s="8">
        <f>-O154*$E$12</f>
        <v/>
      </c>
      <c r="P163" s="8">
        <f>-P154*$E$12</f>
        <v/>
      </c>
      <c r="Q163" s="8">
        <f>-Q154*$E$12</f>
        <v/>
      </c>
      <c r="R163" s="8">
        <f>-R154*$E$12</f>
        <v/>
      </c>
      <c r="S163" s="8">
        <f>-S154*$E$12</f>
        <v/>
      </c>
      <c r="T163" s="8">
        <f>-T154*$E$12</f>
        <v/>
      </c>
      <c r="U163" s="8">
        <f>-U154*$E$12</f>
        <v/>
      </c>
      <c r="V163" s="8">
        <f>-V154*$E$12</f>
        <v/>
      </c>
      <c r="W163" s="8">
        <f>-W154*$E$12</f>
        <v/>
      </c>
      <c r="X163" s="8">
        <f>-X154*$E$12</f>
        <v/>
      </c>
      <c r="Y163" s="8">
        <f>-Y154*$E$12</f>
        <v/>
      </c>
      <c r="Z163" s="8">
        <f>-Z154*$E$12</f>
        <v/>
      </c>
      <c r="AA163" s="8">
        <f>-AA154*$E$12</f>
        <v/>
      </c>
      <c r="AB163" s="8">
        <f>-AB154*$E$12</f>
        <v/>
      </c>
      <c r="AC163" s="8">
        <f>-AC154*$E$12</f>
        <v/>
      </c>
      <c r="AD163" s="8">
        <f>-AD154*$E$12</f>
        <v/>
      </c>
      <c r="AE163" s="8">
        <f>-AE154*$E$12</f>
        <v/>
      </c>
      <c r="AF163" s="8">
        <f>-AF154*$E$12</f>
        <v/>
      </c>
      <c r="AG163" s="8">
        <f>-AG154*$E$12</f>
        <v/>
      </c>
      <c r="AH163" s="8">
        <f>-AH154*$E$12</f>
        <v/>
      </c>
      <c r="AI163" s="8">
        <f>-AI154*$E$12</f>
        <v/>
      </c>
      <c r="AJ163" s="8">
        <f>-AJ154*$E$12</f>
        <v/>
      </c>
      <c r="AK163" s="8">
        <f>-AK154*$E$12</f>
        <v/>
      </c>
      <c r="AL163" s="8">
        <f>-AL154*$E$12</f>
        <v/>
      </c>
      <c r="AM163" s="8">
        <f>-AM154*$E$12</f>
        <v/>
      </c>
      <c r="AN163" s="8">
        <f>-AN154*$E$12</f>
        <v/>
      </c>
      <c r="AO163" s="8">
        <f>-AO154*$E$12</f>
        <v/>
      </c>
      <c r="AP163" s="8">
        <f>-AP154*$E$12</f>
        <v/>
      </c>
      <c r="AQ163" s="8">
        <f>-AQ154*$E$12</f>
        <v/>
      </c>
      <c r="AR163" s="8">
        <f>-AR154*$E$12</f>
        <v/>
      </c>
      <c r="AS163" s="8">
        <f>-AS154*$E$12</f>
        <v/>
      </c>
    </row>
    <row r="164">
      <c r="C164" s="6" t="inlineStr">
        <is>
          <t>HIPA local business tax</t>
        </is>
      </c>
      <c r="D164" s="2" t="inlineStr">
        <is>
          <t>EUR k</t>
        </is>
      </c>
      <c r="H164" s="8">
        <f>SUM(J164:AS164)</f>
        <v/>
      </c>
      <c r="J164" s="8">
        <f>-J156*HIPA_Rate</f>
        <v/>
      </c>
      <c r="K164" s="8">
        <f>-K156*HIPA_Rate</f>
        <v/>
      </c>
      <c r="L164" s="8">
        <f>-L156*HIPA_Rate</f>
        <v/>
      </c>
      <c r="M164" s="8">
        <f>-M156*HIPA_Rate</f>
        <v/>
      </c>
      <c r="N164" s="8">
        <f>-N156*HIPA_Rate</f>
        <v/>
      </c>
      <c r="O164" s="8">
        <f>-O156*HIPA_Rate</f>
        <v/>
      </c>
      <c r="P164" s="8">
        <f>-P156*HIPA_Rate</f>
        <v/>
      </c>
      <c r="Q164" s="8">
        <f>-Q156*HIPA_Rate</f>
        <v/>
      </c>
      <c r="R164" s="8">
        <f>-R156*HIPA_Rate</f>
        <v/>
      </c>
      <c r="S164" s="8">
        <f>-S156*HIPA_Rate</f>
        <v/>
      </c>
      <c r="T164" s="8">
        <f>-T156*HIPA_Rate</f>
        <v/>
      </c>
      <c r="U164" s="8">
        <f>-U156*HIPA_Rate</f>
        <v/>
      </c>
      <c r="V164" s="8">
        <f>-V156*HIPA_Rate</f>
        <v/>
      </c>
      <c r="W164" s="8">
        <f>-W156*HIPA_Rate</f>
        <v/>
      </c>
      <c r="X164" s="8">
        <f>-X156*HIPA_Rate</f>
        <v/>
      </c>
      <c r="Y164" s="8">
        <f>-Y156*HIPA_Rate</f>
        <v/>
      </c>
      <c r="Z164" s="8">
        <f>-Z156*HIPA_Rate</f>
        <v/>
      </c>
      <c r="AA164" s="8">
        <f>-AA156*HIPA_Rate</f>
        <v/>
      </c>
      <c r="AB164" s="8">
        <f>-AB156*HIPA_Rate</f>
        <v/>
      </c>
      <c r="AC164" s="8">
        <f>-AC156*HIPA_Rate</f>
        <v/>
      </c>
      <c r="AD164" s="8">
        <f>-AD156*HIPA_Rate</f>
        <v/>
      </c>
      <c r="AE164" s="8">
        <f>-AE156*HIPA_Rate</f>
        <v/>
      </c>
      <c r="AF164" s="8">
        <f>-AF156*HIPA_Rate</f>
        <v/>
      </c>
      <c r="AG164" s="8">
        <f>-AG156*HIPA_Rate</f>
        <v/>
      </c>
      <c r="AH164" s="8">
        <f>-AH156*HIPA_Rate</f>
        <v/>
      </c>
      <c r="AI164" s="8">
        <f>-AI156*HIPA_Rate</f>
        <v/>
      </c>
      <c r="AJ164" s="8">
        <f>-AJ156*HIPA_Rate</f>
        <v/>
      </c>
      <c r="AK164" s="8">
        <f>-AK156*HIPA_Rate</f>
        <v/>
      </c>
      <c r="AL164" s="8">
        <f>-AL156*HIPA_Rate</f>
        <v/>
      </c>
      <c r="AM164" s="8">
        <f>-AM156*HIPA_Rate</f>
        <v/>
      </c>
      <c r="AN164" s="8">
        <f>-AN156*HIPA_Rate</f>
        <v/>
      </c>
      <c r="AO164" s="8">
        <f>-AO156*HIPA_Rate</f>
        <v/>
      </c>
      <c r="AP164" s="8">
        <f>-AP156*HIPA_Rate</f>
        <v/>
      </c>
      <c r="AQ164" s="8">
        <f>-AQ156*HIPA_Rate</f>
        <v/>
      </c>
      <c r="AR164" s="8">
        <f>-AR156*HIPA_Rate</f>
        <v/>
      </c>
      <c r="AS164" s="8">
        <f>-AS156*HIPA_Rate</f>
        <v/>
      </c>
    </row>
    <row r="165">
      <c r="C165" s="1" t="inlineStr">
        <is>
          <t>EBITDA</t>
        </is>
      </c>
      <c r="D165" s="2" t="inlineStr">
        <is>
          <t>EUR k</t>
        </is>
      </c>
      <c r="H165" s="22">
        <f>SUM(J165:AS165)</f>
        <v/>
      </c>
      <c r="J165" s="22">
        <f>J156+SUM(J158:J164)</f>
        <v/>
      </c>
      <c r="K165" s="22">
        <f>K156+SUM(K158:K164)</f>
        <v/>
      </c>
      <c r="L165" s="22">
        <f>L156+SUM(L158:L164)</f>
        <v/>
      </c>
      <c r="M165" s="22">
        <f>M156+SUM(M158:M164)</f>
        <v/>
      </c>
      <c r="N165" s="22">
        <f>N156+SUM(N158:N164)</f>
        <v/>
      </c>
      <c r="O165" s="22">
        <f>O156+SUM(O158:O164)</f>
        <v/>
      </c>
      <c r="P165" s="22">
        <f>P156+SUM(P158:P164)</f>
        <v/>
      </c>
      <c r="Q165" s="22">
        <f>Q156+SUM(Q158:Q164)</f>
        <v/>
      </c>
      <c r="R165" s="22">
        <f>R156+SUM(R158:R164)</f>
        <v/>
      </c>
      <c r="S165" s="22">
        <f>S156+SUM(S158:S164)</f>
        <v/>
      </c>
      <c r="T165" s="22">
        <f>T156+SUM(T158:T164)</f>
        <v/>
      </c>
      <c r="U165" s="22">
        <f>U156+SUM(U158:U164)</f>
        <v/>
      </c>
      <c r="V165" s="22">
        <f>V156+SUM(V158:V164)</f>
        <v/>
      </c>
      <c r="W165" s="22">
        <f>W156+SUM(W158:W164)</f>
        <v/>
      </c>
      <c r="X165" s="22">
        <f>X156+SUM(X158:X164)</f>
        <v/>
      </c>
      <c r="Y165" s="22">
        <f>Y156+SUM(Y158:Y164)</f>
        <v/>
      </c>
      <c r="Z165" s="22">
        <f>Z156+SUM(Z158:Z164)</f>
        <v/>
      </c>
      <c r="AA165" s="22">
        <f>AA156+SUM(AA158:AA164)</f>
        <v/>
      </c>
      <c r="AB165" s="22">
        <f>AB156+SUM(AB158:AB164)</f>
        <v/>
      </c>
      <c r="AC165" s="22">
        <f>AC156+SUM(AC158:AC164)</f>
        <v/>
      </c>
      <c r="AD165" s="22">
        <f>AD156+SUM(AD158:AD164)</f>
        <v/>
      </c>
      <c r="AE165" s="22">
        <f>AE156+SUM(AE158:AE164)</f>
        <v/>
      </c>
      <c r="AF165" s="22">
        <f>AF156+SUM(AF158:AF164)</f>
        <v/>
      </c>
      <c r="AG165" s="22">
        <f>AG156+SUM(AG158:AG164)</f>
        <v/>
      </c>
      <c r="AH165" s="22">
        <f>AH156+SUM(AH158:AH164)</f>
        <v/>
      </c>
      <c r="AI165" s="22">
        <f>AI156+SUM(AI158:AI164)</f>
        <v/>
      </c>
      <c r="AJ165" s="22">
        <f>AJ156+SUM(AJ158:AJ164)</f>
        <v/>
      </c>
      <c r="AK165" s="22">
        <f>AK156+SUM(AK158:AK164)</f>
        <v/>
      </c>
      <c r="AL165" s="22">
        <f>AL156+SUM(AL158:AL164)</f>
        <v/>
      </c>
      <c r="AM165" s="22">
        <f>AM156+SUM(AM158:AM164)</f>
        <v/>
      </c>
      <c r="AN165" s="22">
        <f>AN156+SUM(AN158:AN164)</f>
        <v/>
      </c>
      <c r="AO165" s="22">
        <f>AO156+SUM(AO158:AO164)</f>
        <v/>
      </c>
      <c r="AP165" s="22">
        <f>AP156+SUM(AP158:AP164)</f>
        <v/>
      </c>
      <c r="AQ165" s="22">
        <f>AQ156+SUM(AQ158:AQ164)</f>
        <v/>
      </c>
      <c r="AR165" s="22">
        <f>AR156+SUM(AR158:AR164)</f>
        <v/>
      </c>
      <c r="AS165" s="22">
        <f>AS156+SUM(AS158:AS164)</f>
        <v/>
      </c>
    </row>
    <row r="166">
      <c r="C166" s="1" t="inlineStr">
        <is>
          <t>Unlevered pre-tax cash flow</t>
        </is>
      </c>
      <c r="D166" s="2" t="inlineStr">
        <is>
          <t>EUR k</t>
        </is>
      </c>
      <c r="H166" s="22">
        <f>SUM(J166:AS166)</f>
        <v/>
      </c>
      <c r="J166" s="22">
        <f>J152+J165</f>
        <v/>
      </c>
      <c r="K166" s="22">
        <f>K152+K165</f>
        <v/>
      </c>
      <c r="L166" s="22">
        <f>L152+L165</f>
        <v/>
      </c>
      <c r="M166" s="22">
        <f>M152+M165</f>
        <v/>
      </c>
      <c r="N166" s="22">
        <f>N152+N165</f>
        <v/>
      </c>
      <c r="O166" s="22">
        <f>O152+O165</f>
        <v/>
      </c>
      <c r="P166" s="22">
        <f>P152+P165</f>
        <v/>
      </c>
      <c r="Q166" s="22">
        <f>Q152+Q165</f>
        <v/>
      </c>
      <c r="R166" s="22">
        <f>R152+R165</f>
        <v/>
      </c>
      <c r="S166" s="22">
        <f>S152+S165</f>
        <v/>
      </c>
      <c r="T166" s="22">
        <f>T152+T165</f>
        <v/>
      </c>
      <c r="U166" s="22">
        <f>U152+U165</f>
        <v/>
      </c>
      <c r="V166" s="22">
        <f>V152+V165</f>
        <v/>
      </c>
      <c r="W166" s="22">
        <f>W152+W165</f>
        <v/>
      </c>
      <c r="X166" s="22">
        <f>X152+X165</f>
        <v/>
      </c>
      <c r="Y166" s="22">
        <f>Y152+Y165</f>
        <v/>
      </c>
      <c r="Z166" s="22">
        <f>Z152+Z165</f>
        <v/>
      </c>
      <c r="AA166" s="22">
        <f>AA152+AA165</f>
        <v/>
      </c>
      <c r="AB166" s="22">
        <f>AB152+AB165</f>
        <v/>
      </c>
      <c r="AC166" s="22">
        <f>AC152+AC165</f>
        <v/>
      </c>
      <c r="AD166" s="22">
        <f>AD152+AD165</f>
        <v/>
      </c>
      <c r="AE166" s="22">
        <f>AE152+AE165</f>
        <v/>
      </c>
      <c r="AF166" s="22">
        <f>AF152+AF165</f>
        <v/>
      </c>
      <c r="AG166" s="22">
        <f>AG152+AG165</f>
        <v/>
      </c>
      <c r="AH166" s="22">
        <f>AH152+AH165</f>
        <v/>
      </c>
      <c r="AI166" s="22">
        <f>AI152+AI165</f>
        <v/>
      </c>
      <c r="AJ166" s="22">
        <f>AJ152+AJ165</f>
        <v/>
      </c>
      <c r="AK166" s="22">
        <f>AK152+AK165</f>
        <v/>
      </c>
      <c r="AL166" s="22">
        <f>AL152+AL165</f>
        <v/>
      </c>
      <c r="AM166" s="22">
        <f>AM152+AM165</f>
        <v/>
      </c>
      <c r="AN166" s="22">
        <f>AN152+AN165</f>
        <v/>
      </c>
      <c r="AO166" s="22">
        <f>AO152+AO165</f>
        <v/>
      </c>
      <c r="AP166" s="22">
        <f>AP152+AP165</f>
        <v/>
      </c>
      <c r="AQ166" s="22">
        <f>AQ152+AQ165</f>
        <v/>
      </c>
      <c r="AR166" s="22">
        <f>AR152+AR165</f>
        <v/>
      </c>
      <c r="AS166" s="22">
        <f>AS152+AS165</f>
        <v/>
      </c>
    </row>
    <row r="167">
      <c r="C167" s="6" t="inlineStr">
        <is>
          <t>Discount factor to COD (buyer's rate)</t>
        </is>
      </c>
      <c r="D167" s="2" t="inlineStr">
        <is>
          <t>x</t>
        </is>
      </c>
      <c r="J167" s="27">
        <f>(1+Discount_Rate)^((Inputs!$E$27-J$139)/Days_In_Year)</f>
        <v/>
      </c>
      <c r="K167" s="27">
        <f>(1+Discount_Rate)^((Inputs!$E$27-K$139)/Days_In_Year)</f>
        <v/>
      </c>
      <c r="L167" s="27">
        <f>(1+Discount_Rate)^((Inputs!$E$27-L$139)/Days_In_Year)</f>
        <v/>
      </c>
      <c r="M167" s="27">
        <f>(1+Discount_Rate)^((Inputs!$E$27-M$139)/Days_In_Year)</f>
        <v/>
      </c>
      <c r="N167" s="27">
        <f>(1+Discount_Rate)^((Inputs!$E$27-N$139)/Days_In_Year)</f>
        <v/>
      </c>
      <c r="O167" s="27">
        <f>(1+Discount_Rate)^((Inputs!$E$27-O$139)/Days_In_Year)</f>
        <v/>
      </c>
      <c r="P167" s="27">
        <f>(1+Discount_Rate)^((Inputs!$E$27-P$139)/Days_In_Year)</f>
        <v/>
      </c>
      <c r="Q167" s="27">
        <f>(1+Discount_Rate)^((Inputs!$E$27-Q$139)/Days_In_Year)</f>
        <v/>
      </c>
      <c r="R167" s="27">
        <f>(1+Discount_Rate)^((Inputs!$E$27-R$139)/Days_In_Year)</f>
        <v/>
      </c>
      <c r="S167" s="27">
        <f>(1+Discount_Rate)^((Inputs!$E$27-S$139)/Days_In_Year)</f>
        <v/>
      </c>
      <c r="T167" s="27">
        <f>(1+Discount_Rate)^((Inputs!$E$27-T$139)/Days_In_Year)</f>
        <v/>
      </c>
      <c r="U167" s="27">
        <f>(1+Discount_Rate)^((Inputs!$E$27-U$139)/Days_In_Year)</f>
        <v/>
      </c>
      <c r="V167" s="27">
        <f>(1+Discount_Rate)^((Inputs!$E$27-V$139)/Days_In_Year)</f>
        <v/>
      </c>
      <c r="W167" s="27">
        <f>(1+Discount_Rate)^((Inputs!$E$27-W$139)/Days_In_Year)</f>
        <v/>
      </c>
      <c r="X167" s="27">
        <f>(1+Discount_Rate)^((Inputs!$E$27-X$139)/Days_In_Year)</f>
        <v/>
      </c>
      <c r="Y167" s="27">
        <f>(1+Discount_Rate)^((Inputs!$E$27-Y$139)/Days_In_Year)</f>
        <v/>
      </c>
      <c r="Z167" s="27">
        <f>(1+Discount_Rate)^((Inputs!$E$27-Z$139)/Days_In_Year)</f>
        <v/>
      </c>
      <c r="AA167" s="27">
        <f>(1+Discount_Rate)^((Inputs!$E$27-AA$139)/Days_In_Year)</f>
        <v/>
      </c>
      <c r="AB167" s="27">
        <f>(1+Discount_Rate)^((Inputs!$E$27-AB$139)/Days_In_Year)</f>
        <v/>
      </c>
      <c r="AC167" s="27">
        <f>(1+Discount_Rate)^((Inputs!$E$27-AC$139)/Days_In_Year)</f>
        <v/>
      </c>
      <c r="AD167" s="27">
        <f>(1+Discount_Rate)^((Inputs!$E$27-AD$139)/Days_In_Year)</f>
        <v/>
      </c>
      <c r="AE167" s="27">
        <f>(1+Discount_Rate)^((Inputs!$E$27-AE$139)/Days_In_Year)</f>
        <v/>
      </c>
      <c r="AF167" s="27">
        <f>(1+Discount_Rate)^((Inputs!$E$27-AF$139)/Days_In_Year)</f>
        <v/>
      </c>
      <c r="AG167" s="27">
        <f>(1+Discount_Rate)^((Inputs!$E$27-AG$139)/Days_In_Year)</f>
        <v/>
      </c>
      <c r="AH167" s="27">
        <f>(1+Discount_Rate)^((Inputs!$E$27-AH$139)/Days_In_Year)</f>
        <v/>
      </c>
      <c r="AI167" s="27">
        <f>(1+Discount_Rate)^((Inputs!$E$27-AI$139)/Days_In_Year)</f>
        <v/>
      </c>
      <c r="AJ167" s="27">
        <f>(1+Discount_Rate)^((Inputs!$E$27-AJ$139)/Days_In_Year)</f>
        <v/>
      </c>
      <c r="AK167" s="27">
        <f>(1+Discount_Rate)^((Inputs!$E$27-AK$139)/Days_In_Year)</f>
        <v/>
      </c>
      <c r="AL167" s="27">
        <f>(1+Discount_Rate)^((Inputs!$E$27-AL$139)/Days_In_Year)</f>
        <v/>
      </c>
      <c r="AM167" s="27">
        <f>(1+Discount_Rate)^((Inputs!$E$27-AM$139)/Days_In_Year)</f>
        <v/>
      </c>
      <c r="AN167" s="27">
        <f>(1+Discount_Rate)^((Inputs!$E$27-AN$139)/Days_In_Year)</f>
        <v/>
      </c>
      <c r="AO167" s="27">
        <f>(1+Discount_Rate)^((Inputs!$E$27-AO$139)/Days_In_Year)</f>
        <v/>
      </c>
      <c r="AP167" s="27">
        <f>(1+Discount_Rate)^((Inputs!$E$27-AP$139)/Days_In_Year)</f>
        <v/>
      </c>
      <c r="AQ167" s="27">
        <f>(1+Discount_Rate)^((Inputs!$E$27-AQ$139)/Days_In_Year)</f>
        <v/>
      </c>
      <c r="AR167" s="27">
        <f>(1+Discount_Rate)^((Inputs!$E$27-AR$139)/Days_In_Year)</f>
        <v/>
      </c>
      <c r="AS167" s="27">
        <f>(1+Discount_Rate)^((Inputs!$E$27-AS$139)/Days_In_Year)</f>
        <v/>
      </c>
    </row>
    <row r="168">
      <c r="C168" s="6" t="inlineStr">
        <is>
          <t>EBITDA valued at COD (total = COD price)</t>
        </is>
      </c>
      <c r="D168" s="2" t="inlineStr">
        <is>
          <t>EUR k</t>
        </is>
      </c>
      <c r="H168" s="8">
        <f>SUM(J168:AS168)</f>
        <v/>
      </c>
      <c r="J168" s="8">
        <f>J165*J167</f>
        <v/>
      </c>
      <c r="K168" s="8">
        <f>K165*K167</f>
        <v/>
      </c>
      <c r="L168" s="8">
        <f>L165*L167</f>
        <v/>
      </c>
      <c r="M168" s="8">
        <f>M165*M167</f>
        <v/>
      </c>
      <c r="N168" s="8">
        <f>N165*N167</f>
        <v/>
      </c>
      <c r="O168" s="8">
        <f>O165*O167</f>
        <v/>
      </c>
      <c r="P168" s="8">
        <f>P165*P167</f>
        <v/>
      </c>
      <c r="Q168" s="8">
        <f>Q165*Q167</f>
        <v/>
      </c>
      <c r="R168" s="8">
        <f>R165*R167</f>
        <v/>
      </c>
      <c r="S168" s="8">
        <f>S165*S167</f>
        <v/>
      </c>
      <c r="T168" s="8">
        <f>T165*T167</f>
        <v/>
      </c>
      <c r="U168" s="8">
        <f>U165*U167</f>
        <v/>
      </c>
      <c r="V168" s="8">
        <f>V165*V167</f>
        <v/>
      </c>
      <c r="W168" s="8">
        <f>W165*W167</f>
        <v/>
      </c>
      <c r="X168" s="8">
        <f>X165*X167</f>
        <v/>
      </c>
      <c r="Y168" s="8">
        <f>Y165*Y167</f>
        <v/>
      </c>
      <c r="Z168" s="8">
        <f>Z165*Z167</f>
        <v/>
      </c>
      <c r="AA168" s="8">
        <f>AA165*AA167</f>
        <v/>
      </c>
      <c r="AB168" s="8">
        <f>AB165*AB167</f>
        <v/>
      </c>
      <c r="AC168" s="8">
        <f>AC165*AC167</f>
        <v/>
      </c>
      <c r="AD168" s="8">
        <f>AD165*AD167</f>
        <v/>
      </c>
      <c r="AE168" s="8">
        <f>AE165*AE167</f>
        <v/>
      </c>
      <c r="AF168" s="8">
        <f>AF165*AF167</f>
        <v/>
      </c>
      <c r="AG168" s="8">
        <f>AG165*AG167</f>
        <v/>
      </c>
      <c r="AH168" s="8">
        <f>AH165*AH167</f>
        <v/>
      </c>
      <c r="AI168" s="8">
        <f>AI165*AI167</f>
        <v/>
      </c>
      <c r="AJ168" s="8">
        <f>AJ165*AJ167</f>
        <v/>
      </c>
      <c r="AK168" s="8">
        <f>AK165*AK167</f>
        <v/>
      </c>
      <c r="AL168" s="8">
        <f>AL165*AL167</f>
        <v/>
      </c>
      <c r="AM168" s="8">
        <f>AM165*AM167</f>
        <v/>
      </c>
      <c r="AN168" s="8">
        <f>AN165*AN167</f>
        <v/>
      </c>
      <c r="AO168" s="8">
        <f>AO165*AO167</f>
        <v/>
      </c>
      <c r="AP168" s="8">
        <f>AP165*AP167</f>
        <v/>
      </c>
      <c r="AQ168" s="8">
        <f>AQ165*AQ167</f>
        <v/>
      </c>
      <c r="AR168" s="8">
        <f>AR165*AR167</f>
        <v/>
      </c>
      <c r="AS168" s="8">
        <f>AS165*AS167</f>
        <v/>
      </c>
    </row>
    <row r="169">
      <c r="C169" s="1" t="inlineStr">
        <is>
          <t>COD exit: FEP cash flow (to COD, price and securities at COD)</t>
        </is>
      </c>
      <c r="D169" s="2" t="inlineStr">
        <is>
          <t>EUR k</t>
        </is>
      </c>
      <c r="H169" s="22">
        <f>SUM(J169:AS169)</f>
        <v/>
      </c>
      <c r="J169" s="22">
        <f>J152*(J142&lt;=0)+J147*($H168+$E$71+$E$72)</f>
        <v/>
      </c>
      <c r="K169" s="22">
        <f>K152*(K142&lt;=0)+K147*($H168+$E$71+$E$72)</f>
        <v/>
      </c>
      <c r="L169" s="22">
        <f>L152*(L142&lt;=0)+L147*($H168+$E$71+$E$72)</f>
        <v/>
      </c>
      <c r="M169" s="22">
        <f>M152*(M142&lt;=0)+M147*($H168+$E$71+$E$72)</f>
        <v/>
      </c>
      <c r="N169" s="22">
        <f>N152*(N142&lt;=0)+N147*($H168+$E$71+$E$72)</f>
        <v/>
      </c>
      <c r="O169" s="22">
        <f>O152*(O142&lt;=0)+O147*($H168+$E$71+$E$72)</f>
        <v/>
      </c>
      <c r="P169" s="22">
        <f>P152*(P142&lt;=0)+P147*($H168+$E$71+$E$72)</f>
        <v/>
      </c>
      <c r="Q169" s="22">
        <f>Q152*(Q142&lt;=0)+Q147*($H168+$E$71+$E$72)</f>
        <v/>
      </c>
      <c r="R169" s="22">
        <f>R152*(R142&lt;=0)+R147*($H168+$E$71+$E$72)</f>
        <v/>
      </c>
      <c r="S169" s="22">
        <f>S152*(S142&lt;=0)+S147*($H168+$E$71+$E$72)</f>
        <v/>
      </c>
      <c r="T169" s="22">
        <f>T152*(T142&lt;=0)+T147*($H168+$E$71+$E$72)</f>
        <v/>
      </c>
      <c r="U169" s="22">
        <f>U152*(U142&lt;=0)+U147*($H168+$E$71+$E$72)</f>
        <v/>
      </c>
      <c r="V169" s="22">
        <f>V152*(V142&lt;=0)+V147*($H168+$E$71+$E$72)</f>
        <v/>
      </c>
      <c r="W169" s="22">
        <f>W152*(W142&lt;=0)+W147*($H168+$E$71+$E$72)</f>
        <v/>
      </c>
      <c r="X169" s="22">
        <f>X152*(X142&lt;=0)+X147*($H168+$E$71+$E$72)</f>
        <v/>
      </c>
      <c r="Y169" s="22">
        <f>Y152*(Y142&lt;=0)+Y147*($H168+$E$71+$E$72)</f>
        <v/>
      </c>
      <c r="Z169" s="22">
        <f>Z152*(Z142&lt;=0)+Z147*($H168+$E$71+$E$72)</f>
        <v/>
      </c>
      <c r="AA169" s="22">
        <f>AA152*(AA142&lt;=0)+AA147*($H168+$E$71+$E$72)</f>
        <v/>
      </c>
      <c r="AB169" s="22">
        <f>AB152*(AB142&lt;=0)+AB147*($H168+$E$71+$E$72)</f>
        <v/>
      </c>
      <c r="AC169" s="22">
        <f>AC152*(AC142&lt;=0)+AC147*($H168+$E$71+$E$72)</f>
        <v/>
      </c>
      <c r="AD169" s="22">
        <f>AD152*(AD142&lt;=0)+AD147*($H168+$E$71+$E$72)</f>
        <v/>
      </c>
      <c r="AE169" s="22">
        <f>AE152*(AE142&lt;=0)+AE147*($H168+$E$71+$E$72)</f>
        <v/>
      </c>
      <c r="AF169" s="22">
        <f>AF152*(AF142&lt;=0)+AF147*($H168+$E$71+$E$72)</f>
        <v/>
      </c>
      <c r="AG169" s="22">
        <f>AG152*(AG142&lt;=0)+AG147*($H168+$E$71+$E$72)</f>
        <v/>
      </c>
      <c r="AH169" s="22">
        <f>AH152*(AH142&lt;=0)+AH147*($H168+$E$71+$E$72)</f>
        <v/>
      </c>
      <c r="AI169" s="22">
        <f>AI152*(AI142&lt;=0)+AI147*($H168+$E$71+$E$72)</f>
        <v/>
      </c>
      <c r="AJ169" s="22">
        <f>AJ152*(AJ142&lt;=0)+AJ147*($H168+$E$71+$E$72)</f>
        <v/>
      </c>
      <c r="AK169" s="22">
        <f>AK152*(AK142&lt;=0)+AK147*($H168+$E$71+$E$72)</f>
        <v/>
      </c>
      <c r="AL169" s="22">
        <f>AL152*(AL142&lt;=0)+AL147*($H168+$E$71+$E$72)</f>
        <v/>
      </c>
      <c r="AM169" s="22">
        <f>AM152*(AM142&lt;=0)+AM147*($H168+$E$71+$E$72)</f>
        <v/>
      </c>
      <c r="AN169" s="22">
        <f>AN152*(AN142&lt;=0)+AN147*($H168+$E$71+$E$72)</f>
        <v/>
      </c>
      <c r="AO169" s="22">
        <f>AO152*(AO142&lt;=0)+AO147*($H168+$E$71+$E$72)</f>
        <v/>
      </c>
      <c r="AP169" s="22">
        <f>AP152*(AP142&lt;=0)+AP147*($H168+$E$71+$E$72)</f>
        <v/>
      </c>
      <c r="AQ169" s="22">
        <f>AQ152*(AQ142&lt;=0)+AQ147*($H168+$E$71+$E$72)</f>
        <v/>
      </c>
      <c r="AR169" s="22">
        <f>AR152*(AR142&lt;=0)+AR147*($H168+$E$71+$E$72)</f>
        <v/>
      </c>
      <c r="AS169" s="22">
        <f>AS152*(AS142&lt;=0)+AS147*($H168+$E$71+$E$72)</f>
        <v/>
      </c>
    </row>
    <row r="171">
      <c r="B171" s="4" t="inlineStr">
        <is>
          <t>x</t>
        </is>
      </c>
      <c r="C171" s="4" t="inlineStr">
        <is>
          <t>Iváncsa: annual cash flow (EUR k)</t>
        </is>
      </c>
      <c r="D171" s="4" t="n"/>
      <c r="E171" s="5" t="n"/>
      <c r="F171" s="5" t="inlineStr">
        <is>
          <t>Value</t>
        </is>
      </c>
      <c r="G171" s="5" t="n"/>
      <c r="H171" s="5" t="inlineStr">
        <is>
          <t>Total</t>
        </is>
      </c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</row>
    <row r="172">
      <c r="C172" s="6" t="inlineStr">
        <is>
          <t>Years from the COD year</t>
        </is>
      </c>
      <c r="D172" s="2" t="inlineStr">
        <is>
          <t>years</t>
        </is>
      </c>
      <c r="J172" s="23">
        <f>J$138-YEAR(Inputs!$F$27)</f>
        <v/>
      </c>
      <c r="K172" s="23">
        <f>K$138-YEAR(Inputs!$F$27)</f>
        <v/>
      </c>
      <c r="L172" s="23">
        <f>L$138-YEAR(Inputs!$F$27)</f>
        <v/>
      </c>
      <c r="M172" s="23">
        <f>M$138-YEAR(Inputs!$F$27)</f>
        <v/>
      </c>
      <c r="N172" s="23">
        <f>N$138-YEAR(Inputs!$F$27)</f>
        <v/>
      </c>
      <c r="O172" s="23">
        <f>O$138-YEAR(Inputs!$F$27)</f>
        <v/>
      </c>
      <c r="P172" s="23">
        <f>P$138-YEAR(Inputs!$F$27)</f>
        <v/>
      </c>
      <c r="Q172" s="23">
        <f>Q$138-YEAR(Inputs!$F$27)</f>
        <v/>
      </c>
      <c r="R172" s="23">
        <f>R$138-YEAR(Inputs!$F$27)</f>
        <v/>
      </c>
      <c r="S172" s="23">
        <f>S$138-YEAR(Inputs!$F$27)</f>
        <v/>
      </c>
      <c r="T172" s="23">
        <f>T$138-YEAR(Inputs!$F$27)</f>
        <v/>
      </c>
      <c r="U172" s="23">
        <f>U$138-YEAR(Inputs!$F$27)</f>
        <v/>
      </c>
      <c r="V172" s="23">
        <f>V$138-YEAR(Inputs!$F$27)</f>
        <v/>
      </c>
      <c r="W172" s="23">
        <f>W$138-YEAR(Inputs!$F$27)</f>
        <v/>
      </c>
      <c r="X172" s="23">
        <f>X$138-YEAR(Inputs!$F$27)</f>
        <v/>
      </c>
      <c r="Y172" s="23">
        <f>Y$138-YEAR(Inputs!$F$27)</f>
        <v/>
      </c>
      <c r="Z172" s="23">
        <f>Z$138-YEAR(Inputs!$F$27)</f>
        <v/>
      </c>
      <c r="AA172" s="23">
        <f>AA$138-YEAR(Inputs!$F$27)</f>
        <v/>
      </c>
      <c r="AB172" s="23">
        <f>AB$138-YEAR(Inputs!$F$27)</f>
        <v/>
      </c>
      <c r="AC172" s="23">
        <f>AC$138-YEAR(Inputs!$F$27)</f>
        <v/>
      </c>
      <c r="AD172" s="23">
        <f>AD$138-YEAR(Inputs!$F$27)</f>
        <v/>
      </c>
      <c r="AE172" s="23">
        <f>AE$138-YEAR(Inputs!$F$27)</f>
        <v/>
      </c>
      <c r="AF172" s="23">
        <f>AF$138-YEAR(Inputs!$F$27)</f>
        <v/>
      </c>
      <c r="AG172" s="23">
        <f>AG$138-YEAR(Inputs!$F$27)</f>
        <v/>
      </c>
      <c r="AH172" s="23">
        <f>AH$138-YEAR(Inputs!$F$27)</f>
        <v/>
      </c>
      <c r="AI172" s="23">
        <f>AI$138-YEAR(Inputs!$F$27)</f>
        <v/>
      </c>
      <c r="AJ172" s="23">
        <f>AJ$138-YEAR(Inputs!$F$27)</f>
        <v/>
      </c>
      <c r="AK172" s="23">
        <f>AK$138-YEAR(Inputs!$F$27)</f>
        <v/>
      </c>
      <c r="AL172" s="23">
        <f>AL$138-YEAR(Inputs!$F$27)</f>
        <v/>
      </c>
      <c r="AM172" s="23">
        <f>AM$138-YEAR(Inputs!$F$27)</f>
        <v/>
      </c>
      <c r="AN172" s="23">
        <f>AN$138-YEAR(Inputs!$F$27)</f>
        <v/>
      </c>
      <c r="AO172" s="23">
        <f>AO$138-YEAR(Inputs!$F$27)</f>
        <v/>
      </c>
      <c r="AP172" s="23">
        <f>AP$138-YEAR(Inputs!$F$27)</f>
        <v/>
      </c>
      <c r="AQ172" s="23">
        <f>AQ$138-YEAR(Inputs!$F$27)</f>
        <v/>
      </c>
      <c r="AR172" s="23">
        <f>AR$138-YEAR(Inputs!$F$27)</f>
        <v/>
      </c>
      <c r="AS172" s="23">
        <f>AS$138-YEAR(Inputs!$F$27)</f>
        <v/>
      </c>
    </row>
    <row r="173">
      <c r="C173" s="6" t="inlineStr">
        <is>
          <t>Construction months by year end (value: construction period)</t>
        </is>
      </c>
      <c r="D173" s="2" t="inlineStr">
        <is>
          <t>months</t>
        </is>
      </c>
      <c r="F173" s="23">
        <f>DATEDIF(Inputs!$F$26,Inputs!$F$27,"m")</f>
        <v/>
      </c>
      <c r="J173" s="23">
        <f>(J$138+1-YEAR(Inputs!$F$26))*Months_In_Year-MONTH(Inputs!$F$26)</f>
        <v/>
      </c>
      <c r="K173" s="23">
        <f>(K$138+1-YEAR(Inputs!$F$26))*Months_In_Year-MONTH(Inputs!$F$26)</f>
        <v/>
      </c>
      <c r="L173" s="23">
        <f>(L$138+1-YEAR(Inputs!$F$26))*Months_In_Year-MONTH(Inputs!$F$26)</f>
        <v/>
      </c>
      <c r="M173" s="23">
        <f>(M$138+1-YEAR(Inputs!$F$26))*Months_In_Year-MONTH(Inputs!$F$26)</f>
        <v/>
      </c>
      <c r="N173" s="23">
        <f>(N$138+1-YEAR(Inputs!$F$26))*Months_In_Year-MONTH(Inputs!$F$26)</f>
        <v/>
      </c>
      <c r="O173" s="23">
        <f>(O$138+1-YEAR(Inputs!$F$26))*Months_In_Year-MONTH(Inputs!$F$26)</f>
        <v/>
      </c>
      <c r="P173" s="23">
        <f>(P$138+1-YEAR(Inputs!$F$26))*Months_In_Year-MONTH(Inputs!$F$26)</f>
        <v/>
      </c>
      <c r="Q173" s="23">
        <f>(Q$138+1-YEAR(Inputs!$F$26))*Months_In_Year-MONTH(Inputs!$F$26)</f>
        <v/>
      </c>
      <c r="R173" s="23">
        <f>(R$138+1-YEAR(Inputs!$F$26))*Months_In_Year-MONTH(Inputs!$F$26)</f>
        <v/>
      </c>
      <c r="S173" s="23">
        <f>(S$138+1-YEAR(Inputs!$F$26))*Months_In_Year-MONTH(Inputs!$F$26)</f>
        <v/>
      </c>
      <c r="T173" s="23">
        <f>(T$138+1-YEAR(Inputs!$F$26))*Months_In_Year-MONTH(Inputs!$F$26)</f>
        <v/>
      </c>
      <c r="U173" s="23">
        <f>(U$138+1-YEAR(Inputs!$F$26))*Months_In_Year-MONTH(Inputs!$F$26)</f>
        <v/>
      </c>
      <c r="V173" s="23">
        <f>(V$138+1-YEAR(Inputs!$F$26))*Months_In_Year-MONTH(Inputs!$F$26)</f>
        <v/>
      </c>
      <c r="W173" s="23">
        <f>(W$138+1-YEAR(Inputs!$F$26))*Months_In_Year-MONTH(Inputs!$F$26)</f>
        <v/>
      </c>
      <c r="X173" s="23">
        <f>(X$138+1-YEAR(Inputs!$F$26))*Months_In_Year-MONTH(Inputs!$F$26)</f>
        <v/>
      </c>
      <c r="Y173" s="23">
        <f>(Y$138+1-YEAR(Inputs!$F$26))*Months_In_Year-MONTH(Inputs!$F$26)</f>
        <v/>
      </c>
      <c r="Z173" s="23">
        <f>(Z$138+1-YEAR(Inputs!$F$26))*Months_In_Year-MONTH(Inputs!$F$26)</f>
        <v/>
      </c>
      <c r="AA173" s="23">
        <f>(AA$138+1-YEAR(Inputs!$F$26))*Months_In_Year-MONTH(Inputs!$F$26)</f>
        <v/>
      </c>
      <c r="AB173" s="23">
        <f>(AB$138+1-YEAR(Inputs!$F$26))*Months_In_Year-MONTH(Inputs!$F$26)</f>
        <v/>
      </c>
      <c r="AC173" s="23">
        <f>(AC$138+1-YEAR(Inputs!$F$26))*Months_In_Year-MONTH(Inputs!$F$26)</f>
        <v/>
      </c>
      <c r="AD173" s="23">
        <f>(AD$138+1-YEAR(Inputs!$F$26))*Months_In_Year-MONTH(Inputs!$F$26)</f>
        <v/>
      </c>
      <c r="AE173" s="23">
        <f>(AE$138+1-YEAR(Inputs!$F$26))*Months_In_Year-MONTH(Inputs!$F$26)</f>
        <v/>
      </c>
      <c r="AF173" s="23">
        <f>(AF$138+1-YEAR(Inputs!$F$26))*Months_In_Year-MONTH(Inputs!$F$26)</f>
        <v/>
      </c>
      <c r="AG173" s="23">
        <f>(AG$138+1-YEAR(Inputs!$F$26))*Months_In_Year-MONTH(Inputs!$F$26)</f>
        <v/>
      </c>
      <c r="AH173" s="23">
        <f>(AH$138+1-YEAR(Inputs!$F$26))*Months_In_Year-MONTH(Inputs!$F$26)</f>
        <v/>
      </c>
      <c r="AI173" s="23">
        <f>(AI$138+1-YEAR(Inputs!$F$26))*Months_In_Year-MONTH(Inputs!$F$26)</f>
        <v/>
      </c>
      <c r="AJ173" s="23">
        <f>(AJ$138+1-YEAR(Inputs!$F$26))*Months_In_Year-MONTH(Inputs!$F$26)</f>
        <v/>
      </c>
      <c r="AK173" s="23">
        <f>(AK$138+1-YEAR(Inputs!$F$26))*Months_In_Year-MONTH(Inputs!$F$26)</f>
        <v/>
      </c>
      <c r="AL173" s="23">
        <f>(AL$138+1-YEAR(Inputs!$F$26))*Months_In_Year-MONTH(Inputs!$F$26)</f>
        <v/>
      </c>
      <c r="AM173" s="23">
        <f>(AM$138+1-YEAR(Inputs!$F$26))*Months_In_Year-MONTH(Inputs!$F$26)</f>
        <v/>
      </c>
      <c r="AN173" s="23">
        <f>(AN$138+1-YEAR(Inputs!$F$26))*Months_In_Year-MONTH(Inputs!$F$26)</f>
        <v/>
      </c>
      <c r="AO173" s="23">
        <f>(AO$138+1-YEAR(Inputs!$F$26))*Months_In_Year-MONTH(Inputs!$F$26)</f>
        <v/>
      </c>
      <c r="AP173" s="23">
        <f>(AP$138+1-YEAR(Inputs!$F$26))*Months_In_Year-MONTH(Inputs!$F$26)</f>
        <v/>
      </c>
      <c r="AQ173" s="23">
        <f>(AQ$138+1-YEAR(Inputs!$F$26))*Months_In_Year-MONTH(Inputs!$F$26)</f>
        <v/>
      </c>
      <c r="AR173" s="23">
        <f>(AR$138+1-YEAR(Inputs!$F$26))*Months_In_Year-MONTH(Inputs!$F$26)</f>
        <v/>
      </c>
      <c r="AS173" s="23">
        <f>(AS$138+1-YEAR(Inputs!$F$26))*Months_In_Year-MONTH(Inputs!$F$26)</f>
        <v/>
      </c>
    </row>
    <row r="174">
      <c r="C174" s="6" t="inlineStr">
        <is>
          <t>Construction share of the year (NTP to COD)</t>
        </is>
      </c>
      <c r="D174" s="2" t="inlineStr">
        <is>
          <t>%</t>
        </is>
      </c>
      <c r="H174" s="25">
        <f>SUM(J174:AS174)</f>
        <v/>
      </c>
      <c r="J174" s="17">
        <f>MAX(0,MIN(J173,$F173)-MAX(J173-Months_In_Year,0))/$F173</f>
        <v/>
      </c>
      <c r="K174" s="17">
        <f>MAX(0,MIN(K173,$F173)-MAX(K173-Months_In_Year,0))/$F173</f>
        <v/>
      </c>
      <c r="L174" s="17">
        <f>MAX(0,MIN(L173,$F173)-MAX(L173-Months_In_Year,0))/$F173</f>
        <v/>
      </c>
      <c r="M174" s="17">
        <f>MAX(0,MIN(M173,$F173)-MAX(M173-Months_In_Year,0))/$F173</f>
        <v/>
      </c>
      <c r="N174" s="17">
        <f>MAX(0,MIN(N173,$F173)-MAX(N173-Months_In_Year,0))/$F173</f>
        <v/>
      </c>
      <c r="O174" s="17">
        <f>MAX(0,MIN(O173,$F173)-MAX(O173-Months_In_Year,0))/$F173</f>
        <v/>
      </c>
      <c r="P174" s="17">
        <f>MAX(0,MIN(P173,$F173)-MAX(P173-Months_In_Year,0))/$F173</f>
        <v/>
      </c>
      <c r="Q174" s="17">
        <f>MAX(0,MIN(Q173,$F173)-MAX(Q173-Months_In_Year,0))/$F173</f>
        <v/>
      </c>
      <c r="R174" s="17">
        <f>MAX(0,MIN(R173,$F173)-MAX(R173-Months_In_Year,0))/$F173</f>
        <v/>
      </c>
      <c r="S174" s="17">
        <f>MAX(0,MIN(S173,$F173)-MAX(S173-Months_In_Year,0))/$F173</f>
        <v/>
      </c>
      <c r="T174" s="17">
        <f>MAX(0,MIN(T173,$F173)-MAX(T173-Months_In_Year,0))/$F173</f>
        <v/>
      </c>
      <c r="U174" s="17">
        <f>MAX(0,MIN(U173,$F173)-MAX(U173-Months_In_Year,0))/$F173</f>
        <v/>
      </c>
      <c r="V174" s="17">
        <f>MAX(0,MIN(V173,$F173)-MAX(V173-Months_In_Year,0))/$F173</f>
        <v/>
      </c>
      <c r="W174" s="17">
        <f>MAX(0,MIN(W173,$F173)-MAX(W173-Months_In_Year,0))/$F173</f>
        <v/>
      </c>
      <c r="X174" s="17">
        <f>MAX(0,MIN(X173,$F173)-MAX(X173-Months_In_Year,0))/$F173</f>
        <v/>
      </c>
      <c r="Y174" s="17">
        <f>MAX(0,MIN(Y173,$F173)-MAX(Y173-Months_In_Year,0))/$F173</f>
        <v/>
      </c>
      <c r="Z174" s="17">
        <f>MAX(0,MIN(Z173,$F173)-MAX(Z173-Months_In_Year,0))/$F173</f>
        <v/>
      </c>
      <c r="AA174" s="17">
        <f>MAX(0,MIN(AA173,$F173)-MAX(AA173-Months_In_Year,0))/$F173</f>
        <v/>
      </c>
      <c r="AB174" s="17">
        <f>MAX(0,MIN(AB173,$F173)-MAX(AB173-Months_In_Year,0))/$F173</f>
        <v/>
      </c>
      <c r="AC174" s="17">
        <f>MAX(0,MIN(AC173,$F173)-MAX(AC173-Months_In_Year,0))/$F173</f>
        <v/>
      </c>
      <c r="AD174" s="17">
        <f>MAX(0,MIN(AD173,$F173)-MAX(AD173-Months_In_Year,0))/$F173</f>
        <v/>
      </c>
      <c r="AE174" s="17">
        <f>MAX(0,MIN(AE173,$F173)-MAX(AE173-Months_In_Year,0))/$F173</f>
        <v/>
      </c>
      <c r="AF174" s="17">
        <f>MAX(0,MIN(AF173,$F173)-MAX(AF173-Months_In_Year,0))/$F173</f>
        <v/>
      </c>
      <c r="AG174" s="17">
        <f>MAX(0,MIN(AG173,$F173)-MAX(AG173-Months_In_Year,0))/$F173</f>
        <v/>
      </c>
      <c r="AH174" s="17">
        <f>MAX(0,MIN(AH173,$F173)-MAX(AH173-Months_In_Year,0))/$F173</f>
        <v/>
      </c>
      <c r="AI174" s="17">
        <f>MAX(0,MIN(AI173,$F173)-MAX(AI173-Months_In_Year,0))/$F173</f>
        <v/>
      </c>
      <c r="AJ174" s="17">
        <f>MAX(0,MIN(AJ173,$F173)-MAX(AJ173-Months_In_Year,0))/$F173</f>
        <v/>
      </c>
      <c r="AK174" s="17">
        <f>MAX(0,MIN(AK173,$F173)-MAX(AK173-Months_In_Year,0))/$F173</f>
        <v/>
      </c>
      <c r="AL174" s="17">
        <f>MAX(0,MIN(AL173,$F173)-MAX(AL173-Months_In_Year,0))/$F173</f>
        <v/>
      </c>
      <c r="AM174" s="17">
        <f>MAX(0,MIN(AM173,$F173)-MAX(AM173-Months_In_Year,0))/$F173</f>
        <v/>
      </c>
      <c r="AN174" s="17">
        <f>MAX(0,MIN(AN173,$F173)-MAX(AN173-Months_In_Year,0))/$F173</f>
        <v/>
      </c>
      <c r="AO174" s="17">
        <f>MAX(0,MIN(AO173,$F173)-MAX(AO173-Months_In_Year,0))/$F173</f>
        <v/>
      </c>
      <c r="AP174" s="17">
        <f>MAX(0,MIN(AP173,$F173)-MAX(AP173-Months_In_Year,0))/$F173</f>
        <v/>
      </c>
      <c r="AQ174" s="17">
        <f>MAX(0,MIN(AQ173,$F173)-MAX(AQ173-Months_In_Year,0))/$F173</f>
        <v/>
      </c>
      <c r="AR174" s="17">
        <f>MAX(0,MIN(AR173,$F173)-MAX(AR173-Months_In_Year,0))/$F173</f>
        <v/>
      </c>
      <c r="AS174" s="17">
        <f>MAX(0,MIN(AS173,$F173)-MAX(AS173-Months_In_Year,0))/$F173</f>
        <v/>
      </c>
    </row>
    <row r="175">
      <c r="C175" s="6" t="inlineStr">
        <is>
          <t>Months operated by year end (value: operating life)</t>
        </is>
      </c>
      <c r="D175" s="2" t="inlineStr">
        <is>
          <t>months</t>
        </is>
      </c>
      <c r="F175" s="23">
        <f>Life*Months_In_Year</f>
        <v/>
      </c>
      <c r="J175" s="23">
        <f>(J$138+1-YEAR(Inputs!$F$27))*Months_In_Year-MONTH(Inputs!$F$27)</f>
        <v/>
      </c>
      <c r="K175" s="23">
        <f>(K$138+1-YEAR(Inputs!$F$27))*Months_In_Year-MONTH(Inputs!$F$27)</f>
        <v/>
      </c>
      <c r="L175" s="23">
        <f>(L$138+1-YEAR(Inputs!$F$27))*Months_In_Year-MONTH(Inputs!$F$27)</f>
        <v/>
      </c>
      <c r="M175" s="23">
        <f>(M$138+1-YEAR(Inputs!$F$27))*Months_In_Year-MONTH(Inputs!$F$27)</f>
        <v/>
      </c>
      <c r="N175" s="23">
        <f>(N$138+1-YEAR(Inputs!$F$27))*Months_In_Year-MONTH(Inputs!$F$27)</f>
        <v/>
      </c>
      <c r="O175" s="23">
        <f>(O$138+1-YEAR(Inputs!$F$27))*Months_In_Year-MONTH(Inputs!$F$27)</f>
        <v/>
      </c>
      <c r="P175" s="23">
        <f>(P$138+1-YEAR(Inputs!$F$27))*Months_In_Year-MONTH(Inputs!$F$27)</f>
        <v/>
      </c>
      <c r="Q175" s="23">
        <f>(Q$138+1-YEAR(Inputs!$F$27))*Months_In_Year-MONTH(Inputs!$F$27)</f>
        <v/>
      </c>
      <c r="R175" s="23">
        <f>(R$138+1-YEAR(Inputs!$F$27))*Months_In_Year-MONTH(Inputs!$F$27)</f>
        <v/>
      </c>
      <c r="S175" s="23">
        <f>(S$138+1-YEAR(Inputs!$F$27))*Months_In_Year-MONTH(Inputs!$F$27)</f>
        <v/>
      </c>
      <c r="T175" s="23">
        <f>(T$138+1-YEAR(Inputs!$F$27))*Months_In_Year-MONTH(Inputs!$F$27)</f>
        <v/>
      </c>
      <c r="U175" s="23">
        <f>(U$138+1-YEAR(Inputs!$F$27))*Months_In_Year-MONTH(Inputs!$F$27)</f>
        <v/>
      </c>
      <c r="V175" s="23">
        <f>(V$138+1-YEAR(Inputs!$F$27))*Months_In_Year-MONTH(Inputs!$F$27)</f>
        <v/>
      </c>
      <c r="W175" s="23">
        <f>(W$138+1-YEAR(Inputs!$F$27))*Months_In_Year-MONTH(Inputs!$F$27)</f>
        <v/>
      </c>
      <c r="X175" s="23">
        <f>(X$138+1-YEAR(Inputs!$F$27))*Months_In_Year-MONTH(Inputs!$F$27)</f>
        <v/>
      </c>
      <c r="Y175" s="23">
        <f>(Y$138+1-YEAR(Inputs!$F$27))*Months_In_Year-MONTH(Inputs!$F$27)</f>
        <v/>
      </c>
      <c r="Z175" s="23">
        <f>(Z$138+1-YEAR(Inputs!$F$27))*Months_In_Year-MONTH(Inputs!$F$27)</f>
        <v/>
      </c>
      <c r="AA175" s="23">
        <f>(AA$138+1-YEAR(Inputs!$F$27))*Months_In_Year-MONTH(Inputs!$F$27)</f>
        <v/>
      </c>
      <c r="AB175" s="23">
        <f>(AB$138+1-YEAR(Inputs!$F$27))*Months_In_Year-MONTH(Inputs!$F$27)</f>
        <v/>
      </c>
      <c r="AC175" s="23">
        <f>(AC$138+1-YEAR(Inputs!$F$27))*Months_In_Year-MONTH(Inputs!$F$27)</f>
        <v/>
      </c>
      <c r="AD175" s="23">
        <f>(AD$138+1-YEAR(Inputs!$F$27))*Months_In_Year-MONTH(Inputs!$F$27)</f>
        <v/>
      </c>
      <c r="AE175" s="23">
        <f>(AE$138+1-YEAR(Inputs!$F$27))*Months_In_Year-MONTH(Inputs!$F$27)</f>
        <v/>
      </c>
      <c r="AF175" s="23">
        <f>(AF$138+1-YEAR(Inputs!$F$27))*Months_In_Year-MONTH(Inputs!$F$27)</f>
        <v/>
      </c>
      <c r="AG175" s="23">
        <f>(AG$138+1-YEAR(Inputs!$F$27))*Months_In_Year-MONTH(Inputs!$F$27)</f>
        <v/>
      </c>
      <c r="AH175" s="23">
        <f>(AH$138+1-YEAR(Inputs!$F$27))*Months_In_Year-MONTH(Inputs!$F$27)</f>
        <v/>
      </c>
      <c r="AI175" s="23">
        <f>(AI$138+1-YEAR(Inputs!$F$27))*Months_In_Year-MONTH(Inputs!$F$27)</f>
        <v/>
      </c>
      <c r="AJ175" s="23">
        <f>(AJ$138+1-YEAR(Inputs!$F$27))*Months_In_Year-MONTH(Inputs!$F$27)</f>
        <v/>
      </c>
      <c r="AK175" s="23">
        <f>(AK$138+1-YEAR(Inputs!$F$27))*Months_In_Year-MONTH(Inputs!$F$27)</f>
        <v/>
      </c>
      <c r="AL175" s="23">
        <f>(AL$138+1-YEAR(Inputs!$F$27))*Months_In_Year-MONTH(Inputs!$F$27)</f>
        <v/>
      </c>
      <c r="AM175" s="23">
        <f>(AM$138+1-YEAR(Inputs!$F$27))*Months_In_Year-MONTH(Inputs!$F$27)</f>
        <v/>
      </c>
      <c r="AN175" s="23">
        <f>(AN$138+1-YEAR(Inputs!$F$27))*Months_In_Year-MONTH(Inputs!$F$27)</f>
        <v/>
      </c>
      <c r="AO175" s="23">
        <f>(AO$138+1-YEAR(Inputs!$F$27))*Months_In_Year-MONTH(Inputs!$F$27)</f>
        <v/>
      </c>
      <c r="AP175" s="23">
        <f>(AP$138+1-YEAR(Inputs!$F$27))*Months_In_Year-MONTH(Inputs!$F$27)</f>
        <v/>
      </c>
      <c r="AQ175" s="23">
        <f>(AQ$138+1-YEAR(Inputs!$F$27))*Months_In_Year-MONTH(Inputs!$F$27)</f>
        <v/>
      </c>
      <c r="AR175" s="23">
        <f>(AR$138+1-YEAR(Inputs!$F$27))*Months_In_Year-MONTH(Inputs!$F$27)</f>
        <v/>
      </c>
      <c r="AS175" s="23">
        <f>(AS$138+1-YEAR(Inputs!$F$27))*Months_In_Year-MONTH(Inputs!$F$27)</f>
        <v/>
      </c>
    </row>
    <row r="176">
      <c r="C176" s="6" t="inlineStr">
        <is>
          <t>Operating share of the year (COD to end of life)</t>
        </is>
      </c>
      <c r="D176" s="2" t="inlineStr">
        <is>
          <t>%</t>
        </is>
      </c>
      <c r="H176" s="25">
        <f>SUM(J176:AS176)</f>
        <v/>
      </c>
      <c r="J176" s="17">
        <f>MAX(0,MIN(J175,$F175)-MAX(J175-Months_In_Year,0))/Months_In_Year</f>
        <v/>
      </c>
      <c r="K176" s="17">
        <f>MAX(0,MIN(K175,$F175)-MAX(K175-Months_In_Year,0))/Months_In_Year</f>
        <v/>
      </c>
      <c r="L176" s="17">
        <f>MAX(0,MIN(L175,$F175)-MAX(L175-Months_In_Year,0))/Months_In_Year</f>
        <v/>
      </c>
      <c r="M176" s="17">
        <f>MAX(0,MIN(M175,$F175)-MAX(M175-Months_In_Year,0))/Months_In_Year</f>
        <v/>
      </c>
      <c r="N176" s="17">
        <f>MAX(0,MIN(N175,$F175)-MAX(N175-Months_In_Year,0))/Months_In_Year</f>
        <v/>
      </c>
      <c r="O176" s="17">
        <f>MAX(0,MIN(O175,$F175)-MAX(O175-Months_In_Year,0))/Months_In_Year</f>
        <v/>
      </c>
      <c r="P176" s="17">
        <f>MAX(0,MIN(P175,$F175)-MAX(P175-Months_In_Year,0))/Months_In_Year</f>
        <v/>
      </c>
      <c r="Q176" s="17">
        <f>MAX(0,MIN(Q175,$F175)-MAX(Q175-Months_In_Year,0))/Months_In_Year</f>
        <v/>
      </c>
      <c r="R176" s="17">
        <f>MAX(0,MIN(R175,$F175)-MAX(R175-Months_In_Year,0))/Months_In_Year</f>
        <v/>
      </c>
      <c r="S176" s="17">
        <f>MAX(0,MIN(S175,$F175)-MAX(S175-Months_In_Year,0))/Months_In_Year</f>
        <v/>
      </c>
      <c r="T176" s="17">
        <f>MAX(0,MIN(T175,$F175)-MAX(T175-Months_In_Year,0))/Months_In_Year</f>
        <v/>
      </c>
      <c r="U176" s="17">
        <f>MAX(0,MIN(U175,$F175)-MAX(U175-Months_In_Year,0))/Months_In_Year</f>
        <v/>
      </c>
      <c r="V176" s="17">
        <f>MAX(0,MIN(V175,$F175)-MAX(V175-Months_In_Year,0))/Months_In_Year</f>
        <v/>
      </c>
      <c r="W176" s="17">
        <f>MAX(0,MIN(W175,$F175)-MAX(W175-Months_In_Year,0))/Months_In_Year</f>
        <v/>
      </c>
      <c r="X176" s="17">
        <f>MAX(0,MIN(X175,$F175)-MAX(X175-Months_In_Year,0))/Months_In_Year</f>
        <v/>
      </c>
      <c r="Y176" s="17">
        <f>MAX(0,MIN(Y175,$F175)-MAX(Y175-Months_In_Year,0))/Months_In_Year</f>
        <v/>
      </c>
      <c r="Z176" s="17">
        <f>MAX(0,MIN(Z175,$F175)-MAX(Z175-Months_In_Year,0))/Months_In_Year</f>
        <v/>
      </c>
      <c r="AA176" s="17">
        <f>MAX(0,MIN(AA175,$F175)-MAX(AA175-Months_In_Year,0))/Months_In_Year</f>
        <v/>
      </c>
      <c r="AB176" s="17">
        <f>MAX(0,MIN(AB175,$F175)-MAX(AB175-Months_In_Year,0))/Months_In_Year</f>
        <v/>
      </c>
      <c r="AC176" s="17">
        <f>MAX(0,MIN(AC175,$F175)-MAX(AC175-Months_In_Year,0))/Months_In_Year</f>
        <v/>
      </c>
      <c r="AD176" s="17">
        <f>MAX(0,MIN(AD175,$F175)-MAX(AD175-Months_In_Year,0))/Months_In_Year</f>
        <v/>
      </c>
      <c r="AE176" s="17">
        <f>MAX(0,MIN(AE175,$F175)-MAX(AE175-Months_In_Year,0))/Months_In_Year</f>
        <v/>
      </c>
      <c r="AF176" s="17">
        <f>MAX(0,MIN(AF175,$F175)-MAX(AF175-Months_In_Year,0))/Months_In_Year</f>
        <v/>
      </c>
      <c r="AG176" s="17">
        <f>MAX(0,MIN(AG175,$F175)-MAX(AG175-Months_In_Year,0))/Months_In_Year</f>
        <v/>
      </c>
      <c r="AH176" s="17">
        <f>MAX(0,MIN(AH175,$F175)-MAX(AH175-Months_In_Year,0))/Months_In_Year</f>
        <v/>
      </c>
      <c r="AI176" s="17">
        <f>MAX(0,MIN(AI175,$F175)-MAX(AI175-Months_In_Year,0))/Months_In_Year</f>
        <v/>
      </c>
      <c r="AJ176" s="17">
        <f>MAX(0,MIN(AJ175,$F175)-MAX(AJ175-Months_In_Year,0))/Months_In_Year</f>
        <v/>
      </c>
      <c r="AK176" s="17">
        <f>MAX(0,MIN(AK175,$F175)-MAX(AK175-Months_In_Year,0))/Months_In_Year</f>
        <v/>
      </c>
      <c r="AL176" s="17">
        <f>MAX(0,MIN(AL175,$F175)-MAX(AL175-Months_In_Year,0))/Months_In_Year</f>
        <v/>
      </c>
      <c r="AM176" s="17">
        <f>MAX(0,MIN(AM175,$F175)-MAX(AM175-Months_In_Year,0))/Months_In_Year</f>
        <v/>
      </c>
      <c r="AN176" s="17">
        <f>MAX(0,MIN(AN175,$F175)-MAX(AN175-Months_In_Year,0))/Months_In_Year</f>
        <v/>
      </c>
      <c r="AO176" s="17">
        <f>MAX(0,MIN(AO175,$F175)-MAX(AO175-Months_In_Year,0))/Months_In_Year</f>
        <v/>
      </c>
      <c r="AP176" s="17">
        <f>MAX(0,MIN(AP175,$F175)-MAX(AP175-Months_In_Year,0))/Months_In_Year</f>
        <v/>
      </c>
      <c r="AQ176" s="17">
        <f>MAX(0,MIN(AQ175,$F175)-MAX(AQ175-Months_In_Year,0))/Months_In_Year</f>
        <v/>
      </c>
      <c r="AR176" s="17">
        <f>MAX(0,MIN(AR175,$F175)-MAX(AR175-Months_In_Year,0))/Months_In_Year</f>
        <v/>
      </c>
      <c r="AS176" s="17">
        <f>MAX(0,MIN(AS175,$F175)-MAX(AS175-Months_In_Year,0))/Months_In_Year</f>
        <v/>
      </c>
    </row>
    <row r="177">
      <c r="C177" s="6" t="inlineStr">
        <is>
          <t>COD year flag</t>
        </is>
      </c>
      <c r="D177" s="2" t="inlineStr">
        <is>
          <t>flag</t>
        </is>
      </c>
      <c r="J177" s="26">
        <f>N(J172=0)</f>
        <v/>
      </c>
      <c r="K177" s="26">
        <f>N(K172=0)</f>
        <v/>
      </c>
      <c r="L177" s="26">
        <f>N(L172=0)</f>
        <v/>
      </c>
      <c r="M177" s="26">
        <f>N(M172=0)</f>
        <v/>
      </c>
      <c r="N177" s="26">
        <f>N(N172=0)</f>
        <v/>
      </c>
      <c r="O177" s="26">
        <f>N(O172=0)</f>
        <v/>
      </c>
      <c r="P177" s="26">
        <f>N(P172=0)</f>
        <v/>
      </c>
      <c r="Q177" s="26">
        <f>N(Q172=0)</f>
        <v/>
      </c>
      <c r="R177" s="26">
        <f>N(R172=0)</f>
        <v/>
      </c>
      <c r="S177" s="26">
        <f>N(S172=0)</f>
        <v/>
      </c>
      <c r="T177" s="26">
        <f>N(T172=0)</f>
        <v/>
      </c>
      <c r="U177" s="26">
        <f>N(U172=0)</f>
        <v/>
      </c>
      <c r="V177" s="26">
        <f>N(V172=0)</f>
        <v/>
      </c>
      <c r="W177" s="26">
        <f>N(W172=0)</f>
        <v/>
      </c>
      <c r="X177" s="26">
        <f>N(X172=0)</f>
        <v/>
      </c>
      <c r="Y177" s="26">
        <f>N(Y172=0)</f>
        <v/>
      </c>
      <c r="Z177" s="26">
        <f>N(Z172=0)</f>
        <v/>
      </c>
      <c r="AA177" s="26">
        <f>N(AA172=0)</f>
        <v/>
      </c>
      <c r="AB177" s="26">
        <f>N(AB172=0)</f>
        <v/>
      </c>
      <c r="AC177" s="26">
        <f>N(AC172=0)</f>
        <v/>
      </c>
      <c r="AD177" s="26">
        <f>N(AD172=0)</f>
        <v/>
      </c>
      <c r="AE177" s="26">
        <f>N(AE172=0)</f>
        <v/>
      </c>
      <c r="AF177" s="26">
        <f>N(AF172=0)</f>
        <v/>
      </c>
      <c r="AG177" s="26">
        <f>N(AG172=0)</f>
        <v/>
      </c>
      <c r="AH177" s="26">
        <f>N(AH172=0)</f>
        <v/>
      </c>
      <c r="AI177" s="26">
        <f>N(AI172=0)</f>
        <v/>
      </c>
      <c r="AJ177" s="26">
        <f>N(AJ172=0)</f>
        <v/>
      </c>
      <c r="AK177" s="26">
        <f>N(AK172=0)</f>
        <v/>
      </c>
      <c r="AL177" s="26">
        <f>N(AL172=0)</f>
        <v/>
      </c>
      <c r="AM177" s="26">
        <f>N(AM172=0)</f>
        <v/>
      </c>
      <c r="AN177" s="26">
        <f>N(AN172=0)</f>
        <v/>
      </c>
      <c r="AO177" s="26">
        <f>N(AO172=0)</f>
        <v/>
      </c>
      <c r="AP177" s="26">
        <f>N(AP172=0)</f>
        <v/>
      </c>
      <c r="AQ177" s="26">
        <f>N(AQ172=0)</f>
        <v/>
      </c>
      <c r="AR177" s="26">
        <f>N(AR172=0)</f>
        <v/>
      </c>
      <c r="AS177" s="26">
        <f>N(AS172=0)</f>
        <v/>
      </c>
    </row>
    <row r="178">
      <c r="C178" s="6" t="inlineStr">
        <is>
          <t>FEP outlays at their dates (signing, fee, securities, fees, devex)</t>
        </is>
      </c>
      <c r="D178" s="2" t="inlineStr">
        <is>
          <t>EUR k</t>
        </is>
      </c>
      <c r="H178" s="8">
        <f>SUM(J178:AS178)</f>
        <v/>
      </c>
      <c r="J178" s="8">
        <f>SUMPRODUCT((YEAR($K$107:$K$114)=J$138)*$F$107:$F$114)</f>
        <v/>
      </c>
      <c r="K178" s="8">
        <f>SUMPRODUCT((YEAR($K$107:$K$114)=K$138)*$F$107:$F$114)</f>
        <v/>
      </c>
      <c r="L178" s="8">
        <f>SUMPRODUCT((YEAR($K$107:$K$114)=L$138)*$F$107:$F$114)</f>
        <v/>
      </c>
      <c r="M178" s="8">
        <f>SUMPRODUCT((YEAR($K$107:$K$114)=M$138)*$F$107:$F$114)</f>
        <v/>
      </c>
      <c r="N178" s="8">
        <f>SUMPRODUCT((YEAR($K$107:$K$114)=N$138)*$F$107:$F$114)</f>
        <v/>
      </c>
      <c r="O178" s="8">
        <f>SUMPRODUCT((YEAR($K$107:$K$114)=O$138)*$F$107:$F$114)</f>
        <v/>
      </c>
      <c r="P178" s="8">
        <f>SUMPRODUCT((YEAR($K$107:$K$114)=P$138)*$F$107:$F$114)</f>
        <v/>
      </c>
      <c r="Q178" s="8">
        <f>SUMPRODUCT((YEAR($K$107:$K$114)=Q$138)*$F$107:$F$114)</f>
        <v/>
      </c>
      <c r="R178" s="8">
        <f>SUMPRODUCT((YEAR($K$107:$K$114)=R$138)*$F$107:$F$114)</f>
        <v/>
      </c>
      <c r="S178" s="8">
        <f>SUMPRODUCT((YEAR($K$107:$K$114)=S$138)*$F$107:$F$114)</f>
        <v/>
      </c>
      <c r="T178" s="8">
        <f>SUMPRODUCT((YEAR($K$107:$K$114)=T$138)*$F$107:$F$114)</f>
        <v/>
      </c>
      <c r="U178" s="8">
        <f>SUMPRODUCT((YEAR($K$107:$K$114)=U$138)*$F$107:$F$114)</f>
        <v/>
      </c>
      <c r="V178" s="8">
        <f>SUMPRODUCT((YEAR($K$107:$K$114)=V$138)*$F$107:$F$114)</f>
        <v/>
      </c>
      <c r="W178" s="8">
        <f>SUMPRODUCT((YEAR($K$107:$K$114)=W$138)*$F$107:$F$114)</f>
        <v/>
      </c>
      <c r="X178" s="8">
        <f>SUMPRODUCT((YEAR($K$107:$K$114)=X$138)*$F$107:$F$114)</f>
        <v/>
      </c>
      <c r="Y178" s="8">
        <f>SUMPRODUCT((YEAR($K$107:$K$114)=Y$138)*$F$107:$F$114)</f>
        <v/>
      </c>
      <c r="Z178" s="8">
        <f>SUMPRODUCT((YEAR($K$107:$K$114)=Z$138)*$F$107:$F$114)</f>
        <v/>
      </c>
      <c r="AA178" s="8">
        <f>SUMPRODUCT((YEAR($K$107:$K$114)=AA$138)*$F$107:$F$114)</f>
        <v/>
      </c>
      <c r="AB178" s="8">
        <f>SUMPRODUCT((YEAR($K$107:$K$114)=AB$138)*$F$107:$F$114)</f>
        <v/>
      </c>
      <c r="AC178" s="8">
        <f>SUMPRODUCT((YEAR($K$107:$K$114)=AC$138)*$F$107:$F$114)</f>
        <v/>
      </c>
      <c r="AD178" s="8">
        <f>SUMPRODUCT((YEAR($K$107:$K$114)=AD$138)*$F$107:$F$114)</f>
        <v/>
      </c>
      <c r="AE178" s="8">
        <f>SUMPRODUCT((YEAR($K$107:$K$114)=AE$138)*$F$107:$F$114)</f>
        <v/>
      </c>
      <c r="AF178" s="8">
        <f>SUMPRODUCT((YEAR($K$107:$K$114)=AF$138)*$F$107:$F$114)</f>
        <v/>
      </c>
      <c r="AG178" s="8">
        <f>SUMPRODUCT((YEAR($K$107:$K$114)=AG$138)*$F$107:$F$114)</f>
        <v/>
      </c>
      <c r="AH178" s="8">
        <f>SUMPRODUCT((YEAR($K$107:$K$114)=AH$138)*$F$107:$F$114)</f>
        <v/>
      </c>
      <c r="AI178" s="8">
        <f>SUMPRODUCT((YEAR($K$107:$K$114)=AI$138)*$F$107:$F$114)</f>
        <v/>
      </c>
      <c r="AJ178" s="8">
        <f>SUMPRODUCT((YEAR($K$107:$K$114)=AJ$138)*$F$107:$F$114)</f>
        <v/>
      </c>
      <c r="AK178" s="8">
        <f>SUMPRODUCT((YEAR($K$107:$K$114)=AK$138)*$F$107:$F$114)</f>
        <v/>
      </c>
      <c r="AL178" s="8">
        <f>SUMPRODUCT((YEAR($K$107:$K$114)=AL$138)*$F$107:$F$114)</f>
        <v/>
      </c>
      <c r="AM178" s="8">
        <f>SUMPRODUCT((YEAR($K$107:$K$114)=AM$138)*$F$107:$F$114)</f>
        <v/>
      </c>
      <c r="AN178" s="8">
        <f>SUMPRODUCT((YEAR($K$107:$K$114)=AN$138)*$F$107:$F$114)</f>
        <v/>
      </c>
      <c r="AO178" s="8">
        <f>SUMPRODUCT((YEAR($K$107:$K$114)=AO$138)*$F$107:$F$114)</f>
        <v/>
      </c>
      <c r="AP178" s="8">
        <f>SUMPRODUCT((YEAR($K$107:$K$114)=AP$138)*$F$107:$F$114)</f>
        <v/>
      </c>
      <c r="AQ178" s="8">
        <f>SUMPRODUCT((YEAR($K$107:$K$114)=AQ$138)*$F$107:$F$114)</f>
        <v/>
      </c>
      <c r="AR178" s="8">
        <f>SUMPRODUCT((YEAR($K$107:$K$114)=AR$138)*$F$107:$F$114)</f>
        <v/>
      </c>
      <c r="AS178" s="8">
        <f>SUMPRODUCT((YEAR($K$107:$K$114)=AS$138)*$F$107:$F$114)</f>
        <v/>
      </c>
    </row>
    <row r="179">
      <c r="C179" s="6" t="inlineStr">
        <is>
          <t>Performance security released (bid security included)</t>
        </is>
      </c>
      <c r="D179" s="2" t="inlineStr">
        <is>
          <t>EUR k</t>
        </is>
      </c>
      <c r="H179" s="8">
        <f>SUM(J179:AS179)</f>
        <v/>
      </c>
      <c r="J179" s="8">
        <f>($F$71+$F$72)*(J$138=YEAR(Inputs!$F$28))</f>
        <v/>
      </c>
      <c r="K179" s="8">
        <f>($F$71+$F$72)*(K$138=YEAR(Inputs!$F$28))</f>
        <v/>
      </c>
      <c r="L179" s="8">
        <f>($F$71+$F$72)*(L$138=YEAR(Inputs!$F$28))</f>
        <v/>
      </c>
      <c r="M179" s="8">
        <f>($F$71+$F$72)*(M$138=YEAR(Inputs!$F$28))</f>
        <v/>
      </c>
      <c r="N179" s="8">
        <f>($F$71+$F$72)*(N$138=YEAR(Inputs!$F$28))</f>
        <v/>
      </c>
      <c r="O179" s="8">
        <f>($F$71+$F$72)*(O$138=YEAR(Inputs!$F$28))</f>
        <v/>
      </c>
      <c r="P179" s="8">
        <f>($F$71+$F$72)*(P$138=YEAR(Inputs!$F$28))</f>
        <v/>
      </c>
      <c r="Q179" s="8">
        <f>($F$71+$F$72)*(Q$138=YEAR(Inputs!$F$28))</f>
        <v/>
      </c>
      <c r="R179" s="8">
        <f>($F$71+$F$72)*(R$138=YEAR(Inputs!$F$28))</f>
        <v/>
      </c>
      <c r="S179" s="8">
        <f>($F$71+$F$72)*(S$138=YEAR(Inputs!$F$28))</f>
        <v/>
      </c>
      <c r="T179" s="8">
        <f>($F$71+$F$72)*(T$138=YEAR(Inputs!$F$28))</f>
        <v/>
      </c>
      <c r="U179" s="8">
        <f>($F$71+$F$72)*(U$138=YEAR(Inputs!$F$28))</f>
        <v/>
      </c>
      <c r="V179" s="8">
        <f>($F$71+$F$72)*(V$138=YEAR(Inputs!$F$28))</f>
        <v/>
      </c>
      <c r="W179" s="8">
        <f>($F$71+$F$72)*(W$138=YEAR(Inputs!$F$28))</f>
        <v/>
      </c>
      <c r="X179" s="8">
        <f>($F$71+$F$72)*(X$138=YEAR(Inputs!$F$28))</f>
        <v/>
      </c>
      <c r="Y179" s="8">
        <f>($F$71+$F$72)*(Y$138=YEAR(Inputs!$F$28))</f>
        <v/>
      </c>
      <c r="Z179" s="8">
        <f>($F$71+$F$72)*(Z$138=YEAR(Inputs!$F$28))</f>
        <v/>
      </c>
      <c r="AA179" s="8">
        <f>($F$71+$F$72)*(AA$138=YEAR(Inputs!$F$28))</f>
        <v/>
      </c>
      <c r="AB179" s="8">
        <f>($F$71+$F$72)*(AB$138=YEAR(Inputs!$F$28))</f>
        <v/>
      </c>
      <c r="AC179" s="8">
        <f>($F$71+$F$72)*(AC$138=YEAR(Inputs!$F$28))</f>
        <v/>
      </c>
      <c r="AD179" s="8">
        <f>($F$71+$F$72)*(AD$138=YEAR(Inputs!$F$28))</f>
        <v/>
      </c>
      <c r="AE179" s="8">
        <f>($F$71+$F$72)*(AE$138=YEAR(Inputs!$F$28))</f>
        <v/>
      </c>
      <c r="AF179" s="8">
        <f>($F$71+$F$72)*(AF$138=YEAR(Inputs!$F$28))</f>
        <v/>
      </c>
      <c r="AG179" s="8">
        <f>($F$71+$F$72)*(AG$138=YEAR(Inputs!$F$28))</f>
        <v/>
      </c>
      <c r="AH179" s="8">
        <f>($F$71+$F$72)*(AH$138=YEAR(Inputs!$F$28))</f>
        <v/>
      </c>
      <c r="AI179" s="8">
        <f>($F$71+$F$72)*(AI$138=YEAR(Inputs!$F$28))</f>
        <v/>
      </c>
      <c r="AJ179" s="8">
        <f>($F$71+$F$72)*(AJ$138=YEAR(Inputs!$F$28))</f>
        <v/>
      </c>
      <c r="AK179" s="8">
        <f>($F$71+$F$72)*(AK$138=YEAR(Inputs!$F$28))</f>
        <v/>
      </c>
      <c r="AL179" s="8">
        <f>($F$71+$F$72)*(AL$138=YEAR(Inputs!$F$28))</f>
        <v/>
      </c>
      <c r="AM179" s="8">
        <f>($F$71+$F$72)*(AM$138=YEAR(Inputs!$F$28))</f>
        <v/>
      </c>
      <c r="AN179" s="8">
        <f>($F$71+$F$72)*(AN$138=YEAR(Inputs!$F$28))</f>
        <v/>
      </c>
      <c r="AO179" s="8">
        <f>($F$71+$F$72)*(AO$138=YEAR(Inputs!$F$28))</f>
        <v/>
      </c>
      <c r="AP179" s="8">
        <f>($F$71+$F$72)*(AP$138=YEAR(Inputs!$F$28))</f>
        <v/>
      </c>
      <c r="AQ179" s="8">
        <f>($F$71+$F$72)*(AQ$138=YEAR(Inputs!$F$28))</f>
        <v/>
      </c>
      <c r="AR179" s="8">
        <f>($F$71+$F$72)*(AR$138=YEAR(Inputs!$F$28))</f>
        <v/>
      </c>
      <c r="AS179" s="8">
        <f>($F$71+$F$72)*(AS$138=YEAR(Inputs!$F$28))</f>
        <v/>
      </c>
    </row>
    <row r="180">
      <c r="C180" s="6" t="inlineStr">
        <is>
          <t>Construction capex (straight-line NTP to COD)</t>
        </is>
      </c>
      <c r="D180" s="2" t="inlineStr">
        <is>
          <t>EUR k</t>
        </is>
      </c>
      <c r="H180" s="8">
        <f>SUM(J180:AS180)</f>
        <v/>
      </c>
      <c r="J180" s="8">
        <f>-$F$131*J174</f>
        <v/>
      </c>
      <c r="K180" s="8">
        <f>-$F$131*K174</f>
        <v/>
      </c>
      <c r="L180" s="8">
        <f>-$F$131*L174</f>
        <v/>
      </c>
      <c r="M180" s="8">
        <f>-$F$131*M174</f>
        <v/>
      </c>
      <c r="N180" s="8">
        <f>-$F$131*N174</f>
        <v/>
      </c>
      <c r="O180" s="8">
        <f>-$F$131*O174</f>
        <v/>
      </c>
      <c r="P180" s="8">
        <f>-$F$131*P174</f>
        <v/>
      </c>
      <c r="Q180" s="8">
        <f>-$F$131*Q174</f>
        <v/>
      </c>
      <c r="R180" s="8">
        <f>-$F$131*R174</f>
        <v/>
      </c>
      <c r="S180" s="8">
        <f>-$F$131*S174</f>
        <v/>
      </c>
      <c r="T180" s="8">
        <f>-$F$131*T174</f>
        <v/>
      </c>
      <c r="U180" s="8">
        <f>-$F$131*U174</f>
        <v/>
      </c>
      <c r="V180" s="8">
        <f>-$F$131*V174</f>
        <v/>
      </c>
      <c r="W180" s="8">
        <f>-$F$131*W174</f>
        <v/>
      </c>
      <c r="X180" s="8">
        <f>-$F$131*X174</f>
        <v/>
      </c>
      <c r="Y180" s="8">
        <f>-$F$131*Y174</f>
        <v/>
      </c>
      <c r="Z180" s="8">
        <f>-$F$131*Z174</f>
        <v/>
      </c>
      <c r="AA180" s="8">
        <f>-$F$131*AA174</f>
        <v/>
      </c>
      <c r="AB180" s="8">
        <f>-$F$131*AB174</f>
        <v/>
      </c>
      <c r="AC180" s="8">
        <f>-$F$131*AC174</f>
        <v/>
      </c>
      <c r="AD180" s="8">
        <f>-$F$131*AD174</f>
        <v/>
      </c>
      <c r="AE180" s="8">
        <f>-$F$131*AE174</f>
        <v/>
      </c>
      <c r="AF180" s="8">
        <f>-$F$131*AF174</f>
        <v/>
      </c>
      <c r="AG180" s="8">
        <f>-$F$131*AG174</f>
        <v/>
      </c>
      <c r="AH180" s="8">
        <f>-$F$131*AH174</f>
        <v/>
      </c>
      <c r="AI180" s="8">
        <f>-$F$131*AI174</f>
        <v/>
      </c>
      <c r="AJ180" s="8">
        <f>-$F$131*AJ174</f>
        <v/>
      </c>
      <c r="AK180" s="8">
        <f>-$F$131*AK174</f>
        <v/>
      </c>
      <c r="AL180" s="8">
        <f>-$F$131*AL174</f>
        <v/>
      </c>
      <c r="AM180" s="8">
        <f>-$F$131*AM174</f>
        <v/>
      </c>
      <c r="AN180" s="8">
        <f>-$F$131*AN174</f>
        <v/>
      </c>
      <c r="AO180" s="8">
        <f>-$F$131*AO174</f>
        <v/>
      </c>
      <c r="AP180" s="8">
        <f>-$F$131*AP174</f>
        <v/>
      </c>
      <c r="AQ180" s="8">
        <f>-$F$131*AQ174</f>
        <v/>
      </c>
      <c r="AR180" s="8">
        <f>-$F$131*AR174</f>
        <v/>
      </c>
      <c r="AS180" s="8">
        <f>-$F$131*AS174</f>
        <v/>
      </c>
    </row>
    <row r="181">
      <c r="C181" s="6" t="inlineStr">
        <is>
          <t>Municipal one-off at COD</t>
        </is>
      </c>
      <c r="D181" s="2" t="inlineStr">
        <is>
          <t>EUR k</t>
        </is>
      </c>
      <c r="H181" s="8">
        <f>SUM(J181:AS181)</f>
        <v/>
      </c>
      <c r="J181" s="8">
        <f>-$F$133*J177</f>
        <v/>
      </c>
      <c r="K181" s="8">
        <f>-$F$133*K177</f>
        <v/>
      </c>
      <c r="L181" s="8">
        <f>-$F$133*L177</f>
        <v/>
      </c>
      <c r="M181" s="8">
        <f>-$F$133*M177</f>
        <v/>
      </c>
      <c r="N181" s="8">
        <f>-$F$133*N177</f>
        <v/>
      </c>
      <c r="O181" s="8">
        <f>-$F$133*O177</f>
        <v/>
      </c>
      <c r="P181" s="8">
        <f>-$F$133*P177</f>
        <v/>
      </c>
      <c r="Q181" s="8">
        <f>-$F$133*Q177</f>
        <v/>
      </c>
      <c r="R181" s="8">
        <f>-$F$133*R177</f>
        <v/>
      </c>
      <c r="S181" s="8">
        <f>-$F$133*S177</f>
        <v/>
      </c>
      <c r="T181" s="8">
        <f>-$F$133*T177</f>
        <v/>
      </c>
      <c r="U181" s="8">
        <f>-$F$133*U177</f>
        <v/>
      </c>
      <c r="V181" s="8">
        <f>-$F$133*V177</f>
        <v/>
      </c>
      <c r="W181" s="8">
        <f>-$F$133*W177</f>
        <v/>
      </c>
      <c r="X181" s="8">
        <f>-$F$133*X177</f>
        <v/>
      </c>
      <c r="Y181" s="8">
        <f>-$F$133*Y177</f>
        <v/>
      </c>
      <c r="Z181" s="8">
        <f>-$F$133*Z177</f>
        <v/>
      </c>
      <c r="AA181" s="8">
        <f>-$F$133*AA177</f>
        <v/>
      </c>
      <c r="AB181" s="8">
        <f>-$F$133*AB177</f>
        <v/>
      </c>
      <c r="AC181" s="8">
        <f>-$F$133*AC177</f>
        <v/>
      </c>
      <c r="AD181" s="8">
        <f>-$F$133*AD177</f>
        <v/>
      </c>
      <c r="AE181" s="8">
        <f>-$F$133*AE177</f>
        <v/>
      </c>
      <c r="AF181" s="8">
        <f>-$F$133*AF177</f>
        <v/>
      </c>
      <c r="AG181" s="8">
        <f>-$F$133*AG177</f>
        <v/>
      </c>
      <c r="AH181" s="8">
        <f>-$F$133*AH177</f>
        <v/>
      </c>
      <c r="AI181" s="8">
        <f>-$F$133*AI177</f>
        <v/>
      </c>
      <c r="AJ181" s="8">
        <f>-$F$133*AJ177</f>
        <v/>
      </c>
      <c r="AK181" s="8">
        <f>-$F$133*AK177</f>
        <v/>
      </c>
      <c r="AL181" s="8">
        <f>-$F$133*AL177</f>
        <v/>
      </c>
      <c r="AM181" s="8">
        <f>-$F$133*AM177</f>
        <v/>
      </c>
      <c r="AN181" s="8">
        <f>-$F$133*AN177</f>
        <v/>
      </c>
      <c r="AO181" s="8">
        <f>-$F$133*AO177</f>
        <v/>
      </c>
      <c r="AP181" s="8">
        <f>-$F$133*AP177</f>
        <v/>
      </c>
      <c r="AQ181" s="8">
        <f>-$F$133*AQ177</f>
        <v/>
      </c>
      <c r="AR181" s="8">
        <f>-$F$133*AR177</f>
        <v/>
      </c>
      <c r="AS181" s="8">
        <f>-$F$133*AS177</f>
        <v/>
      </c>
    </row>
    <row r="182">
      <c r="C182" s="1" t="inlineStr">
        <is>
          <t>Investment cash flow</t>
        </is>
      </c>
      <c r="D182" s="2" t="inlineStr">
        <is>
          <t>EUR k</t>
        </is>
      </c>
      <c r="H182" s="16">
        <f>SUM(J182:AS182)</f>
        <v/>
      </c>
      <c r="J182" s="16">
        <f>SUM(J178:J181)</f>
        <v/>
      </c>
      <c r="K182" s="16">
        <f>SUM(K178:K181)</f>
        <v/>
      </c>
      <c r="L182" s="16">
        <f>SUM(L178:L181)</f>
        <v/>
      </c>
      <c r="M182" s="16">
        <f>SUM(M178:M181)</f>
        <v/>
      </c>
      <c r="N182" s="16">
        <f>SUM(N178:N181)</f>
        <v/>
      </c>
      <c r="O182" s="16">
        <f>SUM(O178:O181)</f>
        <v/>
      </c>
      <c r="P182" s="16">
        <f>SUM(P178:P181)</f>
        <v/>
      </c>
      <c r="Q182" s="16">
        <f>SUM(Q178:Q181)</f>
        <v/>
      </c>
      <c r="R182" s="16">
        <f>SUM(R178:R181)</f>
        <v/>
      </c>
      <c r="S182" s="16">
        <f>SUM(S178:S181)</f>
        <v/>
      </c>
      <c r="T182" s="16">
        <f>SUM(T178:T181)</f>
        <v/>
      </c>
      <c r="U182" s="16">
        <f>SUM(U178:U181)</f>
        <v/>
      </c>
      <c r="V182" s="16">
        <f>SUM(V178:V181)</f>
        <v/>
      </c>
      <c r="W182" s="16">
        <f>SUM(W178:W181)</f>
        <v/>
      </c>
      <c r="X182" s="16">
        <f>SUM(X178:X181)</f>
        <v/>
      </c>
      <c r="Y182" s="16">
        <f>SUM(Y178:Y181)</f>
        <v/>
      </c>
      <c r="Z182" s="16">
        <f>SUM(Z178:Z181)</f>
        <v/>
      </c>
      <c r="AA182" s="16">
        <f>SUM(AA178:AA181)</f>
        <v/>
      </c>
      <c r="AB182" s="16">
        <f>SUM(AB178:AB181)</f>
        <v/>
      </c>
      <c r="AC182" s="16">
        <f>SUM(AC178:AC181)</f>
        <v/>
      </c>
      <c r="AD182" s="16">
        <f>SUM(AD178:AD181)</f>
        <v/>
      </c>
      <c r="AE182" s="16">
        <f>SUM(AE178:AE181)</f>
        <v/>
      </c>
      <c r="AF182" s="16">
        <f>SUM(AF178:AF181)</f>
        <v/>
      </c>
      <c r="AG182" s="16">
        <f>SUM(AG178:AG181)</f>
        <v/>
      </c>
      <c r="AH182" s="16">
        <f>SUM(AH178:AH181)</f>
        <v/>
      </c>
      <c r="AI182" s="16">
        <f>SUM(AI178:AI181)</f>
        <v/>
      </c>
      <c r="AJ182" s="16">
        <f>SUM(AJ178:AJ181)</f>
        <v/>
      </c>
      <c r="AK182" s="16">
        <f>SUM(AK178:AK181)</f>
        <v/>
      </c>
      <c r="AL182" s="16">
        <f>SUM(AL178:AL181)</f>
        <v/>
      </c>
      <c r="AM182" s="16">
        <f>SUM(AM178:AM181)</f>
        <v/>
      </c>
      <c r="AN182" s="16">
        <f>SUM(AN178:AN181)</f>
        <v/>
      </c>
      <c r="AO182" s="16">
        <f>SUM(AO178:AO181)</f>
        <v/>
      </c>
      <c r="AP182" s="16">
        <f>SUM(AP178:AP181)</f>
        <v/>
      </c>
      <c r="AQ182" s="16">
        <f>SUM(AQ178:AQ181)</f>
        <v/>
      </c>
      <c r="AR182" s="16">
        <f>SUM(AR178:AR181)</f>
        <v/>
      </c>
      <c r="AS182" s="16">
        <f>SUM(AS178:AS181)</f>
        <v/>
      </c>
    </row>
    <row r="183">
      <c r="C183" s="6" t="inlineStr">
        <is>
          <t>Degradation factor (from the first full year)</t>
        </is>
      </c>
      <c r="D183" s="2" t="inlineStr">
        <is>
          <t>x</t>
        </is>
      </c>
      <c r="J183" s="27">
        <f>(1-Degradation)^MAX(J172-1,0)</f>
        <v/>
      </c>
      <c r="K183" s="27">
        <f>(1-Degradation)^MAX(K172-1,0)</f>
        <v/>
      </c>
      <c r="L183" s="27">
        <f>(1-Degradation)^MAX(L172-1,0)</f>
        <v/>
      </c>
      <c r="M183" s="27">
        <f>(1-Degradation)^MAX(M172-1,0)</f>
        <v/>
      </c>
      <c r="N183" s="27">
        <f>(1-Degradation)^MAX(N172-1,0)</f>
        <v/>
      </c>
      <c r="O183" s="27">
        <f>(1-Degradation)^MAX(O172-1,0)</f>
        <v/>
      </c>
      <c r="P183" s="27">
        <f>(1-Degradation)^MAX(P172-1,0)</f>
        <v/>
      </c>
      <c r="Q183" s="27">
        <f>(1-Degradation)^MAX(Q172-1,0)</f>
        <v/>
      </c>
      <c r="R183" s="27">
        <f>(1-Degradation)^MAX(R172-1,0)</f>
        <v/>
      </c>
      <c r="S183" s="27">
        <f>(1-Degradation)^MAX(S172-1,0)</f>
        <v/>
      </c>
      <c r="T183" s="27">
        <f>(1-Degradation)^MAX(T172-1,0)</f>
        <v/>
      </c>
      <c r="U183" s="27">
        <f>(1-Degradation)^MAX(U172-1,0)</f>
        <v/>
      </c>
      <c r="V183" s="27">
        <f>(1-Degradation)^MAX(V172-1,0)</f>
        <v/>
      </c>
      <c r="W183" s="27">
        <f>(1-Degradation)^MAX(W172-1,0)</f>
        <v/>
      </c>
      <c r="X183" s="27">
        <f>(1-Degradation)^MAX(X172-1,0)</f>
        <v/>
      </c>
      <c r="Y183" s="27">
        <f>(1-Degradation)^MAX(Y172-1,0)</f>
        <v/>
      </c>
      <c r="Z183" s="27">
        <f>(1-Degradation)^MAX(Z172-1,0)</f>
        <v/>
      </c>
      <c r="AA183" s="27">
        <f>(1-Degradation)^MAX(AA172-1,0)</f>
        <v/>
      </c>
      <c r="AB183" s="27">
        <f>(1-Degradation)^MAX(AB172-1,0)</f>
        <v/>
      </c>
      <c r="AC183" s="27">
        <f>(1-Degradation)^MAX(AC172-1,0)</f>
        <v/>
      </c>
      <c r="AD183" s="27">
        <f>(1-Degradation)^MAX(AD172-1,0)</f>
        <v/>
      </c>
      <c r="AE183" s="27">
        <f>(1-Degradation)^MAX(AE172-1,0)</f>
        <v/>
      </c>
      <c r="AF183" s="27">
        <f>(1-Degradation)^MAX(AF172-1,0)</f>
        <v/>
      </c>
      <c r="AG183" s="27">
        <f>(1-Degradation)^MAX(AG172-1,0)</f>
        <v/>
      </c>
      <c r="AH183" s="27">
        <f>(1-Degradation)^MAX(AH172-1,0)</f>
        <v/>
      </c>
      <c r="AI183" s="27">
        <f>(1-Degradation)^MAX(AI172-1,0)</f>
        <v/>
      </c>
      <c r="AJ183" s="27">
        <f>(1-Degradation)^MAX(AJ172-1,0)</f>
        <v/>
      </c>
      <c r="AK183" s="27">
        <f>(1-Degradation)^MAX(AK172-1,0)</f>
        <v/>
      </c>
      <c r="AL183" s="27">
        <f>(1-Degradation)^MAX(AL172-1,0)</f>
        <v/>
      </c>
      <c r="AM183" s="27">
        <f>(1-Degradation)^MAX(AM172-1,0)</f>
        <v/>
      </c>
      <c r="AN183" s="27">
        <f>(1-Degradation)^MAX(AN172-1,0)</f>
        <v/>
      </c>
      <c r="AO183" s="27">
        <f>(1-Degradation)^MAX(AO172-1,0)</f>
        <v/>
      </c>
      <c r="AP183" s="27">
        <f>(1-Degradation)^MAX(AP172-1,0)</f>
        <v/>
      </c>
      <c r="AQ183" s="27">
        <f>(1-Degradation)^MAX(AQ172-1,0)</f>
        <v/>
      </c>
      <c r="AR183" s="27">
        <f>(1-Degradation)^MAX(AR172-1,0)</f>
        <v/>
      </c>
      <c r="AS183" s="27">
        <f>(1-Degradation)^MAX(AS172-1,0)</f>
        <v/>
      </c>
    </row>
    <row r="184">
      <c r="C184" s="6" t="inlineStr">
        <is>
          <t>Net generation</t>
        </is>
      </c>
      <c r="D184" s="2" t="inlineStr">
        <is>
          <t>GWh</t>
        </is>
      </c>
      <c r="H184" s="14">
        <f>SUM(J184:AS184)</f>
        <v/>
      </c>
      <c r="J184" s="14">
        <f>$F$66*Hours_P50*(1-Curtailment)*(1-Clipping)*J176*J183/Thousand</f>
        <v/>
      </c>
      <c r="K184" s="14">
        <f>$F$66*Hours_P50*(1-Curtailment)*(1-Clipping)*K176*K183/Thousand</f>
        <v/>
      </c>
      <c r="L184" s="14">
        <f>$F$66*Hours_P50*(1-Curtailment)*(1-Clipping)*L176*L183/Thousand</f>
        <v/>
      </c>
      <c r="M184" s="14">
        <f>$F$66*Hours_P50*(1-Curtailment)*(1-Clipping)*M176*M183/Thousand</f>
        <v/>
      </c>
      <c r="N184" s="14">
        <f>$F$66*Hours_P50*(1-Curtailment)*(1-Clipping)*N176*N183/Thousand</f>
        <v/>
      </c>
      <c r="O184" s="14">
        <f>$F$66*Hours_P50*(1-Curtailment)*(1-Clipping)*O176*O183/Thousand</f>
        <v/>
      </c>
      <c r="P184" s="14">
        <f>$F$66*Hours_P50*(1-Curtailment)*(1-Clipping)*P176*P183/Thousand</f>
        <v/>
      </c>
      <c r="Q184" s="14">
        <f>$F$66*Hours_P50*(1-Curtailment)*(1-Clipping)*Q176*Q183/Thousand</f>
        <v/>
      </c>
      <c r="R184" s="14">
        <f>$F$66*Hours_P50*(1-Curtailment)*(1-Clipping)*R176*R183/Thousand</f>
        <v/>
      </c>
      <c r="S184" s="14">
        <f>$F$66*Hours_P50*(1-Curtailment)*(1-Clipping)*S176*S183/Thousand</f>
        <v/>
      </c>
      <c r="T184" s="14">
        <f>$F$66*Hours_P50*(1-Curtailment)*(1-Clipping)*T176*T183/Thousand</f>
        <v/>
      </c>
      <c r="U184" s="14">
        <f>$F$66*Hours_P50*(1-Curtailment)*(1-Clipping)*U176*U183/Thousand</f>
        <v/>
      </c>
      <c r="V184" s="14">
        <f>$F$66*Hours_P50*(1-Curtailment)*(1-Clipping)*V176*V183/Thousand</f>
        <v/>
      </c>
      <c r="W184" s="14">
        <f>$F$66*Hours_P50*(1-Curtailment)*(1-Clipping)*W176*W183/Thousand</f>
        <v/>
      </c>
      <c r="X184" s="14">
        <f>$F$66*Hours_P50*(1-Curtailment)*(1-Clipping)*X176*X183/Thousand</f>
        <v/>
      </c>
      <c r="Y184" s="14">
        <f>$F$66*Hours_P50*(1-Curtailment)*(1-Clipping)*Y176*Y183/Thousand</f>
        <v/>
      </c>
      <c r="Z184" s="14">
        <f>$F$66*Hours_P50*(1-Curtailment)*(1-Clipping)*Z176*Z183/Thousand</f>
        <v/>
      </c>
      <c r="AA184" s="14">
        <f>$F$66*Hours_P50*(1-Curtailment)*(1-Clipping)*AA176*AA183/Thousand</f>
        <v/>
      </c>
      <c r="AB184" s="14">
        <f>$F$66*Hours_P50*(1-Curtailment)*(1-Clipping)*AB176*AB183/Thousand</f>
        <v/>
      </c>
      <c r="AC184" s="14">
        <f>$F$66*Hours_P50*(1-Curtailment)*(1-Clipping)*AC176*AC183/Thousand</f>
        <v/>
      </c>
      <c r="AD184" s="14">
        <f>$F$66*Hours_P50*(1-Curtailment)*(1-Clipping)*AD176*AD183/Thousand</f>
        <v/>
      </c>
      <c r="AE184" s="14">
        <f>$F$66*Hours_P50*(1-Curtailment)*(1-Clipping)*AE176*AE183/Thousand</f>
        <v/>
      </c>
      <c r="AF184" s="14">
        <f>$F$66*Hours_P50*(1-Curtailment)*(1-Clipping)*AF176*AF183/Thousand</f>
        <v/>
      </c>
      <c r="AG184" s="14">
        <f>$F$66*Hours_P50*(1-Curtailment)*(1-Clipping)*AG176*AG183/Thousand</f>
        <v/>
      </c>
      <c r="AH184" s="14">
        <f>$F$66*Hours_P50*(1-Curtailment)*(1-Clipping)*AH176*AH183/Thousand</f>
        <v/>
      </c>
      <c r="AI184" s="14">
        <f>$F$66*Hours_P50*(1-Curtailment)*(1-Clipping)*AI176*AI183/Thousand</f>
        <v/>
      </c>
      <c r="AJ184" s="14">
        <f>$F$66*Hours_P50*(1-Curtailment)*(1-Clipping)*AJ176*AJ183/Thousand</f>
        <v/>
      </c>
      <c r="AK184" s="14">
        <f>$F$66*Hours_P50*(1-Curtailment)*(1-Clipping)*AK176*AK183/Thousand</f>
        <v/>
      </c>
      <c r="AL184" s="14">
        <f>$F$66*Hours_P50*(1-Curtailment)*(1-Clipping)*AL176*AL183/Thousand</f>
        <v/>
      </c>
      <c r="AM184" s="14">
        <f>$F$66*Hours_P50*(1-Curtailment)*(1-Clipping)*AM176*AM183/Thousand</f>
        <v/>
      </c>
      <c r="AN184" s="14">
        <f>$F$66*Hours_P50*(1-Curtailment)*(1-Clipping)*AN176*AN183/Thousand</f>
        <v/>
      </c>
      <c r="AO184" s="14">
        <f>$F$66*Hours_P50*(1-Curtailment)*(1-Clipping)*AO176*AO183/Thousand</f>
        <v/>
      </c>
      <c r="AP184" s="14">
        <f>$F$66*Hours_P50*(1-Curtailment)*(1-Clipping)*AP176*AP183/Thousand</f>
        <v/>
      </c>
      <c r="AQ184" s="14">
        <f>$F$66*Hours_P50*(1-Curtailment)*(1-Clipping)*AQ176*AQ183/Thousand</f>
        <v/>
      </c>
      <c r="AR184" s="14">
        <f>$F$66*Hours_P50*(1-Curtailment)*(1-Clipping)*AR176*AR183/Thousand</f>
        <v/>
      </c>
      <c r="AS184" s="14">
        <f>$F$66*Hours_P50*(1-Curtailment)*(1-Clipping)*AS176*AS183/Thousand</f>
        <v/>
      </c>
    </row>
    <row r="185">
      <c r="C185" s="6" t="inlineStr">
        <is>
          <t>PPA price</t>
        </is>
      </c>
      <c r="D185" s="2" t="inlineStr">
        <is>
          <t>EUR/MWh</t>
        </is>
      </c>
      <c r="J185" s="14">
        <f>PPA_Price*(1+PPA_Esc)^J172*(J176&gt;0)</f>
        <v/>
      </c>
      <c r="K185" s="14">
        <f>PPA_Price*(1+PPA_Esc)^K172*(K176&gt;0)</f>
        <v/>
      </c>
      <c r="L185" s="14">
        <f>PPA_Price*(1+PPA_Esc)^L172*(L176&gt;0)</f>
        <v/>
      </c>
      <c r="M185" s="14">
        <f>PPA_Price*(1+PPA_Esc)^M172*(M176&gt;0)</f>
        <v/>
      </c>
      <c r="N185" s="14">
        <f>PPA_Price*(1+PPA_Esc)^N172*(N176&gt;0)</f>
        <v/>
      </c>
      <c r="O185" s="14">
        <f>PPA_Price*(1+PPA_Esc)^O172*(O176&gt;0)</f>
        <v/>
      </c>
      <c r="P185" s="14">
        <f>PPA_Price*(1+PPA_Esc)^P172*(P176&gt;0)</f>
        <v/>
      </c>
      <c r="Q185" s="14">
        <f>PPA_Price*(1+PPA_Esc)^Q172*(Q176&gt;0)</f>
        <v/>
      </c>
      <c r="R185" s="14">
        <f>PPA_Price*(1+PPA_Esc)^R172*(R176&gt;0)</f>
        <v/>
      </c>
      <c r="S185" s="14">
        <f>PPA_Price*(1+PPA_Esc)^S172*(S176&gt;0)</f>
        <v/>
      </c>
      <c r="T185" s="14">
        <f>PPA_Price*(1+PPA_Esc)^T172*(T176&gt;0)</f>
        <v/>
      </c>
      <c r="U185" s="14">
        <f>PPA_Price*(1+PPA_Esc)^U172*(U176&gt;0)</f>
        <v/>
      </c>
      <c r="V185" s="14">
        <f>PPA_Price*(1+PPA_Esc)^V172*(V176&gt;0)</f>
        <v/>
      </c>
      <c r="W185" s="14">
        <f>PPA_Price*(1+PPA_Esc)^W172*(W176&gt;0)</f>
        <v/>
      </c>
      <c r="X185" s="14">
        <f>PPA_Price*(1+PPA_Esc)^X172*(X176&gt;0)</f>
        <v/>
      </c>
      <c r="Y185" s="14">
        <f>PPA_Price*(1+PPA_Esc)^Y172*(Y176&gt;0)</f>
        <v/>
      </c>
      <c r="Z185" s="14">
        <f>PPA_Price*(1+PPA_Esc)^Z172*(Z176&gt;0)</f>
        <v/>
      </c>
      <c r="AA185" s="14">
        <f>PPA_Price*(1+PPA_Esc)^AA172*(AA176&gt;0)</f>
        <v/>
      </c>
      <c r="AB185" s="14">
        <f>PPA_Price*(1+PPA_Esc)^AB172*(AB176&gt;0)</f>
        <v/>
      </c>
      <c r="AC185" s="14">
        <f>PPA_Price*(1+PPA_Esc)^AC172*(AC176&gt;0)</f>
        <v/>
      </c>
      <c r="AD185" s="14">
        <f>PPA_Price*(1+PPA_Esc)^AD172*(AD176&gt;0)</f>
        <v/>
      </c>
      <c r="AE185" s="14">
        <f>PPA_Price*(1+PPA_Esc)^AE172*(AE176&gt;0)</f>
        <v/>
      </c>
      <c r="AF185" s="14">
        <f>PPA_Price*(1+PPA_Esc)^AF172*(AF176&gt;0)</f>
        <v/>
      </c>
      <c r="AG185" s="14">
        <f>PPA_Price*(1+PPA_Esc)^AG172*(AG176&gt;0)</f>
        <v/>
      </c>
      <c r="AH185" s="14">
        <f>PPA_Price*(1+PPA_Esc)^AH172*(AH176&gt;0)</f>
        <v/>
      </c>
      <c r="AI185" s="14">
        <f>PPA_Price*(1+PPA_Esc)^AI172*(AI176&gt;0)</f>
        <v/>
      </c>
      <c r="AJ185" s="14">
        <f>PPA_Price*(1+PPA_Esc)^AJ172*(AJ176&gt;0)</f>
        <v/>
      </c>
      <c r="AK185" s="14">
        <f>PPA_Price*(1+PPA_Esc)^AK172*(AK176&gt;0)</f>
        <v/>
      </c>
      <c r="AL185" s="14">
        <f>PPA_Price*(1+PPA_Esc)^AL172*(AL176&gt;0)</f>
        <v/>
      </c>
      <c r="AM185" s="14">
        <f>PPA_Price*(1+PPA_Esc)^AM172*(AM176&gt;0)</f>
        <v/>
      </c>
      <c r="AN185" s="14">
        <f>PPA_Price*(1+PPA_Esc)^AN172*(AN176&gt;0)</f>
        <v/>
      </c>
      <c r="AO185" s="14">
        <f>PPA_Price*(1+PPA_Esc)^AO172*(AO176&gt;0)</f>
        <v/>
      </c>
      <c r="AP185" s="14">
        <f>PPA_Price*(1+PPA_Esc)^AP172*(AP176&gt;0)</f>
        <v/>
      </c>
      <c r="AQ185" s="14">
        <f>PPA_Price*(1+PPA_Esc)^AQ172*(AQ176&gt;0)</f>
        <v/>
      </c>
      <c r="AR185" s="14">
        <f>PPA_Price*(1+PPA_Esc)^AR172*(AR176&gt;0)</f>
        <v/>
      </c>
      <c r="AS185" s="14">
        <f>PPA_Price*(1+PPA_Esc)^AS172*(AS176&gt;0)</f>
        <v/>
      </c>
    </row>
    <row r="186">
      <c r="C186" s="1" t="inlineStr">
        <is>
          <t>Revenue</t>
        </is>
      </c>
      <c r="D186" s="2" t="inlineStr">
        <is>
          <t>EUR k</t>
        </is>
      </c>
      <c r="H186" s="22">
        <f>SUM(J186:AS186)</f>
        <v/>
      </c>
      <c r="J186" s="22">
        <f>J184*J185</f>
        <v/>
      </c>
      <c r="K186" s="22">
        <f>K184*K185</f>
        <v/>
      </c>
      <c r="L186" s="22">
        <f>L184*L185</f>
        <v/>
      </c>
      <c r="M186" s="22">
        <f>M184*M185</f>
        <v/>
      </c>
      <c r="N186" s="22">
        <f>N184*N185</f>
        <v/>
      </c>
      <c r="O186" s="22">
        <f>O184*O185</f>
        <v/>
      </c>
      <c r="P186" s="22">
        <f>P184*P185</f>
        <v/>
      </c>
      <c r="Q186" s="22">
        <f>Q184*Q185</f>
        <v/>
      </c>
      <c r="R186" s="22">
        <f>R184*R185</f>
        <v/>
      </c>
      <c r="S186" s="22">
        <f>S184*S185</f>
        <v/>
      </c>
      <c r="T186" s="22">
        <f>T184*T185</f>
        <v/>
      </c>
      <c r="U186" s="22">
        <f>U184*U185</f>
        <v/>
      </c>
      <c r="V186" s="22">
        <f>V184*V185</f>
        <v/>
      </c>
      <c r="W186" s="22">
        <f>W184*W185</f>
        <v/>
      </c>
      <c r="X186" s="22">
        <f>X184*X185</f>
        <v/>
      </c>
      <c r="Y186" s="22">
        <f>Y184*Y185</f>
        <v/>
      </c>
      <c r="Z186" s="22">
        <f>Z184*Z185</f>
        <v/>
      </c>
      <c r="AA186" s="22">
        <f>AA184*AA185</f>
        <v/>
      </c>
      <c r="AB186" s="22">
        <f>AB184*AB185</f>
        <v/>
      </c>
      <c r="AC186" s="22">
        <f>AC184*AC185</f>
        <v/>
      </c>
      <c r="AD186" s="22">
        <f>AD184*AD185</f>
        <v/>
      </c>
      <c r="AE186" s="22">
        <f>AE184*AE185</f>
        <v/>
      </c>
      <c r="AF186" s="22">
        <f>AF184*AF185</f>
        <v/>
      </c>
      <c r="AG186" s="22">
        <f>AG184*AG185</f>
        <v/>
      </c>
      <c r="AH186" s="22">
        <f>AH184*AH185</f>
        <v/>
      </c>
      <c r="AI186" s="22">
        <f>AI184*AI185</f>
        <v/>
      </c>
      <c r="AJ186" s="22">
        <f>AJ184*AJ185</f>
        <v/>
      </c>
      <c r="AK186" s="22">
        <f>AK184*AK185</f>
        <v/>
      </c>
      <c r="AL186" s="22">
        <f>AL184*AL185</f>
        <v/>
      </c>
      <c r="AM186" s="22">
        <f>AM184*AM185</f>
        <v/>
      </c>
      <c r="AN186" s="22">
        <f>AN184*AN185</f>
        <v/>
      </c>
      <c r="AO186" s="22">
        <f>AO184*AO185</f>
        <v/>
      </c>
      <c r="AP186" s="22">
        <f>AP184*AP185</f>
        <v/>
      </c>
      <c r="AQ186" s="22">
        <f>AQ184*AQ185</f>
        <v/>
      </c>
      <c r="AR186" s="22">
        <f>AR184*AR185</f>
        <v/>
      </c>
      <c r="AS186" s="22">
        <f>AS184*AS185</f>
        <v/>
      </c>
    </row>
    <row r="187">
      <c r="C187" s="6" t="inlineStr">
        <is>
          <t>Opex index (COD year = 1)</t>
        </is>
      </c>
      <c r="D187" s="2" t="inlineStr">
        <is>
          <t>x</t>
        </is>
      </c>
      <c r="J187" s="27">
        <f>(1+Opex_Esc)^J172</f>
        <v/>
      </c>
      <c r="K187" s="27">
        <f>(1+Opex_Esc)^K172</f>
        <v/>
      </c>
      <c r="L187" s="27">
        <f>(1+Opex_Esc)^L172</f>
        <v/>
      </c>
      <c r="M187" s="27">
        <f>(1+Opex_Esc)^M172</f>
        <v/>
      </c>
      <c r="N187" s="27">
        <f>(1+Opex_Esc)^N172</f>
        <v/>
      </c>
      <c r="O187" s="27">
        <f>(1+Opex_Esc)^O172</f>
        <v/>
      </c>
      <c r="P187" s="27">
        <f>(1+Opex_Esc)^P172</f>
        <v/>
      </c>
      <c r="Q187" s="27">
        <f>(1+Opex_Esc)^Q172</f>
        <v/>
      </c>
      <c r="R187" s="27">
        <f>(1+Opex_Esc)^R172</f>
        <v/>
      </c>
      <c r="S187" s="27">
        <f>(1+Opex_Esc)^S172</f>
        <v/>
      </c>
      <c r="T187" s="27">
        <f>(1+Opex_Esc)^T172</f>
        <v/>
      </c>
      <c r="U187" s="27">
        <f>(1+Opex_Esc)^U172</f>
        <v/>
      </c>
      <c r="V187" s="27">
        <f>(1+Opex_Esc)^V172</f>
        <v/>
      </c>
      <c r="W187" s="27">
        <f>(1+Opex_Esc)^W172</f>
        <v/>
      </c>
      <c r="X187" s="27">
        <f>(1+Opex_Esc)^X172</f>
        <v/>
      </c>
      <c r="Y187" s="27">
        <f>(1+Opex_Esc)^Y172</f>
        <v/>
      </c>
      <c r="Z187" s="27">
        <f>(1+Opex_Esc)^Z172</f>
        <v/>
      </c>
      <c r="AA187" s="27">
        <f>(1+Opex_Esc)^AA172</f>
        <v/>
      </c>
      <c r="AB187" s="27">
        <f>(1+Opex_Esc)^AB172</f>
        <v/>
      </c>
      <c r="AC187" s="27">
        <f>(1+Opex_Esc)^AC172</f>
        <v/>
      </c>
      <c r="AD187" s="27">
        <f>(1+Opex_Esc)^AD172</f>
        <v/>
      </c>
      <c r="AE187" s="27">
        <f>(1+Opex_Esc)^AE172</f>
        <v/>
      </c>
      <c r="AF187" s="27">
        <f>(1+Opex_Esc)^AF172</f>
        <v/>
      </c>
      <c r="AG187" s="27">
        <f>(1+Opex_Esc)^AG172</f>
        <v/>
      </c>
      <c r="AH187" s="27">
        <f>(1+Opex_Esc)^AH172</f>
        <v/>
      </c>
      <c r="AI187" s="27">
        <f>(1+Opex_Esc)^AI172</f>
        <v/>
      </c>
      <c r="AJ187" s="27">
        <f>(1+Opex_Esc)^AJ172</f>
        <v/>
      </c>
      <c r="AK187" s="27">
        <f>(1+Opex_Esc)^AK172</f>
        <v/>
      </c>
      <c r="AL187" s="27">
        <f>(1+Opex_Esc)^AL172</f>
        <v/>
      </c>
      <c r="AM187" s="27">
        <f>(1+Opex_Esc)^AM172</f>
        <v/>
      </c>
      <c r="AN187" s="27">
        <f>(1+Opex_Esc)^AN172</f>
        <v/>
      </c>
      <c r="AO187" s="27">
        <f>(1+Opex_Esc)^AO172</f>
        <v/>
      </c>
      <c r="AP187" s="27">
        <f>(1+Opex_Esc)^AP172</f>
        <v/>
      </c>
      <c r="AQ187" s="27">
        <f>(1+Opex_Esc)^AQ172</f>
        <v/>
      </c>
      <c r="AR187" s="27">
        <f>(1+Opex_Esc)^AR172</f>
        <v/>
      </c>
      <c r="AS187" s="27">
        <f>(1+Opex_Esc)^AS172</f>
        <v/>
      </c>
    </row>
    <row r="188">
      <c r="C188" s="6" t="inlineStr">
        <is>
          <t>O&amp;M, BoP, lease, insurance, management, property tax</t>
        </is>
      </c>
      <c r="D188" s="2" t="inlineStr">
        <is>
          <t>EUR k</t>
        </is>
      </c>
      <c r="H188" s="8">
        <f>SUM(J188:AS188)</f>
        <v/>
      </c>
      <c r="J188" s="8">
        <f>-SUM(Opex_Per_MW)*$F$66*J187*J176</f>
        <v/>
      </c>
      <c r="K188" s="8">
        <f>-SUM(Opex_Per_MW)*$F$66*K187*K176</f>
        <v/>
      </c>
      <c r="L188" s="8">
        <f>-SUM(Opex_Per_MW)*$F$66*L187*L176</f>
        <v/>
      </c>
      <c r="M188" s="8">
        <f>-SUM(Opex_Per_MW)*$F$66*M187*M176</f>
        <v/>
      </c>
      <c r="N188" s="8">
        <f>-SUM(Opex_Per_MW)*$F$66*N187*N176</f>
        <v/>
      </c>
      <c r="O188" s="8">
        <f>-SUM(Opex_Per_MW)*$F$66*O187*O176</f>
        <v/>
      </c>
      <c r="P188" s="8">
        <f>-SUM(Opex_Per_MW)*$F$66*P187*P176</f>
        <v/>
      </c>
      <c r="Q188" s="8">
        <f>-SUM(Opex_Per_MW)*$F$66*Q187*Q176</f>
        <v/>
      </c>
      <c r="R188" s="8">
        <f>-SUM(Opex_Per_MW)*$F$66*R187*R176</f>
        <v/>
      </c>
      <c r="S188" s="8">
        <f>-SUM(Opex_Per_MW)*$F$66*S187*S176</f>
        <v/>
      </c>
      <c r="T188" s="8">
        <f>-SUM(Opex_Per_MW)*$F$66*T187*T176</f>
        <v/>
      </c>
      <c r="U188" s="8">
        <f>-SUM(Opex_Per_MW)*$F$66*U187*U176</f>
        <v/>
      </c>
      <c r="V188" s="8">
        <f>-SUM(Opex_Per_MW)*$F$66*V187*V176</f>
        <v/>
      </c>
      <c r="W188" s="8">
        <f>-SUM(Opex_Per_MW)*$F$66*W187*W176</f>
        <v/>
      </c>
      <c r="X188" s="8">
        <f>-SUM(Opex_Per_MW)*$F$66*X187*X176</f>
        <v/>
      </c>
      <c r="Y188" s="8">
        <f>-SUM(Opex_Per_MW)*$F$66*Y187*Y176</f>
        <v/>
      </c>
      <c r="Z188" s="8">
        <f>-SUM(Opex_Per_MW)*$F$66*Z187*Z176</f>
        <v/>
      </c>
      <c r="AA188" s="8">
        <f>-SUM(Opex_Per_MW)*$F$66*AA187*AA176</f>
        <v/>
      </c>
      <c r="AB188" s="8">
        <f>-SUM(Opex_Per_MW)*$F$66*AB187*AB176</f>
        <v/>
      </c>
      <c r="AC188" s="8">
        <f>-SUM(Opex_Per_MW)*$F$66*AC187*AC176</f>
        <v/>
      </c>
      <c r="AD188" s="8">
        <f>-SUM(Opex_Per_MW)*$F$66*AD187*AD176</f>
        <v/>
      </c>
      <c r="AE188" s="8">
        <f>-SUM(Opex_Per_MW)*$F$66*AE187*AE176</f>
        <v/>
      </c>
      <c r="AF188" s="8">
        <f>-SUM(Opex_Per_MW)*$F$66*AF187*AF176</f>
        <v/>
      </c>
      <c r="AG188" s="8">
        <f>-SUM(Opex_Per_MW)*$F$66*AG187*AG176</f>
        <v/>
      </c>
      <c r="AH188" s="8">
        <f>-SUM(Opex_Per_MW)*$F$66*AH187*AH176</f>
        <v/>
      </c>
      <c r="AI188" s="8">
        <f>-SUM(Opex_Per_MW)*$F$66*AI187*AI176</f>
        <v/>
      </c>
      <c r="AJ188" s="8">
        <f>-SUM(Opex_Per_MW)*$F$66*AJ187*AJ176</f>
        <v/>
      </c>
      <c r="AK188" s="8">
        <f>-SUM(Opex_Per_MW)*$F$66*AK187*AK176</f>
        <v/>
      </c>
      <c r="AL188" s="8">
        <f>-SUM(Opex_Per_MW)*$F$66*AL187*AL176</f>
        <v/>
      </c>
      <c r="AM188" s="8">
        <f>-SUM(Opex_Per_MW)*$F$66*AM187*AM176</f>
        <v/>
      </c>
      <c r="AN188" s="8">
        <f>-SUM(Opex_Per_MW)*$F$66*AN187*AN176</f>
        <v/>
      </c>
      <c r="AO188" s="8">
        <f>-SUM(Opex_Per_MW)*$F$66*AO187*AO176</f>
        <v/>
      </c>
      <c r="AP188" s="8">
        <f>-SUM(Opex_Per_MW)*$F$66*AP187*AP176</f>
        <v/>
      </c>
      <c r="AQ188" s="8">
        <f>-SUM(Opex_Per_MW)*$F$66*AQ187*AQ176</f>
        <v/>
      </c>
      <c r="AR188" s="8">
        <f>-SUM(Opex_Per_MW)*$F$66*AR187*AR176</f>
        <v/>
      </c>
      <c r="AS188" s="8">
        <f>-SUM(Opex_Per_MW)*$F$66*AS187*AS176</f>
        <v/>
      </c>
    </row>
    <row r="189">
      <c r="C189" s="6" t="inlineStr">
        <is>
          <t>Administration, audit, compliance</t>
        </is>
      </c>
      <c r="D189" s="2" t="inlineStr">
        <is>
          <t>EUR k</t>
        </is>
      </c>
      <c r="H189" s="8">
        <f>SUM(J189:AS189)</f>
        <v/>
      </c>
      <c r="J189" s="8">
        <f>-Opex_Admin*$F$6/Lump_Basis*J187*J176</f>
        <v/>
      </c>
      <c r="K189" s="8">
        <f>-Opex_Admin*$F$6/Lump_Basis*K187*K176</f>
        <v/>
      </c>
      <c r="L189" s="8">
        <f>-Opex_Admin*$F$6/Lump_Basis*L187*L176</f>
        <v/>
      </c>
      <c r="M189" s="8">
        <f>-Opex_Admin*$F$6/Lump_Basis*M187*M176</f>
        <v/>
      </c>
      <c r="N189" s="8">
        <f>-Opex_Admin*$F$6/Lump_Basis*N187*N176</f>
        <v/>
      </c>
      <c r="O189" s="8">
        <f>-Opex_Admin*$F$6/Lump_Basis*O187*O176</f>
        <v/>
      </c>
      <c r="P189" s="8">
        <f>-Opex_Admin*$F$6/Lump_Basis*P187*P176</f>
        <v/>
      </c>
      <c r="Q189" s="8">
        <f>-Opex_Admin*$F$6/Lump_Basis*Q187*Q176</f>
        <v/>
      </c>
      <c r="R189" s="8">
        <f>-Opex_Admin*$F$6/Lump_Basis*R187*R176</f>
        <v/>
      </c>
      <c r="S189" s="8">
        <f>-Opex_Admin*$F$6/Lump_Basis*S187*S176</f>
        <v/>
      </c>
      <c r="T189" s="8">
        <f>-Opex_Admin*$F$6/Lump_Basis*T187*T176</f>
        <v/>
      </c>
      <c r="U189" s="8">
        <f>-Opex_Admin*$F$6/Lump_Basis*U187*U176</f>
        <v/>
      </c>
      <c r="V189" s="8">
        <f>-Opex_Admin*$F$6/Lump_Basis*V187*V176</f>
        <v/>
      </c>
      <c r="W189" s="8">
        <f>-Opex_Admin*$F$6/Lump_Basis*W187*W176</f>
        <v/>
      </c>
      <c r="X189" s="8">
        <f>-Opex_Admin*$F$6/Lump_Basis*X187*X176</f>
        <v/>
      </c>
      <c r="Y189" s="8">
        <f>-Opex_Admin*$F$6/Lump_Basis*Y187*Y176</f>
        <v/>
      </c>
      <c r="Z189" s="8">
        <f>-Opex_Admin*$F$6/Lump_Basis*Z187*Z176</f>
        <v/>
      </c>
      <c r="AA189" s="8">
        <f>-Opex_Admin*$F$6/Lump_Basis*AA187*AA176</f>
        <v/>
      </c>
      <c r="AB189" s="8">
        <f>-Opex_Admin*$F$6/Lump_Basis*AB187*AB176</f>
        <v/>
      </c>
      <c r="AC189" s="8">
        <f>-Opex_Admin*$F$6/Lump_Basis*AC187*AC176</f>
        <v/>
      </c>
      <c r="AD189" s="8">
        <f>-Opex_Admin*$F$6/Lump_Basis*AD187*AD176</f>
        <v/>
      </c>
      <c r="AE189" s="8">
        <f>-Opex_Admin*$F$6/Lump_Basis*AE187*AE176</f>
        <v/>
      </c>
      <c r="AF189" s="8">
        <f>-Opex_Admin*$F$6/Lump_Basis*AF187*AF176</f>
        <v/>
      </c>
      <c r="AG189" s="8">
        <f>-Opex_Admin*$F$6/Lump_Basis*AG187*AG176</f>
        <v/>
      </c>
      <c r="AH189" s="8">
        <f>-Opex_Admin*$F$6/Lump_Basis*AH187*AH176</f>
        <v/>
      </c>
      <c r="AI189" s="8">
        <f>-Opex_Admin*$F$6/Lump_Basis*AI187*AI176</f>
        <v/>
      </c>
      <c r="AJ189" s="8">
        <f>-Opex_Admin*$F$6/Lump_Basis*AJ187*AJ176</f>
        <v/>
      </c>
      <c r="AK189" s="8">
        <f>-Opex_Admin*$F$6/Lump_Basis*AK187*AK176</f>
        <v/>
      </c>
      <c r="AL189" s="8">
        <f>-Opex_Admin*$F$6/Lump_Basis*AL187*AL176</f>
        <v/>
      </c>
      <c r="AM189" s="8">
        <f>-Opex_Admin*$F$6/Lump_Basis*AM187*AM176</f>
        <v/>
      </c>
      <c r="AN189" s="8">
        <f>-Opex_Admin*$F$6/Lump_Basis*AN187*AN176</f>
        <v/>
      </c>
      <c r="AO189" s="8">
        <f>-Opex_Admin*$F$6/Lump_Basis*AO187*AO176</f>
        <v/>
      </c>
      <c r="AP189" s="8">
        <f>-Opex_Admin*$F$6/Lump_Basis*AP187*AP176</f>
        <v/>
      </c>
      <c r="AQ189" s="8">
        <f>-Opex_Admin*$F$6/Lump_Basis*AQ187*AQ176</f>
        <v/>
      </c>
      <c r="AR189" s="8">
        <f>-Opex_Admin*$F$6/Lump_Basis*AR187*AR176</f>
        <v/>
      </c>
      <c r="AS189" s="8">
        <f>-Opex_Admin*$F$6/Lump_Basis*AS187*AS176</f>
        <v/>
      </c>
    </row>
    <row r="190">
      <c r="C190" s="6" t="inlineStr">
        <is>
          <t>Balancing and grid charges</t>
        </is>
      </c>
      <c r="D190" s="2" t="inlineStr">
        <is>
          <t>EUR k</t>
        </is>
      </c>
      <c r="H190" s="8">
        <f>SUM(J190:AS190)</f>
        <v/>
      </c>
      <c r="J190" s="8">
        <f>-J184*(Balancing+Grid_Charges)*J187</f>
        <v/>
      </c>
      <c r="K190" s="8">
        <f>-K184*(Balancing+Grid_Charges)*K187</f>
        <v/>
      </c>
      <c r="L190" s="8">
        <f>-L184*(Balancing+Grid_Charges)*L187</f>
        <v/>
      </c>
      <c r="M190" s="8">
        <f>-M184*(Balancing+Grid_Charges)*M187</f>
        <v/>
      </c>
      <c r="N190" s="8">
        <f>-N184*(Balancing+Grid_Charges)*N187</f>
        <v/>
      </c>
      <c r="O190" s="8">
        <f>-O184*(Balancing+Grid_Charges)*O187</f>
        <v/>
      </c>
      <c r="P190" s="8">
        <f>-P184*(Balancing+Grid_Charges)*P187</f>
        <v/>
      </c>
      <c r="Q190" s="8">
        <f>-Q184*(Balancing+Grid_Charges)*Q187</f>
        <v/>
      </c>
      <c r="R190" s="8">
        <f>-R184*(Balancing+Grid_Charges)*R187</f>
        <v/>
      </c>
      <c r="S190" s="8">
        <f>-S184*(Balancing+Grid_Charges)*S187</f>
        <v/>
      </c>
      <c r="T190" s="8">
        <f>-T184*(Balancing+Grid_Charges)*T187</f>
        <v/>
      </c>
      <c r="U190" s="8">
        <f>-U184*(Balancing+Grid_Charges)*U187</f>
        <v/>
      </c>
      <c r="V190" s="8">
        <f>-V184*(Balancing+Grid_Charges)*V187</f>
        <v/>
      </c>
      <c r="W190" s="8">
        <f>-W184*(Balancing+Grid_Charges)*W187</f>
        <v/>
      </c>
      <c r="X190" s="8">
        <f>-X184*(Balancing+Grid_Charges)*X187</f>
        <v/>
      </c>
      <c r="Y190" s="8">
        <f>-Y184*(Balancing+Grid_Charges)*Y187</f>
        <v/>
      </c>
      <c r="Z190" s="8">
        <f>-Z184*(Balancing+Grid_Charges)*Z187</f>
        <v/>
      </c>
      <c r="AA190" s="8">
        <f>-AA184*(Balancing+Grid_Charges)*AA187</f>
        <v/>
      </c>
      <c r="AB190" s="8">
        <f>-AB184*(Balancing+Grid_Charges)*AB187</f>
        <v/>
      </c>
      <c r="AC190" s="8">
        <f>-AC184*(Balancing+Grid_Charges)*AC187</f>
        <v/>
      </c>
      <c r="AD190" s="8">
        <f>-AD184*(Balancing+Grid_Charges)*AD187</f>
        <v/>
      </c>
      <c r="AE190" s="8">
        <f>-AE184*(Balancing+Grid_Charges)*AE187</f>
        <v/>
      </c>
      <c r="AF190" s="8">
        <f>-AF184*(Balancing+Grid_Charges)*AF187</f>
        <v/>
      </c>
      <c r="AG190" s="8">
        <f>-AG184*(Balancing+Grid_Charges)*AG187</f>
        <v/>
      </c>
      <c r="AH190" s="8">
        <f>-AH184*(Balancing+Grid_Charges)*AH187</f>
        <v/>
      </c>
      <c r="AI190" s="8">
        <f>-AI184*(Balancing+Grid_Charges)*AI187</f>
        <v/>
      </c>
      <c r="AJ190" s="8">
        <f>-AJ184*(Balancing+Grid_Charges)*AJ187</f>
        <v/>
      </c>
      <c r="AK190" s="8">
        <f>-AK184*(Balancing+Grid_Charges)*AK187</f>
        <v/>
      </c>
      <c r="AL190" s="8">
        <f>-AL184*(Balancing+Grid_Charges)*AL187</f>
        <v/>
      </c>
      <c r="AM190" s="8">
        <f>-AM184*(Balancing+Grid_Charges)*AM187</f>
        <v/>
      </c>
      <c r="AN190" s="8">
        <f>-AN184*(Balancing+Grid_Charges)*AN187</f>
        <v/>
      </c>
      <c r="AO190" s="8">
        <f>-AO184*(Balancing+Grid_Charges)*AO187</f>
        <v/>
      </c>
      <c r="AP190" s="8">
        <f>-AP184*(Balancing+Grid_Charges)*AP187</f>
        <v/>
      </c>
      <c r="AQ190" s="8">
        <f>-AQ184*(Balancing+Grid_Charges)*AQ187</f>
        <v/>
      </c>
      <c r="AR190" s="8">
        <f>-AR184*(Balancing+Grid_Charges)*AR187</f>
        <v/>
      </c>
      <c r="AS190" s="8">
        <f>-AS184*(Balancing+Grid_Charges)*AS187</f>
        <v/>
      </c>
    </row>
    <row r="191">
      <c r="C191" s="6" t="inlineStr">
        <is>
          <t>MEKH supervisory fee</t>
        </is>
      </c>
      <c r="D191" s="2" t="inlineStr">
        <is>
          <t>EUR k</t>
        </is>
      </c>
      <c r="H191" s="8">
        <f>SUM(J191:AS191)</f>
        <v/>
      </c>
      <c r="J191" s="8">
        <f>-J186*MEKH_Fee</f>
        <v/>
      </c>
      <c r="K191" s="8">
        <f>-K186*MEKH_Fee</f>
        <v/>
      </c>
      <c r="L191" s="8">
        <f>-L186*MEKH_Fee</f>
        <v/>
      </c>
      <c r="M191" s="8">
        <f>-M186*MEKH_Fee</f>
        <v/>
      </c>
      <c r="N191" s="8">
        <f>-N186*MEKH_Fee</f>
        <v/>
      </c>
      <c r="O191" s="8">
        <f>-O186*MEKH_Fee</f>
        <v/>
      </c>
      <c r="P191" s="8">
        <f>-P186*MEKH_Fee</f>
        <v/>
      </c>
      <c r="Q191" s="8">
        <f>-Q186*MEKH_Fee</f>
        <v/>
      </c>
      <c r="R191" s="8">
        <f>-R186*MEKH_Fee</f>
        <v/>
      </c>
      <c r="S191" s="8">
        <f>-S186*MEKH_Fee</f>
        <v/>
      </c>
      <c r="T191" s="8">
        <f>-T186*MEKH_Fee</f>
        <v/>
      </c>
      <c r="U191" s="8">
        <f>-U186*MEKH_Fee</f>
        <v/>
      </c>
      <c r="V191" s="8">
        <f>-V186*MEKH_Fee</f>
        <v/>
      </c>
      <c r="W191" s="8">
        <f>-W186*MEKH_Fee</f>
        <v/>
      </c>
      <c r="X191" s="8">
        <f>-X186*MEKH_Fee</f>
        <v/>
      </c>
      <c r="Y191" s="8">
        <f>-Y186*MEKH_Fee</f>
        <v/>
      </c>
      <c r="Z191" s="8">
        <f>-Z186*MEKH_Fee</f>
        <v/>
      </c>
      <c r="AA191" s="8">
        <f>-AA186*MEKH_Fee</f>
        <v/>
      </c>
      <c r="AB191" s="8">
        <f>-AB186*MEKH_Fee</f>
        <v/>
      </c>
      <c r="AC191" s="8">
        <f>-AC186*MEKH_Fee</f>
        <v/>
      </c>
      <c r="AD191" s="8">
        <f>-AD186*MEKH_Fee</f>
        <v/>
      </c>
      <c r="AE191" s="8">
        <f>-AE186*MEKH_Fee</f>
        <v/>
      </c>
      <c r="AF191" s="8">
        <f>-AF186*MEKH_Fee</f>
        <v/>
      </c>
      <c r="AG191" s="8">
        <f>-AG186*MEKH_Fee</f>
        <v/>
      </c>
      <c r="AH191" s="8">
        <f>-AH186*MEKH_Fee</f>
        <v/>
      </c>
      <c r="AI191" s="8">
        <f>-AI186*MEKH_Fee</f>
        <v/>
      </c>
      <c r="AJ191" s="8">
        <f>-AJ186*MEKH_Fee</f>
        <v/>
      </c>
      <c r="AK191" s="8">
        <f>-AK186*MEKH_Fee</f>
        <v/>
      </c>
      <c r="AL191" s="8">
        <f>-AL186*MEKH_Fee</f>
        <v/>
      </c>
      <c r="AM191" s="8">
        <f>-AM186*MEKH_Fee</f>
        <v/>
      </c>
      <c r="AN191" s="8">
        <f>-AN186*MEKH_Fee</f>
        <v/>
      </c>
      <c r="AO191" s="8">
        <f>-AO186*MEKH_Fee</f>
        <v/>
      </c>
      <c r="AP191" s="8">
        <f>-AP186*MEKH_Fee</f>
        <v/>
      </c>
      <c r="AQ191" s="8">
        <f>-AQ186*MEKH_Fee</f>
        <v/>
      </c>
      <c r="AR191" s="8">
        <f>-AR186*MEKH_Fee</f>
        <v/>
      </c>
      <c r="AS191" s="8">
        <f>-AS186*MEKH_Fee</f>
        <v/>
      </c>
    </row>
    <row r="192">
      <c r="C192" s="6" t="inlineStr">
        <is>
          <t>Opex contingency</t>
        </is>
      </c>
      <c r="D192" s="2" t="inlineStr">
        <is>
          <t>EUR k</t>
        </is>
      </c>
      <c r="H192" s="8">
        <f>SUM(J192:AS192)</f>
        <v/>
      </c>
      <c r="J192" s="8">
        <f>SUM(J188:J191)*Opex_Cont</f>
        <v/>
      </c>
      <c r="K192" s="8">
        <f>SUM(K188:K191)*Opex_Cont</f>
        <v/>
      </c>
      <c r="L192" s="8">
        <f>SUM(L188:L191)*Opex_Cont</f>
        <v/>
      </c>
      <c r="M192" s="8">
        <f>SUM(M188:M191)*Opex_Cont</f>
        <v/>
      </c>
      <c r="N192" s="8">
        <f>SUM(N188:N191)*Opex_Cont</f>
        <v/>
      </c>
      <c r="O192" s="8">
        <f>SUM(O188:O191)*Opex_Cont</f>
        <v/>
      </c>
      <c r="P192" s="8">
        <f>SUM(P188:P191)*Opex_Cont</f>
        <v/>
      </c>
      <c r="Q192" s="8">
        <f>SUM(Q188:Q191)*Opex_Cont</f>
        <v/>
      </c>
      <c r="R192" s="8">
        <f>SUM(R188:R191)*Opex_Cont</f>
        <v/>
      </c>
      <c r="S192" s="8">
        <f>SUM(S188:S191)*Opex_Cont</f>
        <v/>
      </c>
      <c r="T192" s="8">
        <f>SUM(T188:T191)*Opex_Cont</f>
        <v/>
      </c>
      <c r="U192" s="8">
        <f>SUM(U188:U191)*Opex_Cont</f>
        <v/>
      </c>
      <c r="V192" s="8">
        <f>SUM(V188:V191)*Opex_Cont</f>
        <v/>
      </c>
      <c r="W192" s="8">
        <f>SUM(W188:W191)*Opex_Cont</f>
        <v/>
      </c>
      <c r="X192" s="8">
        <f>SUM(X188:X191)*Opex_Cont</f>
        <v/>
      </c>
      <c r="Y192" s="8">
        <f>SUM(Y188:Y191)*Opex_Cont</f>
        <v/>
      </c>
      <c r="Z192" s="8">
        <f>SUM(Z188:Z191)*Opex_Cont</f>
        <v/>
      </c>
      <c r="AA192" s="8">
        <f>SUM(AA188:AA191)*Opex_Cont</f>
        <v/>
      </c>
      <c r="AB192" s="8">
        <f>SUM(AB188:AB191)*Opex_Cont</f>
        <v/>
      </c>
      <c r="AC192" s="8">
        <f>SUM(AC188:AC191)*Opex_Cont</f>
        <v/>
      </c>
      <c r="AD192" s="8">
        <f>SUM(AD188:AD191)*Opex_Cont</f>
        <v/>
      </c>
      <c r="AE192" s="8">
        <f>SUM(AE188:AE191)*Opex_Cont</f>
        <v/>
      </c>
      <c r="AF192" s="8">
        <f>SUM(AF188:AF191)*Opex_Cont</f>
        <v/>
      </c>
      <c r="AG192" s="8">
        <f>SUM(AG188:AG191)*Opex_Cont</f>
        <v/>
      </c>
      <c r="AH192" s="8">
        <f>SUM(AH188:AH191)*Opex_Cont</f>
        <v/>
      </c>
      <c r="AI192" s="8">
        <f>SUM(AI188:AI191)*Opex_Cont</f>
        <v/>
      </c>
      <c r="AJ192" s="8">
        <f>SUM(AJ188:AJ191)*Opex_Cont</f>
        <v/>
      </c>
      <c r="AK192" s="8">
        <f>SUM(AK188:AK191)*Opex_Cont</f>
        <v/>
      </c>
      <c r="AL192" s="8">
        <f>SUM(AL188:AL191)*Opex_Cont</f>
        <v/>
      </c>
      <c r="AM192" s="8">
        <f>SUM(AM188:AM191)*Opex_Cont</f>
        <v/>
      </c>
      <c r="AN192" s="8">
        <f>SUM(AN188:AN191)*Opex_Cont</f>
        <v/>
      </c>
      <c r="AO192" s="8">
        <f>SUM(AO188:AO191)*Opex_Cont</f>
        <v/>
      </c>
      <c r="AP192" s="8">
        <f>SUM(AP188:AP191)*Opex_Cont</f>
        <v/>
      </c>
      <c r="AQ192" s="8">
        <f>SUM(AQ188:AQ191)*Opex_Cont</f>
        <v/>
      </c>
      <c r="AR192" s="8">
        <f>SUM(AR188:AR191)*Opex_Cont</f>
        <v/>
      </c>
      <c r="AS192" s="8">
        <f>SUM(AS188:AS191)*Opex_Cont</f>
        <v/>
      </c>
    </row>
    <row r="193">
      <c r="C193" s="6" t="inlineStr">
        <is>
          <t>Community contribution</t>
        </is>
      </c>
      <c r="D193" s="2" t="inlineStr">
        <is>
          <t>EUR k</t>
        </is>
      </c>
      <c r="H193" s="8">
        <f>SUM(J193:AS193)</f>
        <v/>
      </c>
      <c r="J193" s="8">
        <f>-J184*$F$12</f>
        <v/>
      </c>
      <c r="K193" s="8">
        <f>-K184*$F$12</f>
        <v/>
      </c>
      <c r="L193" s="8">
        <f>-L184*$F$12</f>
        <v/>
      </c>
      <c r="M193" s="8">
        <f>-M184*$F$12</f>
        <v/>
      </c>
      <c r="N193" s="8">
        <f>-N184*$F$12</f>
        <v/>
      </c>
      <c r="O193" s="8">
        <f>-O184*$F$12</f>
        <v/>
      </c>
      <c r="P193" s="8">
        <f>-P184*$F$12</f>
        <v/>
      </c>
      <c r="Q193" s="8">
        <f>-Q184*$F$12</f>
        <v/>
      </c>
      <c r="R193" s="8">
        <f>-R184*$F$12</f>
        <v/>
      </c>
      <c r="S193" s="8">
        <f>-S184*$F$12</f>
        <v/>
      </c>
      <c r="T193" s="8">
        <f>-T184*$F$12</f>
        <v/>
      </c>
      <c r="U193" s="8">
        <f>-U184*$F$12</f>
        <v/>
      </c>
      <c r="V193" s="8">
        <f>-V184*$F$12</f>
        <v/>
      </c>
      <c r="W193" s="8">
        <f>-W184*$F$12</f>
        <v/>
      </c>
      <c r="X193" s="8">
        <f>-X184*$F$12</f>
        <v/>
      </c>
      <c r="Y193" s="8">
        <f>-Y184*$F$12</f>
        <v/>
      </c>
      <c r="Z193" s="8">
        <f>-Z184*$F$12</f>
        <v/>
      </c>
      <c r="AA193" s="8">
        <f>-AA184*$F$12</f>
        <v/>
      </c>
      <c r="AB193" s="8">
        <f>-AB184*$F$12</f>
        <v/>
      </c>
      <c r="AC193" s="8">
        <f>-AC184*$F$12</f>
        <v/>
      </c>
      <c r="AD193" s="8">
        <f>-AD184*$F$12</f>
        <v/>
      </c>
      <c r="AE193" s="8">
        <f>-AE184*$F$12</f>
        <v/>
      </c>
      <c r="AF193" s="8">
        <f>-AF184*$F$12</f>
        <v/>
      </c>
      <c r="AG193" s="8">
        <f>-AG184*$F$12</f>
        <v/>
      </c>
      <c r="AH193" s="8">
        <f>-AH184*$F$12</f>
        <v/>
      </c>
      <c r="AI193" s="8">
        <f>-AI184*$F$12</f>
        <v/>
      </c>
      <c r="AJ193" s="8">
        <f>-AJ184*$F$12</f>
        <v/>
      </c>
      <c r="AK193" s="8">
        <f>-AK184*$F$12</f>
        <v/>
      </c>
      <c r="AL193" s="8">
        <f>-AL184*$F$12</f>
        <v/>
      </c>
      <c r="AM193" s="8">
        <f>-AM184*$F$12</f>
        <v/>
      </c>
      <c r="AN193" s="8">
        <f>-AN184*$F$12</f>
        <v/>
      </c>
      <c r="AO193" s="8">
        <f>-AO184*$F$12</f>
        <v/>
      </c>
      <c r="AP193" s="8">
        <f>-AP184*$F$12</f>
        <v/>
      </c>
      <c r="AQ193" s="8">
        <f>-AQ184*$F$12</f>
        <v/>
      </c>
      <c r="AR193" s="8">
        <f>-AR184*$F$12</f>
        <v/>
      </c>
      <c r="AS193" s="8">
        <f>-AS184*$F$12</f>
        <v/>
      </c>
    </row>
    <row r="194">
      <c r="C194" s="6" t="inlineStr">
        <is>
          <t>HIPA local business tax</t>
        </is>
      </c>
      <c r="D194" s="2" t="inlineStr">
        <is>
          <t>EUR k</t>
        </is>
      </c>
      <c r="H194" s="8">
        <f>SUM(J194:AS194)</f>
        <v/>
      </c>
      <c r="J194" s="8">
        <f>-J186*HIPA_Rate</f>
        <v/>
      </c>
      <c r="K194" s="8">
        <f>-K186*HIPA_Rate</f>
        <v/>
      </c>
      <c r="L194" s="8">
        <f>-L186*HIPA_Rate</f>
        <v/>
      </c>
      <c r="M194" s="8">
        <f>-M186*HIPA_Rate</f>
        <v/>
      </c>
      <c r="N194" s="8">
        <f>-N186*HIPA_Rate</f>
        <v/>
      </c>
      <c r="O194" s="8">
        <f>-O186*HIPA_Rate</f>
        <v/>
      </c>
      <c r="P194" s="8">
        <f>-P186*HIPA_Rate</f>
        <v/>
      </c>
      <c r="Q194" s="8">
        <f>-Q186*HIPA_Rate</f>
        <v/>
      </c>
      <c r="R194" s="8">
        <f>-R186*HIPA_Rate</f>
        <v/>
      </c>
      <c r="S194" s="8">
        <f>-S186*HIPA_Rate</f>
        <v/>
      </c>
      <c r="T194" s="8">
        <f>-T186*HIPA_Rate</f>
        <v/>
      </c>
      <c r="U194" s="8">
        <f>-U186*HIPA_Rate</f>
        <v/>
      </c>
      <c r="V194" s="8">
        <f>-V186*HIPA_Rate</f>
        <v/>
      </c>
      <c r="W194" s="8">
        <f>-W186*HIPA_Rate</f>
        <v/>
      </c>
      <c r="X194" s="8">
        <f>-X186*HIPA_Rate</f>
        <v/>
      </c>
      <c r="Y194" s="8">
        <f>-Y186*HIPA_Rate</f>
        <v/>
      </c>
      <c r="Z194" s="8">
        <f>-Z186*HIPA_Rate</f>
        <v/>
      </c>
      <c r="AA194" s="8">
        <f>-AA186*HIPA_Rate</f>
        <v/>
      </c>
      <c r="AB194" s="8">
        <f>-AB186*HIPA_Rate</f>
        <v/>
      </c>
      <c r="AC194" s="8">
        <f>-AC186*HIPA_Rate</f>
        <v/>
      </c>
      <c r="AD194" s="8">
        <f>-AD186*HIPA_Rate</f>
        <v/>
      </c>
      <c r="AE194" s="8">
        <f>-AE186*HIPA_Rate</f>
        <v/>
      </c>
      <c r="AF194" s="8">
        <f>-AF186*HIPA_Rate</f>
        <v/>
      </c>
      <c r="AG194" s="8">
        <f>-AG186*HIPA_Rate</f>
        <v/>
      </c>
      <c r="AH194" s="8">
        <f>-AH186*HIPA_Rate</f>
        <v/>
      </c>
      <c r="AI194" s="8">
        <f>-AI186*HIPA_Rate</f>
        <v/>
      </c>
      <c r="AJ194" s="8">
        <f>-AJ186*HIPA_Rate</f>
        <v/>
      </c>
      <c r="AK194" s="8">
        <f>-AK186*HIPA_Rate</f>
        <v/>
      </c>
      <c r="AL194" s="8">
        <f>-AL186*HIPA_Rate</f>
        <v/>
      </c>
      <c r="AM194" s="8">
        <f>-AM186*HIPA_Rate</f>
        <v/>
      </c>
      <c r="AN194" s="8">
        <f>-AN186*HIPA_Rate</f>
        <v/>
      </c>
      <c r="AO194" s="8">
        <f>-AO186*HIPA_Rate</f>
        <v/>
      </c>
      <c r="AP194" s="8">
        <f>-AP186*HIPA_Rate</f>
        <v/>
      </c>
      <c r="AQ194" s="8">
        <f>-AQ186*HIPA_Rate</f>
        <v/>
      </c>
      <c r="AR194" s="8">
        <f>-AR186*HIPA_Rate</f>
        <v/>
      </c>
      <c r="AS194" s="8">
        <f>-AS186*HIPA_Rate</f>
        <v/>
      </c>
    </row>
    <row r="195">
      <c r="C195" s="1" t="inlineStr">
        <is>
          <t>EBITDA</t>
        </is>
      </c>
      <c r="D195" s="2" t="inlineStr">
        <is>
          <t>EUR k</t>
        </is>
      </c>
      <c r="H195" s="22">
        <f>SUM(J195:AS195)</f>
        <v/>
      </c>
      <c r="J195" s="22">
        <f>J186+SUM(J188:J194)</f>
        <v/>
      </c>
      <c r="K195" s="22">
        <f>K186+SUM(K188:K194)</f>
        <v/>
      </c>
      <c r="L195" s="22">
        <f>L186+SUM(L188:L194)</f>
        <v/>
      </c>
      <c r="M195" s="22">
        <f>M186+SUM(M188:M194)</f>
        <v/>
      </c>
      <c r="N195" s="22">
        <f>N186+SUM(N188:N194)</f>
        <v/>
      </c>
      <c r="O195" s="22">
        <f>O186+SUM(O188:O194)</f>
        <v/>
      </c>
      <c r="P195" s="22">
        <f>P186+SUM(P188:P194)</f>
        <v/>
      </c>
      <c r="Q195" s="22">
        <f>Q186+SUM(Q188:Q194)</f>
        <v/>
      </c>
      <c r="R195" s="22">
        <f>R186+SUM(R188:R194)</f>
        <v/>
      </c>
      <c r="S195" s="22">
        <f>S186+SUM(S188:S194)</f>
        <v/>
      </c>
      <c r="T195" s="22">
        <f>T186+SUM(T188:T194)</f>
        <v/>
      </c>
      <c r="U195" s="22">
        <f>U186+SUM(U188:U194)</f>
        <v/>
      </c>
      <c r="V195" s="22">
        <f>V186+SUM(V188:V194)</f>
        <v/>
      </c>
      <c r="W195" s="22">
        <f>W186+SUM(W188:W194)</f>
        <v/>
      </c>
      <c r="X195" s="22">
        <f>X186+SUM(X188:X194)</f>
        <v/>
      </c>
      <c r="Y195" s="22">
        <f>Y186+SUM(Y188:Y194)</f>
        <v/>
      </c>
      <c r="Z195" s="22">
        <f>Z186+SUM(Z188:Z194)</f>
        <v/>
      </c>
      <c r="AA195" s="22">
        <f>AA186+SUM(AA188:AA194)</f>
        <v/>
      </c>
      <c r="AB195" s="22">
        <f>AB186+SUM(AB188:AB194)</f>
        <v/>
      </c>
      <c r="AC195" s="22">
        <f>AC186+SUM(AC188:AC194)</f>
        <v/>
      </c>
      <c r="AD195" s="22">
        <f>AD186+SUM(AD188:AD194)</f>
        <v/>
      </c>
      <c r="AE195" s="22">
        <f>AE186+SUM(AE188:AE194)</f>
        <v/>
      </c>
      <c r="AF195" s="22">
        <f>AF186+SUM(AF188:AF194)</f>
        <v/>
      </c>
      <c r="AG195" s="22">
        <f>AG186+SUM(AG188:AG194)</f>
        <v/>
      </c>
      <c r="AH195" s="22">
        <f>AH186+SUM(AH188:AH194)</f>
        <v/>
      </c>
      <c r="AI195" s="22">
        <f>AI186+SUM(AI188:AI194)</f>
        <v/>
      </c>
      <c r="AJ195" s="22">
        <f>AJ186+SUM(AJ188:AJ194)</f>
        <v/>
      </c>
      <c r="AK195" s="22">
        <f>AK186+SUM(AK188:AK194)</f>
        <v/>
      </c>
      <c r="AL195" s="22">
        <f>AL186+SUM(AL188:AL194)</f>
        <v/>
      </c>
      <c r="AM195" s="22">
        <f>AM186+SUM(AM188:AM194)</f>
        <v/>
      </c>
      <c r="AN195" s="22">
        <f>AN186+SUM(AN188:AN194)</f>
        <v/>
      </c>
      <c r="AO195" s="22">
        <f>AO186+SUM(AO188:AO194)</f>
        <v/>
      </c>
      <c r="AP195" s="22">
        <f>AP186+SUM(AP188:AP194)</f>
        <v/>
      </c>
      <c r="AQ195" s="22">
        <f>AQ186+SUM(AQ188:AQ194)</f>
        <v/>
      </c>
      <c r="AR195" s="22">
        <f>AR186+SUM(AR188:AR194)</f>
        <v/>
      </c>
      <c r="AS195" s="22">
        <f>AS186+SUM(AS188:AS194)</f>
        <v/>
      </c>
    </row>
    <row r="196">
      <c r="C196" s="1" t="inlineStr">
        <is>
          <t>Unlevered pre-tax cash flow</t>
        </is>
      </c>
      <c r="D196" s="2" t="inlineStr">
        <is>
          <t>EUR k</t>
        </is>
      </c>
      <c r="H196" s="22">
        <f>SUM(J196:AS196)</f>
        <v/>
      </c>
      <c r="J196" s="22">
        <f>J182+J195</f>
        <v/>
      </c>
      <c r="K196" s="22">
        <f>K182+K195</f>
        <v/>
      </c>
      <c r="L196" s="22">
        <f>L182+L195</f>
        <v/>
      </c>
      <c r="M196" s="22">
        <f>M182+M195</f>
        <v/>
      </c>
      <c r="N196" s="22">
        <f>N182+N195</f>
        <v/>
      </c>
      <c r="O196" s="22">
        <f>O182+O195</f>
        <v/>
      </c>
      <c r="P196" s="22">
        <f>P182+P195</f>
        <v/>
      </c>
      <c r="Q196" s="22">
        <f>Q182+Q195</f>
        <v/>
      </c>
      <c r="R196" s="22">
        <f>R182+R195</f>
        <v/>
      </c>
      <c r="S196" s="22">
        <f>S182+S195</f>
        <v/>
      </c>
      <c r="T196" s="22">
        <f>T182+T195</f>
        <v/>
      </c>
      <c r="U196" s="22">
        <f>U182+U195</f>
        <v/>
      </c>
      <c r="V196" s="22">
        <f>V182+V195</f>
        <v/>
      </c>
      <c r="W196" s="22">
        <f>W182+W195</f>
        <v/>
      </c>
      <c r="X196" s="22">
        <f>X182+X195</f>
        <v/>
      </c>
      <c r="Y196" s="22">
        <f>Y182+Y195</f>
        <v/>
      </c>
      <c r="Z196" s="22">
        <f>Z182+Z195</f>
        <v/>
      </c>
      <c r="AA196" s="22">
        <f>AA182+AA195</f>
        <v/>
      </c>
      <c r="AB196" s="22">
        <f>AB182+AB195</f>
        <v/>
      </c>
      <c r="AC196" s="22">
        <f>AC182+AC195</f>
        <v/>
      </c>
      <c r="AD196" s="22">
        <f>AD182+AD195</f>
        <v/>
      </c>
      <c r="AE196" s="22">
        <f>AE182+AE195</f>
        <v/>
      </c>
      <c r="AF196" s="22">
        <f>AF182+AF195</f>
        <v/>
      </c>
      <c r="AG196" s="22">
        <f>AG182+AG195</f>
        <v/>
      </c>
      <c r="AH196" s="22">
        <f>AH182+AH195</f>
        <v/>
      </c>
      <c r="AI196" s="22">
        <f>AI182+AI195</f>
        <v/>
      </c>
      <c r="AJ196" s="22">
        <f>AJ182+AJ195</f>
        <v/>
      </c>
      <c r="AK196" s="22">
        <f>AK182+AK195</f>
        <v/>
      </c>
      <c r="AL196" s="22">
        <f>AL182+AL195</f>
        <v/>
      </c>
      <c r="AM196" s="22">
        <f>AM182+AM195</f>
        <v/>
      </c>
      <c r="AN196" s="22">
        <f>AN182+AN195</f>
        <v/>
      </c>
      <c r="AO196" s="22">
        <f>AO182+AO195</f>
        <v/>
      </c>
      <c r="AP196" s="22">
        <f>AP182+AP195</f>
        <v/>
      </c>
      <c r="AQ196" s="22">
        <f>AQ182+AQ195</f>
        <v/>
      </c>
      <c r="AR196" s="22">
        <f>AR182+AR195</f>
        <v/>
      </c>
      <c r="AS196" s="22">
        <f>AS182+AS195</f>
        <v/>
      </c>
    </row>
    <row r="197">
      <c r="C197" s="6" t="inlineStr">
        <is>
          <t>Discount factor to COD (buyer's rate)</t>
        </is>
      </c>
      <c r="D197" s="2" t="inlineStr">
        <is>
          <t>x</t>
        </is>
      </c>
      <c r="J197" s="27">
        <f>(1+Discount_Rate)^((Inputs!$F$27-J$139)/Days_In_Year)</f>
        <v/>
      </c>
      <c r="K197" s="27">
        <f>(1+Discount_Rate)^((Inputs!$F$27-K$139)/Days_In_Year)</f>
        <v/>
      </c>
      <c r="L197" s="27">
        <f>(1+Discount_Rate)^((Inputs!$F$27-L$139)/Days_In_Year)</f>
        <v/>
      </c>
      <c r="M197" s="27">
        <f>(1+Discount_Rate)^((Inputs!$F$27-M$139)/Days_In_Year)</f>
        <v/>
      </c>
      <c r="N197" s="27">
        <f>(1+Discount_Rate)^((Inputs!$F$27-N$139)/Days_In_Year)</f>
        <v/>
      </c>
      <c r="O197" s="27">
        <f>(1+Discount_Rate)^((Inputs!$F$27-O$139)/Days_In_Year)</f>
        <v/>
      </c>
      <c r="P197" s="27">
        <f>(1+Discount_Rate)^((Inputs!$F$27-P$139)/Days_In_Year)</f>
        <v/>
      </c>
      <c r="Q197" s="27">
        <f>(1+Discount_Rate)^((Inputs!$F$27-Q$139)/Days_In_Year)</f>
        <v/>
      </c>
      <c r="R197" s="27">
        <f>(1+Discount_Rate)^((Inputs!$F$27-R$139)/Days_In_Year)</f>
        <v/>
      </c>
      <c r="S197" s="27">
        <f>(1+Discount_Rate)^((Inputs!$F$27-S$139)/Days_In_Year)</f>
        <v/>
      </c>
      <c r="T197" s="27">
        <f>(1+Discount_Rate)^((Inputs!$F$27-T$139)/Days_In_Year)</f>
        <v/>
      </c>
      <c r="U197" s="27">
        <f>(1+Discount_Rate)^((Inputs!$F$27-U$139)/Days_In_Year)</f>
        <v/>
      </c>
      <c r="V197" s="27">
        <f>(1+Discount_Rate)^((Inputs!$F$27-V$139)/Days_In_Year)</f>
        <v/>
      </c>
      <c r="W197" s="27">
        <f>(1+Discount_Rate)^((Inputs!$F$27-W$139)/Days_In_Year)</f>
        <v/>
      </c>
      <c r="X197" s="27">
        <f>(1+Discount_Rate)^((Inputs!$F$27-X$139)/Days_In_Year)</f>
        <v/>
      </c>
      <c r="Y197" s="27">
        <f>(1+Discount_Rate)^((Inputs!$F$27-Y$139)/Days_In_Year)</f>
        <v/>
      </c>
      <c r="Z197" s="27">
        <f>(1+Discount_Rate)^((Inputs!$F$27-Z$139)/Days_In_Year)</f>
        <v/>
      </c>
      <c r="AA197" s="27">
        <f>(1+Discount_Rate)^((Inputs!$F$27-AA$139)/Days_In_Year)</f>
        <v/>
      </c>
      <c r="AB197" s="27">
        <f>(1+Discount_Rate)^((Inputs!$F$27-AB$139)/Days_In_Year)</f>
        <v/>
      </c>
      <c r="AC197" s="27">
        <f>(1+Discount_Rate)^((Inputs!$F$27-AC$139)/Days_In_Year)</f>
        <v/>
      </c>
      <c r="AD197" s="27">
        <f>(1+Discount_Rate)^((Inputs!$F$27-AD$139)/Days_In_Year)</f>
        <v/>
      </c>
      <c r="AE197" s="27">
        <f>(1+Discount_Rate)^((Inputs!$F$27-AE$139)/Days_In_Year)</f>
        <v/>
      </c>
      <c r="AF197" s="27">
        <f>(1+Discount_Rate)^((Inputs!$F$27-AF$139)/Days_In_Year)</f>
        <v/>
      </c>
      <c r="AG197" s="27">
        <f>(1+Discount_Rate)^((Inputs!$F$27-AG$139)/Days_In_Year)</f>
        <v/>
      </c>
      <c r="AH197" s="27">
        <f>(1+Discount_Rate)^((Inputs!$F$27-AH$139)/Days_In_Year)</f>
        <v/>
      </c>
      <c r="AI197" s="27">
        <f>(1+Discount_Rate)^((Inputs!$F$27-AI$139)/Days_In_Year)</f>
        <v/>
      </c>
      <c r="AJ197" s="27">
        <f>(1+Discount_Rate)^((Inputs!$F$27-AJ$139)/Days_In_Year)</f>
        <v/>
      </c>
      <c r="AK197" s="27">
        <f>(1+Discount_Rate)^((Inputs!$F$27-AK$139)/Days_In_Year)</f>
        <v/>
      </c>
      <c r="AL197" s="27">
        <f>(1+Discount_Rate)^((Inputs!$F$27-AL$139)/Days_In_Year)</f>
        <v/>
      </c>
      <c r="AM197" s="27">
        <f>(1+Discount_Rate)^((Inputs!$F$27-AM$139)/Days_In_Year)</f>
        <v/>
      </c>
      <c r="AN197" s="27">
        <f>(1+Discount_Rate)^((Inputs!$F$27-AN$139)/Days_In_Year)</f>
        <v/>
      </c>
      <c r="AO197" s="27">
        <f>(1+Discount_Rate)^((Inputs!$F$27-AO$139)/Days_In_Year)</f>
        <v/>
      </c>
      <c r="AP197" s="27">
        <f>(1+Discount_Rate)^((Inputs!$F$27-AP$139)/Days_In_Year)</f>
        <v/>
      </c>
      <c r="AQ197" s="27">
        <f>(1+Discount_Rate)^((Inputs!$F$27-AQ$139)/Days_In_Year)</f>
        <v/>
      </c>
      <c r="AR197" s="27">
        <f>(1+Discount_Rate)^((Inputs!$F$27-AR$139)/Days_In_Year)</f>
        <v/>
      </c>
      <c r="AS197" s="27">
        <f>(1+Discount_Rate)^((Inputs!$F$27-AS$139)/Days_In_Year)</f>
        <v/>
      </c>
    </row>
    <row r="198">
      <c r="C198" s="6" t="inlineStr">
        <is>
          <t>EBITDA valued at COD (total = COD price)</t>
        </is>
      </c>
      <c r="D198" s="2" t="inlineStr">
        <is>
          <t>EUR k</t>
        </is>
      </c>
      <c r="H198" s="8">
        <f>SUM(J198:AS198)</f>
        <v/>
      </c>
      <c r="J198" s="8">
        <f>J195*J197</f>
        <v/>
      </c>
      <c r="K198" s="8">
        <f>K195*K197</f>
        <v/>
      </c>
      <c r="L198" s="8">
        <f>L195*L197</f>
        <v/>
      </c>
      <c r="M198" s="8">
        <f>M195*M197</f>
        <v/>
      </c>
      <c r="N198" s="8">
        <f>N195*N197</f>
        <v/>
      </c>
      <c r="O198" s="8">
        <f>O195*O197</f>
        <v/>
      </c>
      <c r="P198" s="8">
        <f>P195*P197</f>
        <v/>
      </c>
      <c r="Q198" s="8">
        <f>Q195*Q197</f>
        <v/>
      </c>
      <c r="R198" s="8">
        <f>R195*R197</f>
        <v/>
      </c>
      <c r="S198" s="8">
        <f>S195*S197</f>
        <v/>
      </c>
      <c r="T198" s="8">
        <f>T195*T197</f>
        <v/>
      </c>
      <c r="U198" s="8">
        <f>U195*U197</f>
        <v/>
      </c>
      <c r="V198" s="8">
        <f>V195*V197</f>
        <v/>
      </c>
      <c r="W198" s="8">
        <f>W195*W197</f>
        <v/>
      </c>
      <c r="X198" s="8">
        <f>X195*X197</f>
        <v/>
      </c>
      <c r="Y198" s="8">
        <f>Y195*Y197</f>
        <v/>
      </c>
      <c r="Z198" s="8">
        <f>Z195*Z197</f>
        <v/>
      </c>
      <c r="AA198" s="8">
        <f>AA195*AA197</f>
        <v/>
      </c>
      <c r="AB198" s="8">
        <f>AB195*AB197</f>
        <v/>
      </c>
      <c r="AC198" s="8">
        <f>AC195*AC197</f>
        <v/>
      </c>
      <c r="AD198" s="8">
        <f>AD195*AD197</f>
        <v/>
      </c>
      <c r="AE198" s="8">
        <f>AE195*AE197</f>
        <v/>
      </c>
      <c r="AF198" s="8">
        <f>AF195*AF197</f>
        <v/>
      </c>
      <c r="AG198" s="8">
        <f>AG195*AG197</f>
        <v/>
      </c>
      <c r="AH198" s="8">
        <f>AH195*AH197</f>
        <v/>
      </c>
      <c r="AI198" s="8">
        <f>AI195*AI197</f>
        <v/>
      </c>
      <c r="AJ198" s="8">
        <f>AJ195*AJ197</f>
        <v/>
      </c>
      <c r="AK198" s="8">
        <f>AK195*AK197</f>
        <v/>
      </c>
      <c r="AL198" s="8">
        <f>AL195*AL197</f>
        <v/>
      </c>
      <c r="AM198" s="8">
        <f>AM195*AM197</f>
        <v/>
      </c>
      <c r="AN198" s="8">
        <f>AN195*AN197</f>
        <v/>
      </c>
      <c r="AO198" s="8">
        <f>AO195*AO197</f>
        <v/>
      </c>
      <c r="AP198" s="8">
        <f>AP195*AP197</f>
        <v/>
      </c>
      <c r="AQ198" s="8">
        <f>AQ195*AQ197</f>
        <v/>
      </c>
      <c r="AR198" s="8">
        <f>AR195*AR197</f>
        <v/>
      </c>
      <c r="AS198" s="8">
        <f>AS195*AS197</f>
        <v/>
      </c>
    </row>
    <row r="199">
      <c r="C199" s="1" t="inlineStr">
        <is>
          <t>COD exit: FEP cash flow (to COD, price and securities at COD)</t>
        </is>
      </c>
      <c r="D199" s="2" t="inlineStr">
        <is>
          <t>EUR k</t>
        </is>
      </c>
      <c r="H199" s="22">
        <f>SUM(J199:AS199)</f>
        <v/>
      </c>
      <c r="J199" s="22">
        <f>J182*(J172&lt;=0)+J177*($H198+$F$71+$F$72)</f>
        <v/>
      </c>
      <c r="K199" s="22">
        <f>K182*(K172&lt;=0)+K177*($H198+$F$71+$F$72)</f>
        <v/>
      </c>
      <c r="L199" s="22">
        <f>L182*(L172&lt;=0)+L177*($H198+$F$71+$F$72)</f>
        <v/>
      </c>
      <c r="M199" s="22">
        <f>M182*(M172&lt;=0)+M177*($H198+$F$71+$F$72)</f>
        <v/>
      </c>
      <c r="N199" s="22">
        <f>N182*(N172&lt;=0)+N177*($H198+$F$71+$F$72)</f>
        <v/>
      </c>
      <c r="O199" s="22">
        <f>O182*(O172&lt;=0)+O177*($H198+$F$71+$F$72)</f>
        <v/>
      </c>
      <c r="P199" s="22">
        <f>P182*(P172&lt;=0)+P177*($H198+$F$71+$F$72)</f>
        <v/>
      </c>
      <c r="Q199" s="22">
        <f>Q182*(Q172&lt;=0)+Q177*($H198+$F$71+$F$72)</f>
        <v/>
      </c>
      <c r="R199" s="22">
        <f>R182*(R172&lt;=0)+R177*($H198+$F$71+$F$72)</f>
        <v/>
      </c>
      <c r="S199" s="22">
        <f>S182*(S172&lt;=0)+S177*($H198+$F$71+$F$72)</f>
        <v/>
      </c>
      <c r="T199" s="22">
        <f>T182*(T172&lt;=0)+T177*($H198+$F$71+$F$72)</f>
        <v/>
      </c>
      <c r="U199" s="22">
        <f>U182*(U172&lt;=0)+U177*($H198+$F$71+$F$72)</f>
        <v/>
      </c>
      <c r="V199" s="22">
        <f>V182*(V172&lt;=0)+V177*($H198+$F$71+$F$72)</f>
        <v/>
      </c>
      <c r="W199" s="22">
        <f>W182*(W172&lt;=0)+W177*($H198+$F$71+$F$72)</f>
        <v/>
      </c>
      <c r="X199" s="22">
        <f>X182*(X172&lt;=0)+X177*($H198+$F$71+$F$72)</f>
        <v/>
      </c>
      <c r="Y199" s="22">
        <f>Y182*(Y172&lt;=0)+Y177*($H198+$F$71+$F$72)</f>
        <v/>
      </c>
      <c r="Z199" s="22">
        <f>Z182*(Z172&lt;=0)+Z177*($H198+$F$71+$F$72)</f>
        <v/>
      </c>
      <c r="AA199" s="22">
        <f>AA182*(AA172&lt;=0)+AA177*($H198+$F$71+$F$72)</f>
        <v/>
      </c>
      <c r="AB199" s="22">
        <f>AB182*(AB172&lt;=0)+AB177*($H198+$F$71+$F$72)</f>
        <v/>
      </c>
      <c r="AC199" s="22">
        <f>AC182*(AC172&lt;=0)+AC177*($H198+$F$71+$F$72)</f>
        <v/>
      </c>
      <c r="AD199" s="22">
        <f>AD182*(AD172&lt;=0)+AD177*($H198+$F$71+$F$72)</f>
        <v/>
      </c>
      <c r="AE199" s="22">
        <f>AE182*(AE172&lt;=0)+AE177*($H198+$F$71+$F$72)</f>
        <v/>
      </c>
      <c r="AF199" s="22">
        <f>AF182*(AF172&lt;=0)+AF177*($H198+$F$71+$F$72)</f>
        <v/>
      </c>
      <c r="AG199" s="22">
        <f>AG182*(AG172&lt;=0)+AG177*($H198+$F$71+$F$72)</f>
        <v/>
      </c>
      <c r="AH199" s="22">
        <f>AH182*(AH172&lt;=0)+AH177*($H198+$F$71+$F$72)</f>
        <v/>
      </c>
      <c r="AI199" s="22">
        <f>AI182*(AI172&lt;=0)+AI177*($H198+$F$71+$F$72)</f>
        <v/>
      </c>
      <c r="AJ199" s="22">
        <f>AJ182*(AJ172&lt;=0)+AJ177*($H198+$F$71+$F$72)</f>
        <v/>
      </c>
      <c r="AK199" s="22">
        <f>AK182*(AK172&lt;=0)+AK177*($H198+$F$71+$F$72)</f>
        <v/>
      </c>
      <c r="AL199" s="22">
        <f>AL182*(AL172&lt;=0)+AL177*($H198+$F$71+$F$72)</f>
        <v/>
      </c>
      <c r="AM199" s="22">
        <f>AM182*(AM172&lt;=0)+AM177*($H198+$F$71+$F$72)</f>
        <v/>
      </c>
      <c r="AN199" s="22">
        <f>AN182*(AN172&lt;=0)+AN177*($H198+$F$71+$F$72)</f>
        <v/>
      </c>
      <c r="AO199" s="22">
        <f>AO182*(AO172&lt;=0)+AO177*($H198+$F$71+$F$72)</f>
        <v/>
      </c>
      <c r="AP199" s="22">
        <f>AP182*(AP172&lt;=0)+AP177*($H198+$F$71+$F$72)</f>
        <v/>
      </c>
      <c r="AQ199" s="22">
        <f>AQ182*(AQ172&lt;=0)+AQ177*($H198+$F$71+$F$72)</f>
        <v/>
      </c>
      <c r="AR199" s="22">
        <f>AR182*(AR172&lt;=0)+AR177*($H198+$F$71+$F$72)</f>
        <v/>
      </c>
      <c r="AS199" s="22">
        <f>AS182*(AS172&lt;=0)+AS177*($H198+$F$71+$F$72)</f>
        <v/>
      </c>
    </row>
    <row r="201">
      <c r="B201" s="4" t="inlineStr">
        <is>
          <t>x</t>
        </is>
      </c>
      <c r="C201" s="4" t="inlineStr">
        <is>
          <t>Dunaújváros: annual cash flow (EUR k)</t>
        </is>
      </c>
      <c r="D201" s="4" t="n"/>
      <c r="E201" s="5" t="n"/>
      <c r="F201" s="5" t="n"/>
      <c r="G201" s="5" t="inlineStr">
        <is>
          <t>Value</t>
        </is>
      </c>
      <c r="H201" s="5" t="inlineStr">
        <is>
          <t>Total</t>
        </is>
      </c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</row>
    <row r="202">
      <c r="C202" s="6" t="inlineStr">
        <is>
          <t>Years from the COD year</t>
        </is>
      </c>
      <c r="D202" s="2" t="inlineStr">
        <is>
          <t>years</t>
        </is>
      </c>
      <c r="J202" s="23">
        <f>J$138-YEAR(Inputs!$G$27)</f>
        <v/>
      </c>
      <c r="K202" s="23">
        <f>K$138-YEAR(Inputs!$G$27)</f>
        <v/>
      </c>
      <c r="L202" s="23">
        <f>L$138-YEAR(Inputs!$G$27)</f>
        <v/>
      </c>
      <c r="M202" s="23">
        <f>M$138-YEAR(Inputs!$G$27)</f>
        <v/>
      </c>
      <c r="N202" s="23">
        <f>N$138-YEAR(Inputs!$G$27)</f>
        <v/>
      </c>
      <c r="O202" s="23">
        <f>O$138-YEAR(Inputs!$G$27)</f>
        <v/>
      </c>
      <c r="P202" s="23">
        <f>P$138-YEAR(Inputs!$G$27)</f>
        <v/>
      </c>
      <c r="Q202" s="23">
        <f>Q$138-YEAR(Inputs!$G$27)</f>
        <v/>
      </c>
      <c r="R202" s="23">
        <f>R$138-YEAR(Inputs!$G$27)</f>
        <v/>
      </c>
      <c r="S202" s="23">
        <f>S$138-YEAR(Inputs!$G$27)</f>
        <v/>
      </c>
      <c r="T202" s="23">
        <f>T$138-YEAR(Inputs!$G$27)</f>
        <v/>
      </c>
      <c r="U202" s="23">
        <f>U$138-YEAR(Inputs!$G$27)</f>
        <v/>
      </c>
      <c r="V202" s="23">
        <f>V$138-YEAR(Inputs!$G$27)</f>
        <v/>
      </c>
      <c r="W202" s="23">
        <f>W$138-YEAR(Inputs!$G$27)</f>
        <v/>
      </c>
      <c r="X202" s="23">
        <f>X$138-YEAR(Inputs!$G$27)</f>
        <v/>
      </c>
      <c r="Y202" s="23">
        <f>Y$138-YEAR(Inputs!$G$27)</f>
        <v/>
      </c>
      <c r="Z202" s="23">
        <f>Z$138-YEAR(Inputs!$G$27)</f>
        <v/>
      </c>
      <c r="AA202" s="23">
        <f>AA$138-YEAR(Inputs!$G$27)</f>
        <v/>
      </c>
      <c r="AB202" s="23">
        <f>AB$138-YEAR(Inputs!$G$27)</f>
        <v/>
      </c>
      <c r="AC202" s="23">
        <f>AC$138-YEAR(Inputs!$G$27)</f>
        <v/>
      </c>
      <c r="AD202" s="23">
        <f>AD$138-YEAR(Inputs!$G$27)</f>
        <v/>
      </c>
      <c r="AE202" s="23">
        <f>AE$138-YEAR(Inputs!$G$27)</f>
        <v/>
      </c>
      <c r="AF202" s="23">
        <f>AF$138-YEAR(Inputs!$G$27)</f>
        <v/>
      </c>
      <c r="AG202" s="23">
        <f>AG$138-YEAR(Inputs!$G$27)</f>
        <v/>
      </c>
      <c r="AH202" s="23">
        <f>AH$138-YEAR(Inputs!$G$27)</f>
        <v/>
      </c>
      <c r="AI202" s="23">
        <f>AI$138-YEAR(Inputs!$G$27)</f>
        <v/>
      </c>
      <c r="AJ202" s="23">
        <f>AJ$138-YEAR(Inputs!$G$27)</f>
        <v/>
      </c>
      <c r="AK202" s="23">
        <f>AK$138-YEAR(Inputs!$G$27)</f>
        <v/>
      </c>
      <c r="AL202" s="23">
        <f>AL$138-YEAR(Inputs!$G$27)</f>
        <v/>
      </c>
      <c r="AM202" s="23">
        <f>AM$138-YEAR(Inputs!$G$27)</f>
        <v/>
      </c>
      <c r="AN202" s="23">
        <f>AN$138-YEAR(Inputs!$G$27)</f>
        <v/>
      </c>
      <c r="AO202" s="23">
        <f>AO$138-YEAR(Inputs!$G$27)</f>
        <v/>
      </c>
      <c r="AP202" s="23">
        <f>AP$138-YEAR(Inputs!$G$27)</f>
        <v/>
      </c>
      <c r="AQ202" s="23">
        <f>AQ$138-YEAR(Inputs!$G$27)</f>
        <v/>
      </c>
      <c r="AR202" s="23">
        <f>AR$138-YEAR(Inputs!$G$27)</f>
        <v/>
      </c>
      <c r="AS202" s="23">
        <f>AS$138-YEAR(Inputs!$G$27)</f>
        <v/>
      </c>
    </row>
    <row r="203">
      <c r="C203" s="6" t="inlineStr">
        <is>
          <t>Construction months by year end (value: construction period)</t>
        </is>
      </c>
      <c r="D203" s="2" t="inlineStr">
        <is>
          <t>months</t>
        </is>
      </c>
      <c r="G203" s="23">
        <f>DATEDIF(Inputs!$G$26,Inputs!$G$27,"m")</f>
        <v/>
      </c>
      <c r="J203" s="23">
        <f>(J$138+1-YEAR(Inputs!$G$26))*Months_In_Year-MONTH(Inputs!$G$26)</f>
        <v/>
      </c>
      <c r="K203" s="23">
        <f>(K$138+1-YEAR(Inputs!$G$26))*Months_In_Year-MONTH(Inputs!$G$26)</f>
        <v/>
      </c>
      <c r="L203" s="23">
        <f>(L$138+1-YEAR(Inputs!$G$26))*Months_In_Year-MONTH(Inputs!$G$26)</f>
        <v/>
      </c>
      <c r="M203" s="23">
        <f>(M$138+1-YEAR(Inputs!$G$26))*Months_In_Year-MONTH(Inputs!$G$26)</f>
        <v/>
      </c>
      <c r="N203" s="23">
        <f>(N$138+1-YEAR(Inputs!$G$26))*Months_In_Year-MONTH(Inputs!$G$26)</f>
        <v/>
      </c>
      <c r="O203" s="23">
        <f>(O$138+1-YEAR(Inputs!$G$26))*Months_In_Year-MONTH(Inputs!$G$26)</f>
        <v/>
      </c>
      <c r="P203" s="23">
        <f>(P$138+1-YEAR(Inputs!$G$26))*Months_In_Year-MONTH(Inputs!$G$26)</f>
        <v/>
      </c>
      <c r="Q203" s="23">
        <f>(Q$138+1-YEAR(Inputs!$G$26))*Months_In_Year-MONTH(Inputs!$G$26)</f>
        <v/>
      </c>
      <c r="R203" s="23">
        <f>(R$138+1-YEAR(Inputs!$G$26))*Months_In_Year-MONTH(Inputs!$G$26)</f>
        <v/>
      </c>
      <c r="S203" s="23">
        <f>(S$138+1-YEAR(Inputs!$G$26))*Months_In_Year-MONTH(Inputs!$G$26)</f>
        <v/>
      </c>
      <c r="T203" s="23">
        <f>(T$138+1-YEAR(Inputs!$G$26))*Months_In_Year-MONTH(Inputs!$G$26)</f>
        <v/>
      </c>
      <c r="U203" s="23">
        <f>(U$138+1-YEAR(Inputs!$G$26))*Months_In_Year-MONTH(Inputs!$G$26)</f>
        <v/>
      </c>
      <c r="V203" s="23">
        <f>(V$138+1-YEAR(Inputs!$G$26))*Months_In_Year-MONTH(Inputs!$G$26)</f>
        <v/>
      </c>
      <c r="W203" s="23">
        <f>(W$138+1-YEAR(Inputs!$G$26))*Months_In_Year-MONTH(Inputs!$G$26)</f>
        <v/>
      </c>
      <c r="X203" s="23">
        <f>(X$138+1-YEAR(Inputs!$G$26))*Months_In_Year-MONTH(Inputs!$G$26)</f>
        <v/>
      </c>
      <c r="Y203" s="23">
        <f>(Y$138+1-YEAR(Inputs!$G$26))*Months_In_Year-MONTH(Inputs!$G$26)</f>
        <v/>
      </c>
      <c r="Z203" s="23">
        <f>(Z$138+1-YEAR(Inputs!$G$26))*Months_In_Year-MONTH(Inputs!$G$26)</f>
        <v/>
      </c>
      <c r="AA203" s="23">
        <f>(AA$138+1-YEAR(Inputs!$G$26))*Months_In_Year-MONTH(Inputs!$G$26)</f>
        <v/>
      </c>
      <c r="AB203" s="23">
        <f>(AB$138+1-YEAR(Inputs!$G$26))*Months_In_Year-MONTH(Inputs!$G$26)</f>
        <v/>
      </c>
      <c r="AC203" s="23">
        <f>(AC$138+1-YEAR(Inputs!$G$26))*Months_In_Year-MONTH(Inputs!$G$26)</f>
        <v/>
      </c>
      <c r="AD203" s="23">
        <f>(AD$138+1-YEAR(Inputs!$G$26))*Months_In_Year-MONTH(Inputs!$G$26)</f>
        <v/>
      </c>
      <c r="AE203" s="23">
        <f>(AE$138+1-YEAR(Inputs!$G$26))*Months_In_Year-MONTH(Inputs!$G$26)</f>
        <v/>
      </c>
      <c r="AF203" s="23">
        <f>(AF$138+1-YEAR(Inputs!$G$26))*Months_In_Year-MONTH(Inputs!$G$26)</f>
        <v/>
      </c>
      <c r="AG203" s="23">
        <f>(AG$138+1-YEAR(Inputs!$G$26))*Months_In_Year-MONTH(Inputs!$G$26)</f>
        <v/>
      </c>
      <c r="AH203" s="23">
        <f>(AH$138+1-YEAR(Inputs!$G$26))*Months_In_Year-MONTH(Inputs!$G$26)</f>
        <v/>
      </c>
      <c r="AI203" s="23">
        <f>(AI$138+1-YEAR(Inputs!$G$26))*Months_In_Year-MONTH(Inputs!$G$26)</f>
        <v/>
      </c>
      <c r="AJ203" s="23">
        <f>(AJ$138+1-YEAR(Inputs!$G$26))*Months_In_Year-MONTH(Inputs!$G$26)</f>
        <v/>
      </c>
      <c r="AK203" s="23">
        <f>(AK$138+1-YEAR(Inputs!$G$26))*Months_In_Year-MONTH(Inputs!$G$26)</f>
        <v/>
      </c>
      <c r="AL203" s="23">
        <f>(AL$138+1-YEAR(Inputs!$G$26))*Months_In_Year-MONTH(Inputs!$G$26)</f>
        <v/>
      </c>
      <c r="AM203" s="23">
        <f>(AM$138+1-YEAR(Inputs!$G$26))*Months_In_Year-MONTH(Inputs!$G$26)</f>
        <v/>
      </c>
      <c r="AN203" s="23">
        <f>(AN$138+1-YEAR(Inputs!$G$26))*Months_In_Year-MONTH(Inputs!$G$26)</f>
        <v/>
      </c>
      <c r="AO203" s="23">
        <f>(AO$138+1-YEAR(Inputs!$G$26))*Months_In_Year-MONTH(Inputs!$G$26)</f>
        <v/>
      </c>
      <c r="AP203" s="23">
        <f>(AP$138+1-YEAR(Inputs!$G$26))*Months_In_Year-MONTH(Inputs!$G$26)</f>
        <v/>
      </c>
      <c r="AQ203" s="23">
        <f>(AQ$138+1-YEAR(Inputs!$G$26))*Months_In_Year-MONTH(Inputs!$G$26)</f>
        <v/>
      </c>
      <c r="AR203" s="23">
        <f>(AR$138+1-YEAR(Inputs!$G$26))*Months_In_Year-MONTH(Inputs!$G$26)</f>
        <v/>
      </c>
      <c r="AS203" s="23">
        <f>(AS$138+1-YEAR(Inputs!$G$26))*Months_In_Year-MONTH(Inputs!$G$26)</f>
        <v/>
      </c>
    </row>
    <row r="204">
      <c r="C204" s="6" t="inlineStr">
        <is>
          <t>Construction share of the year (NTP to COD)</t>
        </is>
      </c>
      <c r="D204" s="2" t="inlineStr">
        <is>
          <t>%</t>
        </is>
      </c>
      <c r="H204" s="25">
        <f>SUM(J204:AS204)</f>
        <v/>
      </c>
      <c r="J204" s="17">
        <f>MAX(0,MIN(J203,$G203)-MAX(J203-Months_In_Year,0))/$G203</f>
        <v/>
      </c>
      <c r="K204" s="17">
        <f>MAX(0,MIN(K203,$G203)-MAX(K203-Months_In_Year,0))/$G203</f>
        <v/>
      </c>
      <c r="L204" s="17">
        <f>MAX(0,MIN(L203,$G203)-MAX(L203-Months_In_Year,0))/$G203</f>
        <v/>
      </c>
      <c r="M204" s="17">
        <f>MAX(0,MIN(M203,$G203)-MAX(M203-Months_In_Year,0))/$G203</f>
        <v/>
      </c>
      <c r="N204" s="17">
        <f>MAX(0,MIN(N203,$G203)-MAX(N203-Months_In_Year,0))/$G203</f>
        <v/>
      </c>
      <c r="O204" s="17">
        <f>MAX(0,MIN(O203,$G203)-MAX(O203-Months_In_Year,0))/$G203</f>
        <v/>
      </c>
      <c r="P204" s="17">
        <f>MAX(0,MIN(P203,$G203)-MAX(P203-Months_In_Year,0))/$G203</f>
        <v/>
      </c>
      <c r="Q204" s="17">
        <f>MAX(0,MIN(Q203,$G203)-MAX(Q203-Months_In_Year,0))/$G203</f>
        <v/>
      </c>
      <c r="R204" s="17">
        <f>MAX(0,MIN(R203,$G203)-MAX(R203-Months_In_Year,0))/$G203</f>
        <v/>
      </c>
      <c r="S204" s="17">
        <f>MAX(0,MIN(S203,$G203)-MAX(S203-Months_In_Year,0))/$G203</f>
        <v/>
      </c>
      <c r="T204" s="17">
        <f>MAX(0,MIN(T203,$G203)-MAX(T203-Months_In_Year,0))/$G203</f>
        <v/>
      </c>
      <c r="U204" s="17">
        <f>MAX(0,MIN(U203,$G203)-MAX(U203-Months_In_Year,0))/$G203</f>
        <v/>
      </c>
      <c r="V204" s="17">
        <f>MAX(0,MIN(V203,$G203)-MAX(V203-Months_In_Year,0))/$G203</f>
        <v/>
      </c>
      <c r="W204" s="17">
        <f>MAX(0,MIN(W203,$G203)-MAX(W203-Months_In_Year,0))/$G203</f>
        <v/>
      </c>
      <c r="X204" s="17">
        <f>MAX(0,MIN(X203,$G203)-MAX(X203-Months_In_Year,0))/$G203</f>
        <v/>
      </c>
      <c r="Y204" s="17">
        <f>MAX(0,MIN(Y203,$G203)-MAX(Y203-Months_In_Year,0))/$G203</f>
        <v/>
      </c>
      <c r="Z204" s="17">
        <f>MAX(0,MIN(Z203,$G203)-MAX(Z203-Months_In_Year,0))/$G203</f>
        <v/>
      </c>
      <c r="AA204" s="17">
        <f>MAX(0,MIN(AA203,$G203)-MAX(AA203-Months_In_Year,0))/$G203</f>
        <v/>
      </c>
      <c r="AB204" s="17">
        <f>MAX(0,MIN(AB203,$G203)-MAX(AB203-Months_In_Year,0))/$G203</f>
        <v/>
      </c>
      <c r="AC204" s="17">
        <f>MAX(0,MIN(AC203,$G203)-MAX(AC203-Months_In_Year,0))/$G203</f>
        <v/>
      </c>
      <c r="AD204" s="17">
        <f>MAX(0,MIN(AD203,$G203)-MAX(AD203-Months_In_Year,0))/$G203</f>
        <v/>
      </c>
      <c r="AE204" s="17">
        <f>MAX(0,MIN(AE203,$G203)-MAX(AE203-Months_In_Year,0))/$G203</f>
        <v/>
      </c>
      <c r="AF204" s="17">
        <f>MAX(0,MIN(AF203,$G203)-MAX(AF203-Months_In_Year,0))/$G203</f>
        <v/>
      </c>
      <c r="AG204" s="17">
        <f>MAX(0,MIN(AG203,$G203)-MAX(AG203-Months_In_Year,0))/$G203</f>
        <v/>
      </c>
      <c r="AH204" s="17">
        <f>MAX(0,MIN(AH203,$G203)-MAX(AH203-Months_In_Year,0))/$G203</f>
        <v/>
      </c>
      <c r="AI204" s="17">
        <f>MAX(0,MIN(AI203,$G203)-MAX(AI203-Months_In_Year,0))/$G203</f>
        <v/>
      </c>
      <c r="AJ204" s="17">
        <f>MAX(0,MIN(AJ203,$G203)-MAX(AJ203-Months_In_Year,0))/$G203</f>
        <v/>
      </c>
      <c r="AK204" s="17">
        <f>MAX(0,MIN(AK203,$G203)-MAX(AK203-Months_In_Year,0))/$G203</f>
        <v/>
      </c>
      <c r="AL204" s="17">
        <f>MAX(0,MIN(AL203,$G203)-MAX(AL203-Months_In_Year,0))/$G203</f>
        <v/>
      </c>
      <c r="AM204" s="17">
        <f>MAX(0,MIN(AM203,$G203)-MAX(AM203-Months_In_Year,0))/$G203</f>
        <v/>
      </c>
      <c r="AN204" s="17">
        <f>MAX(0,MIN(AN203,$G203)-MAX(AN203-Months_In_Year,0))/$G203</f>
        <v/>
      </c>
      <c r="AO204" s="17">
        <f>MAX(0,MIN(AO203,$G203)-MAX(AO203-Months_In_Year,0))/$G203</f>
        <v/>
      </c>
      <c r="AP204" s="17">
        <f>MAX(0,MIN(AP203,$G203)-MAX(AP203-Months_In_Year,0))/$G203</f>
        <v/>
      </c>
      <c r="AQ204" s="17">
        <f>MAX(0,MIN(AQ203,$G203)-MAX(AQ203-Months_In_Year,0))/$G203</f>
        <v/>
      </c>
      <c r="AR204" s="17">
        <f>MAX(0,MIN(AR203,$G203)-MAX(AR203-Months_In_Year,0))/$G203</f>
        <v/>
      </c>
      <c r="AS204" s="17">
        <f>MAX(0,MIN(AS203,$G203)-MAX(AS203-Months_In_Year,0))/$G203</f>
        <v/>
      </c>
    </row>
    <row r="205">
      <c r="C205" s="6" t="inlineStr">
        <is>
          <t>Months operated by year end (value: operating life)</t>
        </is>
      </c>
      <c r="D205" s="2" t="inlineStr">
        <is>
          <t>months</t>
        </is>
      </c>
      <c r="G205" s="23">
        <f>Life*Months_In_Year</f>
        <v/>
      </c>
      <c r="J205" s="23">
        <f>(J$138+1-YEAR(Inputs!$G$27))*Months_In_Year-MONTH(Inputs!$G$27)</f>
        <v/>
      </c>
      <c r="K205" s="23">
        <f>(K$138+1-YEAR(Inputs!$G$27))*Months_In_Year-MONTH(Inputs!$G$27)</f>
        <v/>
      </c>
      <c r="L205" s="23">
        <f>(L$138+1-YEAR(Inputs!$G$27))*Months_In_Year-MONTH(Inputs!$G$27)</f>
        <v/>
      </c>
      <c r="M205" s="23">
        <f>(M$138+1-YEAR(Inputs!$G$27))*Months_In_Year-MONTH(Inputs!$G$27)</f>
        <v/>
      </c>
      <c r="N205" s="23">
        <f>(N$138+1-YEAR(Inputs!$G$27))*Months_In_Year-MONTH(Inputs!$G$27)</f>
        <v/>
      </c>
      <c r="O205" s="23">
        <f>(O$138+1-YEAR(Inputs!$G$27))*Months_In_Year-MONTH(Inputs!$G$27)</f>
        <v/>
      </c>
      <c r="P205" s="23">
        <f>(P$138+1-YEAR(Inputs!$G$27))*Months_In_Year-MONTH(Inputs!$G$27)</f>
        <v/>
      </c>
      <c r="Q205" s="23">
        <f>(Q$138+1-YEAR(Inputs!$G$27))*Months_In_Year-MONTH(Inputs!$G$27)</f>
        <v/>
      </c>
      <c r="R205" s="23">
        <f>(R$138+1-YEAR(Inputs!$G$27))*Months_In_Year-MONTH(Inputs!$G$27)</f>
        <v/>
      </c>
      <c r="S205" s="23">
        <f>(S$138+1-YEAR(Inputs!$G$27))*Months_In_Year-MONTH(Inputs!$G$27)</f>
        <v/>
      </c>
      <c r="T205" s="23">
        <f>(T$138+1-YEAR(Inputs!$G$27))*Months_In_Year-MONTH(Inputs!$G$27)</f>
        <v/>
      </c>
      <c r="U205" s="23">
        <f>(U$138+1-YEAR(Inputs!$G$27))*Months_In_Year-MONTH(Inputs!$G$27)</f>
        <v/>
      </c>
      <c r="V205" s="23">
        <f>(V$138+1-YEAR(Inputs!$G$27))*Months_In_Year-MONTH(Inputs!$G$27)</f>
        <v/>
      </c>
      <c r="W205" s="23">
        <f>(W$138+1-YEAR(Inputs!$G$27))*Months_In_Year-MONTH(Inputs!$G$27)</f>
        <v/>
      </c>
      <c r="X205" s="23">
        <f>(X$138+1-YEAR(Inputs!$G$27))*Months_In_Year-MONTH(Inputs!$G$27)</f>
        <v/>
      </c>
      <c r="Y205" s="23">
        <f>(Y$138+1-YEAR(Inputs!$G$27))*Months_In_Year-MONTH(Inputs!$G$27)</f>
        <v/>
      </c>
      <c r="Z205" s="23">
        <f>(Z$138+1-YEAR(Inputs!$G$27))*Months_In_Year-MONTH(Inputs!$G$27)</f>
        <v/>
      </c>
      <c r="AA205" s="23">
        <f>(AA$138+1-YEAR(Inputs!$G$27))*Months_In_Year-MONTH(Inputs!$G$27)</f>
        <v/>
      </c>
      <c r="AB205" s="23">
        <f>(AB$138+1-YEAR(Inputs!$G$27))*Months_In_Year-MONTH(Inputs!$G$27)</f>
        <v/>
      </c>
      <c r="AC205" s="23">
        <f>(AC$138+1-YEAR(Inputs!$G$27))*Months_In_Year-MONTH(Inputs!$G$27)</f>
        <v/>
      </c>
      <c r="AD205" s="23">
        <f>(AD$138+1-YEAR(Inputs!$G$27))*Months_In_Year-MONTH(Inputs!$G$27)</f>
        <v/>
      </c>
      <c r="AE205" s="23">
        <f>(AE$138+1-YEAR(Inputs!$G$27))*Months_In_Year-MONTH(Inputs!$G$27)</f>
        <v/>
      </c>
      <c r="AF205" s="23">
        <f>(AF$138+1-YEAR(Inputs!$G$27))*Months_In_Year-MONTH(Inputs!$G$27)</f>
        <v/>
      </c>
      <c r="AG205" s="23">
        <f>(AG$138+1-YEAR(Inputs!$G$27))*Months_In_Year-MONTH(Inputs!$G$27)</f>
        <v/>
      </c>
      <c r="AH205" s="23">
        <f>(AH$138+1-YEAR(Inputs!$G$27))*Months_In_Year-MONTH(Inputs!$G$27)</f>
        <v/>
      </c>
      <c r="AI205" s="23">
        <f>(AI$138+1-YEAR(Inputs!$G$27))*Months_In_Year-MONTH(Inputs!$G$27)</f>
        <v/>
      </c>
      <c r="AJ205" s="23">
        <f>(AJ$138+1-YEAR(Inputs!$G$27))*Months_In_Year-MONTH(Inputs!$G$27)</f>
        <v/>
      </c>
      <c r="AK205" s="23">
        <f>(AK$138+1-YEAR(Inputs!$G$27))*Months_In_Year-MONTH(Inputs!$G$27)</f>
        <v/>
      </c>
      <c r="AL205" s="23">
        <f>(AL$138+1-YEAR(Inputs!$G$27))*Months_In_Year-MONTH(Inputs!$G$27)</f>
        <v/>
      </c>
      <c r="AM205" s="23">
        <f>(AM$138+1-YEAR(Inputs!$G$27))*Months_In_Year-MONTH(Inputs!$G$27)</f>
        <v/>
      </c>
      <c r="AN205" s="23">
        <f>(AN$138+1-YEAR(Inputs!$G$27))*Months_In_Year-MONTH(Inputs!$G$27)</f>
        <v/>
      </c>
      <c r="AO205" s="23">
        <f>(AO$138+1-YEAR(Inputs!$G$27))*Months_In_Year-MONTH(Inputs!$G$27)</f>
        <v/>
      </c>
      <c r="AP205" s="23">
        <f>(AP$138+1-YEAR(Inputs!$G$27))*Months_In_Year-MONTH(Inputs!$G$27)</f>
        <v/>
      </c>
      <c r="AQ205" s="23">
        <f>(AQ$138+1-YEAR(Inputs!$G$27))*Months_In_Year-MONTH(Inputs!$G$27)</f>
        <v/>
      </c>
      <c r="AR205" s="23">
        <f>(AR$138+1-YEAR(Inputs!$G$27))*Months_In_Year-MONTH(Inputs!$G$27)</f>
        <v/>
      </c>
      <c r="AS205" s="23">
        <f>(AS$138+1-YEAR(Inputs!$G$27))*Months_In_Year-MONTH(Inputs!$G$27)</f>
        <v/>
      </c>
    </row>
    <row r="206">
      <c r="C206" s="6" t="inlineStr">
        <is>
          <t>Operating share of the year (COD to end of life)</t>
        </is>
      </c>
      <c r="D206" s="2" t="inlineStr">
        <is>
          <t>%</t>
        </is>
      </c>
      <c r="H206" s="25">
        <f>SUM(J206:AS206)</f>
        <v/>
      </c>
      <c r="J206" s="17">
        <f>MAX(0,MIN(J205,$G205)-MAX(J205-Months_In_Year,0))/Months_In_Year</f>
        <v/>
      </c>
      <c r="K206" s="17">
        <f>MAX(0,MIN(K205,$G205)-MAX(K205-Months_In_Year,0))/Months_In_Year</f>
        <v/>
      </c>
      <c r="L206" s="17">
        <f>MAX(0,MIN(L205,$G205)-MAX(L205-Months_In_Year,0))/Months_In_Year</f>
        <v/>
      </c>
      <c r="M206" s="17">
        <f>MAX(0,MIN(M205,$G205)-MAX(M205-Months_In_Year,0))/Months_In_Year</f>
        <v/>
      </c>
      <c r="N206" s="17">
        <f>MAX(0,MIN(N205,$G205)-MAX(N205-Months_In_Year,0))/Months_In_Year</f>
        <v/>
      </c>
      <c r="O206" s="17">
        <f>MAX(0,MIN(O205,$G205)-MAX(O205-Months_In_Year,0))/Months_In_Year</f>
        <v/>
      </c>
      <c r="P206" s="17">
        <f>MAX(0,MIN(P205,$G205)-MAX(P205-Months_In_Year,0))/Months_In_Year</f>
        <v/>
      </c>
      <c r="Q206" s="17">
        <f>MAX(0,MIN(Q205,$G205)-MAX(Q205-Months_In_Year,0))/Months_In_Year</f>
        <v/>
      </c>
      <c r="R206" s="17">
        <f>MAX(0,MIN(R205,$G205)-MAX(R205-Months_In_Year,0))/Months_In_Year</f>
        <v/>
      </c>
      <c r="S206" s="17">
        <f>MAX(0,MIN(S205,$G205)-MAX(S205-Months_In_Year,0))/Months_In_Year</f>
        <v/>
      </c>
      <c r="T206" s="17">
        <f>MAX(0,MIN(T205,$G205)-MAX(T205-Months_In_Year,0))/Months_In_Year</f>
        <v/>
      </c>
      <c r="U206" s="17">
        <f>MAX(0,MIN(U205,$G205)-MAX(U205-Months_In_Year,0))/Months_In_Year</f>
        <v/>
      </c>
      <c r="V206" s="17">
        <f>MAX(0,MIN(V205,$G205)-MAX(V205-Months_In_Year,0))/Months_In_Year</f>
        <v/>
      </c>
      <c r="W206" s="17">
        <f>MAX(0,MIN(W205,$G205)-MAX(W205-Months_In_Year,0))/Months_In_Year</f>
        <v/>
      </c>
      <c r="X206" s="17">
        <f>MAX(0,MIN(X205,$G205)-MAX(X205-Months_In_Year,0))/Months_In_Year</f>
        <v/>
      </c>
      <c r="Y206" s="17">
        <f>MAX(0,MIN(Y205,$G205)-MAX(Y205-Months_In_Year,0))/Months_In_Year</f>
        <v/>
      </c>
      <c r="Z206" s="17">
        <f>MAX(0,MIN(Z205,$G205)-MAX(Z205-Months_In_Year,0))/Months_In_Year</f>
        <v/>
      </c>
      <c r="AA206" s="17">
        <f>MAX(0,MIN(AA205,$G205)-MAX(AA205-Months_In_Year,0))/Months_In_Year</f>
        <v/>
      </c>
      <c r="AB206" s="17">
        <f>MAX(0,MIN(AB205,$G205)-MAX(AB205-Months_In_Year,0))/Months_In_Year</f>
        <v/>
      </c>
      <c r="AC206" s="17">
        <f>MAX(0,MIN(AC205,$G205)-MAX(AC205-Months_In_Year,0))/Months_In_Year</f>
        <v/>
      </c>
      <c r="AD206" s="17">
        <f>MAX(0,MIN(AD205,$G205)-MAX(AD205-Months_In_Year,0))/Months_In_Year</f>
        <v/>
      </c>
      <c r="AE206" s="17">
        <f>MAX(0,MIN(AE205,$G205)-MAX(AE205-Months_In_Year,0))/Months_In_Year</f>
        <v/>
      </c>
      <c r="AF206" s="17">
        <f>MAX(0,MIN(AF205,$G205)-MAX(AF205-Months_In_Year,0))/Months_In_Year</f>
        <v/>
      </c>
      <c r="AG206" s="17">
        <f>MAX(0,MIN(AG205,$G205)-MAX(AG205-Months_In_Year,0))/Months_In_Year</f>
        <v/>
      </c>
      <c r="AH206" s="17">
        <f>MAX(0,MIN(AH205,$G205)-MAX(AH205-Months_In_Year,0))/Months_In_Year</f>
        <v/>
      </c>
      <c r="AI206" s="17">
        <f>MAX(0,MIN(AI205,$G205)-MAX(AI205-Months_In_Year,0))/Months_In_Year</f>
        <v/>
      </c>
      <c r="AJ206" s="17">
        <f>MAX(0,MIN(AJ205,$G205)-MAX(AJ205-Months_In_Year,0))/Months_In_Year</f>
        <v/>
      </c>
      <c r="AK206" s="17">
        <f>MAX(0,MIN(AK205,$G205)-MAX(AK205-Months_In_Year,0))/Months_In_Year</f>
        <v/>
      </c>
      <c r="AL206" s="17">
        <f>MAX(0,MIN(AL205,$G205)-MAX(AL205-Months_In_Year,0))/Months_In_Year</f>
        <v/>
      </c>
      <c r="AM206" s="17">
        <f>MAX(0,MIN(AM205,$G205)-MAX(AM205-Months_In_Year,0))/Months_In_Year</f>
        <v/>
      </c>
      <c r="AN206" s="17">
        <f>MAX(0,MIN(AN205,$G205)-MAX(AN205-Months_In_Year,0))/Months_In_Year</f>
        <v/>
      </c>
      <c r="AO206" s="17">
        <f>MAX(0,MIN(AO205,$G205)-MAX(AO205-Months_In_Year,0))/Months_In_Year</f>
        <v/>
      </c>
      <c r="AP206" s="17">
        <f>MAX(0,MIN(AP205,$G205)-MAX(AP205-Months_In_Year,0))/Months_In_Year</f>
        <v/>
      </c>
      <c r="AQ206" s="17">
        <f>MAX(0,MIN(AQ205,$G205)-MAX(AQ205-Months_In_Year,0))/Months_In_Year</f>
        <v/>
      </c>
      <c r="AR206" s="17">
        <f>MAX(0,MIN(AR205,$G205)-MAX(AR205-Months_In_Year,0))/Months_In_Year</f>
        <v/>
      </c>
      <c r="AS206" s="17">
        <f>MAX(0,MIN(AS205,$G205)-MAX(AS205-Months_In_Year,0))/Months_In_Year</f>
        <v/>
      </c>
    </row>
    <row r="207">
      <c r="C207" s="6" t="inlineStr">
        <is>
          <t>COD year flag</t>
        </is>
      </c>
      <c r="D207" s="2" t="inlineStr">
        <is>
          <t>flag</t>
        </is>
      </c>
      <c r="J207" s="26">
        <f>N(J202=0)</f>
        <v/>
      </c>
      <c r="K207" s="26">
        <f>N(K202=0)</f>
        <v/>
      </c>
      <c r="L207" s="26">
        <f>N(L202=0)</f>
        <v/>
      </c>
      <c r="M207" s="26">
        <f>N(M202=0)</f>
        <v/>
      </c>
      <c r="N207" s="26">
        <f>N(N202=0)</f>
        <v/>
      </c>
      <c r="O207" s="26">
        <f>N(O202=0)</f>
        <v/>
      </c>
      <c r="P207" s="26">
        <f>N(P202=0)</f>
        <v/>
      </c>
      <c r="Q207" s="26">
        <f>N(Q202=0)</f>
        <v/>
      </c>
      <c r="R207" s="26">
        <f>N(R202=0)</f>
        <v/>
      </c>
      <c r="S207" s="26">
        <f>N(S202=0)</f>
        <v/>
      </c>
      <c r="T207" s="26">
        <f>N(T202=0)</f>
        <v/>
      </c>
      <c r="U207" s="26">
        <f>N(U202=0)</f>
        <v/>
      </c>
      <c r="V207" s="26">
        <f>N(V202=0)</f>
        <v/>
      </c>
      <c r="W207" s="26">
        <f>N(W202=0)</f>
        <v/>
      </c>
      <c r="X207" s="26">
        <f>N(X202=0)</f>
        <v/>
      </c>
      <c r="Y207" s="26">
        <f>N(Y202=0)</f>
        <v/>
      </c>
      <c r="Z207" s="26">
        <f>N(Z202=0)</f>
        <v/>
      </c>
      <c r="AA207" s="26">
        <f>N(AA202=0)</f>
        <v/>
      </c>
      <c r="AB207" s="26">
        <f>N(AB202=0)</f>
        <v/>
      </c>
      <c r="AC207" s="26">
        <f>N(AC202=0)</f>
        <v/>
      </c>
      <c r="AD207" s="26">
        <f>N(AD202=0)</f>
        <v/>
      </c>
      <c r="AE207" s="26">
        <f>N(AE202=0)</f>
        <v/>
      </c>
      <c r="AF207" s="26">
        <f>N(AF202=0)</f>
        <v/>
      </c>
      <c r="AG207" s="26">
        <f>N(AG202=0)</f>
        <v/>
      </c>
      <c r="AH207" s="26">
        <f>N(AH202=0)</f>
        <v/>
      </c>
      <c r="AI207" s="26">
        <f>N(AI202=0)</f>
        <v/>
      </c>
      <c r="AJ207" s="26">
        <f>N(AJ202=0)</f>
        <v/>
      </c>
      <c r="AK207" s="26">
        <f>N(AK202=0)</f>
        <v/>
      </c>
      <c r="AL207" s="26">
        <f>N(AL202=0)</f>
        <v/>
      </c>
      <c r="AM207" s="26">
        <f>N(AM202=0)</f>
        <v/>
      </c>
      <c r="AN207" s="26">
        <f>N(AN202=0)</f>
        <v/>
      </c>
      <c r="AO207" s="26">
        <f>N(AO202=0)</f>
        <v/>
      </c>
      <c r="AP207" s="26">
        <f>N(AP202=0)</f>
        <v/>
      </c>
      <c r="AQ207" s="26">
        <f>N(AQ202=0)</f>
        <v/>
      </c>
      <c r="AR207" s="26">
        <f>N(AR202=0)</f>
        <v/>
      </c>
      <c r="AS207" s="26">
        <f>N(AS202=0)</f>
        <v/>
      </c>
    </row>
    <row r="208">
      <c r="C208" s="6" t="inlineStr">
        <is>
          <t>FEP outlays at their dates (signing, fee, securities, fees, devex)</t>
        </is>
      </c>
      <c r="D208" s="2" t="inlineStr">
        <is>
          <t>EUR k</t>
        </is>
      </c>
      <c r="H208" s="8">
        <f>SUM(J208:AS208)</f>
        <v/>
      </c>
      <c r="J208" s="8">
        <f>SUMPRODUCT((YEAR($L$107:$L$114)=J$138)*$G$107:$G$114)</f>
        <v/>
      </c>
      <c r="K208" s="8">
        <f>SUMPRODUCT((YEAR($L$107:$L$114)=K$138)*$G$107:$G$114)</f>
        <v/>
      </c>
      <c r="L208" s="8">
        <f>SUMPRODUCT((YEAR($L$107:$L$114)=L$138)*$G$107:$G$114)</f>
        <v/>
      </c>
      <c r="M208" s="8">
        <f>SUMPRODUCT((YEAR($L$107:$L$114)=M$138)*$G$107:$G$114)</f>
        <v/>
      </c>
      <c r="N208" s="8">
        <f>SUMPRODUCT((YEAR($L$107:$L$114)=N$138)*$G$107:$G$114)</f>
        <v/>
      </c>
      <c r="O208" s="8">
        <f>SUMPRODUCT((YEAR($L$107:$L$114)=O$138)*$G$107:$G$114)</f>
        <v/>
      </c>
      <c r="P208" s="8">
        <f>SUMPRODUCT((YEAR($L$107:$L$114)=P$138)*$G$107:$G$114)</f>
        <v/>
      </c>
      <c r="Q208" s="8">
        <f>SUMPRODUCT((YEAR($L$107:$L$114)=Q$138)*$G$107:$G$114)</f>
        <v/>
      </c>
      <c r="R208" s="8">
        <f>SUMPRODUCT((YEAR($L$107:$L$114)=R$138)*$G$107:$G$114)</f>
        <v/>
      </c>
      <c r="S208" s="8">
        <f>SUMPRODUCT((YEAR($L$107:$L$114)=S$138)*$G$107:$G$114)</f>
        <v/>
      </c>
      <c r="T208" s="8">
        <f>SUMPRODUCT((YEAR($L$107:$L$114)=T$138)*$G$107:$G$114)</f>
        <v/>
      </c>
      <c r="U208" s="8">
        <f>SUMPRODUCT((YEAR($L$107:$L$114)=U$138)*$G$107:$G$114)</f>
        <v/>
      </c>
      <c r="V208" s="8">
        <f>SUMPRODUCT((YEAR($L$107:$L$114)=V$138)*$G$107:$G$114)</f>
        <v/>
      </c>
      <c r="W208" s="8">
        <f>SUMPRODUCT((YEAR($L$107:$L$114)=W$138)*$G$107:$G$114)</f>
        <v/>
      </c>
      <c r="X208" s="8">
        <f>SUMPRODUCT((YEAR($L$107:$L$114)=X$138)*$G$107:$G$114)</f>
        <v/>
      </c>
      <c r="Y208" s="8">
        <f>SUMPRODUCT((YEAR($L$107:$L$114)=Y$138)*$G$107:$G$114)</f>
        <v/>
      </c>
      <c r="Z208" s="8">
        <f>SUMPRODUCT((YEAR($L$107:$L$114)=Z$138)*$G$107:$G$114)</f>
        <v/>
      </c>
      <c r="AA208" s="8">
        <f>SUMPRODUCT((YEAR($L$107:$L$114)=AA$138)*$G$107:$G$114)</f>
        <v/>
      </c>
      <c r="AB208" s="8">
        <f>SUMPRODUCT((YEAR($L$107:$L$114)=AB$138)*$G$107:$G$114)</f>
        <v/>
      </c>
      <c r="AC208" s="8">
        <f>SUMPRODUCT((YEAR($L$107:$L$114)=AC$138)*$G$107:$G$114)</f>
        <v/>
      </c>
      <c r="AD208" s="8">
        <f>SUMPRODUCT((YEAR($L$107:$L$114)=AD$138)*$G$107:$G$114)</f>
        <v/>
      </c>
      <c r="AE208" s="8">
        <f>SUMPRODUCT((YEAR($L$107:$L$114)=AE$138)*$G$107:$G$114)</f>
        <v/>
      </c>
      <c r="AF208" s="8">
        <f>SUMPRODUCT((YEAR($L$107:$L$114)=AF$138)*$G$107:$G$114)</f>
        <v/>
      </c>
      <c r="AG208" s="8">
        <f>SUMPRODUCT((YEAR($L$107:$L$114)=AG$138)*$G$107:$G$114)</f>
        <v/>
      </c>
      <c r="AH208" s="8">
        <f>SUMPRODUCT((YEAR($L$107:$L$114)=AH$138)*$G$107:$G$114)</f>
        <v/>
      </c>
      <c r="AI208" s="8">
        <f>SUMPRODUCT((YEAR($L$107:$L$114)=AI$138)*$G$107:$G$114)</f>
        <v/>
      </c>
      <c r="AJ208" s="8">
        <f>SUMPRODUCT((YEAR($L$107:$L$114)=AJ$138)*$G$107:$G$114)</f>
        <v/>
      </c>
      <c r="AK208" s="8">
        <f>SUMPRODUCT((YEAR($L$107:$L$114)=AK$138)*$G$107:$G$114)</f>
        <v/>
      </c>
      <c r="AL208" s="8">
        <f>SUMPRODUCT((YEAR($L$107:$L$114)=AL$138)*$G$107:$G$114)</f>
        <v/>
      </c>
      <c r="AM208" s="8">
        <f>SUMPRODUCT((YEAR($L$107:$L$114)=AM$138)*$G$107:$G$114)</f>
        <v/>
      </c>
      <c r="AN208" s="8">
        <f>SUMPRODUCT((YEAR($L$107:$L$114)=AN$138)*$G$107:$G$114)</f>
        <v/>
      </c>
      <c r="AO208" s="8">
        <f>SUMPRODUCT((YEAR($L$107:$L$114)=AO$138)*$G$107:$G$114)</f>
        <v/>
      </c>
      <c r="AP208" s="8">
        <f>SUMPRODUCT((YEAR($L$107:$L$114)=AP$138)*$G$107:$G$114)</f>
        <v/>
      </c>
      <c r="AQ208" s="8">
        <f>SUMPRODUCT((YEAR($L$107:$L$114)=AQ$138)*$G$107:$G$114)</f>
        <v/>
      </c>
      <c r="AR208" s="8">
        <f>SUMPRODUCT((YEAR($L$107:$L$114)=AR$138)*$G$107:$G$114)</f>
        <v/>
      </c>
      <c r="AS208" s="8">
        <f>SUMPRODUCT((YEAR($L$107:$L$114)=AS$138)*$G$107:$G$114)</f>
        <v/>
      </c>
    </row>
    <row r="209">
      <c r="C209" s="6" t="inlineStr">
        <is>
          <t>Performance security released (bid security included)</t>
        </is>
      </c>
      <c r="D209" s="2" t="inlineStr">
        <is>
          <t>EUR k</t>
        </is>
      </c>
      <c r="H209" s="8">
        <f>SUM(J209:AS209)</f>
        <v/>
      </c>
      <c r="J209" s="8">
        <f>($G$71+$G$72)*(J$138=YEAR(Inputs!$G$28))</f>
        <v/>
      </c>
      <c r="K209" s="8">
        <f>($G$71+$G$72)*(K$138=YEAR(Inputs!$G$28))</f>
        <v/>
      </c>
      <c r="L209" s="8">
        <f>($G$71+$G$72)*(L$138=YEAR(Inputs!$G$28))</f>
        <v/>
      </c>
      <c r="M209" s="8">
        <f>($G$71+$G$72)*(M$138=YEAR(Inputs!$G$28))</f>
        <v/>
      </c>
      <c r="N209" s="8">
        <f>($G$71+$G$72)*(N$138=YEAR(Inputs!$G$28))</f>
        <v/>
      </c>
      <c r="O209" s="8">
        <f>($G$71+$G$72)*(O$138=YEAR(Inputs!$G$28))</f>
        <v/>
      </c>
      <c r="P209" s="8">
        <f>($G$71+$G$72)*(P$138=YEAR(Inputs!$G$28))</f>
        <v/>
      </c>
      <c r="Q209" s="8">
        <f>($G$71+$G$72)*(Q$138=YEAR(Inputs!$G$28))</f>
        <v/>
      </c>
      <c r="R209" s="8">
        <f>($G$71+$G$72)*(R$138=YEAR(Inputs!$G$28))</f>
        <v/>
      </c>
      <c r="S209" s="8">
        <f>($G$71+$G$72)*(S$138=YEAR(Inputs!$G$28))</f>
        <v/>
      </c>
      <c r="T209" s="8">
        <f>($G$71+$G$72)*(T$138=YEAR(Inputs!$G$28))</f>
        <v/>
      </c>
      <c r="U209" s="8">
        <f>($G$71+$G$72)*(U$138=YEAR(Inputs!$G$28))</f>
        <v/>
      </c>
      <c r="V209" s="8">
        <f>($G$71+$G$72)*(V$138=YEAR(Inputs!$G$28))</f>
        <v/>
      </c>
      <c r="W209" s="8">
        <f>($G$71+$G$72)*(W$138=YEAR(Inputs!$G$28))</f>
        <v/>
      </c>
      <c r="X209" s="8">
        <f>($G$71+$G$72)*(X$138=YEAR(Inputs!$G$28))</f>
        <v/>
      </c>
      <c r="Y209" s="8">
        <f>($G$71+$G$72)*(Y$138=YEAR(Inputs!$G$28))</f>
        <v/>
      </c>
      <c r="Z209" s="8">
        <f>($G$71+$G$72)*(Z$138=YEAR(Inputs!$G$28))</f>
        <v/>
      </c>
      <c r="AA209" s="8">
        <f>($G$71+$G$72)*(AA$138=YEAR(Inputs!$G$28))</f>
        <v/>
      </c>
      <c r="AB209" s="8">
        <f>($G$71+$G$72)*(AB$138=YEAR(Inputs!$G$28))</f>
        <v/>
      </c>
      <c r="AC209" s="8">
        <f>($G$71+$G$72)*(AC$138=YEAR(Inputs!$G$28))</f>
        <v/>
      </c>
      <c r="AD209" s="8">
        <f>($G$71+$G$72)*(AD$138=YEAR(Inputs!$G$28))</f>
        <v/>
      </c>
      <c r="AE209" s="8">
        <f>($G$71+$G$72)*(AE$138=YEAR(Inputs!$G$28))</f>
        <v/>
      </c>
      <c r="AF209" s="8">
        <f>($G$71+$G$72)*(AF$138=YEAR(Inputs!$G$28))</f>
        <v/>
      </c>
      <c r="AG209" s="8">
        <f>($G$71+$G$72)*(AG$138=YEAR(Inputs!$G$28))</f>
        <v/>
      </c>
      <c r="AH209" s="8">
        <f>($G$71+$G$72)*(AH$138=YEAR(Inputs!$G$28))</f>
        <v/>
      </c>
      <c r="AI209" s="8">
        <f>($G$71+$G$72)*(AI$138=YEAR(Inputs!$G$28))</f>
        <v/>
      </c>
      <c r="AJ209" s="8">
        <f>($G$71+$G$72)*(AJ$138=YEAR(Inputs!$G$28))</f>
        <v/>
      </c>
      <c r="AK209" s="8">
        <f>($G$71+$G$72)*(AK$138=YEAR(Inputs!$G$28))</f>
        <v/>
      </c>
      <c r="AL209" s="8">
        <f>($G$71+$G$72)*(AL$138=YEAR(Inputs!$G$28))</f>
        <v/>
      </c>
      <c r="AM209" s="8">
        <f>($G$71+$G$72)*(AM$138=YEAR(Inputs!$G$28))</f>
        <v/>
      </c>
      <c r="AN209" s="8">
        <f>($G$71+$G$72)*(AN$138=YEAR(Inputs!$G$28))</f>
        <v/>
      </c>
      <c r="AO209" s="8">
        <f>($G$71+$G$72)*(AO$138=YEAR(Inputs!$G$28))</f>
        <v/>
      </c>
      <c r="AP209" s="8">
        <f>($G$71+$G$72)*(AP$138=YEAR(Inputs!$G$28))</f>
        <v/>
      </c>
      <c r="AQ209" s="8">
        <f>($G$71+$G$72)*(AQ$138=YEAR(Inputs!$G$28))</f>
        <v/>
      </c>
      <c r="AR209" s="8">
        <f>($G$71+$G$72)*(AR$138=YEAR(Inputs!$G$28))</f>
        <v/>
      </c>
      <c r="AS209" s="8">
        <f>($G$71+$G$72)*(AS$138=YEAR(Inputs!$G$28))</f>
        <v/>
      </c>
    </row>
    <row r="210">
      <c r="C210" s="6" t="inlineStr">
        <is>
          <t>Construction capex (straight-line NTP to COD)</t>
        </is>
      </c>
      <c r="D210" s="2" t="inlineStr">
        <is>
          <t>EUR k</t>
        </is>
      </c>
      <c r="H210" s="8">
        <f>SUM(J210:AS210)</f>
        <v/>
      </c>
      <c r="J210" s="8">
        <f>-$G$131*J204</f>
        <v/>
      </c>
      <c r="K210" s="8">
        <f>-$G$131*K204</f>
        <v/>
      </c>
      <c r="L210" s="8">
        <f>-$G$131*L204</f>
        <v/>
      </c>
      <c r="M210" s="8">
        <f>-$G$131*M204</f>
        <v/>
      </c>
      <c r="N210" s="8">
        <f>-$G$131*N204</f>
        <v/>
      </c>
      <c r="O210" s="8">
        <f>-$G$131*O204</f>
        <v/>
      </c>
      <c r="P210" s="8">
        <f>-$G$131*P204</f>
        <v/>
      </c>
      <c r="Q210" s="8">
        <f>-$G$131*Q204</f>
        <v/>
      </c>
      <c r="R210" s="8">
        <f>-$G$131*R204</f>
        <v/>
      </c>
      <c r="S210" s="8">
        <f>-$G$131*S204</f>
        <v/>
      </c>
      <c r="T210" s="8">
        <f>-$G$131*T204</f>
        <v/>
      </c>
      <c r="U210" s="8">
        <f>-$G$131*U204</f>
        <v/>
      </c>
      <c r="V210" s="8">
        <f>-$G$131*V204</f>
        <v/>
      </c>
      <c r="W210" s="8">
        <f>-$G$131*W204</f>
        <v/>
      </c>
      <c r="X210" s="8">
        <f>-$G$131*X204</f>
        <v/>
      </c>
      <c r="Y210" s="8">
        <f>-$G$131*Y204</f>
        <v/>
      </c>
      <c r="Z210" s="8">
        <f>-$G$131*Z204</f>
        <v/>
      </c>
      <c r="AA210" s="8">
        <f>-$G$131*AA204</f>
        <v/>
      </c>
      <c r="AB210" s="8">
        <f>-$G$131*AB204</f>
        <v/>
      </c>
      <c r="AC210" s="8">
        <f>-$G$131*AC204</f>
        <v/>
      </c>
      <c r="AD210" s="8">
        <f>-$G$131*AD204</f>
        <v/>
      </c>
      <c r="AE210" s="8">
        <f>-$G$131*AE204</f>
        <v/>
      </c>
      <c r="AF210" s="8">
        <f>-$G$131*AF204</f>
        <v/>
      </c>
      <c r="AG210" s="8">
        <f>-$G$131*AG204</f>
        <v/>
      </c>
      <c r="AH210" s="8">
        <f>-$G$131*AH204</f>
        <v/>
      </c>
      <c r="AI210" s="8">
        <f>-$G$131*AI204</f>
        <v/>
      </c>
      <c r="AJ210" s="8">
        <f>-$G$131*AJ204</f>
        <v/>
      </c>
      <c r="AK210" s="8">
        <f>-$G$131*AK204</f>
        <v/>
      </c>
      <c r="AL210" s="8">
        <f>-$G$131*AL204</f>
        <v/>
      </c>
      <c r="AM210" s="8">
        <f>-$G$131*AM204</f>
        <v/>
      </c>
      <c r="AN210" s="8">
        <f>-$G$131*AN204</f>
        <v/>
      </c>
      <c r="AO210" s="8">
        <f>-$G$131*AO204</f>
        <v/>
      </c>
      <c r="AP210" s="8">
        <f>-$G$131*AP204</f>
        <v/>
      </c>
      <c r="AQ210" s="8">
        <f>-$G$131*AQ204</f>
        <v/>
      </c>
      <c r="AR210" s="8">
        <f>-$G$131*AR204</f>
        <v/>
      </c>
      <c r="AS210" s="8">
        <f>-$G$131*AS204</f>
        <v/>
      </c>
    </row>
    <row r="211">
      <c r="C211" s="6" t="inlineStr">
        <is>
          <t>Municipal one-off at COD</t>
        </is>
      </c>
      <c r="D211" s="2" t="inlineStr">
        <is>
          <t>EUR k</t>
        </is>
      </c>
      <c r="H211" s="8">
        <f>SUM(J211:AS211)</f>
        <v/>
      </c>
      <c r="J211" s="8">
        <f>-$G$133*J207</f>
        <v/>
      </c>
      <c r="K211" s="8">
        <f>-$G$133*K207</f>
        <v/>
      </c>
      <c r="L211" s="8">
        <f>-$G$133*L207</f>
        <v/>
      </c>
      <c r="M211" s="8">
        <f>-$G$133*M207</f>
        <v/>
      </c>
      <c r="N211" s="8">
        <f>-$G$133*N207</f>
        <v/>
      </c>
      <c r="O211" s="8">
        <f>-$G$133*O207</f>
        <v/>
      </c>
      <c r="P211" s="8">
        <f>-$G$133*P207</f>
        <v/>
      </c>
      <c r="Q211" s="8">
        <f>-$G$133*Q207</f>
        <v/>
      </c>
      <c r="R211" s="8">
        <f>-$G$133*R207</f>
        <v/>
      </c>
      <c r="S211" s="8">
        <f>-$G$133*S207</f>
        <v/>
      </c>
      <c r="T211" s="8">
        <f>-$G$133*T207</f>
        <v/>
      </c>
      <c r="U211" s="8">
        <f>-$G$133*U207</f>
        <v/>
      </c>
      <c r="V211" s="8">
        <f>-$G$133*V207</f>
        <v/>
      </c>
      <c r="W211" s="8">
        <f>-$G$133*W207</f>
        <v/>
      </c>
      <c r="X211" s="8">
        <f>-$G$133*X207</f>
        <v/>
      </c>
      <c r="Y211" s="8">
        <f>-$G$133*Y207</f>
        <v/>
      </c>
      <c r="Z211" s="8">
        <f>-$G$133*Z207</f>
        <v/>
      </c>
      <c r="AA211" s="8">
        <f>-$G$133*AA207</f>
        <v/>
      </c>
      <c r="AB211" s="8">
        <f>-$G$133*AB207</f>
        <v/>
      </c>
      <c r="AC211" s="8">
        <f>-$G$133*AC207</f>
        <v/>
      </c>
      <c r="AD211" s="8">
        <f>-$G$133*AD207</f>
        <v/>
      </c>
      <c r="AE211" s="8">
        <f>-$G$133*AE207</f>
        <v/>
      </c>
      <c r="AF211" s="8">
        <f>-$G$133*AF207</f>
        <v/>
      </c>
      <c r="AG211" s="8">
        <f>-$G$133*AG207</f>
        <v/>
      </c>
      <c r="AH211" s="8">
        <f>-$G$133*AH207</f>
        <v/>
      </c>
      <c r="AI211" s="8">
        <f>-$G$133*AI207</f>
        <v/>
      </c>
      <c r="AJ211" s="8">
        <f>-$G$133*AJ207</f>
        <v/>
      </c>
      <c r="AK211" s="8">
        <f>-$G$133*AK207</f>
        <v/>
      </c>
      <c r="AL211" s="8">
        <f>-$G$133*AL207</f>
        <v/>
      </c>
      <c r="AM211" s="8">
        <f>-$G$133*AM207</f>
        <v/>
      </c>
      <c r="AN211" s="8">
        <f>-$G$133*AN207</f>
        <v/>
      </c>
      <c r="AO211" s="8">
        <f>-$G$133*AO207</f>
        <v/>
      </c>
      <c r="AP211" s="8">
        <f>-$G$133*AP207</f>
        <v/>
      </c>
      <c r="AQ211" s="8">
        <f>-$G$133*AQ207</f>
        <v/>
      </c>
      <c r="AR211" s="8">
        <f>-$G$133*AR207</f>
        <v/>
      </c>
      <c r="AS211" s="8">
        <f>-$G$133*AS207</f>
        <v/>
      </c>
    </row>
    <row r="212">
      <c r="C212" s="1" t="inlineStr">
        <is>
          <t>Investment cash flow</t>
        </is>
      </c>
      <c r="D212" s="2" t="inlineStr">
        <is>
          <t>EUR k</t>
        </is>
      </c>
      <c r="H212" s="16">
        <f>SUM(J212:AS212)</f>
        <v/>
      </c>
      <c r="J212" s="16">
        <f>SUM(J208:J211)</f>
        <v/>
      </c>
      <c r="K212" s="16">
        <f>SUM(K208:K211)</f>
        <v/>
      </c>
      <c r="L212" s="16">
        <f>SUM(L208:L211)</f>
        <v/>
      </c>
      <c r="M212" s="16">
        <f>SUM(M208:M211)</f>
        <v/>
      </c>
      <c r="N212" s="16">
        <f>SUM(N208:N211)</f>
        <v/>
      </c>
      <c r="O212" s="16">
        <f>SUM(O208:O211)</f>
        <v/>
      </c>
      <c r="P212" s="16">
        <f>SUM(P208:P211)</f>
        <v/>
      </c>
      <c r="Q212" s="16">
        <f>SUM(Q208:Q211)</f>
        <v/>
      </c>
      <c r="R212" s="16">
        <f>SUM(R208:R211)</f>
        <v/>
      </c>
      <c r="S212" s="16">
        <f>SUM(S208:S211)</f>
        <v/>
      </c>
      <c r="T212" s="16">
        <f>SUM(T208:T211)</f>
        <v/>
      </c>
      <c r="U212" s="16">
        <f>SUM(U208:U211)</f>
        <v/>
      </c>
      <c r="V212" s="16">
        <f>SUM(V208:V211)</f>
        <v/>
      </c>
      <c r="W212" s="16">
        <f>SUM(W208:W211)</f>
        <v/>
      </c>
      <c r="X212" s="16">
        <f>SUM(X208:X211)</f>
        <v/>
      </c>
      <c r="Y212" s="16">
        <f>SUM(Y208:Y211)</f>
        <v/>
      </c>
      <c r="Z212" s="16">
        <f>SUM(Z208:Z211)</f>
        <v/>
      </c>
      <c r="AA212" s="16">
        <f>SUM(AA208:AA211)</f>
        <v/>
      </c>
      <c r="AB212" s="16">
        <f>SUM(AB208:AB211)</f>
        <v/>
      </c>
      <c r="AC212" s="16">
        <f>SUM(AC208:AC211)</f>
        <v/>
      </c>
      <c r="AD212" s="16">
        <f>SUM(AD208:AD211)</f>
        <v/>
      </c>
      <c r="AE212" s="16">
        <f>SUM(AE208:AE211)</f>
        <v/>
      </c>
      <c r="AF212" s="16">
        <f>SUM(AF208:AF211)</f>
        <v/>
      </c>
      <c r="AG212" s="16">
        <f>SUM(AG208:AG211)</f>
        <v/>
      </c>
      <c r="AH212" s="16">
        <f>SUM(AH208:AH211)</f>
        <v/>
      </c>
      <c r="AI212" s="16">
        <f>SUM(AI208:AI211)</f>
        <v/>
      </c>
      <c r="AJ212" s="16">
        <f>SUM(AJ208:AJ211)</f>
        <v/>
      </c>
      <c r="AK212" s="16">
        <f>SUM(AK208:AK211)</f>
        <v/>
      </c>
      <c r="AL212" s="16">
        <f>SUM(AL208:AL211)</f>
        <v/>
      </c>
      <c r="AM212" s="16">
        <f>SUM(AM208:AM211)</f>
        <v/>
      </c>
      <c r="AN212" s="16">
        <f>SUM(AN208:AN211)</f>
        <v/>
      </c>
      <c r="AO212" s="16">
        <f>SUM(AO208:AO211)</f>
        <v/>
      </c>
      <c r="AP212" s="16">
        <f>SUM(AP208:AP211)</f>
        <v/>
      </c>
      <c r="AQ212" s="16">
        <f>SUM(AQ208:AQ211)</f>
        <v/>
      </c>
      <c r="AR212" s="16">
        <f>SUM(AR208:AR211)</f>
        <v/>
      </c>
      <c r="AS212" s="16">
        <f>SUM(AS208:AS211)</f>
        <v/>
      </c>
    </row>
    <row r="213">
      <c r="C213" s="6" t="inlineStr">
        <is>
          <t>Degradation factor (from the first full year)</t>
        </is>
      </c>
      <c r="D213" s="2" t="inlineStr">
        <is>
          <t>x</t>
        </is>
      </c>
      <c r="J213" s="27">
        <f>(1-Degradation)^MAX(J202-1,0)</f>
        <v/>
      </c>
      <c r="K213" s="27">
        <f>(1-Degradation)^MAX(K202-1,0)</f>
        <v/>
      </c>
      <c r="L213" s="27">
        <f>(1-Degradation)^MAX(L202-1,0)</f>
        <v/>
      </c>
      <c r="M213" s="27">
        <f>(1-Degradation)^MAX(M202-1,0)</f>
        <v/>
      </c>
      <c r="N213" s="27">
        <f>(1-Degradation)^MAX(N202-1,0)</f>
        <v/>
      </c>
      <c r="O213" s="27">
        <f>(1-Degradation)^MAX(O202-1,0)</f>
        <v/>
      </c>
      <c r="P213" s="27">
        <f>(1-Degradation)^MAX(P202-1,0)</f>
        <v/>
      </c>
      <c r="Q213" s="27">
        <f>(1-Degradation)^MAX(Q202-1,0)</f>
        <v/>
      </c>
      <c r="R213" s="27">
        <f>(1-Degradation)^MAX(R202-1,0)</f>
        <v/>
      </c>
      <c r="S213" s="27">
        <f>(1-Degradation)^MAX(S202-1,0)</f>
        <v/>
      </c>
      <c r="T213" s="27">
        <f>(1-Degradation)^MAX(T202-1,0)</f>
        <v/>
      </c>
      <c r="U213" s="27">
        <f>(1-Degradation)^MAX(U202-1,0)</f>
        <v/>
      </c>
      <c r="V213" s="27">
        <f>(1-Degradation)^MAX(V202-1,0)</f>
        <v/>
      </c>
      <c r="W213" s="27">
        <f>(1-Degradation)^MAX(W202-1,0)</f>
        <v/>
      </c>
      <c r="X213" s="27">
        <f>(1-Degradation)^MAX(X202-1,0)</f>
        <v/>
      </c>
      <c r="Y213" s="27">
        <f>(1-Degradation)^MAX(Y202-1,0)</f>
        <v/>
      </c>
      <c r="Z213" s="27">
        <f>(1-Degradation)^MAX(Z202-1,0)</f>
        <v/>
      </c>
      <c r="AA213" s="27">
        <f>(1-Degradation)^MAX(AA202-1,0)</f>
        <v/>
      </c>
      <c r="AB213" s="27">
        <f>(1-Degradation)^MAX(AB202-1,0)</f>
        <v/>
      </c>
      <c r="AC213" s="27">
        <f>(1-Degradation)^MAX(AC202-1,0)</f>
        <v/>
      </c>
      <c r="AD213" s="27">
        <f>(1-Degradation)^MAX(AD202-1,0)</f>
        <v/>
      </c>
      <c r="AE213" s="27">
        <f>(1-Degradation)^MAX(AE202-1,0)</f>
        <v/>
      </c>
      <c r="AF213" s="27">
        <f>(1-Degradation)^MAX(AF202-1,0)</f>
        <v/>
      </c>
      <c r="AG213" s="27">
        <f>(1-Degradation)^MAX(AG202-1,0)</f>
        <v/>
      </c>
      <c r="AH213" s="27">
        <f>(1-Degradation)^MAX(AH202-1,0)</f>
        <v/>
      </c>
      <c r="AI213" s="27">
        <f>(1-Degradation)^MAX(AI202-1,0)</f>
        <v/>
      </c>
      <c r="AJ213" s="27">
        <f>(1-Degradation)^MAX(AJ202-1,0)</f>
        <v/>
      </c>
      <c r="AK213" s="27">
        <f>(1-Degradation)^MAX(AK202-1,0)</f>
        <v/>
      </c>
      <c r="AL213" s="27">
        <f>(1-Degradation)^MAX(AL202-1,0)</f>
        <v/>
      </c>
      <c r="AM213" s="27">
        <f>(1-Degradation)^MAX(AM202-1,0)</f>
        <v/>
      </c>
      <c r="AN213" s="27">
        <f>(1-Degradation)^MAX(AN202-1,0)</f>
        <v/>
      </c>
      <c r="AO213" s="27">
        <f>(1-Degradation)^MAX(AO202-1,0)</f>
        <v/>
      </c>
      <c r="AP213" s="27">
        <f>(1-Degradation)^MAX(AP202-1,0)</f>
        <v/>
      </c>
      <c r="AQ213" s="27">
        <f>(1-Degradation)^MAX(AQ202-1,0)</f>
        <v/>
      </c>
      <c r="AR213" s="27">
        <f>(1-Degradation)^MAX(AR202-1,0)</f>
        <v/>
      </c>
      <c r="AS213" s="27">
        <f>(1-Degradation)^MAX(AS202-1,0)</f>
        <v/>
      </c>
    </row>
    <row r="214">
      <c r="C214" s="6" t="inlineStr">
        <is>
          <t>Net generation</t>
        </is>
      </c>
      <c r="D214" s="2" t="inlineStr">
        <is>
          <t>GWh</t>
        </is>
      </c>
      <c r="H214" s="14">
        <f>SUM(J214:AS214)</f>
        <v/>
      </c>
      <c r="J214" s="14">
        <f>$G$66*Hours_P50*(1-Curtailment)*(1-Clipping)*J206*J213/Thousand</f>
        <v/>
      </c>
      <c r="K214" s="14">
        <f>$G$66*Hours_P50*(1-Curtailment)*(1-Clipping)*K206*K213/Thousand</f>
        <v/>
      </c>
      <c r="L214" s="14">
        <f>$G$66*Hours_P50*(1-Curtailment)*(1-Clipping)*L206*L213/Thousand</f>
        <v/>
      </c>
      <c r="M214" s="14">
        <f>$G$66*Hours_P50*(1-Curtailment)*(1-Clipping)*M206*M213/Thousand</f>
        <v/>
      </c>
      <c r="N214" s="14">
        <f>$G$66*Hours_P50*(1-Curtailment)*(1-Clipping)*N206*N213/Thousand</f>
        <v/>
      </c>
      <c r="O214" s="14">
        <f>$G$66*Hours_P50*(1-Curtailment)*(1-Clipping)*O206*O213/Thousand</f>
        <v/>
      </c>
      <c r="P214" s="14">
        <f>$G$66*Hours_P50*(1-Curtailment)*(1-Clipping)*P206*P213/Thousand</f>
        <v/>
      </c>
      <c r="Q214" s="14">
        <f>$G$66*Hours_P50*(1-Curtailment)*(1-Clipping)*Q206*Q213/Thousand</f>
        <v/>
      </c>
      <c r="R214" s="14">
        <f>$G$66*Hours_P50*(1-Curtailment)*(1-Clipping)*R206*R213/Thousand</f>
        <v/>
      </c>
      <c r="S214" s="14">
        <f>$G$66*Hours_P50*(1-Curtailment)*(1-Clipping)*S206*S213/Thousand</f>
        <v/>
      </c>
      <c r="T214" s="14">
        <f>$G$66*Hours_P50*(1-Curtailment)*(1-Clipping)*T206*T213/Thousand</f>
        <v/>
      </c>
      <c r="U214" s="14">
        <f>$G$66*Hours_P50*(1-Curtailment)*(1-Clipping)*U206*U213/Thousand</f>
        <v/>
      </c>
      <c r="V214" s="14">
        <f>$G$66*Hours_P50*(1-Curtailment)*(1-Clipping)*V206*V213/Thousand</f>
        <v/>
      </c>
      <c r="W214" s="14">
        <f>$G$66*Hours_P50*(1-Curtailment)*(1-Clipping)*W206*W213/Thousand</f>
        <v/>
      </c>
      <c r="X214" s="14">
        <f>$G$66*Hours_P50*(1-Curtailment)*(1-Clipping)*X206*X213/Thousand</f>
        <v/>
      </c>
      <c r="Y214" s="14">
        <f>$G$66*Hours_P50*(1-Curtailment)*(1-Clipping)*Y206*Y213/Thousand</f>
        <v/>
      </c>
      <c r="Z214" s="14">
        <f>$G$66*Hours_P50*(1-Curtailment)*(1-Clipping)*Z206*Z213/Thousand</f>
        <v/>
      </c>
      <c r="AA214" s="14">
        <f>$G$66*Hours_P50*(1-Curtailment)*(1-Clipping)*AA206*AA213/Thousand</f>
        <v/>
      </c>
      <c r="AB214" s="14">
        <f>$G$66*Hours_P50*(1-Curtailment)*(1-Clipping)*AB206*AB213/Thousand</f>
        <v/>
      </c>
      <c r="AC214" s="14">
        <f>$G$66*Hours_P50*(1-Curtailment)*(1-Clipping)*AC206*AC213/Thousand</f>
        <v/>
      </c>
      <c r="AD214" s="14">
        <f>$G$66*Hours_P50*(1-Curtailment)*(1-Clipping)*AD206*AD213/Thousand</f>
        <v/>
      </c>
      <c r="AE214" s="14">
        <f>$G$66*Hours_P50*(1-Curtailment)*(1-Clipping)*AE206*AE213/Thousand</f>
        <v/>
      </c>
      <c r="AF214" s="14">
        <f>$G$66*Hours_P50*(1-Curtailment)*(1-Clipping)*AF206*AF213/Thousand</f>
        <v/>
      </c>
      <c r="AG214" s="14">
        <f>$G$66*Hours_P50*(1-Curtailment)*(1-Clipping)*AG206*AG213/Thousand</f>
        <v/>
      </c>
      <c r="AH214" s="14">
        <f>$G$66*Hours_P50*(1-Curtailment)*(1-Clipping)*AH206*AH213/Thousand</f>
        <v/>
      </c>
      <c r="AI214" s="14">
        <f>$G$66*Hours_P50*(1-Curtailment)*(1-Clipping)*AI206*AI213/Thousand</f>
        <v/>
      </c>
      <c r="AJ214" s="14">
        <f>$G$66*Hours_P50*(1-Curtailment)*(1-Clipping)*AJ206*AJ213/Thousand</f>
        <v/>
      </c>
      <c r="AK214" s="14">
        <f>$G$66*Hours_P50*(1-Curtailment)*(1-Clipping)*AK206*AK213/Thousand</f>
        <v/>
      </c>
      <c r="AL214" s="14">
        <f>$G$66*Hours_P50*(1-Curtailment)*(1-Clipping)*AL206*AL213/Thousand</f>
        <v/>
      </c>
      <c r="AM214" s="14">
        <f>$G$66*Hours_P50*(1-Curtailment)*(1-Clipping)*AM206*AM213/Thousand</f>
        <v/>
      </c>
      <c r="AN214" s="14">
        <f>$G$66*Hours_P50*(1-Curtailment)*(1-Clipping)*AN206*AN213/Thousand</f>
        <v/>
      </c>
      <c r="AO214" s="14">
        <f>$G$66*Hours_P50*(1-Curtailment)*(1-Clipping)*AO206*AO213/Thousand</f>
        <v/>
      </c>
      <c r="AP214" s="14">
        <f>$G$66*Hours_P50*(1-Curtailment)*(1-Clipping)*AP206*AP213/Thousand</f>
        <v/>
      </c>
      <c r="AQ214" s="14">
        <f>$G$66*Hours_P50*(1-Curtailment)*(1-Clipping)*AQ206*AQ213/Thousand</f>
        <v/>
      </c>
      <c r="AR214" s="14">
        <f>$G$66*Hours_P50*(1-Curtailment)*(1-Clipping)*AR206*AR213/Thousand</f>
        <v/>
      </c>
      <c r="AS214" s="14">
        <f>$G$66*Hours_P50*(1-Curtailment)*(1-Clipping)*AS206*AS213/Thousand</f>
        <v/>
      </c>
    </row>
    <row r="215">
      <c r="C215" s="6" t="inlineStr">
        <is>
          <t>PPA price</t>
        </is>
      </c>
      <c r="D215" s="2" t="inlineStr">
        <is>
          <t>EUR/MWh</t>
        </is>
      </c>
      <c r="J215" s="14">
        <f>PPA_Price*(1+PPA_Esc)^J202*(J206&gt;0)</f>
        <v/>
      </c>
      <c r="K215" s="14">
        <f>PPA_Price*(1+PPA_Esc)^K202*(K206&gt;0)</f>
        <v/>
      </c>
      <c r="L215" s="14">
        <f>PPA_Price*(1+PPA_Esc)^L202*(L206&gt;0)</f>
        <v/>
      </c>
      <c r="M215" s="14">
        <f>PPA_Price*(1+PPA_Esc)^M202*(M206&gt;0)</f>
        <v/>
      </c>
      <c r="N215" s="14">
        <f>PPA_Price*(1+PPA_Esc)^N202*(N206&gt;0)</f>
        <v/>
      </c>
      <c r="O215" s="14">
        <f>PPA_Price*(1+PPA_Esc)^O202*(O206&gt;0)</f>
        <v/>
      </c>
      <c r="P215" s="14">
        <f>PPA_Price*(1+PPA_Esc)^P202*(P206&gt;0)</f>
        <v/>
      </c>
      <c r="Q215" s="14">
        <f>PPA_Price*(1+PPA_Esc)^Q202*(Q206&gt;0)</f>
        <v/>
      </c>
      <c r="R215" s="14">
        <f>PPA_Price*(1+PPA_Esc)^R202*(R206&gt;0)</f>
        <v/>
      </c>
      <c r="S215" s="14">
        <f>PPA_Price*(1+PPA_Esc)^S202*(S206&gt;0)</f>
        <v/>
      </c>
      <c r="T215" s="14">
        <f>PPA_Price*(1+PPA_Esc)^T202*(T206&gt;0)</f>
        <v/>
      </c>
      <c r="U215" s="14">
        <f>PPA_Price*(1+PPA_Esc)^U202*(U206&gt;0)</f>
        <v/>
      </c>
      <c r="V215" s="14">
        <f>PPA_Price*(1+PPA_Esc)^V202*(V206&gt;0)</f>
        <v/>
      </c>
      <c r="W215" s="14">
        <f>PPA_Price*(1+PPA_Esc)^W202*(W206&gt;0)</f>
        <v/>
      </c>
      <c r="X215" s="14">
        <f>PPA_Price*(1+PPA_Esc)^X202*(X206&gt;0)</f>
        <v/>
      </c>
      <c r="Y215" s="14">
        <f>PPA_Price*(1+PPA_Esc)^Y202*(Y206&gt;0)</f>
        <v/>
      </c>
      <c r="Z215" s="14">
        <f>PPA_Price*(1+PPA_Esc)^Z202*(Z206&gt;0)</f>
        <v/>
      </c>
      <c r="AA215" s="14">
        <f>PPA_Price*(1+PPA_Esc)^AA202*(AA206&gt;0)</f>
        <v/>
      </c>
      <c r="AB215" s="14">
        <f>PPA_Price*(1+PPA_Esc)^AB202*(AB206&gt;0)</f>
        <v/>
      </c>
      <c r="AC215" s="14">
        <f>PPA_Price*(1+PPA_Esc)^AC202*(AC206&gt;0)</f>
        <v/>
      </c>
      <c r="AD215" s="14">
        <f>PPA_Price*(1+PPA_Esc)^AD202*(AD206&gt;0)</f>
        <v/>
      </c>
      <c r="AE215" s="14">
        <f>PPA_Price*(1+PPA_Esc)^AE202*(AE206&gt;0)</f>
        <v/>
      </c>
      <c r="AF215" s="14">
        <f>PPA_Price*(1+PPA_Esc)^AF202*(AF206&gt;0)</f>
        <v/>
      </c>
      <c r="AG215" s="14">
        <f>PPA_Price*(1+PPA_Esc)^AG202*(AG206&gt;0)</f>
        <v/>
      </c>
      <c r="AH215" s="14">
        <f>PPA_Price*(1+PPA_Esc)^AH202*(AH206&gt;0)</f>
        <v/>
      </c>
      <c r="AI215" s="14">
        <f>PPA_Price*(1+PPA_Esc)^AI202*(AI206&gt;0)</f>
        <v/>
      </c>
      <c r="AJ215" s="14">
        <f>PPA_Price*(1+PPA_Esc)^AJ202*(AJ206&gt;0)</f>
        <v/>
      </c>
      <c r="AK215" s="14">
        <f>PPA_Price*(1+PPA_Esc)^AK202*(AK206&gt;0)</f>
        <v/>
      </c>
      <c r="AL215" s="14">
        <f>PPA_Price*(1+PPA_Esc)^AL202*(AL206&gt;0)</f>
        <v/>
      </c>
      <c r="AM215" s="14">
        <f>PPA_Price*(1+PPA_Esc)^AM202*(AM206&gt;0)</f>
        <v/>
      </c>
      <c r="AN215" s="14">
        <f>PPA_Price*(1+PPA_Esc)^AN202*(AN206&gt;0)</f>
        <v/>
      </c>
      <c r="AO215" s="14">
        <f>PPA_Price*(1+PPA_Esc)^AO202*(AO206&gt;0)</f>
        <v/>
      </c>
      <c r="AP215" s="14">
        <f>PPA_Price*(1+PPA_Esc)^AP202*(AP206&gt;0)</f>
        <v/>
      </c>
      <c r="AQ215" s="14">
        <f>PPA_Price*(1+PPA_Esc)^AQ202*(AQ206&gt;0)</f>
        <v/>
      </c>
      <c r="AR215" s="14">
        <f>PPA_Price*(1+PPA_Esc)^AR202*(AR206&gt;0)</f>
        <v/>
      </c>
      <c r="AS215" s="14">
        <f>PPA_Price*(1+PPA_Esc)^AS202*(AS206&gt;0)</f>
        <v/>
      </c>
    </row>
    <row r="216">
      <c r="C216" s="1" t="inlineStr">
        <is>
          <t>Revenue</t>
        </is>
      </c>
      <c r="D216" s="2" t="inlineStr">
        <is>
          <t>EUR k</t>
        </is>
      </c>
      <c r="H216" s="22">
        <f>SUM(J216:AS216)</f>
        <v/>
      </c>
      <c r="J216" s="22">
        <f>J214*J215</f>
        <v/>
      </c>
      <c r="K216" s="22">
        <f>K214*K215</f>
        <v/>
      </c>
      <c r="L216" s="22">
        <f>L214*L215</f>
        <v/>
      </c>
      <c r="M216" s="22">
        <f>M214*M215</f>
        <v/>
      </c>
      <c r="N216" s="22">
        <f>N214*N215</f>
        <v/>
      </c>
      <c r="O216" s="22">
        <f>O214*O215</f>
        <v/>
      </c>
      <c r="P216" s="22">
        <f>P214*P215</f>
        <v/>
      </c>
      <c r="Q216" s="22">
        <f>Q214*Q215</f>
        <v/>
      </c>
      <c r="R216" s="22">
        <f>R214*R215</f>
        <v/>
      </c>
      <c r="S216" s="22">
        <f>S214*S215</f>
        <v/>
      </c>
      <c r="T216" s="22">
        <f>T214*T215</f>
        <v/>
      </c>
      <c r="U216" s="22">
        <f>U214*U215</f>
        <v/>
      </c>
      <c r="V216" s="22">
        <f>V214*V215</f>
        <v/>
      </c>
      <c r="W216" s="22">
        <f>W214*W215</f>
        <v/>
      </c>
      <c r="X216" s="22">
        <f>X214*X215</f>
        <v/>
      </c>
      <c r="Y216" s="22">
        <f>Y214*Y215</f>
        <v/>
      </c>
      <c r="Z216" s="22">
        <f>Z214*Z215</f>
        <v/>
      </c>
      <c r="AA216" s="22">
        <f>AA214*AA215</f>
        <v/>
      </c>
      <c r="AB216" s="22">
        <f>AB214*AB215</f>
        <v/>
      </c>
      <c r="AC216" s="22">
        <f>AC214*AC215</f>
        <v/>
      </c>
      <c r="AD216" s="22">
        <f>AD214*AD215</f>
        <v/>
      </c>
      <c r="AE216" s="22">
        <f>AE214*AE215</f>
        <v/>
      </c>
      <c r="AF216" s="22">
        <f>AF214*AF215</f>
        <v/>
      </c>
      <c r="AG216" s="22">
        <f>AG214*AG215</f>
        <v/>
      </c>
      <c r="AH216" s="22">
        <f>AH214*AH215</f>
        <v/>
      </c>
      <c r="AI216" s="22">
        <f>AI214*AI215</f>
        <v/>
      </c>
      <c r="AJ216" s="22">
        <f>AJ214*AJ215</f>
        <v/>
      </c>
      <c r="AK216" s="22">
        <f>AK214*AK215</f>
        <v/>
      </c>
      <c r="AL216" s="22">
        <f>AL214*AL215</f>
        <v/>
      </c>
      <c r="AM216" s="22">
        <f>AM214*AM215</f>
        <v/>
      </c>
      <c r="AN216" s="22">
        <f>AN214*AN215</f>
        <v/>
      </c>
      <c r="AO216" s="22">
        <f>AO214*AO215</f>
        <v/>
      </c>
      <c r="AP216" s="22">
        <f>AP214*AP215</f>
        <v/>
      </c>
      <c r="AQ216" s="22">
        <f>AQ214*AQ215</f>
        <v/>
      </c>
      <c r="AR216" s="22">
        <f>AR214*AR215</f>
        <v/>
      </c>
      <c r="AS216" s="22">
        <f>AS214*AS215</f>
        <v/>
      </c>
    </row>
    <row r="217">
      <c r="C217" s="6" t="inlineStr">
        <is>
          <t>Opex index (COD year = 1)</t>
        </is>
      </c>
      <c r="D217" s="2" t="inlineStr">
        <is>
          <t>x</t>
        </is>
      </c>
      <c r="J217" s="27">
        <f>(1+Opex_Esc)^J202</f>
        <v/>
      </c>
      <c r="K217" s="27">
        <f>(1+Opex_Esc)^K202</f>
        <v/>
      </c>
      <c r="L217" s="27">
        <f>(1+Opex_Esc)^L202</f>
        <v/>
      </c>
      <c r="M217" s="27">
        <f>(1+Opex_Esc)^M202</f>
        <v/>
      </c>
      <c r="N217" s="27">
        <f>(1+Opex_Esc)^N202</f>
        <v/>
      </c>
      <c r="O217" s="27">
        <f>(1+Opex_Esc)^O202</f>
        <v/>
      </c>
      <c r="P217" s="27">
        <f>(1+Opex_Esc)^P202</f>
        <v/>
      </c>
      <c r="Q217" s="27">
        <f>(1+Opex_Esc)^Q202</f>
        <v/>
      </c>
      <c r="R217" s="27">
        <f>(1+Opex_Esc)^R202</f>
        <v/>
      </c>
      <c r="S217" s="27">
        <f>(1+Opex_Esc)^S202</f>
        <v/>
      </c>
      <c r="T217" s="27">
        <f>(1+Opex_Esc)^T202</f>
        <v/>
      </c>
      <c r="U217" s="27">
        <f>(1+Opex_Esc)^U202</f>
        <v/>
      </c>
      <c r="V217" s="27">
        <f>(1+Opex_Esc)^V202</f>
        <v/>
      </c>
      <c r="W217" s="27">
        <f>(1+Opex_Esc)^W202</f>
        <v/>
      </c>
      <c r="X217" s="27">
        <f>(1+Opex_Esc)^X202</f>
        <v/>
      </c>
      <c r="Y217" s="27">
        <f>(1+Opex_Esc)^Y202</f>
        <v/>
      </c>
      <c r="Z217" s="27">
        <f>(1+Opex_Esc)^Z202</f>
        <v/>
      </c>
      <c r="AA217" s="27">
        <f>(1+Opex_Esc)^AA202</f>
        <v/>
      </c>
      <c r="AB217" s="27">
        <f>(1+Opex_Esc)^AB202</f>
        <v/>
      </c>
      <c r="AC217" s="27">
        <f>(1+Opex_Esc)^AC202</f>
        <v/>
      </c>
      <c r="AD217" s="27">
        <f>(1+Opex_Esc)^AD202</f>
        <v/>
      </c>
      <c r="AE217" s="27">
        <f>(1+Opex_Esc)^AE202</f>
        <v/>
      </c>
      <c r="AF217" s="27">
        <f>(1+Opex_Esc)^AF202</f>
        <v/>
      </c>
      <c r="AG217" s="27">
        <f>(1+Opex_Esc)^AG202</f>
        <v/>
      </c>
      <c r="AH217" s="27">
        <f>(1+Opex_Esc)^AH202</f>
        <v/>
      </c>
      <c r="AI217" s="27">
        <f>(1+Opex_Esc)^AI202</f>
        <v/>
      </c>
      <c r="AJ217" s="27">
        <f>(1+Opex_Esc)^AJ202</f>
        <v/>
      </c>
      <c r="AK217" s="27">
        <f>(1+Opex_Esc)^AK202</f>
        <v/>
      </c>
      <c r="AL217" s="27">
        <f>(1+Opex_Esc)^AL202</f>
        <v/>
      </c>
      <c r="AM217" s="27">
        <f>(1+Opex_Esc)^AM202</f>
        <v/>
      </c>
      <c r="AN217" s="27">
        <f>(1+Opex_Esc)^AN202</f>
        <v/>
      </c>
      <c r="AO217" s="27">
        <f>(1+Opex_Esc)^AO202</f>
        <v/>
      </c>
      <c r="AP217" s="27">
        <f>(1+Opex_Esc)^AP202</f>
        <v/>
      </c>
      <c r="AQ217" s="27">
        <f>(1+Opex_Esc)^AQ202</f>
        <v/>
      </c>
      <c r="AR217" s="27">
        <f>(1+Opex_Esc)^AR202</f>
        <v/>
      </c>
      <c r="AS217" s="27">
        <f>(1+Opex_Esc)^AS202</f>
        <v/>
      </c>
    </row>
    <row r="218">
      <c r="C218" s="6" t="inlineStr">
        <is>
          <t>O&amp;M, BoP, lease, insurance, management, property tax</t>
        </is>
      </c>
      <c r="D218" s="2" t="inlineStr">
        <is>
          <t>EUR k</t>
        </is>
      </c>
      <c r="H218" s="8">
        <f>SUM(J218:AS218)</f>
        <v/>
      </c>
      <c r="J218" s="8">
        <f>-SUM(Opex_Per_MW)*$G$66*J217*J206</f>
        <v/>
      </c>
      <c r="K218" s="8">
        <f>-SUM(Opex_Per_MW)*$G$66*K217*K206</f>
        <v/>
      </c>
      <c r="L218" s="8">
        <f>-SUM(Opex_Per_MW)*$G$66*L217*L206</f>
        <v/>
      </c>
      <c r="M218" s="8">
        <f>-SUM(Opex_Per_MW)*$G$66*M217*M206</f>
        <v/>
      </c>
      <c r="N218" s="8">
        <f>-SUM(Opex_Per_MW)*$G$66*N217*N206</f>
        <v/>
      </c>
      <c r="O218" s="8">
        <f>-SUM(Opex_Per_MW)*$G$66*O217*O206</f>
        <v/>
      </c>
      <c r="P218" s="8">
        <f>-SUM(Opex_Per_MW)*$G$66*P217*P206</f>
        <v/>
      </c>
      <c r="Q218" s="8">
        <f>-SUM(Opex_Per_MW)*$G$66*Q217*Q206</f>
        <v/>
      </c>
      <c r="R218" s="8">
        <f>-SUM(Opex_Per_MW)*$G$66*R217*R206</f>
        <v/>
      </c>
      <c r="S218" s="8">
        <f>-SUM(Opex_Per_MW)*$G$66*S217*S206</f>
        <v/>
      </c>
      <c r="T218" s="8">
        <f>-SUM(Opex_Per_MW)*$G$66*T217*T206</f>
        <v/>
      </c>
      <c r="U218" s="8">
        <f>-SUM(Opex_Per_MW)*$G$66*U217*U206</f>
        <v/>
      </c>
      <c r="V218" s="8">
        <f>-SUM(Opex_Per_MW)*$G$66*V217*V206</f>
        <v/>
      </c>
      <c r="W218" s="8">
        <f>-SUM(Opex_Per_MW)*$G$66*W217*W206</f>
        <v/>
      </c>
      <c r="X218" s="8">
        <f>-SUM(Opex_Per_MW)*$G$66*X217*X206</f>
        <v/>
      </c>
      <c r="Y218" s="8">
        <f>-SUM(Opex_Per_MW)*$G$66*Y217*Y206</f>
        <v/>
      </c>
      <c r="Z218" s="8">
        <f>-SUM(Opex_Per_MW)*$G$66*Z217*Z206</f>
        <v/>
      </c>
      <c r="AA218" s="8">
        <f>-SUM(Opex_Per_MW)*$G$66*AA217*AA206</f>
        <v/>
      </c>
      <c r="AB218" s="8">
        <f>-SUM(Opex_Per_MW)*$G$66*AB217*AB206</f>
        <v/>
      </c>
      <c r="AC218" s="8">
        <f>-SUM(Opex_Per_MW)*$G$66*AC217*AC206</f>
        <v/>
      </c>
      <c r="AD218" s="8">
        <f>-SUM(Opex_Per_MW)*$G$66*AD217*AD206</f>
        <v/>
      </c>
      <c r="AE218" s="8">
        <f>-SUM(Opex_Per_MW)*$G$66*AE217*AE206</f>
        <v/>
      </c>
      <c r="AF218" s="8">
        <f>-SUM(Opex_Per_MW)*$G$66*AF217*AF206</f>
        <v/>
      </c>
      <c r="AG218" s="8">
        <f>-SUM(Opex_Per_MW)*$G$66*AG217*AG206</f>
        <v/>
      </c>
      <c r="AH218" s="8">
        <f>-SUM(Opex_Per_MW)*$G$66*AH217*AH206</f>
        <v/>
      </c>
      <c r="AI218" s="8">
        <f>-SUM(Opex_Per_MW)*$G$66*AI217*AI206</f>
        <v/>
      </c>
      <c r="AJ218" s="8">
        <f>-SUM(Opex_Per_MW)*$G$66*AJ217*AJ206</f>
        <v/>
      </c>
      <c r="AK218" s="8">
        <f>-SUM(Opex_Per_MW)*$G$66*AK217*AK206</f>
        <v/>
      </c>
      <c r="AL218" s="8">
        <f>-SUM(Opex_Per_MW)*$G$66*AL217*AL206</f>
        <v/>
      </c>
      <c r="AM218" s="8">
        <f>-SUM(Opex_Per_MW)*$G$66*AM217*AM206</f>
        <v/>
      </c>
      <c r="AN218" s="8">
        <f>-SUM(Opex_Per_MW)*$G$66*AN217*AN206</f>
        <v/>
      </c>
      <c r="AO218" s="8">
        <f>-SUM(Opex_Per_MW)*$G$66*AO217*AO206</f>
        <v/>
      </c>
      <c r="AP218" s="8">
        <f>-SUM(Opex_Per_MW)*$G$66*AP217*AP206</f>
        <v/>
      </c>
      <c r="AQ218" s="8">
        <f>-SUM(Opex_Per_MW)*$G$66*AQ217*AQ206</f>
        <v/>
      </c>
      <c r="AR218" s="8">
        <f>-SUM(Opex_Per_MW)*$G$66*AR217*AR206</f>
        <v/>
      </c>
      <c r="AS218" s="8">
        <f>-SUM(Opex_Per_MW)*$G$66*AS217*AS206</f>
        <v/>
      </c>
    </row>
    <row r="219">
      <c r="C219" s="6" t="inlineStr">
        <is>
          <t>Administration, audit, compliance</t>
        </is>
      </c>
      <c r="D219" s="2" t="inlineStr">
        <is>
          <t>EUR k</t>
        </is>
      </c>
      <c r="H219" s="8">
        <f>SUM(J219:AS219)</f>
        <v/>
      </c>
      <c r="J219" s="8">
        <f>-Opex_Admin*$G$6/Lump_Basis*J217*J206</f>
        <v/>
      </c>
      <c r="K219" s="8">
        <f>-Opex_Admin*$G$6/Lump_Basis*K217*K206</f>
        <v/>
      </c>
      <c r="L219" s="8">
        <f>-Opex_Admin*$G$6/Lump_Basis*L217*L206</f>
        <v/>
      </c>
      <c r="M219" s="8">
        <f>-Opex_Admin*$G$6/Lump_Basis*M217*M206</f>
        <v/>
      </c>
      <c r="N219" s="8">
        <f>-Opex_Admin*$G$6/Lump_Basis*N217*N206</f>
        <v/>
      </c>
      <c r="O219" s="8">
        <f>-Opex_Admin*$G$6/Lump_Basis*O217*O206</f>
        <v/>
      </c>
      <c r="P219" s="8">
        <f>-Opex_Admin*$G$6/Lump_Basis*P217*P206</f>
        <v/>
      </c>
      <c r="Q219" s="8">
        <f>-Opex_Admin*$G$6/Lump_Basis*Q217*Q206</f>
        <v/>
      </c>
      <c r="R219" s="8">
        <f>-Opex_Admin*$G$6/Lump_Basis*R217*R206</f>
        <v/>
      </c>
      <c r="S219" s="8">
        <f>-Opex_Admin*$G$6/Lump_Basis*S217*S206</f>
        <v/>
      </c>
      <c r="T219" s="8">
        <f>-Opex_Admin*$G$6/Lump_Basis*T217*T206</f>
        <v/>
      </c>
      <c r="U219" s="8">
        <f>-Opex_Admin*$G$6/Lump_Basis*U217*U206</f>
        <v/>
      </c>
      <c r="V219" s="8">
        <f>-Opex_Admin*$G$6/Lump_Basis*V217*V206</f>
        <v/>
      </c>
      <c r="W219" s="8">
        <f>-Opex_Admin*$G$6/Lump_Basis*W217*W206</f>
        <v/>
      </c>
      <c r="X219" s="8">
        <f>-Opex_Admin*$G$6/Lump_Basis*X217*X206</f>
        <v/>
      </c>
      <c r="Y219" s="8">
        <f>-Opex_Admin*$G$6/Lump_Basis*Y217*Y206</f>
        <v/>
      </c>
      <c r="Z219" s="8">
        <f>-Opex_Admin*$G$6/Lump_Basis*Z217*Z206</f>
        <v/>
      </c>
      <c r="AA219" s="8">
        <f>-Opex_Admin*$G$6/Lump_Basis*AA217*AA206</f>
        <v/>
      </c>
      <c r="AB219" s="8">
        <f>-Opex_Admin*$G$6/Lump_Basis*AB217*AB206</f>
        <v/>
      </c>
      <c r="AC219" s="8">
        <f>-Opex_Admin*$G$6/Lump_Basis*AC217*AC206</f>
        <v/>
      </c>
      <c r="AD219" s="8">
        <f>-Opex_Admin*$G$6/Lump_Basis*AD217*AD206</f>
        <v/>
      </c>
      <c r="AE219" s="8">
        <f>-Opex_Admin*$G$6/Lump_Basis*AE217*AE206</f>
        <v/>
      </c>
      <c r="AF219" s="8">
        <f>-Opex_Admin*$G$6/Lump_Basis*AF217*AF206</f>
        <v/>
      </c>
      <c r="AG219" s="8">
        <f>-Opex_Admin*$G$6/Lump_Basis*AG217*AG206</f>
        <v/>
      </c>
      <c r="AH219" s="8">
        <f>-Opex_Admin*$G$6/Lump_Basis*AH217*AH206</f>
        <v/>
      </c>
      <c r="AI219" s="8">
        <f>-Opex_Admin*$G$6/Lump_Basis*AI217*AI206</f>
        <v/>
      </c>
      <c r="AJ219" s="8">
        <f>-Opex_Admin*$G$6/Lump_Basis*AJ217*AJ206</f>
        <v/>
      </c>
      <c r="AK219" s="8">
        <f>-Opex_Admin*$G$6/Lump_Basis*AK217*AK206</f>
        <v/>
      </c>
      <c r="AL219" s="8">
        <f>-Opex_Admin*$G$6/Lump_Basis*AL217*AL206</f>
        <v/>
      </c>
      <c r="AM219" s="8">
        <f>-Opex_Admin*$G$6/Lump_Basis*AM217*AM206</f>
        <v/>
      </c>
      <c r="AN219" s="8">
        <f>-Opex_Admin*$G$6/Lump_Basis*AN217*AN206</f>
        <v/>
      </c>
      <c r="AO219" s="8">
        <f>-Opex_Admin*$G$6/Lump_Basis*AO217*AO206</f>
        <v/>
      </c>
      <c r="AP219" s="8">
        <f>-Opex_Admin*$G$6/Lump_Basis*AP217*AP206</f>
        <v/>
      </c>
      <c r="AQ219" s="8">
        <f>-Opex_Admin*$G$6/Lump_Basis*AQ217*AQ206</f>
        <v/>
      </c>
      <c r="AR219" s="8">
        <f>-Opex_Admin*$G$6/Lump_Basis*AR217*AR206</f>
        <v/>
      </c>
      <c r="AS219" s="8">
        <f>-Opex_Admin*$G$6/Lump_Basis*AS217*AS206</f>
        <v/>
      </c>
    </row>
    <row r="220">
      <c r="C220" s="6" t="inlineStr">
        <is>
          <t>Balancing and grid charges</t>
        </is>
      </c>
      <c r="D220" s="2" t="inlineStr">
        <is>
          <t>EUR k</t>
        </is>
      </c>
      <c r="H220" s="8">
        <f>SUM(J220:AS220)</f>
        <v/>
      </c>
      <c r="J220" s="8">
        <f>-J214*(Balancing+Grid_Charges)*J217</f>
        <v/>
      </c>
      <c r="K220" s="8">
        <f>-K214*(Balancing+Grid_Charges)*K217</f>
        <v/>
      </c>
      <c r="L220" s="8">
        <f>-L214*(Balancing+Grid_Charges)*L217</f>
        <v/>
      </c>
      <c r="M220" s="8">
        <f>-M214*(Balancing+Grid_Charges)*M217</f>
        <v/>
      </c>
      <c r="N220" s="8">
        <f>-N214*(Balancing+Grid_Charges)*N217</f>
        <v/>
      </c>
      <c r="O220" s="8">
        <f>-O214*(Balancing+Grid_Charges)*O217</f>
        <v/>
      </c>
      <c r="P220" s="8">
        <f>-P214*(Balancing+Grid_Charges)*P217</f>
        <v/>
      </c>
      <c r="Q220" s="8">
        <f>-Q214*(Balancing+Grid_Charges)*Q217</f>
        <v/>
      </c>
      <c r="R220" s="8">
        <f>-R214*(Balancing+Grid_Charges)*R217</f>
        <v/>
      </c>
      <c r="S220" s="8">
        <f>-S214*(Balancing+Grid_Charges)*S217</f>
        <v/>
      </c>
      <c r="T220" s="8">
        <f>-T214*(Balancing+Grid_Charges)*T217</f>
        <v/>
      </c>
      <c r="U220" s="8">
        <f>-U214*(Balancing+Grid_Charges)*U217</f>
        <v/>
      </c>
      <c r="V220" s="8">
        <f>-V214*(Balancing+Grid_Charges)*V217</f>
        <v/>
      </c>
      <c r="W220" s="8">
        <f>-W214*(Balancing+Grid_Charges)*W217</f>
        <v/>
      </c>
      <c r="X220" s="8">
        <f>-X214*(Balancing+Grid_Charges)*X217</f>
        <v/>
      </c>
      <c r="Y220" s="8">
        <f>-Y214*(Balancing+Grid_Charges)*Y217</f>
        <v/>
      </c>
      <c r="Z220" s="8">
        <f>-Z214*(Balancing+Grid_Charges)*Z217</f>
        <v/>
      </c>
      <c r="AA220" s="8">
        <f>-AA214*(Balancing+Grid_Charges)*AA217</f>
        <v/>
      </c>
      <c r="AB220" s="8">
        <f>-AB214*(Balancing+Grid_Charges)*AB217</f>
        <v/>
      </c>
      <c r="AC220" s="8">
        <f>-AC214*(Balancing+Grid_Charges)*AC217</f>
        <v/>
      </c>
      <c r="AD220" s="8">
        <f>-AD214*(Balancing+Grid_Charges)*AD217</f>
        <v/>
      </c>
      <c r="AE220" s="8">
        <f>-AE214*(Balancing+Grid_Charges)*AE217</f>
        <v/>
      </c>
      <c r="AF220" s="8">
        <f>-AF214*(Balancing+Grid_Charges)*AF217</f>
        <v/>
      </c>
      <c r="AG220" s="8">
        <f>-AG214*(Balancing+Grid_Charges)*AG217</f>
        <v/>
      </c>
      <c r="AH220" s="8">
        <f>-AH214*(Balancing+Grid_Charges)*AH217</f>
        <v/>
      </c>
      <c r="AI220" s="8">
        <f>-AI214*(Balancing+Grid_Charges)*AI217</f>
        <v/>
      </c>
      <c r="AJ220" s="8">
        <f>-AJ214*(Balancing+Grid_Charges)*AJ217</f>
        <v/>
      </c>
      <c r="AK220" s="8">
        <f>-AK214*(Balancing+Grid_Charges)*AK217</f>
        <v/>
      </c>
      <c r="AL220" s="8">
        <f>-AL214*(Balancing+Grid_Charges)*AL217</f>
        <v/>
      </c>
      <c r="AM220" s="8">
        <f>-AM214*(Balancing+Grid_Charges)*AM217</f>
        <v/>
      </c>
      <c r="AN220" s="8">
        <f>-AN214*(Balancing+Grid_Charges)*AN217</f>
        <v/>
      </c>
      <c r="AO220" s="8">
        <f>-AO214*(Balancing+Grid_Charges)*AO217</f>
        <v/>
      </c>
      <c r="AP220" s="8">
        <f>-AP214*(Balancing+Grid_Charges)*AP217</f>
        <v/>
      </c>
      <c r="AQ220" s="8">
        <f>-AQ214*(Balancing+Grid_Charges)*AQ217</f>
        <v/>
      </c>
      <c r="AR220" s="8">
        <f>-AR214*(Balancing+Grid_Charges)*AR217</f>
        <v/>
      </c>
      <c r="AS220" s="8">
        <f>-AS214*(Balancing+Grid_Charges)*AS217</f>
        <v/>
      </c>
    </row>
    <row r="221">
      <c r="C221" s="6" t="inlineStr">
        <is>
          <t>MEKH supervisory fee</t>
        </is>
      </c>
      <c r="D221" s="2" t="inlineStr">
        <is>
          <t>EUR k</t>
        </is>
      </c>
      <c r="H221" s="8">
        <f>SUM(J221:AS221)</f>
        <v/>
      </c>
      <c r="J221" s="8">
        <f>-J216*MEKH_Fee</f>
        <v/>
      </c>
      <c r="K221" s="8">
        <f>-K216*MEKH_Fee</f>
        <v/>
      </c>
      <c r="L221" s="8">
        <f>-L216*MEKH_Fee</f>
        <v/>
      </c>
      <c r="M221" s="8">
        <f>-M216*MEKH_Fee</f>
        <v/>
      </c>
      <c r="N221" s="8">
        <f>-N216*MEKH_Fee</f>
        <v/>
      </c>
      <c r="O221" s="8">
        <f>-O216*MEKH_Fee</f>
        <v/>
      </c>
      <c r="P221" s="8">
        <f>-P216*MEKH_Fee</f>
        <v/>
      </c>
      <c r="Q221" s="8">
        <f>-Q216*MEKH_Fee</f>
        <v/>
      </c>
      <c r="R221" s="8">
        <f>-R216*MEKH_Fee</f>
        <v/>
      </c>
      <c r="S221" s="8">
        <f>-S216*MEKH_Fee</f>
        <v/>
      </c>
      <c r="T221" s="8">
        <f>-T216*MEKH_Fee</f>
        <v/>
      </c>
      <c r="U221" s="8">
        <f>-U216*MEKH_Fee</f>
        <v/>
      </c>
      <c r="V221" s="8">
        <f>-V216*MEKH_Fee</f>
        <v/>
      </c>
      <c r="W221" s="8">
        <f>-W216*MEKH_Fee</f>
        <v/>
      </c>
      <c r="X221" s="8">
        <f>-X216*MEKH_Fee</f>
        <v/>
      </c>
      <c r="Y221" s="8">
        <f>-Y216*MEKH_Fee</f>
        <v/>
      </c>
      <c r="Z221" s="8">
        <f>-Z216*MEKH_Fee</f>
        <v/>
      </c>
      <c r="AA221" s="8">
        <f>-AA216*MEKH_Fee</f>
        <v/>
      </c>
      <c r="AB221" s="8">
        <f>-AB216*MEKH_Fee</f>
        <v/>
      </c>
      <c r="AC221" s="8">
        <f>-AC216*MEKH_Fee</f>
        <v/>
      </c>
      <c r="AD221" s="8">
        <f>-AD216*MEKH_Fee</f>
        <v/>
      </c>
      <c r="AE221" s="8">
        <f>-AE216*MEKH_Fee</f>
        <v/>
      </c>
      <c r="AF221" s="8">
        <f>-AF216*MEKH_Fee</f>
        <v/>
      </c>
      <c r="AG221" s="8">
        <f>-AG216*MEKH_Fee</f>
        <v/>
      </c>
      <c r="AH221" s="8">
        <f>-AH216*MEKH_Fee</f>
        <v/>
      </c>
      <c r="AI221" s="8">
        <f>-AI216*MEKH_Fee</f>
        <v/>
      </c>
      <c r="AJ221" s="8">
        <f>-AJ216*MEKH_Fee</f>
        <v/>
      </c>
      <c r="AK221" s="8">
        <f>-AK216*MEKH_Fee</f>
        <v/>
      </c>
      <c r="AL221" s="8">
        <f>-AL216*MEKH_Fee</f>
        <v/>
      </c>
      <c r="AM221" s="8">
        <f>-AM216*MEKH_Fee</f>
        <v/>
      </c>
      <c r="AN221" s="8">
        <f>-AN216*MEKH_Fee</f>
        <v/>
      </c>
      <c r="AO221" s="8">
        <f>-AO216*MEKH_Fee</f>
        <v/>
      </c>
      <c r="AP221" s="8">
        <f>-AP216*MEKH_Fee</f>
        <v/>
      </c>
      <c r="AQ221" s="8">
        <f>-AQ216*MEKH_Fee</f>
        <v/>
      </c>
      <c r="AR221" s="8">
        <f>-AR216*MEKH_Fee</f>
        <v/>
      </c>
      <c r="AS221" s="8">
        <f>-AS216*MEKH_Fee</f>
        <v/>
      </c>
    </row>
    <row r="222">
      <c r="C222" s="6" t="inlineStr">
        <is>
          <t>Opex contingency</t>
        </is>
      </c>
      <c r="D222" s="2" t="inlineStr">
        <is>
          <t>EUR k</t>
        </is>
      </c>
      <c r="H222" s="8">
        <f>SUM(J222:AS222)</f>
        <v/>
      </c>
      <c r="J222" s="8">
        <f>SUM(J218:J221)*Opex_Cont</f>
        <v/>
      </c>
      <c r="K222" s="8">
        <f>SUM(K218:K221)*Opex_Cont</f>
        <v/>
      </c>
      <c r="L222" s="8">
        <f>SUM(L218:L221)*Opex_Cont</f>
        <v/>
      </c>
      <c r="M222" s="8">
        <f>SUM(M218:M221)*Opex_Cont</f>
        <v/>
      </c>
      <c r="N222" s="8">
        <f>SUM(N218:N221)*Opex_Cont</f>
        <v/>
      </c>
      <c r="O222" s="8">
        <f>SUM(O218:O221)*Opex_Cont</f>
        <v/>
      </c>
      <c r="P222" s="8">
        <f>SUM(P218:P221)*Opex_Cont</f>
        <v/>
      </c>
      <c r="Q222" s="8">
        <f>SUM(Q218:Q221)*Opex_Cont</f>
        <v/>
      </c>
      <c r="R222" s="8">
        <f>SUM(R218:R221)*Opex_Cont</f>
        <v/>
      </c>
      <c r="S222" s="8">
        <f>SUM(S218:S221)*Opex_Cont</f>
        <v/>
      </c>
      <c r="T222" s="8">
        <f>SUM(T218:T221)*Opex_Cont</f>
        <v/>
      </c>
      <c r="U222" s="8">
        <f>SUM(U218:U221)*Opex_Cont</f>
        <v/>
      </c>
      <c r="V222" s="8">
        <f>SUM(V218:V221)*Opex_Cont</f>
        <v/>
      </c>
      <c r="W222" s="8">
        <f>SUM(W218:W221)*Opex_Cont</f>
        <v/>
      </c>
      <c r="X222" s="8">
        <f>SUM(X218:X221)*Opex_Cont</f>
        <v/>
      </c>
      <c r="Y222" s="8">
        <f>SUM(Y218:Y221)*Opex_Cont</f>
        <v/>
      </c>
      <c r="Z222" s="8">
        <f>SUM(Z218:Z221)*Opex_Cont</f>
        <v/>
      </c>
      <c r="AA222" s="8">
        <f>SUM(AA218:AA221)*Opex_Cont</f>
        <v/>
      </c>
      <c r="AB222" s="8">
        <f>SUM(AB218:AB221)*Opex_Cont</f>
        <v/>
      </c>
      <c r="AC222" s="8">
        <f>SUM(AC218:AC221)*Opex_Cont</f>
        <v/>
      </c>
      <c r="AD222" s="8">
        <f>SUM(AD218:AD221)*Opex_Cont</f>
        <v/>
      </c>
      <c r="AE222" s="8">
        <f>SUM(AE218:AE221)*Opex_Cont</f>
        <v/>
      </c>
      <c r="AF222" s="8">
        <f>SUM(AF218:AF221)*Opex_Cont</f>
        <v/>
      </c>
      <c r="AG222" s="8">
        <f>SUM(AG218:AG221)*Opex_Cont</f>
        <v/>
      </c>
      <c r="AH222" s="8">
        <f>SUM(AH218:AH221)*Opex_Cont</f>
        <v/>
      </c>
      <c r="AI222" s="8">
        <f>SUM(AI218:AI221)*Opex_Cont</f>
        <v/>
      </c>
      <c r="AJ222" s="8">
        <f>SUM(AJ218:AJ221)*Opex_Cont</f>
        <v/>
      </c>
      <c r="AK222" s="8">
        <f>SUM(AK218:AK221)*Opex_Cont</f>
        <v/>
      </c>
      <c r="AL222" s="8">
        <f>SUM(AL218:AL221)*Opex_Cont</f>
        <v/>
      </c>
      <c r="AM222" s="8">
        <f>SUM(AM218:AM221)*Opex_Cont</f>
        <v/>
      </c>
      <c r="AN222" s="8">
        <f>SUM(AN218:AN221)*Opex_Cont</f>
        <v/>
      </c>
      <c r="AO222" s="8">
        <f>SUM(AO218:AO221)*Opex_Cont</f>
        <v/>
      </c>
      <c r="AP222" s="8">
        <f>SUM(AP218:AP221)*Opex_Cont</f>
        <v/>
      </c>
      <c r="AQ222" s="8">
        <f>SUM(AQ218:AQ221)*Opex_Cont</f>
        <v/>
      </c>
      <c r="AR222" s="8">
        <f>SUM(AR218:AR221)*Opex_Cont</f>
        <v/>
      </c>
      <c r="AS222" s="8">
        <f>SUM(AS218:AS221)*Opex_Cont</f>
        <v/>
      </c>
    </row>
    <row r="223">
      <c r="C223" s="6" t="inlineStr">
        <is>
          <t>Community contribution</t>
        </is>
      </c>
      <c r="D223" s="2" t="inlineStr">
        <is>
          <t>EUR k</t>
        </is>
      </c>
      <c r="H223" s="8">
        <f>SUM(J223:AS223)</f>
        <v/>
      </c>
      <c r="J223" s="8">
        <f>-J214*$G$12</f>
        <v/>
      </c>
      <c r="K223" s="8">
        <f>-K214*$G$12</f>
        <v/>
      </c>
      <c r="L223" s="8">
        <f>-L214*$G$12</f>
        <v/>
      </c>
      <c r="M223" s="8">
        <f>-M214*$G$12</f>
        <v/>
      </c>
      <c r="N223" s="8">
        <f>-N214*$G$12</f>
        <v/>
      </c>
      <c r="O223" s="8">
        <f>-O214*$G$12</f>
        <v/>
      </c>
      <c r="P223" s="8">
        <f>-P214*$G$12</f>
        <v/>
      </c>
      <c r="Q223" s="8">
        <f>-Q214*$G$12</f>
        <v/>
      </c>
      <c r="R223" s="8">
        <f>-R214*$G$12</f>
        <v/>
      </c>
      <c r="S223" s="8">
        <f>-S214*$G$12</f>
        <v/>
      </c>
      <c r="T223" s="8">
        <f>-T214*$G$12</f>
        <v/>
      </c>
      <c r="U223" s="8">
        <f>-U214*$G$12</f>
        <v/>
      </c>
      <c r="V223" s="8">
        <f>-V214*$G$12</f>
        <v/>
      </c>
      <c r="W223" s="8">
        <f>-W214*$G$12</f>
        <v/>
      </c>
      <c r="X223" s="8">
        <f>-X214*$G$12</f>
        <v/>
      </c>
      <c r="Y223" s="8">
        <f>-Y214*$G$12</f>
        <v/>
      </c>
      <c r="Z223" s="8">
        <f>-Z214*$G$12</f>
        <v/>
      </c>
      <c r="AA223" s="8">
        <f>-AA214*$G$12</f>
        <v/>
      </c>
      <c r="AB223" s="8">
        <f>-AB214*$G$12</f>
        <v/>
      </c>
      <c r="AC223" s="8">
        <f>-AC214*$G$12</f>
        <v/>
      </c>
      <c r="AD223" s="8">
        <f>-AD214*$G$12</f>
        <v/>
      </c>
      <c r="AE223" s="8">
        <f>-AE214*$G$12</f>
        <v/>
      </c>
      <c r="AF223" s="8">
        <f>-AF214*$G$12</f>
        <v/>
      </c>
      <c r="AG223" s="8">
        <f>-AG214*$G$12</f>
        <v/>
      </c>
      <c r="AH223" s="8">
        <f>-AH214*$G$12</f>
        <v/>
      </c>
      <c r="AI223" s="8">
        <f>-AI214*$G$12</f>
        <v/>
      </c>
      <c r="AJ223" s="8">
        <f>-AJ214*$G$12</f>
        <v/>
      </c>
      <c r="AK223" s="8">
        <f>-AK214*$G$12</f>
        <v/>
      </c>
      <c r="AL223" s="8">
        <f>-AL214*$G$12</f>
        <v/>
      </c>
      <c r="AM223" s="8">
        <f>-AM214*$G$12</f>
        <v/>
      </c>
      <c r="AN223" s="8">
        <f>-AN214*$G$12</f>
        <v/>
      </c>
      <c r="AO223" s="8">
        <f>-AO214*$G$12</f>
        <v/>
      </c>
      <c r="AP223" s="8">
        <f>-AP214*$G$12</f>
        <v/>
      </c>
      <c r="AQ223" s="8">
        <f>-AQ214*$G$12</f>
        <v/>
      </c>
      <c r="AR223" s="8">
        <f>-AR214*$G$12</f>
        <v/>
      </c>
      <c r="AS223" s="8">
        <f>-AS214*$G$12</f>
        <v/>
      </c>
    </row>
    <row r="224">
      <c r="C224" s="6" t="inlineStr">
        <is>
          <t>HIPA local business tax</t>
        </is>
      </c>
      <c r="D224" s="2" t="inlineStr">
        <is>
          <t>EUR k</t>
        </is>
      </c>
      <c r="H224" s="8">
        <f>SUM(J224:AS224)</f>
        <v/>
      </c>
      <c r="J224" s="8">
        <f>-J216*HIPA_Rate</f>
        <v/>
      </c>
      <c r="K224" s="8">
        <f>-K216*HIPA_Rate</f>
        <v/>
      </c>
      <c r="L224" s="8">
        <f>-L216*HIPA_Rate</f>
        <v/>
      </c>
      <c r="M224" s="8">
        <f>-M216*HIPA_Rate</f>
        <v/>
      </c>
      <c r="N224" s="8">
        <f>-N216*HIPA_Rate</f>
        <v/>
      </c>
      <c r="O224" s="8">
        <f>-O216*HIPA_Rate</f>
        <v/>
      </c>
      <c r="P224" s="8">
        <f>-P216*HIPA_Rate</f>
        <v/>
      </c>
      <c r="Q224" s="8">
        <f>-Q216*HIPA_Rate</f>
        <v/>
      </c>
      <c r="R224" s="8">
        <f>-R216*HIPA_Rate</f>
        <v/>
      </c>
      <c r="S224" s="8">
        <f>-S216*HIPA_Rate</f>
        <v/>
      </c>
      <c r="T224" s="8">
        <f>-T216*HIPA_Rate</f>
        <v/>
      </c>
      <c r="U224" s="8">
        <f>-U216*HIPA_Rate</f>
        <v/>
      </c>
      <c r="V224" s="8">
        <f>-V216*HIPA_Rate</f>
        <v/>
      </c>
      <c r="W224" s="8">
        <f>-W216*HIPA_Rate</f>
        <v/>
      </c>
      <c r="X224" s="8">
        <f>-X216*HIPA_Rate</f>
        <v/>
      </c>
      <c r="Y224" s="8">
        <f>-Y216*HIPA_Rate</f>
        <v/>
      </c>
      <c r="Z224" s="8">
        <f>-Z216*HIPA_Rate</f>
        <v/>
      </c>
      <c r="AA224" s="8">
        <f>-AA216*HIPA_Rate</f>
        <v/>
      </c>
      <c r="AB224" s="8">
        <f>-AB216*HIPA_Rate</f>
        <v/>
      </c>
      <c r="AC224" s="8">
        <f>-AC216*HIPA_Rate</f>
        <v/>
      </c>
      <c r="AD224" s="8">
        <f>-AD216*HIPA_Rate</f>
        <v/>
      </c>
      <c r="AE224" s="8">
        <f>-AE216*HIPA_Rate</f>
        <v/>
      </c>
      <c r="AF224" s="8">
        <f>-AF216*HIPA_Rate</f>
        <v/>
      </c>
      <c r="AG224" s="8">
        <f>-AG216*HIPA_Rate</f>
        <v/>
      </c>
      <c r="AH224" s="8">
        <f>-AH216*HIPA_Rate</f>
        <v/>
      </c>
      <c r="AI224" s="8">
        <f>-AI216*HIPA_Rate</f>
        <v/>
      </c>
      <c r="AJ224" s="8">
        <f>-AJ216*HIPA_Rate</f>
        <v/>
      </c>
      <c r="AK224" s="8">
        <f>-AK216*HIPA_Rate</f>
        <v/>
      </c>
      <c r="AL224" s="8">
        <f>-AL216*HIPA_Rate</f>
        <v/>
      </c>
      <c r="AM224" s="8">
        <f>-AM216*HIPA_Rate</f>
        <v/>
      </c>
      <c r="AN224" s="8">
        <f>-AN216*HIPA_Rate</f>
        <v/>
      </c>
      <c r="AO224" s="8">
        <f>-AO216*HIPA_Rate</f>
        <v/>
      </c>
      <c r="AP224" s="8">
        <f>-AP216*HIPA_Rate</f>
        <v/>
      </c>
      <c r="AQ224" s="8">
        <f>-AQ216*HIPA_Rate</f>
        <v/>
      </c>
      <c r="AR224" s="8">
        <f>-AR216*HIPA_Rate</f>
        <v/>
      </c>
      <c r="AS224" s="8">
        <f>-AS216*HIPA_Rate</f>
        <v/>
      </c>
    </row>
    <row r="225">
      <c r="C225" s="1" t="inlineStr">
        <is>
          <t>EBITDA</t>
        </is>
      </c>
      <c r="D225" s="2" t="inlineStr">
        <is>
          <t>EUR k</t>
        </is>
      </c>
      <c r="H225" s="22">
        <f>SUM(J225:AS225)</f>
        <v/>
      </c>
      <c r="J225" s="22">
        <f>J216+SUM(J218:J224)</f>
        <v/>
      </c>
      <c r="K225" s="22">
        <f>K216+SUM(K218:K224)</f>
        <v/>
      </c>
      <c r="L225" s="22">
        <f>L216+SUM(L218:L224)</f>
        <v/>
      </c>
      <c r="M225" s="22">
        <f>M216+SUM(M218:M224)</f>
        <v/>
      </c>
      <c r="N225" s="22">
        <f>N216+SUM(N218:N224)</f>
        <v/>
      </c>
      <c r="O225" s="22">
        <f>O216+SUM(O218:O224)</f>
        <v/>
      </c>
      <c r="P225" s="22">
        <f>P216+SUM(P218:P224)</f>
        <v/>
      </c>
      <c r="Q225" s="22">
        <f>Q216+SUM(Q218:Q224)</f>
        <v/>
      </c>
      <c r="R225" s="22">
        <f>R216+SUM(R218:R224)</f>
        <v/>
      </c>
      <c r="S225" s="22">
        <f>S216+SUM(S218:S224)</f>
        <v/>
      </c>
      <c r="T225" s="22">
        <f>T216+SUM(T218:T224)</f>
        <v/>
      </c>
      <c r="U225" s="22">
        <f>U216+SUM(U218:U224)</f>
        <v/>
      </c>
      <c r="V225" s="22">
        <f>V216+SUM(V218:V224)</f>
        <v/>
      </c>
      <c r="W225" s="22">
        <f>W216+SUM(W218:W224)</f>
        <v/>
      </c>
      <c r="X225" s="22">
        <f>X216+SUM(X218:X224)</f>
        <v/>
      </c>
      <c r="Y225" s="22">
        <f>Y216+SUM(Y218:Y224)</f>
        <v/>
      </c>
      <c r="Z225" s="22">
        <f>Z216+SUM(Z218:Z224)</f>
        <v/>
      </c>
      <c r="AA225" s="22">
        <f>AA216+SUM(AA218:AA224)</f>
        <v/>
      </c>
      <c r="AB225" s="22">
        <f>AB216+SUM(AB218:AB224)</f>
        <v/>
      </c>
      <c r="AC225" s="22">
        <f>AC216+SUM(AC218:AC224)</f>
        <v/>
      </c>
      <c r="AD225" s="22">
        <f>AD216+SUM(AD218:AD224)</f>
        <v/>
      </c>
      <c r="AE225" s="22">
        <f>AE216+SUM(AE218:AE224)</f>
        <v/>
      </c>
      <c r="AF225" s="22">
        <f>AF216+SUM(AF218:AF224)</f>
        <v/>
      </c>
      <c r="AG225" s="22">
        <f>AG216+SUM(AG218:AG224)</f>
        <v/>
      </c>
      <c r="AH225" s="22">
        <f>AH216+SUM(AH218:AH224)</f>
        <v/>
      </c>
      <c r="AI225" s="22">
        <f>AI216+SUM(AI218:AI224)</f>
        <v/>
      </c>
      <c r="AJ225" s="22">
        <f>AJ216+SUM(AJ218:AJ224)</f>
        <v/>
      </c>
      <c r="AK225" s="22">
        <f>AK216+SUM(AK218:AK224)</f>
        <v/>
      </c>
      <c r="AL225" s="22">
        <f>AL216+SUM(AL218:AL224)</f>
        <v/>
      </c>
      <c r="AM225" s="22">
        <f>AM216+SUM(AM218:AM224)</f>
        <v/>
      </c>
      <c r="AN225" s="22">
        <f>AN216+SUM(AN218:AN224)</f>
        <v/>
      </c>
      <c r="AO225" s="22">
        <f>AO216+SUM(AO218:AO224)</f>
        <v/>
      </c>
      <c r="AP225" s="22">
        <f>AP216+SUM(AP218:AP224)</f>
        <v/>
      </c>
      <c r="AQ225" s="22">
        <f>AQ216+SUM(AQ218:AQ224)</f>
        <v/>
      </c>
      <c r="AR225" s="22">
        <f>AR216+SUM(AR218:AR224)</f>
        <v/>
      </c>
      <c r="AS225" s="22">
        <f>AS216+SUM(AS218:AS224)</f>
        <v/>
      </c>
    </row>
    <row r="226">
      <c r="C226" s="1" t="inlineStr">
        <is>
          <t>Unlevered pre-tax cash flow</t>
        </is>
      </c>
      <c r="D226" s="2" t="inlineStr">
        <is>
          <t>EUR k</t>
        </is>
      </c>
      <c r="H226" s="22">
        <f>SUM(J226:AS226)</f>
        <v/>
      </c>
      <c r="J226" s="22">
        <f>J212+J225</f>
        <v/>
      </c>
      <c r="K226" s="22">
        <f>K212+K225</f>
        <v/>
      </c>
      <c r="L226" s="22">
        <f>L212+L225</f>
        <v/>
      </c>
      <c r="M226" s="22">
        <f>M212+M225</f>
        <v/>
      </c>
      <c r="N226" s="22">
        <f>N212+N225</f>
        <v/>
      </c>
      <c r="O226" s="22">
        <f>O212+O225</f>
        <v/>
      </c>
      <c r="P226" s="22">
        <f>P212+P225</f>
        <v/>
      </c>
      <c r="Q226" s="22">
        <f>Q212+Q225</f>
        <v/>
      </c>
      <c r="R226" s="22">
        <f>R212+R225</f>
        <v/>
      </c>
      <c r="S226" s="22">
        <f>S212+S225</f>
        <v/>
      </c>
      <c r="T226" s="22">
        <f>T212+T225</f>
        <v/>
      </c>
      <c r="U226" s="22">
        <f>U212+U225</f>
        <v/>
      </c>
      <c r="V226" s="22">
        <f>V212+V225</f>
        <v/>
      </c>
      <c r="W226" s="22">
        <f>W212+W225</f>
        <v/>
      </c>
      <c r="X226" s="22">
        <f>X212+X225</f>
        <v/>
      </c>
      <c r="Y226" s="22">
        <f>Y212+Y225</f>
        <v/>
      </c>
      <c r="Z226" s="22">
        <f>Z212+Z225</f>
        <v/>
      </c>
      <c r="AA226" s="22">
        <f>AA212+AA225</f>
        <v/>
      </c>
      <c r="AB226" s="22">
        <f>AB212+AB225</f>
        <v/>
      </c>
      <c r="AC226" s="22">
        <f>AC212+AC225</f>
        <v/>
      </c>
      <c r="AD226" s="22">
        <f>AD212+AD225</f>
        <v/>
      </c>
      <c r="AE226" s="22">
        <f>AE212+AE225</f>
        <v/>
      </c>
      <c r="AF226" s="22">
        <f>AF212+AF225</f>
        <v/>
      </c>
      <c r="AG226" s="22">
        <f>AG212+AG225</f>
        <v/>
      </c>
      <c r="AH226" s="22">
        <f>AH212+AH225</f>
        <v/>
      </c>
      <c r="AI226" s="22">
        <f>AI212+AI225</f>
        <v/>
      </c>
      <c r="AJ226" s="22">
        <f>AJ212+AJ225</f>
        <v/>
      </c>
      <c r="AK226" s="22">
        <f>AK212+AK225</f>
        <v/>
      </c>
      <c r="AL226" s="22">
        <f>AL212+AL225</f>
        <v/>
      </c>
      <c r="AM226" s="22">
        <f>AM212+AM225</f>
        <v/>
      </c>
      <c r="AN226" s="22">
        <f>AN212+AN225</f>
        <v/>
      </c>
      <c r="AO226" s="22">
        <f>AO212+AO225</f>
        <v/>
      </c>
      <c r="AP226" s="22">
        <f>AP212+AP225</f>
        <v/>
      </c>
      <c r="AQ226" s="22">
        <f>AQ212+AQ225</f>
        <v/>
      </c>
      <c r="AR226" s="22">
        <f>AR212+AR225</f>
        <v/>
      </c>
      <c r="AS226" s="22">
        <f>AS212+AS225</f>
        <v/>
      </c>
    </row>
    <row r="227">
      <c r="C227" s="6" t="inlineStr">
        <is>
          <t>Discount factor to COD (buyer's rate)</t>
        </is>
      </c>
      <c r="D227" s="2" t="inlineStr">
        <is>
          <t>x</t>
        </is>
      </c>
      <c r="J227" s="27">
        <f>(1+Discount_Rate)^((Inputs!$G$27-J$139)/Days_In_Year)</f>
        <v/>
      </c>
      <c r="K227" s="27">
        <f>(1+Discount_Rate)^((Inputs!$G$27-K$139)/Days_In_Year)</f>
        <v/>
      </c>
      <c r="L227" s="27">
        <f>(1+Discount_Rate)^((Inputs!$G$27-L$139)/Days_In_Year)</f>
        <v/>
      </c>
      <c r="M227" s="27">
        <f>(1+Discount_Rate)^((Inputs!$G$27-M$139)/Days_In_Year)</f>
        <v/>
      </c>
      <c r="N227" s="27">
        <f>(1+Discount_Rate)^((Inputs!$G$27-N$139)/Days_In_Year)</f>
        <v/>
      </c>
      <c r="O227" s="27">
        <f>(1+Discount_Rate)^((Inputs!$G$27-O$139)/Days_In_Year)</f>
        <v/>
      </c>
      <c r="P227" s="27">
        <f>(1+Discount_Rate)^((Inputs!$G$27-P$139)/Days_In_Year)</f>
        <v/>
      </c>
      <c r="Q227" s="27">
        <f>(1+Discount_Rate)^((Inputs!$G$27-Q$139)/Days_In_Year)</f>
        <v/>
      </c>
      <c r="R227" s="27">
        <f>(1+Discount_Rate)^((Inputs!$G$27-R$139)/Days_In_Year)</f>
        <v/>
      </c>
      <c r="S227" s="27">
        <f>(1+Discount_Rate)^((Inputs!$G$27-S$139)/Days_In_Year)</f>
        <v/>
      </c>
      <c r="T227" s="27">
        <f>(1+Discount_Rate)^((Inputs!$G$27-T$139)/Days_In_Year)</f>
        <v/>
      </c>
      <c r="U227" s="27">
        <f>(1+Discount_Rate)^((Inputs!$G$27-U$139)/Days_In_Year)</f>
        <v/>
      </c>
      <c r="V227" s="27">
        <f>(1+Discount_Rate)^((Inputs!$G$27-V$139)/Days_In_Year)</f>
        <v/>
      </c>
      <c r="W227" s="27">
        <f>(1+Discount_Rate)^((Inputs!$G$27-W$139)/Days_In_Year)</f>
        <v/>
      </c>
      <c r="X227" s="27">
        <f>(1+Discount_Rate)^((Inputs!$G$27-X$139)/Days_In_Year)</f>
        <v/>
      </c>
      <c r="Y227" s="27">
        <f>(1+Discount_Rate)^((Inputs!$G$27-Y$139)/Days_In_Year)</f>
        <v/>
      </c>
      <c r="Z227" s="27">
        <f>(1+Discount_Rate)^((Inputs!$G$27-Z$139)/Days_In_Year)</f>
        <v/>
      </c>
      <c r="AA227" s="27">
        <f>(1+Discount_Rate)^((Inputs!$G$27-AA$139)/Days_In_Year)</f>
        <v/>
      </c>
      <c r="AB227" s="27">
        <f>(1+Discount_Rate)^((Inputs!$G$27-AB$139)/Days_In_Year)</f>
        <v/>
      </c>
      <c r="AC227" s="27">
        <f>(1+Discount_Rate)^((Inputs!$G$27-AC$139)/Days_In_Year)</f>
        <v/>
      </c>
      <c r="AD227" s="27">
        <f>(1+Discount_Rate)^((Inputs!$G$27-AD$139)/Days_In_Year)</f>
        <v/>
      </c>
      <c r="AE227" s="27">
        <f>(1+Discount_Rate)^((Inputs!$G$27-AE$139)/Days_In_Year)</f>
        <v/>
      </c>
      <c r="AF227" s="27">
        <f>(1+Discount_Rate)^((Inputs!$G$27-AF$139)/Days_In_Year)</f>
        <v/>
      </c>
      <c r="AG227" s="27">
        <f>(1+Discount_Rate)^((Inputs!$G$27-AG$139)/Days_In_Year)</f>
        <v/>
      </c>
      <c r="AH227" s="27">
        <f>(1+Discount_Rate)^((Inputs!$G$27-AH$139)/Days_In_Year)</f>
        <v/>
      </c>
      <c r="AI227" s="27">
        <f>(1+Discount_Rate)^((Inputs!$G$27-AI$139)/Days_In_Year)</f>
        <v/>
      </c>
      <c r="AJ227" s="27">
        <f>(1+Discount_Rate)^((Inputs!$G$27-AJ$139)/Days_In_Year)</f>
        <v/>
      </c>
      <c r="AK227" s="27">
        <f>(1+Discount_Rate)^((Inputs!$G$27-AK$139)/Days_In_Year)</f>
        <v/>
      </c>
      <c r="AL227" s="27">
        <f>(1+Discount_Rate)^((Inputs!$G$27-AL$139)/Days_In_Year)</f>
        <v/>
      </c>
      <c r="AM227" s="27">
        <f>(1+Discount_Rate)^((Inputs!$G$27-AM$139)/Days_In_Year)</f>
        <v/>
      </c>
      <c r="AN227" s="27">
        <f>(1+Discount_Rate)^((Inputs!$G$27-AN$139)/Days_In_Year)</f>
        <v/>
      </c>
      <c r="AO227" s="27">
        <f>(1+Discount_Rate)^((Inputs!$G$27-AO$139)/Days_In_Year)</f>
        <v/>
      </c>
      <c r="AP227" s="27">
        <f>(1+Discount_Rate)^((Inputs!$G$27-AP$139)/Days_In_Year)</f>
        <v/>
      </c>
      <c r="AQ227" s="27">
        <f>(1+Discount_Rate)^((Inputs!$G$27-AQ$139)/Days_In_Year)</f>
        <v/>
      </c>
      <c r="AR227" s="27">
        <f>(1+Discount_Rate)^((Inputs!$G$27-AR$139)/Days_In_Year)</f>
        <v/>
      </c>
      <c r="AS227" s="27">
        <f>(1+Discount_Rate)^((Inputs!$G$27-AS$139)/Days_In_Year)</f>
        <v/>
      </c>
    </row>
    <row r="228">
      <c r="C228" s="6" t="inlineStr">
        <is>
          <t>EBITDA valued at COD (total = COD price)</t>
        </is>
      </c>
      <c r="D228" s="2" t="inlineStr">
        <is>
          <t>EUR k</t>
        </is>
      </c>
      <c r="H228" s="8">
        <f>SUM(J228:AS228)</f>
        <v/>
      </c>
      <c r="J228" s="8">
        <f>J225*J227</f>
        <v/>
      </c>
      <c r="K228" s="8">
        <f>K225*K227</f>
        <v/>
      </c>
      <c r="L228" s="8">
        <f>L225*L227</f>
        <v/>
      </c>
      <c r="M228" s="8">
        <f>M225*M227</f>
        <v/>
      </c>
      <c r="N228" s="8">
        <f>N225*N227</f>
        <v/>
      </c>
      <c r="O228" s="8">
        <f>O225*O227</f>
        <v/>
      </c>
      <c r="P228" s="8">
        <f>P225*P227</f>
        <v/>
      </c>
      <c r="Q228" s="8">
        <f>Q225*Q227</f>
        <v/>
      </c>
      <c r="R228" s="8">
        <f>R225*R227</f>
        <v/>
      </c>
      <c r="S228" s="8">
        <f>S225*S227</f>
        <v/>
      </c>
      <c r="T228" s="8">
        <f>T225*T227</f>
        <v/>
      </c>
      <c r="U228" s="8">
        <f>U225*U227</f>
        <v/>
      </c>
      <c r="V228" s="8">
        <f>V225*V227</f>
        <v/>
      </c>
      <c r="W228" s="8">
        <f>W225*W227</f>
        <v/>
      </c>
      <c r="X228" s="8">
        <f>X225*X227</f>
        <v/>
      </c>
      <c r="Y228" s="8">
        <f>Y225*Y227</f>
        <v/>
      </c>
      <c r="Z228" s="8">
        <f>Z225*Z227</f>
        <v/>
      </c>
      <c r="AA228" s="8">
        <f>AA225*AA227</f>
        <v/>
      </c>
      <c r="AB228" s="8">
        <f>AB225*AB227</f>
        <v/>
      </c>
      <c r="AC228" s="8">
        <f>AC225*AC227</f>
        <v/>
      </c>
      <c r="AD228" s="8">
        <f>AD225*AD227</f>
        <v/>
      </c>
      <c r="AE228" s="8">
        <f>AE225*AE227</f>
        <v/>
      </c>
      <c r="AF228" s="8">
        <f>AF225*AF227</f>
        <v/>
      </c>
      <c r="AG228" s="8">
        <f>AG225*AG227</f>
        <v/>
      </c>
      <c r="AH228" s="8">
        <f>AH225*AH227</f>
        <v/>
      </c>
      <c r="AI228" s="8">
        <f>AI225*AI227</f>
        <v/>
      </c>
      <c r="AJ228" s="8">
        <f>AJ225*AJ227</f>
        <v/>
      </c>
      <c r="AK228" s="8">
        <f>AK225*AK227</f>
        <v/>
      </c>
      <c r="AL228" s="8">
        <f>AL225*AL227</f>
        <v/>
      </c>
      <c r="AM228" s="8">
        <f>AM225*AM227</f>
        <v/>
      </c>
      <c r="AN228" s="8">
        <f>AN225*AN227</f>
        <v/>
      </c>
      <c r="AO228" s="8">
        <f>AO225*AO227</f>
        <v/>
      </c>
      <c r="AP228" s="8">
        <f>AP225*AP227</f>
        <v/>
      </c>
      <c r="AQ228" s="8">
        <f>AQ225*AQ227</f>
        <v/>
      </c>
      <c r="AR228" s="8">
        <f>AR225*AR227</f>
        <v/>
      </c>
      <c r="AS228" s="8">
        <f>AS225*AS227</f>
        <v/>
      </c>
    </row>
    <row r="229">
      <c r="C229" s="1" t="inlineStr">
        <is>
          <t>COD exit: FEP cash flow (to COD, price and securities at COD)</t>
        </is>
      </c>
      <c r="D229" s="2" t="inlineStr">
        <is>
          <t>EUR k</t>
        </is>
      </c>
      <c r="H229" s="22">
        <f>SUM(J229:AS229)</f>
        <v/>
      </c>
      <c r="J229" s="22">
        <f>J212*(J202&lt;=0)+J207*($H228+$G$71+$G$72)</f>
        <v/>
      </c>
      <c r="K229" s="22">
        <f>K212*(K202&lt;=0)+K207*($H228+$G$71+$G$72)</f>
        <v/>
      </c>
      <c r="L229" s="22">
        <f>L212*(L202&lt;=0)+L207*($H228+$G$71+$G$72)</f>
        <v/>
      </c>
      <c r="M229" s="22">
        <f>M212*(M202&lt;=0)+M207*($H228+$G$71+$G$72)</f>
        <v/>
      </c>
      <c r="N229" s="22">
        <f>N212*(N202&lt;=0)+N207*($H228+$G$71+$G$72)</f>
        <v/>
      </c>
      <c r="O229" s="22">
        <f>O212*(O202&lt;=0)+O207*($H228+$G$71+$G$72)</f>
        <v/>
      </c>
      <c r="P229" s="22">
        <f>P212*(P202&lt;=0)+P207*($H228+$G$71+$G$72)</f>
        <v/>
      </c>
      <c r="Q229" s="22">
        <f>Q212*(Q202&lt;=0)+Q207*($H228+$G$71+$G$72)</f>
        <v/>
      </c>
      <c r="R229" s="22">
        <f>R212*(R202&lt;=0)+R207*($H228+$G$71+$G$72)</f>
        <v/>
      </c>
      <c r="S229" s="22">
        <f>S212*(S202&lt;=0)+S207*($H228+$G$71+$G$72)</f>
        <v/>
      </c>
      <c r="T229" s="22">
        <f>T212*(T202&lt;=0)+T207*($H228+$G$71+$G$72)</f>
        <v/>
      </c>
      <c r="U229" s="22">
        <f>U212*(U202&lt;=0)+U207*($H228+$G$71+$G$72)</f>
        <v/>
      </c>
      <c r="V229" s="22">
        <f>V212*(V202&lt;=0)+V207*($H228+$G$71+$G$72)</f>
        <v/>
      </c>
      <c r="W229" s="22">
        <f>W212*(W202&lt;=0)+W207*($H228+$G$71+$G$72)</f>
        <v/>
      </c>
      <c r="X229" s="22">
        <f>X212*(X202&lt;=0)+X207*($H228+$G$71+$G$72)</f>
        <v/>
      </c>
      <c r="Y229" s="22">
        <f>Y212*(Y202&lt;=0)+Y207*($H228+$G$71+$G$72)</f>
        <v/>
      </c>
      <c r="Z229" s="22">
        <f>Z212*(Z202&lt;=0)+Z207*($H228+$G$71+$G$72)</f>
        <v/>
      </c>
      <c r="AA229" s="22">
        <f>AA212*(AA202&lt;=0)+AA207*($H228+$G$71+$G$72)</f>
        <v/>
      </c>
      <c r="AB229" s="22">
        <f>AB212*(AB202&lt;=0)+AB207*($H228+$G$71+$G$72)</f>
        <v/>
      </c>
      <c r="AC229" s="22">
        <f>AC212*(AC202&lt;=0)+AC207*($H228+$G$71+$G$72)</f>
        <v/>
      </c>
      <c r="AD229" s="22">
        <f>AD212*(AD202&lt;=0)+AD207*($H228+$G$71+$G$72)</f>
        <v/>
      </c>
      <c r="AE229" s="22">
        <f>AE212*(AE202&lt;=0)+AE207*($H228+$G$71+$G$72)</f>
        <v/>
      </c>
      <c r="AF229" s="22">
        <f>AF212*(AF202&lt;=0)+AF207*($H228+$G$71+$G$72)</f>
        <v/>
      </c>
      <c r="AG229" s="22">
        <f>AG212*(AG202&lt;=0)+AG207*($H228+$G$71+$G$72)</f>
        <v/>
      </c>
      <c r="AH229" s="22">
        <f>AH212*(AH202&lt;=0)+AH207*($H228+$G$71+$G$72)</f>
        <v/>
      </c>
      <c r="AI229" s="22">
        <f>AI212*(AI202&lt;=0)+AI207*($H228+$G$71+$G$72)</f>
        <v/>
      </c>
      <c r="AJ229" s="22">
        <f>AJ212*(AJ202&lt;=0)+AJ207*($H228+$G$71+$G$72)</f>
        <v/>
      </c>
      <c r="AK229" s="22">
        <f>AK212*(AK202&lt;=0)+AK207*($H228+$G$71+$G$72)</f>
        <v/>
      </c>
      <c r="AL229" s="22">
        <f>AL212*(AL202&lt;=0)+AL207*($H228+$G$71+$G$72)</f>
        <v/>
      </c>
      <c r="AM229" s="22">
        <f>AM212*(AM202&lt;=0)+AM207*($H228+$G$71+$G$72)</f>
        <v/>
      </c>
      <c r="AN229" s="22">
        <f>AN212*(AN202&lt;=0)+AN207*($H228+$G$71+$G$72)</f>
        <v/>
      </c>
      <c r="AO229" s="22">
        <f>AO212*(AO202&lt;=0)+AO207*($H228+$G$71+$G$72)</f>
        <v/>
      </c>
      <c r="AP229" s="22">
        <f>AP212*(AP202&lt;=0)+AP207*($H228+$G$71+$G$72)</f>
        <v/>
      </c>
      <c r="AQ229" s="22">
        <f>AQ212*(AQ202&lt;=0)+AQ207*($H228+$G$71+$G$72)</f>
        <v/>
      </c>
      <c r="AR229" s="22">
        <f>AR212*(AR202&lt;=0)+AR207*($H228+$G$71+$G$72)</f>
        <v/>
      </c>
      <c r="AS229" s="22">
        <f>AS212*(AS202&lt;=0)+AS207*($H228+$G$71+$G$72)</f>
        <v/>
      </c>
    </row>
    <row r="231">
      <c r="B231" s="4" t="inlineStr">
        <is>
          <t>x</t>
        </is>
      </c>
      <c r="C231" s="4" t="inlineStr">
        <is>
          <t>COD exit: tax on the gain (price and profit: totals of the cash-flow blocks above)</t>
        </is>
      </c>
      <c r="D231" s="4" t="n"/>
      <c r="E231" s="5" t="inlineStr">
        <is>
          <t>Bora</t>
        </is>
      </c>
      <c r="F231" s="5" t="inlineStr">
        <is>
          <t>Iváncsa</t>
        </is>
      </c>
      <c r="G231" s="5" t="inlineStr">
        <is>
          <t>Dunaújváros</t>
        </is>
      </c>
      <c r="H231" s="5" t="inlineStr">
        <is>
          <t>Total</t>
        </is>
      </c>
    </row>
    <row r="232">
      <c r="C232" s="6" t="inlineStr">
        <is>
          <t>CIT on the gain</t>
        </is>
      </c>
      <c r="D232" s="2" t="inlineStr">
        <is>
          <t>EUR k</t>
        </is>
      </c>
      <c r="E232" s="8">
        <f>-MAX(0,$H$169)*CIT_Rate</f>
        <v/>
      </c>
      <c r="F232" s="8">
        <f>-MAX(0,$H$199)*CIT_Rate</f>
        <v/>
      </c>
      <c r="G232" s="8">
        <f>-MAX(0,$H$229)*CIT_Rate</f>
        <v/>
      </c>
      <c r="H232" s="8">
        <f>SUM(E232:G232)</f>
        <v/>
      </c>
    </row>
    <row r="233">
      <c r="C233" s="1" t="inlineStr">
        <is>
          <t>FEP profit, post-tax</t>
        </is>
      </c>
      <c r="D233" s="2" t="inlineStr">
        <is>
          <t>EUR k</t>
        </is>
      </c>
      <c r="E233" s="16">
        <f>$H$169+E232</f>
        <v/>
      </c>
      <c r="F233" s="16">
        <f>$H$199+F232</f>
        <v/>
      </c>
      <c r="G233" s="16">
        <f>$H$229+G232</f>
        <v/>
      </c>
      <c r="H233" s="16">
        <f>SUM(E233:G233)</f>
        <v/>
      </c>
    </row>
    <row r="235">
      <c r="B235" s="4" t="inlineStr">
        <is>
          <t>x</t>
        </is>
      </c>
      <c r="C235" s="4" t="inlineStr">
        <is>
          <t>Checks (0 = OK)</t>
        </is>
      </c>
      <c r="D235" s="4" t="n"/>
      <c r="E235" s="5" t="inlineStr">
        <is>
          <t>Bora</t>
        </is>
      </c>
      <c r="F235" s="5" t="inlineStr">
        <is>
          <t>Iváncsa</t>
        </is>
      </c>
      <c r="G235" s="5" t="inlineStr">
        <is>
          <t>Dunaújváros</t>
        </is>
      </c>
      <c r="H235" s="5" t="inlineStr">
        <is>
          <t>Total</t>
        </is>
      </c>
    </row>
    <row r="236">
      <c r="C236" s="6" t="inlineStr">
        <is>
          <t>RtB waterfall closes (proceeds = all amounts paid out)</t>
        </is>
      </c>
      <c r="D236" s="2" t="inlineStr">
        <is>
          <t>flag</t>
        </is>
      </c>
      <c r="E236" s="26">
        <f>N(ABS(E96+E97+E101-E104-E115)&gt;Tolerance)</f>
        <v/>
      </c>
      <c r="F236" s="26">
        <f>N(ABS(F96+F97+F101-F104-F115)&gt;Tolerance)</f>
        <v/>
      </c>
      <c r="G236" s="26">
        <f>N(ABS(G96+G97+G101-G104-G115)&gt;Tolerance)</f>
        <v/>
      </c>
      <c r="H236" s="26">
        <f>SUM(E236:G236)</f>
        <v/>
      </c>
    </row>
    <row r="237">
      <c r="C237" s="6" t="inlineStr">
        <is>
          <t>Claim lines paid before the accrual end year</t>
        </is>
      </c>
      <c r="D237" s="2" t="inlineStr">
        <is>
          <t>flag</t>
        </is>
      </c>
      <c r="E237" s="26">
        <f>SUMPRODUCT(--(YEAR(J70:J76)&gt;=YEAR(E81)))</f>
        <v/>
      </c>
      <c r="F237" s="26">
        <f>SUMPRODUCT(--(YEAR(K70:K76)&gt;=YEAR(F81)))</f>
        <v/>
      </c>
      <c r="G237" s="26">
        <f>SUMPRODUCT(--(YEAR(L70:L76)&gt;=YEAR(G81)))</f>
        <v/>
      </c>
      <c r="H237" s="26">
        <f>SUM(E237:G237)</f>
        <v/>
      </c>
    </row>
    <row r="238">
      <c r="C238" s="6" t="inlineStr">
        <is>
          <t>Turbine route is EU or CN</t>
        </is>
      </c>
      <c r="D238" s="2" t="inlineStr">
        <is>
          <t>flag</t>
        </is>
      </c>
      <c r="E238" s="26">
        <f>N(AND(E17&lt;&gt;"EU",E17&lt;&gt;"CN"))</f>
        <v/>
      </c>
      <c r="F238" s="26">
        <f>N(AND(F17&lt;&gt;"EU",F17&lt;&gt;"CN"))</f>
        <v/>
      </c>
      <c r="G238" s="26">
        <f>N(AND(G17&lt;&gt;"EU",G17&lt;&gt;"CN"))</f>
        <v/>
      </c>
      <c r="H238" s="26">
        <f>SUM(E238:G238)</f>
        <v/>
      </c>
    </row>
    <row r="239">
      <c r="C239" s="6" t="inlineStr">
        <is>
          <t>Construction capex spread in full (timeline = capex)</t>
        </is>
      </c>
      <c r="D239" s="2" t="inlineStr">
        <is>
          <t>flag</t>
        </is>
      </c>
      <c r="E239" s="26">
        <f>N(ABS(E131+$H$150)&gt;Tolerance)</f>
        <v/>
      </c>
      <c r="F239" s="26">
        <f>N(ABS(F131+$H$180)&gt;Tolerance)</f>
        <v/>
      </c>
      <c r="G239" s="26">
        <f>N(ABS(G131+$H$210)&gt;Tolerance)</f>
        <v/>
      </c>
      <c r="H239" s="26">
        <f>SUM(E239:G239)</f>
        <v/>
      </c>
    </row>
    <row r="240">
      <c r="C240" s="6" t="inlineStr">
        <is>
          <t>Investment cash flows = all-in cost to COD</t>
        </is>
      </c>
      <c r="D240" s="2" t="inlineStr">
        <is>
          <t>flag</t>
        </is>
      </c>
      <c r="E240" s="26">
        <f>N(ABS(E135+$H$152)&gt;Tolerance)</f>
        <v/>
      </c>
      <c r="F240" s="26">
        <f>N(ABS(F135+$H$182)&gt;Tolerance)</f>
        <v/>
      </c>
      <c r="G240" s="26">
        <f>N(ABS(G135+$H$212)&gt;Tolerance)</f>
        <v/>
      </c>
      <c r="H240" s="26">
        <f>SUM(E240:G240)</f>
        <v/>
      </c>
    </row>
    <row r="241">
      <c r="C241" s="6" t="inlineStr">
        <is>
          <t>Operating life inside the timeline</t>
        </is>
      </c>
      <c r="D241" s="2" t="inlineStr">
        <is>
          <t>flag</t>
        </is>
      </c>
      <c r="E241" s="26">
        <f>N(ABS($H$146-Life)&gt;Tolerance)</f>
        <v/>
      </c>
      <c r="F241" s="26">
        <f>N(ABS($H$176-Life)&gt;Tolerance)</f>
        <v/>
      </c>
      <c r="G241" s="26">
        <f>N(ABS($H$206-Life)&gt;Tolerance)</f>
        <v/>
      </c>
      <c r="H241" s="26">
        <f>SUM(E241:G241)</f>
        <v/>
      </c>
    </row>
    <row r="242">
      <c r="C242" s="1" t="inlineStr">
        <is>
          <t>Master check</t>
        </is>
      </c>
      <c r="D242" s="2" t="inlineStr">
        <is>
          <t>flag</t>
        </is>
      </c>
      <c r="H242" s="28">
        <f>SUM(H236:H241)</f>
        <v/>
      </c>
    </row>
    <row r="244">
      <c r="C244" s="29" t="inlineStr">
        <is>
          <t>***END***</t>
        </is>
      </c>
    </row>
  </sheetData>
  <conditionalFormatting sqref="H24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H3">
    <cfRule type="cellIs" priority="3" operator="equal" dxfId="0">
      <formula>0</formula>
    </cfRule>
    <cfRule type="cellIs" priority="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1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2" customWidth="1" min="3" max="3"/>
    <col width="11" customWidth="1" min="4" max="4"/>
    <col width="13" customWidth="1" min="5" max="5"/>
    <col width="13" customWidth="1" min="6" max="6"/>
    <col width="13" customWidth="1" min="7" max="7"/>
    <col width="44" customWidth="1" min="8" max="8"/>
  </cols>
  <sheetData>
    <row r="2">
      <c r="C2" s="1" t="inlineStr">
        <is>
          <t>HU wind bids – other inputs (blue) with sources</t>
        </is>
      </c>
    </row>
    <row r="4">
      <c r="B4" s="4" t="inlineStr">
        <is>
          <t>x</t>
        </is>
      </c>
      <c r="C4" s="4" t="inlineStr">
        <is>
          <t>Inputs</t>
        </is>
      </c>
      <c r="D4" s="4" t="n"/>
      <c r="E4" s="5" t="inlineStr">
        <is>
          <t>Bora</t>
        </is>
      </c>
      <c r="F4" s="5" t="inlineStr">
        <is>
          <t>Iváncsa</t>
        </is>
      </c>
      <c r="G4" s="5" t="inlineStr">
        <is>
          <t>Dunaújváros</t>
        </is>
      </c>
      <c r="H4" s="4" t="inlineStr">
        <is>
          <t>Source</t>
        </is>
      </c>
    </row>
    <row r="5">
      <c r="C5" s="15" t="inlineStr">
        <is>
          <t>Tender and grid (all projects) (value in column E)</t>
        </is>
      </c>
      <c r="D5" s="15" t="n"/>
      <c r="E5" s="15" t="n"/>
      <c r="F5" s="15" t="n"/>
      <c r="G5" s="15" t="n"/>
      <c r="H5" s="15" t="n"/>
    </row>
    <row r="6">
      <c r="C6" s="6" t="inlineStr">
        <is>
          <t>FX rate</t>
        </is>
      </c>
      <c r="D6" s="2" t="inlineStr">
        <is>
          <t>HUF/EUR</t>
        </is>
      </c>
      <c r="E6" s="7" t="n">
        <v>365</v>
      </c>
      <c r="H6" s="2" t="inlineStr">
        <is>
          <t>Bora Inputs E11; Bid_Cash E45</t>
        </is>
      </c>
    </row>
    <row r="7">
      <c r="C7" s="6" t="inlineStr">
        <is>
          <t>Security base: benchmark investment, wind</t>
        </is>
      </c>
      <c r="D7" s="2" t="inlineStr">
        <is>
          <t>HUF/MW</t>
        </is>
      </c>
      <c r="E7" s="7" t="n">
        <v>406000000</v>
      </c>
      <c r="H7" s="2" t="inlineStr">
        <is>
          <t>Bora Inputs E75; Bid_Cash E46</t>
        </is>
      </c>
    </row>
    <row r="8">
      <c r="C8" s="6" t="inlineStr">
        <is>
          <t>Security base: benchmark investment, BESS</t>
        </is>
      </c>
      <c r="D8" s="2" t="inlineStr">
        <is>
          <t>HUF/MWh</t>
        </is>
      </c>
      <c r="E8" s="7" t="n">
        <v>200000000</v>
      </c>
      <c r="H8" s="2" t="inlineStr">
        <is>
          <t>Bora Inputs E89; Bid_Cash E47</t>
        </is>
      </c>
    </row>
    <row r="9">
      <c r="C9" s="6" t="inlineStr">
        <is>
          <t>Bid security, share of base</t>
        </is>
      </c>
      <c r="D9" s="2" t="inlineStr">
        <is>
          <t>%</t>
        </is>
      </c>
      <c r="E9" s="9" t="n">
        <v>0.005</v>
      </c>
      <c r="H9" s="2" t="inlineStr">
        <is>
          <t>Bora Inputs E76; Bid_Cash E49</t>
        </is>
      </c>
    </row>
    <row r="10">
      <c r="C10" s="6" t="inlineStr">
        <is>
          <t>Performance security, minimum share of base</t>
        </is>
      </c>
      <c r="D10" s="2" t="inlineStr">
        <is>
          <t>%</t>
        </is>
      </c>
      <c r="E10" s="9" t="n">
        <v>0.025</v>
      </c>
      <c r="H10" s="2" t="inlineStr">
        <is>
          <t>Bora Inputs E77; Bid_Cash E50</t>
        </is>
      </c>
    </row>
    <row r="11">
      <c r="C11" s="6" t="inlineStr">
        <is>
          <t>Participation fee per bid</t>
        </is>
      </c>
      <c r="D11" s="2" t="inlineStr">
        <is>
          <t>HUF</t>
        </is>
      </c>
      <c r="E11" s="7" t="n">
        <v>3000000</v>
      </c>
      <c r="H11" s="2" t="inlineStr">
        <is>
          <t>Bora Inputs E81; Bid_Cash E48</t>
        </is>
      </c>
    </row>
    <row r="12">
      <c r="C12" s="6" t="inlineStr">
        <is>
          <t>TSO connection-request security</t>
        </is>
      </c>
      <c r="D12" s="2" t="inlineStr">
        <is>
          <t>HUF/MVA</t>
        </is>
      </c>
      <c r="E12" s="7" t="n">
        <v>4500000</v>
      </c>
      <c r="H12" s="2" t="inlineStr">
        <is>
          <t>Bora Inputs E83; Bid_Cash E51</t>
        </is>
      </c>
    </row>
    <row r="13">
      <c r="C13" s="15" t="inlineStr">
        <is>
          <t>Per project: fees, devex, dates</t>
        </is>
      </c>
      <c r="D13" s="15" t="n"/>
      <c r="E13" s="15" t="n"/>
      <c r="F13" s="15" t="n"/>
      <c r="G13" s="15" t="n"/>
      <c r="H13" s="15" t="n"/>
    </row>
    <row r="14">
      <c r="C14" s="6" t="inlineStr">
        <is>
          <t>Indirect connection fee</t>
        </is>
      </c>
      <c r="D14" s="2" t="inlineStr">
        <is>
          <t>HUF/MVA</t>
        </is>
      </c>
      <c r="E14" s="7" t="n">
        <v>73071306</v>
      </c>
      <c r="F14" s="7" t="n">
        <v>19826680</v>
      </c>
      <c r="G14" s="7" t="n">
        <v>19826680</v>
      </c>
      <c r="H14" s="2" t="inlineStr">
        <is>
          <t>Bora Inputs G290; Bid_Cash E52</t>
        </is>
      </c>
    </row>
    <row r="15">
      <c r="C15" s="6" t="inlineStr">
        <is>
          <t>Direct connection fee per connection point</t>
        </is>
      </c>
      <c r="D15" s="2" t="inlineStr">
        <is>
          <t>HUF</t>
        </is>
      </c>
      <c r="E15" s="7" t="n">
        <v>508345804</v>
      </c>
      <c r="F15" s="7" t="n">
        <v>460000000</v>
      </c>
      <c r="G15" s="7" t="n">
        <v>460000000</v>
      </c>
      <c r="H15" s="2" t="inlineStr">
        <is>
          <t>Bora Inputs G291; Bid_Cash E53</t>
        </is>
      </c>
    </row>
    <row r="16">
      <c r="C16" s="6" t="inlineStr">
        <is>
          <t>Bids sharing the connection point</t>
        </is>
      </c>
      <c r="D16" s="2" t="inlineStr">
        <is>
          <t>count</t>
        </is>
      </c>
      <c r="E16" s="11" t="n">
        <v>2</v>
      </c>
      <c r="F16" s="11" t="n">
        <v>1</v>
      </c>
      <c r="G16" s="11" t="n">
        <v>1</v>
      </c>
      <c r="H16" s="2" t="inlineStr">
        <is>
          <t>Bora: 2 bids per point (SPEC §22.2)</t>
        </is>
      </c>
    </row>
    <row r="17">
      <c r="C17" s="6" t="inlineStr">
        <is>
          <t>Signing fee and DD</t>
        </is>
      </c>
      <c r="D17" s="2" t="inlineStr">
        <is>
          <t>EUR k</t>
        </is>
      </c>
      <c r="E17" s="7" t="n">
        <v>200</v>
      </c>
      <c r="F17" s="7" t="n">
        <v>150</v>
      </c>
      <c r="G17" s="7" t="n">
        <v>150</v>
      </c>
      <c r="H17" s="2" t="inlineStr">
        <is>
          <t>Bora Inputs E24+E25; Bid_Cash E55</t>
        </is>
      </c>
    </row>
    <row r="18">
      <c r="C18" s="6" t="inlineStr">
        <is>
          <t>Devex incl. contingency</t>
        </is>
      </c>
      <c r="D18" s="2" t="inlineStr">
        <is>
          <t>EUR k</t>
        </is>
      </c>
      <c r="E18" s="10" t="n">
        <v>1568.9</v>
      </c>
      <c r="F18" s="10" t="n">
        <v>1000</v>
      </c>
      <c r="G18" s="10" t="n">
        <v>1000</v>
      </c>
      <c r="H18" s="2" t="inlineStr">
        <is>
          <t>Bora Devex_FEP E39 (100 MVA); Bid_Cash E56</t>
        </is>
      </c>
    </row>
    <row r="19">
      <c r="C19" s="6" t="inlineStr">
        <is>
          <t>EU transformers ≥ 80 % (ÖSZ-9)</t>
        </is>
      </c>
      <c r="D19" s="2" t="inlineStr">
        <is>
          <t>flag</t>
        </is>
      </c>
      <c r="E19" s="11" t="n">
        <v>0</v>
      </c>
      <c r="F19" s="11" t="n">
        <v>0</v>
      </c>
      <c r="G19" s="11" t="n">
        <v>0</v>
      </c>
      <c r="H19" s="2" t="inlineStr">
        <is>
          <t>Bid_Cash E16; Bora low bid: no</t>
        </is>
      </c>
    </row>
    <row r="20">
      <c r="C20" s="6" t="inlineStr">
        <is>
          <t>Signing fee and DD paid</t>
        </is>
      </c>
      <c r="D20" s="2" t="inlineStr">
        <is>
          <t>date</t>
        </is>
      </c>
      <c r="E20" s="30" t="n">
        <v>46234</v>
      </c>
      <c r="F20" s="30" t="n">
        <v>46234</v>
      </c>
      <c r="G20" s="30" t="n">
        <v>46234</v>
      </c>
      <c r="H20" s="2" t="inlineStr">
        <is>
          <t>Bora Inputs E27; Bid_Cash E34</t>
        </is>
      </c>
    </row>
    <row r="21">
      <c r="C21" s="6" t="inlineStr">
        <is>
          <t>Bid submission: fee paid, bid security posted</t>
        </is>
      </c>
      <c r="D21" s="2" t="inlineStr">
        <is>
          <t>date</t>
        </is>
      </c>
      <c r="E21" s="30" t="n">
        <v>46325</v>
      </c>
      <c r="F21" s="30" t="n">
        <v>46325</v>
      </c>
      <c r="G21" s="30" t="n">
        <v>46325</v>
      </c>
      <c r="H21" s="2" t="inlineStr">
        <is>
          <t>Bora Inputs E95; Bid_Cash E35</t>
        </is>
      </c>
    </row>
    <row r="22">
      <c r="C22" s="6" t="inlineStr">
        <is>
          <t>Performance security posted</t>
        </is>
      </c>
      <c r="D22" s="2" t="inlineStr">
        <is>
          <t>date</t>
        </is>
      </c>
      <c r="E22" s="30" t="n">
        <v>46386</v>
      </c>
      <c r="F22" s="30" t="n">
        <v>46402</v>
      </c>
      <c r="G22" s="30" t="n">
        <v>46402</v>
      </c>
      <c r="H22" s="2" t="inlineStr">
        <is>
          <t>Bora Deposits K10 (E96 + 17 d); Bid_Cash E36</t>
        </is>
      </c>
    </row>
    <row r="23">
      <c r="C23" s="6" t="inlineStr">
        <is>
          <t>TSO security paid</t>
        </is>
      </c>
      <c r="D23" s="2" t="inlineStr">
        <is>
          <t>date</t>
        </is>
      </c>
      <c r="E23" s="30" t="n">
        <v>46386</v>
      </c>
      <c r="F23" s="30" t="n">
        <v>46402</v>
      </c>
      <c r="G23" s="30" t="n">
        <v>46402</v>
      </c>
      <c r="H23" s="2" t="inlineStr">
        <is>
          <t>Bora Inputs E97; Bid_Cash E37</t>
        </is>
      </c>
    </row>
    <row r="24">
      <c r="C24" s="6" t="inlineStr">
        <is>
          <t>Connection agreement (HCSSZ): fees paid</t>
        </is>
      </c>
      <c r="D24" s="2" t="inlineStr">
        <is>
          <t>date</t>
        </is>
      </c>
      <c r="E24" s="30" t="n">
        <v>47027</v>
      </c>
      <c r="F24" s="30" t="n">
        <v>47027</v>
      </c>
      <c r="G24" s="30" t="n">
        <v>47027</v>
      </c>
      <c r="H24" s="2" t="inlineStr">
        <is>
          <t>Bora Inputs E99; Bid_Cash E39</t>
        </is>
      </c>
    </row>
    <row r="25">
      <c r="C25" s="6" t="inlineStr">
        <is>
          <t>Devex average payment date</t>
        </is>
      </c>
      <c r="D25" s="2" t="inlineStr">
        <is>
          <t>date</t>
        </is>
      </c>
      <c r="E25" s="30" t="n">
        <v>46768</v>
      </c>
      <c r="F25" s="30" t="n">
        <v>46752</v>
      </c>
      <c r="G25" s="30" t="n">
        <v>46752</v>
      </c>
      <c r="H25" s="2" t="inlineStr">
        <is>
          <t>Bora Devex_FEP, amount-weighted; Bid_Cash 'continuous'</t>
        </is>
      </c>
    </row>
    <row r="26">
      <c r="C26" s="6" t="inlineStr">
        <is>
          <t>Notice to proceed</t>
        </is>
      </c>
      <c r="D26" s="2" t="inlineStr">
        <is>
          <t>date</t>
        </is>
      </c>
      <c r="E26" s="30" t="n">
        <v>47299</v>
      </c>
      <c r="F26" s="30" t="n">
        <v>47299</v>
      </c>
      <c r="G26" s="30" t="n">
        <v>47299</v>
      </c>
      <c r="H26" s="2" t="inlineStr">
        <is>
          <t>Bora Inputs E154; Bid_Cash E40</t>
        </is>
      </c>
    </row>
    <row r="27">
      <c r="C27" s="6" t="inlineStr">
        <is>
          <t>COD</t>
        </is>
      </c>
      <c r="D27" s="2" t="inlineStr">
        <is>
          <t>date</t>
        </is>
      </c>
      <c r="E27" s="30" t="n">
        <v>48029</v>
      </c>
      <c r="F27" s="30" t="n">
        <v>48029</v>
      </c>
      <c r="G27" s="30" t="n">
        <v>48029</v>
      </c>
      <c r="H27" s="2" t="inlineStr">
        <is>
          <t>Bora Inputs E155; Bid_Cash E41</t>
        </is>
      </c>
    </row>
    <row r="28">
      <c r="C28" s="6" t="inlineStr">
        <is>
          <t>Performance security released</t>
        </is>
      </c>
      <c r="D28" s="2" t="inlineStr">
        <is>
          <t>date</t>
        </is>
      </c>
      <c r="E28" s="30" t="n">
        <v>48669</v>
      </c>
      <c r="F28" s="30" t="n">
        <v>48669</v>
      </c>
      <c r="G28" s="30" t="n">
        <v>48669</v>
      </c>
      <c r="H28" s="2" t="inlineStr">
        <is>
          <t>Bid_Cash E42 (Kiírás XII.13, estimate)</t>
        </is>
      </c>
    </row>
    <row r="29">
      <c r="C29" s="6" t="inlineStr">
        <is>
          <t>DSA accrual start</t>
        </is>
      </c>
      <c r="D29" s="2" t="inlineStr">
        <is>
          <t>date</t>
        </is>
      </c>
      <c r="E29" s="30" t="n">
        <v>46321</v>
      </c>
      <c r="F29" s="30" t="n">
        <v>46234</v>
      </c>
      <c r="G29" s="30" t="n">
        <v>46234</v>
      </c>
      <c r="H29" s="2" t="inlineStr">
        <is>
          <t>Bora Inputs E70; others: signing (DSA off)</t>
        </is>
      </c>
    </row>
    <row r="30">
      <c r="C30" s="15" t="inlineStr">
        <is>
          <t>RtB exit terms (all projects) (value in column E)</t>
        </is>
      </c>
      <c r="D30" s="15" t="n"/>
      <c r="E30" s="15" t="n"/>
      <c r="F30" s="15" t="n"/>
      <c r="G30" s="15" t="n"/>
      <c r="H30" s="15" t="n"/>
    </row>
    <row r="31">
      <c r="C31" s="6" t="inlineStr">
        <is>
          <t>Claim rate, cash lines (incl. cash-posted securities)</t>
        </is>
      </c>
      <c r="D31" s="2" t="inlineStr">
        <is>
          <t>%</t>
        </is>
      </c>
      <c r="E31" s="9" t="n">
        <v>0.12</v>
      </c>
      <c r="H31" s="2" t="inlineStr">
        <is>
          <t>Devex file V18; SPEC §21.1</t>
        </is>
      </c>
    </row>
    <row r="32">
      <c r="C32" s="6" t="inlineStr">
        <is>
          <t>Claim rate, devex</t>
        </is>
      </c>
      <c r="D32" s="2" t="inlineStr">
        <is>
          <t>%</t>
        </is>
      </c>
      <c r="E32" s="9" t="n">
        <v>0.2</v>
      </c>
      <c r="H32" s="2" t="inlineStr">
        <is>
          <t>Devex file V19</t>
        </is>
      </c>
    </row>
    <row r="33">
      <c r="C33" s="6" t="inlineStr">
        <is>
          <t>Devex minimum return multiple</t>
        </is>
      </c>
      <c r="D33" s="2" t="inlineStr">
        <is>
          <t>x</t>
        </is>
      </c>
      <c r="E33" s="12" t="n">
        <v>2</v>
      </c>
      <c r="H33" s="2" t="inlineStr">
        <is>
          <t>Devex file V20</t>
        </is>
      </c>
    </row>
    <row r="34">
      <c r="C34" s="6" t="inlineStr">
        <is>
          <t>Interest freeze date</t>
        </is>
      </c>
      <c r="D34" s="2" t="inlineStr">
        <is>
          <t>date</t>
        </is>
      </c>
      <c r="E34" s="30" t="n">
        <v>47299</v>
      </c>
      <c r="H34" s="2" t="inlineStr">
        <is>
          <t>Devex file V24</t>
        </is>
      </c>
    </row>
    <row r="35">
      <c r="C35" s="6" t="inlineStr">
        <is>
          <t>Sale date (RtB exit)</t>
        </is>
      </c>
      <c r="D35" s="2" t="inlineStr">
        <is>
          <t>date</t>
        </is>
      </c>
      <c r="E35" s="30" t="n">
        <v>47391</v>
      </c>
      <c r="H35" s="2" t="inlineStr">
        <is>
          <t>Bora Inputs E58; SPEC §21.1</t>
        </is>
      </c>
    </row>
    <row r="36">
      <c r="C36" s="6" t="inlineStr">
        <is>
          <t>Sale costs per project</t>
        </is>
      </c>
      <c r="D36" s="2" t="inlineStr">
        <is>
          <t>EUR k</t>
        </is>
      </c>
      <c r="E36" s="7" t="n">
        <v>250</v>
      </c>
      <c r="H36" s="2" t="inlineStr">
        <is>
          <t>SPEC §21.1</t>
        </is>
      </c>
    </row>
    <row r="37">
      <c r="C37" s="6" t="inlineStr">
        <is>
          <t>Developer success fee (on committed MW, 30/360)</t>
        </is>
      </c>
      <c r="D37" s="2" t="inlineStr">
        <is>
          <t>EUR k/MW/yr</t>
        </is>
      </c>
      <c r="E37" s="10" t="n">
        <v>2.5</v>
      </c>
      <c r="H37" s="2" t="inlineStr">
        <is>
          <t>Bora Inputs E36</t>
        </is>
      </c>
    </row>
    <row r="38">
      <c r="C38" s="6" t="inlineStr">
        <is>
          <t>Developer success fee cap</t>
        </is>
      </c>
      <c r="D38" s="2" t="inlineStr">
        <is>
          <t>EUR k/MW</t>
        </is>
      </c>
      <c r="E38" s="10" t="n">
        <v>10</v>
      </c>
      <c r="H38" s="2" t="inlineStr">
        <is>
          <t>Bora Inputs E37</t>
        </is>
      </c>
    </row>
    <row r="39">
      <c r="C39" s="6" t="inlineStr">
        <is>
          <t>Corporate income tax on exit gains</t>
        </is>
      </c>
      <c r="D39" s="2" t="inlineStr">
        <is>
          <t>%</t>
        </is>
      </c>
      <c r="E39" s="9" t="n">
        <v>0.09</v>
      </c>
      <c r="H39" s="2" t="inlineStr">
        <is>
          <t>SPEC §22.2 (exit gains only)</t>
        </is>
      </c>
    </row>
    <row r="40">
      <c r="C40" s="15" t="inlineStr">
        <is>
          <t>Capex (per MW of wind built unless stated) (value in column E)</t>
        </is>
      </c>
      <c r="D40" s="15" t="n"/>
      <c r="E40" s="15" t="n"/>
      <c r="F40" s="15" t="n"/>
      <c r="G40" s="15" t="n"/>
      <c r="H40" s="15" t="n"/>
    </row>
    <row r="41">
      <c r="C41" s="6" t="inlineStr">
        <is>
          <t>Turbine supply incl. transport, EU route</t>
        </is>
      </c>
      <c r="D41" s="2" t="inlineStr">
        <is>
          <t>EUR k/MW</t>
        </is>
      </c>
      <c r="E41" s="7" t="n">
        <v>850</v>
      </c>
      <c r="H41" s="2" t="inlineStr">
        <is>
          <t>Bora Inputs G162 (Base)</t>
        </is>
      </c>
    </row>
    <row r="42">
      <c r="C42" s="6" t="inlineStr">
        <is>
          <t>Turbine supply incl. transport, CN route</t>
        </is>
      </c>
      <c r="D42" s="2" t="inlineStr">
        <is>
          <t>EUR k/MW</t>
        </is>
      </c>
      <c r="E42" s="7" t="n">
        <v>500</v>
      </c>
      <c r="H42" s="2" t="inlineStr">
        <is>
          <t>Bora Inputs H162 (High)</t>
        </is>
      </c>
    </row>
    <row r="43">
      <c r="C43" s="6" t="inlineStr">
        <is>
          <t>Turbine installation and erection</t>
        </is>
      </c>
      <c r="D43" s="2" t="inlineStr">
        <is>
          <t>EUR k/MW</t>
        </is>
      </c>
      <c r="E43" s="7" t="n">
        <v>80</v>
      </c>
      <c r="H43" s="2" t="inlineStr">
        <is>
          <t>Bora Inputs G163</t>
        </is>
      </c>
    </row>
    <row r="44">
      <c r="C44" s="6" t="inlineStr">
        <is>
          <t>Foundations</t>
        </is>
      </c>
      <c r="D44" s="2" t="inlineStr">
        <is>
          <t>EUR k/MW</t>
        </is>
      </c>
      <c r="E44" s="7" t="n">
        <v>90</v>
      </c>
      <c r="H44" s="2" t="inlineStr">
        <is>
          <t>Bora Inputs G164</t>
        </is>
      </c>
    </row>
    <row r="45">
      <c r="C45" s="6" t="inlineStr">
        <is>
          <t>Balance of plant – civil</t>
        </is>
      </c>
      <c r="D45" s="2" t="inlineStr">
        <is>
          <t>EUR k/MW</t>
        </is>
      </c>
      <c r="E45" s="7" t="n">
        <v>70</v>
      </c>
      <c r="H45" s="2" t="inlineStr">
        <is>
          <t>Bora Inputs G165</t>
        </is>
      </c>
    </row>
    <row r="46">
      <c r="C46" s="6" t="inlineStr">
        <is>
          <t>Balance of plant – electrical</t>
        </is>
      </c>
      <c r="D46" s="2" t="inlineStr">
        <is>
          <t>EUR k/MW</t>
        </is>
      </c>
      <c r="E46" s="7" t="n">
        <v>60</v>
      </c>
      <c r="H46" s="2" t="inlineStr">
        <is>
          <t>Bora Inputs G166</t>
        </is>
      </c>
    </row>
    <row r="47">
      <c r="C47" s="6" t="inlineStr">
        <is>
          <t>Owner's costs, engineering, PM, construction insurance</t>
        </is>
      </c>
      <c r="D47" s="2" t="inlineStr">
        <is>
          <t>EUR k/MW</t>
        </is>
      </c>
      <c r="E47" s="7" t="n">
        <v>40</v>
      </c>
      <c r="H47" s="2" t="inlineStr">
        <is>
          <t>Bora Inputs G169</t>
        </is>
      </c>
    </row>
    <row r="48">
      <c r="C48" s="6" t="inlineStr">
        <is>
          <t>Land purchase and easements</t>
        </is>
      </c>
      <c r="D48" s="2" t="inlineStr">
        <is>
          <t>EUR k/MW</t>
        </is>
      </c>
      <c r="E48" s="7" t="n">
        <v>15</v>
      </c>
      <c r="H48" s="2" t="inlineStr">
        <is>
          <t>Bora Inputs G170</t>
        </is>
      </c>
    </row>
    <row r="49">
      <c r="C49" s="6" t="inlineStr">
        <is>
          <t>On-site substation and 132 kV bay (lump sum)</t>
        </is>
      </c>
      <c r="D49" s="2" t="inlineStr">
        <is>
          <t>EUR k</t>
        </is>
      </c>
      <c r="E49" s="7" t="n">
        <v>12000</v>
      </c>
      <c r="H49" s="2" t="inlineStr">
        <is>
          <t>Bora Inputs G167</t>
        </is>
      </c>
    </row>
    <row r="50">
      <c r="C50" s="6" t="inlineStr">
        <is>
          <t>Source basis of the lump sums</t>
        </is>
      </c>
      <c r="D50" s="2" t="inlineStr">
        <is>
          <t>MVA</t>
        </is>
      </c>
      <c r="E50" s="7" t="n">
        <v>200</v>
      </c>
      <c r="H50" s="2" t="inlineStr">
        <is>
          <t>Bora Inputs E305</t>
        </is>
      </c>
    </row>
    <row r="51">
      <c r="C51" s="6" t="inlineStr">
        <is>
          <t>Capex contingency (not on BESS)</t>
        </is>
      </c>
      <c r="D51" s="2" t="inlineStr">
        <is>
          <t>%</t>
        </is>
      </c>
      <c r="E51" s="9" t="n">
        <v>0.05</v>
      </c>
      <c r="H51" s="2" t="inlineStr">
        <is>
          <t>Bora Inputs G173</t>
        </is>
      </c>
    </row>
    <row r="52">
      <c r="C52" s="6" t="inlineStr">
        <is>
          <t>BESS capex</t>
        </is>
      </c>
      <c r="D52" s="2" t="inlineStr">
        <is>
          <t>EUR k/MWh</t>
        </is>
      </c>
      <c r="E52" s="7" t="n">
        <v>100</v>
      </c>
      <c r="H52" s="2" t="inlineStr">
        <is>
          <t>CLAUDE.md standing assumption, 15-Oct-26</t>
        </is>
      </c>
    </row>
    <row r="53">
      <c r="C53" s="15" t="inlineStr">
        <is>
          <t>Generation and revenue (value in column E)</t>
        </is>
      </c>
      <c r="D53" s="15" t="n"/>
      <c r="E53" s="15" t="n"/>
      <c r="F53" s="15" t="n"/>
      <c r="G53" s="15" t="n"/>
      <c r="H53" s="15" t="n"/>
    </row>
    <row r="54">
      <c r="C54" s="6" t="inlineStr">
        <is>
          <t>Net P50 hours</t>
        </is>
      </c>
      <c r="D54" s="2" t="inlineStr">
        <is>
          <t>h/yr</t>
        </is>
      </c>
      <c r="E54" s="7" t="n">
        <v>2500</v>
      </c>
      <c r="H54" s="2" t="inlineStr">
        <is>
          <t>Bora Inputs G181 (Base)</t>
        </is>
      </c>
    </row>
    <row r="55">
      <c r="C55" s="6" t="inlineStr">
        <is>
          <t>Curtailment</t>
        </is>
      </c>
      <c r="D55" s="2" t="inlineStr">
        <is>
          <t>%</t>
        </is>
      </c>
      <c r="E55" s="9" t="n">
        <v>0.02</v>
      </c>
      <c r="H55" s="2" t="inlineStr">
        <is>
          <t>Bora Inputs G183</t>
        </is>
      </c>
    </row>
    <row r="56">
      <c r="C56" s="6" t="inlineStr">
        <is>
          <t>Clipping</t>
        </is>
      </c>
      <c r="D56" s="2" t="inlineStr">
        <is>
          <t>%</t>
        </is>
      </c>
      <c r="E56" s="9" t="n">
        <v>0.04</v>
      </c>
      <c r="H56" s="2" t="inlineStr">
        <is>
          <t>Bora Dash_Clip_Override (user, 26-Oct-26)</t>
        </is>
      </c>
    </row>
    <row r="57">
      <c r="C57" s="6" t="inlineStr">
        <is>
          <t>Degradation</t>
        </is>
      </c>
      <c r="D57" s="2" t="inlineStr">
        <is>
          <t>% p.a.</t>
        </is>
      </c>
      <c r="E57" s="9" t="n">
        <v>0.003</v>
      </c>
      <c r="H57" s="2" t="inlineStr">
        <is>
          <t>Bora Inputs G184</t>
        </is>
      </c>
    </row>
    <row r="58">
      <c r="C58" s="6" t="inlineStr">
        <is>
          <t>PPA price in the COD year</t>
        </is>
      </c>
      <c r="D58" s="2" t="inlineStr">
        <is>
          <t>EUR/MWh</t>
        </is>
      </c>
      <c r="E58" s="10" t="n">
        <v>90</v>
      </c>
      <c r="H58" s="2" t="inlineStr">
        <is>
          <t>Bora Inputs G193 (Base)</t>
        </is>
      </c>
    </row>
    <row r="59">
      <c r="C59" s="6" t="inlineStr">
        <is>
          <t>PPA escalation</t>
        </is>
      </c>
      <c r="D59" s="2" t="inlineStr">
        <is>
          <t>% p.a.</t>
        </is>
      </c>
      <c r="E59" s="9" t="n">
        <v>0.01</v>
      </c>
      <c r="H59" s="2" t="inlineStr">
        <is>
          <t>Bora Inputs G194</t>
        </is>
      </c>
    </row>
    <row r="60">
      <c r="C60" s="15" t="inlineStr">
        <is>
          <t>Opex (COD-year prices) (value in column E)</t>
        </is>
      </c>
      <c r="D60" s="15" t="n"/>
      <c r="E60" s="15" t="n"/>
      <c r="F60" s="15" t="n"/>
      <c r="G60" s="15" t="n"/>
      <c r="H60" s="15" t="n"/>
    </row>
    <row r="61">
      <c r="C61" s="6" t="inlineStr">
        <is>
          <t>O&amp;M full-service contract</t>
        </is>
      </c>
      <c r="D61" s="2" t="inlineStr">
        <is>
          <t>EUR k/MW/yr</t>
        </is>
      </c>
      <c r="E61" s="10" t="n">
        <v>12</v>
      </c>
      <c r="H61" s="2" t="inlineStr">
        <is>
          <t>Bora Inputs G203 (Base)</t>
        </is>
      </c>
    </row>
    <row r="62">
      <c r="C62" s="6" t="inlineStr">
        <is>
          <t>Balance of plant maintenance</t>
        </is>
      </c>
      <c r="D62" s="2" t="inlineStr">
        <is>
          <t>EUR k/MW/yr</t>
        </is>
      </c>
      <c r="E62" s="10" t="n">
        <v>3</v>
      </c>
      <c r="H62" s="2" t="inlineStr">
        <is>
          <t>Bora Inputs G204</t>
        </is>
      </c>
    </row>
    <row r="63">
      <c r="C63" s="6" t="inlineStr">
        <is>
          <t>Land lease</t>
        </is>
      </c>
      <c r="D63" s="2" t="inlineStr">
        <is>
          <t>EUR k/MW/yr</t>
        </is>
      </c>
      <c r="E63" s="10" t="n">
        <v>3</v>
      </c>
      <c r="H63" s="2" t="inlineStr">
        <is>
          <t>Bora Inputs G205</t>
        </is>
      </c>
    </row>
    <row r="64">
      <c r="C64" s="6" t="inlineStr">
        <is>
          <t>Operational insurance</t>
        </is>
      </c>
      <c r="D64" s="2" t="inlineStr">
        <is>
          <t>EUR k/MW/yr</t>
        </is>
      </c>
      <c r="E64" s="10" t="n">
        <v>2.5</v>
      </c>
      <c r="H64" s="2" t="inlineStr">
        <is>
          <t>Bora Inputs G206</t>
        </is>
      </c>
    </row>
    <row r="65">
      <c r="C65" s="6" t="inlineStr">
        <is>
          <t>Asset and commercial management</t>
        </is>
      </c>
      <c r="D65" s="2" t="inlineStr">
        <is>
          <t>EUR k/MW/yr</t>
        </is>
      </c>
      <c r="E65" s="10" t="n">
        <v>1.5</v>
      </c>
      <c r="H65" s="2" t="inlineStr">
        <is>
          <t>Bora Inputs G207</t>
        </is>
      </c>
    </row>
    <row r="66">
      <c r="C66" s="6" t="inlineStr">
        <is>
          <t>Property tax</t>
        </is>
      </c>
      <c r="D66" s="2" t="inlineStr">
        <is>
          <t>EUR k/MW/yr</t>
        </is>
      </c>
      <c r="E66" s="10" t="n">
        <v>3</v>
      </c>
      <c r="H66" s="2" t="inlineStr">
        <is>
          <t>Bora Inputs G208</t>
        </is>
      </c>
    </row>
    <row r="67">
      <c r="C67" s="6" t="inlineStr">
        <is>
          <t>Administration, audit, compliance (at the source basis)</t>
        </is>
      </c>
      <c r="D67" s="2" t="inlineStr">
        <is>
          <t>EUR k/yr</t>
        </is>
      </c>
      <c r="E67" s="7" t="n">
        <v>150</v>
      </c>
      <c r="H67" s="2" t="inlineStr">
        <is>
          <t>Bora Inputs G209</t>
        </is>
      </c>
    </row>
    <row r="68">
      <c r="C68" s="6" t="inlineStr">
        <is>
          <t>Balancing cost</t>
        </is>
      </c>
      <c r="D68" s="2" t="inlineStr">
        <is>
          <t>EUR/MWh</t>
        </is>
      </c>
      <c r="E68" s="10" t="n">
        <v>4</v>
      </c>
      <c r="H68" s="2" t="inlineStr">
        <is>
          <t>Bora Inputs G196</t>
        </is>
      </c>
    </row>
    <row r="69">
      <c r="C69" s="6" t="inlineStr">
        <is>
          <t>Grid use-of-system charges</t>
        </is>
      </c>
      <c r="D69" s="2" t="inlineStr">
        <is>
          <t>EUR/MWh</t>
        </is>
      </c>
      <c r="E69" s="10" t="n">
        <v>1</v>
      </c>
      <c r="H69" s="2" t="inlineStr">
        <is>
          <t>Bora Inputs G197</t>
        </is>
      </c>
    </row>
    <row r="70">
      <c r="C70" s="6" t="inlineStr">
        <is>
          <t>MEKH supervisory fee</t>
        </is>
      </c>
      <c r="D70" s="2" t="inlineStr">
        <is>
          <t>% of rev.</t>
        </is>
      </c>
      <c r="E70" s="9" t="n">
        <v>0.001</v>
      </c>
      <c r="H70" s="2" t="inlineStr">
        <is>
          <t>Bora Inputs G198</t>
        </is>
      </c>
    </row>
    <row r="71">
      <c r="C71" s="6" t="inlineStr">
        <is>
          <t>HIPA local business tax</t>
        </is>
      </c>
      <c r="D71" s="2" t="inlineStr">
        <is>
          <t>% of rev.</t>
        </is>
      </c>
      <c r="E71" s="9" t="n">
        <v>0.02</v>
      </c>
      <c r="H71" s="2" t="inlineStr">
        <is>
          <t>Bora Inputs G212</t>
        </is>
      </c>
    </row>
    <row r="72">
      <c r="C72" s="6" t="inlineStr">
        <is>
          <t>Opex contingency (not on community, HIPA)</t>
        </is>
      </c>
      <c r="D72" s="2" t="inlineStr">
        <is>
          <t>%</t>
        </is>
      </c>
      <c r="E72" s="9" t="n">
        <v>0.05</v>
      </c>
      <c r="H72" s="2" t="inlineStr">
        <is>
          <t>Bora Inputs G210</t>
        </is>
      </c>
    </row>
    <row r="73">
      <c r="C73" s="6" t="inlineStr">
        <is>
          <t>Opex escalation</t>
        </is>
      </c>
      <c r="D73" s="2" t="inlineStr">
        <is>
          <t>% p.a.</t>
        </is>
      </c>
      <c r="E73" s="9" t="n">
        <v>0.025</v>
      </c>
      <c r="H73" s="2" t="inlineStr">
        <is>
          <t>Bora Inputs G211</t>
        </is>
      </c>
    </row>
    <row r="74">
      <c r="C74" s="15" t="inlineStr">
        <is>
          <t>Valuation, timeline and constants (value in column E)</t>
        </is>
      </c>
      <c r="D74" s="15" t="n"/>
      <c r="E74" s="15" t="n"/>
      <c r="F74" s="15" t="n"/>
      <c r="G74" s="15" t="n"/>
      <c r="H74" s="15" t="n"/>
    </row>
    <row r="75">
      <c r="C75" s="6" t="inlineStr">
        <is>
          <t>Operating life from COD</t>
        </is>
      </c>
      <c r="D75" s="2" t="inlineStr">
        <is>
          <t>years</t>
        </is>
      </c>
      <c r="E75" s="11" t="n">
        <v>30</v>
      </c>
      <c r="H75" s="2" t="inlineStr">
        <is>
          <t>Bora Inputs G157</t>
        </is>
      </c>
    </row>
    <row r="76">
      <c r="C76" s="6" t="inlineStr">
        <is>
          <t>Discount rate (buyer's pre-tax return at COD)</t>
        </is>
      </c>
      <c r="D76" s="2" t="inlineStr">
        <is>
          <t>%</t>
        </is>
      </c>
      <c r="E76" s="9" t="n">
        <v>0.08</v>
      </c>
      <c r="H76" s="2" t="inlineStr">
        <is>
          <t>Bora Inputs G226</t>
        </is>
      </c>
    </row>
    <row r="77">
      <c r="C77" s="6" t="inlineStr">
        <is>
          <t>First year of the annual timeline</t>
        </is>
      </c>
      <c r="D77" s="2" t="inlineStr">
        <is>
          <t>year</t>
        </is>
      </c>
      <c r="E77" s="11" t="n">
        <v>2026</v>
      </c>
      <c r="H77" s="2" t="inlineStr">
        <is>
          <t>Year of the first signing</t>
        </is>
      </c>
    </row>
    <row r="78">
      <c r="C78" s="6" t="inlineStr">
        <is>
          <t>Thousand</t>
        </is>
      </c>
      <c r="D78" s="2" t="inlineStr">
        <is>
          <t>x</t>
        </is>
      </c>
      <c r="E78" s="7" t="n">
        <v>1000</v>
      </c>
      <c r="H78" s="2" t="inlineStr">
        <is>
          <t>Constant</t>
        </is>
      </c>
    </row>
    <row r="79">
      <c r="C79" s="6" t="inlineStr">
        <is>
          <t>Days in a year (act/365)</t>
        </is>
      </c>
      <c r="D79" s="2" t="inlineStr">
        <is>
          <t>days</t>
        </is>
      </c>
      <c r="E79" s="11" t="n">
        <v>365</v>
      </c>
      <c r="H79" s="2" t="inlineStr">
        <is>
          <t>Constant</t>
        </is>
      </c>
    </row>
    <row r="80">
      <c r="C80" s="6" t="inlineStr">
        <is>
          <t>Months in a year</t>
        </is>
      </c>
      <c r="D80" s="2" t="inlineStr">
        <is>
          <t>months</t>
        </is>
      </c>
      <c r="E80" s="11" t="n">
        <v>12</v>
      </c>
      <c r="H80" s="2" t="inlineStr">
        <is>
          <t>Constant</t>
        </is>
      </c>
    </row>
    <row r="81">
      <c r="C81" s="6" t="inlineStr">
        <is>
          <t>Check tolerance</t>
        </is>
      </c>
      <c r="D81" s="2" t="inlineStr">
        <is>
          <t>EUR k</t>
        </is>
      </c>
      <c r="E81" s="31" t="n">
        <v>0.001</v>
      </c>
      <c r="H81" s="2" t="inlineStr">
        <is>
          <t>Constant</t>
        </is>
      </c>
    </row>
    <row r="83">
      <c r="B83" s="4" t="inlineStr">
        <is>
          <t>x</t>
        </is>
      </c>
      <c r="C83" s="4" t="inlineStr">
        <is>
          <t>Band tables for the points (ÖSZ, Kiírás Annex 4)</t>
        </is>
      </c>
      <c r="D83" s="4" t="n"/>
      <c r="E83" s="5" t="inlineStr">
        <is>
          <t>Values →</t>
        </is>
      </c>
      <c r="F83" s="5" t="n"/>
      <c r="G83" s="5" t="n"/>
      <c r="H83" s="5" t="n"/>
    </row>
    <row r="84">
      <c r="C84" s="6" t="inlineStr">
        <is>
          <t>Osz1_LB</t>
        </is>
      </c>
      <c r="E84" s="13" t="n">
        <v>10</v>
      </c>
      <c r="F84" s="13" t="n">
        <v>15</v>
      </c>
      <c r="G84" s="13" t="n">
        <v>20</v>
      </c>
      <c r="H84" s="13" t="n">
        <v>25</v>
      </c>
      <c r="I84" s="13" t="n">
        <v>30</v>
      </c>
      <c r="J84" s="13" t="n">
        <v>35</v>
      </c>
      <c r="K84" s="13" t="n">
        <v>40</v>
      </c>
      <c r="L84" s="13" t="n">
        <v>45</v>
      </c>
      <c r="M84" s="13" t="n">
        <v>50</v>
      </c>
    </row>
    <row r="85">
      <c r="C85" s="6" t="inlineStr">
        <is>
          <t>Osz1_Incl</t>
        </is>
      </c>
      <c r="E85" s="13" t="n">
        <v>0</v>
      </c>
      <c r="F85" s="13" t="n">
        <v>0</v>
      </c>
      <c r="G85" s="13" t="n">
        <v>0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1</v>
      </c>
    </row>
    <row r="86">
      <c r="C86" s="6" t="inlineStr">
        <is>
          <t>Osz1_Pts</t>
        </is>
      </c>
      <c r="E86" s="13" t="n">
        <v>0</v>
      </c>
      <c r="F86" s="13" t="n">
        <v>10</v>
      </c>
      <c r="G86" s="13" t="n">
        <v>20</v>
      </c>
      <c r="H86" s="13" t="n">
        <v>30</v>
      </c>
      <c r="I86" s="13" t="n">
        <v>40</v>
      </c>
      <c r="J86" s="13" t="n">
        <v>55</v>
      </c>
      <c r="K86" s="13" t="n">
        <v>70</v>
      </c>
      <c r="L86" s="13" t="n">
        <v>80</v>
      </c>
      <c r="M86" s="13" t="n">
        <v>90</v>
      </c>
      <c r="N86" s="13" t="n">
        <v>100</v>
      </c>
    </row>
    <row r="87">
      <c r="C87" s="6" t="inlineStr">
        <is>
          <t>Osz2_LB</t>
        </is>
      </c>
      <c r="E87" s="13" t="n">
        <v>2</v>
      </c>
      <c r="F87" s="13" t="n">
        <v>2.1</v>
      </c>
      <c r="G87" s="13" t="n">
        <v>2.2</v>
      </c>
      <c r="H87" s="13" t="n">
        <v>2.3</v>
      </c>
      <c r="I87" s="13" t="n">
        <v>2.4</v>
      </c>
      <c r="J87" s="13" t="n">
        <v>2.5</v>
      </c>
      <c r="K87" s="13" t="n">
        <v>2.6</v>
      </c>
      <c r="L87" s="13" t="n">
        <v>2.7</v>
      </c>
      <c r="M87" s="13" t="n">
        <v>2.8</v>
      </c>
      <c r="N87" s="13" t="n">
        <v>2.9</v>
      </c>
      <c r="O87" s="13" t="n">
        <v>3</v>
      </c>
    </row>
    <row r="88">
      <c r="C88" s="6" t="inlineStr">
        <is>
          <t>Osz2_Incl</t>
        </is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1</v>
      </c>
    </row>
    <row r="89">
      <c r="C89" s="6" t="inlineStr">
        <is>
          <t>Osz2_Pts</t>
        </is>
      </c>
      <c r="E89" s="13" t="n">
        <v>0</v>
      </c>
      <c r="F89" s="13" t="n">
        <v>5</v>
      </c>
      <c r="G89" s="13" t="n">
        <v>10</v>
      </c>
      <c r="H89" s="13" t="n">
        <v>20</v>
      </c>
      <c r="I89" s="13" t="n">
        <v>30</v>
      </c>
      <c r="J89" s="13" t="n">
        <v>40</v>
      </c>
      <c r="K89" s="13" t="n">
        <v>50</v>
      </c>
      <c r="L89" s="13" t="n">
        <v>60</v>
      </c>
      <c r="M89" s="13" t="n">
        <v>70</v>
      </c>
      <c r="N89" s="13" t="n">
        <v>80</v>
      </c>
      <c r="O89" s="13" t="n">
        <v>90</v>
      </c>
      <c r="P89" s="13" t="n">
        <v>100</v>
      </c>
    </row>
    <row r="90">
      <c r="C90" s="6" t="inlineStr">
        <is>
          <t>Osz3_LB</t>
        </is>
      </c>
      <c r="E90" s="13" t="n">
        <v>0.02</v>
      </c>
      <c r="F90" s="13" t="n">
        <v>0.05</v>
      </c>
      <c r="G90" s="13" t="n">
        <v>0.1</v>
      </c>
      <c r="H90" s="13" t="n">
        <v>0.15</v>
      </c>
      <c r="I90" s="13" t="n">
        <v>0.2</v>
      </c>
      <c r="J90" s="13" t="n">
        <v>0.25</v>
      </c>
      <c r="K90" s="13" t="n">
        <v>0.3</v>
      </c>
      <c r="L90" s="13" t="n">
        <v>0.35</v>
      </c>
      <c r="M90" s="13" t="n">
        <v>0.4</v>
      </c>
      <c r="N90" s="13" t="n">
        <v>0.5</v>
      </c>
    </row>
    <row r="91">
      <c r="C91" s="6" t="inlineStr">
        <is>
          <t>Osz3_Incl</t>
        </is>
      </c>
      <c r="E91" s="13" t="n">
        <v>0</v>
      </c>
      <c r="F91" s="13" t="n">
        <v>1</v>
      </c>
      <c r="G91" s="13" t="n">
        <v>1</v>
      </c>
      <c r="H91" s="13" t="n">
        <v>1</v>
      </c>
      <c r="I91" s="13" t="n">
        <v>1</v>
      </c>
      <c r="J91" s="13" t="n">
        <v>1</v>
      </c>
      <c r="K91" s="13" t="n">
        <v>1</v>
      </c>
      <c r="L91" s="13" t="n">
        <v>1</v>
      </c>
      <c r="M91" s="13" t="n">
        <v>1</v>
      </c>
      <c r="N91" s="13" t="n">
        <v>0</v>
      </c>
    </row>
    <row r="92">
      <c r="C92" s="6" t="inlineStr">
        <is>
          <t>Osz3_Pts</t>
        </is>
      </c>
      <c r="E92" s="13" t="n">
        <v>0</v>
      </c>
      <c r="F92" s="13" t="n">
        <v>10</v>
      </c>
      <c r="G92" s="13" t="n">
        <v>20</v>
      </c>
      <c r="H92" s="13" t="n">
        <v>30</v>
      </c>
      <c r="I92" s="13" t="n">
        <v>40</v>
      </c>
      <c r="J92" s="13" t="n">
        <v>50</v>
      </c>
      <c r="K92" s="13" t="n">
        <v>60</v>
      </c>
      <c r="L92" s="13" t="n">
        <v>70</v>
      </c>
      <c r="M92" s="13" t="n">
        <v>80</v>
      </c>
      <c r="N92" s="13" t="n">
        <v>90</v>
      </c>
      <c r="O92" s="13" t="n">
        <v>100</v>
      </c>
    </row>
    <row r="93">
      <c r="C93" s="6" t="inlineStr">
        <is>
          <t>Osz6_LB</t>
        </is>
      </c>
      <c r="E93" s="13" t="n">
        <v>1</v>
      </c>
      <c r="F93" s="13" t="n">
        <v>1.2</v>
      </c>
      <c r="G93" s="13" t="n">
        <v>1.3</v>
      </c>
      <c r="H93" s="13" t="n">
        <v>1.4</v>
      </c>
      <c r="I93" s="13" t="n">
        <v>1.5</v>
      </c>
      <c r="J93" s="13" t="n">
        <v>1.6</v>
      </c>
      <c r="K93" s="13" t="n">
        <v>1.7</v>
      </c>
      <c r="L93" s="13" t="n">
        <v>1.8</v>
      </c>
      <c r="M93" s="13" t="n">
        <v>1.9</v>
      </c>
      <c r="N93" s="13" t="n">
        <v>2</v>
      </c>
    </row>
    <row r="94">
      <c r="C94" s="6" t="inlineStr">
        <is>
          <t>Osz6_Incl</t>
        </is>
      </c>
      <c r="E94" s="13" t="n">
        <v>0</v>
      </c>
      <c r="F94" s="13" t="n">
        <v>1</v>
      </c>
      <c r="G94" s="13" t="n">
        <v>1</v>
      </c>
      <c r="H94" s="13" t="n">
        <v>1</v>
      </c>
      <c r="I94" s="13" t="n">
        <v>1</v>
      </c>
      <c r="J94" s="13" t="n">
        <v>1</v>
      </c>
      <c r="K94" s="13" t="n">
        <v>1</v>
      </c>
      <c r="L94" s="13" t="n">
        <v>1</v>
      </c>
      <c r="M94" s="13" t="n">
        <v>1</v>
      </c>
      <c r="N94" s="13" t="n">
        <v>1</v>
      </c>
    </row>
    <row r="95">
      <c r="C95" s="6" t="inlineStr">
        <is>
          <t>Osz6_Pts</t>
        </is>
      </c>
      <c r="E95" s="13" t="n">
        <v>0</v>
      </c>
      <c r="F95" s="13" t="n">
        <v>10</v>
      </c>
      <c r="G95" s="13" t="n">
        <v>20</v>
      </c>
      <c r="H95" s="13" t="n">
        <v>30</v>
      </c>
      <c r="I95" s="13" t="n">
        <v>40</v>
      </c>
      <c r="J95" s="13" t="n">
        <v>50</v>
      </c>
      <c r="K95" s="13" t="n">
        <v>60</v>
      </c>
      <c r="L95" s="13" t="n">
        <v>70</v>
      </c>
      <c r="M95" s="13" t="n">
        <v>80</v>
      </c>
      <c r="N95" s="13" t="n">
        <v>90</v>
      </c>
      <c r="O95" s="13" t="n">
        <v>100</v>
      </c>
    </row>
    <row r="96">
      <c r="C96" s="6" t="inlineStr">
        <is>
          <t>Osz5_Pts</t>
        </is>
      </c>
      <c r="E96" s="13" t="n">
        <v>100</v>
      </c>
    </row>
    <row r="97">
      <c r="C97" s="6" t="inlineStr">
        <is>
          <t>Osz7_Pts</t>
        </is>
      </c>
      <c r="E97" s="13" t="n">
        <v>100</v>
      </c>
    </row>
    <row r="98">
      <c r="C98" s="6" t="inlineStr">
        <is>
          <t>Osz8_Pts</t>
        </is>
      </c>
      <c r="E98" s="13" t="n">
        <v>100</v>
      </c>
    </row>
    <row r="99">
      <c r="C99" s="6" t="inlineStr">
        <is>
          <t>Osz9a_Pts</t>
        </is>
      </c>
      <c r="E99" s="13" t="n">
        <v>80</v>
      </c>
    </row>
    <row r="100">
      <c r="C100" s="6" t="inlineStr">
        <is>
          <t>Osz9b_Pts</t>
        </is>
      </c>
      <c r="E100" s="13" t="n">
        <v>20</v>
      </c>
    </row>
    <row r="101">
      <c r="C101" s="6" t="inlineStr">
        <is>
          <t>Osz1_W</t>
        </is>
      </c>
      <c r="E101" s="13" t="n">
        <v>0.2</v>
      </c>
    </row>
    <row r="102">
      <c r="C102" s="6" t="inlineStr">
        <is>
          <t>Osz2_W</t>
        </is>
      </c>
      <c r="E102" s="13" t="n">
        <v>0.15</v>
      </c>
    </row>
    <row r="103">
      <c r="C103" s="6" t="inlineStr">
        <is>
          <t>Osz3_W</t>
        </is>
      </c>
      <c r="E103" s="13" t="n">
        <v>0.1</v>
      </c>
    </row>
    <row r="104">
      <c r="C104" s="6" t="inlineStr">
        <is>
          <t>Osz4_W</t>
        </is>
      </c>
      <c r="E104" s="13" t="n">
        <v>0.15</v>
      </c>
    </row>
    <row r="105">
      <c r="C105" s="6" t="inlineStr">
        <is>
          <t>Osz5_W</t>
        </is>
      </c>
      <c r="E105" s="13" t="n">
        <v>0.05</v>
      </c>
    </row>
    <row r="106">
      <c r="C106" s="6" t="inlineStr">
        <is>
          <t>Osz6_W</t>
        </is>
      </c>
      <c r="E106" s="13" t="n">
        <v>0.05</v>
      </c>
    </row>
    <row r="107">
      <c r="C107" s="6" t="inlineStr">
        <is>
          <t>Osz7_W</t>
        </is>
      </c>
      <c r="E107" s="13" t="n">
        <v>0.1</v>
      </c>
    </row>
    <row r="108">
      <c r="C108" s="6" t="inlineStr">
        <is>
          <t>Osz8_W</t>
        </is>
      </c>
      <c r="E108" s="13" t="n">
        <v>0.05</v>
      </c>
    </row>
    <row r="109">
      <c r="C109" s="6" t="inlineStr">
        <is>
          <t>Osz9_W</t>
        </is>
      </c>
      <c r="E109" s="13" t="n">
        <v>0.15</v>
      </c>
    </row>
    <row r="111">
      <c r="C111" s="29" t="inlineStr">
        <is>
          <t>***END***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2026-10-27T15:05:38Z</dcterms:created>
  <dcterms:modified xmlns:dcterms="http://purl.org/dc/terms/" xmlns:xsi="http://www.w3.org/2001/XMLSchema-instance" xsi:type="dcterms:W3CDTF">2026-10-27T15:05:39Z</dcterms:modified>
</cp:coreProperties>
</file>