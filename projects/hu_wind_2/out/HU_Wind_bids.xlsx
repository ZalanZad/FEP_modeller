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</sheets>
  <definedNames>
    <definedName name="FX">Inputs!$E$6</definedName>
    <definedName name="Bench_Wind">Inputs!$E$7</definedName>
    <definedName name="Bench_BESS">Inputs!$E$8</definedName>
    <definedName name="Bid_Sec_Rate">Inputs!$E$9</definedName>
    <definedName name="PB_Rate">Inputs!$E$10</definedName>
    <definedName name="Part_Fee">Inputs!$E$11</definedName>
    <definedName name="TSO_Rate">Inputs!$E$12</definedName>
    <definedName name="Date_Sign">Inputs!$E$27</definedName>
    <definedName name="Date_Bid">Inputs!$E$28</definedName>
    <definedName name="Date_PB">Inputs!$E$29</definedName>
    <definedName name="Date_TSO">Inputs!$E$30</definedName>
    <definedName name="Date_Devex">Inputs!$E$31</definedName>
    <definedName name="Date_HC">Inputs!$E$32</definedName>
    <definedName name="Date_NTP">Inputs!$E$33</definedName>
    <definedName name="Date_COD">Inputs!$E$34</definedName>
    <definedName name="Date_Release">Inputs!$E$35</definedName>
    <definedName name="Rate_Cash">Inputs!$E$37</definedName>
    <definedName name="Rate_Devex">Inputs!$E$38</definedName>
    <definedName name="Devex_Floor">Inputs!$E$39</definedName>
    <definedName name="Freeze_Date">Inputs!$E$40</definedName>
    <definedName name="Sale_Date">Inputs!$E$41</definedName>
    <definedName name="Sale_Costs">Inputs!$E$42</definedName>
    <definedName name="DSA_Rate">Inputs!$E$43</definedName>
    <definedName name="DSA_Cap">Inputs!$E$44</definedName>
    <definedName name="CIT_Rate">Inputs!$E$45</definedName>
    <definedName name="Capex_Install">Inputs!$E$47</definedName>
    <definedName name="Capex_Fdn">Inputs!$E$48</definedName>
    <definedName name="Capex_Civil">Inputs!$E$49</definedName>
    <definedName name="Capex_Elec">Inputs!$E$50</definedName>
    <definedName name="Capex_Owner">Inputs!$E$51</definedName>
    <definedName name="Capex_Land">Inputs!$E$52</definedName>
    <definedName name="Subs_Lump">Inputs!$E$53</definedName>
    <definedName name="Lump_Basis">Inputs!$E$54</definedName>
    <definedName name="Capex_Cont">Inputs!$E$55</definedName>
    <definedName name="BESS_Capex">Inputs!$E$56</definedName>
    <definedName name="Curtailment">Inputs!$E$58</definedName>
    <definedName name="Clipping">Inputs!$E$59</definedName>
    <definedName name="Degradation">Inputs!$E$60</definedName>
    <definedName name="PPA_Esc">Inputs!$E$61</definedName>
    <definedName name="Opex_BoP">Inputs!$E$63</definedName>
    <definedName name="Opex_Lease">Inputs!$E$64</definedName>
    <definedName name="Opex_Ins">Inputs!$E$65</definedName>
    <definedName name="Opex_Mgmt">Inputs!$E$66</definedName>
    <definedName name="Opex_PropTax">Inputs!$E$67</definedName>
    <definedName name="Opex_Admin">Inputs!$E$68</definedName>
    <definedName name="Balancing">Inputs!$E$69</definedName>
    <definedName name="Grid_Charges">Inputs!$E$70</definedName>
    <definedName name="MEKH_Fee">Inputs!$E$71</definedName>
    <definedName name="HIPA_Rate">Inputs!$E$72</definedName>
    <definedName name="Opex_Cont">Inputs!$E$73</definedName>
    <definedName name="Opex_Esc">Inputs!$E$74</definedName>
    <definedName name="Life">Inputs!$E$76</definedName>
    <definedName name="Discount_Rate">Inputs!$E$77</definedName>
    <definedName name="First_Year">Inputs!$E$78</definedName>
    <definedName name="Thousand">Inputs!$E$79</definedName>
    <definedName name="Days_In_Year">Inputs!$E$80</definedName>
    <definedName name="Months_In_Year">Inputs!$E$81</definedName>
    <definedName name="Tolerance">Inputs!$E$82</definedName>
    <definedName name="Opex_Per_MW">Inputs!$E$63:$E$67</definedName>
    <definedName name="Osz1_LB">Inputs!$E$85:$M$85</definedName>
    <definedName name="Osz1_Incl">Inputs!$E$86:$M$86</definedName>
    <definedName name="Osz1_Pts">Inputs!$E$87:$N$87</definedName>
    <definedName name="Osz2_LB">Inputs!$E$88:$O$88</definedName>
    <definedName name="Osz2_Incl">Inputs!$E$89:$O$89</definedName>
    <definedName name="Osz2_Pts">Inputs!$E$90:$P$90</definedName>
    <definedName name="Osz3_LB">Inputs!$E$91:$N$91</definedName>
    <definedName name="Osz3_Incl">Inputs!$E$92:$N$92</definedName>
    <definedName name="Osz3_Pts">Inputs!$E$93:$O$93</definedName>
    <definedName name="Osz6_LB">Inputs!$E$94:$N$94</definedName>
    <definedName name="Osz6_Incl">Inputs!$E$95:$N$95</definedName>
    <definedName name="Osz6_Pts">Inputs!$E$96:$O$96</definedName>
    <definedName name="Osz5_Pts">Inputs!$E$97</definedName>
    <definedName name="Osz7_Pts">Inputs!$E$98</definedName>
    <definedName name="Osz8_Pts">Inputs!$E$99</definedName>
    <definedName name="Osz9a_Pts">Inputs!$E$100</definedName>
    <definedName name="Osz9b_Pts">Inputs!$E$101</definedName>
    <definedName name="Osz1_W">Inputs!$E$102</definedName>
    <definedName name="Osz2_W">Inputs!$E$103</definedName>
    <definedName name="Osz3_W">Inputs!$E$104</definedName>
    <definedName name="Osz4_W">Inputs!$E$105</definedName>
    <definedName name="Osz5_W">Inputs!$E$106</definedName>
    <definedName name="Osz6_W">Inputs!$E$107</definedName>
    <definedName name="Osz7_W">Inputs!$E$108</definedName>
    <definedName name="Osz8_W">Inputs!$E$109</definedName>
    <definedName name="Osz9_W">Inputs!$E$110</definedName>
    <definedName name="Dash_MVA">Dashboard!$E$6:$G$6</definedName>
    <definedName name="Dash_Overbuild">Dashboard!$E$7:$G$7</definedName>
    <definedName name="Dash_BESS_Share">Dashboard!$E$8:$G$8</definedName>
    <definedName name="Dash_Hours">Dashboard!$E$9:$G$9</definedName>
    <definedName name="Dash_Shortfall">Dashboard!$E$10:$G$10</definedName>
    <definedName name="Dash_Municipal">Dashboard!$E$11:$G$11</definedName>
    <definedName name="Dash_Community">Dashboard!$E$12:$G$12</definedName>
    <definedName name="Dash_Partial">Dashboard!$E$13:$G$13</definedName>
    <definedName name="Dash_PB_Mult">Dashboard!$E$14:$G$14</definedName>
    <definedName name="Dash_Brownfield">Dashboard!$E$15:$G$15</definedName>
    <definedName name="Dash_Shared">Dashboard!$E$16:$G$16</definedName>
    <definedName name="Dash_Turbine">Dashboard!$E$17:$G$17</definedName>
    <definedName name="Dash_Premium">Dashboard!$E$18:$G$18</definedName>
    <definedName name="Dash_FEP_Share">Dashboard!$E$19:$G$19</definedName>
    <definedName name="Dash_DSA">Dashboard!$E$20:$G$20</definedName>
    <definedName name="Dash_Case">Dashboard!$H$23</definedName>
    <definedName name="Dash_Case_EU">Dashboard!$E$24:$G$24</definedName>
    <definedName name="Case_EU">Dashboard!$H$24</definedName>
    <definedName name="Dash_Case_CN">Dashboard!$E$25:$G$25</definedName>
    <definedName name="Case_CN">Dashboard!$H$25</definedName>
    <definedName name="Dash_Case_PPA">Dashboard!$E$26:$G$26</definedName>
    <definedName name="Case_PPA">Dashboard!$H$26</definedName>
    <definedName name="Dash_Case_P50">Dashboard!$E$27:$G$27</definedName>
    <definedName name="Case_P50">Dashboard!$H$27</definedName>
    <definedName name="Dash_Case_OM">Dashboard!$E$28:$G$28</definedName>
    <definedName name="Case_OM">Dashboard!$H$28</definedName>
    <definedName name="Master_Check">Dashboard!$H$316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;(#,##0);&quot;–&quot;"/>
    <numFmt numFmtId="165" formatCode="0.0%;(0.0%);&quot;–&quot;"/>
    <numFmt numFmtId="166" formatCode="#,##0.0;(#,##0.0);&quot;–&quot;"/>
    <numFmt numFmtId="167" formatCode="yyyy-mm-dd h:mm:ss"/>
    <numFmt numFmtId="168" formatCode="dd-mmm-yy"/>
    <numFmt numFmtId="169" formatCode="0.00&quot;x&quot;"/>
    <numFmt numFmtId="170" formatCode="0.000"/>
    <numFmt numFmtId="171" formatCode="0.0000"/>
    <numFmt numFmtId="172" formatCode="0.0&quot; yrs&quot;"/>
    <numFmt numFmtId="173" formatCode="0;-0;&quot;–&quot;"/>
    <numFmt numFmtId="174" formatCode="0.000;(0.000);&quot;–&quot;"/>
    <numFmt numFmtId="175" formatCode="&quot;CHECK&quot; 0;&quot;CHECK&quot; -0;&quot;OK&quot;"/>
  </numFmts>
  <fonts count="8">
    <font>
      <name val="Calibri"/>
      <family val="2"/>
      <color theme="1"/>
      <sz val="11"/>
      <scheme val="minor"/>
    </font>
    <font>
      <name val="Aptos Narrow"/>
      <b val="1"/>
      <color rgb="00000000"/>
      <sz val="10"/>
    </font>
    <font>
      <name val="Aptos Narrow"/>
      <b val="1"/>
      <color rgb="00FFFFFF"/>
      <sz val="10"/>
    </font>
    <font>
      <name val="Aptos Narrow"/>
      <b val="1"/>
      <color rgb="003C3C3B"/>
      <sz val="10"/>
    </font>
    <font>
      <name val="Aptos Narrow"/>
      <color rgb="00000000"/>
      <sz val="10"/>
    </font>
    <font>
      <name val="Aptos Narrow"/>
      <i val="1"/>
      <color rgb="00808080"/>
      <sz val="10"/>
    </font>
    <font>
      <name val="Aptos Narrow"/>
      <color rgb="000000FF"/>
      <sz val="10"/>
    </font>
    <font>
      <name val="Aptos Narrow"/>
      <b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00563C"/>
      </patternFill>
    </fill>
    <fill>
      <patternFill patternType="solid">
        <fgColor rgb="00E6F4EC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175" fontId="1" fillId="0" borderId="0" applyAlignment="1" pivotButton="0" quotePrefix="0" xfId="0">
      <alignment horizontal="right"/>
    </xf>
    <xf numFmtId="0" fontId="2" fillId="2" borderId="0" pivotButton="0" quotePrefix="0" xfId="0"/>
    <xf numFmtId="0" fontId="2" fillId="2" borderId="0" applyAlignment="1" pivotButton="0" quotePrefix="0" xfId="0">
      <alignment horizontal="right"/>
    </xf>
    <xf numFmtId="0" fontId="4" fillId="0" borderId="0" pivotButton="0" quotePrefix="0" xfId="0"/>
    <xf numFmtId="164" fontId="6" fillId="4" borderId="1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166" fontId="6" fillId="4" borderId="1" applyAlignment="1" pivotButton="0" quotePrefix="0" xfId="0">
      <alignment horizontal="right"/>
    </xf>
    <xf numFmtId="1" fontId="6" fillId="4" borderId="1" applyAlignment="1" pivotButton="0" quotePrefix="0" xfId="0">
      <alignment horizontal="right"/>
    </xf>
    <xf numFmtId="169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164" fontId="1" fillId="0" borderId="0" applyAlignment="1" pivotButton="0" quotePrefix="0" xfId="0">
      <alignment horizontal="right"/>
    </xf>
    <xf numFmtId="166" fontId="1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6" fontId="1" fillId="0" borderId="2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4" fontId="1" fillId="0" borderId="2" applyAlignment="1" pivotButton="0" quotePrefix="0" xfId="0">
      <alignment horizontal="right"/>
    </xf>
    <xf numFmtId="0" fontId="3" fillId="3" borderId="0" pivotButton="0" quotePrefix="0" xfId="0"/>
    <xf numFmtId="0" fontId="3" fillId="3" borderId="0" applyAlignment="1" pivotButton="0" quotePrefix="0" xfId="0">
      <alignment horizontal="right"/>
    </xf>
    <xf numFmtId="169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1" fontId="1" fillId="0" borderId="0" applyAlignment="1" pivotButton="0" quotePrefix="0" xfId="0">
      <alignment horizontal="right"/>
    </xf>
    <xf numFmtId="171" fontId="4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1" fillId="0" borderId="2" applyAlignment="1" pivotButton="0" quotePrefix="0" xfId="0">
      <alignment horizontal="right"/>
    </xf>
    <xf numFmtId="0" fontId="7" fillId="0" borderId="0" pivotButton="0" quotePrefix="0" xfId="0"/>
    <xf numFmtId="168" fontId="6" fillId="4" borderId="1" applyAlignment="1" pivotButton="0" quotePrefix="0" xfId="0">
      <alignment horizontal="right"/>
    </xf>
    <xf numFmtId="170" fontId="6" fillId="4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00B050"/>
      </font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B2:AX318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</cols>
  <sheetData>
    <row r="2">
      <c r="C2" s="1" t="inlineStr">
        <is>
          <t>HU wind bids: Bora (one 50 MVA low bid), Iváncsa, Dunaújváros – RtB exit, COD exit, hold</t>
        </is>
      </c>
    </row>
    <row r="3">
      <c r="C3" s="1" t="inlineStr">
        <is>
          <t>Master check (0 = OK; checks at the end of the detail)</t>
        </is>
      </c>
      <c r="D3" s="2" t="inlineStr">
        <is>
          <t>flag</t>
        </is>
      </c>
      <c r="H3" s="3">
        <f>Master_Check</f>
        <v/>
      </c>
    </row>
    <row r="5">
      <c r="B5" s="4" t="inlineStr">
        <is>
          <t>x</t>
        </is>
      </c>
      <c r="C5" s="4" t="inlineStr">
        <is>
          <t>Key inputs: the bids</t>
        </is>
      </c>
      <c r="D5" s="4" t="n"/>
      <c r="E5" s="5" t="inlineStr">
        <is>
          <t>Bora</t>
        </is>
      </c>
      <c r="F5" s="5" t="inlineStr">
        <is>
          <t>Iváncsa</t>
        </is>
      </c>
      <c r="G5" s="5" t="inlineStr">
        <is>
          <t>Dunaújváros</t>
        </is>
      </c>
      <c r="H5" s="5" t="inlineStr">
        <is>
          <t>Total</t>
        </is>
      </c>
    </row>
    <row r="6">
      <c r="C6" s="6" t="inlineStr">
        <is>
          <t>Net connection capacity</t>
        </is>
      </c>
      <c r="D6" s="2" t="inlineStr">
        <is>
          <t>MVA</t>
        </is>
      </c>
      <c r="E6" s="7" t="n">
        <v>50</v>
      </c>
      <c r="F6" s="7" t="n">
        <v>50</v>
      </c>
      <c r="G6" s="7" t="n">
        <v>50</v>
      </c>
      <c r="H6" s="8">
        <f>SUM(E6:G6)</f>
        <v/>
      </c>
    </row>
    <row r="7">
      <c r="C7" s="6" t="inlineStr">
        <is>
          <t>Overbuild (ÖSZ-3)</t>
        </is>
      </c>
      <c r="D7" s="2" t="inlineStr">
        <is>
          <t>%</t>
        </is>
      </c>
      <c r="E7" s="9" t="n">
        <v>0.2</v>
      </c>
      <c r="F7" s="9" t="n">
        <v>0.4</v>
      </c>
      <c r="G7" s="9" t="n">
        <v>0.4</v>
      </c>
    </row>
    <row r="8">
      <c r="C8" s="6" t="inlineStr">
        <is>
          <t>BESS power, share of MVA (ÖSZ-4)</t>
        </is>
      </c>
      <c r="D8" s="2" t="inlineStr">
        <is>
          <t>%</t>
        </is>
      </c>
      <c r="E8" s="9" t="n">
        <v>0.1</v>
      </c>
      <c r="F8" s="9" t="n">
        <v>0.2</v>
      </c>
      <c r="G8" s="9" t="n">
        <v>0.2</v>
      </c>
    </row>
    <row r="9">
      <c r="C9" s="6" t="inlineStr">
        <is>
          <t>BESS duration</t>
        </is>
      </c>
      <c r="D9" s="2" t="inlineStr">
        <is>
          <t>h</t>
        </is>
      </c>
      <c r="E9" s="7" t="n">
        <v>4</v>
      </c>
      <c r="F9" s="7" t="n">
        <v>4</v>
      </c>
      <c r="G9" s="7" t="n">
        <v>4</v>
      </c>
    </row>
    <row r="10">
      <c r="C10" s="6" t="inlineStr">
        <is>
          <t>Wind built below the bid</t>
        </is>
      </c>
      <c r="D10" s="2" t="inlineStr">
        <is>
          <t>%</t>
        </is>
      </c>
      <c r="E10" s="9" t="n">
        <v>0.1</v>
      </c>
      <c r="F10" s="9" t="n">
        <v>0.1</v>
      </c>
      <c r="G10" s="9" t="n">
        <v>0.1</v>
      </c>
    </row>
    <row r="11">
      <c r="C11" s="6" t="inlineStr">
        <is>
          <t>Municipal one-off (ÖSZ-1), at COD</t>
        </is>
      </c>
      <c r="D11" s="2" t="inlineStr">
        <is>
          <t>EUR k/MVA</t>
        </is>
      </c>
      <c r="E11" s="7" t="n">
        <v>20</v>
      </c>
      <c r="F11" s="7" t="n">
        <v>50</v>
      </c>
      <c r="G11" s="7" t="n">
        <v>50</v>
      </c>
    </row>
    <row r="12">
      <c r="C12" s="6" t="inlineStr">
        <is>
          <t>Community contribution (ÖSZ-2)</t>
        </is>
      </c>
      <c r="D12" s="2" t="inlineStr">
        <is>
          <t>EUR/MWh</t>
        </is>
      </c>
      <c r="E12" s="10" t="n">
        <v>0</v>
      </c>
      <c r="F12" s="10" t="n">
        <v>3</v>
      </c>
      <c r="G12" s="10" t="n">
        <v>3</v>
      </c>
    </row>
    <row r="13">
      <c r="C13" s="6" t="inlineStr">
        <is>
          <t>Partial award accepted (ÖSZ-5)</t>
        </is>
      </c>
      <c r="D13" s="2" t="inlineStr">
        <is>
          <t>flag</t>
        </is>
      </c>
      <c r="E13" s="11" t="n">
        <v>1</v>
      </c>
      <c r="F13" s="11" t="n">
        <v>0</v>
      </c>
      <c r="G13" s="11" t="n">
        <v>0</v>
      </c>
    </row>
    <row r="14">
      <c r="C14" s="6" t="inlineStr">
        <is>
          <t>Performance security multiple (ÖSZ-6)</t>
        </is>
      </c>
      <c r="D14" s="2" t="inlineStr">
        <is>
          <t>x</t>
        </is>
      </c>
      <c r="E14" s="12" t="n">
        <v>1</v>
      </c>
      <c r="F14" s="12" t="n">
        <v>1</v>
      </c>
      <c r="G14" s="12" t="n">
        <v>1</v>
      </c>
    </row>
    <row r="15">
      <c r="C15" s="6" t="inlineStr">
        <is>
          <t>Brownfield site (ÖSZ-7)</t>
        </is>
      </c>
      <c r="D15" s="2" t="inlineStr">
        <is>
          <t>flag</t>
        </is>
      </c>
      <c r="E15" s="11" t="n">
        <v>0</v>
      </c>
      <c r="F15" s="11" t="n">
        <v>0</v>
      </c>
      <c r="G15" s="11" t="n">
        <v>0</v>
      </c>
    </row>
    <row r="16">
      <c r="C16" s="6" t="inlineStr">
        <is>
          <t>Shared connection (ÖSZ-8)</t>
        </is>
      </c>
      <c r="D16" s="2" t="inlineStr">
        <is>
          <t>flag</t>
        </is>
      </c>
      <c r="E16" s="11" t="n">
        <v>1</v>
      </c>
      <c r="F16" s="11" t="n">
        <v>0</v>
      </c>
      <c r="G16" s="11" t="n">
        <v>0</v>
      </c>
    </row>
    <row r="17">
      <c r="C17" s="6" t="inlineStr">
        <is>
          <t>Turbine route (EU or CN; EU scores ÖSZ-9)</t>
        </is>
      </c>
      <c r="D17" s="2" t="inlineStr">
        <is>
          <t>text</t>
        </is>
      </c>
      <c r="E17" s="13" t="inlineStr">
        <is>
          <t>CN</t>
        </is>
      </c>
      <c r="F17" s="13" t="inlineStr">
        <is>
          <t>CN</t>
        </is>
      </c>
      <c r="G17" s="13" t="inlineStr">
        <is>
          <t>CN</t>
        </is>
      </c>
    </row>
    <row r="18">
      <c r="C18" s="6" t="inlineStr">
        <is>
          <t>RtB premium</t>
        </is>
      </c>
      <c r="D18" s="2" t="inlineStr">
        <is>
          <t>EUR k/MVA</t>
        </is>
      </c>
      <c r="E18" s="7" t="n">
        <v>150</v>
      </c>
      <c r="F18" s="7" t="n">
        <v>150</v>
      </c>
      <c r="G18" s="7" t="n">
        <v>150</v>
      </c>
    </row>
    <row r="19">
      <c r="C19" s="6" t="inlineStr">
        <is>
          <t>FEP share of distributable proceeds</t>
        </is>
      </c>
      <c r="D19" s="2" t="inlineStr">
        <is>
          <t>%</t>
        </is>
      </c>
      <c r="E19" s="9" t="n">
        <v>0.7</v>
      </c>
      <c r="F19" s="9" t="n">
        <v>1</v>
      </c>
      <c r="G19" s="9" t="n">
        <v>1</v>
      </c>
    </row>
    <row r="20">
      <c r="C20" s="6" t="inlineStr">
        <is>
          <t>Developer success fee (DSA) on</t>
        </is>
      </c>
      <c r="D20" s="2" t="inlineStr">
        <is>
          <t>flag</t>
        </is>
      </c>
      <c r="E20" s="11" t="n">
        <v>1</v>
      </c>
      <c r="F20" s="11" t="n">
        <v>0</v>
      </c>
      <c r="G20" s="11" t="n">
        <v>0</v>
      </c>
    </row>
    <row r="22">
      <c r="B22" s="4" t="inlineStr">
        <is>
          <t>x</t>
        </is>
      </c>
      <c r="C22" s="4" t="inlineStr">
        <is>
          <t>Case: turbine price, PPA, yield, O&amp;M</t>
        </is>
      </c>
      <c r="D22" s="4" t="n"/>
      <c r="E22" s="5" t="inlineStr">
        <is>
          <t>Base</t>
        </is>
      </c>
      <c r="F22" s="5" t="inlineStr">
        <is>
          <t>Low</t>
        </is>
      </c>
      <c r="G22" s="5" t="inlineStr">
        <is>
          <t>High</t>
        </is>
      </c>
      <c r="H22" s="5" t="inlineStr">
        <is>
          <t>Live</t>
        </is>
      </c>
    </row>
    <row r="23">
      <c r="C23" s="1" t="inlineStr">
        <is>
          <t>Case selected (Base, Low or High)</t>
        </is>
      </c>
      <c r="D23" s="2" t="inlineStr">
        <is>
          <t>case</t>
        </is>
      </c>
      <c r="H23" s="13" t="inlineStr">
        <is>
          <t>Base</t>
        </is>
      </c>
    </row>
    <row r="24">
      <c r="C24" s="6" t="inlineStr">
        <is>
          <t>Turbine supply incl. transport, EU route</t>
        </is>
      </c>
      <c r="D24" s="2" t="inlineStr">
        <is>
          <t>EUR k/MW</t>
        </is>
      </c>
      <c r="E24" s="7" t="n">
        <v>850</v>
      </c>
      <c r="F24" s="7" t="n">
        <v>950</v>
      </c>
      <c r="G24" s="7" t="n">
        <v>800</v>
      </c>
      <c r="H24" s="14">
        <f>INDEX(E24:G24,MATCH(Dash_Case,$E$22:$G$22,0))</f>
        <v/>
      </c>
      <c r="J24" s="2" t="inlineStr">
        <is>
          <t>Bora Dashboard H8 / Inputs G162</t>
        </is>
      </c>
    </row>
    <row r="25">
      <c r="C25" s="6" t="inlineStr">
        <is>
          <t>Turbine supply incl. transport, CN route</t>
        </is>
      </c>
      <c r="D25" s="2" t="inlineStr">
        <is>
          <t>EUR k/MW</t>
        </is>
      </c>
      <c r="E25" s="7" t="n">
        <v>500</v>
      </c>
      <c r="F25" s="7" t="n">
        <v>500</v>
      </c>
      <c r="G25" s="7" t="n">
        <v>500</v>
      </c>
      <c r="H25" s="14">
        <f>INDEX(E25:G25,MATCH(Dash_Case,$E$22:$G$22,0))</f>
        <v/>
      </c>
      <c r="J25" s="2" t="inlineStr">
        <is>
          <t>Bora Inputs H162</t>
        </is>
      </c>
    </row>
    <row r="26">
      <c r="C26" s="6" t="inlineStr">
        <is>
          <t>PPA price in the COD year</t>
        </is>
      </c>
      <c r="D26" s="2" t="inlineStr">
        <is>
          <t>EUR/MWh</t>
        </is>
      </c>
      <c r="E26" s="10" t="n">
        <v>90</v>
      </c>
      <c r="F26" s="10" t="n">
        <v>90</v>
      </c>
      <c r="G26" s="10" t="n">
        <v>100</v>
      </c>
      <c r="H26" s="15">
        <f>INDEX(E26:G26,MATCH(Dash_Case,$E$22:$G$22,0))</f>
        <v/>
      </c>
      <c r="J26" s="2" t="inlineStr">
        <is>
          <t>Bora Dashboard H9</t>
        </is>
      </c>
    </row>
    <row r="27">
      <c r="C27" s="6" t="inlineStr">
        <is>
          <t>Net P50 hours</t>
        </is>
      </c>
      <c r="D27" s="2" t="inlineStr">
        <is>
          <t>h/yr</t>
        </is>
      </c>
      <c r="E27" s="7" t="n">
        <v>2500</v>
      </c>
      <c r="F27" s="7" t="n">
        <v>2460</v>
      </c>
      <c r="G27" s="7" t="n">
        <v>2600</v>
      </c>
      <c r="H27" s="14">
        <f>INDEX(E27:G27,MATCH(Dash_Case,$E$22:$G$22,0))</f>
        <v/>
      </c>
      <c r="J27" s="2" t="inlineStr">
        <is>
          <t>Bora Dashboard H10</t>
        </is>
      </c>
    </row>
    <row r="28">
      <c r="C28" s="6" t="inlineStr">
        <is>
          <t>O&amp;M full-service contract</t>
        </is>
      </c>
      <c r="D28" s="2" t="inlineStr">
        <is>
          <t>EUR k/MW/yr</t>
        </is>
      </c>
      <c r="E28" s="10" t="n">
        <v>12</v>
      </c>
      <c r="F28" s="10" t="n">
        <v>12</v>
      </c>
      <c r="G28" s="10" t="n">
        <v>10</v>
      </c>
      <c r="H28" s="15">
        <f>INDEX(E28:G28,MATCH(Dash_Case,$E$22:$G$22,0))</f>
        <v/>
      </c>
      <c r="J28" s="2" t="inlineStr">
        <is>
          <t>Bora Dashboard H11</t>
        </is>
      </c>
    </row>
    <row r="30">
      <c r="B30" s="4" t="inlineStr">
        <is>
          <t>x</t>
        </is>
      </c>
      <c r="C30" s="4" t="inlineStr">
        <is>
          <t>Bid points and capacity</t>
        </is>
      </c>
      <c r="D30" s="4" t="n"/>
      <c r="E30" s="5" t="inlineStr">
        <is>
          <t>Bora</t>
        </is>
      </c>
      <c r="F30" s="5" t="inlineStr">
        <is>
          <t>Iváncsa</t>
        </is>
      </c>
      <c r="G30" s="5" t="inlineStr">
        <is>
          <t>Dunaújváros</t>
        </is>
      </c>
      <c r="H30" s="5" t="inlineStr">
        <is>
          <t>Total</t>
        </is>
      </c>
    </row>
    <row r="31">
      <c r="C31" s="6" t="inlineStr">
        <is>
          <t>Points – municipal one-off</t>
        </is>
      </c>
      <c r="D31" s="2" t="inlineStr">
        <is>
          <t>points</t>
        </is>
      </c>
      <c r="E31" s="16">
        <f>INDEX(Osz1_Pts,1+SUMPRODUCT((Osz1_LB&lt;E11)+(Osz1_LB=E11)*Osz1_Incl))*Osz1_W</f>
        <v/>
      </c>
      <c r="F31" s="16">
        <f>INDEX(Osz1_Pts,1+SUMPRODUCT((Osz1_LB&lt;F11)+(Osz1_LB=F11)*Osz1_Incl))*Osz1_W</f>
        <v/>
      </c>
      <c r="G31" s="16">
        <f>INDEX(Osz1_Pts,1+SUMPRODUCT((Osz1_LB&lt;G11)+(Osz1_LB=G11)*Osz1_Incl))*Osz1_W</f>
        <v/>
      </c>
    </row>
    <row r="32">
      <c r="C32" s="6" t="inlineStr">
        <is>
          <t>Points – community contribution</t>
        </is>
      </c>
      <c r="D32" s="2" t="inlineStr">
        <is>
          <t>points</t>
        </is>
      </c>
      <c r="E32" s="16">
        <f>INDEX(Osz2_Pts,1+SUMPRODUCT((Osz2_LB&lt;E12)+(Osz2_LB=E12)*Osz2_Incl))*Osz2_W</f>
        <v/>
      </c>
      <c r="F32" s="16">
        <f>INDEX(Osz2_Pts,1+SUMPRODUCT((Osz2_LB&lt;F12)+(Osz2_LB=F12)*Osz2_Incl))*Osz2_W</f>
        <v/>
      </c>
      <c r="G32" s="16">
        <f>INDEX(Osz2_Pts,1+SUMPRODUCT((Osz2_LB&lt;G12)+(Osz2_LB=G12)*Osz2_Incl))*Osz2_W</f>
        <v/>
      </c>
    </row>
    <row r="33">
      <c r="C33" s="6" t="inlineStr">
        <is>
          <t>Points – overbuild</t>
        </is>
      </c>
      <c r="D33" s="2" t="inlineStr">
        <is>
          <t>points</t>
        </is>
      </c>
      <c r="E33" s="16">
        <f>INDEX(Osz3_Pts,1+SUMPRODUCT((Osz3_LB&lt;E7)+(Osz3_LB=E7)*Osz3_Incl))*Osz3_W</f>
        <v/>
      </c>
      <c r="F33" s="16">
        <f>INDEX(Osz3_Pts,1+SUMPRODUCT((Osz3_LB&lt;F7)+(Osz3_LB=F7)*Osz3_Incl))*Osz3_W</f>
        <v/>
      </c>
      <c r="G33" s="16">
        <f>INDEX(Osz3_Pts,1+SUMPRODUCT((Osz3_LB&lt;G7)+(Osz3_LB=G7)*Osz3_Incl))*Osz3_W</f>
        <v/>
      </c>
    </row>
    <row r="34">
      <c r="C34" s="6" t="inlineStr">
        <is>
          <t>Points – BESS</t>
        </is>
      </c>
      <c r="D34" s="2" t="inlineStr">
        <is>
          <t>points</t>
        </is>
      </c>
      <c r="E34" s="16">
        <f>INDEX(Osz3_Pts,1+SUMPRODUCT((Osz3_LB&lt;E8)+(Osz3_LB=E8)*Osz3_Incl))*Osz4_W</f>
        <v/>
      </c>
      <c r="F34" s="16">
        <f>INDEX(Osz3_Pts,1+SUMPRODUCT((Osz3_LB&lt;F8)+(Osz3_LB=F8)*Osz3_Incl))*Osz4_W</f>
        <v/>
      </c>
      <c r="G34" s="16">
        <f>INDEX(Osz3_Pts,1+SUMPRODUCT((Osz3_LB&lt;G8)+(Osz3_LB=G8)*Osz3_Incl))*Osz4_W</f>
        <v/>
      </c>
    </row>
    <row r="35">
      <c r="C35" s="6" t="inlineStr">
        <is>
          <t>Points – partial award</t>
        </is>
      </c>
      <c r="D35" s="2" t="inlineStr">
        <is>
          <t>points</t>
        </is>
      </c>
      <c r="E35" s="16">
        <f>E13*Osz5_Pts*Osz5_W</f>
        <v/>
      </c>
      <c r="F35" s="16">
        <f>F13*Osz5_Pts*Osz5_W</f>
        <v/>
      </c>
      <c r="G35" s="16">
        <f>G13*Osz5_Pts*Osz5_W</f>
        <v/>
      </c>
    </row>
    <row r="36">
      <c r="C36" s="6" t="inlineStr">
        <is>
          <t>Points – performance security</t>
        </is>
      </c>
      <c r="D36" s="2" t="inlineStr">
        <is>
          <t>points</t>
        </is>
      </c>
      <c r="E36" s="16">
        <f>INDEX(Osz6_Pts,1+SUMPRODUCT((Osz6_LB&lt;E14)+(Osz6_LB=E14)*Osz6_Incl))*Osz6_W</f>
        <v/>
      </c>
      <c r="F36" s="16">
        <f>INDEX(Osz6_Pts,1+SUMPRODUCT((Osz6_LB&lt;F14)+(Osz6_LB=F14)*Osz6_Incl))*Osz6_W</f>
        <v/>
      </c>
      <c r="G36" s="16">
        <f>INDEX(Osz6_Pts,1+SUMPRODUCT((Osz6_LB&lt;G14)+(Osz6_LB=G14)*Osz6_Incl))*Osz6_W</f>
        <v/>
      </c>
    </row>
    <row r="37">
      <c r="C37" s="6" t="inlineStr">
        <is>
          <t>Points – brownfield</t>
        </is>
      </c>
      <c r="D37" s="2" t="inlineStr">
        <is>
          <t>points</t>
        </is>
      </c>
      <c r="E37" s="16">
        <f>E15*Osz7_Pts*Osz7_W</f>
        <v/>
      </c>
      <c r="F37" s="16">
        <f>F15*Osz7_Pts*Osz7_W</f>
        <v/>
      </c>
      <c r="G37" s="16">
        <f>G15*Osz7_Pts*Osz7_W</f>
        <v/>
      </c>
    </row>
    <row r="38">
      <c r="C38" s="6" t="inlineStr">
        <is>
          <t>Points – shared connection</t>
        </is>
      </c>
      <c r="D38" s="2" t="inlineStr">
        <is>
          <t>points</t>
        </is>
      </c>
      <c r="E38" s="16">
        <f>E16*Osz8_Pts*Osz8_W</f>
        <v/>
      </c>
      <c r="F38" s="16">
        <f>F16*Osz8_Pts*Osz8_W</f>
        <v/>
      </c>
      <c r="G38" s="16">
        <f>G16*Osz8_Pts*Osz8_W</f>
        <v/>
      </c>
    </row>
    <row r="39">
      <c r="C39" s="6" t="inlineStr">
        <is>
          <t>Points – EU turbines</t>
        </is>
      </c>
      <c r="D39" s="2" t="inlineStr">
        <is>
          <t>points</t>
        </is>
      </c>
      <c r="E39" s="16">
        <f>N(E17="EU")*Osz9a_Pts*Osz9_W</f>
        <v/>
      </c>
      <c r="F39" s="16">
        <f>N(F17="EU")*Osz9a_Pts*Osz9_W</f>
        <v/>
      </c>
      <c r="G39" s="16">
        <f>N(G17="EU")*Osz9a_Pts*Osz9_W</f>
        <v/>
      </c>
    </row>
    <row r="40">
      <c r="C40" s="6" t="inlineStr">
        <is>
          <t>Points – EU transformers</t>
        </is>
      </c>
      <c r="D40" s="2" t="inlineStr">
        <is>
          <t>points</t>
        </is>
      </c>
      <c r="E40" s="16">
        <f>Inputs!E$25*Osz9b_Pts*Osz9_W</f>
        <v/>
      </c>
      <c r="F40" s="16">
        <f>Inputs!F$25*Osz9b_Pts*Osz9_W</f>
        <v/>
      </c>
      <c r="G40" s="16">
        <f>Inputs!G$25*Osz9b_Pts*Osz9_W</f>
        <v/>
      </c>
    </row>
    <row r="41">
      <c r="C41" s="1" t="inlineStr">
        <is>
          <t>Points total</t>
        </is>
      </c>
      <c r="D41" s="2" t="inlineStr">
        <is>
          <t>points</t>
        </is>
      </c>
      <c r="E41" s="17">
        <f>SUM(E31:E40)</f>
        <v/>
      </c>
      <c r="F41" s="17">
        <f>SUM(F31:F40)</f>
        <v/>
      </c>
      <c r="G41" s="17">
        <f>SUM(G31:G40)</f>
        <v/>
      </c>
    </row>
    <row r="42">
      <c r="C42" s="6" t="inlineStr">
        <is>
          <t>Wind committed in the bid</t>
        </is>
      </c>
      <c r="D42" s="2" t="inlineStr">
        <is>
          <t>MW</t>
        </is>
      </c>
      <c r="E42" s="16">
        <f>E6*(1+E7)</f>
        <v/>
      </c>
      <c r="F42" s="16">
        <f>F6*(1+F7)</f>
        <v/>
      </c>
      <c r="G42" s="16">
        <f>G6*(1+G7)</f>
        <v/>
      </c>
      <c r="H42" s="16">
        <f>SUM(E42:G42)</f>
        <v/>
      </c>
    </row>
    <row r="43">
      <c r="C43" s="6" t="inlineStr">
        <is>
          <t>BESS energy</t>
        </is>
      </c>
      <c r="D43" s="2" t="inlineStr">
        <is>
          <t>MWh</t>
        </is>
      </c>
      <c r="E43" s="16">
        <f>E6*E8*E9</f>
        <v/>
      </c>
      <c r="F43" s="16">
        <f>F6*F8*F9</f>
        <v/>
      </c>
      <c r="G43" s="16">
        <f>G6*G8*G9</f>
        <v/>
      </c>
      <c r="H43" s="16">
        <f>SUM(E43:G43)</f>
        <v/>
      </c>
    </row>
    <row r="44">
      <c r="C44" s="6" t="inlineStr">
        <is>
          <t>Wind built (committed less the build shortfall)</t>
        </is>
      </c>
      <c r="D44" s="2" t="inlineStr">
        <is>
          <t>MW</t>
        </is>
      </c>
      <c r="E44" s="16">
        <f>E42*(1-E10)</f>
        <v/>
      </c>
      <c r="F44" s="16">
        <f>F42*(1-F10)</f>
        <v/>
      </c>
      <c r="G44" s="16">
        <f>G42*(1-G10)</f>
        <v/>
      </c>
      <c r="H44" s="16">
        <f>SUM(E44:G44)</f>
        <v/>
      </c>
    </row>
    <row r="46">
      <c r="B46" s="4" t="inlineStr">
        <is>
          <t>x</t>
        </is>
      </c>
      <c r="C46" s="4" t="inlineStr">
        <is>
          <t>Guarantees, securities and connection fees, DEVEX (HUF)</t>
        </is>
      </c>
      <c r="D46" s="4" t="n"/>
      <c r="E46" s="5" t="inlineStr">
        <is>
          <t>Bora</t>
        </is>
      </c>
      <c r="F46" s="5" t="inlineStr">
        <is>
          <t>Iváncsa</t>
        </is>
      </c>
      <c r="G46" s="5" t="inlineStr">
        <is>
          <t>Dunaújváros</t>
        </is>
      </c>
      <c r="H46" s="5" t="inlineStr">
        <is>
          <t>Total</t>
        </is>
      </c>
      <c r="J46" s="5" t="inlineStr">
        <is>
          <t>Date</t>
        </is>
      </c>
    </row>
    <row r="47">
      <c r="C47" s="6" t="inlineStr">
        <is>
          <t>Participation fee</t>
        </is>
      </c>
      <c r="D47" s="2" t="inlineStr">
        <is>
          <t>HUF</t>
        </is>
      </c>
      <c r="E47" s="8">
        <f>Part_Fee</f>
        <v/>
      </c>
      <c r="F47" s="8">
        <f>Part_Fee</f>
        <v/>
      </c>
      <c r="G47" s="8">
        <f>Part_Fee</f>
        <v/>
      </c>
      <c r="H47" s="8">
        <f>SUM(E47:G47)</f>
        <v/>
      </c>
      <c r="J47" s="18">
        <f>Date_Bid</f>
        <v/>
      </c>
    </row>
    <row r="48">
      <c r="C48" s="6" t="inlineStr">
        <is>
          <t>Bid security</t>
        </is>
      </c>
      <c r="D48" s="2" t="inlineStr">
        <is>
          <t>HUF</t>
        </is>
      </c>
      <c r="E48" s="8">
        <f>Bid_Sec_Rate*(E42*Bench_Wind+E43*Bench_BESS)</f>
        <v/>
      </c>
      <c r="F48" s="8">
        <f>Bid_Sec_Rate*(F42*Bench_Wind+F43*Bench_BESS)</f>
        <v/>
      </c>
      <c r="G48" s="8">
        <f>Bid_Sec_Rate*(G42*Bench_Wind+G43*Bench_BESS)</f>
        <v/>
      </c>
      <c r="H48" s="8">
        <f>SUM(E48:G48)</f>
        <v/>
      </c>
      <c r="J48" s="18">
        <f>Date_Bid</f>
        <v/>
      </c>
    </row>
    <row r="49">
      <c r="C49" s="6" t="inlineStr">
        <is>
          <t>Performance security, gross</t>
        </is>
      </c>
      <c r="D49" s="2" t="inlineStr">
        <is>
          <t>HUF</t>
        </is>
      </c>
      <c r="E49" s="8">
        <f>PB_Rate*E14*(E42*Bench_Wind+E43*Bench_BESS)</f>
        <v/>
      </c>
      <c r="F49" s="8">
        <f>PB_Rate*F14*(F42*Bench_Wind+F43*Bench_BESS)</f>
        <v/>
      </c>
      <c r="G49" s="8">
        <f>PB_Rate*G14*(G42*Bench_Wind+G43*Bench_BESS)</f>
        <v/>
      </c>
      <c r="H49" s="8">
        <f>SUM(E49:G49)</f>
        <v/>
      </c>
      <c r="J49" s="18">
        <f>Date_PB</f>
        <v/>
      </c>
    </row>
    <row r="50">
      <c r="C50" s="6" t="inlineStr">
        <is>
          <t>Less bid security credited</t>
        </is>
      </c>
      <c r="D50" s="2" t="inlineStr">
        <is>
          <t>HUF</t>
        </is>
      </c>
      <c r="E50" s="8">
        <f>-E48</f>
        <v/>
      </c>
      <c r="F50" s="8">
        <f>-F48</f>
        <v/>
      </c>
      <c r="G50" s="8">
        <f>-G48</f>
        <v/>
      </c>
      <c r="H50" s="8">
        <f>SUM(E50:G50)</f>
        <v/>
      </c>
    </row>
    <row r="51">
      <c r="C51" s="6" t="inlineStr">
        <is>
          <t>Performance security payable (bid security deducted)</t>
        </is>
      </c>
      <c r="D51" s="2" t="inlineStr">
        <is>
          <t>HUF</t>
        </is>
      </c>
      <c r="E51" s="8">
        <f>E49+E50</f>
        <v/>
      </c>
      <c r="F51" s="8">
        <f>F49+F50</f>
        <v/>
      </c>
      <c r="G51" s="8">
        <f>G49+G50</f>
        <v/>
      </c>
      <c r="H51" s="8">
        <f>SUM(E51:G51)</f>
        <v/>
      </c>
      <c r="J51" s="18">
        <f>Date_PB</f>
        <v/>
      </c>
    </row>
    <row r="52">
      <c r="C52" s="6" t="inlineStr">
        <is>
          <t>TSO connection-request security</t>
        </is>
      </c>
      <c r="D52" s="2" t="inlineStr">
        <is>
          <t>HUF</t>
        </is>
      </c>
      <c r="E52" s="8">
        <f>TSO_Rate*E6</f>
        <v/>
      </c>
      <c r="F52" s="8">
        <f>TSO_Rate*F6</f>
        <v/>
      </c>
      <c r="G52" s="8">
        <f>TSO_Rate*G6</f>
        <v/>
      </c>
      <c r="H52" s="8">
        <f>SUM(E52:G52)</f>
        <v/>
      </c>
      <c r="J52" s="18">
        <f>Date_TSO</f>
        <v/>
      </c>
    </row>
    <row r="53">
      <c r="C53" s="6" t="inlineStr">
        <is>
          <t>Direct connection fee (per point ÷ bids sharing it)</t>
        </is>
      </c>
      <c r="D53" s="2" t="inlineStr">
        <is>
          <t>HUF</t>
        </is>
      </c>
      <c r="E53" s="8">
        <f>Inputs!E$15/Inputs!E$16</f>
        <v/>
      </c>
      <c r="F53" s="8">
        <f>Inputs!F$15/Inputs!F$16</f>
        <v/>
      </c>
      <c r="G53" s="8">
        <f>Inputs!G$15/Inputs!G$16</f>
        <v/>
      </c>
      <c r="H53" s="8">
        <f>SUM(E53:G53)</f>
        <v/>
      </c>
      <c r="J53" s="18">
        <f>Date_HC</f>
        <v/>
      </c>
    </row>
    <row r="54">
      <c r="C54" s="6" t="inlineStr">
        <is>
          <t>Indirect connection fee, gross</t>
        </is>
      </c>
      <c r="D54" s="2" t="inlineStr">
        <is>
          <t>HUF</t>
        </is>
      </c>
      <c r="E54" s="8">
        <f>Inputs!E$14*E6</f>
        <v/>
      </c>
      <c r="F54" s="8">
        <f>Inputs!F$14*F6</f>
        <v/>
      </c>
      <c r="G54" s="8">
        <f>Inputs!G$14*G6</f>
        <v/>
      </c>
      <c r="H54" s="8">
        <f>SUM(E54:G54)</f>
        <v/>
      </c>
      <c r="J54" s="18">
        <f>Date_HC</f>
        <v/>
      </c>
    </row>
    <row r="55">
      <c r="C55" s="6" t="inlineStr">
        <is>
          <t>Less TSO security credited</t>
        </is>
      </c>
      <c r="D55" s="2" t="inlineStr">
        <is>
          <t>HUF</t>
        </is>
      </c>
      <c r="E55" s="8">
        <f>-E52</f>
        <v/>
      </c>
      <c r="F55" s="8">
        <f>-F52</f>
        <v/>
      </c>
      <c r="G55" s="8">
        <f>-G52</f>
        <v/>
      </c>
      <c r="H55" s="8">
        <f>SUM(E55:G55)</f>
        <v/>
      </c>
    </row>
    <row r="56">
      <c r="C56" s="6" t="inlineStr">
        <is>
          <t>Indirect connection fee, payable (TSO security deducted)</t>
        </is>
      </c>
      <c r="D56" s="2" t="inlineStr">
        <is>
          <t>HUF</t>
        </is>
      </c>
      <c r="E56" s="8">
        <f>E54+E55</f>
        <v/>
      </c>
      <c r="F56" s="8">
        <f>F54+F55</f>
        <v/>
      </c>
      <c r="G56" s="8">
        <f>G54+G55</f>
        <v/>
      </c>
      <c r="H56" s="8">
        <f>SUM(E56:G56)</f>
        <v/>
      </c>
      <c r="J56" s="18">
        <f>Date_HC</f>
        <v/>
      </c>
    </row>
    <row r="57">
      <c r="C57" s="6" t="inlineStr">
        <is>
          <t>DEVEX</t>
        </is>
      </c>
      <c r="D57" s="2" t="inlineStr">
        <is>
          <t>HUF</t>
        </is>
      </c>
      <c r="E57" s="8">
        <f>SUM(Inputs!E$18:E$24)*FX*Thousand</f>
        <v/>
      </c>
      <c r="F57" s="8">
        <f>SUM(Inputs!F$18:F$24)*FX*Thousand</f>
        <v/>
      </c>
      <c r="G57" s="8">
        <f>SUM(Inputs!G$18:G$24)*FX*Thousand</f>
        <v/>
      </c>
      <c r="H57" s="8">
        <f>SUM(E57:G57)</f>
        <v/>
      </c>
      <c r="J57" s="18">
        <f>Date_Devex</f>
        <v/>
      </c>
    </row>
    <row r="58">
      <c r="C58" s="1" t="inlineStr">
        <is>
          <t>Total cash: fee, securities, connection fees, DEVEX</t>
        </is>
      </c>
      <c r="D58" s="2" t="inlineStr">
        <is>
          <t>HUF</t>
        </is>
      </c>
      <c r="E58" s="19">
        <f>E47+E48+E51+E52+E53+E56+E57</f>
        <v/>
      </c>
      <c r="F58" s="19">
        <f>F47+F48+F51+F52+F53+F56+F57</f>
        <v/>
      </c>
      <c r="G58" s="19">
        <f>G47+G48+G51+G52+G53+G56+G57</f>
        <v/>
      </c>
      <c r="H58" s="19">
        <f>SUM(E58:G58)</f>
        <v/>
      </c>
    </row>
    <row r="60">
      <c r="B60" s="4" t="inlineStr">
        <is>
          <t>x</t>
        </is>
      </c>
      <c r="C60" s="4" t="inlineStr">
        <is>
          <t>Guarantees, securities and connection fees, DEVEX (EUR k)</t>
        </is>
      </c>
      <c r="D60" s="4" t="n"/>
      <c r="E60" s="5" t="inlineStr">
        <is>
          <t>Bora</t>
        </is>
      </c>
      <c r="F60" s="5" t="inlineStr">
        <is>
          <t>Iváncsa</t>
        </is>
      </c>
      <c r="G60" s="5" t="inlineStr">
        <is>
          <t>Dunaújváros</t>
        </is>
      </c>
      <c r="H60" s="5" t="inlineStr">
        <is>
          <t>Total</t>
        </is>
      </c>
      <c r="J60" s="5" t="inlineStr">
        <is>
          <t>Date</t>
        </is>
      </c>
    </row>
    <row r="61">
      <c r="C61" s="6" t="inlineStr">
        <is>
          <t>Participation fee</t>
        </is>
      </c>
      <c r="D61" s="2" t="inlineStr">
        <is>
          <t>EUR k</t>
        </is>
      </c>
      <c r="E61" s="16">
        <f>E47/FX/Thousand</f>
        <v/>
      </c>
      <c r="F61" s="16">
        <f>F47/FX/Thousand</f>
        <v/>
      </c>
      <c r="G61" s="16">
        <f>G47/FX/Thousand</f>
        <v/>
      </c>
      <c r="H61" s="16">
        <f>SUM(E61:G61)</f>
        <v/>
      </c>
      <c r="J61" s="18">
        <f>Date_Bid</f>
        <v/>
      </c>
    </row>
    <row r="62">
      <c r="C62" s="6" t="inlineStr">
        <is>
          <t>Bid security</t>
        </is>
      </c>
      <c r="D62" s="2" t="inlineStr">
        <is>
          <t>EUR k</t>
        </is>
      </c>
      <c r="E62" s="8">
        <f>E48/FX/Thousand</f>
        <v/>
      </c>
      <c r="F62" s="8">
        <f>F48/FX/Thousand</f>
        <v/>
      </c>
      <c r="G62" s="8">
        <f>G48/FX/Thousand</f>
        <v/>
      </c>
      <c r="H62" s="8">
        <f>SUM(E62:G62)</f>
        <v/>
      </c>
      <c r="J62" s="18">
        <f>Date_Bid</f>
        <v/>
      </c>
    </row>
    <row r="63">
      <c r="C63" s="6" t="inlineStr">
        <is>
          <t>Performance security payable (bid security deducted)</t>
        </is>
      </c>
      <c r="D63" s="2" t="inlineStr">
        <is>
          <t>EUR k</t>
        </is>
      </c>
      <c r="E63" s="8">
        <f>E51/FX/Thousand</f>
        <v/>
      </c>
      <c r="F63" s="8">
        <f>F51/FX/Thousand</f>
        <v/>
      </c>
      <c r="G63" s="8">
        <f>G51/FX/Thousand</f>
        <v/>
      </c>
      <c r="H63" s="8">
        <f>SUM(E63:G63)</f>
        <v/>
      </c>
      <c r="J63" s="18">
        <f>Date_PB</f>
        <v/>
      </c>
    </row>
    <row r="64">
      <c r="C64" s="6" t="inlineStr">
        <is>
          <t>TSO connection-request security</t>
        </is>
      </c>
      <c r="D64" s="2" t="inlineStr">
        <is>
          <t>EUR k</t>
        </is>
      </c>
      <c r="E64" s="8">
        <f>E52/FX/Thousand</f>
        <v/>
      </c>
      <c r="F64" s="8">
        <f>F52/FX/Thousand</f>
        <v/>
      </c>
      <c r="G64" s="8">
        <f>G52/FX/Thousand</f>
        <v/>
      </c>
      <c r="H64" s="8">
        <f>SUM(E64:G64)</f>
        <v/>
      </c>
      <c r="J64" s="18">
        <f>Date_TSO</f>
        <v/>
      </c>
    </row>
    <row r="65">
      <c r="C65" s="6" t="inlineStr">
        <is>
          <t>Direct connection fee</t>
        </is>
      </c>
      <c r="D65" s="2" t="inlineStr">
        <is>
          <t>EUR k</t>
        </is>
      </c>
      <c r="E65" s="8">
        <f>E53/FX/Thousand</f>
        <v/>
      </c>
      <c r="F65" s="8">
        <f>F53/FX/Thousand</f>
        <v/>
      </c>
      <c r="G65" s="8">
        <f>G53/FX/Thousand</f>
        <v/>
      </c>
      <c r="H65" s="8">
        <f>SUM(E65:G65)</f>
        <v/>
      </c>
      <c r="J65" s="18">
        <f>Date_HC</f>
        <v/>
      </c>
    </row>
    <row r="66">
      <c r="C66" s="6" t="inlineStr">
        <is>
          <t>Indirect connection fee, payable (TSO security deducted)</t>
        </is>
      </c>
      <c r="D66" s="2" t="inlineStr">
        <is>
          <t>EUR k</t>
        </is>
      </c>
      <c r="E66" s="8">
        <f>E56/FX/Thousand</f>
        <v/>
      </c>
      <c r="F66" s="8">
        <f>F56/FX/Thousand</f>
        <v/>
      </c>
      <c r="G66" s="8">
        <f>G56/FX/Thousand</f>
        <v/>
      </c>
      <c r="H66" s="8">
        <f>SUM(E66:G66)</f>
        <v/>
      </c>
      <c r="J66" s="18">
        <f>Date_HC</f>
        <v/>
      </c>
    </row>
    <row r="67">
      <c r="C67" s="6" t="inlineStr">
        <is>
          <t>DEVEX</t>
        </is>
      </c>
      <c r="D67" s="2" t="inlineStr">
        <is>
          <t>EUR k</t>
        </is>
      </c>
      <c r="E67" s="8">
        <f>E57/FX/Thousand</f>
        <v/>
      </c>
      <c r="F67" s="8">
        <f>F57/FX/Thousand</f>
        <v/>
      </c>
      <c r="G67" s="8">
        <f>G57/FX/Thousand</f>
        <v/>
      </c>
      <c r="H67" s="8">
        <f>SUM(E67:G67)</f>
        <v/>
      </c>
      <c r="J67" s="18">
        <f>Date_Devex</f>
        <v/>
      </c>
    </row>
    <row r="68">
      <c r="C68" s="6" t="inlineStr">
        <is>
          <t>Signing fee and DD</t>
        </is>
      </c>
      <c r="D68" s="2" t="inlineStr">
        <is>
          <t>EUR k</t>
        </is>
      </c>
      <c r="E68" s="8">
        <f>Inputs!E$17</f>
        <v/>
      </c>
      <c r="F68" s="8">
        <f>Inputs!F$17</f>
        <v/>
      </c>
      <c r="G68" s="8">
        <f>Inputs!G$17</f>
        <v/>
      </c>
      <c r="H68" s="8">
        <f>SUM(E68:G68)</f>
        <v/>
      </c>
      <c r="J68" s="18">
        <f>Date_Sign</f>
        <v/>
      </c>
    </row>
    <row r="69">
      <c r="C69" s="1" t="inlineStr">
        <is>
          <t>Total cash to RtB (incl. signing and DD)</t>
        </is>
      </c>
      <c r="D69" s="2" t="inlineStr">
        <is>
          <t>EUR k</t>
        </is>
      </c>
      <c r="E69" s="19">
        <f>SUM(E61:E68)</f>
        <v/>
      </c>
      <c r="F69" s="19">
        <f>SUM(F61:F68)</f>
        <v/>
      </c>
      <c r="G69" s="19">
        <f>SUM(G61:G68)</f>
        <v/>
      </c>
      <c r="H69" s="19">
        <f>SUM(E69:G69)</f>
        <v/>
      </c>
    </row>
    <row r="71">
      <c r="B71" s="4" t="inlineStr">
        <is>
          <t>x</t>
        </is>
      </c>
      <c r="C71" s="4" t="inlineStr">
        <is>
          <t>Capex breakdown to COD</t>
        </is>
      </c>
      <c r="D71" s="4" t="n"/>
      <c r="E71" s="5" t="inlineStr">
        <is>
          <t>Bora</t>
        </is>
      </c>
      <c r="F71" s="5" t="inlineStr">
        <is>
          <t>Iváncsa</t>
        </is>
      </c>
      <c r="G71" s="5" t="inlineStr">
        <is>
          <t>Dunaújváros</t>
        </is>
      </c>
      <c r="H71" s="5" t="inlineStr">
        <is>
          <t>Total</t>
        </is>
      </c>
    </row>
    <row r="72">
      <c r="C72" s="6" t="inlineStr">
        <is>
          <t>Turbines (route price, live case)</t>
        </is>
      </c>
      <c r="D72" s="2" t="inlineStr">
        <is>
          <t>EUR k</t>
        </is>
      </c>
      <c r="E72" s="8">
        <f>IF(E17="EU",Case_EU,Case_CN)*E44</f>
        <v/>
      </c>
      <c r="F72" s="8">
        <f>IF(F17="EU",Case_EU,Case_CN)*F44</f>
        <v/>
      </c>
      <c r="G72" s="8">
        <f>IF(G17="EU",Case_EU,Case_CN)*G44</f>
        <v/>
      </c>
      <c r="H72" s="8">
        <f>SUM(E72:G72)</f>
        <v/>
      </c>
    </row>
    <row r="73">
      <c r="C73" s="6" t="inlineStr">
        <is>
          <t>Installation and erection</t>
        </is>
      </c>
      <c r="D73" s="2" t="inlineStr">
        <is>
          <t>EUR k</t>
        </is>
      </c>
      <c r="E73" s="8">
        <f>Capex_Install*E44</f>
        <v/>
      </c>
      <c r="F73" s="8">
        <f>Capex_Install*F44</f>
        <v/>
      </c>
      <c r="G73" s="8">
        <f>Capex_Install*G44</f>
        <v/>
      </c>
      <c r="H73" s="8">
        <f>SUM(E73:G73)</f>
        <v/>
      </c>
    </row>
    <row r="74">
      <c r="C74" s="6" t="inlineStr">
        <is>
          <t>Foundations</t>
        </is>
      </c>
      <c r="D74" s="2" t="inlineStr">
        <is>
          <t>EUR k</t>
        </is>
      </c>
      <c r="E74" s="8">
        <f>Capex_Fdn*E44</f>
        <v/>
      </c>
      <c r="F74" s="8">
        <f>Capex_Fdn*F44</f>
        <v/>
      </c>
      <c r="G74" s="8">
        <f>Capex_Fdn*G44</f>
        <v/>
      </c>
      <c r="H74" s="8">
        <f>SUM(E74:G74)</f>
        <v/>
      </c>
    </row>
    <row r="75">
      <c r="C75" s="6" t="inlineStr">
        <is>
          <t>Balance of plant – civil</t>
        </is>
      </c>
      <c r="D75" s="2" t="inlineStr">
        <is>
          <t>EUR k</t>
        </is>
      </c>
      <c r="E75" s="8">
        <f>Capex_Civil*E44</f>
        <v/>
      </c>
      <c r="F75" s="8">
        <f>Capex_Civil*F44</f>
        <v/>
      </c>
      <c r="G75" s="8">
        <f>Capex_Civil*G44</f>
        <v/>
      </c>
      <c r="H75" s="8">
        <f>SUM(E75:G75)</f>
        <v/>
      </c>
    </row>
    <row r="76">
      <c r="C76" s="6" t="inlineStr">
        <is>
          <t>Balance of plant – electrical</t>
        </is>
      </c>
      <c r="D76" s="2" t="inlineStr">
        <is>
          <t>EUR k</t>
        </is>
      </c>
      <c r="E76" s="8">
        <f>Capex_Elec*E44</f>
        <v/>
      </c>
      <c r="F76" s="8">
        <f>Capex_Elec*F44</f>
        <v/>
      </c>
      <c r="G76" s="8">
        <f>Capex_Elec*G44</f>
        <v/>
      </c>
      <c r="H76" s="8">
        <f>SUM(E76:G76)</f>
        <v/>
      </c>
    </row>
    <row r="77">
      <c r="C77" s="6" t="inlineStr">
        <is>
          <t>Owner's costs, engineering, PM, construction insurance</t>
        </is>
      </c>
      <c r="D77" s="2" t="inlineStr">
        <is>
          <t>EUR k</t>
        </is>
      </c>
      <c r="E77" s="8">
        <f>Capex_Owner*E44</f>
        <v/>
      </c>
      <c r="F77" s="8">
        <f>Capex_Owner*F44</f>
        <v/>
      </c>
      <c r="G77" s="8">
        <f>Capex_Owner*G44</f>
        <v/>
      </c>
      <c r="H77" s="8">
        <f>SUM(E77:G77)</f>
        <v/>
      </c>
    </row>
    <row r="78">
      <c r="C78" s="6" t="inlineStr">
        <is>
          <t>Land purchase and easements</t>
        </is>
      </c>
      <c r="D78" s="2" t="inlineStr">
        <is>
          <t>EUR k</t>
        </is>
      </c>
      <c r="E78" s="8">
        <f>Capex_Land*E44</f>
        <v/>
      </c>
      <c r="F78" s="8">
        <f>Capex_Land*F44</f>
        <v/>
      </c>
      <c r="G78" s="8">
        <f>Capex_Land*G44</f>
        <v/>
      </c>
      <c r="H78" s="8">
        <f>SUM(E78:G78)</f>
        <v/>
      </c>
    </row>
    <row r="79">
      <c r="C79" s="6" t="inlineStr">
        <is>
          <t>Substation and 132 kV bay (scaled by MVA)</t>
        </is>
      </c>
      <c r="D79" s="2" t="inlineStr">
        <is>
          <t>EUR k</t>
        </is>
      </c>
      <c r="E79" s="8">
        <f>Subs_Lump*E6/Lump_Basis</f>
        <v/>
      </c>
      <c r="F79" s="8">
        <f>Subs_Lump*F6/Lump_Basis</f>
        <v/>
      </c>
      <c r="G79" s="8">
        <f>Subs_Lump*G6/Lump_Basis</f>
        <v/>
      </c>
      <c r="H79" s="8">
        <f>SUM(E79:G79)</f>
        <v/>
      </c>
    </row>
    <row r="80">
      <c r="C80" s="6" t="inlineStr">
        <is>
          <t>Contingency (not on BESS)</t>
        </is>
      </c>
      <c r="D80" s="2" t="inlineStr">
        <is>
          <t>EUR k</t>
        </is>
      </c>
      <c r="E80" s="8">
        <f>SUM(E72:E79)*Capex_Cont</f>
        <v/>
      </c>
      <c r="F80" s="8">
        <f>SUM(F72:F79)*Capex_Cont</f>
        <v/>
      </c>
      <c r="G80" s="8">
        <f>SUM(G72:G79)*Capex_Cont</f>
        <v/>
      </c>
      <c r="H80" s="8">
        <f>SUM(E80:G80)</f>
        <v/>
      </c>
    </row>
    <row r="81">
      <c r="C81" s="6" t="inlineStr">
        <is>
          <t>BESS (at cost; no BESS revenue or opex modelled)</t>
        </is>
      </c>
      <c r="D81" s="2" t="inlineStr">
        <is>
          <t>EUR k</t>
        </is>
      </c>
      <c r="E81" s="8">
        <f>BESS_Capex*E43</f>
        <v/>
      </c>
      <c r="F81" s="8">
        <f>BESS_Capex*F43</f>
        <v/>
      </c>
      <c r="G81" s="8">
        <f>BESS_Capex*G43</f>
        <v/>
      </c>
      <c r="H81" s="8">
        <f>SUM(E81:G81)</f>
        <v/>
      </c>
    </row>
    <row r="82">
      <c r="C82" s="1" t="inlineStr">
        <is>
          <t>Construction capex</t>
        </is>
      </c>
      <c r="D82" s="2" t="inlineStr">
        <is>
          <t>EUR k</t>
        </is>
      </c>
      <c r="E82" s="19">
        <f>SUM(E72:E81)</f>
        <v/>
      </c>
      <c r="F82" s="19">
        <f>SUM(F72:F81)</f>
        <v/>
      </c>
      <c r="G82" s="19">
        <f>SUM(G72:G81)</f>
        <v/>
      </c>
      <c r="H82" s="19">
        <f>SUM(E82:G82)</f>
        <v/>
      </c>
    </row>
    <row r="83">
      <c r="C83" s="6" t="inlineStr">
        <is>
          <t>Connection fees (TSO security, direct, indirect)</t>
        </is>
      </c>
      <c r="D83" s="2" t="inlineStr">
        <is>
          <t>EUR k</t>
        </is>
      </c>
      <c r="E83" s="8">
        <f>E64+E65+E66</f>
        <v/>
      </c>
      <c r="F83" s="8">
        <f>F64+F65+F66</f>
        <v/>
      </c>
      <c r="G83" s="8">
        <f>G64+G65+G66</f>
        <v/>
      </c>
      <c r="H83" s="8">
        <f>SUM(E83:G83)</f>
        <v/>
      </c>
    </row>
    <row r="84">
      <c r="C84" s="6" t="inlineStr">
        <is>
          <t>Municipal one-off</t>
        </is>
      </c>
      <c r="D84" s="2" t="inlineStr">
        <is>
          <t>EUR k</t>
        </is>
      </c>
      <c r="E84" s="8">
        <f>E11*E6</f>
        <v/>
      </c>
      <c r="F84" s="8">
        <f>F11*F6</f>
        <v/>
      </c>
      <c r="G84" s="8">
        <f>G11*G6</f>
        <v/>
      </c>
      <c r="H84" s="8">
        <f>SUM(E84:G84)</f>
        <v/>
      </c>
    </row>
    <row r="85">
      <c r="C85" s="6" t="inlineStr">
        <is>
          <t>Development (participation fee, devex, signing and DD)</t>
        </is>
      </c>
      <c r="D85" s="2" t="inlineStr">
        <is>
          <t>EUR k</t>
        </is>
      </c>
      <c r="E85" s="8">
        <f>E61+E67+E68</f>
        <v/>
      </c>
      <c r="F85" s="8">
        <f>F61+F67+F68</f>
        <v/>
      </c>
      <c r="G85" s="8">
        <f>G61+G67+G68</f>
        <v/>
      </c>
      <c r="H85" s="8">
        <f>SUM(E85:G85)</f>
        <v/>
      </c>
    </row>
    <row r="86">
      <c r="C86" s="1" t="inlineStr">
        <is>
          <t>All-in cost to COD (securities excluded: returned)</t>
        </is>
      </c>
      <c r="D86" s="2" t="inlineStr">
        <is>
          <t>EUR k</t>
        </is>
      </c>
      <c r="E86" s="19">
        <f>E82+SUM(E83:E85)</f>
        <v/>
      </c>
      <c r="F86" s="19">
        <f>F82+SUM(F83:F85)</f>
        <v/>
      </c>
      <c r="G86" s="19">
        <f>G82+SUM(G83:G85)</f>
        <v/>
      </c>
      <c r="H86" s="19">
        <f>SUM(E86:G86)</f>
        <v/>
      </c>
    </row>
    <row r="87">
      <c r="C87" s="6" t="inlineStr">
        <is>
          <t>All-in cost per MW built</t>
        </is>
      </c>
      <c r="D87" s="2" t="inlineStr">
        <is>
          <t>EUR k/MW</t>
        </is>
      </c>
      <c r="E87" s="16">
        <f>E86/E44</f>
        <v/>
      </c>
      <c r="F87" s="16">
        <f>F86/F44</f>
        <v/>
      </c>
      <c r="G87" s="16">
        <f>G86/G44</f>
        <v/>
      </c>
      <c r="H87" s="16">
        <f>H86/H44</f>
        <v/>
      </c>
    </row>
    <row r="88">
      <c r="C88" s="6" t="inlineStr">
        <is>
          <t>All-in cost per MVA</t>
        </is>
      </c>
      <c r="D88" s="2" t="inlineStr">
        <is>
          <t>EUR k/MVA</t>
        </is>
      </c>
      <c r="E88" s="16">
        <f>E86/E6</f>
        <v/>
      </c>
      <c r="F88" s="16">
        <f>F86/F6</f>
        <v/>
      </c>
      <c r="G88" s="16">
        <f>G86/G6</f>
        <v/>
      </c>
      <c r="H88" s="16">
        <f>H86/H6</f>
        <v/>
      </c>
    </row>
    <row r="90">
      <c r="B90" s="4" t="inlineStr">
        <is>
          <t>x</t>
        </is>
      </c>
      <c r="C90" s="4" t="inlineStr">
        <is>
          <t>Devex breakdown (Bora: devex-file categories; tender fee and securities: above)</t>
        </is>
      </c>
      <c r="D90" s="4" t="n"/>
      <c r="E90" s="5" t="inlineStr">
        <is>
          <t>Bora</t>
        </is>
      </c>
      <c r="F90" s="5" t="inlineStr">
        <is>
          <t>Iváncsa</t>
        </is>
      </c>
      <c r="G90" s="5" t="inlineStr">
        <is>
          <t>Dunaújváros</t>
        </is>
      </c>
      <c r="H90" s="5" t="inlineStr">
        <is>
          <t>Total</t>
        </is>
      </c>
    </row>
    <row r="91">
      <c r="C91" s="6" t="inlineStr">
        <is>
          <t>Grid connection plan and agreement</t>
        </is>
      </c>
      <c r="D91" s="2" t="inlineStr">
        <is>
          <t>EUR k</t>
        </is>
      </c>
      <c r="E91" s="16">
        <f>Inputs!E$18</f>
        <v/>
      </c>
      <c r="F91" s="16">
        <f>Inputs!F$18</f>
        <v/>
      </c>
      <c r="G91" s="16">
        <f>Inputs!G$18</f>
        <v/>
      </c>
      <c r="H91" s="16">
        <f>SUM(E91:G91)</f>
        <v/>
      </c>
    </row>
    <row r="92">
      <c r="C92" s="6" t="inlineStr">
        <is>
          <t>Land (reservation, purchase, contracting)</t>
        </is>
      </c>
      <c r="D92" s="2" t="inlineStr">
        <is>
          <t>EUR k</t>
        </is>
      </c>
      <c r="E92" s="16">
        <f>Inputs!E$19</f>
        <v/>
      </c>
      <c r="F92" s="16">
        <f>Inputs!F$19</f>
        <v/>
      </c>
      <c r="G92" s="16">
        <f>Inputs!G$19</f>
        <v/>
      </c>
      <c r="H92" s="16">
        <f>SUM(E92:G92)</f>
        <v/>
      </c>
    </row>
    <row r="93">
      <c r="C93" s="6" t="inlineStr">
        <is>
          <t>Permits, zoning, cable rights</t>
        </is>
      </c>
      <c r="D93" s="2" t="inlineStr">
        <is>
          <t>EUR k</t>
        </is>
      </c>
      <c r="E93" s="16">
        <f>Inputs!E$20</f>
        <v/>
      </c>
      <c r="F93" s="16">
        <f>Inputs!F$20</f>
        <v/>
      </c>
      <c r="G93" s="16">
        <f>Inputs!G$20</f>
        <v/>
      </c>
      <c r="H93" s="16">
        <f>SUM(E93:G93)</f>
        <v/>
      </c>
    </row>
    <row r="94">
      <c r="C94" s="6" t="inlineStr">
        <is>
          <t>Studies (wind, environment, ground)</t>
        </is>
      </c>
      <c r="D94" s="2" t="inlineStr">
        <is>
          <t>EUR k</t>
        </is>
      </c>
      <c r="E94" s="16">
        <f>Inputs!E$21</f>
        <v/>
      </c>
      <c r="F94" s="16">
        <f>Inputs!F$21</f>
        <v/>
      </c>
      <c r="G94" s="16">
        <f>Inputs!G$21</f>
        <v/>
      </c>
      <c r="H94" s="16">
        <f>SUM(E94:G94)</f>
        <v/>
      </c>
    </row>
    <row r="95">
      <c r="C95" s="6" t="inlineStr">
        <is>
          <t>Legal, financial and other</t>
        </is>
      </c>
      <c r="D95" s="2" t="inlineStr">
        <is>
          <t>EUR k</t>
        </is>
      </c>
      <c r="E95" s="16">
        <f>Inputs!E$22</f>
        <v/>
      </c>
      <c r="F95" s="16">
        <f>Inputs!F$22</f>
        <v/>
      </c>
      <c r="G95" s="16">
        <f>Inputs!G$22</f>
        <v/>
      </c>
      <c r="H95" s="16">
        <f>SUM(E95:G95)</f>
        <v/>
      </c>
    </row>
    <row r="96">
      <c r="C96" s="6" t="inlineStr">
        <is>
          <t>Not itemised</t>
        </is>
      </c>
      <c r="D96" s="2" t="inlineStr">
        <is>
          <t>EUR k</t>
        </is>
      </c>
      <c r="E96" s="16">
        <f>Inputs!E$23</f>
        <v/>
      </c>
      <c r="F96" s="16">
        <f>Inputs!F$23</f>
        <v/>
      </c>
      <c r="G96" s="16">
        <f>Inputs!G$23</f>
        <v/>
      </c>
      <c r="H96" s="16">
        <f>SUM(E96:G96)</f>
        <v/>
      </c>
    </row>
    <row r="97">
      <c r="C97" s="6" t="inlineStr">
        <is>
          <t>Contingency</t>
        </is>
      </c>
      <c r="D97" s="2" t="inlineStr">
        <is>
          <t>EUR k</t>
        </is>
      </c>
      <c r="E97" s="16">
        <f>Inputs!E$24</f>
        <v/>
      </c>
      <c r="F97" s="16">
        <f>Inputs!F$24</f>
        <v/>
      </c>
      <c r="G97" s="16">
        <f>Inputs!G$24</f>
        <v/>
      </c>
      <c r="H97" s="16">
        <f>SUM(E97:G97)</f>
        <v/>
      </c>
    </row>
    <row r="98">
      <c r="C98" s="1" t="inlineStr">
        <is>
          <t>Devex total (= DEVEX line above)</t>
        </is>
      </c>
      <c r="D98" s="2" t="inlineStr">
        <is>
          <t>EUR k</t>
        </is>
      </c>
      <c r="E98" s="17">
        <f>SUM(E91:E97)</f>
        <v/>
      </c>
      <c r="F98" s="17">
        <f>SUM(F91:F97)</f>
        <v/>
      </c>
      <c r="G98" s="17">
        <f>SUM(G91:G97)</f>
        <v/>
      </c>
      <c r="H98" s="17">
        <f>SUM(E98:G98)</f>
        <v/>
      </c>
    </row>
    <row r="100">
      <c r="B100" s="4" t="inlineStr">
        <is>
          <t>x</t>
        </is>
      </c>
      <c r="C100" s="4" t="inlineStr">
        <is>
          <t>Three routes, totals</t>
        </is>
      </c>
      <c r="D100" s="4" t="n"/>
      <c r="E100" s="5" t="inlineStr">
        <is>
          <t>Bora</t>
        </is>
      </c>
      <c r="F100" s="5" t="inlineStr">
        <is>
          <t>Iváncsa</t>
        </is>
      </c>
      <c r="G100" s="5" t="inlineStr">
        <is>
          <t>Dunaújváros</t>
        </is>
      </c>
      <c r="H100" s="5" t="inlineStr">
        <is>
          <t>Total</t>
        </is>
      </c>
    </row>
    <row r="101">
      <c r="C101" s="20" t="inlineStr">
        <is>
          <t>RtB exit (sale at RtB, 30-Sep-2029)</t>
        </is>
      </c>
      <c r="D101" s="20" t="n"/>
      <c r="E101" s="21" t="n"/>
      <c r="F101" s="21" t="n"/>
      <c r="G101" s="21" t="n"/>
      <c r="H101" s="21" t="n"/>
    </row>
    <row r="102">
      <c r="C102" s="6" t="inlineStr">
        <is>
          <t>Total FEP cash out to RtB (peak exposure)</t>
        </is>
      </c>
      <c r="D102" s="2" t="inlineStr">
        <is>
          <t>EUR k</t>
        </is>
      </c>
      <c r="E102" s="8">
        <f>E69</f>
        <v/>
      </c>
      <c r="F102" s="8">
        <f>F69</f>
        <v/>
      </c>
      <c r="G102" s="8">
        <f>G69</f>
        <v/>
      </c>
      <c r="H102" s="8">
        <f>SUM(E102:G102)</f>
        <v/>
      </c>
    </row>
    <row r="103">
      <c r="C103" s="6" t="inlineStr">
        <is>
          <t>Total proceeds to FEP at the sale</t>
        </is>
      </c>
      <c r="D103" s="2" t="inlineStr">
        <is>
          <t>EUR k</t>
        </is>
      </c>
      <c r="E103" s="8">
        <f>E203</f>
        <v/>
      </c>
      <c r="F103" s="8">
        <f>F203</f>
        <v/>
      </c>
      <c r="G103" s="8">
        <f>G203</f>
        <v/>
      </c>
      <c r="H103" s="8">
        <f>SUM(E103:G103)</f>
        <v/>
      </c>
    </row>
    <row r="104">
      <c r="C104" s="6" t="inlineStr">
        <is>
          <t>FEP profit, pre-tax</t>
        </is>
      </c>
      <c r="D104" s="2" t="inlineStr">
        <is>
          <t>EUR k</t>
        </is>
      </c>
      <c r="E104" s="8">
        <f>E204</f>
        <v/>
      </c>
      <c r="F104" s="8">
        <f>F204</f>
        <v/>
      </c>
      <c r="G104" s="8">
        <f>G204</f>
        <v/>
      </c>
      <c r="H104" s="8">
        <f>SUM(E104:G104)</f>
        <v/>
      </c>
    </row>
    <row r="105">
      <c r="C105" s="1" t="inlineStr">
        <is>
          <t>FEP profit, post-tax</t>
        </is>
      </c>
      <c r="D105" s="2" t="inlineStr">
        <is>
          <t>EUR k</t>
        </is>
      </c>
      <c r="E105" s="14">
        <f>E206</f>
        <v/>
      </c>
      <c r="F105" s="14">
        <f>F206</f>
        <v/>
      </c>
      <c r="G105" s="14">
        <f>G206</f>
        <v/>
      </c>
      <c r="H105" s="14">
        <f>SUM(E105:G105)</f>
        <v/>
      </c>
    </row>
    <row r="106">
      <c r="C106" s="6" t="inlineStr">
        <is>
          <t>MOIC, pre-tax</t>
        </is>
      </c>
      <c r="D106" s="2" t="inlineStr">
        <is>
          <t>x</t>
        </is>
      </c>
      <c r="E106" s="22">
        <f>SUMIF(E195:E203,"&gt;0")/-SUMIF(E195:E203,"&lt;0")</f>
        <v/>
      </c>
      <c r="F106" s="22">
        <f>SUMIF(F195:F203,"&gt;0")/-SUMIF(F195:F203,"&lt;0")</f>
        <v/>
      </c>
      <c r="G106" s="22">
        <f>SUMIF(G195:G203,"&gt;0")/-SUMIF(G195:G203,"&lt;0")</f>
        <v/>
      </c>
    </row>
    <row r="107">
      <c r="C107" s="6" t="inlineStr">
        <is>
          <t>IRR, pre-tax</t>
        </is>
      </c>
      <c r="D107" s="2" t="inlineStr">
        <is>
          <t>%</t>
        </is>
      </c>
      <c r="E107" s="23">
        <f>XIRR(E195:E203,J195:J203)</f>
        <v/>
      </c>
      <c r="F107" s="23">
        <f>XIRR(F195:F203,J195:J203)</f>
        <v/>
      </c>
      <c r="G107" s="23">
        <f>XIRR(G195:G203,J195:J203)</f>
        <v/>
      </c>
    </row>
    <row r="108">
      <c r="C108" s="20" t="inlineStr">
        <is>
          <t>COD exit (sale at COD to a buyer earning the discount rate)</t>
        </is>
      </c>
      <c r="D108" s="20" t="n"/>
      <c r="E108" s="21" t="n"/>
      <c r="F108" s="21" t="n"/>
      <c r="G108" s="21" t="n"/>
      <c r="H108" s="21" t="n"/>
    </row>
    <row r="109">
      <c r="C109" s="6" t="inlineStr">
        <is>
          <t>Total capex and costs to COD</t>
        </is>
      </c>
      <c r="D109" s="2" t="inlineStr">
        <is>
          <t>EUR k</t>
        </is>
      </c>
      <c r="E109" s="8">
        <f>E86</f>
        <v/>
      </c>
      <c r="F109" s="8">
        <f>F86</f>
        <v/>
      </c>
      <c r="G109" s="8">
        <f>G86</f>
        <v/>
      </c>
      <c r="H109" s="8">
        <f>SUM(E109:G109)</f>
        <v/>
      </c>
    </row>
    <row r="110">
      <c r="C110" s="6" t="inlineStr">
        <is>
          <t>Sale price at COD</t>
        </is>
      </c>
      <c r="D110" s="2" t="inlineStr">
        <is>
          <t>EUR k</t>
        </is>
      </c>
      <c r="E110" s="8">
        <f>$H$240</f>
        <v/>
      </c>
      <c r="F110" s="8">
        <f>$H$271</f>
        <v/>
      </c>
      <c r="G110" s="8">
        <f>$H$302</f>
        <v/>
      </c>
      <c r="H110" s="8">
        <f>SUM(E110:G110)</f>
        <v/>
      </c>
    </row>
    <row r="111">
      <c r="C111" s="6" t="inlineStr">
        <is>
          <t>FEP profit, pre-tax</t>
        </is>
      </c>
      <c r="D111" s="2" t="inlineStr">
        <is>
          <t>EUR k</t>
        </is>
      </c>
      <c r="E111" s="8">
        <f>$H$241</f>
        <v/>
      </c>
      <c r="F111" s="8">
        <f>$H$272</f>
        <v/>
      </c>
      <c r="G111" s="8">
        <f>$H$303</f>
        <v/>
      </c>
      <c r="H111" s="8">
        <f>SUM(E111:G111)</f>
        <v/>
      </c>
    </row>
    <row r="112">
      <c r="C112" s="1" t="inlineStr">
        <is>
          <t>FEP profit, post-tax</t>
        </is>
      </c>
      <c r="D112" s="2" t="inlineStr">
        <is>
          <t>EUR k</t>
        </is>
      </c>
      <c r="E112" s="14">
        <f>E307</f>
        <v/>
      </c>
      <c r="F112" s="14">
        <f>F307</f>
        <v/>
      </c>
      <c r="G112" s="14">
        <f>G307</f>
        <v/>
      </c>
      <c r="H112" s="14">
        <f>SUM(E112:G112)</f>
        <v/>
      </c>
    </row>
    <row r="113">
      <c r="C113" s="6" t="inlineStr">
        <is>
          <t>MOIC, pre-tax</t>
        </is>
      </c>
      <c r="D113" s="2" t="inlineStr">
        <is>
          <t>x</t>
        </is>
      </c>
      <c r="E113" s="22">
        <f>SUMIF($J$241:$AX$241,"&gt;0")/-SUMIF($J$241:$AX$241,"&lt;0")</f>
        <v/>
      </c>
      <c r="F113" s="22">
        <f>SUMIF($J$272:$AX$272,"&gt;0")/-SUMIF($J$272:$AX$272,"&lt;0")</f>
        <v/>
      </c>
      <c r="G113" s="22">
        <f>SUMIF($J$303:$AX$303,"&gt;0")/-SUMIF($J$303:$AX$303,"&lt;0")</f>
        <v/>
      </c>
    </row>
    <row r="114">
      <c r="C114" s="6" t="inlineStr">
        <is>
          <t>IRR, pre-tax</t>
        </is>
      </c>
      <c r="D114" s="2" t="inlineStr">
        <is>
          <t>%</t>
        </is>
      </c>
      <c r="E114" s="23">
        <f>XIRR($J$241:$AX$241,$J$210:$AX$210)</f>
        <v/>
      </c>
      <c r="F114" s="23">
        <f>XIRR($J$272:$AX$272,$J$210:$AX$210)</f>
        <v/>
      </c>
      <c r="G114" s="23">
        <f>XIRR($J$303:$AX$303,$J$210:$AX$210)</f>
        <v/>
      </c>
    </row>
    <row r="115">
      <c r="C115" s="20" t="inlineStr">
        <is>
          <t>Hold to maturity (EBITDA only, no debt, no tax)</t>
        </is>
      </c>
      <c r="D115" s="20" t="n"/>
      <c r="E115" s="21" t="n"/>
      <c r="F115" s="21" t="n"/>
      <c r="G115" s="21" t="n"/>
      <c r="H115" s="21" t="n"/>
    </row>
    <row r="116">
      <c r="C116" s="6" t="inlineStr">
        <is>
          <t>Total capex and costs to COD</t>
        </is>
      </c>
      <c r="D116" s="2" t="inlineStr">
        <is>
          <t>EUR k</t>
        </is>
      </c>
      <c r="E116" s="8">
        <f>E86</f>
        <v/>
      </c>
      <c r="F116" s="8">
        <f>F86</f>
        <v/>
      </c>
      <c r="G116" s="8">
        <f>G86</f>
        <v/>
      </c>
      <c r="H116" s="8">
        <f>SUM(E116:G116)</f>
        <v/>
      </c>
    </row>
    <row r="117">
      <c r="C117" s="6" t="inlineStr">
        <is>
          <t>Total revenue over the life</t>
        </is>
      </c>
      <c r="D117" s="2" t="inlineStr">
        <is>
          <t>EUR k</t>
        </is>
      </c>
      <c r="E117" s="8">
        <f>$H$227</f>
        <v/>
      </c>
      <c r="F117" s="8">
        <f>$H$258</f>
        <v/>
      </c>
      <c r="G117" s="8">
        <f>$H$289</f>
        <v/>
      </c>
      <c r="H117" s="8">
        <f>SUM(E117:G117)</f>
        <v/>
      </c>
    </row>
    <row r="118">
      <c r="C118" s="6" t="inlineStr">
        <is>
          <t>Total opex over the life</t>
        </is>
      </c>
      <c r="D118" s="2" t="inlineStr">
        <is>
          <t>EUR k</t>
        </is>
      </c>
      <c r="E118" s="8">
        <f>$H$236</f>
        <v/>
      </c>
      <c r="F118" s="8">
        <f>$H$267</f>
        <v/>
      </c>
      <c r="G118" s="8">
        <f>$H$298</f>
        <v/>
      </c>
      <c r="H118" s="8">
        <f>SUM(E118:G118)</f>
        <v/>
      </c>
    </row>
    <row r="119">
      <c r="C119" s="6" t="inlineStr">
        <is>
          <t>Total EBITDA over the life</t>
        </is>
      </c>
      <c r="D119" s="2" t="inlineStr">
        <is>
          <t>EUR k</t>
        </is>
      </c>
      <c r="E119" s="8">
        <f>$H$237</f>
        <v/>
      </c>
      <c r="F119" s="8">
        <f>$H$268</f>
        <v/>
      </c>
      <c r="G119" s="8">
        <f>$H$299</f>
        <v/>
      </c>
      <c r="H119" s="8">
        <f>SUM(E119:G119)</f>
        <v/>
      </c>
    </row>
    <row r="120">
      <c r="C120" s="6" t="inlineStr">
        <is>
          <t>First full operating year EBITDA</t>
        </is>
      </c>
      <c r="D120" s="2" t="inlineStr">
        <is>
          <t>EUR k</t>
        </is>
      </c>
      <c r="E120" s="8">
        <f>SUMIF($J$209:$AX$209,YEAR(Date_COD)+1,$J$237:$AX$237)</f>
        <v/>
      </c>
      <c r="F120" s="8">
        <f>SUMIF($J$209:$AX$209,YEAR(Date_COD)+1,$J$268:$AX$268)</f>
        <v/>
      </c>
      <c r="G120" s="8">
        <f>SUMIF($J$209:$AX$209,YEAR(Date_COD)+1,$J$299:$AX$299)</f>
        <v/>
      </c>
      <c r="H120" s="8">
        <f>SUM(E120:G120)</f>
        <v/>
      </c>
    </row>
    <row r="121">
      <c r="C121" s="1" t="inlineStr">
        <is>
          <t>Project IRR, pre-tax</t>
        </is>
      </c>
      <c r="D121" s="2" t="inlineStr">
        <is>
          <t>%</t>
        </is>
      </c>
      <c r="E121" s="24">
        <f>XIRR($J$238:$AX$238,$J$210:$AX$210)</f>
        <v/>
      </c>
      <c r="F121" s="24">
        <f>XIRR($J$269:$AX$269,$J$210:$AX$210)</f>
        <v/>
      </c>
      <c r="G121" s="24">
        <f>XIRR($J$300:$AX$300,$J$210:$AX$210)</f>
        <v/>
      </c>
    </row>
    <row r="122">
      <c r="C122" s="6" t="inlineStr">
        <is>
          <t>NPV at the discount rate, at the first year end</t>
        </is>
      </c>
      <c r="D122" s="2" t="inlineStr">
        <is>
          <t>EUR k</t>
        </is>
      </c>
      <c r="E122" s="8">
        <f>XNPV(Discount_Rate,$J$238:$AX$238,$J$210:$AX$210)</f>
        <v/>
      </c>
      <c r="F122" s="8">
        <f>XNPV(Discount_Rate,$J$269:$AX$269,$J$210:$AX$210)</f>
        <v/>
      </c>
      <c r="G122" s="8">
        <f>XNPV(Discount_Rate,$J$300:$AX$300,$J$210:$AX$210)</f>
        <v/>
      </c>
      <c r="H122" s="8">
        <f>SUM(E122:G122)</f>
        <v/>
      </c>
    </row>
    <row r="124">
      <c r="B124" s="4" t="inlineStr">
        <is>
          <t>x</t>
        </is>
      </c>
      <c r="C124" s="4" t="inlineStr">
        <is>
          <t>Annual cash flow per project (EUR k)</t>
        </is>
      </c>
      <c r="D124" s="4" t="n"/>
      <c r="E124" s="5" t="n"/>
      <c r="F124" s="5" t="n"/>
      <c r="G124" s="5" t="n"/>
      <c r="H124" s="5" t="inlineStr">
        <is>
          <t>Total</t>
        </is>
      </c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</row>
    <row r="125">
      <c r="C125" s="6" t="inlineStr">
        <is>
          <t>Year</t>
        </is>
      </c>
      <c r="D125" s="2" t="inlineStr">
        <is>
          <t>year</t>
        </is>
      </c>
      <c r="J125" s="25">
        <f>J209</f>
        <v/>
      </c>
      <c r="K125" s="25">
        <f>K209</f>
        <v/>
      </c>
      <c r="L125" s="25">
        <f>L209</f>
        <v/>
      </c>
      <c r="M125" s="25">
        <f>M209</f>
        <v/>
      </c>
      <c r="N125" s="25">
        <f>N209</f>
        <v/>
      </c>
      <c r="O125" s="25">
        <f>O209</f>
        <v/>
      </c>
      <c r="P125" s="25">
        <f>P209</f>
        <v/>
      </c>
      <c r="Q125" s="25">
        <f>Q209</f>
        <v/>
      </c>
      <c r="R125" s="25">
        <f>R209</f>
        <v/>
      </c>
      <c r="S125" s="25">
        <f>S209</f>
        <v/>
      </c>
      <c r="T125" s="25">
        <f>T209</f>
        <v/>
      </c>
      <c r="U125" s="25">
        <f>U209</f>
        <v/>
      </c>
      <c r="V125" s="25">
        <f>V209</f>
        <v/>
      </c>
      <c r="W125" s="25">
        <f>W209</f>
        <v/>
      </c>
      <c r="X125" s="25">
        <f>X209</f>
        <v/>
      </c>
      <c r="Y125" s="25">
        <f>Y209</f>
        <v/>
      </c>
      <c r="Z125" s="25">
        <f>Z209</f>
        <v/>
      </c>
      <c r="AA125" s="25">
        <f>AA209</f>
        <v/>
      </c>
      <c r="AB125" s="25">
        <f>AB209</f>
        <v/>
      </c>
      <c r="AC125" s="25">
        <f>AC209</f>
        <v/>
      </c>
      <c r="AD125" s="25">
        <f>AD209</f>
        <v/>
      </c>
      <c r="AE125" s="25">
        <f>AE209</f>
        <v/>
      </c>
      <c r="AF125" s="25">
        <f>AF209</f>
        <v/>
      </c>
      <c r="AG125" s="25">
        <f>AG209</f>
        <v/>
      </c>
      <c r="AH125" s="25">
        <f>AH209</f>
        <v/>
      </c>
      <c r="AI125" s="25">
        <f>AI209</f>
        <v/>
      </c>
      <c r="AJ125" s="25">
        <f>AJ209</f>
        <v/>
      </c>
      <c r="AK125" s="25">
        <f>AK209</f>
        <v/>
      </c>
      <c r="AL125" s="25">
        <f>AL209</f>
        <v/>
      </c>
      <c r="AM125" s="25">
        <f>AM209</f>
        <v/>
      </c>
      <c r="AN125" s="25">
        <f>AN209</f>
        <v/>
      </c>
      <c r="AO125" s="25">
        <f>AO209</f>
        <v/>
      </c>
      <c r="AP125" s="25">
        <f>AP209</f>
        <v/>
      </c>
      <c r="AQ125" s="25">
        <f>AQ209</f>
        <v/>
      </c>
      <c r="AR125" s="25">
        <f>AR209</f>
        <v/>
      </c>
      <c r="AS125" s="25">
        <f>AS209</f>
        <v/>
      </c>
      <c r="AT125" s="25">
        <f>AT209</f>
        <v/>
      </c>
      <c r="AU125" s="25">
        <f>AU209</f>
        <v/>
      </c>
      <c r="AV125" s="25">
        <f>AV209</f>
        <v/>
      </c>
      <c r="AW125" s="25">
        <f>AW209</f>
        <v/>
      </c>
      <c r="AX125" s="25">
        <f>AX209</f>
        <v/>
      </c>
    </row>
    <row r="127">
      <c r="C127" s="20" t="inlineStr">
        <is>
          <t>Bora</t>
        </is>
      </c>
      <c r="D127" s="20" t="n"/>
      <c r="E127" s="21" t="n"/>
      <c r="F127" s="21" t="n"/>
      <c r="G127" s="21" t="n"/>
      <c r="H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21" t="n"/>
      <c r="AI127" s="21" t="n"/>
      <c r="AJ127" s="21" t="n"/>
      <c r="AK127" s="21" t="n"/>
      <c r="AL127" s="21" t="n"/>
      <c r="AM127" s="21" t="n"/>
      <c r="AN127" s="21" t="n"/>
      <c r="AO127" s="21" t="n"/>
      <c r="AP127" s="21" t="n"/>
      <c r="AQ127" s="21" t="n"/>
      <c r="AR127" s="21" t="n"/>
      <c r="AS127" s="21" t="n"/>
      <c r="AT127" s="21" t="n"/>
      <c r="AU127" s="21" t="n"/>
      <c r="AV127" s="21" t="n"/>
      <c r="AW127" s="21" t="n"/>
      <c r="AX127" s="21" t="n"/>
    </row>
    <row r="128">
      <c r="C128" s="6" t="inlineStr">
        <is>
          <t>Spending (capex, fees, securities, devex), net</t>
        </is>
      </c>
      <c r="D128" s="2" t="inlineStr">
        <is>
          <t>EUR k</t>
        </is>
      </c>
      <c r="H128" s="8">
        <f>SUM(J128:AX128)</f>
        <v/>
      </c>
      <c r="J128" s="8">
        <f>J223</f>
        <v/>
      </c>
      <c r="K128" s="8">
        <f>K223</f>
        <v/>
      </c>
      <c r="L128" s="8">
        <f>L223</f>
        <v/>
      </c>
      <c r="M128" s="8">
        <f>M223</f>
        <v/>
      </c>
      <c r="N128" s="8">
        <f>N223</f>
        <v/>
      </c>
      <c r="O128" s="8">
        <f>O223</f>
        <v/>
      </c>
      <c r="P128" s="8">
        <f>P223</f>
        <v/>
      </c>
      <c r="Q128" s="8">
        <f>Q223</f>
        <v/>
      </c>
      <c r="R128" s="8">
        <f>R223</f>
        <v/>
      </c>
      <c r="S128" s="8">
        <f>S223</f>
        <v/>
      </c>
      <c r="T128" s="8">
        <f>T223</f>
        <v/>
      </c>
      <c r="U128" s="8">
        <f>U223</f>
        <v/>
      </c>
      <c r="V128" s="8">
        <f>V223</f>
        <v/>
      </c>
      <c r="W128" s="8">
        <f>W223</f>
        <v/>
      </c>
      <c r="X128" s="8">
        <f>X223</f>
        <v/>
      </c>
      <c r="Y128" s="8">
        <f>Y223</f>
        <v/>
      </c>
      <c r="Z128" s="8">
        <f>Z223</f>
        <v/>
      </c>
      <c r="AA128" s="8">
        <f>AA223</f>
        <v/>
      </c>
      <c r="AB128" s="8">
        <f>AB223</f>
        <v/>
      </c>
      <c r="AC128" s="8">
        <f>AC223</f>
        <v/>
      </c>
      <c r="AD128" s="8">
        <f>AD223</f>
        <v/>
      </c>
      <c r="AE128" s="8">
        <f>AE223</f>
        <v/>
      </c>
      <c r="AF128" s="8">
        <f>AF223</f>
        <v/>
      </c>
      <c r="AG128" s="8">
        <f>AG223</f>
        <v/>
      </c>
      <c r="AH128" s="8">
        <f>AH223</f>
        <v/>
      </c>
      <c r="AI128" s="8">
        <f>AI223</f>
        <v/>
      </c>
      <c r="AJ128" s="8">
        <f>AJ223</f>
        <v/>
      </c>
      <c r="AK128" s="8">
        <f>AK223</f>
        <v/>
      </c>
      <c r="AL128" s="8">
        <f>AL223</f>
        <v/>
      </c>
      <c r="AM128" s="8">
        <f>AM223</f>
        <v/>
      </c>
      <c r="AN128" s="8">
        <f>AN223</f>
        <v/>
      </c>
      <c r="AO128" s="8">
        <f>AO223</f>
        <v/>
      </c>
      <c r="AP128" s="8">
        <f>AP223</f>
        <v/>
      </c>
      <c r="AQ128" s="8">
        <f>AQ223</f>
        <v/>
      </c>
      <c r="AR128" s="8">
        <f>AR223</f>
        <v/>
      </c>
      <c r="AS128" s="8">
        <f>AS223</f>
        <v/>
      </c>
      <c r="AT128" s="8">
        <f>AT223</f>
        <v/>
      </c>
      <c r="AU128" s="8">
        <f>AU223</f>
        <v/>
      </c>
      <c r="AV128" s="8">
        <f>AV223</f>
        <v/>
      </c>
      <c r="AW128" s="8">
        <f>AW223</f>
        <v/>
      </c>
      <c r="AX128" s="8">
        <f>AX223</f>
        <v/>
      </c>
    </row>
    <row r="129">
      <c r="C129" s="6" t="inlineStr">
        <is>
          <t>Revenue</t>
        </is>
      </c>
      <c r="D129" s="2" t="inlineStr">
        <is>
          <t>EUR k</t>
        </is>
      </c>
      <c r="H129" s="8">
        <f>SUM(J129:AX129)</f>
        <v/>
      </c>
      <c r="J129" s="8">
        <f>J227</f>
        <v/>
      </c>
      <c r="K129" s="8">
        <f>K227</f>
        <v/>
      </c>
      <c r="L129" s="8">
        <f>L227</f>
        <v/>
      </c>
      <c r="M129" s="8">
        <f>M227</f>
        <v/>
      </c>
      <c r="N129" s="8">
        <f>N227</f>
        <v/>
      </c>
      <c r="O129" s="8">
        <f>O227</f>
        <v/>
      </c>
      <c r="P129" s="8">
        <f>P227</f>
        <v/>
      </c>
      <c r="Q129" s="8">
        <f>Q227</f>
        <v/>
      </c>
      <c r="R129" s="8">
        <f>R227</f>
        <v/>
      </c>
      <c r="S129" s="8">
        <f>S227</f>
        <v/>
      </c>
      <c r="T129" s="8">
        <f>T227</f>
        <v/>
      </c>
      <c r="U129" s="8">
        <f>U227</f>
        <v/>
      </c>
      <c r="V129" s="8">
        <f>V227</f>
        <v/>
      </c>
      <c r="W129" s="8">
        <f>W227</f>
        <v/>
      </c>
      <c r="X129" s="8">
        <f>X227</f>
        <v/>
      </c>
      <c r="Y129" s="8">
        <f>Y227</f>
        <v/>
      </c>
      <c r="Z129" s="8">
        <f>Z227</f>
        <v/>
      </c>
      <c r="AA129" s="8">
        <f>AA227</f>
        <v/>
      </c>
      <c r="AB129" s="8">
        <f>AB227</f>
        <v/>
      </c>
      <c r="AC129" s="8">
        <f>AC227</f>
        <v/>
      </c>
      <c r="AD129" s="8">
        <f>AD227</f>
        <v/>
      </c>
      <c r="AE129" s="8">
        <f>AE227</f>
        <v/>
      </c>
      <c r="AF129" s="8">
        <f>AF227</f>
        <v/>
      </c>
      <c r="AG129" s="8">
        <f>AG227</f>
        <v/>
      </c>
      <c r="AH129" s="8">
        <f>AH227</f>
        <v/>
      </c>
      <c r="AI129" s="8">
        <f>AI227</f>
        <v/>
      </c>
      <c r="AJ129" s="8">
        <f>AJ227</f>
        <v/>
      </c>
      <c r="AK129" s="8">
        <f>AK227</f>
        <v/>
      </c>
      <c r="AL129" s="8">
        <f>AL227</f>
        <v/>
      </c>
      <c r="AM129" s="8">
        <f>AM227</f>
        <v/>
      </c>
      <c r="AN129" s="8">
        <f>AN227</f>
        <v/>
      </c>
      <c r="AO129" s="8">
        <f>AO227</f>
        <v/>
      </c>
      <c r="AP129" s="8">
        <f>AP227</f>
        <v/>
      </c>
      <c r="AQ129" s="8">
        <f>AQ227</f>
        <v/>
      </c>
      <c r="AR129" s="8">
        <f>AR227</f>
        <v/>
      </c>
      <c r="AS129" s="8">
        <f>AS227</f>
        <v/>
      </c>
      <c r="AT129" s="8">
        <f>AT227</f>
        <v/>
      </c>
      <c r="AU129" s="8">
        <f>AU227</f>
        <v/>
      </c>
      <c r="AV129" s="8">
        <f>AV227</f>
        <v/>
      </c>
      <c r="AW129" s="8">
        <f>AW227</f>
        <v/>
      </c>
      <c r="AX129" s="8">
        <f>AX227</f>
        <v/>
      </c>
    </row>
    <row r="130">
      <c r="C130" s="6" t="inlineStr">
        <is>
          <t>Opex</t>
        </is>
      </c>
      <c r="D130" s="2" t="inlineStr">
        <is>
          <t>EUR k</t>
        </is>
      </c>
      <c r="H130" s="8">
        <f>SUM(J130:AX130)</f>
        <v/>
      </c>
      <c r="J130" s="8">
        <f>J236</f>
        <v/>
      </c>
      <c r="K130" s="8">
        <f>K236</f>
        <v/>
      </c>
      <c r="L130" s="8">
        <f>L236</f>
        <v/>
      </c>
      <c r="M130" s="8">
        <f>M236</f>
        <v/>
      </c>
      <c r="N130" s="8">
        <f>N236</f>
        <v/>
      </c>
      <c r="O130" s="8">
        <f>O236</f>
        <v/>
      </c>
      <c r="P130" s="8">
        <f>P236</f>
        <v/>
      </c>
      <c r="Q130" s="8">
        <f>Q236</f>
        <v/>
      </c>
      <c r="R130" s="8">
        <f>R236</f>
        <v/>
      </c>
      <c r="S130" s="8">
        <f>S236</f>
        <v/>
      </c>
      <c r="T130" s="8">
        <f>T236</f>
        <v/>
      </c>
      <c r="U130" s="8">
        <f>U236</f>
        <v/>
      </c>
      <c r="V130" s="8">
        <f>V236</f>
        <v/>
      </c>
      <c r="W130" s="8">
        <f>W236</f>
        <v/>
      </c>
      <c r="X130" s="8">
        <f>X236</f>
        <v/>
      </c>
      <c r="Y130" s="8">
        <f>Y236</f>
        <v/>
      </c>
      <c r="Z130" s="8">
        <f>Z236</f>
        <v/>
      </c>
      <c r="AA130" s="8">
        <f>AA236</f>
        <v/>
      </c>
      <c r="AB130" s="8">
        <f>AB236</f>
        <v/>
      </c>
      <c r="AC130" s="8">
        <f>AC236</f>
        <v/>
      </c>
      <c r="AD130" s="8">
        <f>AD236</f>
        <v/>
      </c>
      <c r="AE130" s="8">
        <f>AE236</f>
        <v/>
      </c>
      <c r="AF130" s="8">
        <f>AF236</f>
        <v/>
      </c>
      <c r="AG130" s="8">
        <f>AG236</f>
        <v/>
      </c>
      <c r="AH130" s="8">
        <f>AH236</f>
        <v/>
      </c>
      <c r="AI130" s="8">
        <f>AI236</f>
        <v/>
      </c>
      <c r="AJ130" s="8">
        <f>AJ236</f>
        <v/>
      </c>
      <c r="AK130" s="8">
        <f>AK236</f>
        <v/>
      </c>
      <c r="AL130" s="8">
        <f>AL236</f>
        <v/>
      </c>
      <c r="AM130" s="8">
        <f>AM236</f>
        <v/>
      </c>
      <c r="AN130" s="8">
        <f>AN236</f>
        <v/>
      </c>
      <c r="AO130" s="8">
        <f>AO236</f>
        <v/>
      </c>
      <c r="AP130" s="8">
        <f>AP236</f>
        <v/>
      </c>
      <c r="AQ130" s="8">
        <f>AQ236</f>
        <v/>
      </c>
      <c r="AR130" s="8">
        <f>AR236</f>
        <v/>
      </c>
      <c r="AS130" s="8">
        <f>AS236</f>
        <v/>
      </c>
      <c r="AT130" s="8">
        <f>AT236</f>
        <v/>
      </c>
      <c r="AU130" s="8">
        <f>AU236</f>
        <v/>
      </c>
      <c r="AV130" s="8">
        <f>AV236</f>
        <v/>
      </c>
      <c r="AW130" s="8">
        <f>AW236</f>
        <v/>
      </c>
      <c r="AX130" s="8">
        <f>AX236</f>
        <v/>
      </c>
    </row>
    <row r="131">
      <c r="C131" s="6" t="inlineStr">
        <is>
          <t>EBITDA</t>
        </is>
      </c>
      <c r="D131" s="2" t="inlineStr">
        <is>
          <t>EUR k</t>
        </is>
      </c>
      <c r="H131" s="8">
        <f>SUM(J131:AX131)</f>
        <v/>
      </c>
      <c r="J131" s="8">
        <f>J237</f>
        <v/>
      </c>
      <c r="K131" s="8">
        <f>K237</f>
        <v/>
      </c>
      <c r="L131" s="8">
        <f>L237</f>
        <v/>
      </c>
      <c r="M131" s="8">
        <f>M237</f>
        <v/>
      </c>
      <c r="N131" s="8">
        <f>N237</f>
        <v/>
      </c>
      <c r="O131" s="8">
        <f>O237</f>
        <v/>
      </c>
      <c r="P131" s="8">
        <f>P237</f>
        <v/>
      </c>
      <c r="Q131" s="8">
        <f>Q237</f>
        <v/>
      </c>
      <c r="R131" s="8">
        <f>R237</f>
        <v/>
      </c>
      <c r="S131" s="8">
        <f>S237</f>
        <v/>
      </c>
      <c r="T131" s="8">
        <f>T237</f>
        <v/>
      </c>
      <c r="U131" s="8">
        <f>U237</f>
        <v/>
      </c>
      <c r="V131" s="8">
        <f>V237</f>
        <v/>
      </c>
      <c r="W131" s="8">
        <f>W237</f>
        <v/>
      </c>
      <c r="X131" s="8">
        <f>X237</f>
        <v/>
      </c>
      <c r="Y131" s="8">
        <f>Y237</f>
        <v/>
      </c>
      <c r="Z131" s="8">
        <f>Z237</f>
        <v/>
      </c>
      <c r="AA131" s="8">
        <f>AA237</f>
        <v/>
      </c>
      <c r="AB131" s="8">
        <f>AB237</f>
        <v/>
      </c>
      <c r="AC131" s="8">
        <f>AC237</f>
        <v/>
      </c>
      <c r="AD131" s="8">
        <f>AD237</f>
        <v/>
      </c>
      <c r="AE131" s="8">
        <f>AE237</f>
        <v/>
      </c>
      <c r="AF131" s="8">
        <f>AF237</f>
        <v/>
      </c>
      <c r="AG131" s="8">
        <f>AG237</f>
        <v/>
      </c>
      <c r="AH131" s="8">
        <f>AH237</f>
        <v/>
      </c>
      <c r="AI131" s="8">
        <f>AI237</f>
        <v/>
      </c>
      <c r="AJ131" s="8">
        <f>AJ237</f>
        <v/>
      </c>
      <c r="AK131" s="8">
        <f>AK237</f>
        <v/>
      </c>
      <c r="AL131" s="8">
        <f>AL237</f>
        <v/>
      </c>
      <c r="AM131" s="8">
        <f>AM237</f>
        <v/>
      </c>
      <c r="AN131" s="8">
        <f>AN237</f>
        <v/>
      </c>
      <c r="AO131" s="8">
        <f>AO237</f>
        <v/>
      </c>
      <c r="AP131" s="8">
        <f>AP237</f>
        <v/>
      </c>
      <c r="AQ131" s="8">
        <f>AQ237</f>
        <v/>
      </c>
      <c r="AR131" s="8">
        <f>AR237</f>
        <v/>
      </c>
      <c r="AS131" s="8">
        <f>AS237</f>
        <v/>
      </c>
      <c r="AT131" s="8">
        <f>AT237</f>
        <v/>
      </c>
      <c r="AU131" s="8">
        <f>AU237</f>
        <v/>
      </c>
      <c r="AV131" s="8">
        <f>AV237</f>
        <v/>
      </c>
      <c r="AW131" s="8">
        <f>AW237</f>
        <v/>
      </c>
      <c r="AX131" s="8">
        <f>AX237</f>
        <v/>
      </c>
    </row>
    <row r="132">
      <c r="C132" s="1" t="inlineStr">
        <is>
          <t>Net cash flow</t>
        </is>
      </c>
      <c r="D132" s="2" t="inlineStr">
        <is>
          <t>EUR k</t>
        </is>
      </c>
      <c r="H132" s="14">
        <f>SUM(J132:AX132)</f>
        <v/>
      </c>
      <c r="J132" s="14">
        <f>J238</f>
        <v/>
      </c>
      <c r="K132" s="14">
        <f>K238</f>
        <v/>
      </c>
      <c r="L132" s="14">
        <f>L238</f>
        <v/>
      </c>
      <c r="M132" s="14">
        <f>M238</f>
        <v/>
      </c>
      <c r="N132" s="14">
        <f>N238</f>
        <v/>
      </c>
      <c r="O132" s="14">
        <f>O238</f>
        <v/>
      </c>
      <c r="P132" s="14">
        <f>P238</f>
        <v/>
      </c>
      <c r="Q132" s="14">
        <f>Q238</f>
        <v/>
      </c>
      <c r="R132" s="14">
        <f>R238</f>
        <v/>
      </c>
      <c r="S132" s="14">
        <f>S238</f>
        <v/>
      </c>
      <c r="T132" s="14">
        <f>T238</f>
        <v/>
      </c>
      <c r="U132" s="14">
        <f>U238</f>
        <v/>
      </c>
      <c r="V132" s="14">
        <f>V238</f>
        <v/>
      </c>
      <c r="W132" s="14">
        <f>W238</f>
        <v/>
      </c>
      <c r="X132" s="14">
        <f>X238</f>
        <v/>
      </c>
      <c r="Y132" s="14">
        <f>Y238</f>
        <v/>
      </c>
      <c r="Z132" s="14">
        <f>Z238</f>
        <v/>
      </c>
      <c r="AA132" s="14">
        <f>AA238</f>
        <v/>
      </c>
      <c r="AB132" s="14">
        <f>AB238</f>
        <v/>
      </c>
      <c r="AC132" s="14">
        <f>AC238</f>
        <v/>
      </c>
      <c r="AD132" s="14">
        <f>AD238</f>
        <v/>
      </c>
      <c r="AE132" s="14">
        <f>AE238</f>
        <v/>
      </c>
      <c r="AF132" s="14">
        <f>AF238</f>
        <v/>
      </c>
      <c r="AG132" s="14">
        <f>AG238</f>
        <v/>
      </c>
      <c r="AH132" s="14">
        <f>AH238</f>
        <v/>
      </c>
      <c r="AI132" s="14">
        <f>AI238</f>
        <v/>
      </c>
      <c r="AJ132" s="14">
        <f>AJ238</f>
        <v/>
      </c>
      <c r="AK132" s="14">
        <f>AK238</f>
        <v/>
      </c>
      <c r="AL132" s="14">
        <f>AL238</f>
        <v/>
      </c>
      <c r="AM132" s="14">
        <f>AM238</f>
        <v/>
      </c>
      <c r="AN132" s="14">
        <f>AN238</f>
        <v/>
      </c>
      <c r="AO132" s="14">
        <f>AO238</f>
        <v/>
      </c>
      <c r="AP132" s="14">
        <f>AP238</f>
        <v/>
      </c>
      <c r="AQ132" s="14">
        <f>AQ238</f>
        <v/>
      </c>
      <c r="AR132" s="14">
        <f>AR238</f>
        <v/>
      </c>
      <c r="AS132" s="14">
        <f>AS238</f>
        <v/>
      </c>
      <c r="AT132" s="14">
        <f>AT238</f>
        <v/>
      </c>
      <c r="AU132" s="14">
        <f>AU238</f>
        <v/>
      </c>
      <c r="AV132" s="14">
        <f>AV238</f>
        <v/>
      </c>
      <c r="AW132" s="14">
        <f>AW238</f>
        <v/>
      </c>
      <c r="AX132" s="14">
        <f>AX238</f>
        <v/>
      </c>
    </row>
    <row r="133">
      <c r="C133" s="6" t="inlineStr">
        <is>
          <t>Cumulative net cash flow</t>
        </is>
      </c>
      <c r="D133" s="2" t="inlineStr">
        <is>
          <t>EUR k</t>
        </is>
      </c>
      <c r="J133" s="8">
        <f>SUM($J132:J132)</f>
        <v/>
      </c>
      <c r="K133" s="8">
        <f>SUM($J132:K132)</f>
        <v/>
      </c>
      <c r="L133" s="8">
        <f>SUM($J132:L132)</f>
        <v/>
      </c>
      <c r="M133" s="8">
        <f>SUM($J132:M132)</f>
        <v/>
      </c>
      <c r="N133" s="8">
        <f>SUM($J132:N132)</f>
        <v/>
      </c>
      <c r="O133" s="8">
        <f>SUM($J132:O132)</f>
        <v/>
      </c>
      <c r="P133" s="8">
        <f>SUM($J132:P132)</f>
        <v/>
      </c>
      <c r="Q133" s="8">
        <f>SUM($J132:Q132)</f>
        <v/>
      </c>
      <c r="R133" s="8">
        <f>SUM($J132:R132)</f>
        <v/>
      </c>
      <c r="S133" s="8">
        <f>SUM($J132:S132)</f>
        <v/>
      </c>
      <c r="T133" s="8">
        <f>SUM($J132:T132)</f>
        <v/>
      </c>
      <c r="U133" s="8">
        <f>SUM($J132:U132)</f>
        <v/>
      </c>
      <c r="V133" s="8">
        <f>SUM($J132:V132)</f>
        <v/>
      </c>
      <c r="W133" s="8">
        <f>SUM($J132:W132)</f>
        <v/>
      </c>
      <c r="X133" s="8">
        <f>SUM($J132:X132)</f>
        <v/>
      </c>
      <c r="Y133" s="8">
        <f>SUM($J132:Y132)</f>
        <v/>
      </c>
      <c r="Z133" s="8">
        <f>SUM($J132:Z132)</f>
        <v/>
      </c>
      <c r="AA133" s="8">
        <f>SUM($J132:AA132)</f>
        <v/>
      </c>
      <c r="AB133" s="8">
        <f>SUM($J132:AB132)</f>
        <v/>
      </c>
      <c r="AC133" s="8">
        <f>SUM($J132:AC132)</f>
        <v/>
      </c>
      <c r="AD133" s="8">
        <f>SUM($J132:AD132)</f>
        <v/>
      </c>
      <c r="AE133" s="8">
        <f>SUM($J132:AE132)</f>
        <v/>
      </c>
      <c r="AF133" s="8">
        <f>SUM($J132:AF132)</f>
        <v/>
      </c>
      <c r="AG133" s="8">
        <f>SUM($J132:AG132)</f>
        <v/>
      </c>
      <c r="AH133" s="8">
        <f>SUM($J132:AH132)</f>
        <v/>
      </c>
      <c r="AI133" s="8">
        <f>SUM($J132:AI132)</f>
        <v/>
      </c>
      <c r="AJ133" s="8">
        <f>SUM($J132:AJ132)</f>
        <v/>
      </c>
      <c r="AK133" s="8">
        <f>SUM($J132:AK132)</f>
        <v/>
      </c>
      <c r="AL133" s="8">
        <f>SUM($J132:AL132)</f>
        <v/>
      </c>
      <c r="AM133" s="8">
        <f>SUM($J132:AM132)</f>
        <v/>
      </c>
      <c r="AN133" s="8">
        <f>SUM($J132:AN132)</f>
        <v/>
      </c>
      <c r="AO133" s="8">
        <f>SUM($J132:AO132)</f>
        <v/>
      </c>
      <c r="AP133" s="8">
        <f>SUM($J132:AP132)</f>
        <v/>
      </c>
      <c r="AQ133" s="8">
        <f>SUM($J132:AQ132)</f>
        <v/>
      </c>
      <c r="AR133" s="8">
        <f>SUM($J132:AR132)</f>
        <v/>
      </c>
      <c r="AS133" s="8">
        <f>SUM($J132:AS132)</f>
        <v/>
      </c>
      <c r="AT133" s="8">
        <f>SUM($J132:AT132)</f>
        <v/>
      </c>
      <c r="AU133" s="8">
        <f>SUM($J132:AU132)</f>
        <v/>
      </c>
      <c r="AV133" s="8">
        <f>SUM($J132:AV132)</f>
        <v/>
      </c>
      <c r="AW133" s="8">
        <f>SUM($J132:AW132)</f>
        <v/>
      </c>
      <c r="AX133" s="8">
        <f>SUM($J132:AX132)</f>
        <v/>
      </c>
    </row>
    <row r="135">
      <c r="C135" s="20" t="inlineStr">
        <is>
          <t>Iváncsa</t>
        </is>
      </c>
      <c r="D135" s="20" t="n"/>
      <c r="E135" s="21" t="n"/>
      <c r="F135" s="21" t="n"/>
      <c r="G135" s="21" t="n"/>
      <c r="H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</row>
    <row r="136">
      <c r="C136" s="6" t="inlineStr">
        <is>
          <t>Spending (capex, fees, securities, devex), net</t>
        </is>
      </c>
      <c r="D136" s="2" t="inlineStr">
        <is>
          <t>EUR k</t>
        </is>
      </c>
      <c r="H136" s="8">
        <f>SUM(J136:AX136)</f>
        <v/>
      </c>
      <c r="J136" s="8">
        <f>J254</f>
        <v/>
      </c>
      <c r="K136" s="8">
        <f>K254</f>
        <v/>
      </c>
      <c r="L136" s="8">
        <f>L254</f>
        <v/>
      </c>
      <c r="M136" s="8">
        <f>M254</f>
        <v/>
      </c>
      <c r="N136" s="8">
        <f>N254</f>
        <v/>
      </c>
      <c r="O136" s="8">
        <f>O254</f>
        <v/>
      </c>
      <c r="P136" s="8">
        <f>P254</f>
        <v/>
      </c>
      <c r="Q136" s="8">
        <f>Q254</f>
        <v/>
      </c>
      <c r="R136" s="8">
        <f>R254</f>
        <v/>
      </c>
      <c r="S136" s="8">
        <f>S254</f>
        <v/>
      </c>
      <c r="T136" s="8">
        <f>T254</f>
        <v/>
      </c>
      <c r="U136" s="8">
        <f>U254</f>
        <v/>
      </c>
      <c r="V136" s="8">
        <f>V254</f>
        <v/>
      </c>
      <c r="W136" s="8">
        <f>W254</f>
        <v/>
      </c>
      <c r="X136" s="8">
        <f>X254</f>
        <v/>
      </c>
      <c r="Y136" s="8">
        <f>Y254</f>
        <v/>
      </c>
      <c r="Z136" s="8">
        <f>Z254</f>
        <v/>
      </c>
      <c r="AA136" s="8">
        <f>AA254</f>
        <v/>
      </c>
      <c r="AB136" s="8">
        <f>AB254</f>
        <v/>
      </c>
      <c r="AC136" s="8">
        <f>AC254</f>
        <v/>
      </c>
      <c r="AD136" s="8">
        <f>AD254</f>
        <v/>
      </c>
      <c r="AE136" s="8">
        <f>AE254</f>
        <v/>
      </c>
      <c r="AF136" s="8">
        <f>AF254</f>
        <v/>
      </c>
      <c r="AG136" s="8">
        <f>AG254</f>
        <v/>
      </c>
      <c r="AH136" s="8">
        <f>AH254</f>
        <v/>
      </c>
      <c r="AI136" s="8">
        <f>AI254</f>
        <v/>
      </c>
      <c r="AJ136" s="8">
        <f>AJ254</f>
        <v/>
      </c>
      <c r="AK136" s="8">
        <f>AK254</f>
        <v/>
      </c>
      <c r="AL136" s="8">
        <f>AL254</f>
        <v/>
      </c>
      <c r="AM136" s="8">
        <f>AM254</f>
        <v/>
      </c>
      <c r="AN136" s="8">
        <f>AN254</f>
        <v/>
      </c>
      <c r="AO136" s="8">
        <f>AO254</f>
        <v/>
      </c>
      <c r="AP136" s="8">
        <f>AP254</f>
        <v/>
      </c>
      <c r="AQ136" s="8">
        <f>AQ254</f>
        <v/>
      </c>
      <c r="AR136" s="8">
        <f>AR254</f>
        <v/>
      </c>
      <c r="AS136" s="8">
        <f>AS254</f>
        <v/>
      </c>
      <c r="AT136" s="8">
        <f>AT254</f>
        <v/>
      </c>
      <c r="AU136" s="8">
        <f>AU254</f>
        <v/>
      </c>
      <c r="AV136" s="8">
        <f>AV254</f>
        <v/>
      </c>
      <c r="AW136" s="8">
        <f>AW254</f>
        <v/>
      </c>
      <c r="AX136" s="8">
        <f>AX254</f>
        <v/>
      </c>
    </row>
    <row r="137">
      <c r="C137" s="6" t="inlineStr">
        <is>
          <t>Revenue</t>
        </is>
      </c>
      <c r="D137" s="2" t="inlineStr">
        <is>
          <t>EUR k</t>
        </is>
      </c>
      <c r="H137" s="8">
        <f>SUM(J137:AX137)</f>
        <v/>
      </c>
      <c r="J137" s="8">
        <f>J258</f>
        <v/>
      </c>
      <c r="K137" s="8">
        <f>K258</f>
        <v/>
      </c>
      <c r="L137" s="8">
        <f>L258</f>
        <v/>
      </c>
      <c r="M137" s="8">
        <f>M258</f>
        <v/>
      </c>
      <c r="N137" s="8">
        <f>N258</f>
        <v/>
      </c>
      <c r="O137" s="8">
        <f>O258</f>
        <v/>
      </c>
      <c r="P137" s="8">
        <f>P258</f>
        <v/>
      </c>
      <c r="Q137" s="8">
        <f>Q258</f>
        <v/>
      </c>
      <c r="R137" s="8">
        <f>R258</f>
        <v/>
      </c>
      <c r="S137" s="8">
        <f>S258</f>
        <v/>
      </c>
      <c r="T137" s="8">
        <f>T258</f>
        <v/>
      </c>
      <c r="U137" s="8">
        <f>U258</f>
        <v/>
      </c>
      <c r="V137" s="8">
        <f>V258</f>
        <v/>
      </c>
      <c r="W137" s="8">
        <f>W258</f>
        <v/>
      </c>
      <c r="X137" s="8">
        <f>X258</f>
        <v/>
      </c>
      <c r="Y137" s="8">
        <f>Y258</f>
        <v/>
      </c>
      <c r="Z137" s="8">
        <f>Z258</f>
        <v/>
      </c>
      <c r="AA137" s="8">
        <f>AA258</f>
        <v/>
      </c>
      <c r="AB137" s="8">
        <f>AB258</f>
        <v/>
      </c>
      <c r="AC137" s="8">
        <f>AC258</f>
        <v/>
      </c>
      <c r="AD137" s="8">
        <f>AD258</f>
        <v/>
      </c>
      <c r="AE137" s="8">
        <f>AE258</f>
        <v/>
      </c>
      <c r="AF137" s="8">
        <f>AF258</f>
        <v/>
      </c>
      <c r="AG137" s="8">
        <f>AG258</f>
        <v/>
      </c>
      <c r="AH137" s="8">
        <f>AH258</f>
        <v/>
      </c>
      <c r="AI137" s="8">
        <f>AI258</f>
        <v/>
      </c>
      <c r="AJ137" s="8">
        <f>AJ258</f>
        <v/>
      </c>
      <c r="AK137" s="8">
        <f>AK258</f>
        <v/>
      </c>
      <c r="AL137" s="8">
        <f>AL258</f>
        <v/>
      </c>
      <c r="AM137" s="8">
        <f>AM258</f>
        <v/>
      </c>
      <c r="AN137" s="8">
        <f>AN258</f>
        <v/>
      </c>
      <c r="AO137" s="8">
        <f>AO258</f>
        <v/>
      </c>
      <c r="AP137" s="8">
        <f>AP258</f>
        <v/>
      </c>
      <c r="AQ137" s="8">
        <f>AQ258</f>
        <v/>
      </c>
      <c r="AR137" s="8">
        <f>AR258</f>
        <v/>
      </c>
      <c r="AS137" s="8">
        <f>AS258</f>
        <v/>
      </c>
      <c r="AT137" s="8">
        <f>AT258</f>
        <v/>
      </c>
      <c r="AU137" s="8">
        <f>AU258</f>
        <v/>
      </c>
      <c r="AV137" s="8">
        <f>AV258</f>
        <v/>
      </c>
      <c r="AW137" s="8">
        <f>AW258</f>
        <v/>
      </c>
      <c r="AX137" s="8">
        <f>AX258</f>
        <v/>
      </c>
    </row>
    <row r="138">
      <c r="C138" s="6" t="inlineStr">
        <is>
          <t>Opex</t>
        </is>
      </c>
      <c r="D138" s="2" t="inlineStr">
        <is>
          <t>EUR k</t>
        </is>
      </c>
      <c r="H138" s="8">
        <f>SUM(J138:AX138)</f>
        <v/>
      </c>
      <c r="J138" s="8">
        <f>J267</f>
        <v/>
      </c>
      <c r="K138" s="8">
        <f>K267</f>
        <v/>
      </c>
      <c r="L138" s="8">
        <f>L267</f>
        <v/>
      </c>
      <c r="M138" s="8">
        <f>M267</f>
        <v/>
      </c>
      <c r="N138" s="8">
        <f>N267</f>
        <v/>
      </c>
      <c r="O138" s="8">
        <f>O267</f>
        <v/>
      </c>
      <c r="P138" s="8">
        <f>P267</f>
        <v/>
      </c>
      <c r="Q138" s="8">
        <f>Q267</f>
        <v/>
      </c>
      <c r="R138" s="8">
        <f>R267</f>
        <v/>
      </c>
      <c r="S138" s="8">
        <f>S267</f>
        <v/>
      </c>
      <c r="T138" s="8">
        <f>T267</f>
        <v/>
      </c>
      <c r="U138" s="8">
        <f>U267</f>
        <v/>
      </c>
      <c r="V138" s="8">
        <f>V267</f>
        <v/>
      </c>
      <c r="W138" s="8">
        <f>W267</f>
        <v/>
      </c>
      <c r="X138" s="8">
        <f>X267</f>
        <v/>
      </c>
      <c r="Y138" s="8">
        <f>Y267</f>
        <v/>
      </c>
      <c r="Z138" s="8">
        <f>Z267</f>
        <v/>
      </c>
      <c r="AA138" s="8">
        <f>AA267</f>
        <v/>
      </c>
      <c r="AB138" s="8">
        <f>AB267</f>
        <v/>
      </c>
      <c r="AC138" s="8">
        <f>AC267</f>
        <v/>
      </c>
      <c r="AD138" s="8">
        <f>AD267</f>
        <v/>
      </c>
      <c r="AE138" s="8">
        <f>AE267</f>
        <v/>
      </c>
      <c r="AF138" s="8">
        <f>AF267</f>
        <v/>
      </c>
      <c r="AG138" s="8">
        <f>AG267</f>
        <v/>
      </c>
      <c r="AH138" s="8">
        <f>AH267</f>
        <v/>
      </c>
      <c r="AI138" s="8">
        <f>AI267</f>
        <v/>
      </c>
      <c r="AJ138" s="8">
        <f>AJ267</f>
        <v/>
      </c>
      <c r="AK138" s="8">
        <f>AK267</f>
        <v/>
      </c>
      <c r="AL138" s="8">
        <f>AL267</f>
        <v/>
      </c>
      <c r="AM138" s="8">
        <f>AM267</f>
        <v/>
      </c>
      <c r="AN138" s="8">
        <f>AN267</f>
        <v/>
      </c>
      <c r="AO138" s="8">
        <f>AO267</f>
        <v/>
      </c>
      <c r="AP138" s="8">
        <f>AP267</f>
        <v/>
      </c>
      <c r="AQ138" s="8">
        <f>AQ267</f>
        <v/>
      </c>
      <c r="AR138" s="8">
        <f>AR267</f>
        <v/>
      </c>
      <c r="AS138" s="8">
        <f>AS267</f>
        <v/>
      </c>
      <c r="AT138" s="8">
        <f>AT267</f>
        <v/>
      </c>
      <c r="AU138" s="8">
        <f>AU267</f>
        <v/>
      </c>
      <c r="AV138" s="8">
        <f>AV267</f>
        <v/>
      </c>
      <c r="AW138" s="8">
        <f>AW267</f>
        <v/>
      </c>
      <c r="AX138" s="8">
        <f>AX267</f>
        <v/>
      </c>
    </row>
    <row r="139">
      <c r="C139" s="6" t="inlineStr">
        <is>
          <t>EBITDA</t>
        </is>
      </c>
      <c r="D139" s="2" t="inlineStr">
        <is>
          <t>EUR k</t>
        </is>
      </c>
      <c r="H139" s="8">
        <f>SUM(J139:AX139)</f>
        <v/>
      </c>
      <c r="J139" s="8">
        <f>J268</f>
        <v/>
      </c>
      <c r="K139" s="8">
        <f>K268</f>
        <v/>
      </c>
      <c r="L139" s="8">
        <f>L268</f>
        <v/>
      </c>
      <c r="M139" s="8">
        <f>M268</f>
        <v/>
      </c>
      <c r="N139" s="8">
        <f>N268</f>
        <v/>
      </c>
      <c r="O139" s="8">
        <f>O268</f>
        <v/>
      </c>
      <c r="P139" s="8">
        <f>P268</f>
        <v/>
      </c>
      <c r="Q139" s="8">
        <f>Q268</f>
        <v/>
      </c>
      <c r="R139" s="8">
        <f>R268</f>
        <v/>
      </c>
      <c r="S139" s="8">
        <f>S268</f>
        <v/>
      </c>
      <c r="T139" s="8">
        <f>T268</f>
        <v/>
      </c>
      <c r="U139" s="8">
        <f>U268</f>
        <v/>
      </c>
      <c r="V139" s="8">
        <f>V268</f>
        <v/>
      </c>
      <c r="W139" s="8">
        <f>W268</f>
        <v/>
      </c>
      <c r="X139" s="8">
        <f>X268</f>
        <v/>
      </c>
      <c r="Y139" s="8">
        <f>Y268</f>
        <v/>
      </c>
      <c r="Z139" s="8">
        <f>Z268</f>
        <v/>
      </c>
      <c r="AA139" s="8">
        <f>AA268</f>
        <v/>
      </c>
      <c r="AB139" s="8">
        <f>AB268</f>
        <v/>
      </c>
      <c r="AC139" s="8">
        <f>AC268</f>
        <v/>
      </c>
      <c r="AD139" s="8">
        <f>AD268</f>
        <v/>
      </c>
      <c r="AE139" s="8">
        <f>AE268</f>
        <v/>
      </c>
      <c r="AF139" s="8">
        <f>AF268</f>
        <v/>
      </c>
      <c r="AG139" s="8">
        <f>AG268</f>
        <v/>
      </c>
      <c r="AH139" s="8">
        <f>AH268</f>
        <v/>
      </c>
      <c r="AI139" s="8">
        <f>AI268</f>
        <v/>
      </c>
      <c r="AJ139" s="8">
        <f>AJ268</f>
        <v/>
      </c>
      <c r="AK139" s="8">
        <f>AK268</f>
        <v/>
      </c>
      <c r="AL139" s="8">
        <f>AL268</f>
        <v/>
      </c>
      <c r="AM139" s="8">
        <f>AM268</f>
        <v/>
      </c>
      <c r="AN139" s="8">
        <f>AN268</f>
        <v/>
      </c>
      <c r="AO139" s="8">
        <f>AO268</f>
        <v/>
      </c>
      <c r="AP139" s="8">
        <f>AP268</f>
        <v/>
      </c>
      <c r="AQ139" s="8">
        <f>AQ268</f>
        <v/>
      </c>
      <c r="AR139" s="8">
        <f>AR268</f>
        <v/>
      </c>
      <c r="AS139" s="8">
        <f>AS268</f>
        <v/>
      </c>
      <c r="AT139" s="8">
        <f>AT268</f>
        <v/>
      </c>
      <c r="AU139" s="8">
        <f>AU268</f>
        <v/>
      </c>
      <c r="AV139" s="8">
        <f>AV268</f>
        <v/>
      </c>
      <c r="AW139" s="8">
        <f>AW268</f>
        <v/>
      </c>
      <c r="AX139" s="8">
        <f>AX268</f>
        <v/>
      </c>
    </row>
    <row r="140">
      <c r="C140" s="1" t="inlineStr">
        <is>
          <t>Net cash flow</t>
        </is>
      </c>
      <c r="D140" s="2" t="inlineStr">
        <is>
          <t>EUR k</t>
        </is>
      </c>
      <c r="H140" s="14">
        <f>SUM(J140:AX140)</f>
        <v/>
      </c>
      <c r="J140" s="14">
        <f>J269</f>
        <v/>
      </c>
      <c r="K140" s="14">
        <f>K269</f>
        <v/>
      </c>
      <c r="L140" s="14">
        <f>L269</f>
        <v/>
      </c>
      <c r="M140" s="14">
        <f>M269</f>
        <v/>
      </c>
      <c r="N140" s="14">
        <f>N269</f>
        <v/>
      </c>
      <c r="O140" s="14">
        <f>O269</f>
        <v/>
      </c>
      <c r="P140" s="14">
        <f>P269</f>
        <v/>
      </c>
      <c r="Q140" s="14">
        <f>Q269</f>
        <v/>
      </c>
      <c r="R140" s="14">
        <f>R269</f>
        <v/>
      </c>
      <c r="S140" s="14">
        <f>S269</f>
        <v/>
      </c>
      <c r="T140" s="14">
        <f>T269</f>
        <v/>
      </c>
      <c r="U140" s="14">
        <f>U269</f>
        <v/>
      </c>
      <c r="V140" s="14">
        <f>V269</f>
        <v/>
      </c>
      <c r="W140" s="14">
        <f>W269</f>
        <v/>
      </c>
      <c r="X140" s="14">
        <f>X269</f>
        <v/>
      </c>
      <c r="Y140" s="14">
        <f>Y269</f>
        <v/>
      </c>
      <c r="Z140" s="14">
        <f>Z269</f>
        <v/>
      </c>
      <c r="AA140" s="14">
        <f>AA269</f>
        <v/>
      </c>
      <c r="AB140" s="14">
        <f>AB269</f>
        <v/>
      </c>
      <c r="AC140" s="14">
        <f>AC269</f>
        <v/>
      </c>
      <c r="AD140" s="14">
        <f>AD269</f>
        <v/>
      </c>
      <c r="AE140" s="14">
        <f>AE269</f>
        <v/>
      </c>
      <c r="AF140" s="14">
        <f>AF269</f>
        <v/>
      </c>
      <c r="AG140" s="14">
        <f>AG269</f>
        <v/>
      </c>
      <c r="AH140" s="14">
        <f>AH269</f>
        <v/>
      </c>
      <c r="AI140" s="14">
        <f>AI269</f>
        <v/>
      </c>
      <c r="AJ140" s="14">
        <f>AJ269</f>
        <v/>
      </c>
      <c r="AK140" s="14">
        <f>AK269</f>
        <v/>
      </c>
      <c r="AL140" s="14">
        <f>AL269</f>
        <v/>
      </c>
      <c r="AM140" s="14">
        <f>AM269</f>
        <v/>
      </c>
      <c r="AN140" s="14">
        <f>AN269</f>
        <v/>
      </c>
      <c r="AO140" s="14">
        <f>AO269</f>
        <v/>
      </c>
      <c r="AP140" s="14">
        <f>AP269</f>
        <v/>
      </c>
      <c r="AQ140" s="14">
        <f>AQ269</f>
        <v/>
      </c>
      <c r="AR140" s="14">
        <f>AR269</f>
        <v/>
      </c>
      <c r="AS140" s="14">
        <f>AS269</f>
        <v/>
      </c>
      <c r="AT140" s="14">
        <f>AT269</f>
        <v/>
      </c>
      <c r="AU140" s="14">
        <f>AU269</f>
        <v/>
      </c>
      <c r="AV140" s="14">
        <f>AV269</f>
        <v/>
      </c>
      <c r="AW140" s="14">
        <f>AW269</f>
        <v/>
      </c>
      <c r="AX140" s="14">
        <f>AX269</f>
        <v/>
      </c>
    </row>
    <row r="141">
      <c r="C141" s="6" t="inlineStr">
        <is>
          <t>Cumulative net cash flow</t>
        </is>
      </c>
      <c r="D141" s="2" t="inlineStr">
        <is>
          <t>EUR k</t>
        </is>
      </c>
      <c r="J141" s="8">
        <f>SUM($J140:J140)</f>
        <v/>
      </c>
      <c r="K141" s="8">
        <f>SUM($J140:K140)</f>
        <v/>
      </c>
      <c r="L141" s="8">
        <f>SUM($J140:L140)</f>
        <v/>
      </c>
      <c r="M141" s="8">
        <f>SUM($J140:M140)</f>
        <v/>
      </c>
      <c r="N141" s="8">
        <f>SUM($J140:N140)</f>
        <v/>
      </c>
      <c r="O141" s="8">
        <f>SUM($J140:O140)</f>
        <v/>
      </c>
      <c r="P141" s="8">
        <f>SUM($J140:P140)</f>
        <v/>
      </c>
      <c r="Q141" s="8">
        <f>SUM($J140:Q140)</f>
        <v/>
      </c>
      <c r="R141" s="8">
        <f>SUM($J140:R140)</f>
        <v/>
      </c>
      <c r="S141" s="8">
        <f>SUM($J140:S140)</f>
        <v/>
      </c>
      <c r="T141" s="8">
        <f>SUM($J140:T140)</f>
        <v/>
      </c>
      <c r="U141" s="8">
        <f>SUM($J140:U140)</f>
        <v/>
      </c>
      <c r="V141" s="8">
        <f>SUM($J140:V140)</f>
        <v/>
      </c>
      <c r="W141" s="8">
        <f>SUM($J140:W140)</f>
        <v/>
      </c>
      <c r="X141" s="8">
        <f>SUM($J140:X140)</f>
        <v/>
      </c>
      <c r="Y141" s="8">
        <f>SUM($J140:Y140)</f>
        <v/>
      </c>
      <c r="Z141" s="8">
        <f>SUM($J140:Z140)</f>
        <v/>
      </c>
      <c r="AA141" s="8">
        <f>SUM($J140:AA140)</f>
        <v/>
      </c>
      <c r="AB141" s="8">
        <f>SUM($J140:AB140)</f>
        <v/>
      </c>
      <c r="AC141" s="8">
        <f>SUM($J140:AC140)</f>
        <v/>
      </c>
      <c r="AD141" s="8">
        <f>SUM($J140:AD140)</f>
        <v/>
      </c>
      <c r="AE141" s="8">
        <f>SUM($J140:AE140)</f>
        <v/>
      </c>
      <c r="AF141" s="8">
        <f>SUM($J140:AF140)</f>
        <v/>
      </c>
      <c r="AG141" s="8">
        <f>SUM($J140:AG140)</f>
        <v/>
      </c>
      <c r="AH141" s="8">
        <f>SUM($J140:AH140)</f>
        <v/>
      </c>
      <c r="AI141" s="8">
        <f>SUM($J140:AI140)</f>
        <v/>
      </c>
      <c r="AJ141" s="8">
        <f>SUM($J140:AJ140)</f>
        <v/>
      </c>
      <c r="AK141" s="8">
        <f>SUM($J140:AK140)</f>
        <v/>
      </c>
      <c r="AL141" s="8">
        <f>SUM($J140:AL140)</f>
        <v/>
      </c>
      <c r="AM141" s="8">
        <f>SUM($J140:AM140)</f>
        <v/>
      </c>
      <c r="AN141" s="8">
        <f>SUM($J140:AN140)</f>
        <v/>
      </c>
      <c r="AO141" s="8">
        <f>SUM($J140:AO140)</f>
        <v/>
      </c>
      <c r="AP141" s="8">
        <f>SUM($J140:AP140)</f>
        <v/>
      </c>
      <c r="AQ141" s="8">
        <f>SUM($J140:AQ140)</f>
        <v/>
      </c>
      <c r="AR141" s="8">
        <f>SUM($J140:AR140)</f>
        <v/>
      </c>
      <c r="AS141" s="8">
        <f>SUM($J140:AS140)</f>
        <v/>
      </c>
      <c r="AT141" s="8">
        <f>SUM($J140:AT140)</f>
        <v/>
      </c>
      <c r="AU141" s="8">
        <f>SUM($J140:AU140)</f>
        <v/>
      </c>
      <c r="AV141" s="8">
        <f>SUM($J140:AV140)</f>
        <v/>
      </c>
      <c r="AW141" s="8">
        <f>SUM($J140:AW140)</f>
        <v/>
      </c>
      <c r="AX141" s="8">
        <f>SUM($J140:AX140)</f>
        <v/>
      </c>
    </row>
    <row r="143">
      <c r="C143" s="20" t="inlineStr">
        <is>
          <t>Dunaújváros</t>
        </is>
      </c>
      <c r="D143" s="20" t="n"/>
      <c r="E143" s="21" t="n"/>
      <c r="F143" s="21" t="n"/>
      <c r="G143" s="21" t="n"/>
      <c r="H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21" t="n"/>
      <c r="AI143" s="21" t="n"/>
      <c r="AJ143" s="21" t="n"/>
      <c r="AK143" s="21" t="n"/>
      <c r="AL143" s="21" t="n"/>
      <c r="AM143" s="21" t="n"/>
      <c r="AN143" s="21" t="n"/>
      <c r="AO143" s="21" t="n"/>
      <c r="AP143" s="21" t="n"/>
      <c r="AQ143" s="21" t="n"/>
      <c r="AR143" s="21" t="n"/>
      <c r="AS143" s="21" t="n"/>
      <c r="AT143" s="21" t="n"/>
      <c r="AU143" s="21" t="n"/>
      <c r="AV143" s="21" t="n"/>
      <c r="AW143" s="21" t="n"/>
      <c r="AX143" s="21" t="n"/>
    </row>
    <row r="144">
      <c r="C144" s="6" t="inlineStr">
        <is>
          <t>Spending (capex, fees, securities, devex), net</t>
        </is>
      </c>
      <c r="D144" s="2" t="inlineStr">
        <is>
          <t>EUR k</t>
        </is>
      </c>
      <c r="H144" s="8">
        <f>SUM(J144:AX144)</f>
        <v/>
      </c>
      <c r="J144" s="8">
        <f>J285</f>
        <v/>
      </c>
      <c r="K144" s="8">
        <f>K285</f>
        <v/>
      </c>
      <c r="L144" s="8">
        <f>L285</f>
        <v/>
      </c>
      <c r="M144" s="8">
        <f>M285</f>
        <v/>
      </c>
      <c r="N144" s="8">
        <f>N285</f>
        <v/>
      </c>
      <c r="O144" s="8">
        <f>O285</f>
        <v/>
      </c>
      <c r="P144" s="8">
        <f>P285</f>
        <v/>
      </c>
      <c r="Q144" s="8">
        <f>Q285</f>
        <v/>
      </c>
      <c r="R144" s="8">
        <f>R285</f>
        <v/>
      </c>
      <c r="S144" s="8">
        <f>S285</f>
        <v/>
      </c>
      <c r="T144" s="8">
        <f>T285</f>
        <v/>
      </c>
      <c r="U144" s="8">
        <f>U285</f>
        <v/>
      </c>
      <c r="V144" s="8">
        <f>V285</f>
        <v/>
      </c>
      <c r="W144" s="8">
        <f>W285</f>
        <v/>
      </c>
      <c r="X144" s="8">
        <f>X285</f>
        <v/>
      </c>
      <c r="Y144" s="8">
        <f>Y285</f>
        <v/>
      </c>
      <c r="Z144" s="8">
        <f>Z285</f>
        <v/>
      </c>
      <c r="AA144" s="8">
        <f>AA285</f>
        <v/>
      </c>
      <c r="AB144" s="8">
        <f>AB285</f>
        <v/>
      </c>
      <c r="AC144" s="8">
        <f>AC285</f>
        <v/>
      </c>
      <c r="AD144" s="8">
        <f>AD285</f>
        <v/>
      </c>
      <c r="AE144" s="8">
        <f>AE285</f>
        <v/>
      </c>
      <c r="AF144" s="8">
        <f>AF285</f>
        <v/>
      </c>
      <c r="AG144" s="8">
        <f>AG285</f>
        <v/>
      </c>
      <c r="AH144" s="8">
        <f>AH285</f>
        <v/>
      </c>
      <c r="AI144" s="8">
        <f>AI285</f>
        <v/>
      </c>
      <c r="AJ144" s="8">
        <f>AJ285</f>
        <v/>
      </c>
      <c r="AK144" s="8">
        <f>AK285</f>
        <v/>
      </c>
      <c r="AL144" s="8">
        <f>AL285</f>
        <v/>
      </c>
      <c r="AM144" s="8">
        <f>AM285</f>
        <v/>
      </c>
      <c r="AN144" s="8">
        <f>AN285</f>
        <v/>
      </c>
      <c r="AO144" s="8">
        <f>AO285</f>
        <v/>
      </c>
      <c r="AP144" s="8">
        <f>AP285</f>
        <v/>
      </c>
      <c r="AQ144" s="8">
        <f>AQ285</f>
        <v/>
      </c>
      <c r="AR144" s="8">
        <f>AR285</f>
        <v/>
      </c>
      <c r="AS144" s="8">
        <f>AS285</f>
        <v/>
      </c>
      <c r="AT144" s="8">
        <f>AT285</f>
        <v/>
      </c>
      <c r="AU144" s="8">
        <f>AU285</f>
        <v/>
      </c>
      <c r="AV144" s="8">
        <f>AV285</f>
        <v/>
      </c>
      <c r="AW144" s="8">
        <f>AW285</f>
        <v/>
      </c>
      <c r="AX144" s="8">
        <f>AX285</f>
        <v/>
      </c>
    </row>
    <row r="145">
      <c r="C145" s="6" t="inlineStr">
        <is>
          <t>Revenue</t>
        </is>
      </c>
      <c r="D145" s="2" t="inlineStr">
        <is>
          <t>EUR k</t>
        </is>
      </c>
      <c r="H145" s="8">
        <f>SUM(J145:AX145)</f>
        <v/>
      </c>
      <c r="J145" s="8">
        <f>J289</f>
        <v/>
      </c>
      <c r="K145" s="8">
        <f>K289</f>
        <v/>
      </c>
      <c r="L145" s="8">
        <f>L289</f>
        <v/>
      </c>
      <c r="M145" s="8">
        <f>M289</f>
        <v/>
      </c>
      <c r="N145" s="8">
        <f>N289</f>
        <v/>
      </c>
      <c r="O145" s="8">
        <f>O289</f>
        <v/>
      </c>
      <c r="P145" s="8">
        <f>P289</f>
        <v/>
      </c>
      <c r="Q145" s="8">
        <f>Q289</f>
        <v/>
      </c>
      <c r="R145" s="8">
        <f>R289</f>
        <v/>
      </c>
      <c r="S145" s="8">
        <f>S289</f>
        <v/>
      </c>
      <c r="T145" s="8">
        <f>T289</f>
        <v/>
      </c>
      <c r="U145" s="8">
        <f>U289</f>
        <v/>
      </c>
      <c r="V145" s="8">
        <f>V289</f>
        <v/>
      </c>
      <c r="W145" s="8">
        <f>W289</f>
        <v/>
      </c>
      <c r="X145" s="8">
        <f>X289</f>
        <v/>
      </c>
      <c r="Y145" s="8">
        <f>Y289</f>
        <v/>
      </c>
      <c r="Z145" s="8">
        <f>Z289</f>
        <v/>
      </c>
      <c r="AA145" s="8">
        <f>AA289</f>
        <v/>
      </c>
      <c r="AB145" s="8">
        <f>AB289</f>
        <v/>
      </c>
      <c r="AC145" s="8">
        <f>AC289</f>
        <v/>
      </c>
      <c r="AD145" s="8">
        <f>AD289</f>
        <v/>
      </c>
      <c r="AE145" s="8">
        <f>AE289</f>
        <v/>
      </c>
      <c r="AF145" s="8">
        <f>AF289</f>
        <v/>
      </c>
      <c r="AG145" s="8">
        <f>AG289</f>
        <v/>
      </c>
      <c r="AH145" s="8">
        <f>AH289</f>
        <v/>
      </c>
      <c r="AI145" s="8">
        <f>AI289</f>
        <v/>
      </c>
      <c r="AJ145" s="8">
        <f>AJ289</f>
        <v/>
      </c>
      <c r="AK145" s="8">
        <f>AK289</f>
        <v/>
      </c>
      <c r="AL145" s="8">
        <f>AL289</f>
        <v/>
      </c>
      <c r="AM145" s="8">
        <f>AM289</f>
        <v/>
      </c>
      <c r="AN145" s="8">
        <f>AN289</f>
        <v/>
      </c>
      <c r="AO145" s="8">
        <f>AO289</f>
        <v/>
      </c>
      <c r="AP145" s="8">
        <f>AP289</f>
        <v/>
      </c>
      <c r="AQ145" s="8">
        <f>AQ289</f>
        <v/>
      </c>
      <c r="AR145" s="8">
        <f>AR289</f>
        <v/>
      </c>
      <c r="AS145" s="8">
        <f>AS289</f>
        <v/>
      </c>
      <c r="AT145" s="8">
        <f>AT289</f>
        <v/>
      </c>
      <c r="AU145" s="8">
        <f>AU289</f>
        <v/>
      </c>
      <c r="AV145" s="8">
        <f>AV289</f>
        <v/>
      </c>
      <c r="AW145" s="8">
        <f>AW289</f>
        <v/>
      </c>
      <c r="AX145" s="8">
        <f>AX289</f>
        <v/>
      </c>
    </row>
    <row r="146">
      <c r="C146" s="6" t="inlineStr">
        <is>
          <t>Opex</t>
        </is>
      </c>
      <c r="D146" s="2" t="inlineStr">
        <is>
          <t>EUR k</t>
        </is>
      </c>
      <c r="H146" s="8">
        <f>SUM(J146:AX146)</f>
        <v/>
      </c>
      <c r="J146" s="8">
        <f>J298</f>
        <v/>
      </c>
      <c r="K146" s="8">
        <f>K298</f>
        <v/>
      </c>
      <c r="L146" s="8">
        <f>L298</f>
        <v/>
      </c>
      <c r="M146" s="8">
        <f>M298</f>
        <v/>
      </c>
      <c r="N146" s="8">
        <f>N298</f>
        <v/>
      </c>
      <c r="O146" s="8">
        <f>O298</f>
        <v/>
      </c>
      <c r="P146" s="8">
        <f>P298</f>
        <v/>
      </c>
      <c r="Q146" s="8">
        <f>Q298</f>
        <v/>
      </c>
      <c r="R146" s="8">
        <f>R298</f>
        <v/>
      </c>
      <c r="S146" s="8">
        <f>S298</f>
        <v/>
      </c>
      <c r="T146" s="8">
        <f>T298</f>
        <v/>
      </c>
      <c r="U146" s="8">
        <f>U298</f>
        <v/>
      </c>
      <c r="V146" s="8">
        <f>V298</f>
        <v/>
      </c>
      <c r="W146" s="8">
        <f>W298</f>
        <v/>
      </c>
      <c r="X146" s="8">
        <f>X298</f>
        <v/>
      </c>
      <c r="Y146" s="8">
        <f>Y298</f>
        <v/>
      </c>
      <c r="Z146" s="8">
        <f>Z298</f>
        <v/>
      </c>
      <c r="AA146" s="8">
        <f>AA298</f>
        <v/>
      </c>
      <c r="AB146" s="8">
        <f>AB298</f>
        <v/>
      </c>
      <c r="AC146" s="8">
        <f>AC298</f>
        <v/>
      </c>
      <c r="AD146" s="8">
        <f>AD298</f>
        <v/>
      </c>
      <c r="AE146" s="8">
        <f>AE298</f>
        <v/>
      </c>
      <c r="AF146" s="8">
        <f>AF298</f>
        <v/>
      </c>
      <c r="AG146" s="8">
        <f>AG298</f>
        <v/>
      </c>
      <c r="AH146" s="8">
        <f>AH298</f>
        <v/>
      </c>
      <c r="AI146" s="8">
        <f>AI298</f>
        <v/>
      </c>
      <c r="AJ146" s="8">
        <f>AJ298</f>
        <v/>
      </c>
      <c r="AK146" s="8">
        <f>AK298</f>
        <v/>
      </c>
      <c r="AL146" s="8">
        <f>AL298</f>
        <v/>
      </c>
      <c r="AM146" s="8">
        <f>AM298</f>
        <v/>
      </c>
      <c r="AN146" s="8">
        <f>AN298</f>
        <v/>
      </c>
      <c r="AO146" s="8">
        <f>AO298</f>
        <v/>
      </c>
      <c r="AP146" s="8">
        <f>AP298</f>
        <v/>
      </c>
      <c r="AQ146" s="8">
        <f>AQ298</f>
        <v/>
      </c>
      <c r="AR146" s="8">
        <f>AR298</f>
        <v/>
      </c>
      <c r="AS146" s="8">
        <f>AS298</f>
        <v/>
      </c>
      <c r="AT146" s="8">
        <f>AT298</f>
        <v/>
      </c>
      <c r="AU146" s="8">
        <f>AU298</f>
        <v/>
      </c>
      <c r="AV146" s="8">
        <f>AV298</f>
        <v/>
      </c>
      <c r="AW146" s="8">
        <f>AW298</f>
        <v/>
      </c>
      <c r="AX146" s="8">
        <f>AX298</f>
        <v/>
      </c>
    </row>
    <row r="147">
      <c r="C147" s="6" t="inlineStr">
        <is>
          <t>EBITDA</t>
        </is>
      </c>
      <c r="D147" s="2" t="inlineStr">
        <is>
          <t>EUR k</t>
        </is>
      </c>
      <c r="H147" s="8">
        <f>SUM(J147:AX147)</f>
        <v/>
      </c>
      <c r="J147" s="8">
        <f>J299</f>
        <v/>
      </c>
      <c r="K147" s="8">
        <f>K299</f>
        <v/>
      </c>
      <c r="L147" s="8">
        <f>L299</f>
        <v/>
      </c>
      <c r="M147" s="8">
        <f>M299</f>
        <v/>
      </c>
      <c r="N147" s="8">
        <f>N299</f>
        <v/>
      </c>
      <c r="O147" s="8">
        <f>O299</f>
        <v/>
      </c>
      <c r="P147" s="8">
        <f>P299</f>
        <v/>
      </c>
      <c r="Q147" s="8">
        <f>Q299</f>
        <v/>
      </c>
      <c r="R147" s="8">
        <f>R299</f>
        <v/>
      </c>
      <c r="S147" s="8">
        <f>S299</f>
        <v/>
      </c>
      <c r="T147" s="8">
        <f>T299</f>
        <v/>
      </c>
      <c r="U147" s="8">
        <f>U299</f>
        <v/>
      </c>
      <c r="V147" s="8">
        <f>V299</f>
        <v/>
      </c>
      <c r="W147" s="8">
        <f>W299</f>
        <v/>
      </c>
      <c r="X147" s="8">
        <f>X299</f>
        <v/>
      </c>
      <c r="Y147" s="8">
        <f>Y299</f>
        <v/>
      </c>
      <c r="Z147" s="8">
        <f>Z299</f>
        <v/>
      </c>
      <c r="AA147" s="8">
        <f>AA299</f>
        <v/>
      </c>
      <c r="AB147" s="8">
        <f>AB299</f>
        <v/>
      </c>
      <c r="AC147" s="8">
        <f>AC299</f>
        <v/>
      </c>
      <c r="AD147" s="8">
        <f>AD299</f>
        <v/>
      </c>
      <c r="AE147" s="8">
        <f>AE299</f>
        <v/>
      </c>
      <c r="AF147" s="8">
        <f>AF299</f>
        <v/>
      </c>
      <c r="AG147" s="8">
        <f>AG299</f>
        <v/>
      </c>
      <c r="AH147" s="8">
        <f>AH299</f>
        <v/>
      </c>
      <c r="AI147" s="8">
        <f>AI299</f>
        <v/>
      </c>
      <c r="AJ147" s="8">
        <f>AJ299</f>
        <v/>
      </c>
      <c r="AK147" s="8">
        <f>AK299</f>
        <v/>
      </c>
      <c r="AL147" s="8">
        <f>AL299</f>
        <v/>
      </c>
      <c r="AM147" s="8">
        <f>AM299</f>
        <v/>
      </c>
      <c r="AN147" s="8">
        <f>AN299</f>
        <v/>
      </c>
      <c r="AO147" s="8">
        <f>AO299</f>
        <v/>
      </c>
      <c r="AP147" s="8">
        <f>AP299</f>
        <v/>
      </c>
      <c r="AQ147" s="8">
        <f>AQ299</f>
        <v/>
      </c>
      <c r="AR147" s="8">
        <f>AR299</f>
        <v/>
      </c>
      <c r="AS147" s="8">
        <f>AS299</f>
        <v/>
      </c>
      <c r="AT147" s="8">
        <f>AT299</f>
        <v/>
      </c>
      <c r="AU147" s="8">
        <f>AU299</f>
        <v/>
      </c>
      <c r="AV147" s="8">
        <f>AV299</f>
        <v/>
      </c>
      <c r="AW147" s="8">
        <f>AW299</f>
        <v/>
      </c>
      <c r="AX147" s="8">
        <f>AX299</f>
        <v/>
      </c>
    </row>
    <row r="148">
      <c r="C148" s="1" t="inlineStr">
        <is>
          <t>Net cash flow</t>
        </is>
      </c>
      <c r="D148" s="2" t="inlineStr">
        <is>
          <t>EUR k</t>
        </is>
      </c>
      <c r="H148" s="14">
        <f>SUM(J148:AX148)</f>
        <v/>
      </c>
      <c r="J148" s="14">
        <f>J300</f>
        <v/>
      </c>
      <c r="K148" s="14">
        <f>K300</f>
        <v/>
      </c>
      <c r="L148" s="14">
        <f>L300</f>
        <v/>
      </c>
      <c r="M148" s="14">
        <f>M300</f>
        <v/>
      </c>
      <c r="N148" s="14">
        <f>N300</f>
        <v/>
      </c>
      <c r="O148" s="14">
        <f>O300</f>
        <v/>
      </c>
      <c r="P148" s="14">
        <f>P300</f>
        <v/>
      </c>
      <c r="Q148" s="14">
        <f>Q300</f>
        <v/>
      </c>
      <c r="R148" s="14">
        <f>R300</f>
        <v/>
      </c>
      <c r="S148" s="14">
        <f>S300</f>
        <v/>
      </c>
      <c r="T148" s="14">
        <f>T300</f>
        <v/>
      </c>
      <c r="U148" s="14">
        <f>U300</f>
        <v/>
      </c>
      <c r="V148" s="14">
        <f>V300</f>
        <v/>
      </c>
      <c r="W148" s="14">
        <f>W300</f>
        <v/>
      </c>
      <c r="X148" s="14">
        <f>X300</f>
        <v/>
      </c>
      <c r="Y148" s="14">
        <f>Y300</f>
        <v/>
      </c>
      <c r="Z148" s="14">
        <f>Z300</f>
        <v/>
      </c>
      <c r="AA148" s="14">
        <f>AA300</f>
        <v/>
      </c>
      <c r="AB148" s="14">
        <f>AB300</f>
        <v/>
      </c>
      <c r="AC148" s="14">
        <f>AC300</f>
        <v/>
      </c>
      <c r="AD148" s="14">
        <f>AD300</f>
        <v/>
      </c>
      <c r="AE148" s="14">
        <f>AE300</f>
        <v/>
      </c>
      <c r="AF148" s="14">
        <f>AF300</f>
        <v/>
      </c>
      <c r="AG148" s="14">
        <f>AG300</f>
        <v/>
      </c>
      <c r="AH148" s="14">
        <f>AH300</f>
        <v/>
      </c>
      <c r="AI148" s="14">
        <f>AI300</f>
        <v/>
      </c>
      <c r="AJ148" s="14">
        <f>AJ300</f>
        <v/>
      </c>
      <c r="AK148" s="14">
        <f>AK300</f>
        <v/>
      </c>
      <c r="AL148" s="14">
        <f>AL300</f>
        <v/>
      </c>
      <c r="AM148" s="14">
        <f>AM300</f>
        <v/>
      </c>
      <c r="AN148" s="14">
        <f>AN300</f>
        <v/>
      </c>
      <c r="AO148" s="14">
        <f>AO300</f>
        <v/>
      </c>
      <c r="AP148" s="14">
        <f>AP300</f>
        <v/>
      </c>
      <c r="AQ148" s="14">
        <f>AQ300</f>
        <v/>
      </c>
      <c r="AR148" s="14">
        <f>AR300</f>
        <v/>
      </c>
      <c r="AS148" s="14">
        <f>AS300</f>
        <v/>
      </c>
      <c r="AT148" s="14">
        <f>AT300</f>
        <v/>
      </c>
      <c r="AU148" s="14">
        <f>AU300</f>
        <v/>
      </c>
      <c r="AV148" s="14">
        <f>AV300</f>
        <v/>
      </c>
      <c r="AW148" s="14">
        <f>AW300</f>
        <v/>
      </c>
      <c r="AX148" s="14">
        <f>AX300</f>
        <v/>
      </c>
    </row>
    <row r="149">
      <c r="C149" s="6" t="inlineStr">
        <is>
          <t>Cumulative net cash flow</t>
        </is>
      </c>
      <c r="D149" s="2" t="inlineStr">
        <is>
          <t>EUR k</t>
        </is>
      </c>
      <c r="J149" s="8">
        <f>SUM($J148:J148)</f>
        <v/>
      </c>
      <c r="K149" s="8">
        <f>SUM($J148:K148)</f>
        <v/>
      </c>
      <c r="L149" s="8">
        <f>SUM($J148:L148)</f>
        <v/>
      </c>
      <c r="M149" s="8">
        <f>SUM($J148:M148)</f>
        <v/>
      </c>
      <c r="N149" s="8">
        <f>SUM($J148:N148)</f>
        <v/>
      </c>
      <c r="O149" s="8">
        <f>SUM($J148:O148)</f>
        <v/>
      </c>
      <c r="P149" s="8">
        <f>SUM($J148:P148)</f>
        <v/>
      </c>
      <c r="Q149" s="8">
        <f>SUM($J148:Q148)</f>
        <v/>
      </c>
      <c r="R149" s="8">
        <f>SUM($J148:R148)</f>
        <v/>
      </c>
      <c r="S149" s="8">
        <f>SUM($J148:S148)</f>
        <v/>
      </c>
      <c r="T149" s="8">
        <f>SUM($J148:T148)</f>
        <v/>
      </c>
      <c r="U149" s="8">
        <f>SUM($J148:U148)</f>
        <v/>
      </c>
      <c r="V149" s="8">
        <f>SUM($J148:V148)</f>
        <v/>
      </c>
      <c r="W149" s="8">
        <f>SUM($J148:W148)</f>
        <v/>
      </c>
      <c r="X149" s="8">
        <f>SUM($J148:X148)</f>
        <v/>
      </c>
      <c r="Y149" s="8">
        <f>SUM($J148:Y148)</f>
        <v/>
      </c>
      <c r="Z149" s="8">
        <f>SUM($J148:Z148)</f>
        <v/>
      </c>
      <c r="AA149" s="8">
        <f>SUM($J148:AA148)</f>
        <v/>
      </c>
      <c r="AB149" s="8">
        <f>SUM($J148:AB148)</f>
        <v/>
      </c>
      <c r="AC149" s="8">
        <f>SUM($J148:AC148)</f>
        <v/>
      </c>
      <c r="AD149" s="8">
        <f>SUM($J148:AD148)</f>
        <v/>
      </c>
      <c r="AE149" s="8">
        <f>SUM($J148:AE148)</f>
        <v/>
      </c>
      <c r="AF149" s="8">
        <f>SUM($J148:AF148)</f>
        <v/>
      </c>
      <c r="AG149" s="8">
        <f>SUM($J148:AG148)</f>
        <v/>
      </c>
      <c r="AH149" s="8">
        <f>SUM($J148:AH148)</f>
        <v/>
      </c>
      <c r="AI149" s="8">
        <f>SUM($J148:AI148)</f>
        <v/>
      </c>
      <c r="AJ149" s="8">
        <f>SUM($J148:AJ148)</f>
        <v/>
      </c>
      <c r="AK149" s="8">
        <f>SUM($J148:AK148)</f>
        <v/>
      </c>
      <c r="AL149" s="8">
        <f>SUM($J148:AL148)</f>
        <v/>
      </c>
      <c r="AM149" s="8">
        <f>SUM($J148:AM148)</f>
        <v/>
      </c>
      <c r="AN149" s="8">
        <f>SUM($J148:AN148)</f>
        <v/>
      </c>
      <c r="AO149" s="8">
        <f>SUM($J148:AO148)</f>
        <v/>
      </c>
      <c r="AP149" s="8">
        <f>SUM($J148:AP148)</f>
        <v/>
      </c>
      <c r="AQ149" s="8">
        <f>SUM($J148:AQ148)</f>
        <v/>
      </c>
      <c r="AR149" s="8">
        <f>SUM($J148:AR148)</f>
        <v/>
      </c>
      <c r="AS149" s="8">
        <f>SUM($J148:AS148)</f>
        <v/>
      </c>
      <c r="AT149" s="8">
        <f>SUM($J148:AT148)</f>
        <v/>
      </c>
      <c r="AU149" s="8">
        <f>SUM($J148:AU148)</f>
        <v/>
      </c>
      <c r="AV149" s="8">
        <f>SUM($J148:AV148)</f>
        <v/>
      </c>
      <c r="AW149" s="8">
        <f>SUM($J148:AW148)</f>
        <v/>
      </c>
      <c r="AX149" s="8">
        <f>SUM($J148:AX148)</f>
        <v/>
      </c>
    </row>
    <row r="151">
      <c r="B151" s="4" t="inlineStr">
        <is>
          <t>x</t>
        </is>
      </c>
      <c r="C151" s="4" t="inlineStr">
        <is>
          <t>Detailed calculations: claims, waterfall, dated flows, timelines, checks – expand the group</t>
        </is>
      </c>
      <c r="D151" s="4" t="n"/>
      <c r="E151" s="5" t="inlineStr">
        <is>
          <t>Bora</t>
        </is>
      </c>
      <c r="F151" s="5" t="inlineStr">
        <is>
          <t>Iváncsa</t>
        </is>
      </c>
      <c r="G151" s="5" t="inlineStr">
        <is>
          <t>Dunaújváros</t>
        </is>
      </c>
      <c r="H151" s="5" t="inlineStr">
        <is>
          <t>Total</t>
        </is>
      </c>
    </row>
    <row r="152" hidden="1" outlineLevel="1"/>
    <row r="153" hidden="1" outlineLevel="1">
      <c r="B153" s="4" t="inlineStr">
        <is>
          <t>x</t>
        </is>
      </c>
      <c r="C153" s="4" t="inlineStr">
        <is>
          <t>RtB exit: FEP claims at the sale (interest to the freeze, act/365, capitalised 31-Dec)</t>
        </is>
      </c>
      <c r="D153" s="4" t="n"/>
      <c r="E153" s="5" t="inlineStr">
        <is>
          <t>Bora</t>
        </is>
      </c>
      <c r="F153" s="5" t="inlineStr">
        <is>
          <t>Iváncsa</t>
        </is>
      </c>
      <c r="G153" s="5" t="inlineStr">
        <is>
          <t>Dunaújváros</t>
        </is>
      </c>
      <c r="H153" s="5" t="inlineStr">
        <is>
          <t>Total</t>
        </is>
      </c>
    </row>
    <row r="154" hidden="1" outlineLevel="1">
      <c r="C154" s="6" t="inlineStr">
        <is>
          <t>Interest accrual end (earlier of freeze and sale)</t>
        </is>
      </c>
      <c r="D154" s="2" t="inlineStr">
        <is>
          <t>date</t>
        </is>
      </c>
      <c r="E154" s="18">
        <f>MIN(Freeze_Date,Sale_Date)</f>
        <v/>
      </c>
      <c r="F154" s="18">
        <f>MIN(Freeze_Date,Sale_Date)</f>
        <v/>
      </c>
      <c r="G154" s="18">
        <f>MIN(Freeze_Date,Sale_Date)</f>
        <v/>
      </c>
    </row>
    <row r="155" hidden="1" outlineLevel="1">
      <c r="C155" s="6" t="inlineStr">
        <is>
          <t>Start of the accrual end year</t>
        </is>
      </c>
      <c r="D155" s="2" t="inlineStr">
        <is>
          <t>date</t>
        </is>
      </c>
      <c r="E155" s="18">
        <f>DATE(YEAR(E154),1,1)</f>
        <v/>
      </c>
      <c r="F155" s="18">
        <f>DATE(YEAR(F154),1,1)</f>
        <v/>
      </c>
      <c r="G155" s="18">
        <f>DATE(YEAR(G154),1,1)</f>
        <v/>
      </c>
    </row>
    <row r="156" hidden="1" outlineLevel="1">
      <c r="C156" s="6" t="inlineStr">
        <is>
          <t>From bid submission: factor in the payment year (if before the end year)</t>
        </is>
      </c>
      <c r="D156" s="2" t="inlineStr">
        <is>
          <t>x</t>
        </is>
      </c>
      <c r="E156" s="26">
        <f>1+Rate_Cash*(DATE(YEAR(Date_Bid)+1,1,1)-Date_Bid)*(Date_Bid&lt;E155)/Days_In_Year</f>
        <v/>
      </c>
      <c r="F156" s="26">
        <f>1+Rate_Cash*(DATE(YEAR(Date_Bid)+1,1,1)-Date_Bid)*(Date_Bid&lt;F155)/Days_In_Year</f>
        <v/>
      </c>
      <c r="G156" s="26">
        <f>1+Rate_Cash*(DATE(YEAR(Date_Bid)+1,1,1)-Date_Bid)*(Date_Bid&lt;G155)/Days_In_Year</f>
        <v/>
      </c>
    </row>
    <row r="157" hidden="1" outlineLevel="1">
      <c r="C157" s="6" t="inlineStr">
        <is>
          <t>From bid submission: factor in the end year (to the accrual end)</t>
        </is>
      </c>
      <c r="D157" s="2" t="inlineStr">
        <is>
          <t>x</t>
        </is>
      </c>
      <c r="E157" s="26">
        <f>1+Rate_Cash*MAX(0,E154-MAX(Date_Bid,E155)+1)/Days_In_Year</f>
        <v/>
      </c>
      <c r="F157" s="26">
        <f>1+Rate_Cash*MAX(0,F154-MAX(Date_Bid,F155)+1)/Days_In_Year</f>
        <v/>
      </c>
      <c r="G157" s="26">
        <f>1+Rate_Cash*MAX(0,G154-MAX(Date_Bid,G155)+1)/Days_In_Year</f>
        <v/>
      </c>
    </row>
    <row r="158" hidden="1" outlineLevel="1">
      <c r="C158" s="6" t="inlineStr">
        <is>
          <t>From bid submission: accrual factor (whole years in between at 1 + rate)</t>
        </is>
      </c>
      <c r="D158" s="2" t="inlineStr">
        <is>
          <t>x</t>
        </is>
      </c>
      <c r="E158" s="26">
        <f>E156*(1+Rate_Cash)^MAX(0,YEAR(E155)-YEAR(Date_Bid)-1)*E157</f>
        <v/>
      </c>
      <c r="F158" s="26">
        <f>F156*(1+Rate_Cash)^MAX(0,YEAR(F155)-YEAR(Date_Bid)-1)*F157</f>
        <v/>
      </c>
      <c r="G158" s="26">
        <f>G156*(1+Rate_Cash)^MAX(0,YEAR(G155)-YEAR(Date_Bid)-1)*G157</f>
        <v/>
      </c>
    </row>
    <row r="159" hidden="1" outlineLevel="1">
      <c r="C159" s="6" t="inlineStr">
        <is>
          <t>From performance security posting: factor in the payment year (if before the end year)</t>
        </is>
      </c>
      <c r="D159" s="2" t="inlineStr">
        <is>
          <t>x</t>
        </is>
      </c>
      <c r="E159" s="26">
        <f>1+Rate_Cash*(DATE(YEAR(Date_PB)+1,1,1)-Date_PB)*(Date_PB&lt;E155)/Days_In_Year</f>
        <v/>
      </c>
      <c r="F159" s="26">
        <f>1+Rate_Cash*(DATE(YEAR(Date_PB)+1,1,1)-Date_PB)*(Date_PB&lt;F155)/Days_In_Year</f>
        <v/>
      </c>
      <c r="G159" s="26">
        <f>1+Rate_Cash*(DATE(YEAR(Date_PB)+1,1,1)-Date_PB)*(Date_PB&lt;G155)/Days_In_Year</f>
        <v/>
      </c>
    </row>
    <row r="160" hidden="1" outlineLevel="1">
      <c r="C160" s="6" t="inlineStr">
        <is>
          <t>From performance security posting: factor in the end year (to the accrual end)</t>
        </is>
      </c>
      <c r="D160" s="2" t="inlineStr">
        <is>
          <t>x</t>
        </is>
      </c>
      <c r="E160" s="26">
        <f>1+Rate_Cash*MAX(0,E154-MAX(Date_PB,E155)+1)/Days_In_Year</f>
        <v/>
      </c>
      <c r="F160" s="26">
        <f>1+Rate_Cash*MAX(0,F154-MAX(Date_PB,F155)+1)/Days_In_Year</f>
        <v/>
      </c>
      <c r="G160" s="26">
        <f>1+Rate_Cash*MAX(0,G154-MAX(Date_PB,G155)+1)/Days_In_Year</f>
        <v/>
      </c>
    </row>
    <row r="161" hidden="1" outlineLevel="1">
      <c r="C161" s="6" t="inlineStr">
        <is>
          <t>From performance security posting: accrual factor (whole years in between at 1 + rate)</t>
        </is>
      </c>
      <c r="D161" s="2" t="inlineStr">
        <is>
          <t>x</t>
        </is>
      </c>
      <c r="E161" s="26">
        <f>E159*(1+Rate_Cash)^MAX(0,YEAR(E155)-YEAR(Date_PB)-1)*E160</f>
        <v/>
      </c>
      <c r="F161" s="26">
        <f>F159*(1+Rate_Cash)^MAX(0,YEAR(F155)-YEAR(Date_PB)-1)*F160</f>
        <v/>
      </c>
      <c r="G161" s="26">
        <f>G159*(1+Rate_Cash)^MAX(0,YEAR(G155)-YEAR(Date_PB)-1)*G160</f>
        <v/>
      </c>
    </row>
    <row r="162" hidden="1" outlineLevel="1">
      <c r="C162" s="6" t="inlineStr">
        <is>
          <t>From TSO security payment: factor in the payment year (if before the end year)</t>
        </is>
      </c>
      <c r="D162" s="2" t="inlineStr">
        <is>
          <t>x</t>
        </is>
      </c>
      <c r="E162" s="26">
        <f>1+Rate_Cash*(DATE(YEAR(Date_TSO)+1,1,1)-Date_TSO)*(Date_TSO&lt;E155)/Days_In_Year</f>
        <v/>
      </c>
      <c r="F162" s="26">
        <f>1+Rate_Cash*(DATE(YEAR(Date_TSO)+1,1,1)-Date_TSO)*(Date_TSO&lt;F155)/Days_In_Year</f>
        <v/>
      </c>
      <c r="G162" s="26">
        <f>1+Rate_Cash*(DATE(YEAR(Date_TSO)+1,1,1)-Date_TSO)*(Date_TSO&lt;G155)/Days_In_Year</f>
        <v/>
      </c>
    </row>
    <row r="163" hidden="1" outlineLevel="1">
      <c r="C163" s="6" t="inlineStr">
        <is>
          <t>From TSO security payment: factor in the end year (to the accrual end)</t>
        </is>
      </c>
      <c r="D163" s="2" t="inlineStr">
        <is>
          <t>x</t>
        </is>
      </c>
      <c r="E163" s="26">
        <f>1+Rate_Cash*MAX(0,E154-MAX(Date_TSO,E155)+1)/Days_In_Year</f>
        <v/>
      </c>
      <c r="F163" s="26">
        <f>1+Rate_Cash*MAX(0,F154-MAX(Date_TSO,F155)+1)/Days_In_Year</f>
        <v/>
      </c>
      <c r="G163" s="26">
        <f>1+Rate_Cash*MAX(0,G154-MAX(Date_TSO,G155)+1)/Days_In_Year</f>
        <v/>
      </c>
    </row>
    <row r="164" hidden="1" outlineLevel="1">
      <c r="C164" s="6" t="inlineStr">
        <is>
          <t>From TSO security payment: accrual factor (whole years in between at 1 + rate)</t>
        </is>
      </c>
      <c r="D164" s="2" t="inlineStr">
        <is>
          <t>x</t>
        </is>
      </c>
      <c r="E164" s="26">
        <f>E162*(1+Rate_Cash)^MAX(0,YEAR(E155)-YEAR(Date_TSO)-1)*E163</f>
        <v/>
      </c>
      <c r="F164" s="26">
        <f>F162*(1+Rate_Cash)^MAX(0,YEAR(F155)-YEAR(Date_TSO)-1)*F163</f>
        <v/>
      </c>
      <c r="G164" s="26">
        <f>G162*(1+Rate_Cash)^MAX(0,YEAR(G155)-YEAR(Date_TSO)-1)*G163</f>
        <v/>
      </c>
    </row>
    <row r="165" hidden="1" outlineLevel="1">
      <c r="C165" s="6" t="inlineStr">
        <is>
          <t>From connection agreement (HCSSZ): factor in the payment year (if before the end year)</t>
        </is>
      </c>
      <c r="D165" s="2" t="inlineStr">
        <is>
          <t>x</t>
        </is>
      </c>
      <c r="E165" s="26">
        <f>1+Rate_Cash*(DATE(YEAR(Date_HC)+1,1,1)-Date_HC)*(Date_HC&lt;E155)/Days_In_Year</f>
        <v/>
      </c>
      <c r="F165" s="26">
        <f>1+Rate_Cash*(DATE(YEAR(Date_HC)+1,1,1)-Date_HC)*(Date_HC&lt;F155)/Days_In_Year</f>
        <v/>
      </c>
      <c r="G165" s="26">
        <f>1+Rate_Cash*(DATE(YEAR(Date_HC)+1,1,1)-Date_HC)*(Date_HC&lt;G155)/Days_In_Year</f>
        <v/>
      </c>
    </row>
    <row r="166" hidden="1" outlineLevel="1">
      <c r="C166" s="6" t="inlineStr">
        <is>
          <t>From connection agreement (HCSSZ): factor in the end year (to the accrual end)</t>
        </is>
      </c>
      <c r="D166" s="2" t="inlineStr">
        <is>
          <t>x</t>
        </is>
      </c>
      <c r="E166" s="26">
        <f>1+Rate_Cash*MAX(0,E154-MAX(Date_HC,E155)+1)/Days_In_Year</f>
        <v/>
      </c>
      <c r="F166" s="26">
        <f>1+Rate_Cash*MAX(0,F154-MAX(Date_HC,F155)+1)/Days_In_Year</f>
        <v/>
      </c>
      <c r="G166" s="26">
        <f>1+Rate_Cash*MAX(0,G154-MAX(Date_HC,G155)+1)/Days_In_Year</f>
        <v/>
      </c>
    </row>
    <row r="167" hidden="1" outlineLevel="1">
      <c r="C167" s="6" t="inlineStr">
        <is>
          <t>From connection agreement (HCSSZ): accrual factor (whole years in between at 1 + rate)</t>
        </is>
      </c>
      <c r="D167" s="2" t="inlineStr">
        <is>
          <t>x</t>
        </is>
      </c>
      <c r="E167" s="26">
        <f>E165*(1+Rate_Cash)^MAX(0,YEAR(E155)-YEAR(Date_HC)-1)*E166</f>
        <v/>
      </c>
      <c r="F167" s="26">
        <f>F165*(1+Rate_Cash)^MAX(0,YEAR(F155)-YEAR(Date_HC)-1)*F166</f>
        <v/>
      </c>
      <c r="G167" s="26">
        <f>G165*(1+Rate_Cash)^MAX(0,YEAR(G155)-YEAR(Date_HC)-1)*G166</f>
        <v/>
      </c>
    </row>
    <row r="168" hidden="1" outlineLevel="1">
      <c r="C168" s="6" t="inlineStr">
        <is>
          <t>From devex payment (average): factor in the payment year (if before the end year)</t>
        </is>
      </c>
      <c r="D168" s="2" t="inlineStr">
        <is>
          <t>x</t>
        </is>
      </c>
      <c r="E168" s="26">
        <f>1+Rate_Devex*(DATE(YEAR(Date_Devex)+1,1,1)-Date_Devex)*(Date_Devex&lt;E155)/Days_In_Year</f>
        <v/>
      </c>
      <c r="F168" s="26">
        <f>1+Rate_Devex*(DATE(YEAR(Date_Devex)+1,1,1)-Date_Devex)*(Date_Devex&lt;F155)/Days_In_Year</f>
        <v/>
      </c>
      <c r="G168" s="26">
        <f>1+Rate_Devex*(DATE(YEAR(Date_Devex)+1,1,1)-Date_Devex)*(Date_Devex&lt;G155)/Days_In_Year</f>
        <v/>
      </c>
    </row>
    <row r="169" hidden="1" outlineLevel="1">
      <c r="C169" s="6" t="inlineStr">
        <is>
          <t>From devex payment (average): factor in the end year (to the accrual end)</t>
        </is>
      </c>
      <c r="D169" s="2" t="inlineStr">
        <is>
          <t>x</t>
        </is>
      </c>
      <c r="E169" s="26">
        <f>1+Rate_Devex*MAX(0,E154-MAX(Date_Devex,E155)+1)/Days_In_Year</f>
        <v/>
      </c>
      <c r="F169" s="26">
        <f>1+Rate_Devex*MAX(0,F154-MAX(Date_Devex,F155)+1)/Days_In_Year</f>
        <v/>
      </c>
      <c r="G169" s="26">
        <f>1+Rate_Devex*MAX(0,G154-MAX(Date_Devex,G155)+1)/Days_In_Year</f>
        <v/>
      </c>
    </row>
    <row r="170" hidden="1" outlineLevel="1">
      <c r="C170" s="6" t="inlineStr">
        <is>
          <t>From devex payment (average): accrual factor (whole years in between at 1 + rate)</t>
        </is>
      </c>
      <c r="D170" s="2" t="inlineStr">
        <is>
          <t>x</t>
        </is>
      </c>
      <c r="E170" s="26">
        <f>E168*(1+Rate_Devex)^MAX(0,YEAR(E155)-YEAR(Date_Devex)-1)*E169</f>
        <v/>
      </c>
      <c r="F170" s="26">
        <f>F168*(1+Rate_Devex)^MAX(0,YEAR(F155)-YEAR(Date_Devex)-1)*F169</f>
        <v/>
      </c>
      <c r="G170" s="26">
        <f>G168*(1+Rate_Devex)^MAX(0,YEAR(G155)-YEAR(Date_Devex)-1)*G169</f>
        <v/>
      </c>
    </row>
    <row r="171" hidden="1" outlineLevel="1">
      <c r="C171" s="6" t="inlineStr">
        <is>
          <t>Claim: participation fee (not reimbursed)</t>
        </is>
      </c>
      <c r="D171" s="2" t="inlineStr">
        <is>
          <t>EUR k</t>
        </is>
      </c>
      <c r="E171" s="16">
        <f>E61*(E158-1)</f>
        <v/>
      </c>
      <c r="F171" s="16">
        <f>F61*(F158-1)</f>
        <v/>
      </c>
      <c r="G171" s="16">
        <f>G61*(G158-1)</f>
        <v/>
      </c>
      <c r="H171" s="16">
        <f>SUM(E171:G171)</f>
        <v/>
      </c>
    </row>
    <row r="172" hidden="1" outlineLevel="1">
      <c r="C172" s="6" t="inlineStr">
        <is>
          <t>Claim: bid security (cash)</t>
        </is>
      </c>
      <c r="D172" s="2" t="inlineStr">
        <is>
          <t>EUR k</t>
        </is>
      </c>
      <c r="E172" s="8">
        <f>E62*(E158-1)</f>
        <v/>
      </c>
      <c r="F172" s="8">
        <f>F62*(F158-1)</f>
        <v/>
      </c>
      <c r="G172" s="8">
        <f>G62*(G158-1)</f>
        <v/>
      </c>
      <c r="H172" s="8">
        <f>SUM(E172:G172)</f>
        <v/>
      </c>
    </row>
    <row r="173" hidden="1" outlineLevel="1">
      <c r="C173" s="6" t="inlineStr">
        <is>
          <t>Claim: performance security payable (cash)</t>
        </is>
      </c>
      <c r="D173" s="2" t="inlineStr">
        <is>
          <t>EUR k</t>
        </is>
      </c>
      <c r="E173" s="8">
        <f>E63*(E161-1)</f>
        <v/>
      </c>
      <c r="F173" s="8">
        <f>F63*(F161-1)</f>
        <v/>
      </c>
      <c r="G173" s="8">
        <f>G63*(G161-1)</f>
        <v/>
      </c>
      <c r="H173" s="8">
        <f>SUM(E173:G173)</f>
        <v/>
      </c>
    </row>
    <row r="174" hidden="1" outlineLevel="1">
      <c r="C174" s="6" t="inlineStr">
        <is>
          <t>Claim: TSO connection-request security</t>
        </is>
      </c>
      <c r="D174" s="2" t="inlineStr">
        <is>
          <t>EUR k</t>
        </is>
      </c>
      <c r="E174" s="8">
        <f>E64*(E164-1)</f>
        <v/>
      </c>
      <c r="F174" s="8">
        <f>F64*(F164-1)</f>
        <v/>
      </c>
      <c r="G174" s="8">
        <f>G64*(G164-1)</f>
        <v/>
      </c>
      <c r="H174" s="8">
        <f>SUM(E174:G174)</f>
        <v/>
      </c>
    </row>
    <row r="175" hidden="1" outlineLevel="1">
      <c r="C175" s="6" t="inlineStr">
        <is>
          <t>Claim: direct connection fee</t>
        </is>
      </c>
      <c r="D175" s="2" t="inlineStr">
        <is>
          <t>EUR k</t>
        </is>
      </c>
      <c r="E175" s="8">
        <f>E65*(E167-1)</f>
        <v/>
      </c>
      <c r="F175" s="8">
        <f>F65*(F167-1)</f>
        <v/>
      </c>
      <c r="G175" s="8">
        <f>G65*(G167-1)</f>
        <v/>
      </c>
      <c r="H175" s="8">
        <f>SUM(E175:G175)</f>
        <v/>
      </c>
    </row>
    <row r="176" hidden="1" outlineLevel="1">
      <c r="C176" s="6" t="inlineStr">
        <is>
          <t>Claim: indirect connection fee, payable</t>
        </is>
      </c>
      <c r="D176" s="2" t="inlineStr">
        <is>
          <t>EUR k</t>
        </is>
      </c>
      <c r="E176" s="8">
        <f>E66*(E167-1)</f>
        <v/>
      </c>
      <c r="F176" s="8">
        <f>F66*(F167-1)</f>
        <v/>
      </c>
      <c r="G176" s="8">
        <f>G66*(G167-1)</f>
        <v/>
      </c>
      <c r="H176" s="8">
        <f>SUM(E176:G176)</f>
        <v/>
      </c>
    </row>
    <row r="177" hidden="1" outlineLevel="1">
      <c r="C177" s="6" t="inlineStr">
        <is>
          <t>Claim: devex, MAX(20 % accrued, 1× principal)</t>
        </is>
      </c>
      <c r="D177" s="2" t="inlineStr">
        <is>
          <t>EUR k</t>
        </is>
      </c>
      <c r="E177" s="8">
        <f>E67*MAX(E170-1,Devex_Floor-1)</f>
        <v/>
      </c>
      <c r="F177" s="8">
        <f>F67*MAX(F170-1,Devex_Floor-1)</f>
        <v/>
      </c>
      <c r="G177" s="8">
        <f>G67*MAX(G170-1,Devex_Floor-1)</f>
        <v/>
      </c>
      <c r="H177" s="8">
        <f>SUM(E177:G177)</f>
        <v/>
      </c>
    </row>
    <row r="178" hidden="1" outlineLevel="1">
      <c r="C178" s="1" t="inlineStr">
        <is>
          <t>Total FEP claims</t>
        </is>
      </c>
      <c r="D178" s="2" t="inlineStr">
        <is>
          <t>EUR k</t>
        </is>
      </c>
      <c r="E178" s="19">
        <f>SUM(E171:E177)</f>
        <v/>
      </c>
      <c r="F178" s="19">
        <f>SUM(F171:F177)</f>
        <v/>
      </c>
      <c r="G178" s="19">
        <f>SUM(G171:G177)</f>
        <v/>
      </c>
      <c r="H178" s="19">
        <f>SUM(E178:G178)</f>
        <v/>
      </c>
    </row>
    <row r="179" hidden="1" outlineLevel="1">
      <c r="C179" s="6" t="inlineStr">
        <is>
          <t>Developer success fee due (DSA, capped)</t>
        </is>
      </c>
      <c r="D179" s="2" t="inlineStr">
        <is>
          <t>EUR k</t>
        </is>
      </c>
      <c r="E179" s="8">
        <f>E20*MIN(DSA_Rate*YEARFRAC(Date_Sign,Sale_Date),DSA_Cap)*E42</f>
        <v/>
      </c>
      <c r="F179" s="8">
        <f>F20*MIN(DSA_Rate*YEARFRAC(Date_Sign,Sale_Date),DSA_Cap)*F42</f>
        <v/>
      </c>
      <c r="G179" s="8">
        <f>G20*MIN(DSA_Rate*YEARFRAC(Date_Sign,Sale_Date),DSA_Cap)*G42</f>
        <v/>
      </c>
      <c r="H179" s="8">
        <f>SUM(E179:G179)</f>
        <v/>
      </c>
    </row>
    <row r="180" hidden="1" outlineLevel="1"/>
    <row r="181" hidden="1" outlineLevel="1">
      <c r="B181" s="4" t="inlineStr">
        <is>
          <t>x</t>
        </is>
      </c>
      <c r="C181" s="4" t="inlineStr">
        <is>
          <t>RtB exit: waterfall at the sale</t>
        </is>
      </c>
      <c r="D181" s="4" t="n"/>
      <c r="E181" s="5" t="inlineStr">
        <is>
          <t>Bora</t>
        </is>
      </c>
      <c r="F181" s="5" t="inlineStr">
        <is>
          <t>Iváncsa</t>
        </is>
      </c>
      <c r="G181" s="5" t="inlineStr">
        <is>
          <t>Dunaújváros</t>
        </is>
      </c>
      <c r="H181" s="5" t="inlineStr">
        <is>
          <t>Total</t>
        </is>
      </c>
    </row>
    <row r="182" hidden="1" outlineLevel="1">
      <c r="C182" s="6" t="inlineStr">
        <is>
          <t>RtB premium</t>
        </is>
      </c>
      <c r="D182" s="2" t="inlineStr">
        <is>
          <t>EUR k</t>
        </is>
      </c>
      <c r="E182" s="8">
        <f>E18*E6</f>
        <v/>
      </c>
      <c r="F182" s="8">
        <f>F18*F6</f>
        <v/>
      </c>
      <c r="G182" s="8">
        <f>G18*G6</f>
        <v/>
      </c>
      <c r="H182" s="8">
        <f>SUM(E182:G182)</f>
        <v/>
      </c>
    </row>
    <row r="183" hidden="1" outlineLevel="1">
      <c r="C183" s="6" t="inlineStr">
        <is>
          <t>Buyer reimburses securities and connection fees at cost</t>
        </is>
      </c>
      <c r="D183" s="2" t="inlineStr">
        <is>
          <t>EUR k</t>
        </is>
      </c>
      <c r="E183" s="8">
        <f>SUM(E62:E66)</f>
        <v/>
      </c>
      <c r="F183" s="8">
        <f>SUM(F62:F66)</f>
        <v/>
      </c>
      <c r="G183" s="8">
        <f>SUM(G62:G66)</f>
        <v/>
      </c>
      <c r="H183" s="8">
        <f>SUM(E183:G183)</f>
        <v/>
      </c>
    </row>
    <row r="184" hidden="1" outlineLevel="1">
      <c r="C184" s="1" t="inlineStr">
        <is>
          <t>Total proceeds</t>
        </is>
      </c>
      <c r="D184" s="2" t="inlineStr">
        <is>
          <t>EUR k</t>
        </is>
      </c>
      <c r="E184" s="14">
        <f>E182+E183</f>
        <v/>
      </c>
      <c r="F184" s="14">
        <f>F182+F183</f>
        <v/>
      </c>
      <c r="G184" s="14">
        <f>G182+G183</f>
        <v/>
      </c>
      <c r="H184" s="14">
        <f>SUM(E184:G184)</f>
        <v/>
      </c>
    </row>
    <row r="185" hidden="1" outlineLevel="1">
      <c r="C185" s="6" t="inlineStr">
        <is>
          <t>Less sale costs</t>
        </is>
      </c>
      <c r="D185" s="2" t="inlineStr">
        <is>
          <t>EUR k</t>
        </is>
      </c>
      <c r="E185" s="8">
        <f>-MIN(E184,Sale_Costs)</f>
        <v/>
      </c>
      <c r="F185" s="8">
        <f>-MIN(F184,Sale_Costs)</f>
        <v/>
      </c>
      <c r="G185" s="8">
        <f>-MIN(G184,Sale_Costs)</f>
        <v/>
      </c>
      <c r="H185" s="8">
        <f>SUM(E185:G185)</f>
        <v/>
      </c>
    </row>
    <row r="186" hidden="1" outlineLevel="1">
      <c r="C186" s="6" t="inlineStr">
        <is>
          <t>Less securities and fees repaid to FEP</t>
        </is>
      </c>
      <c r="D186" s="2" t="inlineStr">
        <is>
          <t>EUR k</t>
        </is>
      </c>
      <c r="E186" s="8">
        <f>-MIN(SUM(E184:E185),E183)</f>
        <v/>
      </c>
      <c r="F186" s="8">
        <f>-MIN(SUM(F184:F185),F183)</f>
        <v/>
      </c>
      <c r="G186" s="8">
        <f>-MIN(SUM(G184:G185),G183)</f>
        <v/>
      </c>
      <c r="H186" s="8">
        <f>SUM(E186:G186)</f>
        <v/>
      </c>
    </row>
    <row r="187" hidden="1" outlineLevel="1">
      <c r="C187" s="6" t="inlineStr">
        <is>
          <t>Less FEP claims at 12 %</t>
        </is>
      </c>
      <c r="D187" s="2" t="inlineStr">
        <is>
          <t>EUR k</t>
        </is>
      </c>
      <c r="E187" s="8">
        <f>-MIN(SUM(E184:E186),SUM(E171:E176))</f>
        <v/>
      </c>
      <c r="F187" s="8">
        <f>-MIN(SUM(F184:F186),SUM(F171:F176))</f>
        <v/>
      </c>
      <c r="G187" s="8">
        <f>-MIN(SUM(G184:G186),SUM(G171:G176))</f>
        <v/>
      </c>
      <c r="H187" s="8">
        <f>SUM(E187:G187)</f>
        <v/>
      </c>
    </row>
    <row r="188" hidden="1" outlineLevel="1">
      <c r="C188" s="6" t="inlineStr">
        <is>
          <t>Less FEP devex return</t>
        </is>
      </c>
      <c r="D188" s="2" t="inlineStr">
        <is>
          <t>EUR k</t>
        </is>
      </c>
      <c r="E188" s="8">
        <f>-MIN(SUM(E184:E187),E177)</f>
        <v/>
      </c>
      <c r="F188" s="8">
        <f>-MIN(SUM(F184:F187),F177)</f>
        <v/>
      </c>
      <c r="G188" s="8">
        <f>-MIN(SUM(G184:G187),G177)</f>
        <v/>
      </c>
      <c r="H188" s="8">
        <f>SUM(E188:G188)</f>
        <v/>
      </c>
    </row>
    <row r="189" hidden="1" outlineLevel="1">
      <c r="C189" s="6" t="inlineStr">
        <is>
          <t>Less developer success fee (DSA)</t>
        </is>
      </c>
      <c r="D189" s="2" t="inlineStr">
        <is>
          <t>EUR k</t>
        </is>
      </c>
      <c r="E189" s="8">
        <f>-MIN(SUM(E184:E188),E179)</f>
        <v/>
      </c>
      <c r="F189" s="8">
        <f>-MIN(SUM(F184:F188),F179)</f>
        <v/>
      </c>
      <c r="G189" s="8">
        <f>-MIN(SUM(G184:G188),G179)</f>
        <v/>
      </c>
      <c r="H189" s="8">
        <f>SUM(E189:G189)</f>
        <v/>
      </c>
    </row>
    <row r="190" hidden="1" outlineLevel="1">
      <c r="C190" s="1" t="inlineStr">
        <is>
          <t>Distributable proceeds</t>
        </is>
      </c>
      <c r="D190" s="2" t="inlineStr">
        <is>
          <t>EUR k</t>
        </is>
      </c>
      <c r="E190" s="19">
        <f>SUM(E184:E189)</f>
        <v/>
      </c>
      <c r="F190" s="19">
        <f>SUM(F184:F189)</f>
        <v/>
      </c>
      <c r="G190" s="19">
        <f>SUM(G184:G189)</f>
        <v/>
      </c>
      <c r="H190" s="19">
        <f>SUM(E190:G190)</f>
        <v/>
      </c>
    </row>
    <row r="191" hidden="1" outlineLevel="1">
      <c r="C191" s="6" t="inlineStr">
        <is>
          <t>FEP share of distributable</t>
        </is>
      </c>
      <c r="D191" s="2" t="inlineStr">
        <is>
          <t>EUR k</t>
        </is>
      </c>
      <c r="E191" s="8">
        <f>E190*E19</f>
        <v/>
      </c>
      <c r="F191" s="8">
        <f>F190*F19</f>
        <v/>
      </c>
      <c r="G191" s="8">
        <f>G190*G19</f>
        <v/>
      </c>
      <c r="H191" s="8">
        <f>SUM(E191:G191)</f>
        <v/>
      </c>
    </row>
    <row r="192" hidden="1" outlineLevel="1">
      <c r="C192" s="6" t="inlineStr">
        <is>
          <t>Developer share of distributable</t>
        </is>
      </c>
      <c r="D192" s="2" t="inlineStr">
        <is>
          <t>EUR k</t>
        </is>
      </c>
      <c r="E192" s="8">
        <f>E190-E191</f>
        <v/>
      </c>
      <c r="F192" s="8">
        <f>F190-F191</f>
        <v/>
      </c>
      <c r="G192" s="8">
        <f>G190-G191</f>
        <v/>
      </c>
      <c r="H192" s="8">
        <f>SUM(E192:G192)</f>
        <v/>
      </c>
    </row>
    <row r="193" hidden="1" outlineLevel="1"/>
    <row r="194" hidden="1" outlineLevel="1">
      <c r="C194" s="20" t="inlineStr">
        <is>
          <t>FEP cash flows, dated (outlays, then receipts at the sale)</t>
        </is>
      </c>
      <c r="D194" s="20" t="n"/>
      <c r="E194" s="21" t="inlineStr">
        <is>
          <t>Bora</t>
        </is>
      </c>
      <c r="F194" s="21" t="inlineStr">
        <is>
          <t>Iváncsa</t>
        </is>
      </c>
      <c r="G194" s="21" t="inlineStr">
        <is>
          <t>Dunaújváros</t>
        </is>
      </c>
      <c r="H194" s="21" t="inlineStr">
        <is>
          <t>Total</t>
        </is>
      </c>
      <c r="J194" s="21" t="inlineStr">
        <is>
          <t>Date</t>
        </is>
      </c>
    </row>
    <row r="195" hidden="1" outlineLevel="1">
      <c r="C195" s="6" t="inlineStr">
        <is>
          <t>Signing fee and DD</t>
        </is>
      </c>
      <c r="D195" s="2" t="inlineStr">
        <is>
          <t>EUR k</t>
        </is>
      </c>
      <c r="E195" s="8">
        <f>-E68</f>
        <v/>
      </c>
      <c r="F195" s="8">
        <f>-F68</f>
        <v/>
      </c>
      <c r="G195" s="8">
        <f>-G68</f>
        <v/>
      </c>
      <c r="H195" s="8">
        <f>SUM(E195:G195)</f>
        <v/>
      </c>
      <c r="J195" s="18">
        <f>Date_Sign</f>
        <v/>
      </c>
    </row>
    <row r="196" hidden="1" outlineLevel="1">
      <c r="C196" s="6" t="inlineStr">
        <is>
          <t>Participation fee</t>
        </is>
      </c>
      <c r="D196" s="2" t="inlineStr">
        <is>
          <t>EUR k</t>
        </is>
      </c>
      <c r="E196" s="16">
        <f>-E61</f>
        <v/>
      </c>
      <c r="F196" s="16">
        <f>-F61</f>
        <v/>
      </c>
      <c r="G196" s="16">
        <f>-G61</f>
        <v/>
      </c>
      <c r="H196" s="16">
        <f>SUM(E196:G196)</f>
        <v/>
      </c>
      <c r="J196" s="18">
        <f>Date_Bid</f>
        <v/>
      </c>
    </row>
    <row r="197" hidden="1" outlineLevel="1">
      <c r="C197" s="6" t="inlineStr">
        <is>
          <t>Bid security</t>
        </is>
      </c>
      <c r="D197" s="2" t="inlineStr">
        <is>
          <t>EUR k</t>
        </is>
      </c>
      <c r="E197" s="8">
        <f>-E62</f>
        <v/>
      </c>
      <c r="F197" s="8">
        <f>-F62</f>
        <v/>
      </c>
      <c r="G197" s="8">
        <f>-G62</f>
        <v/>
      </c>
      <c r="H197" s="8">
        <f>SUM(E197:G197)</f>
        <v/>
      </c>
      <c r="J197" s="18">
        <f>Date_Bid</f>
        <v/>
      </c>
    </row>
    <row r="198" hidden="1" outlineLevel="1">
      <c r="C198" s="6" t="inlineStr">
        <is>
          <t>Performance security payable</t>
        </is>
      </c>
      <c r="D198" s="2" t="inlineStr">
        <is>
          <t>EUR k</t>
        </is>
      </c>
      <c r="E198" s="8">
        <f>-E63</f>
        <v/>
      </c>
      <c r="F198" s="8">
        <f>-F63</f>
        <v/>
      </c>
      <c r="G198" s="8">
        <f>-G63</f>
        <v/>
      </c>
      <c r="H198" s="8">
        <f>SUM(E198:G198)</f>
        <v/>
      </c>
      <c r="J198" s="18">
        <f>Date_PB</f>
        <v/>
      </c>
    </row>
    <row r="199" hidden="1" outlineLevel="1">
      <c r="C199" s="6" t="inlineStr">
        <is>
          <t>TSO connection-request security</t>
        </is>
      </c>
      <c r="D199" s="2" t="inlineStr">
        <is>
          <t>EUR k</t>
        </is>
      </c>
      <c r="E199" s="8">
        <f>-E64</f>
        <v/>
      </c>
      <c r="F199" s="8">
        <f>-F64</f>
        <v/>
      </c>
      <c r="G199" s="8">
        <f>-G64</f>
        <v/>
      </c>
      <c r="H199" s="8">
        <f>SUM(E199:G199)</f>
        <v/>
      </c>
      <c r="J199" s="18">
        <f>Date_TSO</f>
        <v/>
      </c>
    </row>
    <row r="200" hidden="1" outlineLevel="1">
      <c r="C200" s="6" t="inlineStr">
        <is>
          <t>Direct connection fee</t>
        </is>
      </c>
      <c r="D200" s="2" t="inlineStr">
        <is>
          <t>EUR k</t>
        </is>
      </c>
      <c r="E200" s="8">
        <f>-E65</f>
        <v/>
      </c>
      <c r="F200" s="8">
        <f>-F65</f>
        <v/>
      </c>
      <c r="G200" s="8">
        <f>-G65</f>
        <v/>
      </c>
      <c r="H200" s="8">
        <f>SUM(E200:G200)</f>
        <v/>
      </c>
      <c r="J200" s="18">
        <f>Date_HC</f>
        <v/>
      </c>
    </row>
    <row r="201" hidden="1" outlineLevel="1">
      <c r="C201" s="6" t="inlineStr">
        <is>
          <t>Indirect connection fee, payable</t>
        </is>
      </c>
      <c r="D201" s="2" t="inlineStr">
        <is>
          <t>EUR k</t>
        </is>
      </c>
      <c r="E201" s="8">
        <f>-E66</f>
        <v/>
      </c>
      <c r="F201" s="8">
        <f>-F66</f>
        <v/>
      </c>
      <c r="G201" s="8">
        <f>-G66</f>
        <v/>
      </c>
      <c r="H201" s="8">
        <f>SUM(E201:G201)</f>
        <v/>
      </c>
      <c r="J201" s="18">
        <f>Date_HC</f>
        <v/>
      </c>
    </row>
    <row r="202" hidden="1" outlineLevel="1">
      <c r="C202" s="6" t="inlineStr">
        <is>
          <t>Devex</t>
        </is>
      </c>
      <c r="D202" s="2" t="inlineStr">
        <is>
          <t>EUR k</t>
        </is>
      </c>
      <c r="E202" s="8">
        <f>-E67</f>
        <v/>
      </c>
      <c r="F202" s="8">
        <f>-F67</f>
        <v/>
      </c>
      <c r="G202" s="8">
        <f>-G67</f>
        <v/>
      </c>
      <c r="H202" s="8">
        <f>SUM(E202:G202)</f>
        <v/>
      </c>
      <c r="J202" s="18">
        <f>Date_Devex</f>
        <v/>
      </c>
    </row>
    <row r="203" hidden="1" outlineLevel="1">
      <c r="C203" s="1" t="inlineStr">
        <is>
          <t>FEP receipts at the sale (repaid, claims, share)</t>
        </is>
      </c>
      <c r="D203" s="2" t="inlineStr">
        <is>
          <t>EUR k</t>
        </is>
      </c>
      <c r="E203" s="14">
        <f>E191-SUM(E186:E188)</f>
        <v/>
      </c>
      <c r="F203" s="14">
        <f>F191-SUM(F186:F188)</f>
        <v/>
      </c>
      <c r="G203" s="14">
        <f>G191-SUM(G186:G188)</f>
        <v/>
      </c>
      <c r="H203" s="14">
        <f>SUM(E203:G203)</f>
        <v/>
      </c>
      <c r="J203" s="18">
        <f>Sale_Date</f>
        <v/>
      </c>
    </row>
    <row r="204" hidden="1" outlineLevel="1">
      <c r="C204" s="1" t="inlineStr">
        <is>
          <t>FEP profit, pre-tax</t>
        </is>
      </c>
      <c r="D204" s="2" t="inlineStr">
        <is>
          <t>EUR k</t>
        </is>
      </c>
      <c r="E204" s="19">
        <f>SUM(E195:E203)</f>
        <v/>
      </c>
      <c r="F204" s="19">
        <f>SUM(F195:F203)</f>
        <v/>
      </c>
      <c r="G204" s="19">
        <f>SUM(G195:G203)</f>
        <v/>
      </c>
      <c r="H204" s="19">
        <f>SUM(E204:G204)</f>
        <v/>
      </c>
    </row>
    <row r="205" hidden="1" outlineLevel="1">
      <c r="C205" s="6" t="inlineStr">
        <is>
          <t>CIT on the gain</t>
        </is>
      </c>
      <c r="D205" s="2" t="inlineStr">
        <is>
          <t>EUR k</t>
        </is>
      </c>
      <c r="E205" s="8">
        <f>-MAX(0,E204)*CIT_Rate</f>
        <v/>
      </c>
      <c r="F205" s="8">
        <f>-MAX(0,F204)*CIT_Rate</f>
        <v/>
      </c>
      <c r="G205" s="8">
        <f>-MAX(0,G204)*CIT_Rate</f>
        <v/>
      </c>
      <c r="H205" s="8">
        <f>SUM(E205:G205)</f>
        <v/>
      </c>
    </row>
    <row r="206" hidden="1" outlineLevel="1">
      <c r="C206" s="1" t="inlineStr">
        <is>
          <t>FEP profit, post-tax</t>
        </is>
      </c>
      <c r="D206" s="2" t="inlineStr">
        <is>
          <t>EUR k</t>
        </is>
      </c>
      <c r="E206" s="14">
        <f>E204+E205</f>
        <v/>
      </c>
      <c r="F206" s="14">
        <f>F204+F205</f>
        <v/>
      </c>
      <c r="G206" s="14">
        <f>G204+G205</f>
        <v/>
      </c>
      <c r="H206" s="14">
        <f>SUM(E206:G206)</f>
        <v/>
      </c>
    </row>
    <row r="207" hidden="1" outlineLevel="1"/>
    <row r="208" hidden="1" outlineLevel="1">
      <c r="B208" s="4" t="inlineStr">
        <is>
          <t>x</t>
        </is>
      </c>
      <c r="C208" s="4" t="inlineStr">
        <is>
          <t>Annual timeline</t>
        </is>
      </c>
      <c r="D208" s="4" t="n"/>
      <c r="E208" s="5" t="n"/>
      <c r="F208" s="5" t="n"/>
      <c r="G208" s="5" t="n"/>
      <c r="H208" s="5" t="inlineStr">
        <is>
          <t>Total</t>
        </is>
      </c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  <c r="AP208" s="5" t="n"/>
      <c r="AQ208" s="5" t="n"/>
      <c r="AR208" s="5" t="n"/>
      <c r="AS208" s="5" t="n"/>
      <c r="AT208" s="5" t="n"/>
      <c r="AU208" s="5" t="n"/>
      <c r="AV208" s="5" t="n"/>
      <c r="AW208" s="5" t="n"/>
      <c r="AX208" s="5" t="n"/>
    </row>
    <row r="209" hidden="1" outlineLevel="1">
      <c r="C209" s="6" t="inlineStr">
        <is>
          <t>Year</t>
        </is>
      </c>
      <c r="D209" s="2" t="inlineStr">
        <is>
          <t>year</t>
        </is>
      </c>
      <c r="J209" s="27">
        <f>First_Year+COLUMN()-COLUMN($J$1)</f>
        <v/>
      </c>
      <c r="K209" s="27">
        <f>First_Year+COLUMN()-COLUMN($J$1)</f>
        <v/>
      </c>
      <c r="L209" s="27">
        <f>First_Year+COLUMN()-COLUMN($J$1)</f>
        <v/>
      </c>
      <c r="M209" s="27">
        <f>First_Year+COLUMN()-COLUMN($J$1)</f>
        <v/>
      </c>
      <c r="N209" s="27">
        <f>First_Year+COLUMN()-COLUMN($J$1)</f>
        <v/>
      </c>
      <c r="O209" s="27">
        <f>First_Year+COLUMN()-COLUMN($J$1)</f>
        <v/>
      </c>
      <c r="P209" s="27">
        <f>First_Year+COLUMN()-COLUMN($J$1)</f>
        <v/>
      </c>
      <c r="Q209" s="27">
        <f>First_Year+COLUMN()-COLUMN($J$1)</f>
        <v/>
      </c>
      <c r="R209" s="27">
        <f>First_Year+COLUMN()-COLUMN($J$1)</f>
        <v/>
      </c>
      <c r="S209" s="27">
        <f>First_Year+COLUMN()-COLUMN($J$1)</f>
        <v/>
      </c>
      <c r="T209" s="27">
        <f>First_Year+COLUMN()-COLUMN($J$1)</f>
        <v/>
      </c>
      <c r="U209" s="27">
        <f>First_Year+COLUMN()-COLUMN($J$1)</f>
        <v/>
      </c>
      <c r="V209" s="27">
        <f>First_Year+COLUMN()-COLUMN($J$1)</f>
        <v/>
      </c>
      <c r="W209" s="27">
        <f>First_Year+COLUMN()-COLUMN($J$1)</f>
        <v/>
      </c>
      <c r="X209" s="27">
        <f>First_Year+COLUMN()-COLUMN($J$1)</f>
        <v/>
      </c>
      <c r="Y209" s="27">
        <f>First_Year+COLUMN()-COLUMN($J$1)</f>
        <v/>
      </c>
      <c r="Z209" s="27">
        <f>First_Year+COLUMN()-COLUMN($J$1)</f>
        <v/>
      </c>
      <c r="AA209" s="27">
        <f>First_Year+COLUMN()-COLUMN($J$1)</f>
        <v/>
      </c>
      <c r="AB209" s="27">
        <f>First_Year+COLUMN()-COLUMN($J$1)</f>
        <v/>
      </c>
      <c r="AC209" s="27">
        <f>First_Year+COLUMN()-COLUMN($J$1)</f>
        <v/>
      </c>
      <c r="AD209" s="27">
        <f>First_Year+COLUMN()-COLUMN($J$1)</f>
        <v/>
      </c>
      <c r="AE209" s="27">
        <f>First_Year+COLUMN()-COLUMN($J$1)</f>
        <v/>
      </c>
      <c r="AF209" s="27">
        <f>First_Year+COLUMN()-COLUMN($J$1)</f>
        <v/>
      </c>
      <c r="AG209" s="27">
        <f>First_Year+COLUMN()-COLUMN($J$1)</f>
        <v/>
      </c>
      <c r="AH209" s="27">
        <f>First_Year+COLUMN()-COLUMN($J$1)</f>
        <v/>
      </c>
      <c r="AI209" s="27">
        <f>First_Year+COLUMN()-COLUMN($J$1)</f>
        <v/>
      </c>
      <c r="AJ209" s="27">
        <f>First_Year+COLUMN()-COLUMN($J$1)</f>
        <v/>
      </c>
      <c r="AK209" s="27">
        <f>First_Year+COLUMN()-COLUMN($J$1)</f>
        <v/>
      </c>
      <c r="AL209" s="27">
        <f>First_Year+COLUMN()-COLUMN($J$1)</f>
        <v/>
      </c>
      <c r="AM209" s="27">
        <f>First_Year+COLUMN()-COLUMN($J$1)</f>
        <v/>
      </c>
      <c r="AN209" s="27">
        <f>First_Year+COLUMN()-COLUMN($J$1)</f>
        <v/>
      </c>
      <c r="AO209" s="27">
        <f>First_Year+COLUMN()-COLUMN($J$1)</f>
        <v/>
      </c>
      <c r="AP209" s="27">
        <f>First_Year+COLUMN()-COLUMN($J$1)</f>
        <v/>
      </c>
      <c r="AQ209" s="27">
        <f>First_Year+COLUMN()-COLUMN($J$1)</f>
        <v/>
      </c>
      <c r="AR209" s="27">
        <f>First_Year+COLUMN()-COLUMN($J$1)</f>
        <v/>
      </c>
      <c r="AS209" s="27">
        <f>First_Year+COLUMN()-COLUMN($J$1)</f>
        <v/>
      </c>
      <c r="AT209" s="27">
        <f>First_Year+COLUMN()-COLUMN($J$1)</f>
        <v/>
      </c>
      <c r="AU209" s="27">
        <f>First_Year+COLUMN()-COLUMN($J$1)</f>
        <v/>
      </c>
      <c r="AV209" s="27">
        <f>First_Year+COLUMN()-COLUMN($J$1)</f>
        <v/>
      </c>
      <c r="AW209" s="27">
        <f>First_Year+COLUMN()-COLUMN($J$1)</f>
        <v/>
      </c>
      <c r="AX209" s="27">
        <f>First_Year+COLUMN()-COLUMN($J$1)</f>
        <v/>
      </c>
    </row>
    <row r="210" hidden="1" outlineLevel="1">
      <c r="C210" s="6" t="inlineStr">
        <is>
          <t>Year end</t>
        </is>
      </c>
      <c r="D210" s="2" t="inlineStr">
        <is>
          <t>date</t>
        </is>
      </c>
      <c r="J210" s="18">
        <f>DATE(J209+1,1,1)-1</f>
        <v/>
      </c>
      <c r="K210" s="18">
        <f>DATE(K209+1,1,1)-1</f>
        <v/>
      </c>
      <c r="L210" s="18">
        <f>DATE(L209+1,1,1)-1</f>
        <v/>
      </c>
      <c r="M210" s="18">
        <f>DATE(M209+1,1,1)-1</f>
        <v/>
      </c>
      <c r="N210" s="18">
        <f>DATE(N209+1,1,1)-1</f>
        <v/>
      </c>
      <c r="O210" s="18">
        <f>DATE(O209+1,1,1)-1</f>
        <v/>
      </c>
      <c r="P210" s="18">
        <f>DATE(P209+1,1,1)-1</f>
        <v/>
      </c>
      <c r="Q210" s="18">
        <f>DATE(Q209+1,1,1)-1</f>
        <v/>
      </c>
      <c r="R210" s="18">
        <f>DATE(R209+1,1,1)-1</f>
        <v/>
      </c>
      <c r="S210" s="18">
        <f>DATE(S209+1,1,1)-1</f>
        <v/>
      </c>
      <c r="T210" s="18">
        <f>DATE(T209+1,1,1)-1</f>
        <v/>
      </c>
      <c r="U210" s="18">
        <f>DATE(U209+1,1,1)-1</f>
        <v/>
      </c>
      <c r="V210" s="18">
        <f>DATE(V209+1,1,1)-1</f>
        <v/>
      </c>
      <c r="W210" s="18">
        <f>DATE(W209+1,1,1)-1</f>
        <v/>
      </c>
      <c r="X210" s="18">
        <f>DATE(X209+1,1,1)-1</f>
        <v/>
      </c>
      <c r="Y210" s="18">
        <f>DATE(Y209+1,1,1)-1</f>
        <v/>
      </c>
      <c r="Z210" s="18">
        <f>DATE(Z209+1,1,1)-1</f>
        <v/>
      </c>
      <c r="AA210" s="18">
        <f>DATE(AA209+1,1,1)-1</f>
        <v/>
      </c>
      <c r="AB210" s="18">
        <f>DATE(AB209+1,1,1)-1</f>
        <v/>
      </c>
      <c r="AC210" s="18">
        <f>DATE(AC209+1,1,1)-1</f>
        <v/>
      </c>
      <c r="AD210" s="18">
        <f>DATE(AD209+1,1,1)-1</f>
        <v/>
      </c>
      <c r="AE210" s="18">
        <f>DATE(AE209+1,1,1)-1</f>
        <v/>
      </c>
      <c r="AF210" s="18">
        <f>DATE(AF209+1,1,1)-1</f>
        <v/>
      </c>
      <c r="AG210" s="18">
        <f>DATE(AG209+1,1,1)-1</f>
        <v/>
      </c>
      <c r="AH210" s="18">
        <f>DATE(AH209+1,1,1)-1</f>
        <v/>
      </c>
      <c r="AI210" s="18">
        <f>DATE(AI209+1,1,1)-1</f>
        <v/>
      </c>
      <c r="AJ210" s="18">
        <f>DATE(AJ209+1,1,1)-1</f>
        <v/>
      </c>
      <c r="AK210" s="18">
        <f>DATE(AK209+1,1,1)-1</f>
        <v/>
      </c>
      <c r="AL210" s="18">
        <f>DATE(AL209+1,1,1)-1</f>
        <v/>
      </c>
      <c r="AM210" s="18">
        <f>DATE(AM209+1,1,1)-1</f>
        <v/>
      </c>
      <c r="AN210" s="18">
        <f>DATE(AN209+1,1,1)-1</f>
        <v/>
      </c>
      <c r="AO210" s="18">
        <f>DATE(AO209+1,1,1)-1</f>
        <v/>
      </c>
      <c r="AP210" s="18">
        <f>DATE(AP209+1,1,1)-1</f>
        <v/>
      </c>
      <c r="AQ210" s="18">
        <f>DATE(AQ209+1,1,1)-1</f>
        <v/>
      </c>
      <c r="AR210" s="18">
        <f>DATE(AR209+1,1,1)-1</f>
        <v/>
      </c>
      <c r="AS210" s="18">
        <f>DATE(AS209+1,1,1)-1</f>
        <v/>
      </c>
      <c r="AT210" s="18">
        <f>DATE(AT209+1,1,1)-1</f>
        <v/>
      </c>
      <c r="AU210" s="18">
        <f>DATE(AU209+1,1,1)-1</f>
        <v/>
      </c>
      <c r="AV210" s="18">
        <f>DATE(AV209+1,1,1)-1</f>
        <v/>
      </c>
      <c r="AW210" s="18">
        <f>DATE(AW209+1,1,1)-1</f>
        <v/>
      </c>
      <c r="AX210" s="18">
        <f>DATE(AX209+1,1,1)-1</f>
        <v/>
      </c>
    </row>
    <row r="211" hidden="1" outlineLevel="1"/>
    <row r="212" hidden="1" outlineLevel="1">
      <c r="B212" s="4" t="inlineStr">
        <is>
          <t>x</t>
        </is>
      </c>
      <c r="C212" s="4" t="inlineStr">
        <is>
          <t>Bora: annual cash flow (EUR k)</t>
        </is>
      </c>
      <c r="D212" s="4" t="n"/>
      <c r="E212" s="5" t="inlineStr">
        <is>
          <t>Value</t>
        </is>
      </c>
      <c r="F212" s="5" t="n"/>
      <c r="G212" s="5" t="n"/>
      <c r="H212" s="5" t="inlineStr">
        <is>
          <t>Total</t>
        </is>
      </c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  <c r="AQ212" s="5" t="n"/>
      <c r="AR212" s="5" t="n"/>
      <c r="AS212" s="5" t="n"/>
      <c r="AT212" s="5" t="n"/>
      <c r="AU212" s="5" t="n"/>
      <c r="AV212" s="5" t="n"/>
      <c r="AW212" s="5" t="n"/>
      <c r="AX212" s="5" t="n"/>
    </row>
    <row r="213" hidden="1" outlineLevel="1">
      <c r="C213" s="6" t="inlineStr">
        <is>
          <t>Years from the COD year</t>
        </is>
      </c>
      <c r="D213" s="2" t="inlineStr">
        <is>
          <t>years</t>
        </is>
      </c>
      <c r="J213" s="27">
        <f>J$209-YEAR(Date_COD)</f>
        <v/>
      </c>
      <c r="K213" s="27">
        <f>K$209-YEAR(Date_COD)</f>
        <v/>
      </c>
      <c r="L213" s="27">
        <f>L$209-YEAR(Date_COD)</f>
        <v/>
      </c>
      <c r="M213" s="27">
        <f>M$209-YEAR(Date_COD)</f>
        <v/>
      </c>
      <c r="N213" s="27">
        <f>N$209-YEAR(Date_COD)</f>
        <v/>
      </c>
      <c r="O213" s="27">
        <f>O$209-YEAR(Date_COD)</f>
        <v/>
      </c>
      <c r="P213" s="27">
        <f>P$209-YEAR(Date_COD)</f>
        <v/>
      </c>
      <c r="Q213" s="27">
        <f>Q$209-YEAR(Date_COD)</f>
        <v/>
      </c>
      <c r="R213" s="27">
        <f>R$209-YEAR(Date_COD)</f>
        <v/>
      </c>
      <c r="S213" s="27">
        <f>S$209-YEAR(Date_COD)</f>
        <v/>
      </c>
      <c r="T213" s="27">
        <f>T$209-YEAR(Date_COD)</f>
        <v/>
      </c>
      <c r="U213" s="27">
        <f>U$209-YEAR(Date_COD)</f>
        <v/>
      </c>
      <c r="V213" s="27">
        <f>V$209-YEAR(Date_COD)</f>
        <v/>
      </c>
      <c r="W213" s="27">
        <f>W$209-YEAR(Date_COD)</f>
        <v/>
      </c>
      <c r="X213" s="27">
        <f>X$209-YEAR(Date_COD)</f>
        <v/>
      </c>
      <c r="Y213" s="27">
        <f>Y$209-YEAR(Date_COD)</f>
        <v/>
      </c>
      <c r="Z213" s="27">
        <f>Z$209-YEAR(Date_COD)</f>
        <v/>
      </c>
      <c r="AA213" s="27">
        <f>AA$209-YEAR(Date_COD)</f>
        <v/>
      </c>
      <c r="AB213" s="27">
        <f>AB$209-YEAR(Date_COD)</f>
        <v/>
      </c>
      <c r="AC213" s="27">
        <f>AC$209-YEAR(Date_COD)</f>
        <v/>
      </c>
      <c r="AD213" s="27">
        <f>AD$209-YEAR(Date_COD)</f>
        <v/>
      </c>
      <c r="AE213" s="27">
        <f>AE$209-YEAR(Date_COD)</f>
        <v/>
      </c>
      <c r="AF213" s="27">
        <f>AF$209-YEAR(Date_COD)</f>
        <v/>
      </c>
      <c r="AG213" s="27">
        <f>AG$209-YEAR(Date_COD)</f>
        <v/>
      </c>
      <c r="AH213" s="27">
        <f>AH$209-YEAR(Date_COD)</f>
        <v/>
      </c>
      <c r="AI213" s="27">
        <f>AI$209-YEAR(Date_COD)</f>
        <v/>
      </c>
      <c r="AJ213" s="27">
        <f>AJ$209-YEAR(Date_COD)</f>
        <v/>
      </c>
      <c r="AK213" s="27">
        <f>AK$209-YEAR(Date_COD)</f>
        <v/>
      </c>
      <c r="AL213" s="27">
        <f>AL$209-YEAR(Date_COD)</f>
        <v/>
      </c>
      <c r="AM213" s="27">
        <f>AM$209-YEAR(Date_COD)</f>
        <v/>
      </c>
      <c r="AN213" s="27">
        <f>AN$209-YEAR(Date_COD)</f>
        <v/>
      </c>
      <c r="AO213" s="27">
        <f>AO$209-YEAR(Date_COD)</f>
        <v/>
      </c>
      <c r="AP213" s="27">
        <f>AP$209-YEAR(Date_COD)</f>
        <v/>
      </c>
      <c r="AQ213" s="27">
        <f>AQ$209-YEAR(Date_COD)</f>
        <v/>
      </c>
      <c r="AR213" s="27">
        <f>AR$209-YEAR(Date_COD)</f>
        <v/>
      </c>
      <c r="AS213" s="27">
        <f>AS$209-YEAR(Date_COD)</f>
        <v/>
      </c>
      <c r="AT213" s="27">
        <f>AT$209-YEAR(Date_COD)</f>
        <v/>
      </c>
      <c r="AU213" s="27">
        <f>AU$209-YEAR(Date_COD)</f>
        <v/>
      </c>
      <c r="AV213" s="27">
        <f>AV$209-YEAR(Date_COD)</f>
        <v/>
      </c>
      <c r="AW213" s="27">
        <f>AW$209-YEAR(Date_COD)</f>
        <v/>
      </c>
      <c r="AX213" s="27">
        <f>AX$209-YEAR(Date_COD)</f>
        <v/>
      </c>
    </row>
    <row r="214" hidden="1" outlineLevel="1">
      <c r="C214" s="6" t="inlineStr">
        <is>
          <t>Construction months by year end (value: construction period)</t>
        </is>
      </c>
      <c r="D214" s="2" t="inlineStr">
        <is>
          <t>months</t>
        </is>
      </c>
      <c r="E214" s="27">
        <f>(YEAR(Date_COD)-YEAR(Date_NTP))*Months_In_Year+MONTH(Date_COD)-MONTH(Date_NTP)</f>
        <v/>
      </c>
      <c r="J214" s="27">
        <f>(J$209+1-YEAR(Date_NTP))*Months_In_Year-MONTH(Date_NTP)</f>
        <v/>
      </c>
      <c r="K214" s="27">
        <f>(K$209+1-YEAR(Date_NTP))*Months_In_Year-MONTH(Date_NTP)</f>
        <v/>
      </c>
      <c r="L214" s="27">
        <f>(L$209+1-YEAR(Date_NTP))*Months_In_Year-MONTH(Date_NTP)</f>
        <v/>
      </c>
      <c r="M214" s="27">
        <f>(M$209+1-YEAR(Date_NTP))*Months_In_Year-MONTH(Date_NTP)</f>
        <v/>
      </c>
      <c r="N214" s="27">
        <f>(N$209+1-YEAR(Date_NTP))*Months_In_Year-MONTH(Date_NTP)</f>
        <v/>
      </c>
      <c r="O214" s="27">
        <f>(O$209+1-YEAR(Date_NTP))*Months_In_Year-MONTH(Date_NTP)</f>
        <v/>
      </c>
      <c r="P214" s="27">
        <f>(P$209+1-YEAR(Date_NTP))*Months_In_Year-MONTH(Date_NTP)</f>
        <v/>
      </c>
      <c r="Q214" s="27">
        <f>(Q$209+1-YEAR(Date_NTP))*Months_In_Year-MONTH(Date_NTP)</f>
        <v/>
      </c>
      <c r="R214" s="27">
        <f>(R$209+1-YEAR(Date_NTP))*Months_In_Year-MONTH(Date_NTP)</f>
        <v/>
      </c>
      <c r="S214" s="27">
        <f>(S$209+1-YEAR(Date_NTP))*Months_In_Year-MONTH(Date_NTP)</f>
        <v/>
      </c>
      <c r="T214" s="27">
        <f>(T$209+1-YEAR(Date_NTP))*Months_In_Year-MONTH(Date_NTP)</f>
        <v/>
      </c>
      <c r="U214" s="27">
        <f>(U$209+1-YEAR(Date_NTP))*Months_In_Year-MONTH(Date_NTP)</f>
        <v/>
      </c>
      <c r="V214" s="27">
        <f>(V$209+1-YEAR(Date_NTP))*Months_In_Year-MONTH(Date_NTP)</f>
        <v/>
      </c>
      <c r="W214" s="27">
        <f>(W$209+1-YEAR(Date_NTP))*Months_In_Year-MONTH(Date_NTP)</f>
        <v/>
      </c>
      <c r="X214" s="27">
        <f>(X$209+1-YEAR(Date_NTP))*Months_In_Year-MONTH(Date_NTP)</f>
        <v/>
      </c>
      <c r="Y214" s="27">
        <f>(Y$209+1-YEAR(Date_NTP))*Months_In_Year-MONTH(Date_NTP)</f>
        <v/>
      </c>
      <c r="Z214" s="27">
        <f>(Z$209+1-YEAR(Date_NTP))*Months_In_Year-MONTH(Date_NTP)</f>
        <v/>
      </c>
      <c r="AA214" s="27">
        <f>(AA$209+1-YEAR(Date_NTP))*Months_In_Year-MONTH(Date_NTP)</f>
        <v/>
      </c>
      <c r="AB214" s="27">
        <f>(AB$209+1-YEAR(Date_NTP))*Months_In_Year-MONTH(Date_NTP)</f>
        <v/>
      </c>
      <c r="AC214" s="27">
        <f>(AC$209+1-YEAR(Date_NTP))*Months_In_Year-MONTH(Date_NTP)</f>
        <v/>
      </c>
      <c r="AD214" s="27">
        <f>(AD$209+1-YEAR(Date_NTP))*Months_In_Year-MONTH(Date_NTP)</f>
        <v/>
      </c>
      <c r="AE214" s="27">
        <f>(AE$209+1-YEAR(Date_NTP))*Months_In_Year-MONTH(Date_NTP)</f>
        <v/>
      </c>
      <c r="AF214" s="27">
        <f>(AF$209+1-YEAR(Date_NTP))*Months_In_Year-MONTH(Date_NTP)</f>
        <v/>
      </c>
      <c r="AG214" s="27">
        <f>(AG$209+1-YEAR(Date_NTP))*Months_In_Year-MONTH(Date_NTP)</f>
        <v/>
      </c>
      <c r="AH214" s="27">
        <f>(AH$209+1-YEAR(Date_NTP))*Months_In_Year-MONTH(Date_NTP)</f>
        <v/>
      </c>
      <c r="AI214" s="27">
        <f>(AI$209+1-YEAR(Date_NTP))*Months_In_Year-MONTH(Date_NTP)</f>
        <v/>
      </c>
      <c r="AJ214" s="27">
        <f>(AJ$209+1-YEAR(Date_NTP))*Months_In_Year-MONTH(Date_NTP)</f>
        <v/>
      </c>
      <c r="AK214" s="27">
        <f>(AK$209+1-YEAR(Date_NTP))*Months_In_Year-MONTH(Date_NTP)</f>
        <v/>
      </c>
      <c r="AL214" s="27">
        <f>(AL$209+1-YEAR(Date_NTP))*Months_In_Year-MONTH(Date_NTP)</f>
        <v/>
      </c>
      <c r="AM214" s="27">
        <f>(AM$209+1-YEAR(Date_NTP))*Months_In_Year-MONTH(Date_NTP)</f>
        <v/>
      </c>
      <c r="AN214" s="27">
        <f>(AN$209+1-YEAR(Date_NTP))*Months_In_Year-MONTH(Date_NTP)</f>
        <v/>
      </c>
      <c r="AO214" s="27">
        <f>(AO$209+1-YEAR(Date_NTP))*Months_In_Year-MONTH(Date_NTP)</f>
        <v/>
      </c>
      <c r="AP214" s="27">
        <f>(AP$209+1-YEAR(Date_NTP))*Months_In_Year-MONTH(Date_NTP)</f>
        <v/>
      </c>
      <c r="AQ214" s="27">
        <f>(AQ$209+1-YEAR(Date_NTP))*Months_In_Year-MONTH(Date_NTP)</f>
        <v/>
      </c>
      <c r="AR214" s="27">
        <f>(AR$209+1-YEAR(Date_NTP))*Months_In_Year-MONTH(Date_NTP)</f>
        <v/>
      </c>
      <c r="AS214" s="27">
        <f>(AS$209+1-YEAR(Date_NTP))*Months_In_Year-MONTH(Date_NTP)</f>
        <v/>
      </c>
      <c r="AT214" s="27">
        <f>(AT$209+1-YEAR(Date_NTP))*Months_In_Year-MONTH(Date_NTP)</f>
        <v/>
      </c>
      <c r="AU214" s="27">
        <f>(AU$209+1-YEAR(Date_NTP))*Months_In_Year-MONTH(Date_NTP)</f>
        <v/>
      </c>
      <c r="AV214" s="27">
        <f>(AV$209+1-YEAR(Date_NTP))*Months_In_Year-MONTH(Date_NTP)</f>
        <v/>
      </c>
      <c r="AW214" s="27">
        <f>(AW$209+1-YEAR(Date_NTP))*Months_In_Year-MONTH(Date_NTP)</f>
        <v/>
      </c>
      <c r="AX214" s="27">
        <f>(AX$209+1-YEAR(Date_NTP))*Months_In_Year-MONTH(Date_NTP)</f>
        <v/>
      </c>
    </row>
    <row r="215" hidden="1" outlineLevel="1">
      <c r="C215" s="6" t="inlineStr">
        <is>
          <t>Construction share of the year (NTP to COD)</t>
        </is>
      </c>
      <c r="D215" s="2" t="inlineStr">
        <is>
          <t>%</t>
        </is>
      </c>
      <c r="H215" s="23">
        <f>SUM(J215:AX215)</f>
        <v/>
      </c>
      <c r="J215" s="23">
        <f>MAX(0,MIN(J214,$E214)-MAX(J214-Months_In_Year,0))/$E214</f>
        <v/>
      </c>
      <c r="K215" s="23">
        <f>MAX(0,MIN(K214,$E214)-MAX(K214-Months_In_Year,0))/$E214</f>
        <v/>
      </c>
      <c r="L215" s="23">
        <f>MAX(0,MIN(L214,$E214)-MAX(L214-Months_In_Year,0))/$E214</f>
        <v/>
      </c>
      <c r="M215" s="23">
        <f>MAX(0,MIN(M214,$E214)-MAX(M214-Months_In_Year,0))/$E214</f>
        <v/>
      </c>
      <c r="N215" s="23">
        <f>MAX(0,MIN(N214,$E214)-MAX(N214-Months_In_Year,0))/$E214</f>
        <v/>
      </c>
      <c r="O215" s="23">
        <f>MAX(0,MIN(O214,$E214)-MAX(O214-Months_In_Year,0))/$E214</f>
        <v/>
      </c>
      <c r="P215" s="23">
        <f>MAX(0,MIN(P214,$E214)-MAX(P214-Months_In_Year,0))/$E214</f>
        <v/>
      </c>
      <c r="Q215" s="23">
        <f>MAX(0,MIN(Q214,$E214)-MAX(Q214-Months_In_Year,0))/$E214</f>
        <v/>
      </c>
      <c r="R215" s="23">
        <f>MAX(0,MIN(R214,$E214)-MAX(R214-Months_In_Year,0))/$E214</f>
        <v/>
      </c>
      <c r="S215" s="23">
        <f>MAX(0,MIN(S214,$E214)-MAX(S214-Months_In_Year,0))/$E214</f>
        <v/>
      </c>
      <c r="T215" s="23">
        <f>MAX(0,MIN(T214,$E214)-MAX(T214-Months_In_Year,0))/$E214</f>
        <v/>
      </c>
      <c r="U215" s="23">
        <f>MAX(0,MIN(U214,$E214)-MAX(U214-Months_In_Year,0))/$E214</f>
        <v/>
      </c>
      <c r="V215" s="23">
        <f>MAX(0,MIN(V214,$E214)-MAX(V214-Months_In_Year,0))/$E214</f>
        <v/>
      </c>
      <c r="W215" s="23">
        <f>MAX(0,MIN(W214,$E214)-MAX(W214-Months_In_Year,0))/$E214</f>
        <v/>
      </c>
      <c r="X215" s="23">
        <f>MAX(0,MIN(X214,$E214)-MAX(X214-Months_In_Year,0))/$E214</f>
        <v/>
      </c>
      <c r="Y215" s="23">
        <f>MAX(0,MIN(Y214,$E214)-MAX(Y214-Months_In_Year,0))/$E214</f>
        <v/>
      </c>
      <c r="Z215" s="23">
        <f>MAX(0,MIN(Z214,$E214)-MAX(Z214-Months_In_Year,0))/$E214</f>
        <v/>
      </c>
      <c r="AA215" s="23">
        <f>MAX(0,MIN(AA214,$E214)-MAX(AA214-Months_In_Year,0))/$E214</f>
        <v/>
      </c>
      <c r="AB215" s="23">
        <f>MAX(0,MIN(AB214,$E214)-MAX(AB214-Months_In_Year,0))/$E214</f>
        <v/>
      </c>
      <c r="AC215" s="23">
        <f>MAX(0,MIN(AC214,$E214)-MAX(AC214-Months_In_Year,0))/$E214</f>
        <v/>
      </c>
      <c r="AD215" s="23">
        <f>MAX(0,MIN(AD214,$E214)-MAX(AD214-Months_In_Year,0))/$E214</f>
        <v/>
      </c>
      <c r="AE215" s="23">
        <f>MAX(0,MIN(AE214,$E214)-MAX(AE214-Months_In_Year,0))/$E214</f>
        <v/>
      </c>
      <c r="AF215" s="23">
        <f>MAX(0,MIN(AF214,$E214)-MAX(AF214-Months_In_Year,0))/$E214</f>
        <v/>
      </c>
      <c r="AG215" s="23">
        <f>MAX(0,MIN(AG214,$E214)-MAX(AG214-Months_In_Year,0))/$E214</f>
        <v/>
      </c>
      <c r="AH215" s="23">
        <f>MAX(0,MIN(AH214,$E214)-MAX(AH214-Months_In_Year,0))/$E214</f>
        <v/>
      </c>
      <c r="AI215" s="23">
        <f>MAX(0,MIN(AI214,$E214)-MAX(AI214-Months_In_Year,0))/$E214</f>
        <v/>
      </c>
      <c r="AJ215" s="23">
        <f>MAX(0,MIN(AJ214,$E214)-MAX(AJ214-Months_In_Year,0))/$E214</f>
        <v/>
      </c>
      <c r="AK215" s="23">
        <f>MAX(0,MIN(AK214,$E214)-MAX(AK214-Months_In_Year,0))/$E214</f>
        <v/>
      </c>
      <c r="AL215" s="23">
        <f>MAX(0,MIN(AL214,$E214)-MAX(AL214-Months_In_Year,0))/$E214</f>
        <v/>
      </c>
      <c r="AM215" s="23">
        <f>MAX(0,MIN(AM214,$E214)-MAX(AM214-Months_In_Year,0))/$E214</f>
        <v/>
      </c>
      <c r="AN215" s="23">
        <f>MAX(0,MIN(AN214,$E214)-MAX(AN214-Months_In_Year,0))/$E214</f>
        <v/>
      </c>
      <c r="AO215" s="23">
        <f>MAX(0,MIN(AO214,$E214)-MAX(AO214-Months_In_Year,0))/$E214</f>
        <v/>
      </c>
      <c r="AP215" s="23">
        <f>MAX(0,MIN(AP214,$E214)-MAX(AP214-Months_In_Year,0))/$E214</f>
        <v/>
      </c>
      <c r="AQ215" s="23">
        <f>MAX(0,MIN(AQ214,$E214)-MAX(AQ214-Months_In_Year,0))/$E214</f>
        <v/>
      </c>
      <c r="AR215" s="23">
        <f>MAX(0,MIN(AR214,$E214)-MAX(AR214-Months_In_Year,0))/$E214</f>
        <v/>
      </c>
      <c r="AS215" s="23">
        <f>MAX(0,MIN(AS214,$E214)-MAX(AS214-Months_In_Year,0))/$E214</f>
        <v/>
      </c>
      <c r="AT215" s="23">
        <f>MAX(0,MIN(AT214,$E214)-MAX(AT214-Months_In_Year,0))/$E214</f>
        <v/>
      </c>
      <c r="AU215" s="23">
        <f>MAX(0,MIN(AU214,$E214)-MAX(AU214-Months_In_Year,0))/$E214</f>
        <v/>
      </c>
      <c r="AV215" s="23">
        <f>MAX(0,MIN(AV214,$E214)-MAX(AV214-Months_In_Year,0))/$E214</f>
        <v/>
      </c>
      <c r="AW215" s="23">
        <f>MAX(0,MIN(AW214,$E214)-MAX(AW214-Months_In_Year,0))/$E214</f>
        <v/>
      </c>
      <c r="AX215" s="23">
        <f>MAX(0,MIN(AX214,$E214)-MAX(AX214-Months_In_Year,0))/$E214</f>
        <v/>
      </c>
    </row>
    <row r="216" hidden="1" outlineLevel="1">
      <c r="C216" s="6" t="inlineStr">
        <is>
          <t>Months operated by year end (value: operating life)</t>
        </is>
      </c>
      <c r="D216" s="2" t="inlineStr">
        <is>
          <t>months</t>
        </is>
      </c>
      <c r="E216" s="27">
        <f>Life*Months_In_Year</f>
        <v/>
      </c>
      <c r="J216" s="27">
        <f>(J$209+1-YEAR(Date_COD))*Months_In_Year-MONTH(Date_COD)</f>
        <v/>
      </c>
      <c r="K216" s="27">
        <f>(K$209+1-YEAR(Date_COD))*Months_In_Year-MONTH(Date_COD)</f>
        <v/>
      </c>
      <c r="L216" s="27">
        <f>(L$209+1-YEAR(Date_COD))*Months_In_Year-MONTH(Date_COD)</f>
        <v/>
      </c>
      <c r="M216" s="27">
        <f>(M$209+1-YEAR(Date_COD))*Months_In_Year-MONTH(Date_COD)</f>
        <v/>
      </c>
      <c r="N216" s="27">
        <f>(N$209+1-YEAR(Date_COD))*Months_In_Year-MONTH(Date_COD)</f>
        <v/>
      </c>
      <c r="O216" s="27">
        <f>(O$209+1-YEAR(Date_COD))*Months_In_Year-MONTH(Date_COD)</f>
        <v/>
      </c>
      <c r="P216" s="27">
        <f>(P$209+1-YEAR(Date_COD))*Months_In_Year-MONTH(Date_COD)</f>
        <v/>
      </c>
      <c r="Q216" s="27">
        <f>(Q$209+1-YEAR(Date_COD))*Months_In_Year-MONTH(Date_COD)</f>
        <v/>
      </c>
      <c r="R216" s="27">
        <f>(R$209+1-YEAR(Date_COD))*Months_In_Year-MONTH(Date_COD)</f>
        <v/>
      </c>
      <c r="S216" s="27">
        <f>(S$209+1-YEAR(Date_COD))*Months_In_Year-MONTH(Date_COD)</f>
        <v/>
      </c>
      <c r="T216" s="27">
        <f>(T$209+1-YEAR(Date_COD))*Months_In_Year-MONTH(Date_COD)</f>
        <v/>
      </c>
      <c r="U216" s="27">
        <f>(U$209+1-YEAR(Date_COD))*Months_In_Year-MONTH(Date_COD)</f>
        <v/>
      </c>
      <c r="V216" s="27">
        <f>(V$209+1-YEAR(Date_COD))*Months_In_Year-MONTH(Date_COD)</f>
        <v/>
      </c>
      <c r="W216" s="27">
        <f>(W$209+1-YEAR(Date_COD))*Months_In_Year-MONTH(Date_COD)</f>
        <v/>
      </c>
      <c r="X216" s="27">
        <f>(X$209+1-YEAR(Date_COD))*Months_In_Year-MONTH(Date_COD)</f>
        <v/>
      </c>
      <c r="Y216" s="27">
        <f>(Y$209+1-YEAR(Date_COD))*Months_In_Year-MONTH(Date_COD)</f>
        <v/>
      </c>
      <c r="Z216" s="27">
        <f>(Z$209+1-YEAR(Date_COD))*Months_In_Year-MONTH(Date_COD)</f>
        <v/>
      </c>
      <c r="AA216" s="27">
        <f>(AA$209+1-YEAR(Date_COD))*Months_In_Year-MONTH(Date_COD)</f>
        <v/>
      </c>
      <c r="AB216" s="27">
        <f>(AB$209+1-YEAR(Date_COD))*Months_In_Year-MONTH(Date_COD)</f>
        <v/>
      </c>
      <c r="AC216" s="27">
        <f>(AC$209+1-YEAR(Date_COD))*Months_In_Year-MONTH(Date_COD)</f>
        <v/>
      </c>
      <c r="AD216" s="27">
        <f>(AD$209+1-YEAR(Date_COD))*Months_In_Year-MONTH(Date_COD)</f>
        <v/>
      </c>
      <c r="AE216" s="27">
        <f>(AE$209+1-YEAR(Date_COD))*Months_In_Year-MONTH(Date_COD)</f>
        <v/>
      </c>
      <c r="AF216" s="27">
        <f>(AF$209+1-YEAR(Date_COD))*Months_In_Year-MONTH(Date_COD)</f>
        <v/>
      </c>
      <c r="AG216" s="27">
        <f>(AG$209+1-YEAR(Date_COD))*Months_In_Year-MONTH(Date_COD)</f>
        <v/>
      </c>
      <c r="AH216" s="27">
        <f>(AH$209+1-YEAR(Date_COD))*Months_In_Year-MONTH(Date_COD)</f>
        <v/>
      </c>
      <c r="AI216" s="27">
        <f>(AI$209+1-YEAR(Date_COD))*Months_In_Year-MONTH(Date_COD)</f>
        <v/>
      </c>
      <c r="AJ216" s="27">
        <f>(AJ$209+1-YEAR(Date_COD))*Months_In_Year-MONTH(Date_COD)</f>
        <v/>
      </c>
      <c r="AK216" s="27">
        <f>(AK$209+1-YEAR(Date_COD))*Months_In_Year-MONTH(Date_COD)</f>
        <v/>
      </c>
      <c r="AL216" s="27">
        <f>(AL$209+1-YEAR(Date_COD))*Months_In_Year-MONTH(Date_COD)</f>
        <v/>
      </c>
      <c r="AM216" s="27">
        <f>(AM$209+1-YEAR(Date_COD))*Months_In_Year-MONTH(Date_COD)</f>
        <v/>
      </c>
      <c r="AN216" s="27">
        <f>(AN$209+1-YEAR(Date_COD))*Months_In_Year-MONTH(Date_COD)</f>
        <v/>
      </c>
      <c r="AO216" s="27">
        <f>(AO$209+1-YEAR(Date_COD))*Months_In_Year-MONTH(Date_COD)</f>
        <v/>
      </c>
      <c r="AP216" s="27">
        <f>(AP$209+1-YEAR(Date_COD))*Months_In_Year-MONTH(Date_COD)</f>
        <v/>
      </c>
      <c r="AQ216" s="27">
        <f>(AQ$209+1-YEAR(Date_COD))*Months_In_Year-MONTH(Date_COD)</f>
        <v/>
      </c>
      <c r="AR216" s="27">
        <f>(AR$209+1-YEAR(Date_COD))*Months_In_Year-MONTH(Date_COD)</f>
        <v/>
      </c>
      <c r="AS216" s="27">
        <f>(AS$209+1-YEAR(Date_COD))*Months_In_Year-MONTH(Date_COD)</f>
        <v/>
      </c>
      <c r="AT216" s="27">
        <f>(AT$209+1-YEAR(Date_COD))*Months_In_Year-MONTH(Date_COD)</f>
        <v/>
      </c>
      <c r="AU216" s="27">
        <f>(AU$209+1-YEAR(Date_COD))*Months_In_Year-MONTH(Date_COD)</f>
        <v/>
      </c>
      <c r="AV216" s="27">
        <f>(AV$209+1-YEAR(Date_COD))*Months_In_Year-MONTH(Date_COD)</f>
        <v/>
      </c>
      <c r="AW216" s="27">
        <f>(AW$209+1-YEAR(Date_COD))*Months_In_Year-MONTH(Date_COD)</f>
        <v/>
      </c>
      <c r="AX216" s="27">
        <f>(AX$209+1-YEAR(Date_COD))*Months_In_Year-MONTH(Date_COD)</f>
        <v/>
      </c>
    </row>
    <row r="217" hidden="1" outlineLevel="1">
      <c r="C217" s="6" t="inlineStr">
        <is>
          <t>Operating share of the year (COD to end of life)</t>
        </is>
      </c>
      <c r="D217" s="2" t="inlineStr">
        <is>
          <t>%</t>
        </is>
      </c>
      <c r="H217" s="28">
        <f>SUM(J217:AX217)</f>
        <v/>
      </c>
      <c r="J217" s="23">
        <f>MAX(0,MIN(J216,$E216)-MAX(J216-Months_In_Year,0))/Months_In_Year</f>
        <v/>
      </c>
      <c r="K217" s="23">
        <f>MAX(0,MIN(K216,$E216)-MAX(K216-Months_In_Year,0))/Months_In_Year</f>
        <v/>
      </c>
      <c r="L217" s="23">
        <f>MAX(0,MIN(L216,$E216)-MAX(L216-Months_In_Year,0))/Months_In_Year</f>
        <v/>
      </c>
      <c r="M217" s="23">
        <f>MAX(0,MIN(M216,$E216)-MAX(M216-Months_In_Year,0))/Months_In_Year</f>
        <v/>
      </c>
      <c r="N217" s="23">
        <f>MAX(0,MIN(N216,$E216)-MAX(N216-Months_In_Year,0))/Months_In_Year</f>
        <v/>
      </c>
      <c r="O217" s="23">
        <f>MAX(0,MIN(O216,$E216)-MAX(O216-Months_In_Year,0))/Months_In_Year</f>
        <v/>
      </c>
      <c r="P217" s="23">
        <f>MAX(0,MIN(P216,$E216)-MAX(P216-Months_In_Year,0))/Months_In_Year</f>
        <v/>
      </c>
      <c r="Q217" s="23">
        <f>MAX(0,MIN(Q216,$E216)-MAX(Q216-Months_In_Year,0))/Months_In_Year</f>
        <v/>
      </c>
      <c r="R217" s="23">
        <f>MAX(0,MIN(R216,$E216)-MAX(R216-Months_In_Year,0))/Months_In_Year</f>
        <v/>
      </c>
      <c r="S217" s="23">
        <f>MAX(0,MIN(S216,$E216)-MAX(S216-Months_In_Year,0))/Months_In_Year</f>
        <v/>
      </c>
      <c r="T217" s="23">
        <f>MAX(0,MIN(T216,$E216)-MAX(T216-Months_In_Year,0))/Months_In_Year</f>
        <v/>
      </c>
      <c r="U217" s="23">
        <f>MAX(0,MIN(U216,$E216)-MAX(U216-Months_In_Year,0))/Months_In_Year</f>
        <v/>
      </c>
      <c r="V217" s="23">
        <f>MAX(0,MIN(V216,$E216)-MAX(V216-Months_In_Year,0))/Months_In_Year</f>
        <v/>
      </c>
      <c r="W217" s="23">
        <f>MAX(0,MIN(W216,$E216)-MAX(W216-Months_In_Year,0))/Months_In_Year</f>
        <v/>
      </c>
      <c r="X217" s="23">
        <f>MAX(0,MIN(X216,$E216)-MAX(X216-Months_In_Year,0))/Months_In_Year</f>
        <v/>
      </c>
      <c r="Y217" s="23">
        <f>MAX(0,MIN(Y216,$E216)-MAX(Y216-Months_In_Year,0))/Months_In_Year</f>
        <v/>
      </c>
      <c r="Z217" s="23">
        <f>MAX(0,MIN(Z216,$E216)-MAX(Z216-Months_In_Year,0))/Months_In_Year</f>
        <v/>
      </c>
      <c r="AA217" s="23">
        <f>MAX(0,MIN(AA216,$E216)-MAX(AA216-Months_In_Year,0))/Months_In_Year</f>
        <v/>
      </c>
      <c r="AB217" s="23">
        <f>MAX(0,MIN(AB216,$E216)-MAX(AB216-Months_In_Year,0))/Months_In_Year</f>
        <v/>
      </c>
      <c r="AC217" s="23">
        <f>MAX(0,MIN(AC216,$E216)-MAX(AC216-Months_In_Year,0))/Months_In_Year</f>
        <v/>
      </c>
      <c r="AD217" s="23">
        <f>MAX(0,MIN(AD216,$E216)-MAX(AD216-Months_In_Year,0))/Months_In_Year</f>
        <v/>
      </c>
      <c r="AE217" s="23">
        <f>MAX(0,MIN(AE216,$E216)-MAX(AE216-Months_In_Year,0))/Months_In_Year</f>
        <v/>
      </c>
      <c r="AF217" s="23">
        <f>MAX(0,MIN(AF216,$E216)-MAX(AF216-Months_In_Year,0))/Months_In_Year</f>
        <v/>
      </c>
      <c r="AG217" s="23">
        <f>MAX(0,MIN(AG216,$E216)-MAX(AG216-Months_In_Year,0))/Months_In_Year</f>
        <v/>
      </c>
      <c r="AH217" s="23">
        <f>MAX(0,MIN(AH216,$E216)-MAX(AH216-Months_In_Year,0))/Months_In_Year</f>
        <v/>
      </c>
      <c r="AI217" s="23">
        <f>MAX(0,MIN(AI216,$E216)-MAX(AI216-Months_In_Year,0))/Months_In_Year</f>
        <v/>
      </c>
      <c r="AJ217" s="23">
        <f>MAX(0,MIN(AJ216,$E216)-MAX(AJ216-Months_In_Year,0))/Months_In_Year</f>
        <v/>
      </c>
      <c r="AK217" s="23">
        <f>MAX(0,MIN(AK216,$E216)-MAX(AK216-Months_In_Year,0))/Months_In_Year</f>
        <v/>
      </c>
      <c r="AL217" s="23">
        <f>MAX(0,MIN(AL216,$E216)-MAX(AL216-Months_In_Year,0))/Months_In_Year</f>
        <v/>
      </c>
      <c r="AM217" s="23">
        <f>MAX(0,MIN(AM216,$E216)-MAX(AM216-Months_In_Year,0))/Months_In_Year</f>
        <v/>
      </c>
      <c r="AN217" s="23">
        <f>MAX(0,MIN(AN216,$E216)-MAX(AN216-Months_In_Year,0))/Months_In_Year</f>
        <v/>
      </c>
      <c r="AO217" s="23">
        <f>MAX(0,MIN(AO216,$E216)-MAX(AO216-Months_In_Year,0))/Months_In_Year</f>
        <v/>
      </c>
      <c r="AP217" s="23">
        <f>MAX(0,MIN(AP216,$E216)-MAX(AP216-Months_In_Year,0))/Months_In_Year</f>
        <v/>
      </c>
      <c r="AQ217" s="23">
        <f>MAX(0,MIN(AQ216,$E216)-MAX(AQ216-Months_In_Year,0))/Months_In_Year</f>
        <v/>
      </c>
      <c r="AR217" s="23">
        <f>MAX(0,MIN(AR216,$E216)-MAX(AR216-Months_In_Year,0))/Months_In_Year</f>
        <v/>
      </c>
      <c r="AS217" s="23">
        <f>MAX(0,MIN(AS216,$E216)-MAX(AS216-Months_In_Year,0))/Months_In_Year</f>
        <v/>
      </c>
      <c r="AT217" s="23">
        <f>MAX(0,MIN(AT216,$E216)-MAX(AT216-Months_In_Year,0))/Months_In_Year</f>
        <v/>
      </c>
      <c r="AU217" s="23">
        <f>MAX(0,MIN(AU216,$E216)-MAX(AU216-Months_In_Year,0))/Months_In_Year</f>
        <v/>
      </c>
      <c r="AV217" s="23">
        <f>MAX(0,MIN(AV216,$E216)-MAX(AV216-Months_In_Year,0))/Months_In_Year</f>
        <v/>
      </c>
      <c r="AW217" s="23">
        <f>MAX(0,MIN(AW216,$E216)-MAX(AW216-Months_In_Year,0))/Months_In_Year</f>
        <v/>
      </c>
      <c r="AX217" s="23">
        <f>MAX(0,MIN(AX216,$E216)-MAX(AX216-Months_In_Year,0))/Months_In_Year</f>
        <v/>
      </c>
    </row>
    <row r="218" hidden="1" outlineLevel="1">
      <c r="C218" s="6" t="inlineStr">
        <is>
          <t>COD year flag</t>
        </is>
      </c>
      <c r="D218" s="2" t="inlineStr">
        <is>
          <t>flag</t>
        </is>
      </c>
      <c r="J218" s="29">
        <f>N(J213=0)</f>
        <v/>
      </c>
      <c r="K218" s="29">
        <f>N(K213=0)</f>
        <v/>
      </c>
      <c r="L218" s="29">
        <f>N(L213=0)</f>
        <v/>
      </c>
      <c r="M218" s="29">
        <f>N(M213=0)</f>
        <v/>
      </c>
      <c r="N218" s="29">
        <f>N(N213=0)</f>
        <v/>
      </c>
      <c r="O218" s="29">
        <f>N(O213=0)</f>
        <v/>
      </c>
      <c r="P218" s="29">
        <f>N(P213=0)</f>
        <v/>
      </c>
      <c r="Q218" s="29">
        <f>N(Q213=0)</f>
        <v/>
      </c>
      <c r="R218" s="29">
        <f>N(R213=0)</f>
        <v/>
      </c>
      <c r="S218" s="29">
        <f>N(S213=0)</f>
        <v/>
      </c>
      <c r="T218" s="29">
        <f>N(T213=0)</f>
        <v/>
      </c>
      <c r="U218" s="29">
        <f>N(U213=0)</f>
        <v/>
      </c>
      <c r="V218" s="29">
        <f>N(V213=0)</f>
        <v/>
      </c>
      <c r="W218" s="29">
        <f>N(W213=0)</f>
        <v/>
      </c>
      <c r="X218" s="29">
        <f>N(X213=0)</f>
        <v/>
      </c>
      <c r="Y218" s="29">
        <f>N(Y213=0)</f>
        <v/>
      </c>
      <c r="Z218" s="29">
        <f>N(Z213=0)</f>
        <v/>
      </c>
      <c r="AA218" s="29">
        <f>N(AA213=0)</f>
        <v/>
      </c>
      <c r="AB218" s="29">
        <f>N(AB213=0)</f>
        <v/>
      </c>
      <c r="AC218" s="29">
        <f>N(AC213=0)</f>
        <v/>
      </c>
      <c r="AD218" s="29">
        <f>N(AD213=0)</f>
        <v/>
      </c>
      <c r="AE218" s="29">
        <f>N(AE213=0)</f>
        <v/>
      </c>
      <c r="AF218" s="29">
        <f>N(AF213=0)</f>
        <v/>
      </c>
      <c r="AG218" s="29">
        <f>N(AG213=0)</f>
        <v/>
      </c>
      <c r="AH218" s="29">
        <f>N(AH213=0)</f>
        <v/>
      </c>
      <c r="AI218" s="29">
        <f>N(AI213=0)</f>
        <v/>
      </c>
      <c r="AJ218" s="29">
        <f>N(AJ213=0)</f>
        <v/>
      </c>
      <c r="AK218" s="29">
        <f>N(AK213=0)</f>
        <v/>
      </c>
      <c r="AL218" s="29">
        <f>N(AL213=0)</f>
        <v/>
      </c>
      <c r="AM218" s="29">
        <f>N(AM213=0)</f>
        <v/>
      </c>
      <c r="AN218" s="29">
        <f>N(AN213=0)</f>
        <v/>
      </c>
      <c r="AO218" s="29">
        <f>N(AO213=0)</f>
        <v/>
      </c>
      <c r="AP218" s="29">
        <f>N(AP213=0)</f>
        <v/>
      </c>
      <c r="AQ218" s="29">
        <f>N(AQ213=0)</f>
        <v/>
      </c>
      <c r="AR218" s="29">
        <f>N(AR213=0)</f>
        <v/>
      </c>
      <c r="AS218" s="29">
        <f>N(AS213=0)</f>
        <v/>
      </c>
      <c r="AT218" s="29">
        <f>N(AT213=0)</f>
        <v/>
      </c>
      <c r="AU218" s="29">
        <f>N(AU213=0)</f>
        <v/>
      </c>
      <c r="AV218" s="29">
        <f>N(AV213=0)</f>
        <v/>
      </c>
      <c r="AW218" s="29">
        <f>N(AW213=0)</f>
        <v/>
      </c>
      <c r="AX218" s="29">
        <f>N(AX213=0)</f>
        <v/>
      </c>
    </row>
    <row r="219" hidden="1" outlineLevel="1">
      <c r="C219" s="6" t="inlineStr">
        <is>
          <t>FEP outlays at their dates (signing, fee, securities, fees, devex)</t>
        </is>
      </c>
      <c r="D219" s="2" t="inlineStr">
        <is>
          <t>EUR k</t>
        </is>
      </c>
      <c r="H219" s="8">
        <f>SUM(J219:AX219)</f>
        <v/>
      </c>
      <c r="J219" s="8">
        <f>SUMPRODUCT((YEAR($J$195:$J$202)=J$209)*$E$195:$E$202)</f>
        <v/>
      </c>
      <c r="K219" s="8">
        <f>SUMPRODUCT((YEAR($J$195:$J$202)=K$209)*$E$195:$E$202)</f>
        <v/>
      </c>
      <c r="L219" s="8">
        <f>SUMPRODUCT((YEAR($J$195:$J$202)=L$209)*$E$195:$E$202)</f>
        <v/>
      </c>
      <c r="M219" s="8">
        <f>SUMPRODUCT((YEAR($J$195:$J$202)=M$209)*$E$195:$E$202)</f>
        <v/>
      </c>
      <c r="N219" s="8">
        <f>SUMPRODUCT((YEAR($J$195:$J$202)=N$209)*$E$195:$E$202)</f>
        <v/>
      </c>
      <c r="O219" s="8">
        <f>SUMPRODUCT((YEAR($J$195:$J$202)=O$209)*$E$195:$E$202)</f>
        <v/>
      </c>
      <c r="P219" s="8">
        <f>SUMPRODUCT((YEAR($J$195:$J$202)=P$209)*$E$195:$E$202)</f>
        <v/>
      </c>
      <c r="Q219" s="8">
        <f>SUMPRODUCT((YEAR($J$195:$J$202)=Q$209)*$E$195:$E$202)</f>
        <v/>
      </c>
      <c r="R219" s="8">
        <f>SUMPRODUCT((YEAR($J$195:$J$202)=R$209)*$E$195:$E$202)</f>
        <v/>
      </c>
      <c r="S219" s="8">
        <f>SUMPRODUCT((YEAR($J$195:$J$202)=S$209)*$E$195:$E$202)</f>
        <v/>
      </c>
      <c r="T219" s="8">
        <f>SUMPRODUCT((YEAR($J$195:$J$202)=T$209)*$E$195:$E$202)</f>
        <v/>
      </c>
      <c r="U219" s="8">
        <f>SUMPRODUCT((YEAR($J$195:$J$202)=U$209)*$E$195:$E$202)</f>
        <v/>
      </c>
      <c r="V219" s="8">
        <f>SUMPRODUCT((YEAR($J$195:$J$202)=V$209)*$E$195:$E$202)</f>
        <v/>
      </c>
      <c r="W219" s="8">
        <f>SUMPRODUCT((YEAR($J$195:$J$202)=W$209)*$E$195:$E$202)</f>
        <v/>
      </c>
      <c r="X219" s="8">
        <f>SUMPRODUCT((YEAR($J$195:$J$202)=X$209)*$E$195:$E$202)</f>
        <v/>
      </c>
      <c r="Y219" s="8">
        <f>SUMPRODUCT((YEAR($J$195:$J$202)=Y$209)*$E$195:$E$202)</f>
        <v/>
      </c>
      <c r="Z219" s="8">
        <f>SUMPRODUCT((YEAR($J$195:$J$202)=Z$209)*$E$195:$E$202)</f>
        <v/>
      </c>
      <c r="AA219" s="8">
        <f>SUMPRODUCT((YEAR($J$195:$J$202)=AA$209)*$E$195:$E$202)</f>
        <v/>
      </c>
      <c r="AB219" s="8">
        <f>SUMPRODUCT((YEAR($J$195:$J$202)=AB$209)*$E$195:$E$202)</f>
        <v/>
      </c>
      <c r="AC219" s="8">
        <f>SUMPRODUCT((YEAR($J$195:$J$202)=AC$209)*$E$195:$E$202)</f>
        <v/>
      </c>
      <c r="AD219" s="8">
        <f>SUMPRODUCT((YEAR($J$195:$J$202)=AD$209)*$E$195:$E$202)</f>
        <v/>
      </c>
      <c r="AE219" s="8">
        <f>SUMPRODUCT((YEAR($J$195:$J$202)=AE$209)*$E$195:$E$202)</f>
        <v/>
      </c>
      <c r="AF219" s="8">
        <f>SUMPRODUCT((YEAR($J$195:$J$202)=AF$209)*$E$195:$E$202)</f>
        <v/>
      </c>
      <c r="AG219" s="8">
        <f>SUMPRODUCT((YEAR($J$195:$J$202)=AG$209)*$E$195:$E$202)</f>
        <v/>
      </c>
      <c r="AH219" s="8">
        <f>SUMPRODUCT((YEAR($J$195:$J$202)=AH$209)*$E$195:$E$202)</f>
        <v/>
      </c>
      <c r="AI219" s="8">
        <f>SUMPRODUCT((YEAR($J$195:$J$202)=AI$209)*$E$195:$E$202)</f>
        <v/>
      </c>
      <c r="AJ219" s="8">
        <f>SUMPRODUCT((YEAR($J$195:$J$202)=AJ$209)*$E$195:$E$202)</f>
        <v/>
      </c>
      <c r="AK219" s="8">
        <f>SUMPRODUCT((YEAR($J$195:$J$202)=AK$209)*$E$195:$E$202)</f>
        <v/>
      </c>
      <c r="AL219" s="8">
        <f>SUMPRODUCT((YEAR($J$195:$J$202)=AL$209)*$E$195:$E$202)</f>
        <v/>
      </c>
      <c r="AM219" s="8">
        <f>SUMPRODUCT((YEAR($J$195:$J$202)=AM$209)*$E$195:$E$202)</f>
        <v/>
      </c>
      <c r="AN219" s="8">
        <f>SUMPRODUCT((YEAR($J$195:$J$202)=AN$209)*$E$195:$E$202)</f>
        <v/>
      </c>
      <c r="AO219" s="8">
        <f>SUMPRODUCT((YEAR($J$195:$J$202)=AO$209)*$E$195:$E$202)</f>
        <v/>
      </c>
      <c r="AP219" s="8">
        <f>SUMPRODUCT((YEAR($J$195:$J$202)=AP$209)*$E$195:$E$202)</f>
        <v/>
      </c>
      <c r="AQ219" s="8">
        <f>SUMPRODUCT((YEAR($J$195:$J$202)=AQ$209)*$E$195:$E$202)</f>
        <v/>
      </c>
      <c r="AR219" s="8">
        <f>SUMPRODUCT((YEAR($J$195:$J$202)=AR$209)*$E$195:$E$202)</f>
        <v/>
      </c>
      <c r="AS219" s="8">
        <f>SUMPRODUCT((YEAR($J$195:$J$202)=AS$209)*$E$195:$E$202)</f>
        <v/>
      </c>
      <c r="AT219" s="8">
        <f>SUMPRODUCT((YEAR($J$195:$J$202)=AT$209)*$E$195:$E$202)</f>
        <v/>
      </c>
      <c r="AU219" s="8">
        <f>SUMPRODUCT((YEAR($J$195:$J$202)=AU$209)*$E$195:$E$202)</f>
        <v/>
      </c>
      <c r="AV219" s="8">
        <f>SUMPRODUCT((YEAR($J$195:$J$202)=AV$209)*$E$195:$E$202)</f>
        <v/>
      </c>
      <c r="AW219" s="8">
        <f>SUMPRODUCT((YEAR($J$195:$J$202)=AW$209)*$E$195:$E$202)</f>
        <v/>
      </c>
      <c r="AX219" s="8">
        <f>SUMPRODUCT((YEAR($J$195:$J$202)=AX$209)*$E$195:$E$202)</f>
        <v/>
      </c>
    </row>
    <row r="220" hidden="1" outlineLevel="1">
      <c r="C220" s="6" t="inlineStr">
        <is>
          <t>Performance security released (bid security included)</t>
        </is>
      </c>
      <c r="D220" s="2" t="inlineStr">
        <is>
          <t>EUR k</t>
        </is>
      </c>
      <c r="H220" s="8">
        <f>SUM(J220:AX220)</f>
        <v/>
      </c>
      <c r="J220" s="8">
        <f>($E$62+$E$63)*(J$209=YEAR(Date_Release))</f>
        <v/>
      </c>
      <c r="K220" s="8">
        <f>($E$62+$E$63)*(K$209=YEAR(Date_Release))</f>
        <v/>
      </c>
      <c r="L220" s="8">
        <f>($E$62+$E$63)*(L$209=YEAR(Date_Release))</f>
        <v/>
      </c>
      <c r="M220" s="8">
        <f>($E$62+$E$63)*(M$209=YEAR(Date_Release))</f>
        <v/>
      </c>
      <c r="N220" s="8">
        <f>($E$62+$E$63)*(N$209=YEAR(Date_Release))</f>
        <v/>
      </c>
      <c r="O220" s="8">
        <f>($E$62+$E$63)*(O$209=YEAR(Date_Release))</f>
        <v/>
      </c>
      <c r="P220" s="8">
        <f>($E$62+$E$63)*(P$209=YEAR(Date_Release))</f>
        <v/>
      </c>
      <c r="Q220" s="8">
        <f>($E$62+$E$63)*(Q$209=YEAR(Date_Release))</f>
        <v/>
      </c>
      <c r="R220" s="8">
        <f>($E$62+$E$63)*(R$209=YEAR(Date_Release))</f>
        <v/>
      </c>
      <c r="S220" s="8">
        <f>($E$62+$E$63)*(S$209=YEAR(Date_Release))</f>
        <v/>
      </c>
      <c r="T220" s="8">
        <f>($E$62+$E$63)*(T$209=YEAR(Date_Release))</f>
        <v/>
      </c>
      <c r="U220" s="8">
        <f>($E$62+$E$63)*(U$209=YEAR(Date_Release))</f>
        <v/>
      </c>
      <c r="V220" s="8">
        <f>($E$62+$E$63)*(V$209=YEAR(Date_Release))</f>
        <v/>
      </c>
      <c r="W220" s="8">
        <f>($E$62+$E$63)*(W$209=YEAR(Date_Release))</f>
        <v/>
      </c>
      <c r="X220" s="8">
        <f>($E$62+$E$63)*(X$209=YEAR(Date_Release))</f>
        <v/>
      </c>
      <c r="Y220" s="8">
        <f>($E$62+$E$63)*(Y$209=YEAR(Date_Release))</f>
        <v/>
      </c>
      <c r="Z220" s="8">
        <f>($E$62+$E$63)*(Z$209=YEAR(Date_Release))</f>
        <v/>
      </c>
      <c r="AA220" s="8">
        <f>($E$62+$E$63)*(AA$209=YEAR(Date_Release))</f>
        <v/>
      </c>
      <c r="AB220" s="8">
        <f>($E$62+$E$63)*(AB$209=YEAR(Date_Release))</f>
        <v/>
      </c>
      <c r="AC220" s="8">
        <f>($E$62+$E$63)*(AC$209=YEAR(Date_Release))</f>
        <v/>
      </c>
      <c r="AD220" s="8">
        <f>($E$62+$E$63)*(AD$209=YEAR(Date_Release))</f>
        <v/>
      </c>
      <c r="AE220" s="8">
        <f>($E$62+$E$63)*(AE$209=YEAR(Date_Release))</f>
        <v/>
      </c>
      <c r="AF220" s="8">
        <f>($E$62+$E$63)*(AF$209=YEAR(Date_Release))</f>
        <v/>
      </c>
      <c r="AG220" s="8">
        <f>($E$62+$E$63)*(AG$209=YEAR(Date_Release))</f>
        <v/>
      </c>
      <c r="AH220" s="8">
        <f>($E$62+$E$63)*(AH$209=YEAR(Date_Release))</f>
        <v/>
      </c>
      <c r="AI220" s="8">
        <f>($E$62+$E$63)*(AI$209=YEAR(Date_Release))</f>
        <v/>
      </c>
      <c r="AJ220" s="8">
        <f>($E$62+$E$63)*(AJ$209=YEAR(Date_Release))</f>
        <v/>
      </c>
      <c r="AK220" s="8">
        <f>($E$62+$E$63)*(AK$209=YEAR(Date_Release))</f>
        <v/>
      </c>
      <c r="AL220" s="8">
        <f>($E$62+$E$63)*(AL$209=YEAR(Date_Release))</f>
        <v/>
      </c>
      <c r="AM220" s="8">
        <f>($E$62+$E$63)*(AM$209=YEAR(Date_Release))</f>
        <v/>
      </c>
      <c r="AN220" s="8">
        <f>($E$62+$E$63)*(AN$209=YEAR(Date_Release))</f>
        <v/>
      </c>
      <c r="AO220" s="8">
        <f>($E$62+$E$63)*(AO$209=YEAR(Date_Release))</f>
        <v/>
      </c>
      <c r="AP220" s="8">
        <f>($E$62+$E$63)*(AP$209=YEAR(Date_Release))</f>
        <v/>
      </c>
      <c r="AQ220" s="8">
        <f>($E$62+$E$63)*(AQ$209=YEAR(Date_Release))</f>
        <v/>
      </c>
      <c r="AR220" s="8">
        <f>($E$62+$E$63)*(AR$209=YEAR(Date_Release))</f>
        <v/>
      </c>
      <c r="AS220" s="8">
        <f>($E$62+$E$63)*(AS$209=YEAR(Date_Release))</f>
        <v/>
      </c>
      <c r="AT220" s="8">
        <f>($E$62+$E$63)*(AT$209=YEAR(Date_Release))</f>
        <v/>
      </c>
      <c r="AU220" s="8">
        <f>($E$62+$E$63)*(AU$209=YEAR(Date_Release))</f>
        <v/>
      </c>
      <c r="AV220" s="8">
        <f>($E$62+$E$63)*(AV$209=YEAR(Date_Release))</f>
        <v/>
      </c>
      <c r="AW220" s="8">
        <f>($E$62+$E$63)*(AW$209=YEAR(Date_Release))</f>
        <v/>
      </c>
      <c r="AX220" s="8">
        <f>($E$62+$E$63)*(AX$209=YEAR(Date_Release))</f>
        <v/>
      </c>
    </row>
    <row r="221" hidden="1" outlineLevel="1">
      <c r="C221" s="6" t="inlineStr">
        <is>
          <t>Construction capex (straight-line NTP to COD)</t>
        </is>
      </c>
      <c r="D221" s="2" t="inlineStr">
        <is>
          <t>EUR k</t>
        </is>
      </c>
      <c r="H221" s="8">
        <f>SUM(J221:AX221)</f>
        <v/>
      </c>
      <c r="J221" s="8">
        <f>-$E$82*J215</f>
        <v/>
      </c>
      <c r="K221" s="8">
        <f>-$E$82*K215</f>
        <v/>
      </c>
      <c r="L221" s="8">
        <f>-$E$82*L215</f>
        <v/>
      </c>
      <c r="M221" s="8">
        <f>-$E$82*M215</f>
        <v/>
      </c>
      <c r="N221" s="8">
        <f>-$E$82*N215</f>
        <v/>
      </c>
      <c r="O221" s="8">
        <f>-$E$82*O215</f>
        <v/>
      </c>
      <c r="P221" s="8">
        <f>-$E$82*P215</f>
        <v/>
      </c>
      <c r="Q221" s="8">
        <f>-$E$82*Q215</f>
        <v/>
      </c>
      <c r="R221" s="8">
        <f>-$E$82*R215</f>
        <v/>
      </c>
      <c r="S221" s="8">
        <f>-$E$82*S215</f>
        <v/>
      </c>
      <c r="T221" s="8">
        <f>-$E$82*T215</f>
        <v/>
      </c>
      <c r="U221" s="8">
        <f>-$E$82*U215</f>
        <v/>
      </c>
      <c r="V221" s="8">
        <f>-$E$82*V215</f>
        <v/>
      </c>
      <c r="W221" s="8">
        <f>-$E$82*W215</f>
        <v/>
      </c>
      <c r="X221" s="8">
        <f>-$E$82*X215</f>
        <v/>
      </c>
      <c r="Y221" s="8">
        <f>-$E$82*Y215</f>
        <v/>
      </c>
      <c r="Z221" s="8">
        <f>-$E$82*Z215</f>
        <v/>
      </c>
      <c r="AA221" s="8">
        <f>-$E$82*AA215</f>
        <v/>
      </c>
      <c r="AB221" s="8">
        <f>-$E$82*AB215</f>
        <v/>
      </c>
      <c r="AC221" s="8">
        <f>-$E$82*AC215</f>
        <v/>
      </c>
      <c r="AD221" s="8">
        <f>-$E$82*AD215</f>
        <v/>
      </c>
      <c r="AE221" s="8">
        <f>-$E$82*AE215</f>
        <v/>
      </c>
      <c r="AF221" s="8">
        <f>-$E$82*AF215</f>
        <v/>
      </c>
      <c r="AG221" s="8">
        <f>-$E$82*AG215</f>
        <v/>
      </c>
      <c r="AH221" s="8">
        <f>-$E$82*AH215</f>
        <v/>
      </c>
      <c r="AI221" s="8">
        <f>-$E$82*AI215</f>
        <v/>
      </c>
      <c r="AJ221" s="8">
        <f>-$E$82*AJ215</f>
        <v/>
      </c>
      <c r="AK221" s="8">
        <f>-$E$82*AK215</f>
        <v/>
      </c>
      <c r="AL221" s="8">
        <f>-$E$82*AL215</f>
        <v/>
      </c>
      <c r="AM221" s="8">
        <f>-$E$82*AM215</f>
        <v/>
      </c>
      <c r="AN221" s="8">
        <f>-$E$82*AN215</f>
        <v/>
      </c>
      <c r="AO221" s="8">
        <f>-$E$82*AO215</f>
        <v/>
      </c>
      <c r="AP221" s="8">
        <f>-$E$82*AP215</f>
        <v/>
      </c>
      <c r="AQ221" s="8">
        <f>-$E$82*AQ215</f>
        <v/>
      </c>
      <c r="AR221" s="8">
        <f>-$E$82*AR215</f>
        <v/>
      </c>
      <c r="AS221" s="8">
        <f>-$E$82*AS215</f>
        <v/>
      </c>
      <c r="AT221" s="8">
        <f>-$E$82*AT215</f>
        <v/>
      </c>
      <c r="AU221" s="8">
        <f>-$E$82*AU215</f>
        <v/>
      </c>
      <c r="AV221" s="8">
        <f>-$E$82*AV215</f>
        <v/>
      </c>
      <c r="AW221" s="8">
        <f>-$E$82*AW215</f>
        <v/>
      </c>
      <c r="AX221" s="8">
        <f>-$E$82*AX215</f>
        <v/>
      </c>
    </row>
    <row r="222" hidden="1" outlineLevel="1">
      <c r="C222" s="6" t="inlineStr">
        <is>
          <t>Municipal one-off at COD</t>
        </is>
      </c>
      <c r="D222" s="2" t="inlineStr">
        <is>
          <t>EUR k</t>
        </is>
      </c>
      <c r="H222" s="8">
        <f>SUM(J222:AX222)</f>
        <v/>
      </c>
      <c r="J222" s="8">
        <f>-$E$84*J218</f>
        <v/>
      </c>
      <c r="K222" s="8">
        <f>-$E$84*K218</f>
        <v/>
      </c>
      <c r="L222" s="8">
        <f>-$E$84*L218</f>
        <v/>
      </c>
      <c r="M222" s="8">
        <f>-$E$84*M218</f>
        <v/>
      </c>
      <c r="N222" s="8">
        <f>-$E$84*N218</f>
        <v/>
      </c>
      <c r="O222" s="8">
        <f>-$E$84*O218</f>
        <v/>
      </c>
      <c r="P222" s="8">
        <f>-$E$84*P218</f>
        <v/>
      </c>
      <c r="Q222" s="8">
        <f>-$E$84*Q218</f>
        <v/>
      </c>
      <c r="R222" s="8">
        <f>-$E$84*R218</f>
        <v/>
      </c>
      <c r="S222" s="8">
        <f>-$E$84*S218</f>
        <v/>
      </c>
      <c r="T222" s="8">
        <f>-$E$84*T218</f>
        <v/>
      </c>
      <c r="U222" s="8">
        <f>-$E$84*U218</f>
        <v/>
      </c>
      <c r="V222" s="8">
        <f>-$E$84*V218</f>
        <v/>
      </c>
      <c r="W222" s="8">
        <f>-$E$84*W218</f>
        <v/>
      </c>
      <c r="X222" s="8">
        <f>-$E$84*X218</f>
        <v/>
      </c>
      <c r="Y222" s="8">
        <f>-$E$84*Y218</f>
        <v/>
      </c>
      <c r="Z222" s="8">
        <f>-$E$84*Z218</f>
        <v/>
      </c>
      <c r="AA222" s="8">
        <f>-$E$84*AA218</f>
        <v/>
      </c>
      <c r="AB222" s="8">
        <f>-$E$84*AB218</f>
        <v/>
      </c>
      <c r="AC222" s="8">
        <f>-$E$84*AC218</f>
        <v/>
      </c>
      <c r="AD222" s="8">
        <f>-$E$84*AD218</f>
        <v/>
      </c>
      <c r="AE222" s="8">
        <f>-$E$84*AE218</f>
        <v/>
      </c>
      <c r="AF222" s="8">
        <f>-$E$84*AF218</f>
        <v/>
      </c>
      <c r="AG222" s="8">
        <f>-$E$84*AG218</f>
        <v/>
      </c>
      <c r="AH222" s="8">
        <f>-$E$84*AH218</f>
        <v/>
      </c>
      <c r="AI222" s="8">
        <f>-$E$84*AI218</f>
        <v/>
      </c>
      <c r="AJ222" s="8">
        <f>-$E$84*AJ218</f>
        <v/>
      </c>
      <c r="AK222" s="8">
        <f>-$E$84*AK218</f>
        <v/>
      </c>
      <c r="AL222" s="8">
        <f>-$E$84*AL218</f>
        <v/>
      </c>
      <c r="AM222" s="8">
        <f>-$E$84*AM218</f>
        <v/>
      </c>
      <c r="AN222" s="8">
        <f>-$E$84*AN218</f>
        <v/>
      </c>
      <c r="AO222" s="8">
        <f>-$E$84*AO218</f>
        <v/>
      </c>
      <c r="AP222" s="8">
        <f>-$E$84*AP218</f>
        <v/>
      </c>
      <c r="AQ222" s="8">
        <f>-$E$84*AQ218</f>
        <v/>
      </c>
      <c r="AR222" s="8">
        <f>-$E$84*AR218</f>
        <v/>
      </c>
      <c r="AS222" s="8">
        <f>-$E$84*AS218</f>
        <v/>
      </c>
      <c r="AT222" s="8">
        <f>-$E$84*AT218</f>
        <v/>
      </c>
      <c r="AU222" s="8">
        <f>-$E$84*AU218</f>
        <v/>
      </c>
      <c r="AV222" s="8">
        <f>-$E$84*AV218</f>
        <v/>
      </c>
      <c r="AW222" s="8">
        <f>-$E$84*AW218</f>
        <v/>
      </c>
      <c r="AX222" s="8">
        <f>-$E$84*AX218</f>
        <v/>
      </c>
    </row>
    <row r="223" hidden="1" outlineLevel="1">
      <c r="C223" s="1" t="inlineStr">
        <is>
          <t>Investment cash flow</t>
        </is>
      </c>
      <c r="D223" s="2" t="inlineStr">
        <is>
          <t>EUR k</t>
        </is>
      </c>
      <c r="H223" s="14">
        <f>SUM(J223:AX223)</f>
        <v/>
      </c>
      <c r="J223" s="14">
        <f>SUM(J219:J222)</f>
        <v/>
      </c>
      <c r="K223" s="14">
        <f>SUM(K219:K222)</f>
        <v/>
      </c>
      <c r="L223" s="14">
        <f>SUM(L219:L222)</f>
        <v/>
      </c>
      <c r="M223" s="14">
        <f>SUM(M219:M222)</f>
        <v/>
      </c>
      <c r="N223" s="14">
        <f>SUM(N219:N222)</f>
        <v/>
      </c>
      <c r="O223" s="14">
        <f>SUM(O219:O222)</f>
        <v/>
      </c>
      <c r="P223" s="14">
        <f>SUM(P219:P222)</f>
        <v/>
      </c>
      <c r="Q223" s="14">
        <f>SUM(Q219:Q222)</f>
        <v/>
      </c>
      <c r="R223" s="14">
        <f>SUM(R219:R222)</f>
        <v/>
      </c>
      <c r="S223" s="14">
        <f>SUM(S219:S222)</f>
        <v/>
      </c>
      <c r="T223" s="14">
        <f>SUM(T219:T222)</f>
        <v/>
      </c>
      <c r="U223" s="14">
        <f>SUM(U219:U222)</f>
        <v/>
      </c>
      <c r="V223" s="14">
        <f>SUM(V219:V222)</f>
        <v/>
      </c>
      <c r="W223" s="14">
        <f>SUM(W219:W222)</f>
        <v/>
      </c>
      <c r="X223" s="14">
        <f>SUM(X219:X222)</f>
        <v/>
      </c>
      <c r="Y223" s="14">
        <f>SUM(Y219:Y222)</f>
        <v/>
      </c>
      <c r="Z223" s="14">
        <f>SUM(Z219:Z222)</f>
        <v/>
      </c>
      <c r="AA223" s="14">
        <f>SUM(AA219:AA222)</f>
        <v/>
      </c>
      <c r="AB223" s="14">
        <f>SUM(AB219:AB222)</f>
        <v/>
      </c>
      <c r="AC223" s="14">
        <f>SUM(AC219:AC222)</f>
        <v/>
      </c>
      <c r="AD223" s="14">
        <f>SUM(AD219:AD222)</f>
        <v/>
      </c>
      <c r="AE223" s="14">
        <f>SUM(AE219:AE222)</f>
        <v/>
      </c>
      <c r="AF223" s="14">
        <f>SUM(AF219:AF222)</f>
        <v/>
      </c>
      <c r="AG223" s="14">
        <f>SUM(AG219:AG222)</f>
        <v/>
      </c>
      <c r="AH223" s="14">
        <f>SUM(AH219:AH222)</f>
        <v/>
      </c>
      <c r="AI223" s="14">
        <f>SUM(AI219:AI222)</f>
        <v/>
      </c>
      <c r="AJ223" s="14">
        <f>SUM(AJ219:AJ222)</f>
        <v/>
      </c>
      <c r="AK223" s="14">
        <f>SUM(AK219:AK222)</f>
        <v/>
      </c>
      <c r="AL223" s="14">
        <f>SUM(AL219:AL222)</f>
        <v/>
      </c>
      <c r="AM223" s="14">
        <f>SUM(AM219:AM222)</f>
        <v/>
      </c>
      <c r="AN223" s="14">
        <f>SUM(AN219:AN222)</f>
        <v/>
      </c>
      <c r="AO223" s="14">
        <f>SUM(AO219:AO222)</f>
        <v/>
      </c>
      <c r="AP223" s="14">
        <f>SUM(AP219:AP222)</f>
        <v/>
      </c>
      <c r="AQ223" s="14">
        <f>SUM(AQ219:AQ222)</f>
        <v/>
      </c>
      <c r="AR223" s="14">
        <f>SUM(AR219:AR222)</f>
        <v/>
      </c>
      <c r="AS223" s="14">
        <f>SUM(AS219:AS222)</f>
        <v/>
      </c>
      <c r="AT223" s="14">
        <f>SUM(AT219:AT222)</f>
        <v/>
      </c>
      <c r="AU223" s="14">
        <f>SUM(AU219:AU222)</f>
        <v/>
      </c>
      <c r="AV223" s="14">
        <f>SUM(AV219:AV222)</f>
        <v/>
      </c>
      <c r="AW223" s="14">
        <f>SUM(AW219:AW222)</f>
        <v/>
      </c>
      <c r="AX223" s="14">
        <f>SUM(AX219:AX222)</f>
        <v/>
      </c>
    </row>
    <row r="224" hidden="1" outlineLevel="1">
      <c r="C224" s="6" t="inlineStr">
        <is>
          <t>Degradation factor (from the first full year)</t>
        </is>
      </c>
      <c r="D224" s="2" t="inlineStr">
        <is>
          <t>x</t>
        </is>
      </c>
      <c r="J224" s="30">
        <f>(1-Degradation)^MAX(J213-1,0)</f>
        <v/>
      </c>
      <c r="K224" s="30">
        <f>(1-Degradation)^MAX(K213-1,0)</f>
        <v/>
      </c>
      <c r="L224" s="30">
        <f>(1-Degradation)^MAX(L213-1,0)</f>
        <v/>
      </c>
      <c r="M224" s="30">
        <f>(1-Degradation)^MAX(M213-1,0)</f>
        <v/>
      </c>
      <c r="N224" s="30">
        <f>(1-Degradation)^MAX(N213-1,0)</f>
        <v/>
      </c>
      <c r="O224" s="30">
        <f>(1-Degradation)^MAX(O213-1,0)</f>
        <v/>
      </c>
      <c r="P224" s="30">
        <f>(1-Degradation)^MAX(P213-1,0)</f>
        <v/>
      </c>
      <c r="Q224" s="30">
        <f>(1-Degradation)^MAX(Q213-1,0)</f>
        <v/>
      </c>
      <c r="R224" s="30">
        <f>(1-Degradation)^MAX(R213-1,0)</f>
        <v/>
      </c>
      <c r="S224" s="30">
        <f>(1-Degradation)^MAX(S213-1,0)</f>
        <v/>
      </c>
      <c r="T224" s="30">
        <f>(1-Degradation)^MAX(T213-1,0)</f>
        <v/>
      </c>
      <c r="U224" s="30">
        <f>(1-Degradation)^MAX(U213-1,0)</f>
        <v/>
      </c>
      <c r="V224" s="30">
        <f>(1-Degradation)^MAX(V213-1,0)</f>
        <v/>
      </c>
      <c r="W224" s="30">
        <f>(1-Degradation)^MAX(W213-1,0)</f>
        <v/>
      </c>
      <c r="X224" s="30">
        <f>(1-Degradation)^MAX(X213-1,0)</f>
        <v/>
      </c>
      <c r="Y224" s="30">
        <f>(1-Degradation)^MAX(Y213-1,0)</f>
        <v/>
      </c>
      <c r="Z224" s="30">
        <f>(1-Degradation)^MAX(Z213-1,0)</f>
        <v/>
      </c>
      <c r="AA224" s="30">
        <f>(1-Degradation)^MAX(AA213-1,0)</f>
        <v/>
      </c>
      <c r="AB224" s="30">
        <f>(1-Degradation)^MAX(AB213-1,0)</f>
        <v/>
      </c>
      <c r="AC224" s="30">
        <f>(1-Degradation)^MAX(AC213-1,0)</f>
        <v/>
      </c>
      <c r="AD224" s="30">
        <f>(1-Degradation)^MAX(AD213-1,0)</f>
        <v/>
      </c>
      <c r="AE224" s="30">
        <f>(1-Degradation)^MAX(AE213-1,0)</f>
        <v/>
      </c>
      <c r="AF224" s="30">
        <f>(1-Degradation)^MAX(AF213-1,0)</f>
        <v/>
      </c>
      <c r="AG224" s="30">
        <f>(1-Degradation)^MAX(AG213-1,0)</f>
        <v/>
      </c>
      <c r="AH224" s="30">
        <f>(1-Degradation)^MAX(AH213-1,0)</f>
        <v/>
      </c>
      <c r="AI224" s="30">
        <f>(1-Degradation)^MAX(AI213-1,0)</f>
        <v/>
      </c>
      <c r="AJ224" s="30">
        <f>(1-Degradation)^MAX(AJ213-1,0)</f>
        <v/>
      </c>
      <c r="AK224" s="30">
        <f>(1-Degradation)^MAX(AK213-1,0)</f>
        <v/>
      </c>
      <c r="AL224" s="30">
        <f>(1-Degradation)^MAX(AL213-1,0)</f>
        <v/>
      </c>
      <c r="AM224" s="30">
        <f>(1-Degradation)^MAX(AM213-1,0)</f>
        <v/>
      </c>
      <c r="AN224" s="30">
        <f>(1-Degradation)^MAX(AN213-1,0)</f>
        <v/>
      </c>
      <c r="AO224" s="30">
        <f>(1-Degradation)^MAX(AO213-1,0)</f>
        <v/>
      </c>
      <c r="AP224" s="30">
        <f>(1-Degradation)^MAX(AP213-1,0)</f>
        <v/>
      </c>
      <c r="AQ224" s="30">
        <f>(1-Degradation)^MAX(AQ213-1,0)</f>
        <v/>
      </c>
      <c r="AR224" s="30">
        <f>(1-Degradation)^MAX(AR213-1,0)</f>
        <v/>
      </c>
      <c r="AS224" s="30">
        <f>(1-Degradation)^MAX(AS213-1,0)</f>
        <v/>
      </c>
      <c r="AT224" s="30">
        <f>(1-Degradation)^MAX(AT213-1,0)</f>
        <v/>
      </c>
      <c r="AU224" s="30">
        <f>(1-Degradation)^MAX(AU213-1,0)</f>
        <v/>
      </c>
      <c r="AV224" s="30">
        <f>(1-Degradation)^MAX(AV213-1,0)</f>
        <v/>
      </c>
      <c r="AW224" s="30">
        <f>(1-Degradation)^MAX(AW213-1,0)</f>
        <v/>
      </c>
      <c r="AX224" s="30">
        <f>(1-Degradation)^MAX(AX213-1,0)</f>
        <v/>
      </c>
    </row>
    <row r="225" hidden="1" outlineLevel="1">
      <c r="C225" s="6" t="inlineStr">
        <is>
          <t>Net generation</t>
        </is>
      </c>
      <c r="D225" s="2" t="inlineStr">
        <is>
          <t>GWh</t>
        </is>
      </c>
      <c r="H225" s="16">
        <f>SUM(J225:AX225)</f>
        <v/>
      </c>
      <c r="J225" s="16">
        <f>$E$44*Case_P50*(1-Curtailment)*(1-Clipping)*J217*J224/Thousand</f>
        <v/>
      </c>
      <c r="K225" s="16">
        <f>$E$44*Case_P50*(1-Curtailment)*(1-Clipping)*K217*K224/Thousand</f>
        <v/>
      </c>
      <c r="L225" s="16">
        <f>$E$44*Case_P50*(1-Curtailment)*(1-Clipping)*L217*L224/Thousand</f>
        <v/>
      </c>
      <c r="M225" s="16">
        <f>$E$44*Case_P50*(1-Curtailment)*(1-Clipping)*M217*M224/Thousand</f>
        <v/>
      </c>
      <c r="N225" s="16">
        <f>$E$44*Case_P50*(1-Curtailment)*(1-Clipping)*N217*N224/Thousand</f>
        <v/>
      </c>
      <c r="O225" s="16">
        <f>$E$44*Case_P50*(1-Curtailment)*(1-Clipping)*O217*O224/Thousand</f>
        <v/>
      </c>
      <c r="P225" s="16">
        <f>$E$44*Case_P50*(1-Curtailment)*(1-Clipping)*P217*P224/Thousand</f>
        <v/>
      </c>
      <c r="Q225" s="16">
        <f>$E$44*Case_P50*(1-Curtailment)*(1-Clipping)*Q217*Q224/Thousand</f>
        <v/>
      </c>
      <c r="R225" s="16">
        <f>$E$44*Case_P50*(1-Curtailment)*(1-Clipping)*R217*R224/Thousand</f>
        <v/>
      </c>
      <c r="S225" s="16">
        <f>$E$44*Case_P50*(1-Curtailment)*(1-Clipping)*S217*S224/Thousand</f>
        <v/>
      </c>
      <c r="T225" s="16">
        <f>$E$44*Case_P50*(1-Curtailment)*(1-Clipping)*T217*T224/Thousand</f>
        <v/>
      </c>
      <c r="U225" s="16">
        <f>$E$44*Case_P50*(1-Curtailment)*(1-Clipping)*U217*U224/Thousand</f>
        <v/>
      </c>
      <c r="V225" s="16">
        <f>$E$44*Case_P50*(1-Curtailment)*(1-Clipping)*V217*V224/Thousand</f>
        <v/>
      </c>
      <c r="W225" s="16">
        <f>$E$44*Case_P50*(1-Curtailment)*(1-Clipping)*W217*W224/Thousand</f>
        <v/>
      </c>
      <c r="X225" s="16">
        <f>$E$44*Case_P50*(1-Curtailment)*(1-Clipping)*X217*X224/Thousand</f>
        <v/>
      </c>
      <c r="Y225" s="16">
        <f>$E$44*Case_P50*(1-Curtailment)*(1-Clipping)*Y217*Y224/Thousand</f>
        <v/>
      </c>
      <c r="Z225" s="16">
        <f>$E$44*Case_P50*(1-Curtailment)*(1-Clipping)*Z217*Z224/Thousand</f>
        <v/>
      </c>
      <c r="AA225" s="16">
        <f>$E$44*Case_P50*(1-Curtailment)*(1-Clipping)*AA217*AA224/Thousand</f>
        <v/>
      </c>
      <c r="AB225" s="16">
        <f>$E$44*Case_P50*(1-Curtailment)*(1-Clipping)*AB217*AB224/Thousand</f>
        <v/>
      </c>
      <c r="AC225" s="16">
        <f>$E$44*Case_P50*(1-Curtailment)*(1-Clipping)*AC217*AC224/Thousand</f>
        <v/>
      </c>
      <c r="AD225" s="16">
        <f>$E$44*Case_P50*(1-Curtailment)*(1-Clipping)*AD217*AD224/Thousand</f>
        <v/>
      </c>
      <c r="AE225" s="16">
        <f>$E$44*Case_P50*(1-Curtailment)*(1-Clipping)*AE217*AE224/Thousand</f>
        <v/>
      </c>
      <c r="AF225" s="16">
        <f>$E$44*Case_P50*(1-Curtailment)*(1-Clipping)*AF217*AF224/Thousand</f>
        <v/>
      </c>
      <c r="AG225" s="16">
        <f>$E$44*Case_P50*(1-Curtailment)*(1-Clipping)*AG217*AG224/Thousand</f>
        <v/>
      </c>
      <c r="AH225" s="16">
        <f>$E$44*Case_P50*(1-Curtailment)*(1-Clipping)*AH217*AH224/Thousand</f>
        <v/>
      </c>
      <c r="AI225" s="16">
        <f>$E$44*Case_P50*(1-Curtailment)*(1-Clipping)*AI217*AI224/Thousand</f>
        <v/>
      </c>
      <c r="AJ225" s="16">
        <f>$E$44*Case_P50*(1-Curtailment)*(1-Clipping)*AJ217*AJ224/Thousand</f>
        <v/>
      </c>
      <c r="AK225" s="16">
        <f>$E$44*Case_P50*(1-Curtailment)*(1-Clipping)*AK217*AK224/Thousand</f>
        <v/>
      </c>
      <c r="AL225" s="16">
        <f>$E$44*Case_P50*(1-Curtailment)*(1-Clipping)*AL217*AL224/Thousand</f>
        <v/>
      </c>
      <c r="AM225" s="16">
        <f>$E$44*Case_P50*(1-Curtailment)*(1-Clipping)*AM217*AM224/Thousand</f>
        <v/>
      </c>
      <c r="AN225" s="16">
        <f>$E$44*Case_P50*(1-Curtailment)*(1-Clipping)*AN217*AN224/Thousand</f>
        <v/>
      </c>
      <c r="AO225" s="16">
        <f>$E$44*Case_P50*(1-Curtailment)*(1-Clipping)*AO217*AO224/Thousand</f>
        <v/>
      </c>
      <c r="AP225" s="16">
        <f>$E$44*Case_P50*(1-Curtailment)*(1-Clipping)*AP217*AP224/Thousand</f>
        <v/>
      </c>
      <c r="AQ225" s="16">
        <f>$E$44*Case_P50*(1-Curtailment)*(1-Clipping)*AQ217*AQ224/Thousand</f>
        <v/>
      </c>
      <c r="AR225" s="16">
        <f>$E$44*Case_P50*(1-Curtailment)*(1-Clipping)*AR217*AR224/Thousand</f>
        <v/>
      </c>
      <c r="AS225" s="16">
        <f>$E$44*Case_P50*(1-Curtailment)*(1-Clipping)*AS217*AS224/Thousand</f>
        <v/>
      </c>
      <c r="AT225" s="16">
        <f>$E$44*Case_P50*(1-Curtailment)*(1-Clipping)*AT217*AT224/Thousand</f>
        <v/>
      </c>
      <c r="AU225" s="16">
        <f>$E$44*Case_P50*(1-Curtailment)*(1-Clipping)*AU217*AU224/Thousand</f>
        <v/>
      </c>
      <c r="AV225" s="16">
        <f>$E$44*Case_P50*(1-Curtailment)*(1-Clipping)*AV217*AV224/Thousand</f>
        <v/>
      </c>
      <c r="AW225" s="16">
        <f>$E$44*Case_P50*(1-Curtailment)*(1-Clipping)*AW217*AW224/Thousand</f>
        <v/>
      </c>
      <c r="AX225" s="16">
        <f>$E$44*Case_P50*(1-Curtailment)*(1-Clipping)*AX217*AX224/Thousand</f>
        <v/>
      </c>
    </row>
    <row r="226" hidden="1" outlineLevel="1">
      <c r="C226" s="6" t="inlineStr">
        <is>
          <t>PPA price</t>
        </is>
      </c>
      <c r="D226" s="2" t="inlineStr">
        <is>
          <t>EUR/MWh</t>
        </is>
      </c>
      <c r="J226" s="16">
        <f>Case_PPA*(1+PPA_Esc)^J213*(J217&gt;0)</f>
        <v/>
      </c>
      <c r="K226" s="16">
        <f>Case_PPA*(1+PPA_Esc)^K213*(K217&gt;0)</f>
        <v/>
      </c>
      <c r="L226" s="16">
        <f>Case_PPA*(1+PPA_Esc)^L213*(L217&gt;0)</f>
        <v/>
      </c>
      <c r="M226" s="16">
        <f>Case_PPA*(1+PPA_Esc)^M213*(M217&gt;0)</f>
        <v/>
      </c>
      <c r="N226" s="16">
        <f>Case_PPA*(1+PPA_Esc)^N213*(N217&gt;0)</f>
        <v/>
      </c>
      <c r="O226" s="16">
        <f>Case_PPA*(1+PPA_Esc)^O213*(O217&gt;0)</f>
        <v/>
      </c>
      <c r="P226" s="16">
        <f>Case_PPA*(1+PPA_Esc)^P213*(P217&gt;0)</f>
        <v/>
      </c>
      <c r="Q226" s="16">
        <f>Case_PPA*(1+PPA_Esc)^Q213*(Q217&gt;0)</f>
        <v/>
      </c>
      <c r="R226" s="16">
        <f>Case_PPA*(1+PPA_Esc)^R213*(R217&gt;0)</f>
        <v/>
      </c>
      <c r="S226" s="16">
        <f>Case_PPA*(1+PPA_Esc)^S213*(S217&gt;0)</f>
        <v/>
      </c>
      <c r="T226" s="16">
        <f>Case_PPA*(1+PPA_Esc)^T213*(T217&gt;0)</f>
        <v/>
      </c>
      <c r="U226" s="16">
        <f>Case_PPA*(1+PPA_Esc)^U213*(U217&gt;0)</f>
        <v/>
      </c>
      <c r="V226" s="16">
        <f>Case_PPA*(1+PPA_Esc)^V213*(V217&gt;0)</f>
        <v/>
      </c>
      <c r="W226" s="16">
        <f>Case_PPA*(1+PPA_Esc)^W213*(W217&gt;0)</f>
        <v/>
      </c>
      <c r="X226" s="16">
        <f>Case_PPA*(1+PPA_Esc)^X213*(X217&gt;0)</f>
        <v/>
      </c>
      <c r="Y226" s="16">
        <f>Case_PPA*(1+PPA_Esc)^Y213*(Y217&gt;0)</f>
        <v/>
      </c>
      <c r="Z226" s="16">
        <f>Case_PPA*(1+PPA_Esc)^Z213*(Z217&gt;0)</f>
        <v/>
      </c>
      <c r="AA226" s="16">
        <f>Case_PPA*(1+PPA_Esc)^AA213*(AA217&gt;0)</f>
        <v/>
      </c>
      <c r="AB226" s="16">
        <f>Case_PPA*(1+PPA_Esc)^AB213*(AB217&gt;0)</f>
        <v/>
      </c>
      <c r="AC226" s="16">
        <f>Case_PPA*(1+PPA_Esc)^AC213*(AC217&gt;0)</f>
        <v/>
      </c>
      <c r="AD226" s="16">
        <f>Case_PPA*(1+PPA_Esc)^AD213*(AD217&gt;0)</f>
        <v/>
      </c>
      <c r="AE226" s="16">
        <f>Case_PPA*(1+PPA_Esc)^AE213*(AE217&gt;0)</f>
        <v/>
      </c>
      <c r="AF226" s="16">
        <f>Case_PPA*(1+PPA_Esc)^AF213*(AF217&gt;0)</f>
        <v/>
      </c>
      <c r="AG226" s="16">
        <f>Case_PPA*(1+PPA_Esc)^AG213*(AG217&gt;0)</f>
        <v/>
      </c>
      <c r="AH226" s="16">
        <f>Case_PPA*(1+PPA_Esc)^AH213*(AH217&gt;0)</f>
        <v/>
      </c>
      <c r="AI226" s="16">
        <f>Case_PPA*(1+PPA_Esc)^AI213*(AI217&gt;0)</f>
        <v/>
      </c>
      <c r="AJ226" s="16">
        <f>Case_PPA*(1+PPA_Esc)^AJ213*(AJ217&gt;0)</f>
        <v/>
      </c>
      <c r="AK226" s="16">
        <f>Case_PPA*(1+PPA_Esc)^AK213*(AK217&gt;0)</f>
        <v/>
      </c>
      <c r="AL226" s="16">
        <f>Case_PPA*(1+PPA_Esc)^AL213*(AL217&gt;0)</f>
        <v/>
      </c>
      <c r="AM226" s="16">
        <f>Case_PPA*(1+PPA_Esc)^AM213*(AM217&gt;0)</f>
        <v/>
      </c>
      <c r="AN226" s="16">
        <f>Case_PPA*(1+PPA_Esc)^AN213*(AN217&gt;0)</f>
        <v/>
      </c>
      <c r="AO226" s="16">
        <f>Case_PPA*(1+PPA_Esc)^AO213*(AO217&gt;0)</f>
        <v/>
      </c>
      <c r="AP226" s="16">
        <f>Case_PPA*(1+PPA_Esc)^AP213*(AP217&gt;0)</f>
        <v/>
      </c>
      <c r="AQ226" s="16">
        <f>Case_PPA*(1+PPA_Esc)^AQ213*(AQ217&gt;0)</f>
        <v/>
      </c>
      <c r="AR226" s="16">
        <f>Case_PPA*(1+PPA_Esc)^AR213*(AR217&gt;0)</f>
        <v/>
      </c>
      <c r="AS226" s="16">
        <f>Case_PPA*(1+PPA_Esc)^AS213*(AS217&gt;0)</f>
        <v/>
      </c>
      <c r="AT226" s="16">
        <f>Case_PPA*(1+PPA_Esc)^AT213*(AT217&gt;0)</f>
        <v/>
      </c>
      <c r="AU226" s="16">
        <f>Case_PPA*(1+PPA_Esc)^AU213*(AU217&gt;0)</f>
        <v/>
      </c>
      <c r="AV226" s="16">
        <f>Case_PPA*(1+PPA_Esc)^AV213*(AV217&gt;0)</f>
        <v/>
      </c>
      <c r="AW226" s="16">
        <f>Case_PPA*(1+PPA_Esc)^AW213*(AW217&gt;0)</f>
        <v/>
      </c>
      <c r="AX226" s="16">
        <f>Case_PPA*(1+PPA_Esc)^AX213*(AX217&gt;0)</f>
        <v/>
      </c>
    </row>
    <row r="227" hidden="1" outlineLevel="1">
      <c r="C227" s="1" t="inlineStr">
        <is>
          <t>Revenue</t>
        </is>
      </c>
      <c r="D227" s="2" t="inlineStr">
        <is>
          <t>EUR k</t>
        </is>
      </c>
      <c r="H227" s="19">
        <f>SUM(J227:AX227)</f>
        <v/>
      </c>
      <c r="J227" s="19">
        <f>J225*J226</f>
        <v/>
      </c>
      <c r="K227" s="19">
        <f>K225*K226</f>
        <v/>
      </c>
      <c r="L227" s="19">
        <f>L225*L226</f>
        <v/>
      </c>
      <c r="M227" s="19">
        <f>M225*M226</f>
        <v/>
      </c>
      <c r="N227" s="19">
        <f>N225*N226</f>
        <v/>
      </c>
      <c r="O227" s="19">
        <f>O225*O226</f>
        <v/>
      </c>
      <c r="P227" s="19">
        <f>P225*P226</f>
        <v/>
      </c>
      <c r="Q227" s="19">
        <f>Q225*Q226</f>
        <v/>
      </c>
      <c r="R227" s="19">
        <f>R225*R226</f>
        <v/>
      </c>
      <c r="S227" s="19">
        <f>S225*S226</f>
        <v/>
      </c>
      <c r="T227" s="19">
        <f>T225*T226</f>
        <v/>
      </c>
      <c r="U227" s="19">
        <f>U225*U226</f>
        <v/>
      </c>
      <c r="V227" s="19">
        <f>V225*V226</f>
        <v/>
      </c>
      <c r="W227" s="19">
        <f>W225*W226</f>
        <v/>
      </c>
      <c r="X227" s="19">
        <f>X225*X226</f>
        <v/>
      </c>
      <c r="Y227" s="19">
        <f>Y225*Y226</f>
        <v/>
      </c>
      <c r="Z227" s="19">
        <f>Z225*Z226</f>
        <v/>
      </c>
      <c r="AA227" s="19">
        <f>AA225*AA226</f>
        <v/>
      </c>
      <c r="AB227" s="19">
        <f>AB225*AB226</f>
        <v/>
      </c>
      <c r="AC227" s="19">
        <f>AC225*AC226</f>
        <v/>
      </c>
      <c r="AD227" s="19">
        <f>AD225*AD226</f>
        <v/>
      </c>
      <c r="AE227" s="19">
        <f>AE225*AE226</f>
        <v/>
      </c>
      <c r="AF227" s="19">
        <f>AF225*AF226</f>
        <v/>
      </c>
      <c r="AG227" s="19">
        <f>AG225*AG226</f>
        <v/>
      </c>
      <c r="AH227" s="19">
        <f>AH225*AH226</f>
        <v/>
      </c>
      <c r="AI227" s="19">
        <f>AI225*AI226</f>
        <v/>
      </c>
      <c r="AJ227" s="19">
        <f>AJ225*AJ226</f>
        <v/>
      </c>
      <c r="AK227" s="19">
        <f>AK225*AK226</f>
        <v/>
      </c>
      <c r="AL227" s="19">
        <f>AL225*AL226</f>
        <v/>
      </c>
      <c r="AM227" s="19">
        <f>AM225*AM226</f>
        <v/>
      </c>
      <c r="AN227" s="19">
        <f>AN225*AN226</f>
        <v/>
      </c>
      <c r="AO227" s="19">
        <f>AO225*AO226</f>
        <v/>
      </c>
      <c r="AP227" s="19">
        <f>AP225*AP226</f>
        <v/>
      </c>
      <c r="AQ227" s="19">
        <f>AQ225*AQ226</f>
        <v/>
      </c>
      <c r="AR227" s="19">
        <f>AR225*AR226</f>
        <v/>
      </c>
      <c r="AS227" s="19">
        <f>AS225*AS226</f>
        <v/>
      </c>
      <c r="AT227" s="19">
        <f>AT225*AT226</f>
        <v/>
      </c>
      <c r="AU227" s="19">
        <f>AU225*AU226</f>
        <v/>
      </c>
      <c r="AV227" s="19">
        <f>AV225*AV226</f>
        <v/>
      </c>
      <c r="AW227" s="19">
        <f>AW225*AW226</f>
        <v/>
      </c>
      <c r="AX227" s="19">
        <f>AX225*AX226</f>
        <v/>
      </c>
    </row>
    <row r="228" hidden="1" outlineLevel="1">
      <c r="C228" s="6" t="inlineStr">
        <is>
          <t>Opex index (COD year = 1)</t>
        </is>
      </c>
      <c r="D228" s="2" t="inlineStr">
        <is>
          <t>x</t>
        </is>
      </c>
      <c r="J228" s="30">
        <f>(1+Opex_Esc)^J213</f>
        <v/>
      </c>
      <c r="K228" s="30">
        <f>(1+Opex_Esc)^K213</f>
        <v/>
      </c>
      <c r="L228" s="30">
        <f>(1+Opex_Esc)^L213</f>
        <v/>
      </c>
      <c r="M228" s="30">
        <f>(1+Opex_Esc)^M213</f>
        <v/>
      </c>
      <c r="N228" s="30">
        <f>(1+Opex_Esc)^N213</f>
        <v/>
      </c>
      <c r="O228" s="30">
        <f>(1+Opex_Esc)^O213</f>
        <v/>
      </c>
      <c r="P228" s="30">
        <f>(1+Opex_Esc)^P213</f>
        <v/>
      </c>
      <c r="Q228" s="30">
        <f>(1+Opex_Esc)^Q213</f>
        <v/>
      </c>
      <c r="R228" s="30">
        <f>(1+Opex_Esc)^R213</f>
        <v/>
      </c>
      <c r="S228" s="30">
        <f>(1+Opex_Esc)^S213</f>
        <v/>
      </c>
      <c r="T228" s="30">
        <f>(1+Opex_Esc)^T213</f>
        <v/>
      </c>
      <c r="U228" s="30">
        <f>(1+Opex_Esc)^U213</f>
        <v/>
      </c>
      <c r="V228" s="30">
        <f>(1+Opex_Esc)^V213</f>
        <v/>
      </c>
      <c r="W228" s="30">
        <f>(1+Opex_Esc)^W213</f>
        <v/>
      </c>
      <c r="X228" s="30">
        <f>(1+Opex_Esc)^X213</f>
        <v/>
      </c>
      <c r="Y228" s="30">
        <f>(1+Opex_Esc)^Y213</f>
        <v/>
      </c>
      <c r="Z228" s="30">
        <f>(1+Opex_Esc)^Z213</f>
        <v/>
      </c>
      <c r="AA228" s="30">
        <f>(1+Opex_Esc)^AA213</f>
        <v/>
      </c>
      <c r="AB228" s="30">
        <f>(1+Opex_Esc)^AB213</f>
        <v/>
      </c>
      <c r="AC228" s="30">
        <f>(1+Opex_Esc)^AC213</f>
        <v/>
      </c>
      <c r="AD228" s="30">
        <f>(1+Opex_Esc)^AD213</f>
        <v/>
      </c>
      <c r="AE228" s="30">
        <f>(1+Opex_Esc)^AE213</f>
        <v/>
      </c>
      <c r="AF228" s="30">
        <f>(1+Opex_Esc)^AF213</f>
        <v/>
      </c>
      <c r="AG228" s="30">
        <f>(1+Opex_Esc)^AG213</f>
        <v/>
      </c>
      <c r="AH228" s="30">
        <f>(1+Opex_Esc)^AH213</f>
        <v/>
      </c>
      <c r="AI228" s="30">
        <f>(1+Opex_Esc)^AI213</f>
        <v/>
      </c>
      <c r="AJ228" s="30">
        <f>(1+Opex_Esc)^AJ213</f>
        <v/>
      </c>
      <c r="AK228" s="30">
        <f>(1+Opex_Esc)^AK213</f>
        <v/>
      </c>
      <c r="AL228" s="30">
        <f>(1+Opex_Esc)^AL213</f>
        <v/>
      </c>
      <c r="AM228" s="30">
        <f>(1+Opex_Esc)^AM213</f>
        <v/>
      </c>
      <c r="AN228" s="30">
        <f>(1+Opex_Esc)^AN213</f>
        <v/>
      </c>
      <c r="AO228" s="30">
        <f>(1+Opex_Esc)^AO213</f>
        <v/>
      </c>
      <c r="AP228" s="30">
        <f>(1+Opex_Esc)^AP213</f>
        <v/>
      </c>
      <c r="AQ228" s="30">
        <f>(1+Opex_Esc)^AQ213</f>
        <v/>
      </c>
      <c r="AR228" s="30">
        <f>(1+Opex_Esc)^AR213</f>
        <v/>
      </c>
      <c r="AS228" s="30">
        <f>(1+Opex_Esc)^AS213</f>
        <v/>
      </c>
      <c r="AT228" s="30">
        <f>(1+Opex_Esc)^AT213</f>
        <v/>
      </c>
      <c r="AU228" s="30">
        <f>(1+Opex_Esc)^AU213</f>
        <v/>
      </c>
      <c r="AV228" s="30">
        <f>(1+Opex_Esc)^AV213</f>
        <v/>
      </c>
      <c r="AW228" s="30">
        <f>(1+Opex_Esc)^AW213</f>
        <v/>
      </c>
      <c r="AX228" s="30">
        <f>(1+Opex_Esc)^AX213</f>
        <v/>
      </c>
    </row>
    <row r="229" hidden="1" outlineLevel="1">
      <c r="C229" s="6" t="inlineStr">
        <is>
          <t>O&amp;M, BoP, lease, insurance, management, property tax</t>
        </is>
      </c>
      <c r="D229" s="2" t="inlineStr">
        <is>
          <t>EUR k</t>
        </is>
      </c>
      <c r="H229" s="8">
        <f>SUM(J229:AX229)</f>
        <v/>
      </c>
      <c r="J229" s="8">
        <f>-(Case_OM+SUM(Opex_Per_MW))*$E$44*J228*J217</f>
        <v/>
      </c>
      <c r="K229" s="8">
        <f>-(Case_OM+SUM(Opex_Per_MW))*$E$44*K228*K217</f>
        <v/>
      </c>
      <c r="L229" s="8">
        <f>-(Case_OM+SUM(Opex_Per_MW))*$E$44*L228*L217</f>
        <v/>
      </c>
      <c r="M229" s="8">
        <f>-(Case_OM+SUM(Opex_Per_MW))*$E$44*M228*M217</f>
        <v/>
      </c>
      <c r="N229" s="8">
        <f>-(Case_OM+SUM(Opex_Per_MW))*$E$44*N228*N217</f>
        <v/>
      </c>
      <c r="O229" s="8">
        <f>-(Case_OM+SUM(Opex_Per_MW))*$E$44*O228*O217</f>
        <v/>
      </c>
      <c r="P229" s="8">
        <f>-(Case_OM+SUM(Opex_Per_MW))*$E$44*P228*P217</f>
        <v/>
      </c>
      <c r="Q229" s="8">
        <f>-(Case_OM+SUM(Opex_Per_MW))*$E$44*Q228*Q217</f>
        <v/>
      </c>
      <c r="R229" s="8">
        <f>-(Case_OM+SUM(Opex_Per_MW))*$E$44*R228*R217</f>
        <v/>
      </c>
      <c r="S229" s="8">
        <f>-(Case_OM+SUM(Opex_Per_MW))*$E$44*S228*S217</f>
        <v/>
      </c>
      <c r="T229" s="8">
        <f>-(Case_OM+SUM(Opex_Per_MW))*$E$44*T228*T217</f>
        <v/>
      </c>
      <c r="U229" s="8">
        <f>-(Case_OM+SUM(Opex_Per_MW))*$E$44*U228*U217</f>
        <v/>
      </c>
      <c r="V229" s="8">
        <f>-(Case_OM+SUM(Opex_Per_MW))*$E$44*V228*V217</f>
        <v/>
      </c>
      <c r="W229" s="8">
        <f>-(Case_OM+SUM(Opex_Per_MW))*$E$44*W228*W217</f>
        <v/>
      </c>
      <c r="X229" s="8">
        <f>-(Case_OM+SUM(Opex_Per_MW))*$E$44*X228*X217</f>
        <v/>
      </c>
      <c r="Y229" s="8">
        <f>-(Case_OM+SUM(Opex_Per_MW))*$E$44*Y228*Y217</f>
        <v/>
      </c>
      <c r="Z229" s="8">
        <f>-(Case_OM+SUM(Opex_Per_MW))*$E$44*Z228*Z217</f>
        <v/>
      </c>
      <c r="AA229" s="8">
        <f>-(Case_OM+SUM(Opex_Per_MW))*$E$44*AA228*AA217</f>
        <v/>
      </c>
      <c r="AB229" s="8">
        <f>-(Case_OM+SUM(Opex_Per_MW))*$E$44*AB228*AB217</f>
        <v/>
      </c>
      <c r="AC229" s="8">
        <f>-(Case_OM+SUM(Opex_Per_MW))*$E$44*AC228*AC217</f>
        <v/>
      </c>
      <c r="AD229" s="8">
        <f>-(Case_OM+SUM(Opex_Per_MW))*$E$44*AD228*AD217</f>
        <v/>
      </c>
      <c r="AE229" s="8">
        <f>-(Case_OM+SUM(Opex_Per_MW))*$E$44*AE228*AE217</f>
        <v/>
      </c>
      <c r="AF229" s="8">
        <f>-(Case_OM+SUM(Opex_Per_MW))*$E$44*AF228*AF217</f>
        <v/>
      </c>
      <c r="AG229" s="8">
        <f>-(Case_OM+SUM(Opex_Per_MW))*$E$44*AG228*AG217</f>
        <v/>
      </c>
      <c r="AH229" s="8">
        <f>-(Case_OM+SUM(Opex_Per_MW))*$E$44*AH228*AH217</f>
        <v/>
      </c>
      <c r="AI229" s="8">
        <f>-(Case_OM+SUM(Opex_Per_MW))*$E$44*AI228*AI217</f>
        <v/>
      </c>
      <c r="AJ229" s="8">
        <f>-(Case_OM+SUM(Opex_Per_MW))*$E$44*AJ228*AJ217</f>
        <v/>
      </c>
      <c r="AK229" s="8">
        <f>-(Case_OM+SUM(Opex_Per_MW))*$E$44*AK228*AK217</f>
        <v/>
      </c>
      <c r="AL229" s="8">
        <f>-(Case_OM+SUM(Opex_Per_MW))*$E$44*AL228*AL217</f>
        <v/>
      </c>
      <c r="AM229" s="8">
        <f>-(Case_OM+SUM(Opex_Per_MW))*$E$44*AM228*AM217</f>
        <v/>
      </c>
      <c r="AN229" s="8">
        <f>-(Case_OM+SUM(Opex_Per_MW))*$E$44*AN228*AN217</f>
        <v/>
      </c>
      <c r="AO229" s="8">
        <f>-(Case_OM+SUM(Opex_Per_MW))*$E$44*AO228*AO217</f>
        <v/>
      </c>
      <c r="AP229" s="8">
        <f>-(Case_OM+SUM(Opex_Per_MW))*$E$44*AP228*AP217</f>
        <v/>
      </c>
      <c r="AQ229" s="8">
        <f>-(Case_OM+SUM(Opex_Per_MW))*$E$44*AQ228*AQ217</f>
        <v/>
      </c>
      <c r="AR229" s="8">
        <f>-(Case_OM+SUM(Opex_Per_MW))*$E$44*AR228*AR217</f>
        <v/>
      </c>
      <c r="AS229" s="8">
        <f>-(Case_OM+SUM(Opex_Per_MW))*$E$44*AS228*AS217</f>
        <v/>
      </c>
      <c r="AT229" s="8">
        <f>-(Case_OM+SUM(Opex_Per_MW))*$E$44*AT228*AT217</f>
        <v/>
      </c>
      <c r="AU229" s="8">
        <f>-(Case_OM+SUM(Opex_Per_MW))*$E$44*AU228*AU217</f>
        <v/>
      </c>
      <c r="AV229" s="8">
        <f>-(Case_OM+SUM(Opex_Per_MW))*$E$44*AV228*AV217</f>
        <v/>
      </c>
      <c r="AW229" s="8">
        <f>-(Case_OM+SUM(Opex_Per_MW))*$E$44*AW228*AW217</f>
        <v/>
      </c>
      <c r="AX229" s="8">
        <f>-(Case_OM+SUM(Opex_Per_MW))*$E$44*AX228*AX217</f>
        <v/>
      </c>
    </row>
    <row r="230" hidden="1" outlineLevel="1">
      <c r="C230" s="6" t="inlineStr">
        <is>
          <t>Administration, audit, compliance</t>
        </is>
      </c>
      <c r="D230" s="2" t="inlineStr">
        <is>
          <t>EUR k</t>
        </is>
      </c>
      <c r="H230" s="8">
        <f>SUM(J230:AX230)</f>
        <v/>
      </c>
      <c r="J230" s="8">
        <f>-Opex_Admin*$E$6/Lump_Basis*J228*J217</f>
        <v/>
      </c>
      <c r="K230" s="8">
        <f>-Opex_Admin*$E$6/Lump_Basis*K228*K217</f>
        <v/>
      </c>
      <c r="L230" s="8">
        <f>-Opex_Admin*$E$6/Lump_Basis*L228*L217</f>
        <v/>
      </c>
      <c r="M230" s="8">
        <f>-Opex_Admin*$E$6/Lump_Basis*M228*M217</f>
        <v/>
      </c>
      <c r="N230" s="8">
        <f>-Opex_Admin*$E$6/Lump_Basis*N228*N217</f>
        <v/>
      </c>
      <c r="O230" s="8">
        <f>-Opex_Admin*$E$6/Lump_Basis*O228*O217</f>
        <v/>
      </c>
      <c r="P230" s="8">
        <f>-Opex_Admin*$E$6/Lump_Basis*P228*P217</f>
        <v/>
      </c>
      <c r="Q230" s="8">
        <f>-Opex_Admin*$E$6/Lump_Basis*Q228*Q217</f>
        <v/>
      </c>
      <c r="R230" s="8">
        <f>-Opex_Admin*$E$6/Lump_Basis*R228*R217</f>
        <v/>
      </c>
      <c r="S230" s="8">
        <f>-Opex_Admin*$E$6/Lump_Basis*S228*S217</f>
        <v/>
      </c>
      <c r="T230" s="8">
        <f>-Opex_Admin*$E$6/Lump_Basis*T228*T217</f>
        <v/>
      </c>
      <c r="U230" s="8">
        <f>-Opex_Admin*$E$6/Lump_Basis*U228*U217</f>
        <v/>
      </c>
      <c r="V230" s="8">
        <f>-Opex_Admin*$E$6/Lump_Basis*V228*V217</f>
        <v/>
      </c>
      <c r="W230" s="8">
        <f>-Opex_Admin*$E$6/Lump_Basis*W228*W217</f>
        <v/>
      </c>
      <c r="X230" s="8">
        <f>-Opex_Admin*$E$6/Lump_Basis*X228*X217</f>
        <v/>
      </c>
      <c r="Y230" s="8">
        <f>-Opex_Admin*$E$6/Lump_Basis*Y228*Y217</f>
        <v/>
      </c>
      <c r="Z230" s="8">
        <f>-Opex_Admin*$E$6/Lump_Basis*Z228*Z217</f>
        <v/>
      </c>
      <c r="AA230" s="8">
        <f>-Opex_Admin*$E$6/Lump_Basis*AA228*AA217</f>
        <v/>
      </c>
      <c r="AB230" s="8">
        <f>-Opex_Admin*$E$6/Lump_Basis*AB228*AB217</f>
        <v/>
      </c>
      <c r="AC230" s="8">
        <f>-Opex_Admin*$E$6/Lump_Basis*AC228*AC217</f>
        <v/>
      </c>
      <c r="AD230" s="8">
        <f>-Opex_Admin*$E$6/Lump_Basis*AD228*AD217</f>
        <v/>
      </c>
      <c r="AE230" s="8">
        <f>-Opex_Admin*$E$6/Lump_Basis*AE228*AE217</f>
        <v/>
      </c>
      <c r="AF230" s="8">
        <f>-Opex_Admin*$E$6/Lump_Basis*AF228*AF217</f>
        <v/>
      </c>
      <c r="AG230" s="8">
        <f>-Opex_Admin*$E$6/Lump_Basis*AG228*AG217</f>
        <v/>
      </c>
      <c r="AH230" s="8">
        <f>-Opex_Admin*$E$6/Lump_Basis*AH228*AH217</f>
        <v/>
      </c>
      <c r="AI230" s="8">
        <f>-Opex_Admin*$E$6/Lump_Basis*AI228*AI217</f>
        <v/>
      </c>
      <c r="AJ230" s="8">
        <f>-Opex_Admin*$E$6/Lump_Basis*AJ228*AJ217</f>
        <v/>
      </c>
      <c r="AK230" s="8">
        <f>-Opex_Admin*$E$6/Lump_Basis*AK228*AK217</f>
        <v/>
      </c>
      <c r="AL230" s="8">
        <f>-Opex_Admin*$E$6/Lump_Basis*AL228*AL217</f>
        <v/>
      </c>
      <c r="AM230" s="8">
        <f>-Opex_Admin*$E$6/Lump_Basis*AM228*AM217</f>
        <v/>
      </c>
      <c r="AN230" s="8">
        <f>-Opex_Admin*$E$6/Lump_Basis*AN228*AN217</f>
        <v/>
      </c>
      <c r="AO230" s="8">
        <f>-Opex_Admin*$E$6/Lump_Basis*AO228*AO217</f>
        <v/>
      </c>
      <c r="AP230" s="8">
        <f>-Opex_Admin*$E$6/Lump_Basis*AP228*AP217</f>
        <v/>
      </c>
      <c r="AQ230" s="8">
        <f>-Opex_Admin*$E$6/Lump_Basis*AQ228*AQ217</f>
        <v/>
      </c>
      <c r="AR230" s="8">
        <f>-Opex_Admin*$E$6/Lump_Basis*AR228*AR217</f>
        <v/>
      </c>
      <c r="AS230" s="8">
        <f>-Opex_Admin*$E$6/Lump_Basis*AS228*AS217</f>
        <v/>
      </c>
      <c r="AT230" s="8">
        <f>-Opex_Admin*$E$6/Lump_Basis*AT228*AT217</f>
        <v/>
      </c>
      <c r="AU230" s="8">
        <f>-Opex_Admin*$E$6/Lump_Basis*AU228*AU217</f>
        <v/>
      </c>
      <c r="AV230" s="8">
        <f>-Opex_Admin*$E$6/Lump_Basis*AV228*AV217</f>
        <v/>
      </c>
      <c r="AW230" s="8">
        <f>-Opex_Admin*$E$6/Lump_Basis*AW228*AW217</f>
        <v/>
      </c>
      <c r="AX230" s="8">
        <f>-Opex_Admin*$E$6/Lump_Basis*AX228*AX217</f>
        <v/>
      </c>
    </row>
    <row r="231" hidden="1" outlineLevel="1">
      <c r="C231" s="6" t="inlineStr">
        <is>
          <t>Balancing and grid charges</t>
        </is>
      </c>
      <c r="D231" s="2" t="inlineStr">
        <is>
          <t>EUR k</t>
        </is>
      </c>
      <c r="H231" s="8">
        <f>SUM(J231:AX231)</f>
        <v/>
      </c>
      <c r="J231" s="8">
        <f>-J225*(Balancing+Grid_Charges)*J228</f>
        <v/>
      </c>
      <c r="K231" s="8">
        <f>-K225*(Balancing+Grid_Charges)*K228</f>
        <v/>
      </c>
      <c r="L231" s="8">
        <f>-L225*(Balancing+Grid_Charges)*L228</f>
        <v/>
      </c>
      <c r="M231" s="8">
        <f>-M225*(Balancing+Grid_Charges)*M228</f>
        <v/>
      </c>
      <c r="N231" s="8">
        <f>-N225*(Balancing+Grid_Charges)*N228</f>
        <v/>
      </c>
      <c r="O231" s="8">
        <f>-O225*(Balancing+Grid_Charges)*O228</f>
        <v/>
      </c>
      <c r="P231" s="8">
        <f>-P225*(Balancing+Grid_Charges)*P228</f>
        <v/>
      </c>
      <c r="Q231" s="8">
        <f>-Q225*(Balancing+Grid_Charges)*Q228</f>
        <v/>
      </c>
      <c r="R231" s="8">
        <f>-R225*(Balancing+Grid_Charges)*R228</f>
        <v/>
      </c>
      <c r="S231" s="8">
        <f>-S225*(Balancing+Grid_Charges)*S228</f>
        <v/>
      </c>
      <c r="T231" s="8">
        <f>-T225*(Balancing+Grid_Charges)*T228</f>
        <v/>
      </c>
      <c r="U231" s="8">
        <f>-U225*(Balancing+Grid_Charges)*U228</f>
        <v/>
      </c>
      <c r="V231" s="8">
        <f>-V225*(Balancing+Grid_Charges)*V228</f>
        <v/>
      </c>
      <c r="W231" s="8">
        <f>-W225*(Balancing+Grid_Charges)*W228</f>
        <v/>
      </c>
      <c r="X231" s="8">
        <f>-X225*(Balancing+Grid_Charges)*X228</f>
        <v/>
      </c>
      <c r="Y231" s="8">
        <f>-Y225*(Balancing+Grid_Charges)*Y228</f>
        <v/>
      </c>
      <c r="Z231" s="8">
        <f>-Z225*(Balancing+Grid_Charges)*Z228</f>
        <v/>
      </c>
      <c r="AA231" s="8">
        <f>-AA225*(Balancing+Grid_Charges)*AA228</f>
        <v/>
      </c>
      <c r="AB231" s="8">
        <f>-AB225*(Balancing+Grid_Charges)*AB228</f>
        <v/>
      </c>
      <c r="AC231" s="8">
        <f>-AC225*(Balancing+Grid_Charges)*AC228</f>
        <v/>
      </c>
      <c r="AD231" s="8">
        <f>-AD225*(Balancing+Grid_Charges)*AD228</f>
        <v/>
      </c>
      <c r="AE231" s="8">
        <f>-AE225*(Balancing+Grid_Charges)*AE228</f>
        <v/>
      </c>
      <c r="AF231" s="8">
        <f>-AF225*(Balancing+Grid_Charges)*AF228</f>
        <v/>
      </c>
      <c r="AG231" s="8">
        <f>-AG225*(Balancing+Grid_Charges)*AG228</f>
        <v/>
      </c>
      <c r="AH231" s="8">
        <f>-AH225*(Balancing+Grid_Charges)*AH228</f>
        <v/>
      </c>
      <c r="AI231" s="8">
        <f>-AI225*(Balancing+Grid_Charges)*AI228</f>
        <v/>
      </c>
      <c r="AJ231" s="8">
        <f>-AJ225*(Balancing+Grid_Charges)*AJ228</f>
        <v/>
      </c>
      <c r="AK231" s="8">
        <f>-AK225*(Balancing+Grid_Charges)*AK228</f>
        <v/>
      </c>
      <c r="AL231" s="8">
        <f>-AL225*(Balancing+Grid_Charges)*AL228</f>
        <v/>
      </c>
      <c r="AM231" s="8">
        <f>-AM225*(Balancing+Grid_Charges)*AM228</f>
        <v/>
      </c>
      <c r="AN231" s="8">
        <f>-AN225*(Balancing+Grid_Charges)*AN228</f>
        <v/>
      </c>
      <c r="AO231" s="8">
        <f>-AO225*(Balancing+Grid_Charges)*AO228</f>
        <v/>
      </c>
      <c r="AP231" s="8">
        <f>-AP225*(Balancing+Grid_Charges)*AP228</f>
        <v/>
      </c>
      <c r="AQ231" s="8">
        <f>-AQ225*(Balancing+Grid_Charges)*AQ228</f>
        <v/>
      </c>
      <c r="AR231" s="8">
        <f>-AR225*(Balancing+Grid_Charges)*AR228</f>
        <v/>
      </c>
      <c r="AS231" s="8">
        <f>-AS225*(Balancing+Grid_Charges)*AS228</f>
        <v/>
      </c>
      <c r="AT231" s="8">
        <f>-AT225*(Balancing+Grid_Charges)*AT228</f>
        <v/>
      </c>
      <c r="AU231" s="8">
        <f>-AU225*(Balancing+Grid_Charges)*AU228</f>
        <v/>
      </c>
      <c r="AV231" s="8">
        <f>-AV225*(Balancing+Grid_Charges)*AV228</f>
        <v/>
      </c>
      <c r="AW231" s="8">
        <f>-AW225*(Balancing+Grid_Charges)*AW228</f>
        <v/>
      </c>
      <c r="AX231" s="8">
        <f>-AX225*(Balancing+Grid_Charges)*AX228</f>
        <v/>
      </c>
    </row>
    <row r="232" hidden="1" outlineLevel="1">
      <c r="C232" s="6" t="inlineStr">
        <is>
          <t>MEKH supervisory fee</t>
        </is>
      </c>
      <c r="D232" s="2" t="inlineStr">
        <is>
          <t>EUR k</t>
        </is>
      </c>
      <c r="H232" s="8">
        <f>SUM(J232:AX232)</f>
        <v/>
      </c>
      <c r="J232" s="8">
        <f>-J227*MEKH_Fee</f>
        <v/>
      </c>
      <c r="K232" s="8">
        <f>-K227*MEKH_Fee</f>
        <v/>
      </c>
      <c r="L232" s="8">
        <f>-L227*MEKH_Fee</f>
        <v/>
      </c>
      <c r="M232" s="8">
        <f>-M227*MEKH_Fee</f>
        <v/>
      </c>
      <c r="N232" s="8">
        <f>-N227*MEKH_Fee</f>
        <v/>
      </c>
      <c r="O232" s="8">
        <f>-O227*MEKH_Fee</f>
        <v/>
      </c>
      <c r="P232" s="8">
        <f>-P227*MEKH_Fee</f>
        <v/>
      </c>
      <c r="Q232" s="8">
        <f>-Q227*MEKH_Fee</f>
        <v/>
      </c>
      <c r="R232" s="8">
        <f>-R227*MEKH_Fee</f>
        <v/>
      </c>
      <c r="S232" s="8">
        <f>-S227*MEKH_Fee</f>
        <v/>
      </c>
      <c r="T232" s="8">
        <f>-T227*MEKH_Fee</f>
        <v/>
      </c>
      <c r="U232" s="8">
        <f>-U227*MEKH_Fee</f>
        <v/>
      </c>
      <c r="V232" s="8">
        <f>-V227*MEKH_Fee</f>
        <v/>
      </c>
      <c r="W232" s="8">
        <f>-W227*MEKH_Fee</f>
        <v/>
      </c>
      <c r="X232" s="8">
        <f>-X227*MEKH_Fee</f>
        <v/>
      </c>
      <c r="Y232" s="8">
        <f>-Y227*MEKH_Fee</f>
        <v/>
      </c>
      <c r="Z232" s="8">
        <f>-Z227*MEKH_Fee</f>
        <v/>
      </c>
      <c r="AA232" s="8">
        <f>-AA227*MEKH_Fee</f>
        <v/>
      </c>
      <c r="AB232" s="8">
        <f>-AB227*MEKH_Fee</f>
        <v/>
      </c>
      <c r="AC232" s="8">
        <f>-AC227*MEKH_Fee</f>
        <v/>
      </c>
      <c r="AD232" s="8">
        <f>-AD227*MEKH_Fee</f>
        <v/>
      </c>
      <c r="AE232" s="8">
        <f>-AE227*MEKH_Fee</f>
        <v/>
      </c>
      <c r="AF232" s="8">
        <f>-AF227*MEKH_Fee</f>
        <v/>
      </c>
      <c r="AG232" s="8">
        <f>-AG227*MEKH_Fee</f>
        <v/>
      </c>
      <c r="AH232" s="8">
        <f>-AH227*MEKH_Fee</f>
        <v/>
      </c>
      <c r="AI232" s="8">
        <f>-AI227*MEKH_Fee</f>
        <v/>
      </c>
      <c r="AJ232" s="8">
        <f>-AJ227*MEKH_Fee</f>
        <v/>
      </c>
      <c r="AK232" s="8">
        <f>-AK227*MEKH_Fee</f>
        <v/>
      </c>
      <c r="AL232" s="8">
        <f>-AL227*MEKH_Fee</f>
        <v/>
      </c>
      <c r="AM232" s="8">
        <f>-AM227*MEKH_Fee</f>
        <v/>
      </c>
      <c r="AN232" s="8">
        <f>-AN227*MEKH_Fee</f>
        <v/>
      </c>
      <c r="AO232" s="8">
        <f>-AO227*MEKH_Fee</f>
        <v/>
      </c>
      <c r="AP232" s="8">
        <f>-AP227*MEKH_Fee</f>
        <v/>
      </c>
      <c r="AQ232" s="8">
        <f>-AQ227*MEKH_Fee</f>
        <v/>
      </c>
      <c r="AR232" s="8">
        <f>-AR227*MEKH_Fee</f>
        <v/>
      </c>
      <c r="AS232" s="8">
        <f>-AS227*MEKH_Fee</f>
        <v/>
      </c>
      <c r="AT232" s="8">
        <f>-AT227*MEKH_Fee</f>
        <v/>
      </c>
      <c r="AU232" s="8">
        <f>-AU227*MEKH_Fee</f>
        <v/>
      </c>
      <c r="AV232" s="8">
        <f>-AV227*MEKH_Fee</f>
        <v/>
      </c>
      <c r="AW232" s="8">
        <f>-AW227*MEKH_Fee</f>
        <v/>
      </c>
      <c r="AX232" s="8">
        <f>-AX227*MEKH_Fee</f>
        <v/>
      </c>
    </row>
    <row r="233" hidden="1" outlineLevel="1">
      <c r="C233" s="6" t="inlineStr">
        <is>
          <t>Opex contingency</t>
        </is>
      </c>
      <c r="D233" s="2" t="inlineStr">
        <is>
          <t>EUR k</t>
        </is>
      </c>
      <c r="H233" s="8">
        <f>SUM(J233:AX233)</f>
        <v/>
      </c>
      <c r="J233" s="8">
        <f>SUM(J229:J232)*Opex_Cont</f>
        <v/>
      </c>
      <c r="K233" s="8">
        <f>SUM(K229:K232)*Opex_Cont</f>
        <v/>
      </c>
      <c r="L233" s="8">
        <f>SUM(L229:L232)*Opex_Cont</f>
        <v/>
      </c>
      <c r="M233" s="8">
        <f>SUM(M229:M232)*Opex_Cont</f>
        <v/>
      </c>
      <c r="N233" s="8">
        <f>SUM(N229:N232)*Opex_Cont</f>
        <v/>
      </c>
      <c r="O233" s="8">
        <f>SUM(O229:O232)*Opex_Cont</f>
        <v/>
      </c>
      <c r="P233" s="8">
        <f>SUM(P229:P232)*Opex_Cont</f>
        <v/>
      </c>
      <c r="Q233" s="8">
        <f>SUM(Q229:Q232)*Opex_Cont</f>
        <v/>
      </c>
      <c r="R233" s="8">
        <f>SUM(R229:R232)*Opex_Cont</f>
        <v/>
      </c>
      <c r="S233" s="8">
        <f>SUM(S229:S232)*Opex_Cont</f>
        <v/>
      </c>
      <c r="T233" s="8">
        <f>SUM(T229:T232)*Opex_Cont</f>
        <v/>
      </c>
      <c r="U233" s="8">
        <f>SUM(U229:U232)*Opex_Cont</f>
        <v/>
      </c>
      <c r="V233" s="8">
        <f>SUM(V229:V232)*Opex_Cont</f>
        <v/>
      </c>
      <c r="W233" s="8">
        <f>SUM(W229:W232)*Opex_Cont</f>
        <v/>
      </c>
      <c r="X233" s="8">
        <f>SUM(X229:X232)*Opex_Cont</f>
        <v/>
      </c>
      <c r="Y233" s="8">
        <f>SUM(Y229:Y232)*Opex_Cont</f>
        <v/>
      </c>
      <c r="Z233" s="8">
        <f>SUM(Z229:Z232)*Opex_Cont</f>
        <v/>
      </c>
      <c r="AA233" s="8">
        <f>SUM(AA229:AA232)*Opex_Cont</f>
        <v/>
      </c>
      <c r="AB233" s="8">
        <f>SUM(AB229:AB232)*Opex_Cont</f>
        <v/>
      </c>
      <c r="AC233" s="8">
        <f>SUM(AC229:AC232)*Opex_Cont</f>
        <v/>
      </c>
      <c r="AD233" s="8">
        <f>SUM(AD229:AD232)*Opex_Cont</f>
        <v/>
      </c>
      <c r="AE233" s="8">
        <f>SUM(AE229:AE232)*Opex_Cont</f>
        <v/>
      </c>
      <c r="AF233" s="8">
        <f>SUM(AF229:AF232)*Opex_Cont</f>
        <v/>
      </c>
      <c r="AG233" s="8">
        <f>SUM(AG229:AG232)*Opex_Cont</f>
        <v/>
      </c>
      <c r="AH233" s="8">
        <f>SUM(AH229:AH232)*Opex_Cont</f>
        <v/>
      </c>
      <c r="AI233" s="8">
        <f>SUM(AI229:AI232)*Opex_Cont</f>
        <v/>
      </c>
      <c r="AJ233" s="8">
        <f>SUM(AJ229:AJ232)*Opex_Cont</f>
        <v/>
      </c>
      <c r="AK233" s="8">
        <f>SUM(AK229:AK232)*Opex_Cont</f>
        <v/>
      </c>
      <c r="AL233" s="8">
        <f>SUM(AL229:AL232)*Opex_Cont</f>
        <v/>
      </c>
      <c r="AM233" s="8">
        <f>SUM(AM229:AM232)*Opex_Cont</f>
        <v/>
      </c>
      <c r="AN233" s="8">
        <f>SUM(AN229:AN232)*Opex_Cont</f>
        <v/>
      </c>
      <c r="AO233" s="8">
        <f>SUM(AO229:AO232)*Opex_Cont</f>
        <v/>
      </c>
      <c r="AP233" s="8">
        <f>SUM(AP229:AP232)*Opex_Cont</f>
        <v/>
      </c>
      <c r="AQ233" s="8">
        <f>SUM(AQ229:AQ232)*Opex_Cont</f>
        <v/>
      </c>
      <c r="AR233" s="8">
        <f>SUM(AR229:AR232)*Opex_Cont</f>
        <v/>
      </c>
      <c r="AS233" s="8">
        <f>SUM(AS229:AS232)*Opex_Cont</f>
        <v/>
      </c>
      <c r="AT233" s="8">
        <f>SUM(AT229:AT232)*Opex_Cont</f>
        <v/>
      </c>
      <c r="AU233" s="8">
        <f>SUM(AU229:AU232)*Opex_Cont</f>
        <v/>
      </c>
      <c r="AV233" s="8">
        <f>SUM(AV229:AV232)*Opex_Cont</f>
        <v/>
      </c>
      <c r="AW233" s="8">
        <f>SUM(AW229:AW232)*Opex_Cont</f>
        <v/>
      </c>
      <c r="AX233" s="8">
        <f>SUM(AX229:AX232)*Opex_Cont</f>
        <v/>
      </c>
    </row>
    <row r="234" hidden="1" outlineLevel="1">
      <c r="C234" s="6" t="inlineStr">
        <is>
          <t>Community contribution</t>
        </is>
      </c>
      <c r="D234" s="2" t="inlineStr">
        <is>
          <t>EUR k</t>
        </is>
      </c>
      <c r="H234" s="8">
        <f>SUM(J234:AX234)</f>
        <v/>
      </c>
      <c r="J234" s="8">
        <f>-J225*$E$12</f>
        <v/>
      </c>
      <c r="K234" s="8">
        <f>-K225*$E$12</f>
        <v/>
      </c>
      <c r="L234" s="8">
        <f>-L225*$E$12</f>
        <v/>
      </c>
      <c r="M234" s="8">
        <f>-M225*$E$12</f>
        <v/>
      </c>
      <c r="N234" s="8">
        <f>-N225*$E$12</f>
        <v/>
      </c>
      <c r="O234" s="8">
        <f>-O225*$E$12</f>
        <v/>
      </c>
      <c r="P234" s="8">
        <f>-P225*$E$12</f>
        <v/>
      </c>
      <c r="Q234" s="8">
        <f>-Q225*$E$12</f>
        <v/>
      </c>
      <c r="R234" s="8">
        <f>-R225*$E$12</f>
        <v/>
      </c>
      <c r="S234" s="8">
        <f>-S225*$E$12</f>
        <v/>
      </c>
      <c r="T234" s="8">
        <f>-T225*$E$12</f>
        <v/>
      </c>
      <c r="U234" s="8">
        <f>-U225*$E$12</f>
        <v/>
      </c>
      <c r="V234" s="8">
        <f>-V225*$E$12</f>
        <v/>
      </c>
      <c r="W234" s="8">
        <f>-W225*$E$12</f>
        <v/>
      </c>
      <c r="X234" s="8">
        <f>-X225*$E$12</f>
        <v/>
      </c>
      <c r="Y234" s="8">
        <f>-Y225*$E$12</f>
        <v/>
      </c>
      <c r="Z234" s="8">
        <f>-Z225*$E$12</f>
        <v/>
      </c>
      <c r="AA234" s="8">
        <f>-AA225*$E$12</f>
        <v/>
      </c>
      <c r="AB234" s="8">
        <f>-AB225*$E$12</f>
        <v/>
      </c>
      <c r="AC234" s="8">
        <f>-AC225*$E$12</f>
        <v/>
      </c>
      <c r="AD234" s="8">
        <f>-AD225*$E$12</f>
        <v/>
      </c>
      <c r="AE234" s="8">
        <f>-AE225*$E$12</f>
        <v/>
      </c>
      <c r="AF234" s="8">
        <f>-AF225*$E$12</f>
        <v/>
      </c>
      <c r="AG234" s="8">
        <f>-AG225*$E$12</f>
        <v/>
      </c>
      <c r="AH234" s="8">
        <f>-AH225*$E$12</f>
        <v/>
      </c>
      <c r="AI234" s="8">
        <f>-AI225*$E$12</f>
        <v/>
      </c>
      <c r="AJ234" s="8">
        <f>-AJ225*$E$12</f>
        <v/>
      </c>
      <c r="AK234" s="8">
        <f>-AK225*$E$12</f>
        <v/>
      </c>
      <c r="AL234" s="8">
        <f>-AL225*$E$12</f>
        <v/>
      </c>
      <c r="AM234" s="8">
        <f>-AM225*$E$12</f>
        <v/>
      </c>
      <c r="AN234" s="8">
        <f>-AN225*$E$12</f>
        <v/>
      </c>
      <c r="AO234" s="8">
        <f>-AO225*$E$12</f>
        <v/>
      </c>
      <c r="AP234" s="8">
        <f>-AP225*$E$12</f>
        <v/>
      </c>
      <c r="AQ234" s="8">
        <f>-AQ225*$E$12</f>
        <v/>
      </c>
      <c r="AR234" s="8">
        <f>-AR225*$E$12</f>
        <v/>
      </c>
      <c r="AS234" s="8">
        <f>-AS225*$E$12</f>
        <v/>
      </c>
      <c r="AT234" s="8">
        <f>-AT225*$E$12</f>
        <v/>
      </c>
      <c r="AU234" s="8">
        <f>-AU225*$E$12</f>
        <v/>
      </c>
      <c r="AV234" s="8">
        <f>-AV225*$E$12</f>
        <v/>
      </c>
      <c r="AW234" s="8">
        <f>-AW225*$E$12</f>
        <v/>
      </c>
      <c r="AX234" s="8">
        <f>-AX225*$E$12</f>
        <v/>
      </c>
    </row>
    <row r="235" hidden="1" outlineLevel="1">
      <c r="C235" s="6" t="inlineStr">
        <is>
          <t>HIPA local business tax</t>
        </is>
      </c>
      <c r="D235" s="2" t="inlineStr">
        <is>
          <t>EUR k</t>
        </is>
      </c>
      <c r="H235" s="8">
        <f>SUM(J235:AX235)</f>
        <v/>
      </c>
      <c r="J235" s="8">
        <f>-J227*HIPA_Rate</f>
        <v/>
      </c>
      <c r="K235" s="8">
        <f>-K227*HIPA_Rate</f>
        <v/>
      </c>
      <c r="L235" s="8">
        <f>-L227*HIPA_Rate</f>
        <v/>
      </c>
      <c r="M235" s="8">
        <f>-M227*HIPA_Rate</f>
        <v/>
      </c>
      <c r="N235" s="8">
        <f>-N227*HIPA_Rate</f>
        <v/>
      </c>
      <c r="O235" s="8">
        <f>-O227*HIPA_Rate</f>
        <v/>
      </c>
      <c r="P235" s="8">
        <f>-P227*HIPA_Rate</f>
        <v/>
      </c>
      <c r="Q235" s="8">
        <f>-Q227*HIPA_Rate</f>
        <v/>
      </c>
      <c r="R235" s="8">
        <f>-R227*HIPA_Rate</f>
        <v/>
      </c>
      <c r="S235" s="8">
        <f>-S227*HIPA_Rate</f>
        <v/>
      </c>
      <c r="T235" s="8">
        <f>-T227*HIPA_Rate</f>
        <v/>
      </c>
      <c r="U235" s="8">
        <f>-U227*HIPA_Rate</f>
        <v/>
      </c>
      <c r="V235" s="8">
        <f>-V227*HIPA_Rate</f>
        <v/>
      </c>
      <c r="W235" s="8">
        <f>-W227*HIPA_Rate</f>
        <v/>
      </c>
      <c r="X235" s="8">
        <f>-X227*HIPA_Rate</f>
        <v/>
      </c>
      <c r="Y235" s="8">
        <f>-Y227*HIPA_Rate</f>
        <v/>
      </c>
      <c r="Z235" s="8">
        <f>-Z227*HIPA_Rate</f>
        <v/>
      </c>
      <c r="AA235" s="8">
        <f>-AA227*HIPA_Rate</f>
        <v/>
      </c>
      <c r="AB235" s="8">
        <f>-AB227*HIPA_Rate</f>
        <v/>
      </c>
      <c r="AC235" s="8">
        <f>-AC227*HIPA_Rate</f>
        <v/>
      </c>
      <c r="AD235" s="8">
        <f>-AD227*HIPA_Rate</f>
        <v/>
      </c>
      <c r="AE235" s="8">
        <f>-AE227*HIPA_Rate</f>
        <v/>
      </c>
      <c r="AF235" s="8">
        <f>-AF227*HIPA_Rate</f>
        <v/>
      </c>
      <c r="AG235" s="8">
        <f>-AG227*HIPA_Rate</f>
        <v/>
      </c>
      <c r="AH235" s="8">
        <f>-AH227*HIPA_Rate</f>
        <v/>
      </c>
      <c r="AI235" s="8">
        <f>-AI227*HIPA_Rate</f>
        <v/>
      </c>
      <c r="AJ235" s="8">
        <f>-AJ227*HIPA_Rate</f>
        <v/>
      </c>
      <c r="AK235" s="8">
        <f>-AK227*HIPA_Rate</f>
        <v/>
      </c>
      <c r="AL235" s="8">
        <f>-AL227*HIPA_Rate</f>
        <v/>
      </c>
      <c r="AM235" s="8">
        <f>-AM227*HIPA_Rate</f>
        <v/>
      </c>
      <c r="AN235" s="8">
        <f>-AN227*HIPA_Rate</f>
        <v/>
      </c>
      <c r="AO235" s="8">
        <f>-AO227*HIPA_Rate</f>
        <v/>
      </c>
      <c r="AP235" s="8">
        <f>-AP227*HIPA_Rate</f>
        <v/>
      </c>
      <c r="AQ235" s="8">
        <f>-AQ227*HIPA_Rate</f>
        <v/>
      </c>
      <c r="AR235" s="8">
        <f>-AR227*HIPA_Rate</f>
        <v/>
      </c>
      <c r="AS235" s="8">
        <f>-AS227*HIPA_Rate</f>
        <v/>
      </c>
      <c r="AT235" s="8">
        <f>-AT227*HIPA_Rate</f>
        <v/>
      </c>
      <c r="AU235" s="8">
        <f>-AU227*HIPA_Rate</f>
        <v/>
      </c>
      <c r="AV235" s="8">
        <f>-AV227*HIPA_Rate</f>
        <v/>
      </c>
      <c r="AW235" s="8">
        <f>-AW227*HIPA_Rate</f>
        <v/>
      </c>
      <c r="AX235" s="8">
        <f>-AX227*HIPA_Rate</f>
        <v/>
      </c>
    </row>
    <row r="236" hidden="1" outlineLevel="1">
      <c r="C236" s="1" t="inlineStr">
        <is>
          <t>Total opex</t>
        </is>
      </c>
      <c r="D236" s="2" t="inlineStr">
        <is>
          <t>EUR k</t>
        </is>
      </c>
      <c r="H236" s="19">
        <f>SUM(J236:AX236)</f>
        <v/>
      </c>
      <c r="J236" s="19">
        <f>SUM(J229:J235)</f>
        <v/>
      </c>
      <c r="K236" s="19">
        <f>SUM(K229:K235)</f>
        <v/>
      </c>
      <c r="L236" s="19">
        <f>SUM(L229:L235)</f>
        <v/>
      </c>
      <c r="M236" s="19">
        <f>SUM(M229:M235)</f>
        <v/>
      </c>
      <c r="N236" s="19">
        <f>SUM(N229:N235)</f>
        <v/>
      </c>
      <c r="O236" s="19">
        <f>SUM(O229:O235)</f>
        <v/>
      </c>
      <c r="P236" s="19">
        <f>SUM(P229:P235)</f>
        <v/>
      </c>
      <c r="Q236" s="19">
        <f>SUM(Q229:Q235)</f>
        <v/>
      </c>
      <c r="R236" s="19">
        <f>SUM(R229:R235)</f>
        <v/>
      </c>
      <c r="S236" s="19">
        <f>SUM(S229:S235)</f>
        <v/>
      </c>
      <c r="T236" s="19">
        <f>SUM(T229:T235)</f>
        <v/>
      </c>
      <c r="U236" s="19">
        <f>SUM(U229:U235)</f>
        <v/>
      </c>
      <c r="V236" s="19">
        <f>SUM(V229:V235)</f>
        <v/>
      </c>
      <c r="W236" s="19">
        <f>SUM(W229:W235)</f>
        <v/>
      </c>
      <c r="X236" s="19">
        <f>SUM(X229:X235)</f>
        <v/>
      </c>
      <c r="Y236" s="19">
        <f>SUM(Y229:Y235)</f>
        <v/>
      </c>
      <c r="Z236" s="19">
        <f>SUM(Z229:Z235)</f>
        <v/>
      </c>
      <c r="AA236" s="19">
        <f>SUM(AA229:AA235)</f>
        <v/>
      </c>
      <c r="AB236" s="19">
        <f>SUM(AB229:AB235)</f>
        <v/>
      </c>
      <c r="AC236" s="19">
        <f>SUM(AC229:AC235)</f>
        <v/>
      </c>
      <c r="AD236" s="19">
        <f>SUM(AD229:AD235)</f>
        <v/>
      </c>
      <c r="AE236" s="19">
        <f>SUM(AE229:AE235)</f>
        <v/>
      </c>
      <c r="AF236" s="19">
        <f>SUM(AF229:AF235)</f>
        <v/>
      </c>
      <c r="AG236" s="19">
        <f>SUM(AG229:AG235)</f>
        <v/>
      </c>
      <c r="AH236" s="19">
        <f>SUM(AH229:AH235)</f>
        <v/>
      </c>
      <c r="AI236" s="19">
        <f>SUM(AI229:AI235)</f>
        <v/>
      </c>
      <c r="AJ236" s="19">
        <f>SUM(AJ229:AJ235)</f>
        <v/>
      </c>
      <c r="AK236" s="19">
        <f>SUM(AK229:AK235)</f>
        <v/>
      </c>
      <c r="AL236" s="19">
        <f>SUM(AL229:AL235)</f>
        <v/>
      </c>
      <c r="AM236" s="19">
        <f>SUM(AM229:AM235)</f>
        <v/>
      </c>
      <c r="AN236" s="19">
        <f>SUM(AN229:AN235)</f>
        <v/>
      </c>
      <c r="AO236" s="19">
        <f>SUM(AO229:AO235)</f>
        <v/>
      </c>
      <c r="AP236" s="19">
        <f>SUM(AP229:AP235)</f>
        <v/>
      </c>
      <c r="AQ236" s="19">
        <f>SUM(AQ229:AQ235)</f>
        <v/>
      </c>
      <c r="AR236" s="19">
        <f>SUM(AR229:AR235)</f>
        <v/>
      </c>
      <c r="AS236" s="19">
        <f>SUM(AS229:AS235)</f>
        <v/>
      </c>
      <c r="AT236" s="19">
        <f>SUM(AT229:AT235)</f>
        <v/>
      </c>
      <c r="AU236" s="19">
        <f>SUM(AU229:AU235)</f>
        <v/>
      </c>
      <c r="AV236" s="19">
        <f>SUM(AV229:AV235)</f>
        <v/>
      </c>
      <c r="AW236" s="19">
        <f>SUM(AW229:AW235)</f>
        <v/>
      </c>
      <c r="AX236" s="19">
        <f>SUM(AX229:AX235)</f>
        <v/>
      </c>
    </row>
    <row r="237" hidden="1" outlineLevel="1">
      <c r="C237" s="1" t="inlineStr">
        <is>
          <t>EBITDA</t>
        </is>
      </c>
      <c r="D237" s="2" t="inlineStr">
        <is>
          <t>EUR k</t>
        </is>
      </c>
      <c r="H237" s="14">
        <f>SUM(J237:AX237)</f>
        <v/>
      </c>
      <c r="J237" s="14">
        <f>J227+J236</f>
        <v/>
      </c>
      <c r="K237" s="14">
        <f>K227+K236</f>
        <v/>
      </c>
      <c r="L237" s="14">
        <f>L227+L236</f>
        <v/>
      </c>
      <c r="M237" s="14">
        <f>M227+M236</f>
        <v/>
      </c>
      <c r="N237" s="14">
        <f>N227+N236</f>
        <v/>
      </c>
      <c r="O237" s="14">
        <f>O227+O236</f>
        <v/>
      </c>
      <c r="P237" s="14">
        <f>P227+P236</f>
        <v/>
      </c>
      <c r="Q237" s="14">
        <f>Q227+Q236</f>
        <v/>
      </c>
      <c r="R237" s="14">
        <f>R227+R236</f>
        <v/>
      </c>
      <c r="S237" s="14">
        <f>S227+S236</f>
        <v/>
      </c>
      <c r="T237" s="14">
        <f>T227+T236</f>
        <v/>
      </c>
      <c r="U237" s="14">
        <f>U227+U236</f>
        <v/>
      </c>
      <c r="V237" s="14">
        <f>V227+V236</f>
        <v/>
      </c>
      <c r="W237" s="14">
        <f>W227+W236</f>
        <v/>
      </c>
      <c r="X237" s="14">
        <f>X227+X236</f>
        <v/>
      </c>
      <c r="Y237" s="14">
        <f>Y227+Y236</f>
        <v/>
      </c>
      <c r="Z237" s="14">
        <f>Z227+Z236</f>
        <v/>
      </c>
      <c r="AA237" s="14">
        <f>AA227+AA236</f>
        <v/>
      </c>
      <c r="AB237" s="14">
        <f>AB227+AB236</f>
        <v/>
      </c>
      <c r="AC237" s="14">
        <f>AC227+AC236</f>
        <v/>
      </c>
      <c r="AD237" s="14">
        <f>AD227+AD236</f>
        <v/>
      </c>
      <c r="AE237" s="14">
        <f>AE227+AE236</f>
        <v/>
      </c>
      <c r="AF237" s="14">
        <f>AF227+AF236</f>
        <v/>
      </c>
      <c r="AG237" s="14">
        <f>AG227+AG236</f>
        <v/>
      </c>
      <c r="AH237" s="14">
        <f>AH227+AH236</f>
        <v/>
      </c>
      <c r="AI237" s="14">
        <f>AI227+AI236</f>
        <v/>
      </c>
      <c r="AJ237" s="14">
        <f>AJ227+AJ236</f>
        <v/>
      </c>
      <c r="AK237" s="14">
        <f>AK227+AK236</f>
        <v/>
      </c>
      <c r="AL237" s="14">
        <f>AL227+AL236</f>
        <v/>
      </c>
      <c r="AM237" s="14">
        <f>AM227+AM236</f>
        <v/>
      </c>
      <c r="AN237" s="14">
        <f>AN227+AN236</f>
        <v/>
      </c>
      <c r="AO237" s="14">
        <f>AO227+AO236</f>
        <v/>
      </c>
      <c r="AP237" s="14">
        <f>AP227+AP236</f>
        <v/>
      </c>
      <c r="AQ237" s="14">
        <f>AQ227+AQ236</f>
        <v/>
      </c>
      <c r="AR237" s="14">
        <f>AR227+AR236</f>
        <v/>
      </c>
      <c r="AS237" s="14">
        <f>AS227+AS236</f>
        <v/>
      </c>
      <c r="AT237" s="14">
        <f>AT227+AT236</f>
        <v/>
      </c>
      <c r="AU237" s="14">
        <f>AU227+AU236</f>
        <v/>
      </c>
      <c r="AV237" s="14">
        <f>AV227+AV236</f>
        <v/>
      </c>
      <c r="AW237" s="14">
        <f>AW227+AW236</f>
        <v/>
      </c>
      <c r="AX237" s="14">
        <f>AX227+AX236</f>
        <v/>
      </c>
    </row>
    <row r="238" hidden="1" outlineLevel="1">
      <c r="C238" s="1" t="inlineStr">
        <is>
          <t>Unlevered pre-tax cash flow</t>
        </is>
      </c>
      <c r="D238" s="2" t="inlineStr">
        <is>
          <t>EUR k</t>
        </is>
      </c>
      <c r="H238" s="19">
        <f>SUM(J238:AX238)</f>
        <v/>
      </c>
      <c r="J238" s="19">
        <f>J223+J237</f>
        <v/>
      </c>
      <c r="K238" s="19">
        <f>K223+K237</f>
        <v/>
      </c>
      <c r="L238" s="19">
        <f>L223+L237</f>
        <v/>
      </c>
      <c r="M238" s="19">
        <f>M223+M237</f>
        <v/>
      </c>
      <c r="N238" s="19">
        <f>N223+N237</f>
        <v/>
      </c>
      <c r="O238" s="19">
        <f>O223+O237</f>
        <v/>
      </c>
      <c r="P238" s="19">
        <f>P223+P237</f>
        <v/>
      </c>
      <c r="Q238" s="19">
        <f>Q223+Q237</f>
        <v/>
      </c>
      <c r="R238" s="19">
        <f>R223+R237</f>
        <v/>
      </c>
      <c r="S238" s="19">
        <f>S223+S237</f>
        <v/>
      </c>
      <c r="T238" s="19">
        <f>T223+T237</f>
        <v/>
      </c>
      <c r="U238" s="19">
        <f>U223+U237</f>
        <v/>
      </c>
      <c r="V238" s="19">
        <f>V223+V237</f>
        <v/>
      </c>
      <c r="W238" s="19">
        <f>W223+W237</f>
        <v/>
      </c>
      <c r="X238" s="19">
        <f>X223+X237</f>
        <v/>
      </c>
      <c r="Y238" s="19">
        <f>Y223+Y237</f>
        <v/>
      </c>
      <c r="Z238" s="19">
        <f>Z223+Z237</f>
        <v/>
      </c>
      <c r="AA238" s="19">
        <f>AA223+AA237</f>
        <v/>
      </c>
      <c r="AB238" s="19">
        <f>AB223+AB237</f>
        <v/>
      </c>
      <c r="AC238" s="19">
        <f>AC223+AC237</f>
        <v/>
      </c>
      <c r="AD238" s="19">
        <f>AD223+AD237</f>
        <v/>
      </c>
      <c r="AE238" s="19">
        <f>AE223+AE237</f>
        <v/>
      </c>
      <c r="AF238" s="19">
        <f>AF223+AF237</f>
        <v/>
      </c>
      <c r="AG238" s="19">
        <f>AG223+AG237</f>
        <v/>
      </c>
      <c r="AH238" s="19">
        <f>AH223+AH237</f>
        <v/>
      </c>
      <c r="AI238" s="19">
        <f>AI223+AI237</f>
        <v/>
      </c>
      <c r="AJ238" s="19">
        <f>AJ223+AJ237</f>
        <v/>
      </c>
      <c r="AK238" s="19">
        <f>AK223+AK237</f>
        <v/>
      </c>
      <c r="AL238" s="19">
        <f>AL223+AL237</f>
        <v/>
      </c>
      <c r="AM238" s="19">
        <f>AM223+AM237</f>
        <v/>
      </c>
      <c r="AN238" s="19">
        <f>AN223+AN237</f>
        <v/>
      </c>
      <c r="AO238" s="19">
        <f>AO223+AO237</f>
        <v/>
      </c>
      <c r="AP238" s="19">
        <f>AP223+AP237</f>
        <v/>
      </c>
      <c r="AQ238" s="19">
        <f>AQ223+AQ237</f>
        <v/>
      </c>
      <c r="AR238" s="19">
        <f>AR223+AR237</f>
        <v/>
      </c>
      <c r="AS238" s="19">
        <f>AS223+AS237</f>
        <v/>
      </c>
      <c r="AT238" s="19">
        <f>AT223+AT237</f>
        <v/>
      </c>
      <c r="AU238" s="19">
        <f>AU223+AU237</f>
        <v/>
      </c>
      <c r="AV238" s="19">
        <f>AV223+AV237</f>
        <v/>
      </c>
      <c r="AW238" s="19">
        <f>AW223+AW237</f>
        <v/>
      </c>
      <c r="AX238" s="19">
        <f>AX223+AX237</f>
        <v/>
      </c>
    </row>
    <row r="239" hidden="1" outlineLevel="1">
      <c r="C239" s="6" t="inlineStr">
        <is>
          <t>Discount factor to COD (buyer's rate)</t>
        </is>
      </c>
      <c r="D239" s="2" t="inlineStr">
        <is>
          <t>x</t>
        </is>
      </c>
      <c r="J239" s="30">
        <f>(1+Discount_Rate)^((Date_COD-J$210)/Days_In_Year)</f>
        <v/>
      </c>
      <c r="K239" s="30">
        <f>(1+Discount_Rate)^((Date_COD-K$210)/Days_In_Year)</f>
        <v/>
      </c>
      <c r="L239" s="30">
        <f>(1+Discount_Rate)^((Date_COD-L$210)/Days_In_Year)</f>
        <v/>
      </c>
      <c r="M239" s="30">
        <f>(1+Discount_Rate)^((Date_COD-M$210)/Days_In_Year)</f>
        <v/>
      </c>
      <c r="N239" s="30">
        <f>(1+Discount_Rate)^((Date_COD-N$210)/Days_In_Year)</f>
        <v/>
      </c>
      <c r="O239" s="30">
        <f>(1+Discount_Rate)^((Date_COD-O$210)/Days_In_Year)</f>
        <v/>
      </c>
      <c r="P239" s="30">
        <f>(1+Discount_Rate)^((Date_COD-P$210)/Days_In_Year)</f>
        <v/>
      </c>
      <c r="Q239" s="30">
        <f>(1+Discount_Rate)^((Date_COD-Q$210)/Days_In_Year)</f>
        <v/>
      </c>
      <c r="R239" s="30">
        <f>(1+Discount_Rate)^((Date_COD-R$210)/Days_In_Year)</f>
        <v/>
      </c>
      <c r="S239" s="30">
        <f>(1+Discount_Rate)^((Date_COD-S$210)/Days_In_Year)</f>
        <v/>
      </c>
      <c r="T239" s="30">
        <f>(1+Discount_Rate)^((Date_COD-T$210)/Days_In_Year)</f>
        <v/>
      </c>
      <c r="U239" s="30">
        <f>(1+Discount_Rate)^((Date_COD-U$210)/Days_In_Year)</f>
        <v/>
      </c>
      <c r="V239" s="30">
        <f>(1+Discount_Rate)^((Date_COD-V$210)/Days_In_Year)</f>
        <v/>
      </c>
      <c r="W239" s="30">
        <f>(1+Discount_Rate)^((Date_COD-W$210)/Days_In_Year)</f>
        <v/>
      </c>
      <c r="X239" s="30">
        <f>(1+Discount_Rate)^((Date_COD-X$210)/Days_In_Year)</f>
        <v/>
      </c>
      <c r="Y239" s="30">
        <f>(1+Discount_Rate)^((Date_COD-Y$210)/Days_In_Year)</f>
        <v/>
      </c>
      <c r="Z239" s="30">
        <f>(1+Discount_Rate)^((Date_COD-Z$210)/Days_In_Year)</f>
        <v/>
      </c>
      <c r="AA239" s="30">
        <f>(1+Discount_Rate)^((Date_COD-AA$210)/Days_In_Year)</f>
        <v/>
      </c>
      <c r="AB239" s="30">
        <f>(1+Discount_Rate)^((Date_COD-AB$210)/Days_In_Year)</f>
        <v/>
      </c>
      <c r="AC239" s="30">
        <f>(1+Discount_Rate)^((Date_COD-AC$210)/Days_In_Year)</f>
        <v/>
      </c>
      <c r="AD239" s="30">
        <f>(1+Discount_Rate)^((Date_COD-AD$210)/Days_In_Year)</f>
        <v/>
      </c>
      <c r="AE239" s="30">
        <f>(1+Discount_Rate)^((Date_COD-AE$210)/Days_In_Year)</f>
        <v/>
      </c>
      <c r="AF239" s="30">
        <f>(1+Discount_Rate)^((Date_COD-AF$210)/Days_In_Year)</f>
        <v/>
      </c>
      <c r="AG239" s="30">
        <f>(1+Discount_Rate)^((Date_COD-AG$210)/Days_In_Year)</f>
        <v/>
      </c>
      <c r="AH239" s="30">
        <f>(1+Discount_Rate)^((Date_COD-AH$210)/Days_In_Year)</f>
        <v/>
      </c>
      <c r="AI239" s="30">
        <f>(1+Discount_Rate)^((Date_COD-AI$210)/Days_In_Year)</f>
        <v/>
      </c>
      <c r="AJ239" s="30">
        <f>(1+Discount_Rate)^((Date_COD-AJ$210)/Days_In_Year)</f>
        <v/>
      </c>
      <c r="AK239" s="30">
        <f>(1+Discount_Rate)^((Date_COD-AK$210)/Days_In_Year)</f>
        <v/>
      </c>
      <c r="AL239" s="30">
        <f>(1+Discount_Rate)^((Date_COD-AL$210)/Days_In_Year)</f>
        <v/>
      </c>
      <c r="AM239" s="30">
        <f>(1+Discount_Rate)^((Date_COD-AM$210)/Days_In_Year)</f>
        <v/>
      </c>
      <c r="AN239" s="30">
        <f>(1+Discount_Rate)^((Date_COD-AN$210)/Days_In_Year)</f>
        <v/>
      </c>
      <c r="AO239" s="30">
        <f>(1+Discount_Rate)^((Date_COD-AO$210)/Days_In_Year)</f>
        <v/>
      </c>
      <c r="AP239" s="30">
        <f>(1+Discount_Rate)^((Date_COD-AP$210)/Days_In_Year)</f>
        <v/>
      </c>
      <c r="AQ239" s="30">
        <f>(1+Discount_Rate)^((Date_COD-AQ$210)/Days_In_Year)</f>
        <v/>
      </c>
      <c r="AR239" s="30">
        <f>(1+Discount_Rate)^((Date_COD-AR$210)/Days_In_Year)</f>
        <v/>
      </c>
      <c r="AS239" s="30">
        <f>(1+Discount_Rate)^((Date_COD-AS$210)/Days_In_Year)</f>
        <v/>
      </c>
      <c r="AT239" s="30">
        <f>(1+Discount_Rate)^((Date_COD-AT$210)/Days_In_Year)</f>
        <v/>
      </c>
      <c r="AU239" s="30">
        <f>(1+Discount_Rate)^((Date_COD-AU$210)/Days_In_Year)</f>
        <v/>
      </c>
      <c r="AV239" s="30">
        <f>(1+Discount_Rate)^((Date_COD-AV$210)/Days_In_Year)</f>
        <v/>
      </c>
      <c r="AW239" s="30">
        <f>(1+Discount_Rate)^((Date_COD-AW$210)/Days_In_Year)</f>
        <v/>
      </c>
      <c r="AX239" s="30">
        <f>(1+Discount_Rate)^((Date_COD-AX$210)/Days_In_Year)</f>
        <v/>
      </c>
    </row>
    <row r="240" hidden="1" outlineLevel="1">
      <c r="C240" s="6" t="inlineStr">
        <is>
          <t>EBITDA valued at COD (total = COD price)</t>
        </is>
      </c>
      <c r="D240" s="2" t="inlineStr">
        <is>
          <t>EUR k</t>
        </is>
      </c>
      <c r="H240" s="8">
        <f>SUM(J240:AX240)</f>
        <v/>
      </c>
      <c r="J240" s="8">
        <f>J237*J239</f>
        <v/>
      </c>
      <c r="K240" s="8">
        <f>K237*K239</f>
        <v/>
      </c>
      <c r="L240" s="8">
        <f>L237*L239</f>
        <v/>
      </c>
      <c r="M240" s="8">
        <f>M237*M239</f>
        <v/>
      </c>
      <c r="N240" s="8">
        <f>N237*N239</f>
        <v/>
      </c>
      <c r="O240" s="8">
        <f>O237*O239</f>
        <v/>
      </c>
      <c r="P240" s="8">
        <f>P237*P239</f>
        <v/>
      </c>
      <c r="Q240" s="8">
        <f>Q237*Q239</f>
        <v/>
      </c>
      <c r="R240" s="8">
        <f>R237*R239</f>
        <v/>
      </c>
      <c r="S240" s="8">
        <f>S237*S239</f>
        <v/>
      </c>
      <c r="T240" s="8">
        <f>T237*T239</f>
        <v/>
      </c>
      <c r="U240" s="8">
        <f>U237*U239</f>
        <v/>
      </c>
      <c r="V240" s="8">
        <f>V237*V239</f>
        <v/>
      </c>
      <c r="W240" s="8">
        <f>W237*W239</f>
        <v/>
      </c>
      <c r="X240" s="8">
        <f>X237*X239</f>
        <v/>
      </c>
      <c r="Y240" s="8">
        <f>Y237*Y239</f>
        <v/>
      </c>
      <c r="Z240" s="8">
        <f>Z237*Z239</f>
        <v/>
      </c>
      <c r="AA240" s="8">
        <f>AA237*AA239</f>
        <v/>
      </c>
      <c r="AB240" s="8">
        <f>AB237*AB239</f>
        <v/>
      </c>
      <c r="AC240" s="8">
        <f>AC237*AC239</f>
        <v/>
      </c>
      <c r="AD240" s="8">
        <f>AD237*AD239</f>
        <v/>
      </c>
      <c r="AE240" s="8">
        <f>AE237*AE239</f>
        <v/>
      </c>
      <c r="AF240" s="8">
        <f>AF237*AF239</f>
        <v/>
      </c>
      <c r="AG240" s="8">
        <f>AG237*AG239</f>
        <v/>
      </c>
      <c r="AH240" s="8">
        <f>AH237*AH239</f>
        <v/>
      </c>
      <c r="AI240" s="8">
        <f>AI237*AI239</f>
        <v/>
      </c>
      <c r="AJ240" s="8">
        <f>AJ237*AJ239</f>
        <v/>
      </c>
      <c r="AK240" s="8">
        <f>AK237*AK239</f>
        <v/>
      </c>
      <c r="AL240" s="8">
        <f>AL237*AL239</f>
        <v/>
      </c>
      <c r="AM240" s="8">
        <f>AM237*AM239</f>
        <v/>
      </c>
      <c r="AN240" s="8">
        <f>AN237*AN239</f>
        <v/>
      </c>
      <c r="AO240" s="8">
        <f>AO237*AO239</f>
        <v/>
      </c>
      <c r="AP240" s="8">
        <f>AP237*AP239</f>
        <v/>
      </c>
      <c r="AQ240" s="8">
        <f>AQ237*AQ239</f>
        <v/>
      </c>
      <c r="AR240" s="8">
        <f>AR237*AR239</f>
        <v/>
      </c>
      <c r="AS240" s="8">
        <f>AS237*AS239</f>
        <v/>
      </c>
      <c r="AT240" s="8">
        <f>AT237*AT239</f>
        <v/>
      </c>
      <c r="AU240" s="8">
        <f>AU237*AU239</f>
        <v/>
      </c>
      <c r="AV240" s="8">
        <f>AV237*AV239</f>
        <v/>
      </c>
      <c r="AW240" s="8">
        <f>AW237*AW239</f>
        <v/>
      </c>
      <c r="AX240" s="8">
        <f>AX237*AX239</f>
        <v/>
      </c>
    </row>
    <row r="241" hidden="1" outlineLevel="1">
      <c r="C241" s="1" t="inlineStr">
        <is>
          <t>COD exit: FEP cash flow (to COD, price and securities at COD)</t>
        </is>
      </c>
      <c r="D241" s="2" t="inlineStr">
        <is>
          <t>EUR k</t>
        </is>
      </c>
      <c r="H241" s="19">
        <f>SUM(J241:AX241)</f>
        <v/>
      </c>
      <c r="J241" s="19">
        <f>J223*(J213&lt;=0)+J218*($H240+$E$62+$E$63)</f>
        <v/>
      </c>
      <c r="K241" s="19">
        <f>K223*(K213&lt;=0)+K218*($H240+$E$62+$E$63)</f>
        <v/>
      </c>
      <c r="L241" s="19">
        <f>L223*(L213&lt;=0)+L218*($H240+$E$62+$E$63)</f>
        <v/>
      </c>
      <c r="M241" s="19">
        <f>M223*(M213&lt;=0)+M218*($H240+$E$62+$E$63)</f>
        <v/>
      </c>
      <c r="N241" s="19">
        <f>N223*(N213&lt;=0)+N218*($H240+$E$62+$E$63)</f>
        <v/>
      </c>
      <c r="O241" s="19">
        <f>O223*(O213&lt;=0)+O218*($H240+$E$62+$E$63)</f>
        <v/>
      </c>
      <c r="P241" s="19">
        <f>P223*(P213&lt;=0)+P218*($H240+$E$62+$E$63)</f>
        <v/>
      </c>
      <c r="Q241" s="19">
        <f>Q223*(Q213&lt;=0)+Q218*($H240+$E$62+$E$63)</f>
        <v/>
      </c>
      <c r="R241" s="19">
        <f>R223*(R213&lt;=0)+R218*($H240+$E$62+$E$63)</f>
        <v/>
      </c>
      <c r="S241" s="19">
        <f>S223*(S213&lt;=0)+S218*($H240+$E$62+$E$63)</f>
        <v/>
      </c>
      <c r="T241" s="19">
        <f>T223*(T213&lt;=0)+T218*($H240+$E$62+$E$63)</f>
        <v/>
      </c>
      <c r="U241" s="19">
        <f>U223*(U213&lt;=0)+U218*($H240+$E$62+$E$63)</f>
        <v/>
      </c>
      <c r="V241" s="19">
        <f>V223*(V213&lt;=0)+V218*($H240+$E$62+$E$63)</f>
        <v/>
      </c>
      <c r="W241" s="19">
        <f>W223*(W213&lt;=0)+W218*($H240+$E$62+$E$63)</f>
        <v/>
      </c>
      <c r="X241" s="19">
        <f>X223*(X213&lt;=0)+X218*($H240+$E$62+$E$63)</f>
        <v/>
      </c>
      <c r="Y241" s="19">
        <f>Y223*(Y213&lt;=0)+Y218*($H240+$E$62+$E$63)</f>
        <v/>
      </c>
      <c r="Z241" s="19">
        <f>Z223*(Z213&lt;=0)+Z218*($H240+$E$62+$E$63)</f>
        <v/>
      </c>
      <c r="AA241" s="19">
        <f>AA223*(AA213&lt;=0)+AA218*($H240+$E$62+$E$63)</f>
        <v/>
      </c>
      <c r="AB241" s="19">
        <f>AB223*(AB213&lt;=0)+AB218*($H240+$E$62+$E$63)</f>
        <v/>
      </c>
      <c r="AC241" s="19">
        <f>AC223*(AC213&lt;=0)+AC218*($H240+$E$62+$E$63)</f>
        <v/>
      </c>
      <c r="AD241" s="19">
        <f>AD223*(AD213&lt;=0)+AD218*($H240+$E$62+$E$63)</f>
        <v/>
      </c>
      <c r="AE241" s="19">
        <f>AE223*(AE213&lt;=0)+AE218*($H240+$E$62+$E$63)</f>
        <v/>
      </c>
      <c r="AF241" s="19">
        <f>AF223*(AF213&lt;=0)+AF218*($H240+$E$62+$E$63)</f>
        <v/>
      </c>
      <c r="AG241" s="19">
        <f>AG223*(AG213&lt;=0)+AG218*($H240+$E$62+$E$63)</f>
        <v/>
      </c>
      <c r="AH241" s="19">
        <f>AH223*(AH213&lt;=0)+AH218*($H240+$E$62+$E$63)</f>
        <v/>
      </c>
      <c r="AI241" s="19">
        <f>AI223*(AI213&lt;=0)+AI218*($H240+$E$62+$E$63)</f>
        <v/>
      </c>
      <c r="AJ241" s="19">
        <f>AJ223*(AJ213&lt;=0)+AJ218*($H240+$E$62+$E$63)</f>
        <v/>
      </c>
      <c r="AK241" s="19">
        <f>AK223*(AK213&lt;=0)+AK218*($H240+$E$62+$E$63)</f>
        <v/>
      </c>
      <c r="AL241" s="19">
        <f>AL223*(AL213&lt;=0)+AL218*($H240+$E$62+$E$63)</f>
        <v/>
      </c>
      <c r="AM241" s="19">
        <f>AM223*(AM213&lt;=0)+AM218*($H240+$E$62+$E$63)</f>
        <v/>
      </c>
      <c r="AN241" s="19">
        <f>AN223*(AN213&lt;=0)+AN218*($H240+$E$62+$E$63)</f>
        <v/>
      </c>
      <c r="AO241" s="19">
        <f>AO223*(AO213&lt;=0)+AO218*($H240+$E$62+$E$63)</f>
        <v/>
      </c>
      <c r="AP241" s="19">
        <f>AP223*(AP213&lt;=0)+AP218*($H240+$E$62+$E$63)</f>
        <v/>
      </c>
      <c r="AQ241" s="19">
        <f>AQ223*(AQ213&lt;=0)+AQ218*($H240+$E$62+$E$63)</f>
        <v/>
      </c>
      <c r="AR241" s="19">
        <f>AR223*(AR213&lt;=0)+AR218*($H240+$E$62+$E$63)</f>
        <v/>
      </c>
      <c r="AS241" s="19">
        <f>AS223*(AS213&lt;=0)+AS218*($H240+$E$62+$E$63)</f>
        <v/>
      </c>
      <c r="AT241" s="19">
        <f>AT223*(AT213&lt;=0)+AT218*($H240+$E$62+$E$63)</f>
        <v/>
      </c>
      <c r="AU241" s="19">
        <f>AU223*(AU213&lt;=0)+AU218*($H240+$E$62+$E$63)</f>
        <v/>
      </c>
      <c r="AV241" s="19">
        <f>AV223*(AV213&lt;=0)+AV218*($H240+$E$62+$E$63)</f>
        <v/>
      </c>
      <c r="AW241" s="19">
        <f>AW223*(AW213&lt;=0)+AW218*($H240+$E$62+$E$63)</f>
        <v/>
      </c>
      <c r="AX241" s="19">
        <f>AX223*(AX213&lt;=0)+AX218*($H240+$E$62+$E$63)</f>
        <v/>
      </c>
    </row>
    <row r="242" hidden="1" outlineLevel="1"/>
    <row r="243" hidden="1" outlineLevel="1">
      <c r="B243" s="4" t="inlineStr">
        <is>
          <t>x</t>
        </is>
      </c>
      <c r="C243" s="4" t="inlineStr">
        <is>
          <t>Iváncsa: annual cash flow (EUR k)</t>
        </is>
      </c>
      <c r="D243" s="4" t="n"/>
      <c r="E243" s="5" t="n"/>
      <c r="F243" s="5" t="inlineStr">
        <is>
          <t>Value</t>
        </is>
      </c>
      <c r="G243" s="5" t="n"/>
      <c r="H243" s="5" t="inlineStr">
        <is>
          <t>Total</t>
        </is>
      </c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  <c r="AP243" s="5" t="n"/>
      <c r="AQ243" s="5" t="n"/>
      <c r="AR243" s="5" t="n"/>
      <c r="AS243" s="5" t="n"/>
      <c r="AT243" s="5" t="n"/>
      <c r="AU243" s="5" t="n"/>
      <c r="AV243" s="5" t="n"/>
      <c r="AW243" s="5" t="n"/>
      <c r="AX243" s="5" t="n"/>
    </row>
    <row r="244" hidden="1" outlineLevel="1">
      <c r="C244" s="6" t="inlineStr">
        <is>
          <t>Years from the COD year</t>
        </is>
      </c>
      <c r="D244" s="2" t="inlineStr">
        <is>
          <t>years</t>
        </is>
      </c>
      <c r="J244" s="27">
        <f>J$209-YEAR(Date_COD)</f>
        <v/>
      </c>
      <c r="K244" s="27">
        <f>K$209-YEAR(Date_COD)</f>
        <v/>
      </c>
      <c r="L244" s="27">
        <f>L$209-YEAR(Date_COD)</f>
        <v/>
      </c>
      <c r="M244" s="27">
        <f>M$209-YEAR(Date_COD)</f>
        <v/>
      </c>
      <c r="N244" s="27">
        <f>N$209-YEAR(Date_COD)</f>
        <v/>
      </c>
      <c r="O244" s="27">
        <f>O$209-YEAR(Date_COD)</f>
        <v/>
      </c>
      <c r="P244" s="27">
        <f>P$209-YEAR(Date_COD)</f>
        <v/>
      </c>
      <c r="Q244" s="27">
        <f>Q$209-YEAR(Date_COD)</f>
        <v/>
      </c>
      <c r="R244" s="27">
        <f>R$209-YEAR(Date_COD)</f>
        <v/>
      </c>
      <c r="S244" s="27">
        <f>S$209-YEAR(Date_COD)</f>
        <v/>
      </c>
      <c r="T244" s="27">
        <f>T$209-YEAR(Date_COD)</f>
        <v/>
      </c>
      <c r="U244" s="27">
        <f>U$209-YEAR(Date_COD)</f>
        <v/>
      </c>
      <c r="V244" s="27">
        <f>V$209-YEAR(Date_COD)</f>
        <v/>
      </c>
      <c r="W244" s="27">
        <f>W$209-YEAR(Date_COD)</f>
        <v/>
      </c>
      <c r="X244" s="27">
        <f>X$209-YEAR(Date_COD)</f>
        <v/>
      </c>
      <c r="Y244" s="27">
        <f>Y$209-YEAR(Date_COD)</f>
        <v/>
      </c>
      <c r="Z244" s="27">
        <f>Z$209-YEAR(Date_COD)</f>
        <v/>
      </c>
      <c r="AA244" s="27">
        <f>AA$209-YEAR(Date_COD)</f>
        <v/>
      </c>
      <c r="AB244" s="27">
        <f>AB$209-YEAR(Date_COD)</f>
        <v/>
      </c>
      <c r="AC244" s="27">
        <f>AC$209-YEAR(Date_COD)</f>
        <v/>
      </c>
      <c r="AD244" s="27">
        <f>AD$209-YEAR(Date_COD)</f>
        <v/>
      </c>
      <c r="AE244" s="27">
        <f>AE$209-YEAR(Date_COD)</f>
        <v/>
      </c>
      <c r="AF244" s="27">
        <f>AF$209-YEAR(Date_COD)</f>
        <v/>
      </c>
      <c r="AG244" s="27">
        <f>AG$209-YEAR(Date_COD)</f>
        <v/>
      </c>
      <c r="AH244" s="27">
        <f>AH$209-YEAR(Date_COD)</f>
        <v/>
      </c>
      <c r="AI244" s="27">
        <f>AI$209-YEAR(Date_COD)</f>
        <v/>
      </c>
      <c r="AJ244" s="27">
        <f>AJ$209-YEAR(Date_COD)</f>
        <v/>
      </c>
      <c r="AK244" s="27">
        <f>AK$209-YEAR(Date_COD)</f>
        <v/>
      </c>
      <c r="AL244" s="27">
        <f>AL$209-YEAR(Date_COD)</f>
        <v/>
      </c>
      <c r="AM244" s="27">
        <f>AM$209-YEAR(Date_COD)</f>
        <v/>
      </c>
      <c r="AN244" s="27">
        <f>AN$209-YEAR(Date_COD)</f>
        <v/>
      </c>
      <c r="AO244" s="27">
        <f>AO$209-YEAR(Date_COD)</f>
        <v/>
      </c>
      <c r="AP244" s="27">
        <f>AP$209-YEAR(Date_COD)</f>
        <v/>
      </c>
      <c r="AQ244" s="27">
        <f>AQ$209-YEAR(Date_COD)</f>
        <v/>
      </c>
      <c r="AR244" s="27">
        <f>AR$209-YEAR(Date_COD)</f>
        <v/>
      </c>
      <c r="AS244" s="27">
        <f>AS$209-YEAR(Date_COD)</f>
        <v/>
      </c>
      <c r="AT244" s="27">
        <f>AT$209-YEAR(Date_COD)</f>
        <v/>
      </c>
      <c r="AU244" s="27">
        <f>AU$209-YEAR(Date_COD)</f>
        <v/>
      </c>
      <c r="AV244" s="27">
        <f>AV$209-YEAR(Date_COD)</f>
        <v/>
      </c>
      <c r="AW244" s="27">
        <f>AW$209-YEAR(Date_COD)</f>
        <v/>
      </c>
      <c r="AX244" s="27">
        <f>AX$209-YEAR(Date_COD)</f>
        <v/>
      </c>
    </row>
    <row r="245" hidden="1" outlineLevel="1">
      <c r="C245" s="6" t="inlineStr">
        <is>
          <t>Construction months by year end (value: construction period)</t>
        </is>
      </c>
      <c r="D245" s="2" t="inlineStr">
        <is>
          <t>months</t>
        </is>
      </c>
      <c r="F245" s="27">
        <f>(YEAR(Date_COD)-YEAR(Date_NTP))*Months_In_Year+MONTH(Date_COD)-MONTH(Date_NTP)</f>
        <v/>
      </c>
      <c r="J245" s="27">
        <f>(J$209+1-YEAR(Date_NTP))*Months_In_Year-MONTH(Date_NTP)</f>
        <v/>
      </c>
      <c r="K245" s="27">
        <f>(K$209+1-YEAR(Date_NTP))*Months_In_Year-MONTH(Date_NTP)</f>
        <v/>
      </c>
      <c r="L245" s="27">
        <f>(L$209+1-YEAR(Date_NTP))*Months_In_Year-MONTH(Date_NTP)</f>
        <v/>
      </c>
      <c r="M245" s="27">
        <f>(M$209+1-YEAR(Date_NTP))*Months_In_Year-MONTH(Date_NTP)</f>
        <v/>
      </c>
      <c r="N245" s="27">
        <f>(N$209+1-YEAR(Date_NTP))*Months_In_Year-MONTH(Date_NTP)</f>
        <v/>
      </c>
      <c r="O245" s="27">
        <f>(O$209+1-YEAR(Date_NTP))*Months_In_Year-MONTH(Date_NTP)</f>
        <v/>
      </c>
      <c r="P245" s="27">
        <f>(P$209+1-YEAR(Date_NTP))*Months_In_Year-MONTH(Date_NTP)</f>
        <v/>
      </c>
      <c r="Q245" s="27">
        <f>(Q$209+1-YEAR(Date_NTP))*Months_In_Year-MONTH(Date_NTP)</f>
        <v/>
      </c>
      <c r="R245" s="27">
        <f>(R$209+1-YEAR(Date_NTP))*Months_In_Year-MONTH(Date_NTP)</f>
        <v/>
      </c>
      <c r="S245" s="27">
        <f>(S$209+1-YEAR(Date_NTP))*Months_In_Year-MONTH(Date_NTP)</f>
        <v/>
      </c>
      <c r="T245" s="27">
        <f>(T$209+1-YEAR(Date_NTP))*Months_In_Year-MONTH(Date_NTP)</f>
        <v/>
      </c>
      <c r="U245" s="27">
        <f>(U$209+1-YEAR(Date_NTP))*Months_In_Year-MONTH(Date_NTP)</f>
        <v/>
      </c>
      <c r="V245" s="27">
        <f>(V$209+1-YEAR(Date_NTP))*Months_In_Year-MONTH(Date_NTP)</f>
        <v/>
      </c>
      <c r="W245" s="27">
        <f>(W$209+1-YEAR(Date_NTP))*Months_In_Year-MONTH(Date_NTP)</f>
        <v/>
      </c>
      <c r="X245" s="27">
        <f>(X$209+1-YEAR(Date_NTP))*Months_In_Year-MONTH(Date_NTP)</f>
        <v/>
      </c>
      <c r="Y245" s="27">
        <f>(Y$209+1-YEAR(Date_NTP))*Months_In_Year-MONTH(Date_NTP)</f>
        <v/>
      </c>
      <c r="Z245" s="27">
        <f>(Z$209+1-YEAR(Date_NTP))*Months_In_Year-MONTH(Date_NTP)</f>
        <v/>
      </c>
      <c r="AA245" s="27">
        <f>(AA$209+1-YEAR(Date_NTP))*Months_In_Year-MONTH(Date_NTP)</f>
        <v/>
      </c>
      <c r="AB245" s="27">
        <f>(AB$209+1-YEAR(Date_NTP))*Months_In_Year-MONTH(Date_NTP)</f>
        <v/>
      </c>
      <c r="AC245" s="27">
        <f>(AC$209+1-YEAR(Date_NTP))*Months_In_Year-MONTH(Date_NTP)</f>
        <v/>
      </c>
      <c r="AD245" s="27">
        <f>(AD$209+1-YEAR(Date_NTP))*Months_In_Year-MONTH(Date_NTP)</f>
        <v/>
      </c>
      <c r="AE245" s="27">
        <f>(AE$209+1-YEAR(Date_NTP))*Months_In_Year-MONTH(Date_NTP)</f>
        <v/>
      </c>
      <c r="AF245" s="27">
        <f>(AF$209+1-YEAR(Date_NTP))*Months_In_Year-MONTH(Date_NTP)</f>
        <v/>
      </c>
      <c r="AG245" s="27">
        <f>(AG$209+1-YEAR(Date_NTP))*Months_In_Year-MONTH(Date_NTP)</f>
        <v/>
      </c>
      <c r="AH245" s="27">
        <f>(AH$209+1-YEAR(Date_NTP))*Months_In_Year-MONTH(Date_NTP)</f>
        <v/>
      </c>
      <c r="AI245" s="27">
        <f>(AI$209+1-YEAR(Date_NTP))*Months_In_Year-MONTH(Date_NTP)</f>
        <v/>
      </c>
      <c r="AJ245" s="27">
        <f>(AJ$209+1-YEAR(Date_NTP))*Months_In_Year-MONTH(Date_NTP)</f>
        <v/>
      </c>
      <c r="AK245" s="27">
        <f>(AK$209+1-YEAR(Date_NTP))*Months_In_Year-MONTH(Date_NTP)</f>
        <v/>
      </c>
      <c r="AL245" s="27">
        <f>(AL$209+1-YEAR(Date_NTP))*Months_In_Year-MONTH(Date_NTP)</f>
        <v/>
      </c>
      <c r="AM245" s="27">
        <f>(AM$209+1-YEAR(Date_NTP))*Months_In_Year-MONTH(Date_NTP)</f>
        <v/>
      </c>
      <c r="AN245" s="27">
        <f>(AN$209+1-YEAR(Date_NTP))*Months_In_Year-MONTH(Date_NTP)</f>
        <v/>
      </c>
      <c r="AO245" s="27">
        <f>(AO$209+1-YEAR(Date_NTP))*Months_In_Year-MONTH(Date_NTP)</f>
        <v/>
      </c>
      <c r="AP245" s="27">
        <f>(AP$209+1-YEAR(Date_NTP))*Months_In_Year-MONTH(Date_NTP)</f>
        <v/>
      </c>
      <c r="AQ245" s="27">
        <f>(AQ$209+1-YEAR(Date_NTP))*Months_In_Year-MONTH(Date_NTP)</f>
        <v/>
      </c>
      <c r="AR245" s="27">
        <f>(AR$209+1-YEAR(Date_NTP))*Months_In_Year-MONTH(Date_NTP)</f>
        <v/>
      </c>
      <c r="AS245" s="27">
        <f>(AS$209+1-YEAR(Date_NTP))*Months_In_Year-MONTH(Date_NTP)</f>
        <v/>
      </c>
      <c r="AT245" s="27">
        <f>(AT$209+1-YEAR(Date_NTP))*Months_In_Year-MONTH(Date_NTP)</f>
        <v/>
      </c>
      <c r="AU245" s="27">
        <f>(AU$209+1-YEAR(Date_NTP))*Months_In_Year-MONTH(Date_NTP)</f>
        <v/>
      </c>
      <c r="AV245" s="27">
        <f>(AV$209+1-YEAR(Date_NTP))*Months_In_Year-MONTH(Date_NTP)</f>
        <v/>
      </c>
      <c r="AW245" s="27">
        <f>(AW$209+1-YEAR(Date_NTP))*Months_In_Year-MONTH(Date_NTP)</f>
        <v/>
      </c>
      <c r="AX245" s="27">
        <f>(AX$209+1-YEAR(Date_NTP))*Months_In_Year-MONTH(Date_NTP)</f>
        <v/>
      </c>
    </row>
    <row r="246" hidden="1" outlineLevel="1">
      <c r="C246" s="6" t="inlineStr">
        <is>
          <t>Construction share of the year (NTP to COD)</t>
        </is>
      </c>
      <c r="D246" s="2" t="inlineStr">
        <is>
          <t>%</t>
        </is>
      </c>
      <c r="H246" s="23">
        <f>SUM(J246:AX246)</f>
        <v/>
      </c>
      <c r="J246" s="23">
        <f>MAX(0,MIN(J245,$F245)-MAX(J245-Months_In_Year,0))/$F245</f>
        <v/>
      </c>
      <c r="K246" s="23">
        <f>MAX(0,MIN(K245,$F245)-MAX(K245-Months_In_Year,0))/$F245</f>
        <v/>
      </c>
      <c r="L246" s="23">
        <f>MAX(0,MIN(L245,$F245)-MAX(L245-Months_In_Year,0))/$F245</f>
        <v/>
      </c>
      <c r="M246" s="23">
        <f>MAX(0,MIN(M245,$F245)-MAX(M245-Months_In_Year,0))/$F245</f>
        <v/>
      </c>
      <c r="N246" s="23">
        <f>MAX(0,MIN(N245,$F245)-MAX(N245-Months_In_Year,0))/$F245</f>
        <v/>
      </c>
      <c r="O246" s="23">
        <f>MAX(0,MIN(O245,$F245)-MAX(O245-Months_In_Year,0))/$F245</f>
        <v/>
      </c>
      <c r="P246" s="23">
        <f>MAX(0,MIN(P245,$F245)-MAX(P245-Months_In_Year,0))/$F245</f>
        <v/>
      </c>
      <c r="Q246" s="23">
        <f>MAX(0,MIN(Q245,$F245)-MAX(Q245-Months_In_Year,0))/$F245</f>
        <v/>
      </c>
      <c r="R246" s="23">
        <f>MAX(0,MIN(R245,$F245)-MAX(R245-Months_In_Year,0))/$F245</f>
        <v/>
      </c>
      <c r="S246" s="23">
        <f>MAX(0,MIN(S245,$F245)-MAX(S245-Months_In_Year,0))/$F245</f>
        <v/>
      </c>
      <c r="T246" s="23">
        <f>MAX(0,MIN(T245,$F245)-MAX(T245-Months_In_Year,0))/$F245</f>
        <v/>
      </c>
      <c r="U246" s="23">
        <f>MAX(0,MIN(U245,$F245)-MAX(U245-Months_In_Year,0))/$F245</f>
        <v/>
      </c>
      <c r="V246" s="23">
        <f>MAX(0,MIN(V245,$F245)-MAX(V245-Months_In_Year,0))/$F245</f>
        <v/>
      </c>
      <c r="W246" s="23">
        <f>MAX(0,MIN(W245,$F245)-MAX(W245-Months_In_Year,0))/$F245</f>
        <v/>
      </c>
      <c r="X246" s="23">
        <f>MAX(0,MIN(X245,$F245)-MAX(X245-Months_In_Year,0))/$F245</f>
        <v/>
      </c>
      <c r="Y246" s="23">
        <f>MAX(0,MIN(Y245,$F245)-MAX(Y245-Months_In_Year,0))/$F245</f>
        <v/>
      </c>
      <c r="Z246" s="23">
        <f>MAX(0,MIN(Z245,$F245)-MAX(Z245-Months_In_Year,0))/$F245</f>
        <v/>
      </c>
      <c r="AA246" s="23">
        <f>MAX(0,MIN(AA245,$F245)-MAX(AA245-Months_In_Year,0))/$F245</f>
        <v/>
      </c>
      <c r="AB246" s="23">
        <f>MAX(0,MIN(AB245,$F245)-MAX(AB245-Months_In_Year,0))/$F245</f>
        <v/>
      </c>
      <c r="AC246" s="23">
        <f>MAX(0,MIN(AC245,$F245)-MAX(AC245-Months_In_Year,0))/$F245</f>
        <v/>
      </c>
      <c r="AD246" s="23">
        <f>MAX(0,MIN(AD245,$F245)-MAX(AD245-Months_In_Year,0))/$F245</f>
        <v/>
      </c>
      <c r="AE246" s="23">
        <f>MAX(0,MIN(AE245,$F245)-MAX(AE245-Months_In_Year,0))/$F245</f>
        <v/>
      </c>
      <c r="AF246" s="23">
        <f>MAX(0,MIN(AF245,$F245)-MAX(AF245-Months_In_Year,0))/$F245</f>
        <v/>
      </c>
      <c r="AG246" s="23">
        <f>MAX(0,MIN(AG245,$F245)-MAX(AG245-Months_In_Year,0))/$F245</f>
        <v/>
      </c>
      <c r="AH246" s="23">
        <f>MAX(0,MIN(AH245,$F245)-MAX(AH245-Months_In_Year,0))/$F245</f>
        <v/>
      </c>
      <c r="AI246" s="23">
        <f>MAX(0,MIN(AI245,$F245)-MAX(AI245-Months_In_Year,0))/$F245</f>
        <v/>
      </c>
      <c r="AJ246" s="23">
        <f>MAX(0,MIN(AJ245,$F245)-MAX(AJ245-Months_In_Year,0))/$F245</f>
        <v/>
      </c>
      <c r="AK246" s="23">
        <f>MAX(0,MIN(AK245,$F245)-MAX(AK245-Months_In_Year,0))/$F245</f>
        <v/>
      </c>
      <c r="AL246" s="23">
        <f>MAX(0,MIN(AL245,$F245)-MAX(AL245-Months_In_Year,0))/$F245</f>
        <v/>
      </c>
      <c r="AM246" s="23">
        <f>MAX(0,MIN(AM245,$F245)-MAX(AM245-Months_In_Year,0))/$F245</f>
        <v/>
      </c>
      <c r="AN246" s="23">
        <f>MAX(0,MIN(AN245,$F245)-MAX(AN245-Months_In_Year,0))/$F245</f>
        <v/>
      </c>
      <c r="AO246" s="23">
        <f>MAX(0,MIN(AO245,$F245)-MAX(AO245-Months_In_Year,0))/$F245</f>
        <v/>
      </c>
      <c r="AP246" s="23">
        <f>MAX(0,MIN(AP245,$F245)-MAX(AP245-Months_In_Year,0))/$F245</f>
        <v/>
      </c>
      <c r="AQ246" s="23">
        <f>MAX(0,MIN(AQ245,$F245)-MAX(AQ245-Months_In_Year,0))/$F245</f>
        <v/>
      </c>
      <c r="AR246" s="23">
        <f>MAX(0,MIN(AR245,$F245)-MAX(AR245-Months_In_Year,0))/$F245</f>
        <v/>
      </c>
      <c r="AS246" s="23">
        <f>MAX(0,MIN(AS245,$F245)-MAX(AS245-Months_In_Year,0))/$F245</f>
        <v/>
      </c>
      <c r="AT246" s="23">
        <f>MAX(0,MIN(AT245,$F245)-MAX(AT245-Months_In_Year,0))/$F245</f>
        <v/>
      </c>
      <c r="AU246" s="23">
        <f>MAX(0,MIN(AU245,$F245)-MAX(AU245-Months_In_Year,0))/$F245</f>
        <v/>
      </c>
      <c r="AV246" s="23">
        <f>MAX(0,MIN(AV245,$F245)-MAX(AV245-Months_In_Year,0))/$F245</f>
        <v/>
      </c>
      <c r="AW246" s="23">
        <f>MAX(0,MIN(AW245,$F245)-MAX(AW245-Months_In_Year,0))/$F245</f>
        <v/>
      </c>
      <c r="AX246" s="23">
        <f>MAX(0,MIN(AX245,$F245)-MAX(AX245-Months_In_Year,0))/$F245</f>
        <v/>
      </c>
    </row>
    <row r="247" hidden="1" outlineLevel="1">
      <c r="C247" s="6" t="inlineStr">
        <is>
          <t>Months operated by year end (value: operating life)</t>
        </is>
      </c>
      <c r="D247" s="2" t="inlineStr">
        <is>
          <t>months</t>
        </is>
      </c>
      <c r="F247" s="27">
        <f>Life*Months_In_Year</f>
        <v/>
      </c>
      <c r="J247" s="27">
        <f>(J$209+1-YEAR(Date_COD))*Months_In_Year-MONTH(Date_COD)</f>
        <v/>
      </c>
      <c r="K247" s="27">
        <f>(K$209+1-YEAR(Date_COD))*Months_In_Year-MONTH(Date_COD)</f>
        <v/>
      </c>
      <c r="L247" s="27">
        <f>(L$209+1-YEAR(Date_COD))*Months_In_Year-MONTH(Date_COD)</f>
        <v/>
      </c>
      <c r="M247" s="27">
        <f>(M$209+1-YEAR(Date_COD))*Months_In_Year-MONTH(Date_COD)</f>
        <v/>
      </c>
      <c r="N247" s="27">
        <f>(N$209+1-YEAR(Date_COD))*Months_In_Year-MONTH(Date_COD)</f>
        <v/>
      </c>
      <c r="O247" s="27">
        <f>(O$209+1-YEAR(Date_COD))*Months_In_Year-MONTH(Date_COD)</f>
        <v/>
      </c>
      <c r="P247" s="27">
        <f>(P$209+1-YEAR(Date_COD))*Months_In_Year-MONTH(Date_COD)</f>
        <v/>
      </c>
      <c r="Q247" s="27">
        <f>(Q$209+1-YEAR(Date_COD))*Months_In_Year-MONTH(Date_COD)</f>
        <v/>
      </c>
      <c r="R247" s="27">
        <f>(R$209+1-YEAR(Date_COD))*Months_In_Year-MONTH(Date_COD)</f>
        <v/>
      </c>
      <c r="S247" s="27">
        <f>(S$209+1-YEAR(Date_COD))*Months_In_Year-MONTH(Date_COD)</f>
        <v/>
      </c>
      <c r="T247" s="27">
        <f>(T$209+1-YEAR(Date_COD))*Months_In_Year-MONTH(Date_COD)</f>
        <v/>
      </c>
      <c r="U247" s="27">
        <f>(U$209+1-YEAR(Date_COD))*Months_In_Year-MONTH(Date_COD)</f>
        <v/>
      </c>
      <c r="V247" s="27">
        <f>(V$209+1-YEAR(Date_COD))*Months_In_Year-MONTH(Date_COD)</f>
        <v/>
      </c>
      <c r="W247" s="27">
        <f>(W$209+1-YEAR(Date_COD))*Months_In_Year-MONTH(Date_COD)</f>
        <v/>
      </c>
      <c r="X247" s="27">
        <f>(X$209+1-YEAR(Date_COD))*Months_In_Year-MONTH(Date_COD)</f>
        <v/>
      </c>
      <c r="Y247" s="27">
        <f>(Y$209+1-YEAR(Date_COD))*Months_In_Year-MONTH(Date_COD)</f>
        <v/>
      </c>
      <c r="Z247" s="27">
        <f>(Z$209+1-YEAR(Date_COD))*Months_In_Year-MONTH(Date_COD)</f>
        <v/>
      </c>
      <c r="AA247" s="27">
        <f>(AA$209+1-YEAR(Date_COD))*Months_In_Year-MONTH(Date_COD)</f>
        <v/>
      </c>
      <c r="AB247" s="27">
        <f>(AB$209+1-YEAR(Date_COD))*Months_In_Year-MONTH(Date_COD)</f>
        <v/>
      </c>
      <c r="AC247" s="27">
        <f>(AC$209+1-YEAR(Date_COD))*Months_In_Year-MONTH(Date_COD)</f>
        <v/>
      </c>
      <c r="AD247" s="27">
        <f>(AD$209+1-YEAR(Date_COD))*Months_In_Year-MONTH(Date_COD)</f>
        <v/>
      </c>
      <c r="AE247" s="27">
        <f>(AE$209+1-YEAR(Date_COD))*Months_In_Year-MONTH(Date_COD)</f>
        <v/>
      </c>
      <c r="AF247" s="27">
        <f>(AF$209+1-YEAR(Date_COD))*Months_In_Year-MONTH(Date_COD)</f>
        <v/>
      </c>
      <c r="AG247" s="27">
        <f>(AG$209+1-YEAR(Date_COD))*Months_In_Year-MONTH(Date_COD)</f>
        <v/>
      </c>
      <c r="AH247" s="27">
        <f>(AH$209+1-YEAR(Date_COD))*Months_In_Year-MONTH(Date_COD)</f>
        <v/>
      </c>
      <c r="AI247" s="27">
        <f>(AI$209+1-YEAR(Date_COD))*Months_In_Year-MONTH(Date_COD)</f>
        <v/>
      </c>
      <c r="AJ247" s="27">
        <f>(AJ$209+1-YEAR(Date_COD))*Months_In_Year-MONTH(Date_COD)</f>
        <v/>
      </c>
      <c r="AK247" s="27">
        <f>(AK$209+1-YEAR(Date_COD))*Months_In_Year-MONTH(Date_COD)</f>
        <v/>
      </c>
      <c r="AL247" s="27">
        <f>(AL$209+1-YEAR(Date_COD))*Months_In_Year-MONTH(Date_COD)</f>
        <v/>
      </c>
      <c r="AM247" s="27">
        <f>(AM$209+1-YEAR(Date_COD))*Months_In_Year-MONTH(Date_COD)</f>
        <v/>
      </c>
      <c r="AN247" s="27">
        <f>(AN$209+1-YEAR(Date_COD))*Months_In_Year-MONTH(Date_COD)</f>
        <v/>
      </c>
      <c r="AO247" s="27">
        <f>(AO$209+1-YEAR(Date_COD))*Months_In_Year-MONTH(Date_COD)</f>
        <v/>
      </c>
      <c r="AP247" s="27">
        <f>(AP$209+1-YEAR(Date_COD))*Months_In_Year-MONTH(Date_COD)</f>
        <v/>
      </c>
      <c r="AQ247" s="27">
        <f>(AQ$209+1-YEAR(Date_COD))*Months_In_Year-MONTH(Date_COD)</f>
        <v/>
      </c>
      <c r="AR247" s="27">
        <f>(AR$209+1-YEAR(Date_COD))*Months_In_Year-MONTH(Date_COD)</f>
        <v/>
      </c>
      <c r="AS247" s="27">
        <f>(AS$209+1-YEAR(Date_COD))*Months_In_Year-MONTH(Date_COD)</f>
        <v/>
      </c>
      <c r="AT247" s="27">
        <f>(AT$209+1-YEAR(Date_COD))*Months_In_Year-MONTH(Date_COD)</f>
        <v/>
      </c>
      <c r="AU247" s="27">
        <f>(AU$209+1-YEAR(Date_COD))*Months_In_Year-MONTH(Date_COD)</f>
        <v/>
      </c>
      <c r="AV247" s="27">
        <f>(AV$209+1-YEAR(Date_COD))*Months_In_Year-MONTH(Date_COD)</f>
        <v/>
      </c>
      <c r="AW247" s="27">
        <f>(AW$209+1-YEAR(Date_COD))*Months_In_Year-MONTH(Date_COD)</f>
        <v/>
      </c>
      <c r="AX247" s="27">
        <f>(AX$209+1-YEAR(Date_COD))*Months_In_Year-MONTH(Date_COD)</f>
        <v/>
      </c>
    </row>
    <row r="248" hidden="1" outlineLevel="1">
      <c r="C248" s="6" t="inlineStr">
        <is>
          <t>Operating share of the year (COD to end of life)</t>
        </is>
      </c>
      <c r="D248" s="2" t="inlineStr">
        <is>
          <t>%</t>
        </is>
      </c>
      <c r="H248" s="28">
        <f>SUM(J248:AX248)</f>
        <v/>
      </c>
      <c r="J248" s="23">
        <f>MAX(0,MIN(J247,$F247)-MAX(J247-Months_In_Year,0))/Months_In_Year</f>
        <v/>
      </c>
      <c r="K248" s="23">
        <f>MAX(0,MIN(K247,$F247)-MAX(K247-Months_In_Year,0))/Months_In_Year</f>
        <v/>
      </c>
      <c r="L248" s="23">
        <f>MAX(0,MIN(L247,$F247)-MAX(L247-Months_In_Year,0))/Months_In_Year</f>
        <v/>
      </c>
      <c r="M248" s="23">
        <f>MAX(0,MIN(M247,$F247)-MAX(M247-Months_In_Year,0))/Months_In_Year</f>
        <v/>
      </c>
      <c r="N248" s="23">
        <f>MAX(0,MIN(N247,$F247)-MAX(N247-Months_In_Year,0))/Months_In_Year</f>
        <v/>
      </c>
      <c r="O248" s="23">
        <f>MAX(0,MIN(O247,$F247)-MAX(O247-Months_In_Year,0))/Months_In_Year</f>
        <v/>
      </c>
      <c r="P248" s="23">
        <f>MAX(0,MIN(P247,$F247)-MAX(P247-Months_In_Year,0))/Months_In_Year</f>
        <v/>
      </c>
      <c r="Q248" s="23">
        <f>MAX(0,MIN(Q247,$F247)-MAX(Q247-Months_In_Year,0))/Months_In_Year</f>
        <v/>
      </c>
      <c r="R248" s="23">
        <f>MAX(0,MIN(R247,$F247)-MAX(R247-Months_In_Year,0))/Months_In_Year</f>
        <v/>
      </c>
      <c r="S248" s="23">
        <f>MAX(0,MIN(S247,$F247)-MAX(S247-Months_In_Year,0))/Months_In_Year</f>
        <v/>
      </c>
      <c r="T248" s="23">
        <f>MAX(0,MIN(T247,$F247)-MAX(T247-Months_In_Year,0))/Months_In_Year</f>
        <v/>
      </c>
      <c r="U248" s="23">
        <f>MAX(0,MIN(U247,$F247)-MAX(U247-Months_In_Year,0))/Months_In_Year</f>
        <v/>
      </c>
      <c r="V248" s="23">
        <f>MAX(0,MIN(V247,$F247)-MAX(V247-Months_In_Year,0))/Months_In_Year</f>
        <v/>
      </c>
      <c r="W248" s="23">
        <f>MAX(0,MIN(W247,$F247)-MAX(W247-Months_In_Year,0))/Months_In_Year</f>
        <v/>
      </c>
      <c r="X248" s="23">
        <f>MAX(0,MIN(X247,$F247)-MAX(X247-Months_In_Year,0))/Months_In_Year</f>
        <v/>
      </c>
      <c r="Y248" s="23">
        <f>MAX(0,MIN(Y247,$F247)-MAX(Y247-Months_In_Year,0))/Months_In_Year</f>
        <v/>
      </c>
      <c r="Z248" s="23">
        <f>MAX(0,MIN(Z247,$F247)-MAX(Z247-Months_In_Year,0))/Months_In_Year</f>
        <v/>
      </c>
      <c r="AA248" s="23">
        <f>MAX(0,MIN(AA247,$F247)-MAX(AA247-Months_In_Year,0))/Months_In_Year</f>
        <v/>
      </c>
      <c r="AB248" s="23">
        <f>MAX(0,MIN(AB247,$F247)-MAX(AB247-Months_In_Year,0))/Months_In_Year</f>
        <v/>
      </c>
      <c r="AC248" s="23">
        <f>MAX(0,MIN(AC247,$F247)-MAX(AC247-Months_In_Year,0))/Months_In_Year</f>
        <v/>
      </c>
      <c r="AD248" s="23">
        <f>MAX(0,MIN(AD247,$F247)-MAX(AD247-Months_In_Year,0))/Months_In_Year</f>
        <v/>
      </c>
      <c r="AE248" s="23">
        <f>MAX(0,MIN(AE247,$F247)-MAX(AE247-Months_In_Year,0))/Months_In_Year</f>
        <v/>
      </c>
      <c r="AF248" s="23">
        <f>MAX(0,MIN(AF247,$F247)-MAX(AF247-Months_In_Year,0))/Months_In_Year</f>
        <v/>
      </c>
      <c r="AG248" s="23">
        <f>MAX(0,MIN(AG247,$F247)-MAX(AG247-Months_In_Year,0))/Months_In_Year</f>
        <v/>
      </c>
      <c r="AH248" s="23">
        <f>MAX(0,MIN(AH247,$F247)-MAX(AH247-Months_In_Year,0))/Months_In_Year</f>
        <v/>
      </c>
      <c r="AI248" s="23">
        <f>MAX(0,MIN(AI247,$F247)-MAX(AI247-Months_In_Year,0))/Months_In_Year</f>
        <v/>
      </c>
      <c r="AJ248" s="23">
        <f>MAX(0,MIN(AJ247,$F247)-MAX(AJ247-Months_In_Year,0))/Months_In_Year</f>
        <v/>
      </c>
      <c r="AK248" s="23">
        <f>MAX(0,MIN(AK247,$F247)-MAX(AK247-Months_In_Year,0))/Months_In_Year</f>
        <v/>
      </c>
      <c r="AL248" s="23">
        <f>MAX(0,MIN(AL247,$F247)-MAX(AL247-Months_In_Year,0))/Months_In_Year</f>
        <v/>
      </c>
      <c r="AM248" s="23">
        <f>MAX(0,MIN(AM247,$F247)-MAX(AM247-Months_In_Year,0))/Months_In_Year</f>
        <v/>
      </c>
      <c r="AN248" s="23">
        <f>MAX(0,MIN(AN247,$F247)-MAX(AN247-Months_In_Year,0))/Months_In_Year</f>
        <v/>
      </c>
      <c r="AO248" s="23">
        <f>MAX(0,MIN(AO247,$F247)-MAX(AO247-Months_In_Year,0))/Months_In_Year</f>
        <v/>
      </c>
      <c r="AP248" s="23">
        <f>MAX(0,MIN(AP247,$F247)-MAX(AP247-Months_In_Year,0))/Months_In_Year</f>
        <v/>
      </c>
      <c r="AQ248" s="23">
        <f>MAX(0,MIN(AQ247,$F247)-MAX(AQ247-Months_In_Year,0))/Months_In_Year</f>
        <v/>
      </c>
      <c r="AR248" s="23">
        <f>MAX(0,MIN(AR247,$F247)-MAX(AR247-Months_In_Year,0))/Months_In_Year</f>
        <v/>
      </c>
      <c r="AS248" s="23">
        <f>MAX(0,MIN(AS247,$F247)-MAX(AS247-Months_In_Year,0))/Months_In_Year</f>
        <v/>
      </c>
      <c r="AT248" s="23">
        <f>MAX(0,MIN(AT247,$F247)-MAX(AT247-Months_In_Year,0))/Months_In_Year</f>
        <v/>
      </c>
      <c r="AU248" s="23">
        <f>MAX(0,MIN(AU247,$F247)-MAX(AU247-Months_In_Year,0))/Months_In_Year</f>
        <v/>
      </c>
      <c r="AV248" s="23">
        <f>MAX(0,MIN(AV247,$F247)-MAX(AV247-Months_In_Year,0))/Months_In_Year</f>
        <v/>
      </c>
      <c r="AW248" s="23">
        <f>MAX(0,MIN(AW247,$F247)-MAX(AW247-Months_In_Year,0))/Months_In_Year</f>
        <v/>
      </c>
      <c r="AX248" s="23">
        <f>MAX(0,MIN(AX247,$F247)-MAX(AX247-Months_In_Year,0))/Months_In_Year</f>
        <v/>
      </c>
    </row>
    <row r="249" hidden="1" outlineLevel="1">
      <c r="C249" s="6" t="inlineStr">
        <is>
          <t>COD year flag</t>
        </is>
      </c>
      <c r="D249" s="2" t="inlineStr">
        <is>
          <t>flag</t>
        </is>
      </c>
      <c r="J249" s="29">
        <f>N(J244=0)</f>
        <v/>
      </c>
      <c r="K249" s="29">
        <f>N(K244=0)</f>
        <v/>
      </c>
      <c r="L249" s="29">
        <f>N(L244=0)</f>
        <v/>
      </c>
      <c r="M249" s="29">
        <f>N(M244=0)</f>
        <v/>
      </c>
      <c r="N249" s="29">
        <f>N(N244=0)</f>
        <v/>
      </c>
      <c r="O249" s="29">
        <f>N(O244=0)</f>
        <v/>
      </c>
      <c r="P249" s="29">
        <f>N(P244=0)</f>
        <v/>
      </c>
      <c r="Q249" s="29">
        <f>N(Q244=0)</f>
        <v/>
      </c>
      <c r="R249" s="29">
        <f>N(R244=0)</f>
        <v/>
      </c>
      <c r="S249" s="29">
        <f>N(S244=0)</f>
        <v/>
      </c>
      <c r="T249" s="29">
        <f>N(T244=0)</f>
        <v/>
      </c>
      <c r="U249" s="29">
        <f>N(U244=0)</f>
        <v/>
      </c>
      <c r="V249" s="29">
        <f>N(V244=0)</f>
        <v/>
      </c>
      <c r="W249" s="29">
        <f>N(W244=0)</f>
        <v/>
      </c>
      <c r="X249" s="29">
        <f>N(X244=0)</f>
        <v/>
      </c>
      <c r="Y249" s="29">
        <f>N(Y244=0)</f>
        <v/>
      </c>
      <c r="Z249" s="29">
        <f>N(Z244=0)</f>
        <v/>
      </c>
      <c r="AA249" s="29">
        <f>N(AA244=0)</f>
        <v/>
      </c>
      <c r="AB249" s="29">
        <f>N(AB244=0)</f>
        <v/>
      </c>
      <c r="AC249" s="29">
        <f>N(AC244=0)</f>
        <v/>
      </c>
      <c r="AD249" s="29">
        <f>N(AD244=0)</f>
        <v/>
      </c>
      <c r="AE249" s="29">
        <f>N(AE244=0)</f>
        <v/>
      </c>
      <c r="AF249" s="29">
        <f>N(AF244=0)</f>
        <v/>
      </c>
      <c r="AG249" s="29">
        <f>N(AG244=0)</f>
        <v/>
      </c>
      <c r="AH249" s="29">
        <f>N(AH244=0)</f>
        <v/>
      </c>
      <c r="AI249" s="29">
        <f>N(AI244=0)</f>
        <v/>
      </c>
      <c r="AJ249" s="29">
        <f>N(AJ244=0)</f>
        <v/>
      </c>
      <c r="AK249" s="29">
        <f>N(AK244=0)</f>
        <v/>
      </c>
      <c r="AL249" s="29">
        <f>N(AL244=0)</f>
        <v/>
      </c>
      <c r="AM249" s="29">
        <f>N(AM244=0)</f>
        <v/>
      </c>
      <c r="AN249" s="29">
        <f>N(AN244=0)</f>
        <v/>
      </c>
      <c r="AO249" s="29">
        <f>N(AO244=0)</f>
        <v/>
      </c>
      <c r="AP249" s="29">
        <f>N(AP244=0)</f>
        <v/>
      </c>
      <c r="AQ249" s="29">
        <f>N(AQ244=0)</f>
        <v/>
      </c>
      <c r="AR249" s="29">
        <f>N(AR244=0)</f>
        <v/>
      </c>
      <c r="AS249" s="29">
        <f>N(AS244=0)</f>
        <v/>
      </c>
      <c r="AT249" s="29">
        <f>N(AT244=0)</f>
        <v/>
      </c>
      <c r="AU249" s="29">
        <f>N(AU244=0)</f>
        <v/>
      </c>
      <c r="AV249" s="29">
        <f>N(AV244=0)</f>
        <v/>
      </c>
      <c r="AW249" s="29">
        <f>N(AW244=0)</f>
        <v/>
      </c>
      <c r="AX249" s="29">
        <f>N(AX244=0)</f>
        <v/>
      </c>
    </row>
    <row r="250" hidden="1" outlineLevel="1">
      <c r="C250" s="6" t="inlineStr">
        <is>
          <t>FEP outlays at their dates (signing, fee, securities, fees, devex)</t>
        </is>
      </c>
      <c r="D250" s="2" t="inlineStr">
        <is>
          <t>EUR k</t>
        </is>
      </c>
      <c r="H250" s="8">
        <f>SUM(J250:AX250)</f>
        <v/>
      </c>
      <c r="J250" s="8">
        <f>SUMPRODUCT((YEAR($J$195:$J$202)=J$209)*$F$195:$F$202)</f>
        <v/>
      </c>
      <c r="K250" s="8">
        <f>SUMPRODUCT((YEAR($J$195:$J$202)=K$209)*$F$195:$F$202)</f>
        <v/>
      </c>
      <c r="L250" s="8">
        <f>SUMPRODUCT((YEAR($J$195:$J$202)=L$209)*$F$195:$F$202)</f>
        <v/>
      </c>
      <c r="M250" s="8">
        <f>SUMPRODUCT((YEAR($J$195:$J$202)=M$209)*$F$195:$F$202)</f>
        <v/>
      </c>
      <c r="N250" s="8">
        <f>SUMPRODUCT((YEAR($J$195:$J$202)=N$209)*$F$195:$F$202)</f>
        <v/>
      </c>
      <c r="O250" s="8">
        <f>SUMPRODUCT((YEAR($J$195:$J$202)=O$209)*$F$195:$F$202)</f>
        <v/>
      </c>
      <c r="P250" s="8">
        <f>SUMPRODUCT((YEAR($J$195:$J$202)=P$209)*$F$195:$F$202)</f>
        <v/>
      </c>
      <c r="Q250" s="8">
        <f>SUMPRODUCT((YEAR($J$195:$J$202)=Q$209)*$F$195:$F$202)</f>
        <v/>
      </c>
      <c r="R250" s="8">
        <f>SUMPRODUCT((YEAR($J$195:$J$202)=R$209)*$F$195:$F$202)</f>
        <v/>
      </c>
      <c r="S250" s="8">
        <f>SUMPRODUCT((YEAR($J$195:$J$202)=S$209)*$F$195:$F$202)</f>
        <v/>
      </c>
      <c r="T250" s="8">
        <f>SUMPRODUCT((YEAR($J$195:$J$202)=T$209)*$F$195:$F$202)</f>
        <v/>
      </c>
      <c r="U250" s="8">
        <f>SUMPRODUCT((YEAR($J$195:$J$202)=U$209)*$F$195:$F$202)</f>
        <v/>
      </c>
      <c r="V250" s="8">
        <f>SUMPRODUCT((YEAR($J$195:$J$202)=V$209)*$F$195:$F$202)</f>
        <v/>
      </c>
      <c r="W250" s="8">
        <f>SUMPRODUCT((YEAR($J$195:$J$202)=W$209)*$F$195:$F$202)</f>
        <v/>
      </c>
      <c r="X250" s="8">
        <f>SUMPRODUCT((YEAR($J$195:$J$202)=X$209)*$F$195:$F$202)</f>
        <v/>
      </c>
      <c r="Y250" s="8">
        <f>SUMPRODUCT((YEAR($J$195:$J$202)=Y$209)*$F$195:$F$202)</f>
        <v/>
      </c>
      <c r="Z250" s="8">
        <f>SUMPRODUCT((YEAR($J$195:$J$202)=Z$209)*$F$195:$F$202)</f>
        <v/>
      </c>
      <c r="AA250" s="8">
        <f>SUMPRODUCT((YEAR($J$195:$J$202)=AA$209)*$F$195:$F$202)</f>
        <v/>
      </c>
      <c r="AB250" s="8">
        <f>SUMPRODUCT((YEAR($J$195:$J$202)=AB$209)*$F$195:$F$202)</f>
        <v/>
      </c>
      <c r="AC250" s="8">
        <f>SUMPRODUCT((YEAR($J$195:$J$202)=AC$209)*$F$195:$F$202)</f>
        <v/>
      </c>
      <c r="AD250" s="8">
        <f>SUMPRODUCT((YEAR($J$195:$J$202)=AD$209)*$F$195:$F$202)</f>
        <v/>
      </c>
      <c r="AE250" s="8">
        <f>SUMPRODUCT((YEAR($J$195:$J$202)=AE$209)*$F$195:$F$202)</f>
        <v/>
      </c>
      <c r="AF250" s="8">
        <f>SUMPRODUCT((YEAR($J$195:$J$202)=AF$209)*$F$195:$F$202)</f>
        <v/>
      </c>
      <c r="AG250" s="8">
        <f>SUMPRODUCT((YEAR($J$195:$J$202)=AG$209)*$F$195:$F$202)</f>
        <v/>
      </c>
      <c r="AH250" s="8">
        <f>SUMPRODUCT((YEAR($J$195:$J$202)=AH$209)*$F$195:$F$202)</f>
        <v/>
      </c>
      <c r="AI250" s="8">
        <f>SUMPRODUCT((YEAR($J$195:$J$202)=AI$209)*$F$195:$F$202)</f>
        <v/>
      </c>
      <c r="AJ250" s="8">
        <f>SUMPRODUCT((YEAR($J$195:$J$202)=AJ$209)*$F$195:$F$202)</f>
        <v/>
      </c>
      <c r="AK250" s="8">
        <f>SUMPRODUCT((YEAR($J$195:$J$202)=AK$209)*$F$195:$F$202)</f>
        <v/>
      </c>
      <c r="AL250" s="8">
        <f>SUMPRODUCT((YEAR($J$195:$J$202)=AL$209)*$F$195:$F$202)</f>
        <v/>
      </c>
      <c r="AM250" s="8">
        <f>SUMPRODUCT((YEAR($J$195:$J$202)=AM$209)*$F$195:$F$202)</f>
        <v/>
      </c>
      <c r="AN250" s="8">
        <f>SUMPRODUCT((YEAR($J$195:$J$202)=AN$209)*$F$195:$F$202)</f>
        <v/>
      </c>
      <c r="AO250" s="8">
        <f>SUMPRODUCT((YEAR($J$195:$J$202)=AO$209)*$F$195:$F$202)</f>
        <v/>
      </c>
      <c r="AP250" s="8">
        <f>SUMPRODUCT((YEAR($J$195:$J$202)=AP$209)*$F$195:$F$202)</f>
        <v/>
      </c>
      <c r="AQ250" s="8">
        <f>SUMPRODUCT((YEAR($J$195:$J$202)=AQ$209)*$F$195:$F$202)</f>
        <v/>
      </c>
      <c r="AR250" s="8">
        <f>SUMPRODUCT((YEAR($J$195:$J$202)=AR$209)*$F$195:$F$202)</f>
        <v/>
      </c>
      <c r="AS250" s="8">
        <f>SUMPRODUCT((YEAR($J$195:$J$202)=AS$209)*$F$195:$F$202)</f>
        <v/>
      </c>
      <c r="AT250" s="8">
        <f>SUMPRODUCT((YEAR($J$195:$J$202)=AT$209)*$F$195:$F$202)</f>
        <v/>
      </c>
      <c r="AU250" s="8">
        <f>SUMPRODUCT((YEAR($J$195:$J$202)=AU$209)*$F$195:$F$202)</f>
        <v/>
      </c>
      <c r="AV250" s="8">
        <f>SUMPRODUCT((YEAR($J$195:$J$202)=AV$209)*$F$195:$F$202)</f>
        <v/>
      </c>
      <c r="AW250" s="8">
        <f>SUMPRODUCT((YEAR($J$195:$J$202)=AW$209)*$F$195:$F$202)</f>
        <v/>
      </c>
      <c r="AX250" s="8">
        <f>SUMPRODUCT((YEAR($J$195:$J$202)=AX$209)*$F$195:$F$202)</f>
        <v/>
      </c>
    </row>
    <row r="251" hidden="1" outlineLevel="1">
      <c r="C251" s="6" t="inlineStr">
        <is>
          <t>Performance security released (bid security included)</t>
        </is>
      </c>
      <c r="D251" s="2" t="inlineStr">
        <is>
          <t>EUR k</t>
        </is>
      </c>
      <c r="H251" s="8">
        <f>SUM(J251:AX251)</f>
        <v/>
      </c>
      <c r="J251" s="8">
        <f>($F$62+$F$63)*(J$209=YEAR(Date_Release))</f>
        <v/>
      </c>
      <c r="K251" s="8">
        <f>($F$62+$F$63)*(K$209=YEAR(Date_Release))</f>
        <v/>
      </c>
      <c r="L251" s="8">
        <f>($F$62+$F$63)*(L$209=YEAR(Date_Release))</f>
        <v/>
      </c>
      <c r="M251" s="8">
        <f>($F$62+$F$63)*(M$209=YEAR(Date_Release))</f>
        <v/>
      </c>
      <c r="N251" s="8">
        <f>($F$62+$F$63)*(N$209=YEAR(Date_Release))</f>
        <v/>
      </c>
      <c r="O251" s="8">
        <f>($F$62+$F$63)*(O$209=YEAR(Date_Release))</f>
        <v/>
      </c>
      <c r="P251" s="8">
        <f>($F$62+$F$63)*(P$209=YEAR(Date_Release))</f>
        <v/>
      </c>
      <c r="Q251" s="8">
        <f>($F$62+$F$63)*(Q$209=YEAR(Date_Release))</f>
        <v/>
      </c>
      <c r="R251" s="8">
        <f>($F$62+$F$63)*(R$209=YEAR(Date_Release))</f>
        <v/>
      </c>
      <c r="S251" s="8">
        <f>($F$62+$F$63)*(S$209=YEAR(Date_Release))</f>
        <v/>
      </c>
      <c r="T251" s="8">
        <f>($F$62+$F$63)*(T$209=YEAR(Date_Release))</f>
        <v/>
      </c>
      <c r="U251" s="8">
        <f>($F$62+$F$63)*(U$209=YEAR(Date_Release))</f>
        <v/>
      </c>
      <c r="V251" s="8">
        <f>($F$62+$F$63)*(V$209=YEAR(Date_Release))</f>
        <v/>
      </c>
      <c r="W251" s="8">
        <f>($F$62+$F$63)*(W$209=YEAR(Date_Release))</f>
        <v/>
      </c>
      <c r="X251" s="8">
        <f>($F$62+$F$63)*(X$209=YEAR(Date_Release))</f>
        <v/>
      </c>
      <c r="Y251" s="8">
        <f>($F$62+$F$63)*(Y$209=YEAR(Date_Release))</f>
        <v/>
      </c>
      <c r="Z251" s="8">
        <f>($F$62+$F$63)*(Z$209=YEAR(Date_Release))</f>
        <v/>
      </c>
      <c r="AA251" s="8">
        <f>($F$62+$F$63)*(AA$209=YEAR(Date_Release))</f>
        <v/>
      </c>
      <c r="AB251" s="8">
        <f>($F$62+$F$63)*(AB$209=YEAR(Date_Release))</f>
        <v/>
      </c>
      <c r="AC251" s="8">
        <f>($F$62+$F$63)*(AC$209=YEAR(Date_Release))</f>
        <v/>
      </c>
      <c r="AD251" s="8">
        <f>($F$62+$F$63)*(AD$209=YEAR(Date_Release))</f>
        <v/>
      </c>
      <c r="AE251" s="8">
        <f>($F$62+$F$63)*(AE$209=YEAR(Date_Release))</f>
        <v/>
      </c>
      <c r="AF251" s="8">
        <f>($F$62+$F$63)*(AF$209=YEAR(Date_Release))</f>
        <v/>
      </c>
      <c r="AG251" s="8">
        <f>($F$62+$F$63)*(AG$209=YEAR(Date_Release))</f>
        <v/>
      </c>
      <c r="AH251" s="8">
        <f>($F$62+$F$63)*(AH$209=YEAR(Date_Release))</f>
        <v/>
      </c>
      <c r="AI251" s="8">
        <f>($F$62+$F$63)*(AI$209=YEAR(Date_Release))</f>
        <v/>
      </c>
      <c r="AJ251" s="8">
        <f>($F$62+$F$63)*(AJ$209=YEAR(Date_Release))</f>
        <v/>
      </c>
      <c r="AK251" s="8">
        <f>($F$62+$F$63)*(AK$209=YEAR(Date_Release))</f>
        <v/>
      </c>
      <c r="AL251" s="8">
        <f>($F$62+$F$63)*(AL$209=YEAR(Date_Release))</f>
        <v/>
      </c>
      <c r="AM251" s="8">
        <f>($F$62+$F$63)*(AM$209=YEAR(Date_Release))</f>
        <v/>
      </c>
      <c r="AN251" s="8">
        <f>($F$62+$F$63)*(AN$209=YEAR(Date_Release))</f>
        <v/>
      </c>
      <c r="AO251" s="8">
        <f>($F$62+$F$63)*(AO$209=YEAR(Date_Release))</f>
        <v/>
      </c>
      <c r="AP251" s="8">
        <f>($F$62+$F$63)*(AP$209=YEAR(Date_Release))</f>
        <v/>
      </c>
      <c r="AQ251" s="8">
        <f>($F$62+$F$63)*(AQ$209=YEAR(Date_Release))</f>
        <v/>
      </c>
      <c r="AR251" s="8">
        <f>($F$62+$F$63)*(AR$209=YEAR(Date_Release))</f>
        <v/>
      </c>
      <c r="AS251" s="8">
        <f>($F$62+$F$63)*(AS$209=YEAR(Date_Release))</f>
        <v/>
      </c>
      <c r="AT251" s="8">
        <f>($F$62+$F$63)*(AT$209=YEAR(Date_Release))</f>
        <v/>
      </c>
      <c r="AU251" s="8">
        <f>($F$62+$F$63)*(AU$209=YEAR(Date_Release))</f>
        <v/>
      </c>
      <c r="AV251" s="8">
        <f>($F$62+$F$63)*(AV$209=YEAR(Date_Release))</f>
        <v/>
      </c>
      <c r="AW251" s="8">
        <f>($F$62+$F$63)*(AW$209=YEAR(Date_Release))</f>
        <v/>
      </c>
      <c r="AX251" s="8">
        <f>($F$62+$F$63)*(AX$209=YEAR(Date_Release))</f>
        <v/>
      </c>
    </row>
    <row r="252" hidden="1" outlineLevel="1">
      <c r="C252" s="6" t="inlineStr">
        <is>
          <t>Construction capex (straight-line NTP to COD)</t>
        </is>
      </c>
      <c r="D252" s="2" t="inlineStr">
        <is>
          <t>EUR k</t>
        </is>
      </c>
      <c r="H252" s="8">
        <f>SUM(J252:AX252)</f>
        <v/>
      </c>
      <c r="J252" s="8">
        <f>-$F$82*J246</f>
        <v/>
      </c>
      <c r="K252" s="8">
        <f>-$F$82*K246</f>
        <v/>
      </c>
      <c r="L252" s="8">
        <f>-$F$82*L246</f>
        <v/>
      </c>
      <c r="M252" s="8">
        <f>-$F$82*M246</f>
        <v/>
      </c>
      <c r="N252" s="8">
        <f>-$F$82*N246</f>
        <v/>
      </c>
      <c r="O252" s="8">
        <f>-$F$82*O246</f>
        <v/>
      </c>
      <c r="P252" s="8">
        <f>-$F$82*P246</f>
        <v/>
      </c>
      <c r="Q252" s="8">
        <f>-$F$82*Q246</f>
        <v/>
      </c>
      <c r="R252" s="8">
        <f>-$F$82*R246</f>
        <v/>
      </c>
      <c r="S252" s="8">
        <f>-$F$82*S246</f>
        <v/>
      </c>
      <c r="T252" s="8">
        <f>-$F$82*T246</f>
        <v/>
      </c>
      <c r="U252" s="8">
        <f>-$F$82*U246</f>
        <v/>
      </c>
      <c r="V252" s="8">
        <f>-$F$82*V246</f>
        <v/>
      </c>
      <c r="W252" s="8">
        <f>-$F$82*W246</f>
        <v/>
      </c>
      <c r="X252" s="8">
        <f>-$F$82*X246</f>
        <v/>
      </c>
      <c r="Y252" s="8">
        <f>-$F$82*Y246</f>
        <v/>
      </c>
      <c r="Z252" s="8">
        <f>-$F$82*Z246</f>
        <v/>
      </c>
      <c r="AA252" s="8">
        <f>-$F$82*AA246</f>
        <v/>
      </c>
      <c r="AB252" s="8">
        <f>-$F$82*AB246</f>
        <v/>
      </c>
      <c r="AC252" s="8">
        <f>-$F$82*AC246</f>
        <v/>
      </c>
      <c r="AD252" s="8">
        <f>-$F$82*AD246</f>
        <v/>
      </c>
      <c r="AE252" s="8">
        <f>-$F$82*AE246</f>
        <v/>
      </c>
      <c r="AF252" s="8">
        <f>-$F$82*AF246</f>
        <v/>
      </c>
      <c r="AG252" s="8">
        <f>-$F$82*AG246</f>
        <v/>
      </c>
      <c r="AH252" s="8">
        <f>-$F$82*AH246</f>
        <v/>
      </c>
      <c r="AI252" s="8">
        <f>-$F$82*AI246</f>
        <v/>
      </c>
      <c r="AJ252" s="8">
        <f>-$F$82*AJ246</f>
        <v/>
      </c>
      <c r="AK252" s="8">
        <f>-$F$82*AK246</f>
        <v/>
      </c>
      <c r="AL252" s="8">
        <f>-$F$82*AL246</f>
        <v/>
      </c>
      <c r="AM252" s="8">
        <f>-$F$82*AM246</f>
        <v/>
      </c>
      <c r="AN252" s="8">
        <f>-$F$82*AN246</f>
        <v/>
      </c>
      <c r="AO252" s="8">
        <f>-$F$82*AO246</f>
        <v/>
      </c>
      <c r="AP252" s="8">
        <f>-$F$82*AP246</f>
        <v/>
      </c>
      <c r="AQ252" s="8">
        <f>-$F$82*AQ246</f>
        <v/>
      </c>
      <c r="AR252" s="8">
        <f>-$F$82*AR246</f>
        <v/>
      </c>
      <c r="AS252" s="8">
        <f>-$F$82*AS246</f>
        <v/>
      </c>
      <c r="AT252" s="8">
        <f>-$F$82*AT246</f>
        <v/>
      </c>
      <c r="AU252" s="8">
        <f>-$F$82*AU246</f>
        <v/>
      </c>
      <c r="AV252" s="8">
        <f>-$F$82*AV246</f>
        <v/>
      </c>
      <c r="AW252" s="8">
        <f>-$F$82*AW246</f>
        <v/>
      </c>
      <c r="AX252" s="8">
        <f>-$F$82*AX246</f>
        <v/>
      </c>
    </row>
    <row r="253" hidden="1" outlineLevel="1">
      <c r="C253" s="6" t="inlineStr">
        <is>
          <t>Municipal one-off at COD</t>
        </is>
      </c>
      <c r="D253" s="2" t="inlineStr">
        <is>
          <t>EUR k</t>
        </is>
      </c>
      <c r="H253" s="8">
        <f>SUM(J253:AX253)</f>
        <v/>
      </c>
      <c r="J253" s="8">
        <f>-$F$84*J249</f>
        <v/>
      </c>
      <c r="K253" s="8">
        <f>-$F$84*K249</f>
        <v/>
      </c>
      <c r="L253" s="8">
        <f>-$F$84*L249</f>
        <v/>
      </c>
      <c r="M253" s="8">
        <f>-$F$84*M249</f>
        <v/>
      </c>
      <c r="N253" s="8">
        <f>-$F$84*N249</f>
        <v/>
      </c>
      <c r="O253" s="8">
        <f>-$F$84*O249</f>
        <v/>
      </c>
      <c r="P253" s="8">
        <f>-$F$84*P249</f>
        <v/>
      </c>
      <c r="Q253" s="8">
        <f>-$F$84*Q249</f>
        <v/>
      </c>
      <c r="R253" s="8">
        <f>-$F$84*R249</f>
        <v/>
      </c>
      <c r="S253" s="8">
        <f>-$F$84*S249</f>
        <v/>
      </c>
      <c r="T253" s="8">
        <f>-$F$84*T249</f>
        <v/>
      </c>
      <c r="U253" s="8">
        <f>-$F$84*U249</f>
        <v/>
      </c>
      <c r="V253" s="8">
        <f>-$F$84*V249</f>
        <v/>
      </c>
      <c r="W253" s="8">
        <f>-$F$84*W249</f>
        <v/>
      </c>
      <c r="X253" s="8">
        <f>-$F$84*X249</f>
        <v/>
      </c>
      <c r="Y253" s="8">
        <f>-$F$84*Y249</f>
        <v/>
      </c>
      <c r="Z253" s="8">
        <f>-$F$84*Z249</f>
        <v/>
      </c>
      <c r="AA253" s="8">
        <f>-$F$84*AA249</f>
        <v/>
      </c>
      <c r="AB253" s="8">
        <f>-$F$84*AB249</f>
        <v/>
      </c>
      <c r="AC253" s="8">
        <f>-$F$84*AC249</f>
        <v/>
      </c>
      <c r="AD253" s="8">
        <f>-$F$84*AD249</f>
        <v/>
      </c>
      <c r="AE253" s="8">
        <f>-$F$84*AE249</f>
        <v/>
      </c>
      <c r="AF253" s="8">
        <f>-$F$84*AF249</f>
        <v/>
      </c>
      <c r="AG253" s="8">
        <f>-$F$84*AG249</f>
        <v/>
      </c>
      <c r="AH253" s="8">
        <f>-$F$84*AH249</f>
        <v/>
      </c>
      <c r="AI253" s="8">
        <f>-$F$84*AI249</f>
        <v/>
      </c>
      <c r="AJ253" s="8">
        <f>-$F$84*AJ249</f>
        <v/>
      </c>
      <c r="AK253" s="8">
        <f>-$F$84*AK249</f>
        <v/>
      </c>
      <c r="AL253" s="8">
        <f>-$F$84*AL249</f>
        <v/>
      </c>
      <c r="AM253" s="8">
        <f>-$F$84*AM249</f>
        <v/>
      </c>
      <c r="AN253" s="8">
        <f>-$F$84*AN249</f>
        <v/>
      </c>
      <c r="AO253" s="8">
        <f>-$F$84*AO249</f>
        <v/>
      </c>
      <c r="AP253" s="8">
        <f>-$F$84*AP249</f>
        <v/>
      </c>
      <c r="AQ253" s="8">
        <f>-$F$84*AQ249</f>
        <v/>
      </c>
      <c r="AR253" s="8">
        <f>-$F$84*AR249</f>
        <v/>
      </c>
      <c r="AS253" s="8">
        <f>-$F$84*AS249</f>
        <v/>
      </c>
      <c r="AT253" s="8">
        <f>-$F$84*AT249</f>
        <v/>
      </c>
      <c r="AU253" s="8">
        <f>-$F$84*AU249</f>
        <v/>
      </c>
      <c r="AV253" s="8">
        <f>-$F$84*AV249</f>
        <v/>
      </c>
      <c r="AW253" s="8">
        <f>-$F$84*AW249</f>
        <v/>
      </c>
      <c r="AX253" s="8">
        <f>-$F$84*AX249</f>
        <v/>
      </c>
    </row>
    <row r="254" hidden="1" outlineLevel="1">
      <c r="C254" s="1" t="inlineStr">
        <is>
          <t>Investment cash flow</t>
        </is>
      </c>
      <c r="D254" s="2" t="inlineStr">
        <is>
          <t>EUR k</t>
        </is>
      </c>
      <c r="H254" s="14">
        <f>SUM(J254:AX254)</f>
        <v/>
      </c>
      <c r="J254" s="14">
        <f>SUM(J250:J253)</f>
        <v/>
      </c>
      <c r="K254" s="14">
        <f>SUM(K250:K253)</f>
        <v/>
      </c>
      <c r="L254" s="14">
        <f>SUM(L250:L253)</f>
        <v/>
      </c>
      <c r="M254" s="14">
        <f>SUM(M250:M253)</f>
        <v/>
      </c>
      <c r="N254" s="14">
        <f>SUM(N250:N253)</f>
        <v/>
      </c>
      <c r="O254" s="14">
        <f>SUM(O250:O253)</f>
        <v/>
      </c>
      <c r="P254" s="14">
        <f>SUM(P250:P253)</f>
        <v/>
      </c>
      <c r="Q254" s="14">
        <f>SUM(Q250:Q253)</f>
        <v/>
      </c>
      <c r="R254" s="14">
        <f>SUM(R250:R253)</f>
        <v/>
      </c>
      <c r="S254" s="14">
        <f>SUM(S250:S253)</f>
        <v/>
      </c>
      <c r="T254" s="14">
        <f>SUM(T250:T253)</f>
        <v/>
      </c>
      <c r="U254" s="14">
        <f>SUM(U250:U253)</f>
        <v/>
      </c>
      <c r="V254" s="14">
        <f>SUM(V250:V253)</f>
        <v/>
      </c>
      <c r="W254" s="14">
        <f>SUM(W250:W253)</f>
        <v/>
      </c>
      <c r="X254" s="14">
        <f>SUM(X250:X253)</f>
        <v/>
      </c>
      <c r="Y254" s="14">
        <f>SUM(Y250:Y253)</f>
        <v/>
      </c>
      <c r="Z254" s="14">
        <f>SUM(Z250:Z253)</f>
        <v/>
      </c>
      <c r="AA254" s="14">
        <f>SUM(AA250:AA253)</f>
        <v/>
      </c>
      <c r="AB254" s="14">
        <f>SUM(AB250:AB253)</f>
        <v/>
      </c>
      <c r="AC254" s="14">
        <f>SUM(AC250:AC253)</f>
        <v/>
      </c>
      <c r="AD254" s="14">
        <f>SUM(AD250:AD253)</f>
        <v/>
      </c>
      <c r="AE254" s="14">
        <f>SUM(AE250:AE253)</f>
        <v/>
      </c>
      <c r="AF254" s="14">
        <f>SUM(AF250:AF253)</f>
        <v/>
      </c>
      <c r="AG254" s="14">
        <f>SUM(AG250:AG253)</f>
        <v/>
      </c>
      <c r="AH254" s="14">
        <f>SUM(AH250:AH253)</f>
        <v/>
      </c>
      <c r="AI254" s="14">
        <f>SUM(AI250:AI253)</f>
        <v/>
      </c>
      <c r="AJ254" s="14">
        <f>SUM(AJ250:AJ253)</f>
        <v/>
      </c>
      <c r="AK254" s="14">
        <f>SUM(AK250:AK253)</f>
        <v/>
      </c>
      <c r="AL254" s="14">
        <f>SUM(AL250:AL253)</f>
        <v/>
      </c>
      <c r="AM254" s="14">
        <f>SUM(AM250:AM253)</f>
        <v/>
      </c>
      <c r="AN254" s="14">
        <f>SUM(AN250:AN253)</f>
        <v/>
      </c>
      <c r="AO254" s="14">
        <f>SUM(AO250:AO253)</f>
        <v/>
      </c>
      <c r="AP254" s="14">
        <f>SUM(AP250:AP253)</f>
        <v/>
      </c>
      <c r="AQ254" s="14">
        <f>SUM(AQ250:AQ253)</f>
        <v/>
      </c>
      <c r="AR254" s="14">
        <f>SUM(AR250:AR253)</f>
        <v/>
      </c>
      <c r="AS254" s="14">
        <f>SUM(AS250:AS253)</f>
        <v/>
      </c>
      <c r="AT254" s="14">
        <f>SUM(AT250:AT253)</f>
        <v/>
      </c>
      <c r="AU254" s="14">
        <f>SUM(AU250:AU253)</f>
        <v/>
      </c>
      <c r="AV254" s="14">
        <f>SUM(AV250:AV253)</f>
        <v/>
      </c>
      <c r="AW254" s="14">
        <f>SUM(AW250:AW253)</f>
        <v/>
      </c>
      <c r="AX254" s="14">
        <f>SUM(AX250:AX253)</f>
        <v/>
      </c>
    </row>
    <row r="255" hidden="1" outlineLevel="1">
      <c r="C255" s="6" t="inlineStr">
        <is>
          <t>Degradation factor (from the first full year)</t>
        </is>
      </c>
      <c r="D255" s="2" t="inlineStr">
        <is>
          <t>x</t>
        </is>
      </c>
      <c r="J255" s="30">
        <f>(1-Degradation)^MAX(J244-1,0)</f>
        <v/>
      </c>
      <c r="K255" s="30">
        <f>(1-Degradation)^MAX(K244-1,0)</f>
        <v/>
      </c>
      <c r="L255" s="30">
        <f>(1-Degradation)^MAX(L244-1,0)</f>
        <v/>
      </c>
      <c r="M255" s="30">
        <f>(1-Degradation)^MAX(M244-1,0)</f>
        <v/>
      </c>
      <c r="N255" s="30">
        <f>(1-Degradation)^MAX(N244-1,0)</f>
        <v/>
      </c>
      <c r="O255" s="30">
        <f>(1-Degradation)^MAX(O244-1,0)</f>
        <v/>
      </c>
      <c r="P255" s="30">
        <f>(1-Degradation)^MAX(P244-1,0)</f>
        <v/>
      </c>
      <c r="Q255" s="30">
        <f>(1-Degradation)^MAX(Q244-1,0)</f>
        <v/>
      </c>
      <c r="R255" s="30">
        <f>(1-Degradation)^MAX(R244-1,0)</f>
        <v/>
      </c>
      <c r="S255" s="30">
        <f>(1-Degradation)^MAX(S244-1,0)</f>
        <v/>
      </c>
      <c r="T255" s="30">
        <f>(1-Degradation)^MAX(T244-1,0)</f>
        <v/>
      </c>
      <c r="U255" s="30">
        <f>(1-Degradation)^MAX(U244-1,0)</f>
        <v/>
      </c>
      <c r="V255" s="30">
        <f>(1-Degradation)^MAX(V244-1,0)</f>
        <v/>
      </c>
      <c r="W255" s="30">
        <f>(1-Degradation)^MAX(W244-1,0)</f>
        <v/>
      </c>
      <c r="X255" s="30">
        <f>(1-Degradation)^MAX(X244-1,0)</f>
        <v/>
      </c>
      <c r="Y255" s="30">
        <f>(1-Degradation)^MAX(Y244-1,0)</f>
        <v/>
      </c>
      <c r="Z255" s="30">
        <f>(1-Degradation)^MAX(Z244-1,0)</f>
        <v/>
      </c>
      <c r="AA255" s="30">
        <f>(1-Degradation)^MAX(AA244-1,0)</f>
        <v/>
      </c>
      <c r="AB255" s="30">
        <f>(1-Degradation)^MAX(AB244-1,0)</f>
        <v/>
      </c>
      <c r="AC255" s="30">
        <f>(1-Degradation)^MAX(AC244-1,0)</f>
        <v/>
      </c>
      <c r="AD255" s="30">
        <f>(1-Degradation)^MAX(AD244-1,0)</f>
        <v/>
      </c>
      <c r="AE255" s="30">
        <f>(1-Degradation)^MAX(AE244-1,0)</f>
        <v/>
      </c>
      <c r="AF255" s="30">
        <f>(1-Degradation)^MAX(AF244-1,0)</f>
        <v/>
      </c>
      <c r="AG255" s="30">
        <f>(1-Degradation)^MAX(AG244-1,0)</f>
        <v/>
      </c>
      <c r="AH255" s="30">
        <f>(1-Degradation)^MAX(AH244-1,0)</f>
        <v/>
      </c>
      <c r="AI255" s="30">
        <f>(1-Degradation)^MAX(AI244-1,0)</f>
        <v/>
      </c>
      <c r="AJ255" s="30">
        <f>(1-Degradation)^MAX(AJ244-1,0)</f>
        <v/>
      </c>
      <c r="AK255" s="30">
        <f>(1-Degradation)^MAX(AK244-1,0)</f>
        <v/>
      </c>
      <c r="AL255" s="30">
        <f>(1-Degradation)^MAX(AL244-1,0)</f>
        <v/>
      </c>
      <c r="AM255" s="30">
        <f>(1-Degradation)^MAX(AM244-1,0)</f>
        <v/>
      </c>
      <c r="AN255" s="30">
        <f>(1-Degradation)^MAX(AN244-1,0)</f>
        <v/>
      </c>
      <c r="AO255" s="30">
        <f>(1-Degradation)^MAX(AO244-1,0)</f>
        <v/>
      </c>
      <c r="AP255" s="30">
        <f>(1-Degradation)^MAX(AP244-1,0)</f>
        <v/>
      </c>
      <c r="AQ255" s="30">
        <f>(1-Degradation)^MAX(AQ244-1,0)</f>
        <v/>
      </c>
      <c r="AR255" s="30">
        <f>(1-Degradation)^MAX(AR244-1,0)</f>
        <v/>
      </c>
      <c r="AS255" s="30">
        <f>(1-Degradation)^MAX(AS244-1,0)</f>
        <v/>
      </c>
      <c r="AT255" s="30">
        <f>(1-Degradation)^MAX(AT244-1,0)</f>
        <v/>
      </c>
      <c r="AU255" s="30">
        <f>(1-Degradation)^MAX(AU244-1,0)</f>
        <v/>
      </c>
      <c r="AV255" s="30">
        <f>(1-Degradation)^MAX(AV244-1,0)</f>
        <v/>
      </c>
      <c r="AW255" s="30">
        <f>(1-Degradation)^MAX(AW244-1,0)</f>
        <v/>
      </c>
      <c r="AX255" s="30">
        <f>(1-Degradation)^MAX(AX244-1,0)</f>
        <v/>
      </c>
    </row>
    <row r="256" hidden="1" outlineLevel="1">
      <c r="C256" s="6" t="inlineStr">
        <is>
          <t>Net generation</t>
        </is>
      </c>
      <c r="D256" s="2" t="inlineStr">
        <is>
          <t>GWh</t>
        </is>
      </c>
      <c r="H256" s="16">
        <f>SUM(J256:AX256)</f>
        <v/>
      </c>
      <c r="J256" s="16">
        <f>$F$44*Case_P50*(1-Curtailment)*(1-Clipping)*J248*J255/Thousand</f>
        <v/>
      </c>
      <c r="K256" s="16">
        <f>$F$44*Case_P50*(1-Curtailment)*(1-Clipping)*K248*K255/Thousand</f>
        <v/>
      </c>
      <c r="L256" s="16">
        <f>$F$44*Case_P50*(1-Curtailment)*(1-Clipping)*L248*L255/Thousand</f>
        <v/>
      </c>
      <c r="M256" s="16">
        <f>$F$44*Case_P50*(1-Curtailment)*(1-Clipping)*M248*M255/Thousand</f>
        <v/>
      </c>
      <c r="N256" s="16">
        <f>$F$44*Case_P50*(1-Curtailment)*(1-Clipping)*N248*N255/Thousand</f>
        <v/>
      </c>
      <c r="O256" s="16">
        <f>$F$44*Case_P50*(1-Curtailment)*(1-Clipping)*O248*O255/Thousand</f>
        <v/>
      </c>
      <c r="P256" s="16">
        <f>$F$44*Case_P50*(1-Curtailment)*(1-Clipping)*P248*P255/Thousand</f>
        <v/>
      </c>
      <c r="Q256" s="16">
        <f>$F$44*Case_P50*(1-Curtailment)*(1-Clipping)*Q248*Q255/Thousand</f>
        <v/>
      </c>
      <c r="R256" s="16">
        <f>$F$44*Case_P50*(1-Curtailment)*(1-Clipping)*R248*R255/Thousand</f>
        <v/>
      </c>
      <c r="S256" s="16">
        <f>$F$44*Case_P50*(1-Curtailment)*(1-Clipping)*S248*S255/Thousand</f>
        <v/>
      </c>
      <c r="T256" s="16">
        <f>$F$44*Case_P50*(1-Curtailment)*(1-Clipping)*T248*T255/Thousand</f>
        <v/>
      </c>
      <c r="U256" s="16">
        <f>$F$44*Case_P50*(1-Curtailment)*(1-Clipping)*U248*U255/Thousand</f>
        <v/>
      </c>
      <c r="V256" s="16">
        <f>$F$44*Case_P50*(1-Curtailment)*(1-Clipping)*V248*V255/Thousand</f>
        <v/>
      </c>
      <c r="W256" s="16">
        <f>$F$44*Case_P50*(1-Curtailment)*(1-Clipping)*W248*W255/Thousand</f>
        <v/>
      </c>
      <c r="X256" s="16">
        <f>$F$44*Case_P50*(1-Curtailment)*(1-Clipping)*X248*X255/Thousand</f>
        <v/>
      </c>
      <c r="Y256" s="16">
        <f>$F$44*Case_P50*(1-Curtailment)*(1-Clipping)*Y248*Y255/Thousand</f>
        <v/>
      </c>
      <c r="Z256" s="16">
        <f>$F$44*Case_P50*(1-Curtailment)*(1-Clipping)*Z248*Z255/Thousand</f>
        <v/>
      </c>
      <c r="AA256" s="16">
        <f>$F$44*Case_P50*(1-Curtailment)*(1-Clipping)*AA248*AA255/Thousand</f>
        <v/>
      </c>
      <c r="AB256" s="16">
        <f>$F$44*Case_P50*(1-Curtailment)*(1-Clipping)*AB248*AB255/Thousand</f>
        <v/>
      </c>
      <c r="AC256" s="16">
        <f>$F$44*Case_P50*(1-Curtailment)*(1-Clipping)*AC248*AC255/Thousand</f>
        <v/>
      </c>
      <c r="AD256" s="16">
        <f>$F$44*Case_P50*(1-Curtailment)*(1-Clipping)*AD248*AD255/Thousand</f>
        <v/>
      </c>
      <c r="AE256" s="16">
        <f>$F$44*Case_P50*(1-Curtailment)*(1-Clipping)*AE248*AE255/Thousand</f>
        <v/>
      </c>
      <c r="AF256" s="16">
        <f>$F$44*Case_P50*(1-Curtailment)*(1-Clipping)*AF248*AF255/Thousand</f>
        <v/>
      </c>
      <c r="AG256" s="16">
        <f>$F$44*Case_P50*(1-Curtailment)*(1-Clipping)*AG248*AG255/Thousand</f>
        <v/>
      </c>
      <c r="AH256" s="16">
        <f>$F$44*Case_P50*(1-Curtailment)*(1-Clipping)*AH248*AH255/Thousand</f>
        <v/>
      </c>
      <c r="AI256" s="16">
        <f>$F$44*Case_P50*(1-Curtailment)*(1-Clipping)*AI248*AI255/Thousand</f>
        <v/>
      </c>
      <c r="AJ256" s="16">
        <f>$F$44*Case_P50*(1-Curtailment)*(1-Clipping)*AJ248*AJ255/Thousand</f>
        <v/>
      </c>
      <c r="AK256" s="16">
        <f>$F$44*Case_P50*(1-Curtailment)*(1-Clipping)*AK248*AK255/Thousand</f>
        <v/>
      </c>
      <c r="AL256" s="16">
        <f>$F$44*Case_P50*(1-Curtailment)*(1-Clipping)*AL248*AL255/Thousand</f>
        <v/>
      </c>
      <c r="AM256" s="16">
        <f>$F$44*Case_P50*(1-Curtailment)*(1-Clipping)*AM248*AM255/Thousand</f>
        <v/>
      </c>
      <c r="AN256" s="16">
        <f>$F$44*Case_P50*(1-Curtailment)*(1-Clipping)*AN248*AN255/Thousand</f>
        <v/>
      </c>
      <c r="AO256" s="16">
        <f>$F$44*Case_P50*(1-Curtailment)*(1-Clipping)*AO248*AO255/Thousand</f>
        <v/>
      </c>
      <c r="AP256" s="16">
        <f>$F$44*Case_P50*(1-Curtailment)*(1-Clipping)*AP248*AP255/Thousand</f>
        <v/>
      </c>
      <c r="AQ256" s="16">
        <f>$F$44*Case_P50*(1-Curtailment)*(1-Clipping)*AQ248*AQ255/Thousand</f>
        <v/>
      </c>
      <c r="AR256" s="16">
        <f>$F$44*Case_P50*(1-Curtailment)*(1-Clipping)*AR248*AR255/Thousand</f>
        <v/>
      </c>
      <c r="AS256" s="16">
        <f>$F$44*Case_P50*(1-Curtailment)*(1-Clipping)*AS248*AS255/Thousand</f>
        <v/>
      </c>
      <c r="AT256" s="16">
        <f>$F$44*Case_P50*(1-Curtailment)*(1-Clipping)*AT248*AT255/Thousand</f>
        <v/>
      </c>
      <c r="AU256" s="16">
        <f>$F$44*Case_P50*(1-Curtailment)*(1-Clipping)*AU248*AU255/Thousand</f>
        <v/>
      </c>
      <c r="AV256" s="16">
        <f>$F$44*Case_P50*(1-Curtailment)*(1-Clipping)*AV248*AV255/Thousand</f>
        <v/>
      </c>
      <c r="AW256" s="16">
        <f>$F$44*Case_P50*(1-Curtailment)*(1-Clipping)*AW248*AW255/Thousand</f>
        <v/>
      </c>
      <c r="AX256" s="16">
        <f>$F$44*Case_P50*(1-Curtailment)*(1-Clipping)*AX248*AX255/Thousand</f>
        <v/>
      </c>
    </row>
    <row r="257" hidden="1" outlineLevel="1">
      <c r="C257" s="6" t="inlineStr">
        <is>
          <t>PPA price</t>
        </is>
      </c>
      <c r="D257" s="2" t="inlineStr">
        <is>
          <t>EUR/MWh</t>
        </is>
      </c>
      <c r="J257" s="16">
        <f>Case_PPA*(1+PPA_Esc)^J244*(J248&gt;0)</f>
        <v/>
      </c>
      <c r="K257" s="16">
        <f>Case_PPA*(1+PPA_Esc)^K244*(K248&gt;0)</f>
        <v/>
      </c>
      <c r="L257" s="16">
        <f>Case_PPA*(1+PPA_Esc)^L244*(L248&gt;0)</f>
        <v/>
      </c>
      <c r="M257" s="16">
        <f>Case_PPA*(1+PPA_Esc)^M244*(M248&gt;0)</f>
        <v/>
      </c>
      <c r="N257" s="16">
        <f>Case_PPA*(1+PPA_Esc)^N244*(N248&gt;0)</f>
        <v/>
      </c>
      <c r="O257" s="16">
        <f>Case_PPA*(1+PPA_Esc)^O244*(O248&gt;0)</f>
        <v/>
      </c>
      <c r="P257" s="16">
        <f>Case_PPA*(1+PPA_Esc)^P244*(P248&gt;0)</f>
        <v/>
      </c>
      <c r="Q257" s="16">
        <f>Case_PPA*(1+PPA_Esc)^Q244*(Q248&gt;0)</f>
        <v/>
      </c>
      <c r="R257" s="16">
        <f>Case_PPA*(1+PPA_Esc)^R244*(R248&gt;0)</f>
        <v/>
      </c>
      <c r="S257" s="16">
        <f>Case_PPA*(1+PPA_Esc)^S244*(S248&gt;0)</f>
        <v/>
      </c>
      <c r="T257" s="16">
        <f>Case_PPA*(1+PPA_Esc)^T244*(T248&gt;0)</f>
        <v/>
      </c>
      <c r="U257" s="16">
        <f>Case_PPA*(1+PPA_Esc)^U244*(U248&gt;0)</f>
        <v/>
      </c>
      <c r="V257" s="16">
        <f>Case_PPA*(1+PPA_Esc)^V244*(V248&gt;0)</f>
        <v/>
      </c>
      <c r="W257" s="16">
        <f>Case_PPA*(1+PPA_Esc)^W244*(W248&gt;0)</f>
        <v/>
      </c>
      <c r="X257" s="16">
        <f>Case_PPA*(1+PPA_Esc)^X244*(X248&gt;0)</f>
        <v/>
      </c>
      <c r="Y257" s="16">
        <f>Case_PPA*(1+PPA_Esc)^Y244*(Y248&gt;0)</f>
        <v/>
      </c>
      <c r="Z257" s="16">
        <f>Case_PPA*(1+PPA_Esc)^Z244*(Z248&gt;0)</f>
        <v/>
      </c>
      <c r="AA257" s="16">
        <f>Case_PPA*(1+PPA_Esc)^AA244*(AA248&gt;0)</f>
        <v/>
      </c>
      <c r="AB257" s="16">
        <f>Case_PPA*(1+PPA_Esc)^AB244*(AB248&gt;0)</f>
        <v/>
      </c>
      <c r="AC257" s="16">
        <f>Case_PPA*(1+PPA_Esc)^AC244*(AC248&gt;0)</f>
        <v/>
      </c>
      <c r="AD257" s="16">
        <f>Case_PPA*(1+PPA_Esc)^AD244*(AD248&gt;0)</f>
        <v/>
      </c>
      <c r="AE257" s="16">
        <f>Case_PPA*(1+PPA_Esc)^AE244*(AE248&gt;0)</f>
        <v/>
      </c>
      <c r="AF257" s="16">
        <f>Case_PPA*(1+PPA_Esc)^AF244*(AF248&gt;0)</f>
        <v/>
      </c>
      <c r="AG257" s="16">
        <f>Case_PPA*(1+PPA_Esc)^AG244*(AG248&gt;0)</f>
        <v/>
      </c>
      <c r="AH257" s="16">
        <f>Case_PPA*(1+PPA_Esc)^AH244*(AH248&gt;0)</f>
        <v/>
      </c>
      <c r="AI257" s="16">
        <f>Case_PPA*(1+PPA_Esc)^AI244*(AI248&gt;0)</f>
        <v/>
      </c>
      <c r="AJ257" s="16">
        <f>Case_PPA*(1+PPA_Esc)^AJ244*(AJ248&gt;0)</f>
        <v/>
      </c>
      <c r="AK257" s="16">
        <f>Case_PPA*(1+PPA_Esc)^AK244*(AK248&gt;0)</f>
        <v/>
      </c>
      <c r="AL257" s="16">
        <f>Case_PPA*(1+PPA_Esc)^AL244*(AL248&gt;0)</f>
        <v/>
      </c>
      <c r="AM257" s="16">
        <f>Case_PPA*(1+PPA_Esc)^AM244*(AM248&gt;0)</f>
        <v/>
      </c>
      <c r="AN257" s="16">
        <f>Case_PPA*(1+PPA_Esc)^AN244*(AN248&gt;0)</f>
        <v/>
      </c>
      <c r="AO257" s="16">
        <f>Case_PPA*(1+PPA_Esc)^AO244*(AO248&gt;0)</f>
        <v/>
      </c>
      <c r="AP257" s="16">
        <f>Case_PPA*(1+PPA_Esc)^AP244*(AP248&gt;0)</f>
        <v/>
      </c>
      <c r="AQ257" s="16">
        <f>Case_PPA*(1+PPA_Esc)^AQ244*(AQ248&gt;0)</f>
        <v/>
      </c>
      <c r="AR257" s="16">
        <f>Case_PPA*(1+PPA_Esc)^AR244*(AR248&gt;0)</f>
        <v/>
      </c>
      <c r="AS257" s="16">
        <f>Case_PPA*(1+PPA_Esc)^AS244*(AS248&gt;0)</f>
        <v/>
      </c>
      <c r="AT257" s="16">
        <f>Case_PPA*(1+PPA_Esc)^AT244*(AT248&gt;0)</f>
        <v/>
      </c>
      <c r="AU257" s="16">
        <f>Case_PPA*(1+PPA_Esc)^AU244*(AU248&gt;0)</f>
        <v/>
      </c>
      <c r="AV257" s="16">
        <f>Case_PPA*(1+PPA_Esc)^AV244*(AV248&gt;0)</f>
        <v/>
      </c>
      <c r="AW257" s="16">
        <f>Case_PPA*(1+PPA_Esc)^AW244*(AW248&gt;0)</f>
        <v/>
      </c>
      <c r="AX257" s="16">
        <f>Case_PPA*(1+PPA_Esc)^AX244*(AX248&gt;0)</f>
        <v/>
      </c>
    </row>
    <row r="258" hidden="1" outlineLevel="1">
      <c r="C258" s="1" t="inlineStr">
        <is>
          <t>Revenue</t>
        </is>
      </c>
      <c r="D258" s="2" t="inlineStr">
        <is>
          <t>EUR k</t>
        </is>
      </c>
      <c r="H258" s="19">
        <f>SUM(J258:AX258)</f>
        <v/>
      </c>
      <c r="J258" s="19">
        <f>J256*J257</f>
        <v/>
      </c>
      <c r="K258" s="19">
        <f>K256*K257</f>
        <v/>
      </c>
      <c r="L258" s="19">
        <f>L256*L257</f>
        <v/>
      </c>
      <c r="M258" s="19">
        <f>M256*M257</f>
        <v/>
      </c>
      <c r="N258" s="19">
        <f>N256*N257</f>
        <v/>
      </c>
      <c r="O258" s="19">
        <f>O256*O257</f>
        <v/>
      </c>
      <c r="P258" s="19">
        <f>P256*P257</f>
        <v/>
      </c>
      <c r="Q258" s="19">
        <f>Q256*Q257</f>
        <v/>
      </c>
      <c r="R258" s="19">
        <f>R256*R257</f>
        <v/>
      </c>
      <c r="S258" s="19">
        <f>S256*S257</f>
        <v/>
      </c>
      <c r="T258" s="19">
        <f>T256*T257</f>
        <v/>
      </c>
      <c r="U258" s="19">
        <f>U256*U257</f>
        <v/>
      </c>
      <c r="V258" s="19">
        <f>V256*V257</f>
        <v/>
      </c>
      <c r="W258" s="19">
        <f>W256*W257</f>
        <v/>
      </c>
      <c r="X258" s="19">
        <f>X256*X257</f>
        <v/>
      </c>
      <c r="Y258" s="19">
        <f>Y256*Y257</f>
        <v/>
      </c>
      <c r="Z258" s="19">
        <f>Z256*Z257</f>
        <v/>
      </c>
      <c r="AA258" s="19">
        <f>AA256*AA257</f>
        <v/>
      </c>
      <c r="AB258" s="19">
        <f>AB256*AB257</f>
        <v/>
      </c>
      <c r="AC258" s="19">
        <f>AC256*AC257</f>
        <v/>
      </c>
      <c r="AD258" s="19">
        <f>AD256*AD257</f>
        <v/>
      </c>
      <c r="AE258" s="19">
        <f>AE256*AE257</f>
        <v/>
      </c>
      <c r="AF258" s="19">
        <f>AF256*AF257</f>
        <v/>
      </c>
      <c r="AG258" s="19">
        <f>AG256*AG257</f>
        <v/>
      </c>
      <c r="AH258" s="19">
        <f>AH256*AH257</f>
        <v/>
      </c>
      <c r="AI258" s="19">
        <f>AI256*AI257</f>
        <v/>
      </c>
      <c r="AJ258" s="19">
        <f>AJ256*AJ257</f>
        <v/>
      </c>
      <c r="AK258" s="19">
        <f>AK256*AK257</f>
        <v/>
      </c>
      <c r="AL258" s="19">
        <f>AL256*AL257</f>
        <v/>
      </c>
      <c r="AM258" s="19">
        <f>AM256*AM257</f>
        <v/>
      </c>
      <c r="AN258" s="19">
        <f>AN256*AN257</f>
        <v/>
      </c>
      <c r="AO258" s="19">
        <f>AO256*AO257</f>
        <v/>
      </c>
      <c r="AP258" s="19">
        <f>AP256*AP257</f>
        <v/>
      </c>
      <c r="AQ258" s="19">
        <f>AQ256*AQ257</f>
        <v/>
      </c>
      <c r="AR258" s="19">
        <f>AR256*AR257</f>
        <v/>
      </c>
      <c r="AS258" s="19">
        <f>AS256*AS257</f>
        <v/>
      </c>
      <c r="AT258" s="19">
        <f>AT256*AT257</f>
        <v/>
      </c>
      <c r="AU258" s="19">
        <f>AU256*AU257</f>
        <v/>
      </c>
      <c r="AV258" s="19">
        <f>AV256*AV257</f>
        <v/>
      </c>
      <c r="AW258" s="19">
        <f>AW256*AW257</f>
        <v/>
      </c>
      <c r="AX258" s="19">
        <f>AX256*AX257</f>
        <v/>
      </c>
    </row>
    <row r="259" hidden="1" outlineLevel="1">
      <c r="C259" s="6" t="inlineStr">
        <is>
          <t>Opex index (COD year = 1)</t>
        </is>
      </c>
      <c r="D259" s="2" t="inlineStr">
        <is>
          <t>x</t>
        </is>
      </c>
      <c r="J259" s="30">
        <f>(1+Opex_Esc)^J244</f>
        <v/>
      </c>
      <c r="K259" s="30">
        <f>(1+Opex_Esc)^K244</f>
        <v/>
      </c>
      <c r="L259" s="30">
        <f>(1+Opex_Esc)^L244</f>
        <v/>
      </c>
      <c r="M259" s="30">
        <f>(1+Opex_Esc)^M244</f>
        <v/>
      </c>
      <c r="N259" s="30">
        <f>(1+Opex_Esc)^N244</f>
        <v/>
      </c>
      <c r="O259" s="30">
        <f>(1+Opex_Esc)^O244</f>
        <v/>
      </c>
      <c r="P259" s="30">
        <f>(1+Opex_Esc)^P244</f>
        <v/>
      </c>
      <c r="Q259" s="30">
        <f>(1+Opex_Esc)^Q244</f>
        <v/>
      </c>
      <c r="R259" s="30">
        <f>(1+Opex_Esc)^R244</f>
        <v/>
      </c>
      <c r="S259" s="30">
        <f>(1+Opex_Esc)^S244</f>
        <v/>
      </c>
      <c r="T259" s="30">
        <f>(1+Opex_Esc)^T244</f>
        <v/>
      </c>
      <c r="U259" s="30">
        <f>(1+Opex_Esc)^U244</f>
        <v/>
      </c>
      <c r="V259" s="30">
        <f>(1+Opex_Esc)^V244</f>
        <v/>
      </c>
      <c r="W259" s="30">
        <f>(1+Opex_Esc)^W244</f>
        <v/>
      </c>
      <c r="X259" s="30">
        <f>(1+Opex_Esc)^X244</f>
        <v/>
      </c>
      <c r="Y259" s="30">
        <f>(1+Opex_Esc)^Y244</f>
        <v/>
      </c>
      <c r="Z259" s="30">
        <f>(1+Opex_Esc)^Z244</f>
        <v/>
      </c>
      <c r="AA259" s="30">
        <f>(1+Opex_Esc)^AA244</f>
        <v/>
      </c>
      <c r="AB259" s="30">
        <f>(1+Opex_Esc)^AB244</f>
        <v/>
      </c>
      <c r="AC259" s="30">
        <f>(1+Opex_Esc)^AC244</f>
        <v/>
      </c>
      <c r="AD259" s="30">
        <f>(1+Opex_Esc)^AD244</f>
        <v/>
      </c>
      <c r="AE259" s="30">
        <f>(1+Opex_Esc)^AE244</f>
        <v/>
      </c>
      <c r="AF259" s="30">
        <f>(1+Opex_Esc)^AF244</f>
        <v/>
      </c>
      <c r="AG259" s="30">
        <f>(1+Opex_Esc)^AG244</f>
        <v/>
      </c>
      <c r="AH259" s="30">
        <f>(1+Opex_Esc)^AH244</f>
        <v/>
      </c>
      <c r="AI259" s="30">
        <f>(1+Opex_Esc)^AI244</f>
        <v/>
      </c>
      <c r="AJ259" s="30">
        <f>(1+Opex_Esc)^AJ244</f>
        <v/>
      </c>
      <c r="AK259" s="30">
        <f>(1+Opex_Esc)^AK244</f>
        <v/>
      </c>
      <c r="AL259" s="30">
        <f>(1+Opex_Esc)^AL244</f>
        <v/>
      </c>
      <c r="AM259" s="30">
        <f>(1+Opex_Esc)^AM244</f>
        <v/>
      </c>
      <c r="AN259" s="30">
        <f>(1+Opex_Esc)^AN244</f>
        <v/>
      </c>
      <c r="AO259" s="30">
        <f>(1+Opex_Esc)^AO244</f>
        <v/>
      </c>
      <c r="AP259" s="30">
        <f>(1+Opex_Esc)^AP244</f>
        <v/>
      </c>
      <c r="AQ259" s="30">
        <f>(1+Opex_Esc)^AQ244</f>
        <v/>
      </c>
      <c r="AR259" s="30">
        <f>(1+Opex_Esc)^AR244</f>
        <v/>
      </c>
      <c r="AS259" s="30">
        <f>(1+Opex_Esc)^AS244</f>
        <v/>
      </c>
      <c r="AT259" s="30">
        <f>(1+Opex_Esc)^AT244</f>
        <v/>
      </c>
      <c r="AU259" s="30">
        <f>(1+Opex_Esc)^AU244</f>
        <v/>
      </c>
      <c r="AV259" s="30">
        <f>(1+Opex_Esc)^AV244</f>
        <v/>
      </c>
      <c r="AW259" s="30">
        <f>(1+Opex_Esc)^AW244</f>
        <v/>
      </c>
      <c r="AX259" s="30">
        <f>(1+Opex_Esc)^AX244</f>
        <v/>
      </c>
    </row>
    <row r="260" hidden="1" outlineLevel="1">
      <c r="C260" s="6" t="inlineStr">
        <is>
          <t>O&amp;M, BoP, lease, insurance, management, property tax</t>
        </is>
      </c>
      <c r="D260" s="2" t="inlineStr">
        <is>
          <t>EUR k</t>
        </is>
      </c>
      <c r="H260" s="8">
        <f>SUM(J260:AX260)</f>
        <v/>
      </c>
      <c r="J260" s="8">
        <f>-(Case_OM+SUM(Opex_Per_MW))*$F$44*J259*J248</f>
        <v/>
      </c>
      <c r="K260" s="8">
        <f>-(Case_OM+SUM(Opex_Per_MW))*$F$44*K259*K248</f>
        <v/>
      </c>
      <c r="L260" s="8">
        <f>-(Case_OM+SUM(Opex_Per_MW))*$F$44*L259*L248</f>
        <v/>
      </c>
      <c r="M260" s="8">
        <f>-(Case_OM+SUM(Opex_Per_MW))*$F$44*M259*M248</f>
        <v/>
      </c>
      <c r="N260" s="8">
        <f>-(Case_OM+SUM(Opex_Per_MW))*$F$44*N259*N248</f>
        <v/>
      </c>
      <c r="O260" s="8">
        <f>-(Case_OM+SUM(Opex_Per_MW))*$F$44*O259*O248</f>
        <v/>
      </c>
      <c r="P260" s="8">
        <f>-(Case_OM+SUM(Opex_Per_MW))*$F$44*P259*P248</f>
        <v/>
      </c>
      <c r="Q260" s="8">
        <f>-(Case_OM+SUM(Opex_Per_MW))*$F$44*Q259*Q248</f>
        <v/>
      </c>
      <c r="R260" s="8">
        <f>-(Case_OM+SUM(Opex_Per_MW))*$F$44*R259*R248</f>
        <v/>
      </c>
      <c r="S260" s="8">
        <f>-(Case_OM+SUM(Opex_Per_MW))*$F$44*S259*S248</f>
        <v/>
      </c>
      <c r="T260" s="8">
        <f>-(Case_OM+SUM(Opex_Per_MW))*$F$44*T259*T248</f>
        <v/>
      </c>
      <c r="U260" s="8">
        <f>-(Case_OM+SUM(Opex_Per_MW))*$F$44*U259*U248</f>
        <v/>
      </c>
      <c r="V260" s="8">
        <f>-(Case_OM+SUM(Opex_Per_MW))*$F$44*V259*V248</f>
        <v/>
      </c>
      <c r="W260" s="8">
        <f>-(Case_OM+SUM(Opex_Per_MW))*$F$44*W259*W248</f>
        <v/>
      </c>
      <c r="X260" s="8">
        <f>-(Case_OM+SUM(Opex_Per_MW))*$F$44*X259*X248</f>
        <v/>
      </c>
      <c r="Y260" s="8">
        <f>-(Case_OM+SUM(Opex_Per_MW))*$F$44*Y259*Y248</f>
        <v/>
      </c>
      <c r="Z260" s="8">
        <f>-(Case_OM+SUM(Opex_Per_MW))*$F$44*Z259*Z248</f>
        <v/>
      </c>
      <c r="AA260" s="8">
        <f>-(Case_OM+SUM(Opex_Per_MW))*$F$44*AA259*AA248</f>
        <v/>
      </c>
      <c r="AB260" s="8">
        <f>-(Case_OM+SUM(Opex_Per_MW))*$F$44*AB259*AB248</f>
        <v/>
      </c>
      <c r="AC260" s="8">
        <f>-(Case_OM+SUM(Opex_Per_MW))*$F$44*AC259*AC248</f>
        <v/>
      </c>
      <c r="AD260" s="8">
        <f>-(Case_OM+SUM(Opex_Per_MW))*$F$44*AD259*AD248</f>
        <v/>
      </c>
      <c r="AE260" s="8">
        <f>-(Case_OM+SUM(Opex_Per_MW))*$F$44*AE259*AE248</f>
        <v/>
      </c>
      <c r="AF260" s="8">
        <f>-(Case_OM+SUM(Opex_Per_MW))*$F$44*AF259*AF248</f>
        <v/>
      </c>
      <c r="AG260" s="8">
        <f>-(Case_OM+SUM(Opex_Per_MW))*$F$44*AG259*AG248</f>
        <v/>
      </c>
      <c r="AH260" s="8">
        <f>-(Case_OM+SUM(Opex_Per_MW))*$F$44*AH259*AH248</f>
        <v/>
      </c>
      <c r="AI260" s="8">
        <f>-(Case_OM+SUM(Opex_Per_MW))*$F$44*AI259*AI248</f>
        <v/>
      </c>
      <c r="AJ260" s="8">
        <f>-(Case_OM+SUM(Opex_Per_MW))*$F$44*AJ259*AJ248</f>
        <v/>
      </c>
      <c r="AK260" s="8">
        <f>-(Case_OM+SUM(Opex_Per_MW))*$F$44*AK259*AK248</f>
        <v/>
      </c>
      <c r="AL260" s="8">
        <f>-(Case_OM+SUM(Opex_Per_MW))*$F$44*AL259*AL248</f>
        <v/>
      </c>
      <c r="AM260" s="8">
        <f>-(Case_OM+SUM(Opex_Per_MW))*$F$44*AM259*AM248</f>
        <v/>
      </c>
      <c r="AN260" s="8">
        <f>-(Case_OM+SUM(Opex_Per_MW))*$F$44*AN259*AN248</f>
        <v/>
      </c>
      <c r="AO260" s="8">
        <f>-(Case_OM+SUM(Opex_Per_MW))*$F$44*AO259*AO248</f>
        <v/>
      </c>
      <c r="AP260" s="8">
        <f>-(Case_OM+SUM(Opex_Per_MW))*$F$44*AP259*AP248</f>
        <v/>
      </c>
      <c r="AQ260" s="8">
        <f>-(Case_OM+SUM(Opex_Per_MW))*$F$44*AQ259*AQ248</f>
        <v/>
      </c>
      <c r="AR260" s="8">
        <f>-(Case_OM+SUM(Opex_Per_MW))*$F$44*AR259*AR248</f>
        <v/>
      </c>
      <c r="AS260" s="8">
        <f>-(Case_OM+SUM(Opex_Per_MW))*$F$44*AS259*AS248</f>
        <v/>
      </c>
      <c r="AT260" s="8">
        <f>-(Case_OM+SUM(Opex_Per_MW))*$F$44*AT259*AT248</f>
        <v/>
      </c>
      <c r="AU260" s="8">
        <f>-(Case_OM+SUM(Opex_Per_MW))*$F$44*AU259*AU248</f>
        <v/>
      </c>
      <c r="AV260" s="8">
        <f>-(Case_OM+SUM(Opex_Per_MW))*$F$44*AV259*AV248</f>
        <v/>
      </c>
      <c r="AW260" s="8">
        <f>-(Case_OM+SUM(Opex_Per_MW))*$F$44*AW259*AW248</f>
        <v/>
      </c>
      <c r="AX260" s="8">
        <f>-(Case_OM+SUM(Opex_Per_MW))*$F$44*AX259*AX248</f>
        <v/>
      </c>
    </row>
    <row r="261" hidden="1" outlineLevel="1">
      <c r="C261" s="6" t="inlineStr">
        <is>
          <t>Administration, audit, compliance</t>
        </is>
      </c>
      <c r="D261" s="2" t="inlineStr">
        <is>
          <t>EUR k</t>
        </is>
      </c>
      <c r="H261" s="8">
        <f>SUM(J261:AX261)</f>
        <v/>
      </c>
      <c r="J261" s="8">
        <f>-Opex_Admin*$F$6/Lump_Basis*J259*J248</f>
        <v/>
      </c>
      <c r="K261" s="8">
        <f>-Opex_Admin*$F$6/Lump_Basis*K259*K248</f>
        <v/>
      </c>
      <c r="L261" s="8">
        <f>-Opex_Admin*$F$6/Lump_Basis*L259*L248</f>
        <v/>
      </c>
      <c r="M261" s="8">
        <f>-Opex_Admin*$F$6/Lump_Basis*M259*M248</f>
        <v/>
      </c>
      <c r="N261" s="8">
        <f>-Opex_Admin*$F$6/Lump_Basis*N259*N248</f>
        <v/>
      </c>
      <c r="O261" s="8">
        <f>-Opex_Admin*$F$6/Lump_Basis*O259*O248</f>
        <v/>
      </c>
      <c r="P261" s="8">
        <f>-Opex_Admin*$F$6/Lump_Basis*P259*P248</f>
        <v/>
      </c>
      <c r="Q261" s="8">
        <f>-Opex_Admin*$F$6/Lump_Basis*Q259*Q248</f>
        <v/>
      </c>
      <c r="R261" s="8">
        <f>-Opex_Admin*$F$6/Lump_Basis*R259*R248</f>
        <v/>
      </c>
      <c r="S261" s="8">
        <f>-Opex_Admin*$F$6/Lump_Basis*S259*S248</f>
        <v/>
      </c>
      <c r="T261" s="8">
        <f>-Opex_Admin*$F$6/Lump_Basis*T259*T248</f>
        <v/>
      </c>
      <c r="U261" s="8">
        <f>-Opex_Admin*$F$6/Lump_Basis*U259*U248</f>
        <v/>
      </c>
      <c r="V261" s="8">
        <f>-Opex_Admin*$F$6/Lump_Basis*V259*V248</f>
        <v/>
      </c>
      <c r="W261" s="8">
        <f>-Opex_Admin*$F$6/Lump_Basis*W259*W248</f>
        <v/>
      </c>
      <c r="X261" s="8">
        <f>-Opex_Admin*$F$6/Lump_Basis*X259*X248</f>
        <v/>
      </c>
      <c r="Y261" s="8">
        <f>-Opex_Admin*$F$6/Lump_Basis*Y259*Y248</f>
        <v/>
      </c>
      <c r="Z261" s="8">
        <f>-Opex_Admin*$F$6/Lump_Basis*Z259*Z248</f>
        <v/>
      </c>
      <c r="AA261" s="8">
        <f>-Opex_Admin*$F$6/Lump_Basis*AA259*AA248</f>
        <v/>
      </c>
      <c r="AB261" s="8">
        <f>-Opex_Admin*$F$6/Lump_Basis*AB259*AB248</f>
        <v/>
      </c>
      <c r="AC261" s="8">
        <f>-Opex_Admin*$F$6/Lump_Basis*AC259*AC248</f>
        <v/>
      </c>
      <c r="AD261" s="8">
        <f>-Opex_Admin*$F$6/Lump_Basis*AD259*AD248</f>
        <v/>
      </c>
      <c r="AE261" s="8">
        <f>-Opex_Admin*$F$6/Lump_Basis*AE259*AE248</f>
        <v/>
      </c>
      <c r="AF261" s="8">
        <f>-Opex_Admin*$F$6/Lump_Basis*AF259*AF248</f>
        <v/>
      </c>
      <c r="AG261" s="8">
        <f>-Opex_Admin*$F$6/Lump_Basis*AG259*AG248</f>
        <v/>
      </c>
      <c r="AH261" s="8">
        <f>-Opex_Admin*$F$6/Lump_Basis*AH259*AH248</f>
        <v/>
      </c>
      <c r="AI261" s="8">
        <f>-Opex_Admin*$F$6/Lump_Basis*AI259*AI248</f>
        <v/>
      </c>
      <c r="AJ261" s="8">
        <f>-Opex_Admin*$F$6/Lump_Basis*AJ259*AJ248</f>
        <v/>
      </c>
      <c r="AK261" s="8">
        <f>-Opex_Admin*$F$6/Lump_Basis*AK259*AK248</f>
        <v/>
      </c>
      <c r="AL261" s="8">
        <f>-Opex_Admin*$F$6/Lump_Basis*AL259*AL248</f>
        <v/>
      </c>
      <c r="AM261" s="8">
        <f>-Opex_Admin*$F$6/Lump_Basis*AM259*AM248</f>
        <v/>
      </c>
      <c r="AN261" s="8">
        <f>-Opex_Admin*$F$6/Lump_Basis*AN259*AN248</f>
        <v/>
      </c>
      <c r="AO261" s="8">
        <f>-Opex_Admin*$F$6/Lump_Basis*AO259*AO248</f>
        <v/>
      </c>
      <c r="AP261" s="8">
        <f>-Opex_Admin*$F$6/Lump_Basis*AP259*AP248</f>
        <v/>
      </c>
      <c r="AQ261" s="8">
        <f>-Opex_Admin*$F$6/Lump_Basis*AQ259*AQ248</f>
        <v/>
      </c>
      <c r="AR261" s="8">
        <f>-Opex_Admin*$F$6/Lump_Basis*AR259*AR248</f>
        <v/>
      </c>
      <c r="AS261" s="8">
        <f>-Opex_Admin*$F$6/Lump_Basis*AS259*AS248</f>
        <v/>
      </c>
      <c r="AT261" s="8">
        <f>-Opex_Admin*$F$6/Lump_Basis*AT259*AT248</f>
        <v/>
      </c>
      <c r="AU261" s="8">
        <f>-Opex_Admin*$F$6/Lump_Basis*AU259*AU248</f>
        <v/>
      </c>
      <c r="AV261" s="8">
        <f>-Opex_Admin*$F$6/Lump_Basis*AV259*AV248</f>
        <v/>
      </c>
      <c r="AW261" s="8">
        <f>-Opex_Admin*$F$6/Lump_Basis*AW259*AW248</f>
        <v/>
      </c>
      <c r="AX261" s="8">
        <f>-Opex_Admin*$F$6/Lump_Basis*AX259*AX248</f>
        <v/>
      </c>
    </row>
    <row r="262" hidden="1" outlineLevel="1">
      <c r="C262" s="6" t="inlineStr">
        <is>
          <t>Balancing and grid charges</t>
        </is>
      </c>
      <c r="D262" s="2" t="inlineStr">
        <is>
          <t>EUR k</t>
        </is>
      </c>
      <c r="H262" s="8">
        <f>SUM(J262:AX262)</f>
        <v/>
      </c>
      <c r="J262" s="8">
        <f>-J256*(Balancing+Grid_Charges)*J259</f>
        <v/>
      </c>
      <c r="K262" s="8">
        <f>-K256*(Balancing+Grid_Charges)*K259</f>
        <v/>
      </c>
      <c r="L262" s="8">
        <f>-L256*(Balancing+Grid_Charges)*L259</f>
        <v/>
      </c>
      <c r="M262" s="8">
        <f>-M256*(Balancing+Grid_Charges)*M259</f>
        <v/>
      </c>
      <c r="N262" s="8">
        <f>-N256*(Balancing+Grid_Charges)*N259</f>
        <v/>
      </c>
      <c r="O262" s="8">
        <f>-O256*(Balancing+Grid_Charges)*O259</f>
        <v/>
      </c>
      <c r="P262" s="8">
        <f>-P256*(Balancing+Grid_Charges)*P259</f>
        <v/>
      </c>
      <c r="Q262" s="8">
        <f>-Q256*(Balancing+Grid_Charges)*Q259</f>
        <v/>
      </c>
      <c r="R262" s="8">
        <f>-R256*(Balancing+Grid_Charges)*R259</f>
        <v/>
      </c>
      <c r="S262" s="8">
        <f>-S256*(Balancing+Grid_Charges)*S259</f>
        <v/>
      </c>
      <c r="T262" s="8">
        <f>-T256*(Balancing+Grid_Charges)*T259</f>
        <v/>
      </c>
      <c r="U262" s="8">
        <f>-U256*(Balancing+Grid_Charges)*U259</f>
        <v/>
      </c>
      <c r="V262" s="8">
        <f>-V256*(Balancing+Grid_Charges)*V259</f>
        <v/>
      </c>
      <c r="W262" s="8">
        <f>-W256*(Balancing+Grid_Charges)*W259</f>
        <v/>
      </c>
      <c r="X262" s="8">
        <f>-X256*(Balancing+Grid_Charges)*X259</f>
        <v/>
      </c>
      <c r="Y262" s="8">
        <f>-Y256*(Balancing+Grid_Charges)*Y259</f>
        <v/>
      </c>
      <c r="Z262" s="8">
        <f>-Z256*(Balancing+Grid_Charges)*Z259</f>
        <v/>
      </c>
      <c r="AA262" s="8">
        <f>-AA256*(Balancing+Grid_Charges)*AA259</f>
        <v/>
      </c>
      <c r="AB262" s="8">
        <f>-AB256*(Balancing+Grid_Charges)*AB259</f>
        <v/>
      </c>
      <c r="AC262" s="8">
        <f>-AC256*(Balancing+Grid_Charges)*AC259</f>
        <v/>
      </c>
      <c r="AD262" s="8">
        <f>-AD256*(Balancing+Grid_Charges)*AD259</f>
        <v/>
      </c>
      <c r="AE262" s="8">
        <f>-AE256*(Balancing+Grid_Charges)*AE259</f>
        <v/>
      </c>
      <c r="AF262" s="8">
        <f>-AF256*(Balancing+Grid_Charges)*AF259</f>
        <v/>
      </c>
      <c r="AG262" s="8">
        <f>-AG256*(Balancing+Grid_Charges)*AG259</f>
        <v/>
      </c>
      <c r="AH262" s="8">
        <f>-AH256*(Balancing+Grid_Charges)*AH259</f>
        <v/>
      </c>
      <c r="AI262" s="8">
        <f>-AI256*(Balancing+Grid_Charges)*AI259</f>
        <v/>
      </c>
      <c r="AJ262" s="8">
        <f>-AJ256*(Balancing+Grid_Charges)*AJ259</f>
        <v/>
      </c>
      <c r="AK262" s="8">
        <f>-AK256*(Balancing+Grid_Charges)*AK259</f>
        <v/>
      </c>
      <c r="AL262" s="8">
        <f>-AL256*(Balancing+Grid_Charges)*AL259</f>
        <v/>
      </c>
      <c r="AM262" s="8">
        <f>-AM256*(Balancing+Grid_Charges)*AM259</f>
        <v/>
      </c>
      <c r="AN262" s="8">
        <f>-AN256*(Balancing+Grid_Charges)*AN259</f>
        <v/>
      </c>
      <c r="AO262" s="8">
        <f>-AO256*(Balancing+Grid_Charges)*AO259</f>
        <v/>
      </c>
      <c r="AP262" s="8">
        <f>-AP256*(Balancing+Grid_Charges)*AP259</f>
        <v/>
      </c>
      <c r="AQ262" s="8">
        <f>-AQ256*(Balancing+Grid_Charges)*AQ259</f>
        <v/>
      </c>
      <c r="AR262" s="8">
        <f>-AR256*(Balancing+Grid_Charges)*AR259</f>
        <v/>
      </c>
      <c r="AS262" s="8">
        <f>-AS256*(Balancing+Grid_Charges)*AS259</f>
        <v/>
      </c>
      <c r="AT262" s="8">
        <f>-AT256*(Balancing+Grid_Charges)*AT259</f>
        <v/>
      </c>
      <c r="AU262" s="8">
        <f>-AU256*(Balancing+Grid_Charges)*AU259</f>
        <v/>
      </c>
      <c r="AV262" s="8">
        <f>-AV256*(Balancing+Grid_Charges)*AV259</f>
        <v/>
      </c>
      <c r="AW262" s="8">
        <f>-AW256*(Balancing+Grid_Charges)*AW259</f>
        <v/>
      </c>
      <c r="AX262" s="8">
        <f>-AX256*(Balancing+Grid_Charges)*AX259</f>
        <v/>
      </c>
    </row>
    <row r="263" hidden="1" outlineLevel="1">
      <c r="C263" s="6" t="inlineStr">
        <is>
          <t>MEKH supervisory fee</t>
        </is>
      </c>
      <c r="D263" s="2" t="inlineStr">
        <is>
          <t>EUR k</t>
        </is>
      </c>
      <c r="H263" s="8">
        <f>SUM(J263:AX263)</f>
        <v/>
      </c>
      <c r="J263" s="8">
        <f>-J258*MEKH_Fee</f>
        <v/>
      </c>
      <c r="K263" s="8">
        <f>-K258*MEKH_Fee</f>
        <v/>
      </c>
      <c r="L263" s="8">
        <f>-L258*MEKH_Fee</f>
        <v/>
      </c>
      <c r="M263" s="8">
        <f>-M258*MEKH_Fee</f>
        <v/>
      </c>
      <c r="N263" s="8">
        <f>-N258*MEKH_Fee</f>
        <v/>
      </c>
      <c r="O263" s="8">
        <f>-O258*MEKH_Fee</f>
        <v/>
      </c>
      <c r="P263" s="8">
        <f>-P258*MEKH_Fee</f>
        <v/>
      </c>
      <c r="Q263" s="8">
        <f>-Q258*MEKH_Fee</f>
        <v/>
      </c>
      <c r="R263" s="8">
        <f>-R258*MEKH_Fee</f>
        <v/>
      </c>
      <c r="S263" s="8">
        <f>-S258*MEKH_Fee</f>
        <v/>
      </c>
      <c r="T263" s="8">
        <f>-T258*MEKH_Fee</f>
        <v/>
      </c>
      <c r="U263" s="8">
        <f>-U258*MEKH_Fee</f>
        <v/>
      </c>
      <c r="V263" s="8">
        <f>-V258*MEKH_Fee</f>
        <v/>
      </c>
      <c r="W263" s="8">
        <f>-W258*MEKH_Fee</f>
        <v/>
      </c>
      <c r="X263" s="8">
        <f>-X258*MEKH_Fee</f>
        <v/>
      </c>
      <c r="Y263" s="8">
        <f>-Y258*MEKH_Fee</f>
        <v/>
      </c>
      <c r="Z263" s="8">
        <f>-Z258*MEKH_Fee</f>
        <v/>
      </c>
      <c r="AA263" s="8">
        <f>-AA258*MEKH_Fee</f>
        <v/>
      </c>
      <c r="AB263" s="8">
        <f>-AB258*MEKH_Fee</f>
        <v/>
      </c>
      <c r="AC263" s="8">
        <f>-AC258*MEKH_Fee</f>
        <v/>
      </c>
      <c r="AD263" s="8">
        <f>-AD258*MEKH_Fee</f>
        <v/>
      </c>
      <c r="AE263" s="8">
        <f>-AE258*MEKH_Fee</f>
        <v/>
      </c>
      <c r="AF263" s="8">
        <f>-AF258*MEKH_Fee</f>
        <v/>
      </c>
      <c r="AG263" s="8">
        <f>-AG258*MEKH_Fee</f>
        <v/>
      </c>
      <c r="AH263" s="8">
        <f>-AH258*MEKH_Fee</f>
        <v/>
      </c>
      <c r="AI263" s="8">
        <f>-AI258*MEKH_Fee</f>
        <v/>
      </c>
      <c r="AJ263" s="8">
        <f>-AJ258*MEKH_Fee</f>
        <v/>
      </c>
      <c r="AK263" s="8">
        <f>-AK258*MEKH_Fee</f>
        <v/>
      </c>
      <c r="AL263" s="8">
        <f>-AL258*MEKH_Fee</f>
        <v/>
      </c>
      <c r="AM263" s="8">
        <f>-AM258*MEKH_Fee</f>
        <v/>
      </c>
      <c r="AN263" s="8">
        <f>-AN258*MEKH_Fee</f>
        <v/>
      </c>
      <c r="AO263" s="8">
        <f>-AO258*MEKH_Fee</f>
        <v/>
      </c>
      <c r="AP263" s="8">
        <f>-AP258*MEKH_Fee</f>
        <v/>
      </c>
      <c r="AQ263" s="8">
        <f>-AQ258*MEKH_Fee</f>
        <v/>
      </c>
      <c r="AR263" s="8">
        <f>-AR258*MEKH_Fee</f>
        <v/>
      </c>
      <c r="AS263" s="8">
        <f>-AS258*MEKH_Fee</f>
        <v/>
      </c>
      <c r="AT263" s="8">
        <f>-AT258*MEKH_Fee</f>
        <v/>
      </c>
      <c r="AU263" s="8">
        <f>-AU258*MEKH_Fee</f>
        <v/>
      </c>
      <c r="AV263" s="8">
        <f>-AV258*MEKH_Fee</f>
        <v/>
      </c>
      <c r="AW263" s="8">
        <f>-AW258*MEKH_Fee</f>
        <v/>
      </c>
      <c r="AX263" s="8">
        <f>-AX258*MEKH_Fee</f>
        <v/>
      </c>
    </row>
    <row r="264" hidden="1" outlineLevel="1">
      <c r="C264" s="6" t="inlineStr">
        <is>
          <t>Opex contingency</t>
        </is>
      </c>
      <c r="D264" s="2" t="inlineStr">
        <is>
          <t>EUR k</t>
        </is>
      </c>
      <c r="H264" s="8">
        <f>SUM(J264:AX264)</f>
        <v/>
      </c>
      <c r="J264" s="8">
        <f>SUM(J260:J263)*Opex_Cont</f>
        <v/>
      </c>
      <c r="K264" s="8">
        <f>SUM(K260:K263)*Opex_Cont</f>
        <v/>
      </c>
      <c r="L264" s="8">
        <f>SUM(L260:L263)*Opex_Cont</f>
        <v/>
      </c>
      <c r="M264" s="8">
        <f>SUM(M260:M263)*Opex_Cont</f>
        <v/>
      </c>
      <c r="N264" s="8">
        <f>SUM(N260:N263)*Opex_Cont</f>
        <v/>
      </c>
      <c r="O264" s="8">
        <f>SUM(O260:O263)*Opex_Cont</f>
        <v/>
      </c>
      <c r="P264" s="8">
        <f>SUM(P260:P263)*Opex_Cont</f>
        <v/>
      </c>
      <c r="Q264" s="8">
        <f>SUM(Q260:Q263)*Opex_Cont</f>
        <v/>
      </c>
      <c r="R264" s="8">
        <f>SUM(R260:R263)*Opex_Cont</f>
        <v/>
      </c>
      <c r="S264" s="8">
        <f>SUM(S260:S263)*Opex_Cont</f>
        <v/>
      </c>
      <c r="T264" s="8">
        <f>SUM(T260:T263)*Opex_Cont</f>
        <v/>
      </c>
      <c r="U264" s="8">
        <f>SUM(U260:U263)*Opex_Cont</f>
        <v/>
      </c>
      <c r="V264" s="8">
        <f>SUM(V260:V263)*Opex_Cont</f>
        <v/>
      </c>
      <c r="W264" s="8">
        <f>SUM(W260:W263)*Opex_Cont</f>
        <v/>
      </c>
      <c r="X264" s="8">
        <f>SUM(X260:X263)*Opex_Cont</f>
        <v/>
      </c>
      <c r="Y264" s="8">
        <f>SUM(Y260:Y263)*Opex_Cont</f>
        <v/>
      </c>
      <c r="Z264" s="8">
        <f>SUM(Z260:Z263)*Opex_Cont</f>
        <v/>
      </c>
      <c r="AA264" s="8">
        <f>SUM(AA260:AA263)*Opex_Cont</f>
        <v/>
      </c>
      <c r="AB264" s="8">
        <f>SUM(AB260:AB263)*Opex_Cont</f>
        <v/>
      </c>
      <c r="AC264" s="8">
        <f>SUM(AC260:AC263)*Opex_Cont</f>
        <v/>
      </c>
      <c r="AD264" s="8">
        <f>SUM(AD260:AD263)*Opex_Cont</f>
        <v/>
      </c>
      <c r="AE264" s="8">
        <f>SUM(AE260:AE263)*Opex_Cont</f>
        <v/>
      </c>
      <c r="AF264" s="8">
        <f>SUM(AF260:AF263)*Opex_Cont</f>
        <v/>
      </c>
      <c r="AG264" s="8">
        <f>SUM(AG260:AG263)*Opex_Cont</f>
        <v/>
      </c>
      <c r="AH264" s="8">
        <f>SUM(AH260:AH263)*Opex_Cont</f>
        <v/>
      </c>
      <c r="AI264" s="8">
        <f>SUM(AI260:AI263)*Opex_Cont</f>
        <v/>
      </c>
      <c r="AJ264" s="8">
        <f>SUM(AJ260:AJ263)*Opex_Cont</f>
        <v/>
      </c>
      <c r="AK264" s="8">
        <f>SUM(AK260:AK263)*Opex_Cont</f>
        <v/>
      </c>
      <c r="AL264" s="8">
        <f>SUM(AL260:AL263)*Opex_Cont</f>
        <v/>
      </c>
      <c r="AM264" s="8">
        <f>SUM(AM260:AM263)*Opex_Cont</f>
        <v/>
      </c>
      <c r="AN264" s="8">
        <f>SUM(AN260:AN263)*Opex_Cont</f>
        <v/>
      </c>
      <c r="AO264" s="8">
        <f>SUM(AO260:AO263)*Opex_Cont</f>
        <v/>
      </c>
      <c r="AP264" s="8">
        <f>SUM(AP260:AP263)*Opex_Cont</f>
        <v/>
      </c>
      <c r="AQ264" s="8">
        <f>SUM(AQ260:AQ263)*Opex_Cont</f>
        <v/>
      </c>
      <c r="AR264" s="8">
        <f>SUM(AR260:AR263)*Opex_Cont</f>
        <v/>
      </c>
      <c r="AS264" s="8">
        <f>SUM(AS260:AS263)*Opex_Cont</f>
        <v/>
      </c>
      <c r="AT264" s="8">
        <f>SUM(AT260:AT263)*Opex_Cont</f>
        <v/>
      </c>
      <c r="AU264" s="8">
        <f>SUM(AU260:AU263)*Opex_Cont</f>
        <v/>
      </c>
      <c r="AV264" s="8">
        <f>SUM(AV260:AV263)*Opex_Cont</f>
        <v/>
      </c>
      <c r="AW264" s="8">
        <f>SUM(AW260:AW263)*Opex_Cont</f>
        <v/>
      </c>
      <c r="AX264" s="8">
        <f>SUM(AX260:AX263)*Opex_Cont</f>
        <v/>
      </c>
    </row>
    <row r="265" hidden="1" outlineLevel="1">
      <c r="C265" s="6" t="inlineStr">
        <is>
          <t>Community contribution</t>
        </is>
      </c>
      <c r="D265" s="2" t="inlineStr">
        <is>
          <t>EUR k</t>
        </is>
      </c>
      <c r="H265" s="8">
        <f>SUM(J265:AX265)</f>
        <v/>
      </c>
      <c r="J265" s="8">
        <f>-J256*$F$12</f>
        <v/>
      </c>
      <c r="K265" s="8">
        <f>-K256*$F$12</f>
        <v/>
      </c>
      <c r="L265" s="8">
        <f>-L256*$F$12</f>
        <v/>
      </c>
      <c r="M265" s="8">
        <f>-M256*$F$12</f>
        <v/>
      </c>
      <c r="N265" s="8">
        <f>-N256*$F$12</f>
        <v/>
      </c>
      <c r="O265" s="8">
        <f>-O256*$F$12</f>
        <v/>
      </c>
      <c r="P265" s="8">
        <f>-P256*$F$12</f>
        <v/>
      </c>
      <c r="Q265" s="8">
        <f>-Q256*$F$12</f>
        <v/>
      </c>
      <c r="R265" s="8">
        <f>-R256*$F$12</f>
        <v/>
      </c>
      <c r="S265" s="8">
        <f>-S256*$F$12</f>
        <v/>
      </c>
      <c r="T265" s="8">
        <f>-T256*$F$12</f>
        <v/>
      </c>
      <c r="U265" s="8">
        <f>-U256*$F$12</f>
        <v/>
      </c>
      <c r="V265" s="8">
        <f>-V256*$F$12</f>
        <v/>
      </c>
      <c r="W265" s="8">
        <f>-W256*$F$12</f>
        <v/>
      </c>
      <c r="X265" s="8">
        <f>-X256*$F$12</f>
        <v/>
      </c>
      <c r="Y265" s="8">
        <f>-Y256*$F$12</f>
        <v/>
      </c>
      <c r="Z265" s="8">
        <f>-Z256*$F$12</f>
        <v/>
      </c>
      <c r="AA265" s="8">
        <f>-AA256*$F$12</f>
        <v/>
      </c>
      <c r="AB265" s="8">
        <f>-AB256*$F$12</f>
        <v/>
      </c>
      <c r="AC265" s="8">
        <f>-AC256*$F$12</f>
        <v/>
      </c>
      <c r="AD265" s="8">
        <f>-AD256*$F$12</f>
        <v/>
      </c>
      <c r="AE265" s="8">
        <f>-AE256*$F$12</f>
        <v/>
      </c>
      <c r="AF265" s="8">
        <f>-AF256*$F$12</f>
        <v/>
      </c>
      <c r="AG265" s="8">
        <f>-AG256*$F$12</f>
        <v/>
      </c>
      <c r="AH265" s="8">
        <f>-AH256*$F$12</f>
        <v/>
      </c>
      <c r="AI265" s="8">
        <f>-AI256*$F$12</f>
        <v/>
      </c>
      <c r="AJ265" s="8">
        <f>-AJ256*$F$12</f>
        <v/>
      </c>
      <c r="AK265" s="8">
        <f>-AK256*$F$12</f>
        <v/>
      </c>
      <c r="AL265" s="8">
        <f>-AL256*$F$12</f>
        <v/>
      </c>
      <c r="AM265" s="8">
        <f>-AM256*$F$12</f>
        <v/>
      </c>
      <c r="AN265" s="8">
        <f>-AN256*$F$12</f>
        <v/>
      </c>
      <c r="AO265" s="8">
        <f>-AO256*$F$12</f>
        <v/>
      </c>
      <c r="AP265" s="8">
        <f>-AP256*$F$12</f>
        <v/>
      </c>
      <c r="AQ265" s="8">
        <f>-AQ256*$F$12</f>
        <v/>
      </c>
      <c r="AR265" s="8">
        <f>-AR256*$F$12</f>
        <v/>
      </c>
      <c r="AS265" s="8">
        <f>-AS256*$F$12</f>
        <v/>
      </c>
      <c r="AT265" s="8">
        <f>-AT256*$F$12</f>
        <v/>
      </c>
      <c r="AU265" s="8">
        <f>-AU256*$F$12</f>
        <v/>
      </c>
      <c r="AV265" s="8">
        <f>-AV256*$F$12</f>
        <v/>
      </c>
      <c r="AW265" s="8">
        <f>-AW256*$F$12</f>
        <v/>
      </c>
      <c r="AX265" s="8">
        <f>-AX256*$F$12</f>
        <v/>
      </c>
    </row>
    <row r="266" hidden="1" outlineLevel="1">
      <c r="C266" s="6" t="inlineStr">
        <is>
          <t>HIPA local business tax</t>
        </is>
      </c>
      <c r="D266" s="2" t="inlineStr">
        <is>
          <t>EUR k</t>
        </is>
      </c>
      <c r="H266" s="8">
        <f>SUM(J266:AX266)</f>
        <v/>
      </c>
      <c r="J266" s="8">
        <f>-J258*HIPA_Rate</f>
        <v/>
      </c>
      <c r="K266" s="8">
        <f>-K258*HIPA_Rate</f>
        <v/>
      </c>
      <c r="L266" s="8">
        <f>-L258*HIPA_Rate</f>
        <v/>
      </c>
      <c r="M266" s="8">
        <f>-M258*HIPA_Rate</f>
        <v/>
      </c>
      <c r="N266" s="8">
        <f>-N258*HIPA_Rate</f>
        <v/>
      </c>
      <c r="O266" s="8">
        <f>-O258*HIPA_Rate</f>
        <v/>
      </c>
      <c r="P266" s="8">
        <f>-P258*HIPA_Rate</f>
        <v/>
      </c>
      <c r="Q266" s="8">
        <f>-Q258*HIPA_Rate</f>
        <v/>
      </c>
      <c r="R266" s="8">
        <f>-R258*HIPA_Rate</f>
        <v/>
      </c>
      <c r="S266" s="8">
        <f>-S258*HIPA_Rate</f>
        <v/>
      </c>
      <c r="T266" s="8">
        <f>-T258*HIPA_Rate</f>
        <v/>
      </c>
      <c r="U266" s="8">
        <f>-U258*HIPA_Rate</f>
        <v/>
      </c>
      <c r="V266" s="8">
        <f>-V258*HIPA_Rate</f>
        <v/>
      </c>
      <c r="W266" s="8">
        <f>-W258*HIPA_Rate</f>
        <v/>
      </c>
      <c r="X266" s="8">
        <f>-X258*HIPA_Rate</f>
        <v/>
      </c>
      <c r="Y266" s="8">
        <f>-Y258*HIPA_Rate</f>
        <v/>
      </c>
      <c r="Z266" s="8">
        <f>-Z258*HIPA_Rate</f>
        <v/>
      </c>
      <c r="AA266" s="8">
        <f>-AA258*HIPA_Rate</f>
        <v/>
      </c>
      <c r="AB266" s="8">
        <f>-AB258*HIPA_Rate</f>
        <v/>
      </c>
      <c r="AC266" s="8">
        <f>-AC258*HIPA_Rate</f>
        <v/>
      </c>
      <c r="AD266" s="8">
        <f>-AD258*HIPA_Rate</f>
        <v/>
      </c>
      <c r="AE266" s="8">
        <f>-AE258*HIPA_Rate</f>
        <v/>
      </c>
      <c r="AF266" s="8">
        <f>-AF258*HIPA_Rate</f>
        <v/>
      </c>
      <c r="AG266" s="8">
        <f>-AG258*HIPA_Rate</f>
        <v/>
      </c>
      <c r="AH266" s="8">
        <f>-AH258*HIPA_Rate</f>
        <v/>
      </c>
      <c r="AI266" s="8">
        <f>-AI258*HIPA_Rate</f>
        <v/>
      </c>
      <c r="AJ266" s="8">
        <f>-AJ258*HIPA_Rate</f>
        <v/>
      </c>
      <c r="AK266" s="8">
        <f>-AK258*HIPA_Rate</f>
        <v/>
      </c>
      <c r="AL266" s="8">
        <f>-AL258*HIPA_Rate</f>
        <v/>
      </c>
      <c r="AM266" s="8">
        <f>-AM258*HIPA_Rate</f>
        <v/>
      </c>
      <c r="AN266" s="8">
        <f>-AN258*HIPA_Rate</f>
        <v/>
      </c>
      <c r="AO266" s="8">
        <f>-AO258*HIPA_Rate</f>
        <v/>
      </c>
      <c r="AP266" s="8">
        <f>-AP258*HIPA_Rate</f>
        <v/>
      </c>
      <c r="AQ266" s="8">
        <f>-AQ258*HIPA_Rate</f>
        <v/>
      </c>
      <c r="AR266" s="8">
        <f>-AR258*HIPA_Rate</f>
        <v/>
      </c>
      <c r="AS266" s="8">
        <f>-AS258*HIPA_Rate</f>
        <v/>
      </c>
      <c r="AT266" s="8">
        <f>-AT258*HIPA_Rate</f>
        <v/>
      </c>
      <c r="AU266" s="8">
        <f>-AU258*HIPA_Rate</f>
        <v/>
      </c>
      <c r="AV266" s="8">
        <f>-AV258*HIPA_Rate</f>
        <v/>
      </c>
      <c r="AW266" s="8">
        <f>-AW258*HIPA_Rate</f>
        <v/>
      </c>
      <c r="AX266" s="8">
        <f>-AX258*HIPA_Rate</f>
        <v/>
      </c>
    </row>
    <row r="267" hidden="1" outlineLevel="1">
      <c r="C267" s="1" t="inlineStr">
        <is>
          <t>Total opex</t>
        </is>
      </c>
      <c r="D267" s="2" t="inlineStr">
        <is>
          <t>EUR k</t>
        </is>
      </c>
      <c r="H267" s="19">
        <f>SUM(J267:AX267)</f>
        <v/>
      </c>
      <c r="J267" s="19">
        <f>SUM(J260:J266)</f>
        <v/>
      </c>
      <c r="K267" s="19">
        <f>SUM(K260:K266)</f>
        <v/>
      </c>
      <c r="L267" s="19">
        <f>SUM(L260:L266)</f>
        <v/>
      </c>
      <c r="M267" s="19">
        <f>SUM(M260:M266)</f>
        <v/>
      </c>
      <c r="N267" s="19">
        <f>SUM(N260:N266)</f>
        <v/>
      </c>
      <c r="O267" s="19">
        <f>SUM(O260:O266)</f>
        <v/>
      </c>
      <c r="P267" s="19">
        <f>SUM(P260:P266)</f>
        <v/>
      </c>
      <c r="Q267" s="19">
        <f>SUM(Q260:Q266)</f>
        <v/>
      </c>
      <c r="R267" s="19">
        <f>SUM(R260:R266)</f>
        <v/>
      </c>
      <c r="S267" s="19">
        <f>SUM(S260:S266)</f>
        <v/>
      </c>
      <c r="T267" s="19">
        <f>SUM(T260:T266)</f>
        <v/>
      </c>
      <c r="U267" s="19">
        <f>SUM(U260:U266)</f>
        <v/>
      </c>
      <c r="V267" s="19">
        <f>SUM(V260:V266)</f>
        <v/>
      </c>
      <c r="W267" s="19">
        <f>SUM(W260:W266)</f>
        <v/>
      </c>
      <c r="X267" s="19">
        <f>SUM(X260:X266)</f>
        <v/>
      </c>
      <c r="Y267" s="19">
        <f>SUM(Y260:Y266)</f>
        <v/>
      </c>
      <c r="Z267" s="19">
        <f>SUM(Z260:Z266)</f>
        <v/>
      </c>
      <c r="AA267" s="19">
        <f>SUM(AA260:AA266)</f>
        <v/>
      </c>
      <c r="AB267" s="19">
        <f>SUM(AB260:AB266)</f>
        <v/>
      </c>
      <c r="AC267" s="19">
        <f>SUM(AC260:AC266)</f>
        <v/>
      </c>
      <c r="AD267" s="19">
        <f>SUM(AD260:AD266)</f>
        <v/>
      </c>
      <c r="AE267" s="19">
        <f>SUM(AE260:AE266)</f>
        <v/>
      </c>
      <c r="AF267" s="19">
        <f>SUM(AF260:AF266)</f>
        <v/>
      </c>
      <c r="AG267" s="19">
        <f>SUM(AG260:AG266)</f>
        <v/>
      </c>
      <c r="AH267" s="19">
        <f>SUM(AH260:AH266)</f>
        <v/>
      </c>
      <c r="AI267" s="19">
        <f>SUM(AI260:AI266)</f>
        <v/>
      </c>
      <c r="AJ267" s="19">
        <f>SUM(AJ260:AJ266)</f>
        <v/>
      </c>
      <c r="AK267" s="19">
        <f>SUM(AK260:AK266)</f>
        <v/>
      </c>
      <c r="AL267" s="19">
        <f>SUM(AL260:AL266)</f>
        <v/>
      </c>
      <c r="AM267" s="19">
        <f>SUM(AM260:AM266)</f>
        <v/>
      </c>
      <c r="AN267" s="19">
        <f>SUM(AN260:AN266)</f>
        <v/>
      </c>
      <c r="AO267" s="19">
        <f>SUM(AO260:AO266)</f>
        <v/>
      </c>
      <c r="AP267" s="19">
        <f>SUM(AP260:AP266)</f>
        <v/>
      </c>
      <c r="AQ267" s="19">
        <f>SUM(AQ260:AQ266)</f>
        <v/>
      </c>
      <c r="AR267" s="19">
        <f>SUM(AR260:AR266)</f>
        <v/>
      </c>
      <c r="AS267" s="19">
        <f>SUM(AS260:AS266)</f>
        <v/>
      </c>
      <c r="AT267" s="19">
        <f>SUM(AT260:AT266)</f>
        <v/>
      </c>
      <c r="AU267" s="19">
        <f>SUM(AU260:AU266)</f>
        <v/>
      </c>
      <c r="AV267" s="19">
        <f>SUM(AV260:AV266)</f>
        <v/>
      </c>
      <c r="AW267" s="19">
        <f>SUM(AW260:AW266)</f>
        <v/>
      </c>
      <c r="AX267" s="19">
        <f>SUM(AX260:AX266)</f>
        <v/>
      </c>
    </row>
    <row r="268" hidden="1" outlineLevel="1">
      <c r="C268" s="1" t="inlineStr">
        <is>
          <t>EBITDA</t>
        </is>
      </c>
      <c r="D268" s="2" t="inlineStr">
        <is>
          <t>EUR k</t>
        </is>
      </c>
      <c r="H268" s="14">
        <f>SUM(J268:AX268)</f>
        <v/>
      </c>
      <c r="J268" s="14">
        <f>J258+J267</f>
        <v/>
      </c>
      <c r="K268" s="14">
        <f>K258+K267</f>
        <v/>
      </c>
      <c r="L268" s="14">
        <f>L258+L267</f>
        <v/>
      </c>
      <c r="M268" s="14">
        <f>M258+M267</f>
        <v/>
      </c>
      <c r="N268" s="14">
        <f>N258+N267</f>
        <v/>
      </c>
      <c r="O268" s="14">
        <f>O258+O267</f>
        <v/>
      </c>
      <c r="P268" s="14">
        <f>P258+P267</f>
        <v/>
      </c>
      <c r="Q268" s="14">
        <f>Q258+Q267</f>
        <v/>
      </c>
      <c r="R268" s="14">
        <f>R258+R267</f>
        <v/>
      </c>
      <c r="S268" s="14">
        <f>S258+S267</f>
        <v/>
      </c>
      <c r="T268" s="14">
        <f>T258+T267</f>
        <v/>
      </c>
      <c r="U268" s="14">
        <f>U258+U267</f>
        <v/>
      </c>
      <c r="V268" s="14">
        <f>V258+V267</f>
        <v/>
      </c>
      <c r="W268" s="14">
        <f>W258+W267</f>
        <v/>
      </c>
      <c r="X268" s="14">
        <f>X258+X267</f>
        <v/>
      </c>
      <c r="Y268" s="14">
        <f>Y258+Y267</f>
        <v/>
      </c>
      <c r="Z268" s="14">
        <f>Z258+Z267</f>
        <v/>
      </c>
      <c r="AA268" s="14">
        <f>AA258+AA267</f>
        <v/>
      </c>
      <c r="AB268" s="14">
        <f>AB258+AB267</f>
        <v/>
      </c>
      <c r="AC268" s="14">
        <f>AC258+AC267</f>
        <v/>
      </c>
      <c r="AD268" s="14">
        <f>AD258+AD267</f>
        <v/>
      </c>
      <c r="AE268" s="14">
        <f>AE258+AE267</f>
        <v/>
      </c>
      <c r="AF268" s="14">
        <f>AF258+AF267</f>
        <v/>
      </c>
      <c r="AG268" s="14">
        <f>AG258+AG267</f>
        <v/>
      </c>
      <c r="AH268" s="14">
        <f>AH258+AH267</f>
        <v/>
      </c>
      <c r="AI268" s="14">
        <f>AI258+AI267</f>
        <v/>
      </c>
      <c r="AJ268" s="14">
        <f>AJ258+AJ267</f>
        <v/>
      </c>
      <c r="AK268" s="14">
        <f>AK258+AK267</f>
        <v/>
      </c>
      <c r="AL268" s="14">
        <f>AL258+AL267</f>
        <v/>
      </c>
      <c r="AM268" s="14">
        <f>AM258+AM267</f>
        <v/>
      </c>
      <c r="AN268" s="14">
        <f>AN258+AN267</f>
        <v/>
      </c>
      <c r="AO268" s="14">
        <f>AO258+AO267</f>
        <v/>
      </c>
      <c r="AP268" s="14">
        <f>AP258+AP267</f>
        <v/>
      </c>
      <c r="AQ268" s="14">
        <f>AQ258+AQ267</f>
        <v/>
      </c>
      <c r="AR268" s="14">
        <f>AR258+AR267</f>
        <v/>
      </c>
      <c r="AS268" s="14">
        <f>AS258+AS267</f>
        <v/>
      </c>
      <c r="AT268" s="14">
        <f>AT258+AT267</f>
        <v/>
      </c>
      <c r="AU268" s="14">
        <f>AU258+AU267</f>
        <v/>
      </c>
      <c r="AV268" s="14">
        <f>AV258+AV267</f>
        <v/>
      </c>
      <c r="AW268" s="14">
        <f>AW258+AW267</f>
        <v/>
      </c>
      <c r="AX268" s="14">
        <f>AX258+AX267</f>
        <v/>
      </c>
    </row>
    <row r="269" hidden="1" outlineLevel="1">
      <c r="C269" s="1" t="inlineStr">
        <is>
          <t>Unlevered pre-tax cash flow</t>
        </is>
      </c>
      <c r="D269" s="2" t="inlineStr">
        <is>
          <t>EUR k</t>
        </is>
      </c>
      <c r="H269" s="19">
        <f>SUM(J269:AX269)</f>
        <v/>
      </c>
      <c r="J269" s="19">
        <f>J254+J268</f>
        <v/>
      </c>
      <c r="K269" s="19">
        <f>K254+K268</f>
        <v/>
      </c>
      <c r="L269" s="19">
        <f>L254+L268</f>
        <v/>
      </c>
      <c r="M269" s="19">
        <f>M254+M268</f>
        <v/>
      </c>
      <c r="N269" s="19">
        <f>N254+N268</f>
        <v/>
      </c>
      <c r="O269" s="19">
        <f>O254+O268</f>
        <v/>
      </c>
      <c r="P269" s="19">
        <f>P254+P268</f>
        <v/>
      </c>
      <c r="Q269" s="19">
        <f>Q254+Q268</f>
        <v/>
      </c>
      <c r="R269" s="19">
        <f>R254+R268</f>
        <v/>
      </c>
      <c r="S269" s="19">
        <f>S254+S268</f>
        <v/>
      </c>
      <c r="T269" s="19">
        <f>T254+T268</f>
        <v/>
      </c>
      <c r="U269" s="19">
        <f>U254+U268</f>
        <v/>
      </c>
      <c r="V269" s="19">
        <f>V254+V268</f>
        <v/>
      </c>
      <c r="W269" s="19">
        <f>W254+W268</f>
        <v/>
      </c>
      <c r="X269" s="19">
        <f>X254+X268</f>
        <v/>
      </c>
      <c r="Y269" s="19">
        <f>Y254+Y268</f>
        <v/>
      </c>
      <c r="Z269" s="19">
        <f>Z254+Z268</f>
        <v/>
      </c>
      <c r="AA269" s="19">
        <f>AA254+AA268</f>
        <v/>
      </c>
      <c r="AB269" s="19">
        <f>AB254+AB268</f>
        <v/>
      </c>
      <c r="AC269" s="19">
        <f>AC254+AC268</f>
        <v/>
      </c>
      <c r="AD269" s="19">
        <f>AD254+AD268</f>
        <v/>
      </c>
      <c r="AE269" s="19">
        <f>AE254+AE268</f>
        <v/>
      </c>
      <c r="AF269" s="19">
        <f>AF254+AF268</f>
        <v/>
      </c>
      <c r="AG269" s="19">
        <f>AG254+AG268</f>
        <v/>
      </c>
      <c r="AH269" s="19">
        <f>AH254+AH268</f>
        <v/>
      </c>
      <c r="AI269" s="19">
        <f>AI254+AI268</f>
        <v/>
      </c>
      <c r="AJ269" s="19">
        <f>AJ254+AJ268</f>
        <v/>
      </c>
      <c r="AK269" s="19">
        <f>AK254+AK268</f>
        <v/>
      </c>
      <c r="AL269" s="19">
        <f>AL254+AL268</f>
        <v/>
      </c>
      <c r="AM269" s="19">
        <f>AM254+AM268</f>
        <v/>
      </c>
      <c r="AN269" s="19">
        <f>AN254+AN268</f>
        <v/>
      </c>
      <c r="AO269" s="19">
        <f>AO254+AO268</f>
        <v/>
      </c>
      <c r="AP269" s="19">
        <f>AP254+AP268</f>
        <v/>
      </c>
      <c r="AQ269" s="19">
        <f>AQ254+AQ268</f>
        <v/>
      </c>
      <c r="AR269" s="19">
        <f>AR254+AR268</f>
        <v/>
      </c>
      <c r="AS269" s="19">
        <f>AS254+AS268</f>
        <v/>
      </c>
      <c r="AT269" s="19">
        <f>AT254+AT268</f>
        <v/>
      </c>
      <c r="AU269" s="19">
        <f>AU254+AU268</f>
        <v/>
      </c>
      <c r="AV269" s="19">
        <f>AV254+AV268</f>
        <v/>
      </c>
      <c r="AW269" s="19">
        <f>AW254+AW268</f>
        <v/>
      </c>
      <c r="AX269" s="19">
        <f>AX254+AX268</f>
        <v/>
      </c>
    </row>
    <row r="270" hidden="1" outlineLevel="1">
      <c r="C270" s="6" t="inlineStr">
        <is>
          <t>Discount factor to COD (buyer's rate)</t>
        </is>
      </c>
      <c r="D270" s="2" t="inlineStr">
        <is>
          <t>x</t>
        </is>
      </c>
      <c r="J270" s="30">
        <f>(1+Discount_Rate)^((Date_COD-J$210)/Days_In_Year)</f>
        <v/>
      </c>
      <c r="K270" s="30">
        <f>(1+Discount_Rate)^((Date_COD-K$210)/Days_In_Year)</f>
        <v/>
      </c>
      <c r="L270" s="30">
        <f>(1+Discount_Rate)^((Date_COD-L$210)/Days_In_Year)</f>
        <v/>
      </c>
      <c r="M270" s="30">
        <f>(1+Discount_Rate)^((Date_COD-M$210)/Days_In_Year)</f>
        <v/>
      </c>
      <c r="N270" s="30">
        <f>(1+Discount_Rate)^((Date_COD-N$210)/Days_In_Year)</f>
        <v/>
      </c>
      <c r="O270" s="30">
        <f>(1+Discount_Rate)^((Date_COD-O$210)/Days_In_Year)</f>
        <v/>
      </c>
      <c r="P270" s="30">
        <f>(1+Discount_Rate)^((Date_COD-P$210)/Days_In_Year)</f>
        <v/>
      </c>
      <c r="Q270" s="30">
        <f>(1+Discount_Rate)^((Date_COD-Q$210)/Days_In_Year)</f>
        <v/>
      </c>
      <c r="R270" s="30">
        <f>(1+Discount_Rate)^((Date_COD-R$210)/Days_In_Year)</f>
        <v/>
      </c>
      <c r="S270" s="30">
        <f>(1+Discount_Rate)^((Date_COD-S$210)/Days_In_Year)</f>
        <v/>
      </c>
      <c r="T270" s="30">
        <f>(1+Discount_Rate)^((Date_COD-T$210)/Days_In_Year)</f>
        <v/>
      </c>
      <c r="U270" s="30">
        <f>(1+Discount_Rate)^((Date_COD-U$210)/Days_In_Year)</f>
        <v/>
      </c>
      <c r="V270" s="30">
        <f>(1+Discount_Rate)^((Date_COD-V$210)/Days_In_Year)</f>
        <v/>
      </c>
      <c r="W270" s="30">
        <f>(1+Discount_Rate)^((Date_COD-W$210)/Days_In_Year)</f>
        <v/>
      </c>
      <c r="X270" s="30">
        <f>(1+Discount_Rate)^((Date_COD-X$210)/Days_In_Year)</f>
        <v/>
      </c>
      <c r="Y270" s="30">
        <f>(1+Discount_Rate)^((Date_COD-Y$210)/Days_In_Year)</f>
        <v/>
      </c>
      <c r="Z270" s="30">
        <f>(1+Discount_Rate)^((Date_COD-Z$210)/Days_In_Year)</f>
        <v/>
      </c>
      <c r="AA270" s="30">
        <f>(1+Discount_Rate)^((Date_COD-AA$210)/Days_In_Year)</f>
        <v/>
      </c>
      <c r="AB270" s="30">
        <f>(1+Discount_Rate)^((Date_COD-AB$210)/Days_In_Year)</f>
        <v/>
      </c>
      <c r="AC270" s="30">
        <f>(1+Discount_Rate)^((Date_COD-AC$210)/Days_In_Year)</f>
        <v/>
      </c>
      <c r="AD270" s="30">
        <f>(1+Discount_Rate)^((Date_COD-AD$210)/Days_In_Year)</f>
        <v/>
      </c>
      <c r="AE270" s="30">
        <f>(1+Discount_Rate)^((Date_COD-AE$210)/Days_In_Year)</f>
        <v/>
      </c>
      <c r="AF270" s="30">
        <f>(1+Discount_Rate)^((Date_COD-AF$210)/Days_In_Year)</f>
        <v/>
      </c>
      <c r="AG270" s="30">
        <f>(1+Discount_Rate)^((Date_COD-AG$210)/Days_In_Year)</f>
        <v/>
      </c>
      <c r="AH270" s="30">
        <f>(1+Discount_Rate)^((Date_COD-AH$210)/Days_In_Year)</f>
        <v/>
      </c>
      <c r="AI270" s="30">
        <f>(1+Discount_Rate)^((Date_COD-AI$210)/Days_In_Year)</f>
        <v/>
      </c>
      <c r="AJ270" s="30">
        <f>(1+Discount_Rate)^((Date_COD-AJ$210)/Days_In_Year)</f>
        <v/>
      </c>
      <c r="AK270" s="30">
        <f>(1+Discount_Rate)^((Date_COD-AK$210)/Days_In_Year)</f>
        <v/>
      </c>
      <c r="AL270" s="30">
        <f>(1+Discount_Rate)^((Date_COD-AL$210)/Days_In_Year)</f>
        <v/>
      </c>
      <c r="AM270" s="30">
        <f>(1+Discount_Rate)^((Date_COD-AM$210)/Days_In_Year)</f>
        <v/>
      </c>
      <c r="AN270" s="30">
        <f>(1+Discount_Rate)^((Date_COD-AN$210)/Days_In_Year)</f>
        <v/>
      </c>
      <c r="AO270" s="30">
        <f>(1+Discount_Rate)^((Date_COD-AO$210)/Days_In_Year)</f>
        <v/>
      </c>
      <c r="AP270" s="30">
        <f>(1+Discount_Rate)^((Date_COD-AP$210)/Days_In_Year)</f>
        <v/>
      </c>
      <c r="AQ270" s="30">
        <f>(1+Discount_Rate)^((Date_COD-AQ$210)/Days_In_Year)</f>
        <v/>
      </c>
      <c r="AR270" s="30">
        <f>(1+Discount_Rate)^((Date_COD-AR$210)/Days_In_Year)</f>
        <v/>
      </c>
      <c r="AS270" s="30">
        <f>(1+Discount_Rate)^((Date_COD-AS$210)/Days_In_Year)</f>
        <v/>
      </c>
      <c r="AT270" s="30">
        <f>(1+Discount_Rate)^((Date_COD-AT$210)/Days_In_Year)</f>
        <v/>
      </c>
      <c r="AU270" s="30">
        <f>(1+Discount_Rate)^((Date_COD-AU$210)/Days_In_Year)</f>
        <v/>
      </c>
      <c r="AV270" s="30">
        <f>(1+Discount_Rate)^((Date_COD-AV$210)/Days_In_Year)</f>
        <v/>
      </c>
      <c r="AW270" s="30">
        <f>(1+Discount_Rate)^((Date_COD-AW$210)/Days_In_Year)</f>
        <v/>
      </c>
      <c r="AX270" s="30">
        <f>(1+Discount_Rate)^((Date_COD-AX$210)/Days_In_Year)</f>
        <v/>
      </c>
    </row>
    <row r="271" hidden="1" outlineLevel="1">
      <c r="C271" s="6" t="inlineStr">
        <is>
          <t>EBITDA valued at COD (total = COD price)</t>
        </is>
      </c>
      <c r="D271" s="2" t="inlineStr">
        <is>
          <t>EUR k</t>
        </is>
      </c>
      <c r="H271" s="8">
        <f>SUM(J271:AX271)</f>
        <v/>
      </c>
      <c r="J271" s="8">
        <f>J268*J270</f>
        <v/>
      </c>
      <c r="K271" s="8">
        <f>K268*K270</f>
        <v/>
      </c>
      <c r="L271" s="8">
        <f>L268*L270</f>
        <v/>
      </c>
      <c r="M271" s="8">
        <f>M268*M270</f>
        <v/>
      </c>
      <c r="N271" s="8">
        <f>N268*N270</f>
        <v/>
      </c>
      <c r="O271" s="8">
        <f>O268*O270</f>
        <v/>
      </c>
      <c r="P271" s="8">
        <f>P268*P270</f>
        <v/>
      </c>
      <c r="Q271" s="8">
        <f>Q268*Q270</f>
        <v/>
      </c>
      <c r="R271" s="8">
        <f>R268*R270</f>
        <v/>
      </c>
      <c r="S271" s="8">
        <f>S268*S270</f>
        <v/>
      </c>
      <c r="T271" s="8">
        <f>T268*T270</f>
        <v/>
      </c>
      <c r="U271" s="8">
        <f>U268*U270</f>
        <v/>
      </c>
      <c r="V271" s="8">
        <f>V268*V270</f>
        <v/>
      </c>
      <c r="W271" s="8">
        <f>W268*W270</f>
        <v/>
      </c>
      <c r="X271" s="8">
        <f>X268*X270</f>
        <v/>
      </c>
      <c r="Y271" s="8">
        <f>Y268*Y270</f>
        <v/>
      </c>
      <c r="Z271" s="8">
        <f>Z268*Z270</f>
        <v/>
      </c>
      <c r="AA271" s="8">
        <f>AA268*AA270</f>
        <v/>
      </c>
      <c r="AB271" s="8">
        <f>AB268*AB270</f>
        <v/>
      </c>
      <c r="AC271" s="8">
        <f>AC268*AC270</f>
        <v/>
      </c>
      <c r="AD271" s="8">
        <f>AD268*AD270</f>
        <v/>
      </c>
      <c r="AE271" s="8">
        <f>AE268*AE270</f>
        <v/>
      </c>
      <c r="AF271" s="8">
        <f>AF268*AF270</f>
        <v/>
      </c>
      <c r="AG271" s="8">
        <f>AG268*AG270</f>
        <v/>
      </c>
      <c r="AH271" s="8">
        <f>AH268*AH270</f>
        <v/>
      </c>
      <c r="AI271" s="8">
        <f>AI268*AI270</f>
        <v/>
      </c>
      <c r="AJ271" s="8">
        <f>AJ268*AJ270</f>
        <v/>
      </c>
      <c r="AK271" s="8">
        <f>AK268*AK270</f>
        <v/>
      </c>
      <c r="AL271" s="8">
        <f>AL268*AL270</f>
        <v/>
      </c>
      <c r="AM271" s="8">
        <f>AM268*AM270</f>
        <v/>
      </c>
      <c r="AN271" s="8">
        <f>AN268*AN270</f>
        <v/>
      </c>
      <c r="AO271" s="8">
        <f>AO268*AO270</f>
        <v/>
      </c>
      <c r="AP271" s="8">
        <f>AP268*AP270</f>
        <v/>
      </c>
      <c r="AQ271" s="8">
        <f>AQ268*AQ270</f>
        <v/>
      </c>
      <c r="AR271" s="8">
        <f>AR268*AR270</f>
        <v/>
      </c>
      <c r="AS271" s="8">
        <f>AS268*AS270</f>
        <v/>
      </c>
      <c r="AT271" s="8">
        <f>AT268*AT270</f>
        <v/>
      </c>
      <c r="AU271" s="8">
        <f>AU268*AU270</f>
        <v/>
      </c>
      <c r="AV271" s="8">
        <f>AV268*AV270</f>
        <v/>
      </c>
      <c r="AW271" s="8">
        <f>AW268*AW270</f>
        <v/>
      </c>
      <c r="AX271" s="8">
        <f>AX268*AX270</f>
        <v/>
      </c>
    </row>
    <row r="272" hidden="1" outlineLevel="1">
      <c r="C272" s="1" t="inlineStr">
        <is>
          <t>COD exit: FEP cash flow (to COD, price and securities at COD)</t>
        </is>
      </c>
      <c r="D272" s="2" t="inlineStr">
        <is>
          <t>EUR k</t>
        </is>
      </c>
      <c r="H272" s="19">
        <f>SUM(J272:AX272)</f>
        <v/>
      </c>
      <c r="J272" s="19">
        <f>J254*(J244&lt;=0)+J249*($H271+$F$62+$F$63)</f>
        <v/>
      </c>
      <c r="K272" s="19">
        <f>K254*(K244&lt;=0)+K249*($H271+$F$62+$F$63)</f>
        <v/>
      </c>
      <c r="L272" s="19">
        <f>L254*(L244&lt;=0)+L249*($H271+$F$62+$F$63)</f>
        <v/>
      </c>
      <c r="M272" s="19">
        <f>M254*(M244&lt;=0)+M249*($H271+$F$62+$F$63)</f>
        <v/>
      </c>
      <c r="N272" s="19">
        <f>N254*(N244&lt;=0)+N249*($H271+$F$62+$F$63)</f>
        <v/>
      </c>
      <c r="O272" s="19">
        <f>O254*(O244&lt;=0)+O249*($H271+$F$62+$F$63)</f>
        <v/>
      </c>
      <c r="P272" s="19">
        <f>P254*(P244&lt;=0)+P249*($H271+$F$62+$F$63)</f>
        <v/>
      </c>
      <c r="Q272" s="19">
        <f>Q254*(Q244&lt;=0)+Q249*($H271+$F$62+$F$63)</f>
        <v/>
      </c>
      <c r="R272" s="19">
        <f>R254*(R244&lt;=0)+R249*($H271+$F$62+$F$63)</f>
        <v/>
      </c>
      <c r="S272" s="19">
        <f>S254*(S244&lt;=0)+S249*($H271+$F$62+$F$63)</f>
        <v/>
      </c>
      <c r="T272" s="19">
        <f>T254*(T244&lt;=0)+T249*($H271+$F$62+$F$63)</f>
        <v/>
      </c>
      <c r="U272" s="19">
        <f>U254*(U244&lt;=0)+U249*($H271+$F$62+$F$63)</f>
        <v/>
      </c>
      <c r="V272" s="19">
        <f>V254*(V244&lt;=0)+V249*($H271+$F$62+$F$63)</f>
        <v/>
      </c>
      <c r="W272" s="19">
        <f>W254*(W244&lt;=0)+W249*($H271+$F$62+$F$63)</f>
        <v/>
      </c>
      <c r="X272" s="19">
        <f>X254*(X244&lt;=0)+X249*($H271+$F$62+$F$63)</f>
        <v/>
      </c>
      <c r="Y272" s="19">
        <f>Y254*(Y244&lt;=0)+Y249*($H271+$F$62+$F$63)</f>
        <v/>
      </c>
      <c r="Z272" s="19">
        <f>Z254*(Z244&lt;=0)+Z249*($H271+$F$62+$F$63)</f>
        <v/>
      </c>
      <c r="AA272" s="19">
        <f>AA254*(AA244&lt;=0)+AA249*($H271+$F$62+$F$63)</f>
        <v/>
      </c>
      <c r="AB272" s="19">
        <f>AB254*(AB244&lt;=0)+AB249*($H271+$F$62+$F$63)</f>
        <v/>
      </c>
      <c r="AC272" s="19">
        <f>AC254*(AC244&lt;=0)+AC249*($H271+$F$62+$F$63)</f>
        <v/>
      </c>
      <c r="AD272" s="19">
        <f>AD254*(AD244&lt;=0)+AD249*($H271+$F$62+$F$63)</f>
        <v/>
      </c>
      <c r="AE272" s="19">
        <f>AE254*(AE244&lt;=0)+AE249*($H271+$F$62+$F$63)</f>
        <v/>
      </c>
      <c r="AF272" s="19">
        <f>AF254*(AF244&lt;=0)+AF249*($H271+$F$62+$F$63)</f>
        <v/>
      </c>
      <c r="AG272" s="19">
        <f>AG254*(AG244&lt;=0)+AG249*($H271+$F$62+$F$63)</f>
        <v/>
      </c>
      <c r="AH272" s="19">
        <f>AH254*(AH244&lt;=0)+AH249*($H271+$F$62+$F$63)</f>
        <v/>
      </c>
      <c r="AI272" s="19">
        <f>AI254*(AI244&lt;=0)+AI249*($H271+$F$62+$F$63)</f>
        <v/>
      </c>
      <c r="AJ272" s="19">
        <f>AJ254*(AJ244&lt;=0)+AJ249*($H271+$F$62+$F$63)</f>
        <v/>
      </c>
      <c r="AK272" s="19">
        <f>AK254*(AK244&lt;=0)+AK249*($H271+$F$62+$F$63)</f>
        <v/>
      </c>
      <c r="AL272" s="19">
        <f>AL254*(AL244&lt;=0)+AL249*($H271+$F$62+$F$63)</f>
        <v/>
      </c>
      <c r="AM272" s="19">
        <f>AM254*(AM244&lt;=0)+AM249*($H271+$F$62+$F$63)</f>
        <v/>
      </c>
      <c r="AN272" s="19">
        <f>AN254*(AN244&lt;=0)+AN249*($H271+$F$62+$F$63)</f>
        <v/>
      </c>
      <c r="AO272" s="19">
        <f>AO254*(AO244&lt;=0)+AO249*($H271+$F$62+$F$63)</f>
        <v/>
      </c>
      <c r="AP272" s="19">
        <f>AP254*(AP244&lt;=0)+AP249*($H271+$F$62+$F$63)</f>
        <v/>
      </c>
      <c r="AQ272" s="19">
        <f>AQ254*(AQ244&lt;=0)+AQ249*($H271+$F$62+$F$63)</f>
        <v/>
      </c>
      <c r="AR272" s="19">
        <f>AR254*(AR244&lt;=0)+AR249*($H271+$F$62+$F$63)</f>
        <v/>
      </c>
      <c r="AS272" s="19">
        <f>AS254*(AS244&lt;=0)+AS249*($H271+$F$62+$F$63)</f>
        <v/>
      </c>
      <c r="AT272" s="19">
        <f>AT254*(AT244&lt;=0)+AT249*($H271+$F$62+$F$63)</f>
        <v/>
      </c>
      <c r="AU272" s="19">
        <f>AU254*(AU244&lt;=0)+AU249*($H271+$F$62+$F$63)</f>
        <v/>
      </c>
      <c r="AV272" s="19">
        <f>AV254*(AV244&lt;=0)+AV249*($H271+$F$62+$F$63)</f>
        <v/>
      </c>
      <c r="AW272" s="19">
        <f>AW254*(AW244&lt;=0)+AW249*($H271+$F$62+$F$63)</f>
        <v/>
      </c>
      <c r="AX272" s="19">
        <f>AX254*(AX244&lt;=0)+AX249*($H271+$F$62+$F$63)</f>
        <v/>
      </c>
    </row>
    <row r="273" hidden="1" outlineLevel="1"/>
    <row r="274" hidden="1" outlineLevel="1">
      <c r="B274" s="4" t="inlineStr">
        <is>
          <t>x</t>
        </is>
      </c>
      <c r="C274" s="4" t="inlineStr">
        <is>
          <t>Dunaújváros: annual cash flow (EUR k)</t>
        </is>
      </c>
      <c r="D274" s="4" t="n"/>
      <c r="E274" s="5" t="n"/>
      <c r="F274" s="5" t="n"/>
      <c r="G274" s="5" t="inlineStr">
        <is>
          <t>Value</t>
        </is>
      </c>
      <c r="H274" s="5" t="inlineStr">
        <is>
          <t>Total</t>
        </is>
      </c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  <c r="AP274" s="5" t="n"/>
      <c r="AQ274" s="5" t="n"/>
      <c r="AR274" s="5" t="n"/>
      <c r="AS274" s="5" t="n"/>
      <c r="AT274" s="5" t="n"/>
      <c r="AU274" s="5" t="n"/>
      <c r="AV274" s="5" t="n"/>
      <c r="AW274" s="5" t="n"/>
      <c r="AX274" s="5" t="n"/>
    </row>
    <row r="275" hidden="1" outlineLevel="1">
      <c r="C275" s="6" t="inlineStr">
        <is>
          <t>Years from the COD year</t>
        </is>
      </c>
      <c r="D275" s="2" t="inlineStr">
        <is>
          <t>years</t>
        </is>
      </c>
      <c r="J275" s="27">
        <f>J$209-YEAR(Date_COD)</f>
        <v/>
      </c>
      <c r="K275" s="27">
        <f>K$209-YEAR(Date_COD)</f>
        <v/>
      </c>
      <c r="L275" s="27">
        <f>L$209-YEAR(Date_COD)</f>
        <v/>
      </c>
      <c r="M275" s="27">
        <f>M$209-YEAR(Date_COD)</f>
        <v/>
      </c>
      <c r="N275" s="27">
        <f>N$209-YEAR(Date_COD)</f>
        <v/>
      </c>
      <c r="O275" s="27">
        <f>O$209-YEAR(Date_COD)</f>
        <v/>
      </c>
      <c r="P275" s="27">
        <f>P$209-YEAR(Date_COD)</f>
        <v/>
      </c>
      <c r="Q275" s="27">
        <f>Q$209-YEAR(Date_COD)</f>
        <v/>
      </c>
      <c r="R275" s="27">
        <f>R$209-YEAR(Date_COD)</f>
        <v/>
      </c>
      <c r="S275" s="27">
        <f>S$209-YEAR(Date_COD)</f>
        <v/>
      </c>
      <c r="T275" s="27">
        <f>T$209-YEAR(Date_COD)</f>
        <v/>
      </c>
      <c r="U275" s="27">
        <f>U$209-YEAR(Date_COD)</f>
        <v/>
      </c>
      <c r="V275" s="27">
        <f>V$209-YEAR(Date_COD)</f>
        <v/>
      </c>
      <c r="W275" s="27">
        <f>W$209-YEAR(Date_COD)</f>
        <v/>
      </c>
      <c r="X275" s="27">
        <f>X$209-YEAR(Date_COD)</f>
        <v/>
      </c>
      <c r="Y275" s="27">
        <f>Y$209-YEAR(Date_COD)</f>
        <v/>
      </c>
      <c r="Z275" s="27">
        <f>Z$209-YEAR(Date_COD)</f>
        <v/>
      </c>
      <c r="AA275" s="27">
        <f>AA$209-YEAR(Date_COD)</f>
        <v/>
      </c>
      <c r="AB275" s="27">
        <f>AB$209-YEAR(Date_COD)</f>
        <v/>
      </c>
      <c r="AC275" s="27">
        <f>AC$209-YEAR(Date_COD)</f>
        <v/>
      </c>
      <c r="AD275" s="27">
        <f>AD$209-YEAR(Date_COD)</f>
        <v/>
      </c>
      <c r="AE275" s="27">
        <f>AE$209-YEAR(Date_COD)</f>
        <v/>
      </c>
      <c r="AF275" s="27">
        <f>AF$209-YEAR(Date_COD)</f>
        <v/>
      </c>
      <c r="AG275" s="27">
        <f>AG$209-YEAR(Date_COD)</f>
        <v/>
      </c>
      <c r="AH275" s="27">
        <f>AH$209-YEAR(Date_COD)</f>
        <v/>
      </c>
      <c r="AI275" s="27">
        <f>AI$209-YEAR(Date_COD)</f>
        <v/>
      </c>
      <c r="AJ275" s="27">
        <f>AJ$209-YEAR(Date_COD)</f>
        <v/>
      </c>
      <c r="AK275" s="27">
        <f>AK$209-YEAR(Date_COD)</f>
        <v/>
      </c>
      <c r="AL275" s="27">
        <f>AL$209-YEAR(Date_COD)</f>
        <v/>
      </c>
      <c r="AM275" s="27">
        <f>AM$209-YEAR(Date_COD)</f>
        <v/>
      </c>
      <c r="AN275" s="27">
        <f>AN$209-YEAR(Date_COD)</f>
        <v/>
      </c>
      <c r="AO275" s="27">
        <f>AO$209-YEAR(Date_COD)</f>
        <v/>
      </c>
      <c r="AP275" s="27">
        <f>AP$209-YEAR(Date_COD)</f>
        <v/>
      </c>
      <c r="AQ275" s="27">
        <f>AQ$209-YEAR(Date_COD)</f>
        <v/>
      </c>
      <c r="AR275" s="27">
        <f>AR$209-YEAR(Date_COD)</f>
        <v/>
      </c>
      <c r="AS275" s="27">
        <f>AS$209-YEAR(Date_COD)</f>
        <v/>
      </c>
      <c r="AT275" s="27">
        <f>AT$209-YEAR(Date_COD)</f>
        <v/>
      </c>
      <c r="AU275" s="27">
        <f>AU$209-YEAR(Date_COD)</f>
        <v/>
      </c>
      <c r="AV275" s="27">
        <f>AV$209-YEAR(Date_COD)</f>
        <v/>
      </c>
      <c r="AW275" s="27">
        <f>AW$209-YEAR(Date_COD)</f>
        <v/>
      </c>
      <c r="AX275" s="27">
        <f>AX$209-YEAR(Date_COD)</f>
        <v/>
      </c>
    </row>
    <row r="276" hidden="1" outlineLevel="1">
      <c r="C276" s="6" t="inlineStr">
        <is>
          <t>Construction months by year end (value: construction period)</t>
        </is>
      </c>
      <c r="D276" s="2" t="inlineStr">
        <is>
          <t>months</t>
        </is>
      </c>
      <c r="G276" s="27">
        <f>(YEAR(Date_COD)-YEAR(Date_NTP))*Months_In_Year+MONTH(Date_COD)-MONTH(Date_NTP)</f>
        <v/>
      </c>
      <c r="J276" s="27">
        <f>(J$209+1-YEAR(Date_NTP))*Months_In_Year-MONTH(Date_NTP)</f>
        <v/>
      </c>
      <c r="K276" s="27">
        <f>(K$209+1-YEAR(Date_NTP))*Months_In_Year-MONTH(Date_NTP)</f>
        <v/>
      </c>
      <c r="L276" s="27">
        <f>(L$209+1-YEAR(Date_NTP))*Months_In_Year-MONTH(Date_NTP)</f>
        <v/>
      </c>
      <c r="M276" s="27">
        <f>(M$209+1-YEAR(Date_NTP))*Months_In_Year-MONTH(Date_NTP)</f>
        <v/>
      </c>
      <c r="N276" s="27">
        <f>(N$209+1-YEAR(Date_NTP))*Months_In_Year-MONTH(Date_NTP)</f>
        <v/>
      </c>
      <c r="O276" s="27">
        <f>(O$209+1-YEAR(Date_NTP))*Months_In_Year-MONTH(Date_NTP)</f>
        <v/>
      </c>
      <c r="P276" s="27">
        <f>(P$209+1-YEAR(Date_NTP))*Months_In_Year-MONTH(Date_NTP)</f>
        <v/>
      </c>
      <c r="Q276" s="27">
        <f>(Q$209+1-YEAR(Date_NTP))*Months_In_Year-MONTH(Date_NTP)</f>
        <v/>
      </c>
      <c r="R276" s="27">
        <f>(R$209+1-YEAR(Date_NTP))*Months_In_Year-MONTH(Date_NTP)</f>
        <v/>
      </c>
      <c r="S276" s="27">
        <f>(S$209+1-YEAR(Date_NTP))*Months_In_Year-MONTH(Date_NTP)</f>
        <v/>
      </c>
      <c r="T276" s="27">
        <f>(T$209+1-YEAR(Date_NTP))*Months_In_Year-MONTH(Date_NTP)</f>
        <v/>
      </c>
      <c r="U276" s="27">
        <f>(U$209+1-YEAR(Date_NTP))*Months_In_Year-MONTH(Date_NTP)</f>
        <v/>
      </c>
      <c r="V276" s="27">
        <f>(V$209+1-YEAR(Date_NTP))*Months_In_Year-MONTH(Date_NTP)</f>
        <v/>
      </c>
      <c r="W276" s="27">
        <f>(W$209+1-YEAR(Date_NTP))*Months_In_Year-MONTH(Date_NTP)</f>
        <v/>
      </c>
      <c r="X276" s="27">
        <f>(X$209+1-YEAR(Date_NTP))*Months_In_Year-MONTH(Date_NTP)</f>
        <v/>
      </c>
      <c r="Y276" s="27">
        <f>(Y$209+1-YEAR(Date_NTP))*Months_In_Year-MONTH(Date_NTP)</f>
        <v/>
      </c>
      <c r="Z276" s="27">
        <f>(Z$209+1-YEAR(Date_NTP))*Months_In_Year-MONTH(Date_NTP)</f>
        <v/>
      </c>
      <c r="AA276" s="27">
        <f>(AA$209+1-YEAR(Date_NTP))*Months_In_Year-MONTH(Date_NTP)</f>
        <v/>
      </c>
      <c r="AB276" s="27">
        <f>(AB$209+1-YEAR(Date_NTP))*Months_In_Year-MONTH(Date_NTP)</f>
        <v/>
      </c>
      <c r="AC276" s="27">
        <f>(AC$209+1-YEAR(Date_NTP))*Months_In_Year-MONTH(Date_NTP)</f>
        <v/>
      </c>
      <c r="AD276" s="27">
        <f>(AD$209+1-YEAR(Date_NTP))*Months_In_Year-MONTH(Date_NTP)</f>
        <v/>
      </c>
      <c r="AE276" s="27">
        <f>(AE$209+1-YEAR(Date_NTP))*Months_In_Year-MONTH(Date_NTP)</f>
        <v/>
      </c>
      <c r="AF276" s="27">
        <f>(AF$209+1-YEAR(Date_NTP))*Months_In_Year-MONTH(Date_NTP)</f>
        <v/>
      </c>
      <c r="AG276" s="27">
        <f>(AG$209+1-YEAR(Date_NTP))*Months_In_Year-MONTH(Date_NTP)</f>
        <v/>
      </c>
      <c r="AH276" s="27">
        <f>(AH$209+1-YEAR(Date_NTP))*Months_In_Year-MONTH(Date_NTP)</f>
        <v/>
      </c>
      <c r="AI276" s="27">
        <f>(AI$209+1-YEAR(Date_NTP))*Months_In_Year-MONTH(Date_NTP)</f>
        <v/>
      </c>
      <c r="AJ276" s="27">
        <f>(AJ$209+1-YEAR(Date_NTP))*Months_In_Year-MONTH(Date_NTP)</f>
        <v/>
      </c>
      <c r="AK276" s="27">
        <f>(AK$209+1-YEAR(Date_NTP))*Months_In_Year-MONTH(Date_NTP)</f>
        <v/>
      </c>
      <c r="AL276" s="27">
        <f>(AL$209+1-YEAR(Date_NTP))*Months_In_Year-MONTH(Date_NTP)</f>
        <v/>
      </c>
      <c r="AM276" s="27">
        <f>(AM$209+1-YEAR(Date_NTP))*Months_In_Year-MONTH(Date_NTP)</f>
        <v/>
      </c>
      <c r="AN276" s="27">
        <f>(AN$209+1-YEAR(Date_NTP))*Months_In_Year-MONTH(Date_NTP)</f>
        <v/>
      </c>
      <c r="AO276" s="27">
        <f>(AO$209+1-YEAR(Date_NTP))*Months_In_Year-MONTH(Date_NTP)</f>
        <v/>
      </c>
      <c r="AP276" s="27">
        <f>(AP$209+1-YEAR(Date_NTP))*Months_In_Year-MONTH(Date_NTP)</f>
        <v/>
      </c>
      <c r="AQ276" s="27">
        <f>(AQ$209+1-YEAR(Date_NTP))*Months_In_Year-MONTH(Date_NTP)</f>
        <v/>
      </c>
      <c r="AR276" s="27">
        <f>(AR$209+1-YEAR(Date_NTP))*Months_In_Year-MONTH(Date_NTP)</f>
        <v/>
      </c>
      <c r="AS276" s="27">
        <f>(AS$209+1-YEAR(Date_NTP))*Months_In_Year-MONTH(Date_NTP)</f>
        <v/>
      </c>
      <c r="AT276" s="27">
        <f>(AT$209+1-YEAR(Date_NTP))*Months_In_Year-MONTH(Date_NTP)</f>
        <v/>
      </c>
      <c r="AU276" s="27">
        <f>(AU$209+1-YEAR(Date_NTP))*Months_In_Year-MONTH(Date_NTP)</f>
        <v/>
      </c>
      <c r="AV276" s="27">
        <f>(AV$209+1-YEAR(Date_NTP))*Months_In_Year-MONTH(Date_NTP)</f>
        <v/>
      </c>
      <c r="AW276" s="27">
        <f>(AW$209+1-YEAR(Date_NTP))*Months_In_Year-MONTH(Date_NTP)</f>
        <v/>
      </c>
      <c r="AX276" s="27">
        <f>(AX$209+1-YEAR(Date_NTP))*Months_In_Year-MONTH(Date_NTP)</f>
        <v/>
      </c>
    </row>
    <row r="277" hidden="1" outlineLevel="1">
      <c r="C277" s="6" t="inlineStr">
        <is>
          <t>Construction share of the year (NTP to COD)</t>
        </is>
      </c>
      <c r="D277" s="2" t="inlineStr">
        <is>
          <t>%</t>
        </is>
      </c>
      <c r="H277" s="23">
        <f>SUM(J277:AX277)</f>
        <v/>
      </c>
      <c r="J277" s="23">
        <f>MAX(0,MIN(J276,$G276)-MAX(J276-Months_In_Year,0))/$G276</f>
        <v/>
      </c>
      <c r="K277" s="23">
        <f>MAX(0,MIN(K276,$G276)-MAX(K276-Months_In_Year,0))/$G276</f>
        <v/>
      </c>
      <c r="L277" s="23">
        <f>MAX(0,MIN(L276,$G276)-MAX(L276-Months_In_Year,0))/$G276</f>
        <v/>
      </c>
      <c r="M277" s="23">
        <f>MAX(0,MIN(M276,$G276)-MAX(M276-Months_In_Year,0))/$G276</f>
        <v/>
      </c>
      <c r="N277" s="23">
        <f>MAX(0,MIN(N276,$G276)-MAX(N276-Months_In_Year,0))/$G276</f>
        <v/>
      </c>
      <c r="O277" s="23">
        <f>MAX(0,MIN(O276,$G276)-MAX(O276-Months_In_Year,0))/$G276</f>
        <v/>
      </c>
      <c r="P277" s="23">
        <f>MAX(0,MIN(P276,$G276)-MAX(P276-Months_In_Year,0))/$G276</f>
        <v/>
      </c>
      <c r="Q277" s="23">
        <f>MAX(0,MIN(Q276,$G276)-MAX(Q276-Months_In_Year,0))/$G276</f>
        <v/>
      </c>
      <c r="R277" s="23">
        <f>MAX(0,MIN(R276,$G276)-MAX(R276-Months_In_Year,0))/$G276</f>
        <v/>
      </c>
      <c r="S277" s="23">
        <f>MAX(0,MIN(S276,$G276)-MAX(S276-Months_In_Year,0))/$G276</f>
        <v/>
      </c>
      <c r="T277" s="23">
        <f>MAX(0,MIN(T276,$G276)-MAX(T276-Months_In_Year,0))/$G276</f>
        <v/>
      </c>
      <c r="U277" s="23">
        <f>MAX(0,MIN(U276,$G276)-MAX(U276-Months_In_Year,0))/$G276</f>
        <v/>
      </c>
      <c r="V277" s="23">
        <f>MAX(0,MIN(V276,$G276)-MAX(V276-Months_In_Year,0))/$G276</f>
        <v/>
      </c>
      <c r="W277" s="23">
        <f>MAX(0,MIN(W276,$G276)-MAX(W276-Months_In_Year,0))/$G276</f>
        <v/>
      </c>
      <c r="X277" s="23">
        <f>MAX(0,MIN(X276,$G276)-MAX(X276-Months_In_Year,0))/$G276</f>
        <v/>
      </c>
      <c r="Y277" s="23">
        <f>MAX(0,MIN(Y276,$G276)-MAX(Y276-Months_In_Year,0))/$G276</f>
        <v/>
      </c>
      <c r="Z277" s="23">
        <f>MAX(0,MIN(Z276,$G276)-MAX(Z276-Months_In_Year,0))/$G276</f>
        <v/>
      </c>
      <c r="AA277" s="23">
        <f>MAX(0,MIN(AA276,$G276)-MAX(AA276-Months_In_Year,0))/$G276</f>
        <v/>
      </c>
      <c r="AB277" s="23">
        <f>MAX(0,MIN(AB276,$G276)-MAX(AB276-Months_In_Year,0))/$G276</f>
        <v/>
      </c>
      <c r="AC277" s="23">
        <f>MAX(0,MIN(AC276,$G276)-MAX(AC276-Months_In_Year,0))/$G276</f>
        <v/>
      </c>
      <c r="AD277" s="23">
        <f>MAX(0,MIN(AD276,$G276)-MAX(AD276-Months_In_Year,0))/$G276</f>
        <v/>
      </c>
      <c r="AE277" s="23">
        <f>MAX(0,MIN(AE276,$G276)-MAX(AE276-Months_In_Year,0))/$G276</f>
        <v/>
      </c>
      <c r="AF277" s="23">
        <f>MAX(0,MIN(AF276,$G276)-MAX(AF276-Months_In_Year,0))/$G276</f>
        <v/>
      </c>
      <c r="AG277" s="23">
        <f>MAX(0,MIN(AG276,$G276)-MAX(AG276-Months_In_Year,0))/$G276</f>
        <v/>
      </c>
      <c r="AH277" s="23">
        <f>MAX(0,MIN(AH276,$G276)-MAX(AH276-Months_In_Year,0))/$G276</f>
        <v/>
      </c>
      <c r="AI277" s="23">
        <f>MAX(0,MIN(AI276,$G276)-MAX(AI276-Months_In_Year,0))/$G276</f>
        <v/>
      </c>
      <c r="AJ277" s="23">
        <f>MAX(0,MIN(AJ276,$G276)-MAX(AJ276-Months_In_Year,0))/$G276</f>
        <v/>
      </c>
      <c r="AK277" s="23">
        <f>MAX(0,MIN(AK276,$G276)-MAX(AK276-Months_In_Year,0))/$G276</f>
        <v/>
      </c>
      <c r="AL277" s="23">
        <f>MAX(0,MIN(AL276,$G276)-MAX(AL276-Months_In_Year,0))/$G276</f>
        <v/>
      </c>
      <c r="AM277" s="23">
        <f>MAX(0,MIN(AM276,$G276)-MAX(AM276-Months_In_Year,0))/$G276</f>
        <v/>
      </c>
      <c r="AN277" s="23">
        <f>MAX(0,MIN(AN276,$G276)-MAX(AN276-Months_In_Year,0))/$G276</f>
        <v/>
      </c>
      <c r="AO277" s="23">
        <f>MAX(0,MIN(AO276,$G276)-MAX(AO276-Months_In_Year,0))/$G276</f>
        <v/>
      </c>
      <c r="AP277" s="23">
        <f>MAX(0,MIN(AP276,$G276)-MAX(AP276-Months_In_Year,0))/$G276</f>
        <v/>
      </c>
      <c r="AQ277" s="23">
        <f>MAX(0,MIN(AQ276,$G276)-MAX(AQ276-Months_In_Year,0))/$G276</f>
        <v/>
      </c>
      <c r="AR277" s="23">
        <f>MAX(0,MIN(AR276,$G276)-MAX(AR276-Months_In_Year,0))/$G276</f>
        <v/>
      </c>
      <c r="AS277" s="23">
        <f>MAX(0,MIN(AS276,$G276)-MAX(AS276-Months_In_Year,0))/$G276</f>
        <v/>
      </c>
      <c r="AT277" s="23">
        <f>MAX(0,MIN(AT276,$G276)-MAX(AT276-Months_In_Year,0))/$G276</f>
        <v/>
      </c>
      <c r="AU277" s="23">
        <f>MAX(0,MIN(AU276,$G276)-MAX(AU276-Months_In_Year,0))/$G276</f>
        <v/>
      </c>
      <c r="AV277" s="23">
        <f>MAX(0,MIN(AV276,$G276)-MAX(AV276-Months_In_Year,0))/$G276</f>
        <v/>
      </c>
      <c r="AW277" s="23">
        <f>MAX(0,MIN(AW276,$G276)-MAX(AW276-Months_In_Year,0))/$G276</f>
        <v/>
      </c>
      <c r="AX277" s="23">
        <f>MAX(0,MIN(AX276,$G276)-MAX(AX276-Months_In_Year,0))/$G276</f>
        <v/>
      </c>
    </row>
    <row r="278" hidden="1" outlineLevel="1">
      <c r="C278" s="6" t="inlineStr">
        <is>
          <t>Months operated by year end (value: operating life)</t>
        </is>
      </c>
      <c r="D278" s="2" t="inlineStr">
        <is>
          <t>months</t>
        </is>
      </c>
      <c r="G278" s="27">
        <f>Life*Months_In_Year</f>
        <v/>
      </c>
      <c r="J278" s="27">
        <f>(J$209+1-YEAR(Date_COD))*Months_In_Year-MONTH(Date_COD)</f>
        <v/>
      </c>
      <c r="K278" s="27">
        <f>(K$209+1-YEAR(Date_COD))*Months_In_Year-MONTH(Date_COD)</f>
        <v/>
      </c>
      <c r="L278" s="27">
        <f>(L$209+1-YEAR(Date_COD))*Months_In_Year-MONTH(Date_COD)</f>
        <v/>
      </c>
      <c r="M278" s="27">
        <f>(M$209+1-YEAR(Date_COD))*Months_In_Year-MONTH(Date_COD)</f>
        <v/>
      </c>
      <c r="N278" s="27">
        <f>(N$209+1-YEAR(Date_COD))*Months_In_Year-MONTH(Date_COD)</f>
        <v/>
      </c>
      <c r="O278" s="27">
        <f>(O$209+1-YEAR(Date_COD))*Months_In_Year-MONTH(Date_COD)</f>
        <v/>
      </c>
      <c r="P278" s="27">
        <f>(P$209+1-YEAR(Date_COD))*Months_In_Year-MONTH(Date_COD)</f>
        <v/>
      </c>
      <c r="Q278" s="27">
        <f>(Q$209+1-YEAR(Date_COD))*Months_In_Year-MONTH(Date_COD)</f>
        <v/>
      </c>
      <c r="R278" s="27">
        <f>(R$209+1-YEAR(Date_COD))*Months_In_Year-MONTH(Date_COD)</f>
        <v/>
      </c>
      <c r="S278" s="27">
        <f>(S$209+1-YEAR(Date_COD))*Months_In_Year-MONTH(Date_COD)</f>
        <v/>
      </c>
      <c r="T278" s="27">
        <f>(T$209+1-YEAR(Date_COD))*Months_In_Year-MONTH(Date_COD)</f>
        <v/>
      </c>
      <c r="U278" s="27">
        <f>(U$209+1-YEAR(Date_COD))*Months_In_Year-MONTH(Date_COD)</f>
        <v/>
      </c>
      <c r="V278" s="27">
        <f>(V$209+1-YEAR(Date_COD))*Months_In_Year-MONTH(Date_COD)</f>
        <v/>
      </c>
      <c r="W278" s="27">
        <f>(W$209+1-YEAR(Date_COD))*Months_In_Year-MONTH(Date_COD)</f>
        <v/>
      </c>
      <c r="X278" s="27">
        <f>(X$209+1-YEAR(Date_COD))*Months_In_Year-MONTH(Date_COD)</f>
        <v/>
      </c>
      <c r="Y278" s="27">
        <f>(Y$209+1-YEAR(Date_COD))*Months_In_Year-MONTH(Date_COD)</f>
        <v/>
      </c>
      <c r="Z278" s="27">
        <f>(Z$209+1-YEAR(Date_COD))*Months_In_Year-MONTH(Date_COD)</f>
        <v/>
      </c>
      <c r="AA278" s="27">
        <f>(AA$209+1-YEAR(Date_COD))*Months_In_Year-MONTH(Date_COD)</f>
        <v/>
      </c>
      <c r="AB278" s="27">
        <f>(AB$209+1-YEAR(Date_COD))*Months_In_Year-MONTH(Date_COD)</f>
        <v/>
      </c>
      <c r="AC278" s="27">
        <f>(AC$209+1-YEAR(Date_COD))*Months_In_Year-MONTH(Date_COD)</f>
        <v/>
      </c>
      <c r="AD278" s="27">
        <f>(AD$209+1-YEAR(Date_COD))*Months_In_Year-MONTH(Date_COD)</f>
        <v/>
      </c>
      <c r="AE278" s="27">
        <f>(AE$209+1-YEAR(Date_COD))*Months_In_Year-MONTH(Date_COD)</f>
        <v/>
      </c>
      <c r="AF278" s="27">
        <f>(AF$209+1-YEAR(Date_COD))*Months_In_Year-MONTH(Date_COD)</f>
        <v/>
      </c>
      <c r="AG278" s="27">
        <f>(AG$209+1-YEAR(Date_COD))*Months_In_Year-MONTH(Date_COD)</f>
        <v/>
      </c>
      <c r="AH278" s="27">
        <f>(AH$209+1-YEAR(Date_COD))*Months_In_Year-MONTH(Date_COD)</f>
        <v/>
      </c>
      <c r="AI278" s="27">
        <f>(AI$209+1-YEAR(Date_COD))*Months_In_Year-MONTH(Date_COD)</f>
        <v/>
      </c>
      <c r="AJ278" s="27">
        <f>(AJ$209+1-YEAR(Date_COD))*Months_In_Year-MONTH(Date_COD)</f>
        <v/>
      </c>
      <c r="AK278" s="27">
        <f>(AK$209+1-YEAR(Date_COD))*Months_In_Year-MONTH(Date_COD)</f>
        <v/>
      </c>
      <c r="AL278" s="27">
        <f>(AL$209+1-YEAR(Date_COD))*Months_In_Year-MONTH(Date_COD)</f>
        <v/>
      </c>
      <c r="AM278" s="27">
        <f>(AM$209+1-YEAR(Date_COD))*Months_In_Year-MONTH(Date_COD)</f>
        <v/>
      </c>
      <c r="AN278" s="27">
        <f>(AN$209+1-YEAR(Date_COD))*Months_In_Year-MONTH(Date_COD)</f>
        <v/>
      </c>
      <c r="AO278" s="27">
        <f>(AO$209+1-YEAR(Date_COD))*Months_In_Year-MONTH(Date_COD)</f>
        <v/>
      </c>
      <c r="AP278" s="27">
        <f>(AP$209+1-YEAR(Date_COD))*Months_In_Year-MONTH(Date_COD)</f>
        <v/>
      </c>
      <c r="AQ278" s="27">
        <f>(AQ$209+1-YEAR(Date_COD))*Months_In_Year-MONTH(Date_COD)</f>
        <v/>
      </c>
      <c r="AR278" s="27">
        <f>(AR$209+1-YEAR(Date_COD))*Months_In_Year-MONTH(Date_COD)</f>
        <v/>
      </c>
      <c r="AS278" s="27">
        <f>(AS$209+1-YEAR(Date_COD))*Months_In_Year-MONTH(Date_COD)</f>
        <v/>
      </c>
      <c r="AT278" s="27">
        <f>(AT$209+1-YEAR(Date_COD))*Months_In_Year-MONTH(Date_COD)</f>
        <v/>
      </c>
      <c r="AU278" s="27">
        <f>(AU$209+1-YEAR(Date_COD))*Months_In_Year-MONTH(Date_COD)</f>
        <v/>
      </c>
      <c r="AV278" s="27">
        <f>(AV$209+1-YEAR(Date_COD))*Months_In_Year-MONTH(Date_COD)</f>
        <v/>
      </c>
      <c r="AW278" s="27">
        <f>(AW$209+1-YEAR(Date_COD))*Months_In_Year-MONTH(Date_COD)</f>
        <v/>
      </c>
      <c r="AX278" s="27">
        <f>(AX$209+1-YEAR(Date_COD))*Months_In_Year-MONTH(Date_COD)</f>
        <v/>
      </c>
    </row>
    <row r="279" hidden="1" outlineLevel="1">
      <c r="C279" s="6" t="inlineStr">
        <is>
          <t>Operating share of the year (COD to end of life)</t>
        </is>
      </c>
      <c r="D279" s="2" t="inlineStr">
        <is>
          <t>%</t>
        </is>
      </c>
      <c r="H279" s="28">
        <f>SUM(J279:AX279)</f>
        <v/>
      </c>
      <c r="J279" s="23">
        <f>MAX(0,MIN(J278,$G278)-MAX(J278-Months_In_Year,0))/Months_In_Year</f>
        <v/>
      </c>
      <c r="K279" s="23">
        <f>MAX(0,MIN(K278,$G278)-MAX(K278-Months_In_Year,0))/Months_In_Year</f>
        <v/>
      </c>
      <c r="L279" s="23">
        <f>MAX(0,MIN(L278,$G278)-MAX(L278-Months_In_Year,0))/Months_In_Year</f>
        <v/>
      </c>
      <c r="M279" s="23">
        <f>MAX(0,MIN(M278,$G278)-MAX(M278-Months_In_Year,0))/Months_In_Year</f>
        <v/>
      </c>
      <c r="N279" s="23">
        <f>MAX(0,MIN(N278,$G278)-MAX(N278-Months_In_Year,0))/Months_In_Year</f>
        <v/>
      </c>
      <c r="O279" s="23">
        <f>MAX(0,MIN(O278,$G278)-MAX(O278-Months_In_Year,0))/Months_In_Year</f>
        <v/>
      </c>
      <c r="P279" s="23">
        <f>MAX(0,MIN(P278,$G278)-MAX(P278-Months_In_Year,0))/Months_In_Year</f>
        <v/>
      </c>
      <c r="Q279" s="23">
        <f>MAX(0,MIN(Q278,$G278)-MAX(Q278-Months_In_Year,0))/Months_In_Year</f>
        <v/>
      </c>
      <c r="R279" s="23">
        <f>MAX(0,MIN(R278,$G278)-MAX(R278-Months_In_Year,0))/Months_In_Year</f>
        <v/>
      </c>
      <c r="S279" s="23">
        <f>MAX(0,MIN(S278,$G278)-MAX(S278-Months_In_Year,0))/Months_In_Year</f>
        <v/>
      </c>
      <c r="T279" s="23">
        <f>MAX(0,MIN(T278,$G278)-MAX(T278-Months_In_Year,0))/Months_In_Year</f>
        <v/>
      </c>
      <c r="U279" s="23">
        <f>MAX(0,MIN(U278,$G278)-MAX(U278-Months_In_Year,0))/Months_In_Year</f>
        <v/>
      </c>
      <c r="V279" s="23">
        <f>MAX(0,MIN(V278,$G278)-MAX(V278-Months_In_Year,0))/Months_In_Year</f>
        <v/>
      </c>
      <c r="W279" s="23">
        <f>MAX(0,MIN(W278,$G278)-MAX(W278-Months_In_Year,0))/Months_In_Year</f>
        <v/>
      </c>
      <c r="X279" s="23">
        <f>MAX(0,MIN(X278,$G278)-MAX(X278-Months_In_Year,0))/Months_In_Year</f>
        <v/>
      </c>
      <c r="Y279" s="23">
        <f>MAX(0,MIN(Y278,$G278)-MAX(Y278-Months_In_Year,0))/Months_In_Year</f>
        <v/>
      </c>
      <c r="Z279" s="23">
        <f>MAX(0,MIN(Z278,$G278)-MAX(Z278-Months_In_Year,0))/Months_In_Year</f>
        <v/>
      </c>
      <c r="AA279" s="23">
        <f>MAX(0,MIN(AA278,$G278)-MAX(AA278-Months_In_Year,0))/Months_In_Year</f>
        <v/>
      </c>
      <c r="AB279" s="23">
        <f>MAX(0,MIN(AB278,$G278)-MAX(AB278-Months_In_Year,0))/Months_In_Year</f>
        <v/>
      </c>
      <c r="AC279" s="23">
        <f>MAX(0,MIN(AC278,$G278)-MAX(AC278-Months_In_Year,0))/Months_In_Year</f>
        <v/>
      </c>
      <c r="AD279" s="23">
        <f>MAX(0,MIN(AD278,$G278)-MAX(AD278-Months_In_Year,0))/Months_In_Year</f>
        <v/>
      </c>
      <c r="AE279" s="23">
        <f>MAX(0,MIN(AE278,$G278)-MAX(AE278-Months_In_Year,0))/Months_In_Year</f>
        <v/>
      </c>
      <c r="AF279" s="23">
        <f>MAX(0,MIN(AF278,$G278)-MAX(AF278-Months_In_Year,0))/Months_In_Year</f>
        <v/>
      </c>
      <c r="AG279" s="23">
        <f>MAX(0,MIN(AG278,$G278)-MAX(AG278-Months_In_Year,0))/Months_In_Year</f>
        <v/>
      </c>
      <c r="AH279" s="23">
        <f>MAX(0,MIN(AH278,$G278)-MAX(AH278-Months_In_Year,0))/Months_In_Year</f>
        <v/>
      </c>
      <c r="AI279" s="23">
        <f>MAX(0,MIN(AI278,$G278)-MAX(AI278-Months_In_Year,0))/Months_In_Year</f>
        <v/>
      </c>
      <c r="AJ279" s="23">
        <f>MAX(0,MIN(AJ278,$G278)-MAX(AJ278-Months_In_Year,0))/Months_In_Year</f>
        <v/>
      </c>
      <c r="AK279" s="23">
        <f>MAX(0,MIN(AK278,$G278)-MAX(AK278-Months_In_Year,0))/Months_In_Year</f>
        <v/>
      </c>
      <c r="AL279" s="23">
        <f>MAX(0,MIN(AL278,$G278)-MAX(AL278-Months_In_Year,0))/Months_In_Year</f>
        <v/>
      </c>
      <c r="AM279" s="23">
        <f>MAX(0,MIN(AM278,$G278)-MAX(AM278-Months_In_Year,0))/Months_In_Year</f>
        <v/>
      </c>
      <c r="AN279" s="23">
        <f>MAX(0,MIN(AN278,$G278)-MAX(AN278-Months_In_Year,0))/Months_In_Year</f>
        <v/>
      </c>
      <c r="AO279" s="23">
        <f>MAX(0,MIN(AO278,$G278)-MAX(AO278-Months_In_Year,0))/Months_In_Year</f>
        <v/>
      </c>
      <c r="AP279" s="23">
        <f>MAX(0,MIN(AP278,$G278)-MAX(AP278-Months_In_Year,0))/Months_In_Year</f>
        <v/>
      </c>
      <c r="AQ279" s="23">
        <f>MAX(0,MIN(AQ278,$G278)-MAX(AQ278-Months_In_Year,0))/Months_In_Year</f>
        <v/>
      </c>
      <c r="AR279" s="23">
        <f>MAX(0,MIN(AR278,$G278)-MAX(AR278-Months_In_Year,0))/Months_In_Year</f>
        <v/>
      </c>
      <c r="AS279" s="23">
        <f>MAX(0,MIN(AS278,$G278)-MAX(AS278-Months_In_Year,0))/Months_In_Year</f>
        <v/>
      </c>
      <c r="AT279" s="23">
        <f>MAX(0,MIN(AT278,$G278)-MAX(AT278-Months_In_Year,0))/Months_In_Year</f>
        <v/>
      </c>
      <c r="AU279" s="23">
        <f>MAX(0,MIN(AU278,$G278)-MAX(AU278-Months_In_Year,0))/Months_In_Year</f>
        <v/>
      </c>
      <c r="AV279" s="23">
        <f>MAX(0,MIN(AV278,$G278)-MAX(AV278-Months_In_Year,0))/Months_In_Year</f>
        <v/>
      </c>
      <c r="AW279" s="23">
        <f>MAX(0,MIN(AW278,$G278)-MAX(AW278-Months_In_Year,0))/Months_In_Year</f>
        <v/>
      </c>
      <c r="AX279" s="23">
        <f>MAX(0,MIN(AX278,$G278)-MAX(AX278-Months_In_Year,0))/Months_In_Year</f>
        <v/>
      </c>
    </row>
    <row r="280" hidden="1" outlineLevel="1">
      <c r="C280" s="6" t="inlineStr">
        <is>
          <t>COD year flag</t>
        </is>
      </c>
      <c r="D280" s="2" t="inlineStr">
        <is>
          <t>flag</t>
        </is>
      </c>
      <c r="J280" s="29">
        <f>N(J275=0)</f>
        <v/>
      </c>
      <c r="K280" s="29">
        <f>N(K275=0)</f>
        <v/>
      </c>
      <c r="L280" s="29">
        <f>N(L275=0)</f>
        <v/>
      </c>
      <c r="M280" s="29">
        <f>N(M275=0)</f>
        <v/>
      </c>
      <c r="N280" s="29">
        <f>N(N275=0)</f>
        <v/>
      </c>
      <c r="O280" s="29">
        <f>N(O275=0)</f>
        <v/>
      </c>
      <c r="P280" s="29">
        <f>N(P275=0)</f>
        <v/>
      </c>
      <c r="Q280" s="29">
        <f>N(Q275=0)</f>
        <v/>
      </c>
      <c r="R280" s="29">
        <f>N(R275=0)</f>
        <v/>
      </c>
      <c r="S280" s="29">
        <f>N(S275=0)</f>
        <v/>
      </c>
      <c r="T280" s="29">
        <f>N(T275=0)</f>
        <v/>
      </c>
      <c r="U280" s="29">
        <f>N(U275=0)</f>
        <v/>
      </c>
      <c r="V280" s="29">
        <f>N(V275=0)</f>
        <v/>
      </c>
      <c r="W280" s="29">
        <f>N(W275=0)</f>
        <v/>
      </c>
      <c r="X280" s="29">
        <f>N(X275=0)</f>
        <v/>
      </c>
      <c r="Y280" s="29">
        <f>N(Y275=0)</f>
        <v/>
      </c>
      <c r="Z280" s="29">
        <f>N(Z275=0)</f>
        <v/>
      </c>
      <c r="AA280" s="29">
        <f>N(AA275=0)</f>
        <v/>
      </c>
      <c r="AB280" s="29">
        <f>N(AB275=0)</f>
        <v/>
      </c>
      <c r="AC280" s="29">
        <f>N(AC275=0)</f>
        <v/>
      </c>
      <c r="AD280" s="29">
        <f>N(AD275=0)</f>
        <v/>
      </c>
      <c r="AE280" s="29">
        <f>N(AE275=0)</f>
        <v/>
      </c>
      <c r="AF280" s="29">
        <f>N(AF275=0)</f>
        <v/>
      </c>
      <c r="AG280" s="29">
        <f>N(AG275=0)</f>
        <v/>
      </c>
      <c r="AH280" s="29">
        <f>N(AH275=0)</f>
        <v/>
      </c>
      <c r="AI280" s="29">
        <f>N(AI275=0)</f>
        <v/>
      </c>
      <c r="AJ280" s="29">
        <f>N(AJ275=0)</f>
        <v/>
      </c>
      <c r="AK280" s="29">
        <f>N(AK275=0)</f>
        <v/>
      </c>
      <c r="AL280" s="29">
        <f>N(AL275=0)</f>
        <v/>
      </c>
      <c r="AM280" s="29">
        <f>N(AM275=0)</f>
        <v/>
      </c>
      <c r="AN280" s="29">
        <f>N(AN275=0)</f>
        <v/>
      </c>
      <c r="AO280" s="29">
        <f>N(AO275=0)</f>
        <v/>
      </c>
      <c r="AP280" s="29">
        <f>N(AP275=0)</f>
        <v/>
      </c>
      <c r="AQ280" s="29">
        <f>N(AQ275=0)</f>
        <v/>
      </c>
      <c r="AR280" s="29">
        <f>N(AR275=0)</f>
        <v/>
      </c>
      <c r="AS280" s="29">
        <f>N(AS275=0)</f>
        <v/>
      </c>
      <c r="AT280" s="29">
        <f>N(AT275=0)</f>
        <v/>
      </c>
      <c r="AU280" s="29">
        <f>N(AU275=0)</f>
        <v/>
      </c>
      <c r="AV280" s="29">
        <f>N(AV275=0)</f>
        <v/>
      </c>
      <c r="AW280" s="29">
        <f>N(AW275=0)</f>
        <v/>
      </c>
      <c r="AX280" s="29">
        <f>N(AX275=0)</f>
        <v/>
      </c>
    </row>
    <row r="281" hidden="1" outlineLevel="1">
      <c r="C281" s="6" t="inlineStr">
        <is>
          <t>FEP outlays at their dates (signing, fee, securities, fees, devex)</t>
        </is>
      </c>
      <c r="D281" s="2" t="inlineStr">
        <is>
          <t>EUR k</t>
        </is>
      </c>
      <c r="H281" s="8">
        <f>SUM(J281:AX281)</f>
        <v/>
      </c>
      <c r="J281" s="8">
        <f>SUMPRODUCT((YEAR($J$195:$J$202)=J$209)*$G$195:$G$202)</f>
        <v/>
      </c>
      <c r="K281" s="8">
        <f>SUMPRODUCT((YEAR($J$195:$J$202)=K$209)*$G$195:$G$202)</f>
        <v/>
      </c>
      <c r="L281" s="8">
        <f>SUMPRODUCT((YEAR($J$195:$J$202)=L$209)*$G$195:$G$202)</f>
        <v/>
      </c>
      <c r="M281" s="8">
        <f>SUMPRODUCT((YEAR($J$195:$J$202)=M$209)*$G$195:$G$202)</f>
        <v/>
      </c>
      <c r="N281" s="8">
        <f>SUMPRODUCT((YEAR($J$195:$J$202)=N$209)*$G$195:$G$202)</f>
        <v/>
      </c>
      <c r="O281" s="8">
        <f>SUMPRODUCT((YEAR($J$195:$J$202)=O$209)*$G$195:$G$202)</f>
        <v/>
      </c>
      <c r="P281" s="8">
        <f>SUMPRODUCT((YEAR($J$195:$J$202)=P$209)*$G$195:$G$202)</f>
        <v/>
      </c>
      <c r="Q281" s="8">
        <f>SUMPRODUCT((YEAR($J$195:$J$202)=Q$209)*$G$195:$G$202)</f>
        <v/>
      </c>
      <c r="R281" s="8">
        <f>SUMPRODUCT((YEAR($J$195:$J$202)=R$209)*$G$195:$G$202)</f>
        <v/>
      </c>
      <c r="S281" s="8">
        <f>SUMPRODUCT((YEAR($J$195:$J$202)=S$209)*$G$195:$G$202)</f>
        <v/>
      </c>
      <c r="T281" s="8">
        <f>SUMPRODUCT((YEAR($J$195:$J$202)=T$209)*$G$195:$G$202)</f>
        <v/>
      </c>
      <c r="U281" s="8">
        <f>SUMPRODUCT((YEAR($J$195:$J$202)=U$209)*$G$195:$G$202)</f>
        <v/>
      </c>
      <c r="V281" s="8">
        <f>SUMPRODUCT((YEAR($J$195:$J$202)=V$209)*$G$195:$G$202)</f>
        <v/>
      </c>
      <c r="W281" s="8">
        <f>SUMPRODUCT((YEAR($J$195:$J$202)=W$209)*$G$195:$G$202)</f>
        <v/>
      </c>
      <c r="X281" s="8">
        <f>SUMPRODUCT((YEAR($J$195:$J$202)=X$209)*$G$195:$G$202)</f>
        <v/>
      </c>
      <c r="Y281" s="8">
        <f>SUMPRODUCT((YEAR($J$195:$J$202)=Y$209)*$G$195:$G$202)</f>
        <v/>
      </c>
      <c r="Z281" s="8">
        <f>SUMPRODUCT((YEAR($J$195:$J$202)=Z$209)*$G$195:$G$202)</f>
        <v/>
      </c>
      <c r="AA281" s="8">
        <f>SUMPRODUCT((YEAR($J$195:$J$202)=AA$209)*$G$195:$G$202)</f>
        <v/>
      </c>
      <c r="AB281" s="8">
        <f>SUMPRODUCT((YEAR($J$195:$J$202)=AB$209)*$G$195:$G$202)</f>
        <v/>
      </c>
      <c r="AC281" s="8">
        <f>SUMPRODUCT((YEAR($J$195:$J$202)=AC$209)*$G$195:$G$202)</f>
        <v/>
      </c>
      <c r="AD281" s="8">
        <f>SUMPRODUCT((YEAR($J$195:$J$202)=AD$209)*$G$195:$G$202)</f>
        <v/>
      </c>
      <c r="AE281" s="8">
        <f>SUMPRODUCT((YEAR($J$195:$J$202)=AE$209)*$G$195:$G$202)</f>
        <v/>
      </c>
      <c r="AF281" s="8">
        <f>SUMPRODUCT((YEAR($J$195:$J$202)=AF$209)*$G$195:$G$202)</f>
        <v/>
      </c>
      <c r="AG281" s="8">
        <f>SUMPRODUCT((YEAR($J$195:$J$202)=AG$209)*$G$195:$G$202)</f>
        <v/>
      </c>
      <c r="AH281" s="8">
        <f>SUMPRODUCT((YEAR($J$195:$J$202)=AH$209)*$G$195:$G$202)</f>
        <v/>
      </c>
      <c r="AI281" s="8">
        <f>SUMPRODUCT((YEAR($J$195:$J$202)=AI$209)*$G$195:$G$202)</f>
        <v/>
      </c>
      <c r="AJ281" s="8">
        <f>SUMPRODUCT((YEAR($J$195:$J$202)=AJ$209)*$G$195:$G$202)</f>
        <v/>
      </c>
      <c r="AK281" s="8">
        <f>SUMPRODUCT((YEAR($J$195:$J$202)=AK$209)*$G$195:$G$202)</f>
        <v/>
      </c>
      <c r="AL281" s="8">
        <f>SUMPRODUCT((YEAR($J$195:$J$202)=AL$209)*$G$195:$G$202)</f>
        <v/>
      </c>
      <c r="AM281" s="8">
        <f>SUMPRODUCT((YEAR($J$195:$J$202)=AM$209)*$G$195:$G$202)</f>
        <v/>
      </c>
      <c r="AN281" s="8">
        <f>SUMPRODUCT((YEAR($J$195:$J$202)=AN$209)*$G$195:$G$202)</f>
        <v/>
      </c>
      <c r="AO281" s="8">
        <f>SUMPRODUCT((YEAR($J$195:$J$202)=AO$209)*$G$195:$G$202)</f>
        <v/>
      </c>
      <c r="AP281" s="8">
        <f>SUMPRODUCT((YEAR($J$195:$J$202)=AP$209)*$G$195:$G$202)</f>
        <v/>
      </c>
      <c r="AQ281" s="8">
        <f>SUMPRODUCT((YEAR($J$195:$J$202)=AQ$209)*$G$195:$G$202)</f>
        <v/>
      </c>
      <c r="AR281" s="8">
        <f>SUMPRODUCT((YEAR($J$195:$J$202)=AR$209)*$G$195:$G$202)</f>
        <v/>
      </c>
      <c r="AS281" s="8">
        <f>SUMPRODUCT((YEAR($J$195:$J$202)=AS$209)*$G$195:$G$202)</f>
        <v/>
      </c>
      <c r="AT281" s="8">
        <f>SUMPRODUCT((YEAR($J$195:$J$202)=AT$209)*$G$195:$G$202)</f>
        <v/>
      </c>
      <c r="AU281" s="8">
        <f>SUMPRODUCT((YEAR($J$195:$J$202)=AU$209)*$G$195:$G$202)</f>
        <v/>
      </c>
      <c r="AV281" s="8">
        <f>SUMPRODUCT((YEAR($J$195:$J$202)=AV$209)*$G$195:$G$202)</f>
        <v/>
      </c>
      <c r="AW281" s="8">
        <f>SUMPRODUCT((YEAR($J$195:$J$202)=AW$209)*$G$195:$G$202)</f>
        <v/>
      </c>
      <c r="AX281" s="8">
        <f>SUMPRODUCT((YEAR($J$195:$J$202)=AX$209)*$G$195:$G$202)</f>
        <v/>
      </c>
    </row>
    <row r="282" hidden="1" outlineLevel="1">
      <c r="C282" s="6" t="inlineStr">
        <is>
          <t>Performance security released (bid security included)</t>
        </is>
      </c>
      <c r="D282" s="2" t="inlineStr">
        <is>
          <t>EUR k</t>
        </is>
      </c>
      <c r="H282" s="8">
        <f>SUM(J282:AX282)</f>
        <v/>
      </c>
      <c r="J282" s="8">
        <f>($G$62+$G$63)*(J$209=YEAR(Date_Release))</f>
        <v/>
      </c>
      <c r="K282" s="8">
        <f>($G$62+$G$63)*(K$209=YEAR(Date_Release))</f>
        <v/>
      </c>
      <c r="L282" s="8">
        <f>($G$62+$G$63)*(L$209=YEAR(Date_Release))</f>
        <v/>
      </c>
      <c r="M282" s="8">
        <f>($G$62+$G$63)*(M$209=YEAR(Date_Release))</f>
        <v/>
      </c>
      <c r="N282" s="8">
        <f>($G$62+$G$63)*(N$209=YEAR(Date_Release))</f>
        <v/>
      </c>
      <c r="O282" s="8">
        <f>($G$62+$G$63)*(O$209=YEAR(Date_Release))</f>
        <v/>
      </c>
      <c r="P282" s="8">
        <f>($G$62+$G$63)*(P$209=YEAR(Date_Release))</f>
        <v/>
      </c>
      <c r="Q282" s="8">
        <f>($G$62+$G$63)*(Q$209=YEAR(Date_Release))</f>
        <v/>
      </c>
      <c r="R282" s="8">
        <f>($G$62+$G$63)*(R$209=YEAR(Date_Release))</f>
        <v/>
      </c>
      <c r="S282" s="8">
        <f>($G$62+$G$63)*(S$209=YEAR(Date_Release))</f>
        <v/>
      </c>
      <c r="T282" s="8">
        <f>($G$62+$G$63)*(T$209=YEAR(Date_Release))</f>
        <v/>
      </c>
      <c r="U282" s="8">
        <f>($G$62+$G$63)*(U$209=YEAR(Date_Release))</f>
        <v/>
      </c>
      <c r="V282" s="8">
        <f>($G$62+$G$63)*(V$209=YEAR(Date_Release))</f>
        <v/>
      </c>
      <c r="W282" s="8">
        <f>($G$62+$G$63)*(W$209=YEAR(Date_Release))</f>
        <v/>
      </c>
      <c r="X282" s="8">
        <f>($G$62+$G$63)*(X$209=YEAR(Date_Release))</f>
        <v/>
      </c>
      <c r="Y282" s="8">
        <f>($G$62+$G$63)*(Y$209=YEAR(Date_Release))</f>
        <v/>
      </c>
      <c r="Z282" s="8">
        <f>($G$62+$G$63)*(Z$209=YEAR(Date_Release))</f>
        <v/>
      </c>
      <c r="AA282" s="8">
        <f>($G$62+$G$63)*(AA$209=YEAR(Date_Release))</f>
        <v/>
      </c>
      <c r="AB282" s="8">
        <f>($G$62+$G$63)*(AB$209=YEAR(Date_Release))</f>
        <v/>
      </c>
      <c r="AC282" s="8">
        <f>($G$62+$G$63)*(AC$209=YEAR(Date_Release))</f>
        <v/>
      </c>
      <c r="AD282" s="8">
        <f>($G$62+$G$63)*(AD$209=YEAR(Date_Release))</f>
        <v/>
      </c>
      <c r="AE282" s="8">
        <f>($G$62+$G$63)*(AE$209=YEAR(Date_Release))</f>
        <v/>
      </c>
      <c r="AF282" s="8">
        <f>($G$62+$G$63)*(AF$209=YEAR(Date_Release))</f>
        <v/>
      </c>
      <c r="AG282" s="8">
        <f>($G$62+$G$63)*(AG$209=YEAR(Date_Release))</f>
        <v/>
      </c>
      <c r="AH282" s="8">
        <f>($G$62+$G$63)*(AH$209=YEAR(Date_Release))</f>
        <v/>
      </c>
      <c r="AI282" s="8">
        <f>($G$62+$G$63)*(AI$209=YEAR(Date_Release))</f>
        <v/>
      </c>
      <c r="AJ282" s="8">
        <f>($G$62+$G$63)*(AJ$209=YEAR(Date_Release))</f>
        <v/>
      </c>
      <c r="AK282" s="8">
        <f>($G$62+$G$63)*(AK$209=YEAR(Date_Release))</f>
        <v/>
      </c>
      <c r="AL282" s="8">
        <f>($G$62+$G$63)*(AL$209=YEAR(Date_Release))</f>
        <v/>
      </c>
      <c r="AM282" s="8">
        <f>($G$62+$G$63)*(AM$209=YEAR(Date_Release))</f>
        <v/>
      </c>
      <c r="AN282" s="8">
        <f>($G$62+$G$63)*(AN$209=YEAR(Date_Release))</f>
        <v/>
      </c>
      <c r="AO282" s="8">
        <f>($G$62+$G$63)*(AO$209=YEAR(Date_Release))</f>
        <v/>
      </c>
      <c r="AP282" s="8">
        <f>($G$62+$G$63)*(AP$209=YEAR(Date_Release))</f>
        <v/>
      </c>
      <c r="AQ282" s="8">
        <f>($G$62+$G$63)*(AQ$209=YEAR(Date_Release))</f>
        <v/>
      </c>
      <c r="AR282" s="8">
        <f>($G$62+$G$63)*(AR$209=YEAR(Date_Release))</f>
        <v/>
      </c>
      <c r="AS282" s="8">
        <f>($G$62+$G$63)*(AS$209=YEAR(Date_Release))</f>
        <v/>
      </c>
      <c r="AT282" s="8">
        <f>($G$62+$G$63)*(AT$209=YEAR(Date_Release))</f>
        <v/>
      </c>
      <c r="AU282" s="8">
        <f>($G$62+$G$63)*(AU$209=YEAR(Date_Release))</f>
        <v/>
      </c>
      <c r="AV282" s="8">
        <f>($G$62+$G$63)*(AV$209=YEAR(Date_Release))</f>
        <v/>
      </c>
      <c r="AW282" s="8">
        <f>($G$62+$G$63)*(AW$209=YEAR(Date_Release))</f>
        <v/>
      </c>
      <c r="AX282" s="8">
        <f>($G$62+$G$63)*(AX$209=YEAR(Date_Release))</f>
        <v/>
      </c>
    </row>
    <row r="283" hidden="1" outlineLevel="1">
      <c r="C283" s="6" t="inlineStr">
        <is>
          <t>Construction capex (straight-line NTP to COD)</t>
        </is>
      </c>
      <c r="D283" s="2" t="inlineStr">
        <is>
          <t>EUR k</t>
        </is>
      </c>
      <c r="H283" s="8">
        <f>SUM(J283:AX283)</f>
        <v/>
      </c>
      <c r="J283" s="8">
        <f>-$G$82*J277</f>
        <v/>
      </c>
      <c r="K283" s="8">
        <f>-$G$82*K277</f>
        <v/>
      </c>
      <c r="L283" s="8">
        <f>-$G$82*L277</f>
        <v/>
      </c>
      <c r="M283" s="8">
        <f>-$G$82*M277</f>
        <v/>
      </c>
      <c r="N283" s="8">
        <f>-$G$82*N277</f>
        <v/>
      </c>
      <c r="O283" s="8">
        <f>-$G$82*O277</f>
        <v/>
      </c>
      <c r="P283" s="8">
        <f>-$G$82*P277</f>
        <v/>
      </c>
      <c r="Q283" s="8">
        <f>-$G$82*Q277</f>
        <v/>
      </c>
      <c r="R283" s="8">
        <f>-$G$82*R277</f>
        <v/>
      </c>
      <c r="S283" s="8">
        <f>-$G$82*S277</f>
        <v/>
      </c>
      <c r="T283" s="8">
        <f>-$G$82*T277</f>
        <v/>
      </c>
      <c r="U283" s="8">
        <f>-$G$82*U277</f>
        <v/>
      </c>
      <c r="V283" s="8">
        <f>-$G$82*V277</f>
        <v/>
      </c>
      <c r="W283" s="8">
        <f>-$G$82*W277</f>
        <v/>
      </c>
      <c r="X283" s="8">
        <f>-$G$82*X277</f>
        <v/>
      </c>
      <c r="Y283" s="8">
        <f>-$G$82*Y277</f>
        <v/>
      </c>
      <c r="Z283" s="8">
        <f>-$G$82*Z277</f>
        <v/>
      </c>
      <c r="AA283" s="8">
        <f>-$G$82*AA277</f>
        <v/>
      </c>
      <c r="AB283" s="8">
        <f>-$G$82*AB277</f>
        <v/>
      </c>
      <c r="AC283" s="8">
        <f>-$G$82*AC277</f>
        <v/>
      </c>
      <c r="AD283" s="8">
        <f>-$G$82*AD277</f>
        <v/>
      </c>
      <c r="AE283" s="8">
        <f>-$G$82*AE277</f>
        <v/>
      </c>
      <c r="AF283" s="8">
        <f>-$G$82*AF277</f>
        <v/>
      </c>
      <c r="AG283" s="8">
        <f>-$G$82*AG277</f>
        <v/>
      </c>
      <c r="AH283" s="8">
        <f>-$G$82*AH277</f>
        <v/>
      </c>
      <c r="AI283" s="8">
        <f>-$G$82*AI277</f>
        <v/>
      </c>
      <c r="AJ283" s="8">
        <f>-$G$82*AJ277</f>
        <v/>
      </c>
      <c r="AK283" s="8">
        <f>-$G$82*AK277</f>
        <v/>
      </c>
      <c r="AL283" s="8">
        <f>-$G$82*AL277</f>
        <v/>
      </c>
      <c r="AM283" s="8">
        <f>-$G$82*AM277</f>
        <v/>
      </c>
      <c r="AN283" s="8">
        <f>-$G$82*AN277</f>
        <v/>
      </c>
      <c r="AO283" s="8">
        <f>-$G$82*AO277</f>
        <v/>
      </c>
      <c r="AP283" s="8">
        <f>-$G$82*AP277</f>
        <v/>
      </c>
      <c r="AQ283" s="8">
        <f>-$G$82*AQ277</f>
        <v/>
      </c>
      <c r="AR283" s="8">
        <f>-$G$82*AR277</f>
        <v/>
      </c>
      <c r="AS283" s="8">
        <f>-$G$82*AS277</f>
        <v/>
      </c>
      <c r="AT283" s="8">
        <f>-$G$82*AT277</f>
        <v/>
      </c>
      <c r="AU283" s="8">
        <f>-$G$82*AU277</f>
        <v/>
      </c>
      <c r="AV283" s="8">
        <f>-$G$82*AV277</f>
        <v/>
      </c>
      <c r="AW283" s="8">
        <f>-$G$82*AW277</f>
        <v/>
      </c>
      <c r="AX283" s="8">
        <f>-$G$82*AX277</f>
        <v/>
      </c>
    </row>
    <row r="284" hidden="1" outlineLevel="1">
      <c r="C284" s="6" t="inlineStr">
        <is>
          <t>Municipal one-off at COD</t>
        </is>
      </c>
      <c r="D284" s="2" t="inlineStr">
        <is>
          <t>EUR k</t>
        </is>
      </c>
      <c r="H284" s="8">
        <f>SUM(J284:AX284)</f>
        <v/>
      </c>
      <c r="J284" s="8">
        <f>-$G$84*J280</f>
        <v/>
      </c>
      <c r="K284" s="8">
        <f>-$G$84*K280</f>
        <v/>
      </c>
      <c r="L284" s="8">
        <f>-$G$84*L280</f>
        <v/>
      </c>
      <c r="M284" s="8">
        <f>-$G$84*M280</f>
        <v/>
      </c>
      <c r="N284" s="8">
        <f>-$G$84*N280</f>
        <v/>
      </c>
      <c r="O284" s="8">
        <f>-$G$84*O280</f>
        <v/>
      </c>
      <c r="P284" s="8">
        <f>-$G$84*P280</f>
        <v/>
      </c>
      <c r="Q284" s="8">
        <f>-$G$84*Q280</f>
        <v/>
      </c>
      <c r="R284" s="8">
        <f>-$G$84*R280</f>
        <v/>
      </c>
      <c r="S284" s="8">
        <f>-$G$84*S280</f>
        <v/>
      </c>
      <c r="T284" s="8">
        <f>-$G$84*T280</f>
        <v/>
      </c>
      <c r="U284" s="8">
        <f>-$G$84*U280</f>
        <v/>
      </c>
      <c r="V284" s="8">
        <f>-$G$84*V280</f>
        <v/>
      </c>
      <c r="W284" s="8">
        <f>-$G$84*W280</f>
        <v/>
      </c>
      <c r="X284" s="8">
        <f>-$G$84*X280</f>
        <v/>
      </c>
      <c r="Y284" s="8">
        <f>-$G$84*Y280</f>
        <v/>
      </c>
      <c r="Z284" s="8">
        <f>-$G$84*Z280</f>
        <v/>
      </c>
      <c r="AA284" s="8">
        <f>-$G$84*AA280</f>
        <v/>
      </c>
      <c r="AB284" s="8">
        <f>-$G$84*AB280</f>
        <v/>
      </c>
      <c r="AC284" s="8">
        <f>-$G$84*AC280</f>
        <v/>
      </c>
      <c r="AD284" s="8">
        <f>-$G$84*AD280</f>
        <v/>
      </c>
      <c r="AE284" s="8">
        <f>-$G$84*AE280</f>
        <v/>
      </c>
      <c r="AF284" s="8">
        <f>-$G$84*AF280</f>
        <v/>
      </c>
      <c r="AG284" s="8">
        <f>-$G$84*AG280</f>
        <v/>
      </c>
      <c r="AH284" s="8">
        <f>-$G$84*AH280</f>
        <v/>
      </c>
      <c r="AI284" s="8">
        <f>-$G$84*AI280</f>
        <v/>
      </c>
      <c r="AJ284" s="8">
        <f>-$G$84*AJ280</f>
        <v/>
      </c>
      <c r="AK284" s="8">
        <f>-$G$84*AK280</f>
        <v/>
      </c>
      <c r="AL284" s="8">
        <f>-$G$84*AL280</f>
        <v/>
      </c>
      <c r="AM284" s="8">
        <f>-$G$84*AM280</f>
        <v/>
      </c>
      <c r="AN284" s="8">
        <f>-$G$84*AN280</f>
        <v/>
      </c>
      <c r="AO284" s="8">
        <f>-$G$84*AO280</f>
        <v/>
      </c>
      <c r="AP284" s="8">
        <f>-$G$84*AP280</f>
        <v/>
      </c>
      <c r="AQ284" s="8">
        <f>-$G$84*AQ280</f>
        <v/>
      </c>
      <c r="AR284" s="8">
        <f>-$G$84*AR280</f>
        <v/>
      </c>
      <c r="AS284" s="8">
        <f>-$G$84*AS280</f>
        <v/>
      </c>
      <c r="AT284" s="8">
        <f>-$G$84*AT280</f>
        <v/>
      </c>
      <c r="AU284" s="8">
        <f>-$G$84*AU280</f>
        <v/>
      </c>
      <c r="AV284" s="8">
        <f>-$G$84*AV280</f>
        <v/>
      </c>
      <c r="AW284" s="8">
        <f>-$G$84*AW280</f>
        <v/>
      </c>
      <c r="AX284" s="8">
        <f>-$G$84*AX280</f>
        <v/>
      </c>
    </row>
    <row r="285" hidden="1" outlineLevel="1">
      <c r="C285" s="1" t="inlineStr">
        <is>
          <t>Investment cash flow</t>
        </is>
      </c>
      <c r="D285" s="2" t="inlineStr">
        <is>
          <t>EUR k</t>
        </is>
      </c>
      <c r="H285" s="14">
        <f>SUM(J285:AX285)</f>
        <v/>
      </c>
      <c r="J285" s="14">
        <f>SUM(J281:J284)</f>
        <v/>
      </c>
      <c r="K285" s="14">
        <f>SUM(K281:K284)</f>
        <v/>
      </c>
      <c r="L285" s="14">
        <f>SUM(L281:L284)</f>
        <v/>
      </c>
      <c r="M285" s="14">
        <f>SUM(M281:M284)</f>
        <v/>
      </c>
      <c r="N285" s="14">
        <f>SUM(N281:N284)</f>
        <v/>
      </c>
      <c r="O285" s="14">
        <f>SUM(O281:O284)</f>
        <v/>
      </c>
      <c r="P285" s="14">
        <f>SUM(P281:P284)</f>
        <v/>
      </c>
      <c r="Q285" s="14">
        <f>SUM(Q281:Q284)</f>
        <v/>
      </c>
      <c r="R285" s="14">
        <f>SUM(R281:R284)</f>
        <v/>
      </c>
      <c r="S285" s="14">
        <f>SUM(S281:S284)</f>
        <v/>
      </c>
      <c r="T285" s="14">
        <f>SUM(T281:T284)</f>
        <v/>
      </c>
      <c r="U285" s="14">
        <f>SUM(U281:U284)</f>
        <v/>
      </c>
      <c r="V285" s="14">
        <f>SUM(V281:V284)</f>
        <v/>
      </c>
      <c r="W285" s="14">
        <f>SUM(W281:W284)</f>
        <v/>
      </c>
      <c r="X285" s="14">
        <f>SUM(X281:X284)</f>
        <v/>
      </c>
      <c r="Y285" s="14">
        <f>SUM(Y281:Y284)</f>
        <v/>
      </c>
      <c r="Z285" s="14">
        <f>SUM(Z281:Z284)</f>
        <v/>
      </c>
      <c r="AA285" s="14">
        <f>SUM(AA281:AA284)</f>
        <v/>
      </c>
      <c r="AB285" s="14">
        <f>SUM(AB281:AB284)</f>
        <v/>
      </c>
      <c r="AC285" s="14">
        <f>SUM(AC281:AC284)</f>
        <v/>
      </c>
      <c r="AD285" s="14">
        <f>SUM(AD281:AD284)</f>
        <v/>
      </c>
      <c r="AE285" s="14">
        <f>SUM(AE281:AE284)</f>
        <v/>
      </c>
      <c r="AF285" s="14">
        <f>SUM(AF281:AF284)</f>
        <v/>
      </c>
      <c r="AG285" s="14">
        <f>SUM(AG281:AG284)</f>
        <v/>
      </c>
      <c r="AH285" s="14">
        <f>SUM(AH281:AH284)</f>
        <v/>
      </c>
      <c r="AI285" s="14">
        <f>SUM(AI281:AI284)</f>
        <v/>
      </c>
      <c r="AJ285" s="14">
        <f>SUM(AJ281:AJ284)</f>
        <v/>
      </c>
      <c r="AK285" s="14">
        <f>SUM(AK281:AK284)</f>
        <v/>
      </c>
      <c r="AL285" s="14">
        <f>SUM(AL281:AL284)</f>
        <v/>
      </c>
      <c r="AM285" s="14">
        <f>SUM(AM281:AM284)</f>
        <v/>
      </c>
      <c r="AN285" s="14">
        <f>SUM(AN281:AN284)</f>
        <v/>
      </c>
      <c r="AO285" s="14">
        <f>SUM(AO281:AO284)</f>
        <v/>
      </c>
      <c r="AP285" s="14">
        <f>SUM(AP281:AP284)</f>
        <v/>
      </c>
      <c r="AQ285" s="14">
        <f>SUM(AQ281:AQ284)</f>
        <v/>
      </c>
      <c r="AR285" s="14">
        <f>SUM(AR281:AR284)</f>
        <v/>
      </c>
      <c r="AS285" s="14">
        <f>SUM(AS281:AS284)</f>
        <v/>
      </c>
      <c r="AT285" s="14">
        <f>SUM(AT281:AT284)</f>
        <v/>
      </c>
      <c r="AU285" s="14">
        <f>SUM(AU281:AU284)</f>
        <v/>
      </c>
      <c r="AV285" s="14">
        <f>SUM(AV281:AV284)</f>
        <v/>
      </c>
      <c r="AW285" s="14">
        <f>SUM(AW281:AW284)</f>
        <v/>
      </c>
      <c r="AX285" s="14">
        <f>SUM(AX281:AX284)</f>
        <v/>
      </c>
    </row>
    <row r="286" hidden="1" outlineLevel="1">
      <c r="C286" s="6" t="inlineStr">
        <is>
          <t>Degradation factor (from the first full year)</t>
        </is>
      </c>
      <c r="D286" s="2" t="inlineStr">
        <is>
          <t>x</t>
        </is>
      </c>
      <c r="J286" s="30">
        <f>(1-Degradation)^MAX(J275-1,0)</f>
        <v/>
      </c>
      <c r="K286" s="30">
        <f>(1-Degradation)^MAX(K275-1,0)</f>
        <v/>
      </c>
      <c r="L286" s="30">
        <f>(1-Degradation)^MAX(L275-1,0)</f>
        <v/>
      </c>
      <c r="M286" s="30">
        <f>(1-Degradation)^MAX(M275-1,0)</f>
        <v/>
      </c>
      <c r="N286" s="30">
        <f>(1-Degradation)^MAX(N275-1,0)</f>
        <v/>
      </c>
      <c r="O286" s="30">
        <f>(1-Degradation)^MAX(O275-1,0)</f>
        <v/>
      </c>
      <c r="P286" s="30">
        <f>(1-Degradation)^MAX(P275-1,0)</f>
        <v/>
      </c>
      <c r="Q286" s="30">
        <f>(1-Degradation)^MAX(Q275-1,0)</f>
        <v/>
      </c>
      <c r="R286" s="30">
        <f>(1-Degradation)^MAX(R275-1,0)</f>
        <v/>
      </c>
      <c r="S286" s="30">
        <f>(1-Degradation)^MAX(S275-1,0)</f>
        <v/>
      </c>
      <c r="T286" s="30">
        <f>(1-Degradation)^MAX(T275-1,0)</f>
        <v/>
      </c>
      <c r="U286" s="30">
        <f>(1-Degradation)^MAX(U275-1,0)</f>
        <v/>
      </c>
      <c r="V286" s="30">
        <f>(1-Degradation)^MAX(V275-1,0)</f>
        <v/>
      </c>
      <c r="W286" s="30">
        <f>(1-Degradation)^MAX(W275-1,0)</f>
        <v/>
      </c>
      <c r="X286" s="30">
        <f>(1-Degradation)^MAX(X275-1,0)</f>
        <v/>
      </c>
      <c r="Y286" s="30">
        <f>(1-Degradation)^MAX(Y275-1,0)</f>
        <v/>
      </c>
      <c r="Z286" s="30">
        <f>(1-Degradation)^MAX(Z275-1,0)</f>
        <v/>
      </c>
      <c r="AA286" s="30">
        <f>(1-Degradation)^MAX(AA275-1,0)</f>
        <v/>
      </c>
      <c r="AB286" s="30">
        <f>(1-Degradation)^MAX(AB275-1,0)</f>
        <v/>
      </c>
      <c r="AC286" s="30">
        <f>(1-Degradation)^MAX(AC275-1,0)</f>
        <v/>
      </c>
      <c r="AD286" s="30">
        <f>(1-Degradation)^MAX(AD275-1,0)</f>
        <v/>
      </c>
      <c r="AE286" s="30">
        <f>(1-Degradation)^MAX(AE275-1,0)</f>
        <v/>
      </c>
      <c r="AF286" s="30">
        <f>(1-Degradation)^MAX(AF275-1,0)</f>
        <v/>
      </c>
      <c r="AG286" s="30">
        <f>(1-Degradation)^MAX(AG275-1,0)</f>
        <v/>
      </c>
      <c r="AH286" s="30">
        <f>(1-Degradation)^MAX(AH275-1,0)</f>
        <v/>
      </c>
      <c r="AI286" s="30">
        <f>(1-Degradation)^MAX(AI275-1,0)</f>
        <v/>
      </c>
      <c r="AJ286" s="30">
        <f>(1-Degradation)^MAX(AJ275-1,0)</f>
        <v/>
      </c>
      <c r="AK286" s="30">
        <f>(1-Degradation)^MAX(AK275-1,0)</f>
        <v/>
      </c>
      <c r="AL286" s="30">
        <f>(1-Degradation)^MAX(AL275-1,0)</f>
        <v/>
      </c>
      <c r="AM286" s="30">
        <f>(1-Degradation)^MAX(AM275-1,0)</f>
        <v/>
      </c>
      <c r="AN286" s="30">
        <f>(1-Degradation)^MAX(AN275-1,0)</f>
        <v/>
      </c>
      <c r="AO286" s="30">
        <f>(1-Degradation)^MAX(AO275-1,0)</f>
        <v/>
      </c>
      <c r="AP286" s="30">
        <f>(1-Degradation)^MAX(AP275-1,0)</f>
        <v/>
      </c>
      <c r="AQ286" s="30">
        <f>(1-Degradation)^MAX(AQ275-1,0)</f>
        <v/>
      </c>
      <c r="AR286" s="30">
        <f>(1-Degradation)^MAX(AR275-1,0)</f>
        <v/>
      </c>
      <c r="AS286" s="30">
        <f>(1-Degradation)^MAX(AS275-1,0)</f>
        <v/>
      </c>
      <c r="AT286" s="30">
        <f>(1-Degradation)^MAX(AT275-1,0)</f>
        <v/>
      </c>
      <c r="AU286" s="30">
        <f>(1-Degradation)^MAX(AU275-1,0)</f>
        <v/>
      </c>
      <c r="AV286" s="30">
        <f>(1-Degradation)^MAX(AV275-1,0)</f>
        <v/>
      </c>
      <c r="AW286" s="30">
        <f>(1-Degradation)^MAX(AW275-1,0)</f>
        <v/>
      </c>
      <c r="AX286" s="30">
        <f>(1-Degradation)^MAX(AX275-1,0)</f>
        <v/>
      </c>
    </row>
    <row r="287" hidden="1" outlineLevel="1">
      <c r="C287" s="6" t="inlineStr">
        <is>
          <t>Net generation</t>
        </is>
      </c>
      <c r="D287" s="2" t="inlineStr">
        <is>
          <t>GWh</t>
        </is>
      </c>
      <c r="H287" s="16">
        <f>SUM(J287:AX287)</f>
        <v/>
      </c>
      <c r="J287" s="16">
        <f>$G$44*Case_P50*(1-Curtailment)*(1-Clipping)*J279*J286/Thousand</f>
        <v/>
      </c>
      <c r="K287" s="16">
        <f>$G$44*Case_P50*(1-Curtailment)*(1-Clipping)*K279*K286/Thousand</f>
        <v/>
      </c>
      <c r="L287" s="16">
        <f>$G$44*Case_P50*(1-Curtailment)*(1-Clipping)*L279*L286/Thousand</f>
        <v/>
      </c>
      <c r="M287" s="16">
        <f>$G$44*Case_P50*(1-Curtailment)*(1-Clipping)*M279*M286/Thousand</f>
        <v/>
      </c>
      <c r="N287" s="16">
        <f>$G$44*Case_P50*(1-Curtailment)*(1-Clipping)*N279*N286/Thousand</f>
        <v/>
      </c>
      <c r="O287" s="16">
        <f>$G$44*Case_P50*(1-Curtailment)*(1-Clipping)*O279*O286/Thousand</f>
        <v/>
      </c>
      <c r="P287" s="16">
        <f>$G$44*Case_P50*(1-Curtailment)*(1-Clipping)*P279*P286/Thousand</f>
        <v/>
      </c>
      <c r="Q287" s="16">
        <f>$G$44*Case_P50*(1-Curtailment)*(1-Clipping)*Q279*Q286/Thousand</f>
        <v/>
      </c>
      <c r="R287" s="16">
        <f>$G$44*Case_P50*(1-Curtailment)*(1-Clipping)*R279*R286/Thousand</f>
        <v/>
      </c>
      <c r="S287" s="16">
        <f>$G$44*Case_P50*(1-Curtailment)*(1-Clipping)*S279*S286/Thousand</f>
        <v/>
      </c>
      <c r="T287" s="16">
        <f>$G$44*Case_P50*(1-Curtailment)*(1-Clipping)*T279*T286/Thousand</f>
        <v/>
      </c>
      <c r="U287" s="16">
        <f>$G$44*Case_P50*(1-Curtailment)*(1-Clipping)*U279*U286/Thousand</f>
        <v/>
      </c>
      <c r="V287" s="16">
        <f>$G$44*Case_P50*(1-Curtailment)*(1-Clipping)*V279*V286/Thousand</f>
        <v/>
      </c>
      <c r="W287" s="16">
        <f>$G$44*Case_P50*(1-Curtailment)*(1-Clipping)*W279*W286/Thousand</f>
        <v/>
      </c>
      <c r="X287" s="16">
        <f>$G$44*Case_P50*(1-Curtailment)*(1-Clipping)*X279*X286/Thousand</f>
        <v/>
      </c>
      <c r="Y287" s="16">
        <f>$G$44*Case_P50*(1-Curtailment)*(1-Clipping)*Y279*Y286/Thousand</f>
        <v/>
      </c>
      <c r="Z287" s="16">
        <f>$G$44*Case_P50*(1-Curtailment)*(1-Clipping)*Z279*Z286/Thousand</f>
        <v/>
      </c>
      <c r="AA287" s="16">
        <f>$G$44*Case_P50*(1-Curtailment)*(1-Clipping)*AA279*AA286/Thousand</f>
        <v/>
      </c>
      <c r="AB287" s="16">
        <f>$G$44*Case_P50*(1-Curtailment)*(1-Clipping)*AB279*AB286/Thousand</f>
        <v/>
      </c>
      <c r="AC287" s="16">
        <f>$G$44*Case_P50*(1-Curtailment)*(1-Clipping)*AC279*AC286/Thousand</f>
        <v/>
      </c>
      <c r="AD287" s="16">
        <f>$G$44*Case_P50*(1-Curtailment)*(1-Clipping)*AD279*AD286/Thousand</f>
        <v/>
      </c>
      <c r="AE287" s="16">
        <f>$G$44*Case_P50*(1-Curtailment)*(1-Clipping)*AE279*AE286/Thousand</f>
        <v/>
      </c>
      <c r="AF287" s="16">
        <f>$G$44*Case_P50*(1-Curtailment)*(1-Clipping)*AF279*AF286/Thousand</f>
        <v/>
      </c>
      <c r="AG287" s="16">
        <f>$G$44*Case_P50*(1-Curtailment)*(1-Clipping)*AG279*AG286/Thousand</f>
        <v/>
      </c>
      <c r="AH287" s="16">
        <f>$G$44*Case_P50*(1-Curtailment)*(1-Clipping)*AH279*AH286/Thousand</f>
        <v/>
      </c>
      <c r="AI287" s="16">
        <f>$G$44*Case_P50*(1-Curtailment)*(1-Clipping)*AI279*AI286/Thousand</f>
        <v/>
      </c>
      <c r="AJ287" s="16">
        <f>$G$44*Case_P50*(1-Curtailment)*(1-Clipping)*AJ279*AJ286/Thousand</f>
        <v/>
      </c>
      <c r="AK287" s="16">
        <f>$G$44*Case_P50*(1-Curtailment)*(1-Clipping)*AK279*AK286/Thousand</f>
        <v/>
      </c>
      <c r="AL287" s="16">
        <f>$G$44*Case_P50*(1-Curtailment)*(1-Clipping)*AL279*AL286/Thousand</f>
        <v/>
      </c>
      <c r="AM287" s="16">
        <f>$G$44*Case_P50*(1-Curtailment)*(1-Clipping)*AM279*AM286/Thousand</f>
        <v/>
      </c>
      <c r="AN287" s="16">
        <f>$G$44*Case_P50*(1-Curtailment)*(1-Clipping)*AN279*AN286/Thousand</f>
        <v/>
      </c>
      <c r="AO287" s="16">
        <f>$G$44*Case_P50*(1-Curtailment)*(1-Clipping)*AO279*AO286/Thousand</f>
        <v/>
      </c>
      <c r="AP287" s="16">
        <f>$G$44*Case_P50*(1-Curtailment)*(1-Clipping)*AP279*AP286/Thousand</f>
        <v/>
      </c>
      <c r="AQ287" s="16">
        <f>$G$44*Case_P50*(1-Curtailment)*(1-Clipping)*AQ279*AQ286/Thousand</f>
        <v/>
      </c>
      <c r="AR287" s="16">
        <f>$G$44*Case_P50*(1-Curtailment)*(1-Clipping)*AR279*AR286/Thousand</f>
        <v/>
      </c>
      <c r="AS287" s="16">
        <f>$G$44*Case_P50*(1-Curtailment)*(1-Clipping)*AS279*AS286/Thousand</f>
        <v/>
      </c>
      <c r="AT287" s="16">
        <f>$G$44*Case_P50*(1-Curtailment)*(1-Clipping)*AT279*AT286/Thousand</f>
        <v/>
      </c>
      <c r="AU287" s="16">
        <f>$G$44*Case_P50*(1-Curtailment)*(1-Clipping)*AU279*AU286/Thousand</f>
        <v/>
      </c>
      <c r="AV287" s="16">
        <f>$G$44*Case_P50*(1-Curtailment)*(1-Clipping)*AV279*AV286/Thousand</f>
        <v/>
      </c>
      <c r="AW287" s="16">
        <f>$G$44*Case_P50*(1-Curtailment)*(1-Clipping)*AW279*AW286/Thousand</f>
        <v/>
      </c>
      <c r="AX287" s="16">
        <f>$G$44*Case_P50*(1-Curtailment)*(1-Clipping)*AX279*AX286/Thousand</f>
        <v/>
      </c>
    </row>
    <row r="288" hidden="1" outlineLevel="1">
      <c r="C288" s="6" t="inlineStr">
        <is>
          <t>PPA price</t>
        </is>
      </c>
      <c r="D288" s="2" t="inlineStr">
        <is>
          <t>EUR/MWh</t>
        </is>
      </c>
      <c r="J288" s="16">
        <f>Case_PPA*(1+PPA_Esc)^J275*(J279&gt;0)</f>
        <v/>
      </c>
      <c r="K288" s="16">
        <f>Case_PPA*(1+PPA_Esc)^K275*(K279&gt;0)</f>
        <v/>
      </c>
      <c r="L288" s="16">
        <f>Case_PPA*(1+PPA_Esc)^L275*(L279&gt;0)</f>
        <v/>
      </c>
      <c r="M288" s="16">
        <f>Case_PPA*(1+PPA_Esc)^M275*(M279&gt;0)</f>
        <v/>
      </c>
      <c r="N288" s="16">
        <f>Case_PPA*(1+PPA_Esc)^N275*(N279&gt;0)</f>
        <v/>
      </c>
      <c r="O288" s="16">
        <f>Case_PPA*(1+PPA_Esc)^O275*(O279&gt;0)</f>
        <v/>
      </c>
      <c r="P288" s="16">
        <f>Case_PPA*(1+PPA_Esc)^P275*(P279&gt;0)</f>
        <v/>
      </c>
      <c r="Q288" s="16">
        <f>Case_PPA*(1+PPA_Esc)^Q275*(Q279&gt;0)</f>
        <v/>
      </c>
      <c r="R288" s="16">
        <f>Case_PPA*(1+PPA_Esc)^R275*(R279&gt;0)</f>
        <v/>
      </c>
      <c r="S288" s="16">
        <f>Case_PPA*(1+PPA_Esc)^S275*(S279&gt;0)</f>
        <v/>
      </c>
      <c r="T288" s="16">
        <f>Case_PPA*(1+PPA_Esc)^T275*(T279&gt;0)</f>
        <v/>
      </c>
      <c r="U288" s="16">
        <f>Case_PPA*(1+PPA_Esc)^U275*(U279&gt;0)</f>
        <v/>
      </c>
      <c r="V288" s="16">
        <f>Case_PPA*(1+PPA_Esc)^V275*(V279&gt;0)</f>
        <v/>
      </c>
      <c r="W288" s="16">
        <f>Case_PPA*(1+PPA_Esc)^W275*(W279&gt;0)</f>
        <v/>
      </c>
      <c r="X288" s="16">
        <f>Case_PPA*(1+PPA_Esc)^X275*(X279&gt;0)</f>
        <v/>
      </c>
      <c r="Y288" s="16">
        <f>Case_PPA*(1+PPA_Esc)^Y275*(Y279&gt;0)</f>
        <v/>
      </c>
      <c r="Z288" s="16">
        <f>Case_PPA*(1+PPA_Esc)^Z275*(Z279&gt;0)</f>
        <v/>
      </c>
      <c r="AA288" s="16">
        <f>Case_PPA*(1+PPA_Esc)^AA275*(AA279&gt;0)</f>
        <v/>
      </c>
      <c r="AB288" s="16">
        <f>Case_PPA*(1+PPA_Esc)^AB275*(AB279&gt;0)</f>
        <v/>
      </c>
      <c r="AC288" s="16">
        <f>Case_PPA*(1+PPA_Esc)^AC275*(AC279&gt;0)</f>
        <v/>
      </c>
      <c r="AD288" s="16">
        <f>Case_PPA*(1+PPA_Esc)^AD275*(AD279&gt;0)</f>
        <v/>
      </c>
      <c r="AE288" s="16">
        <f>Case_PPA*(1+PPA_Esc)^AE275*(AE279&gt;0)</f>
        <v/>
      </c>
      <c r="AF288" s="16">
        <f>Case_PPA*(1+PPA_Esc)^AF275*(AF279&gt;0)</f>
        <v/>
      </c>
      <c r="AG288" s="16">
        <f>Case_PPA*(1+PPA_Esc)^AG275*(AG279&gt;0)</f>
        <v/>
      </c>
      <c r="AH288" s="16">
        <f>Case_PPA*(1+PPA_Esc)^AH275*(AH279&gt;0)</f>
        <v/>
      </c>
      <c r="AI288" s="16">
        <f>Case_PPA*(1+PPA_Esc)^AI275*(AI279&gt;0)</f>
        <v/>
      </c>
      <c r="AJ288" s="16">
        <f>Case_PPA*(1+PPA_Esc)^AJ275*(AJ279&gt;0)</f>
        <v/>
      </c>
      <c r="AK288" s="16">
        <f>Case_PPA*(1+PPA_Esc)^AK275*(AK279&gt;0)</f>
        <v/>
      </c>
      <c r="AL288" s="16">
        <f>Case_PPA*(1+PPA_Esc)^AL275*(AL279&gt;0)</f>
        <v/>
      </c>
      <c r="AM288" s="16">
        <f>Case_PPA*(1+PPA_Esc)^AM275*(AM279&gt;0)</f>
        <v/>
      </c>
      <c r="AN288" s="16">
        <f>Case_PPA*(1+PPA_Esc)^AN275*(AN279&gt;0)</f>
        <v/>
      </c>
      <c r="AO288" s="16">
        <f>Case_PPA*(1+PPA_Esc)^AO275*(AO279&gt;0)</f>
        <v/>
      </c>
      <c r="AP288" s="16">
        <f>Case_PPA*(1+PPA_Esc)^AP275*(AP279&gt;0)</f>
        <v/>
      </c>
      <c r="AQ288" s="16">
        <f>Case_PPA*(1+PPA_Esc)^AQ275*(AQ279&gt;0)</f>
        <v/>
      </c>
      <c r="AR288" s="16">
        <f>Case_PPA*(1+PPA_Esc)^AR275*(AR279&gt;0)</f>
        <v/>
      </c>
      <c r="AS288" s="16">
        <f>Case_PPA*(1+PPA_Esc)^AS275*(AS279&gt;0)</f>
        <v/>
      </c>
      <c r="AT288" s="16">
        <f>Case_PPA*(1+PPA_Esc)^AT275*(AT279&gt;0)</f>
        <v/>
      </c>
      <c r="AU288" s="16">
        <f>Case_PPA*(1+PPA_Esc)^AU275*(AU279&gt;0)</f>
        <v/>
      </c>
      <c r="AV288" s="16">
        <f>Case_PPA*(1+PPA_Esc)^AV275*(AV279&gt;0)</f>
        <v/>
      </c>
      <c r="AW288" s="16">
        <f>Case_PPA*(1+PPA_Esc)^AW275*(AW279&gt;0)</f>
        <v/>
      </c>
      <c r="AX288" s="16">
        <f>Case_PPA*(1+PPA_Esc)^AX275*(AX279&gt;0)</f>
        <v/>
      </c>
    </row>
    <row r="289" hidden="1" outlineLevel="1">
      <c r="C289" s="1" t="inlineStr">
        <is>
          <t>Revenue</t>
        </is>
      </c>
      <c r="D289" s="2" t="inlineStr">
        <is>
          <t>EUR k</t>
        </is>
      </c>
      <c r="H289" s="19">
        <f>SUM(J289:AX289)</f>
        <v/>
      </c>
      <c r="J289" s="19">
        <f>J287*J288</f>
        <v/>
      </c>
      <c r="K289" s="19">
        <f>K287*K288</f>
        <v/>
      </c>
      <c r="L289" s="19">
        <f>L287*L288</f>
        <v/>
      </c>
      <c r="M289" s="19">
        <f>M287*M288</f>
        <v/>
      </c>
      <c r="N289" s="19">
        <f>N287*N288</f>
        <v/>
      </c>
      <c r="O289" s="19">
        <f>O287*O288</f>
        <v/>
      </c>
      <c r="P289" s="19">
        <f>P287*P288</f>
        <v/>
      </c>
      <c r="Q289" s="19">
        <f>Q287*Q288</f>
        <v/>
      </c>
      <c r="R289" s="19">
        <f>R287*R288</f>
        <v/>
      </c>
      <c r="S289" s="19">
        <f>S287*S288</f>
        <v/>
      </c>
      <c r="T289" s="19">
        <f>T287*T288</f>
        <v/>
      </c>
      <c r="U289" s="19">
        <f>U287*U288</f>
        <v/>
      </c>
      <c r="V289" s="19">
        <f>V287*V288</f>
        <v/>
      </c>
      <c r="W289" s="19">
        <f>W287*W288</f>
        <v/>
      </c>
      <c r="X289" s="19">
        <f>X287*X288</f>
        <v/>
      </c>
      <c r="Y289" s="19">
        <f>Y287*Y288</f>
        <v/>
      </c>
      <c r="Z289" s="19">
        <f>Z287*Z288</f>
        <v/>
      </c>
      <c r="AA289" s="19">
        <f>AA287*AA288</f>
        <v/>
      </c>
      <c r="AB289" s="19">
        <f>AB287*AB288</f>
        <v/>
      </c>
      <c r="AC289" s="19">
        <f>AC287*AC288</f>
        <v/>
      </c>
      <c r="AD289" s="19">
        <f>AD287*AD288</f>
        <v/>
      </c>
      <c r="AE289" s="19">
        <f>AE287*AE288</f>
        <v/>
      </c>
      <c r="AF289" s="19">
        <f>AF287*AF288</f>
        <v/>
      </c>
      <c r="AG289" s="19">
        <f>AG287*AG288</f>
        <v/>
      </c>
      <c r="AH289" s="19">
        <f>AH287*AH288</f>
        <v/>
      </c>
      <c r="AI289" s="19">
        <f>AI287*AI288</f>
        <v/>
      </c>
      <c r="AJ289" s="19">
        <f>AJ287*AJ288</f>
        <v/>
      </c>
      <c r="AK289" s="19">
        <f>AK287*AK288</f>
        <v/>
      </c>
      <c r="AL289" s="19">
        <f>AL287*AL288</f>
        <v/>
      </c>
      <c r="AM289" s="19">
        <f>AM287*AM288</f>
        <v/>
      </c>
      <c r="AN289" s="19">
        <f>AN287*AN288</f>
        <v/>
      </c>
      <c r="AO289" s="19">
        <f>AO287*AO288</f>
        <v/>
      </c>
      <c r="AP289" s="19">
        <f>AP287*AP288</f>
        <v/>
      </c>
      <c r="AQ289" s="19">
        <f>AQ287*AQ288</f>
        <v/>
      </c>
      <c r="AR289" s="19">
        <f>AR287*AR288</f>
        <v/>
      </c>
      <c r="AS289" s="19">
        <f>AS287*AS288</f>
        <v/>
      </c>
      <c r="AT289" s="19">
        <f>AT287*AT288</f>
        <v/>
      </c>
      <c r="AU289" s="19">
        <f>AU287*AU288</f>
        <v/>
      </c>
      <c r="AV289" s="19">
        <f>AV287*AV288</f>
        <v/>
      </c>
      <c r="AW289" s="19">
        <f>AW287*AW288</f>
        <v/>
      </c>
      <c r="AX289" s="19">
        <f>AX287*AX288</f>
        <v/>
      </c>
    </row>
    <row r="290" hidden="1" outlineLevel="1">
      <c r="C290" s="6" t="inlineStr">
        <is>
          <t>Opex index (COD year = 1)</t>
        </is>
      </c>
      <c r="D290" s="2" t="inlineStr">
        <is>
          <t>x</t>
        </is>
      </c>
      <c r="J290" s="30">
        <f>(1+Opex_Esc)^J275</f>
        <v/>
      </c>
      <c r="K290" s="30">
        <f>(1+Opex_Esc)^K275</f>
        <v/>
      </c>
      <c r="L290" s="30">
        <f>(1+Opex_Esc)^L275</f>
        <v/>
      </c>
      <c r="M290" s="30">
        <f>(1+Opex_Esc)^M275</f>
        <v/>
      </c>
      <c r="N290" s="30">
        <f>(1+Opex_Esc)^N275</f>
        <v/>
      </c>
      <c r="O290" s="30">
        <f>(1+Opex_Esc)^O275</f>
        <v/>
      </c>
      <c r="P290" s="30">
        <f>(1+Opex_Esc)^P275</f>
        <v/>
      </c>
      <c r="Q290" s="30">
        <f>(1+Opex_Esc)^Q275</f>
        <v/>
      </c>
      <c r="R290" s="30">
        <f>(1+Opex_Esc)^R275</f>
        <v/>
      </c>
      <c r="S290" s="30">
        <f>(1+Opex_Esc)^S275</f>
        <v/>
      </c>
      <c r="T290" s="30">
        <f>(1+Opex_Esc)^T275</f>
        <v/>
      </c>
      <c r="U290" s="30">
        <f>(1+Opex_Esc)^U275</f>
        <v/>
      </c>
      <c r="V290" s="30">
        <f>(1+Opex_Esc)^V275</f>
        <v/>
      </c>
      <c r="W290" s="30">
        <f>(1+Opex_Esc)^W275</f>
        <v/>
      </c>
      <c r="X290" s="30">
        <f>(1+Opex_Esc)^X275</f>
        <v/>
      </c>
      <c r="Y290" s="30">
        <f>(1+Opex_Esc)^Y275</f>
        <v/>
      </c>
      <c r="Z290" s="30">
        <f>(1+Opex_Esc)^Z275</f>
        <v/>
      </c>
      <c r="AA290" s="30">
        <f>(1+Opex_Esc)^AA275</f>
        <v/>
      </c>
      <c r="AB290" s="30">
        <f>(1+Opex_Esc)^AB275</f>
        <v/>
      </c>
      <c r="AC290" s="30">
        <f>(1+Opex_Esc)^AC275</f>
        <v/>
      </c>
      <c r="AD290" s="30">
        <f>(1+Opex_Esc)^AD275</f>
        <v/>
      </c>
      <c r="AE290" s="30">
        <f>(1+Opex_Esc)^AE275</f>
        <v/>
      </c>
      <c r="AF290" s="30">
        <f>(1+Opex_Esc)^AF275</f>
        <v/>
      </c>
      <c r="AG290" s="30">
        <f>(1+Opex_Esc)^AG275</f>
        <v/>
      </c>
      <c r="AH290" s="30">
        <f>(1+Opex_Esc)^AH275</f>
        <v/>
      </c>
      <c r="AI290" s="30">
        <f>(1+Opex_Esc)^AI275</f>
        <v/>
      </c>
      <c r="AJ290" s="30">
        <f>(1+Opex_Esc)^AJ275</f>
        <v/>
      </c>
      <c r="AK290" s="30">
        <f>(1+Opex_Esc)^AK275</f>
        <v/>
      </c>
      <c r="AL290" s="30">
        <f>(1+Opex_Esc)^AL275</f>
        <v/>
      </c>
      <c r="AM290" s="30">
        <f>(1+Opex_Esc)^AM275</f>
        <v/>
      </c>
      <c r="AN290" s="30">
        <f>(1+Opex_Esc)^AN275</f>
        <v/>
      </c>
      <c r="AO290" s="30">
        <f>(1+Opex_Esc)^AO275</f>
        <v/>
      </c>
      <c r="AP290" s="30">
        <f>(1+Opex_Esc)^AP275</f>
        <v/>
      </c>
      <c r="AQ290" s="30">
        <f>(1+Opex_Esc)^AQ275</f>
        <v/>
      </c>
      <c r="AR290" s="30">
        <f>(1+Opex_Esc)^AR275</f>
        <v/>
      </c>
      <c r="AS290" s="30">
        <f>(1+Opex_Esc)^AS275</f>
        <v/>
      </c>
      <c r="AT290" s="30">
        <f>(1+Opex_Esc)^AT275</f>
        <v/>
      </c>
      <c r="AU290" s="30">
        <f>(1+Opex_Esc)^AU275</f>
        <v/>
      </c>
      <c r="AV290" s="30">
        <f>(1+Opex_Esc)^AV275</f>
        <v/>
      </c>
      <c r="AW290" s="30">
        <f>(1+Opex_Esc)^AW275</f>
        <v/>
      </c>
      <c r="AX290" s="30">
        <f>(1+Opex_Esc)^AX275</f>
        <v/>
      </c>
    </row>
    <row r="291" hidden="1" outlineLevel="1">
      <c r="C291" s="6" t="inlineStr">
        <is>
          <t>O&amp;M, BoP, lease, insurance, management, property tax</t>
        </is>
      </c>
      <c r="D291" s="2" t="inlineStr">
        <is>
          <t>EUR k</t>
        </is>
      </c>
      <c r="H291" s="8">
        <f>SUM(J291:AX291)</f>
        <v/>
      </c>
      <c r="J291" s="8">
        <f>-(Case_OM+SUM(Opex_Per_MW))*$G$44*J290*J279</f>
        <v/>
      </c>
      <c r="K291" s="8">
        <f>-(Case_OM+SUM(Opex_Per_MW))*$G$44*K290*K279</f>
        <v/>
      </c>
      <c r="L291" s="8">
        <f>-(Case_OM+SUM(Opex_Per_MW))*$G$44*L290*L279</f>
        <v/>
      </c>
      <c r="M291" s="8">
        <f>-(Case_OM+SUM(Opex_Per_MW))*$G$44*M290*M279</f>
        <v/>
      </c>
      <c r="N291" s="8">
        <f>-(Case_OM+SUM(Opex_Per_MW))*$G$44*N290*N279</f>
        <v/>
      </c>
      <c r="O291" s="8">
        <f>-(Case_OM+SUM(Opex_Per_MW))*$G$44*O290*O279</f>
        <v/>
      </c>
      <c r="P291" s="8">
        <f>-(Case_OM+SUM(Opex_Per_MW))*$G$44*P290*P279</f>
        <v/>
      </c>
      <c r="Q291" s="8">
        <f>-(Case_OM+SUM(Opex_Per_MW))*$G$44*Q290*Q279</f>
        <v/>
      </c>
      <c r="R291" s="8">
        <f>-(Case_OM+SUM(Opex_Per_MW))*$G$44*R290*R279</f>
        <v/>
      </c>
      <c r="S291" s="8">
        <f>-(Case_OM+SUM(Opex_Per_MW))*$G$44*S290*S279</f>
        <v/>
      </c>
      <c r="T291" s="8">
        <f>-(Case_OM+SUM(Opex_Per_MW))*$G$44*T290*T279</f>
        <v/>
      </c>
      <c r="U291" s="8">
        <f>-(Case_OM+SUM(Opex_Per_MW))*$G$44*U290*U279</f>
        <v/>
      </c>
      <c r="V291" s="8">
        <f>-(Case_OM+SUM(Opex_Per_MW))*$G$44*V290*V279</f>
        <v/>
      </c>
      <c r="W291" s="8">
        <f>-(Case_OM+SUM(Opex_Per_MW))*$G$44*W290*W279</f>
        <v/>
      </c>
      <c r="X291" s="8">
        <f>-(Case_OM+SUM(Opex_Per_MW))*$G$44*X290*X279</f>
        <v/>
      </c>
      <c r="Y291" s="8">
        <f>-(Case_OM+SUM(Opex_Per_MW))*$G$44*Y290*Y279</f>
        <v/>
      </c>
      <c r="Z291" s="8">
        <f>-(Case_OM+SUM(Opex_Per_MW))*$G$44*Z290*Z279</f>
        <v/>
      </c>
      <c r="AA291" s="8">
        <f>-(Case_OM+SUM(Opex_Per_MW))*$G$44*AA290*AA279</f>
        <v/>
      </c>
      <c r="AB291" s="8">
        <f>-(Case_OM+SUM(Opex_Per_MW))*$G$44*AB290*AB279</f>
        <v/>
      </c>
      <c r="AC291" s="8">
        <f>-(Case_OM+SUM(Opex_Per_MW))*$G$44*AC290*AC279</f>
        <v/>
      </c>
      <c r="AD291" s="8">
        <f>-(Case_OM+SUM(Opex_Per_MW))*$G$44*AD290*AD279</f>
        <v/>
      </c>
      <c r="AE291" s="8">
        <f>-(Case_OM+SUM(Opex_Per_MW))*$G$44*AE290*AE279</f>
        <v/>
      </c>
      <c r="AF291" s="8">
        <f>-(Case_OM+SUM(Opex_Per_MW))*$G$44*AF290*AF279</f>
        <v/>
      </c>
      <c r="AG291" s="8">
        <f>-(Case_OM+SUM(Opex_Per_MW))*$G$44*AG290*AG279</f>
        <v/>
      </c>
      <c r="AH291" s="8">
        <f>-(Case_OM+SUM(Opex_Per_MW))*$G$44*AH290*AH279</f>
        <v/>
      </c>
      <c r="AI291" s="8">
        <f>-(Case_OM+SUM(Opex_Per_MW))*$G$44*AI290*AI279</f>
        <v/>
      </c>
      <c r="AJ291" s="8">
        <f>-(Case_OM+SUM(Opex_Per_MW))*$G$44*AJ290*AJ279</f>
        <v/>
      </c>
      <c r="AK291" s="8">
        <f>-(Case_OM+SUM(Opex_Per_MW))*$G$44*AK290*AK279</f>
        <v/>
      </c>
      <c r="AL291" s="8">
        <f>-(Case_OM+SUM(Opex_Per_MW))*$G$44*AL290*AL279</f>
        <v/>
      </c>
      <c r="AM291" s="8">
        <f>-(Case_OM+SUM(Opex_Per_MW))*$G$44*AM290*AM279</f>
        <v/>
      </c>
      <c r="AN291" s="8">
        <f>-(Case_OM+SUM(Opex_Per_MW))*$G$44*AN290*AN279</f>
        <v/>
      </c>
      <c r="AO291" s="8">
        <f>-(Case_OM+SUM(Opex_Per_MW))*$G$44*AO290*AO279</f>
        <v/>
      </c>
      <c r="AP291" s="8">
        <f>-(Case_OM+SUM(Opex_Per_MW))*$G$44*AP290*AP279</f>
        <v/>
      </c>
      <c r="AQ291" s="8">
        <f>-(Case_OM+SUM(Opex_Per_MW))*$G$44*AQ290*AQ279</f>
        <v/>
      </c>
      <c r="AR291" s="8">
        <f>-(Case_OM+SUM(Opex_Per_MW))*$G$44*AR290*AR279</f>
        <v/>
      </c>
      <c r="AS291" s="8">
        <f>-(Case_OM+SUM(Opex_Per_MW))*$G$44*AS290*AS279</f>
        <v/>
      </c>
      <c r="AT291" s="8">
        <f>-(Case_OM+SUM(Opex_Per_MW))*$G$44*AT290*AT279</f>
        <v/>
      </c>
      <c r="AU291" s="8">
        <f>-(Case_OM+SUM(Opex_Per_MW))*$G$44*AU290*AU279</f>
        <v/>
      </c>
      <c r="AV291" s="8">
        <f>-(Case_OM+SUM(Opex_Per_MW))*$G$44*AV290*AV279</f>
        <v/>
      </c>
      <c r="AW291" s="8">
        <f>-(Case_OM+SUM(Opex_Per_MW))*$G$44*AW290*AW279</f>
        <v/>
      </c>
      <c r="AX291" s="8">
        <f>-(Case_OM+SUM(Opex_Per_MW))*$G$44*AX290*AX279</f>
        <v/>
      </c>
    </row>
    <row r="292" hidden="1" outlineLevel="1">
      <c r="C292" s="6" t="inlineStr">
        <is>
          <t>Administration, audit, compliance</t>
        </is>
      </c>
      <c r="D292" s="2" t="inlineStr">
        <is>
          <t>EUR k</t>
        </is>
      </c>
      <c r="H292" s="8">
        <f>SUM(J292:AX292)</f>
        <v/>
      </c>
      <c r="J292" s="8">
        <f>-Opex_Admin*$G$6/Lump_Basis*J290*J279</f>
        <v/>
      </c>
      <c r="K292" s="8">
        <f>-Opex_Admin*$G$6/Lump_Basis*K290*K279</f>
        <v/>
      </c>
      <c r="L292" s="8">
        <f>-Opex_Admin*$G$6/Lump_Basis*L290*L279</f>
        <v/>
      </c>
      <c r="M292" s="8">
        <f>-Opex_Admin*$G$6/Lump_Basis*M290*M279</f>
        <v/>
      </c>
      <c r="N292" s="8">
        <f>-Opex_Admin*$G$6/Lump_Basis*N290*N279</f>
        <v/>
      </c>
      <c r="O292" s="8">
        <f>-Opex_Admin*$G$6/Lump_Basis*O290*O279</f>
        <v/>
      </c>
      <c r="P292" s="8">
        <f>-Opex_Admin*$G$6/Lump_Basis*P290*P279</f>
        <v/>
      </c>
      <c r="Q292" s="8">
        <f>-Opex_Admin*$G$6/Lump_Basis*Q290*Q279</f>
        <v/>
      </c>
      <c r="R292" s="8">
        <f>-Opex_Admin*$G$6/Lump_Basis*R290*R279</f>
        <v/>
      </c>
      <c r="S292" s="8">
        <f>-Opex_Admin*$G$6/Lump_Basis*S290*S279</f>
        <v/>
      </c>
      <c r="T292" s="8">
        <f>-Opex_Admin*$G$6/Lump_Basis*T290*T279</f>
        <v/>
      </c>
      <c r="U292" s="8">
        <f>-Opex_Admin*$G$6/Lump_Basis*U290*U279</f>
        <v/>
      </c>
      <c r="V292" s="8">
        <f>-Opex_Admin*$G$6/Lump_Basis*V290*V279</f>
        <v/>
      </c>
      <c r="W292" s="8">
        <f>-Opex_Admin*$G$6/Lump_Basis*W290*W279</f>
        <v/>
      </c>
      <c r="X292" s="8">
        <f>-Opex_Admin*$G$6/Lump_Basis*X290*X279</f>
        <v/>
      </c>
      <c r="Y292" s="8">
        <f>-Opex_Admin*$G$6/Lump_Basis*Y290*Y279</f>
        <v/>
      </c>
      <c r="Z292" s="8">
        <f>-Opex_Admin*$G$6/Lump_Basis*Z290*Z279</f>
        <v/>
      </c>
      <c r="AA292" s="8">
        <f>-Opex_Admin*$G$6/Lump_Basis*AA290*AA279</f>
        <v/>
      </c>
      <c r="AB292" s="8">
        <f>-Opex_Admin*$G$6/Lump_Basis*AB290*AB279</f>
        <v/>
      </c>
      <c r="AC292" s="8">
        <f>-Opex_Admin*$G$6/Lump_Basis*AC290*AC279</f>
        <v/>
      </c>
      <c r="AD292" s="8">
        <f>-Opex_Admin*$G$6/Lump_Basis*AD290*AD279</f>
        <v/>
      </c>
      <c r="AE292" s="8">
        <f>-Opex_Admin*$G$6/Lump_Basis*AE290*AE279</f>
        <v/>
      </c>
      <c r="AF292" s="8">
        <f>-Opex_Admin*$G$6/Lump_Basis*AF290*AF279</f>
        <v/>
      </c>
      <c r="AG292" s="8">
        <f>-Opex_Admin*$G$6/Lump_Basis*AG290*AG279</f>
        <v/>
      </c>
      <c r="AH292" s="8">
        <f>-Opex_Admin*$G$6/Lump_Basis*AH290*AH279</f>
        <v/>
      </c>
      <c r="AI292" s="8">
        <f>-Opex_Admin*$G$6/Lump_Basis*AI290*AI279</f>
        <v/>
      </c>
      <c r="AJ292" s="8">
        <f>-Opex_Admin*$G$6/Lump_Basis*AJ290*AJ279</f>
        <v/>
      </c>
      <c r="AK292" s="8">
        <f>-Opex_Admin*$G$6/Lump_Basis*AK290*AK279</f>
        <v/>
      </c>
      <c r="AL292" s="8">
        <f>-Opex_Admin*$G$6/Lump_Basis*AL290*AL279</f>
        <v/>
      </c>
      <c r="AM292" s="8">
        <f>-Opex_Admin*$G$6/Lump_Basis*AM290*AM279</f>
        <v/>
      </c>
      <c r="AN292" s="8">
        <f>-Opex_Admin*$G$6/Lump_Basis*AN290*AN279</f>
        <v/>
      </c>
      <c r="AO292" s="8">
        <f>-Opex_Admin*$G$6/Lump_Basis*AO290*AO279</f>
        <v/>
      </c>
      <c r="AP292" s="8">
        <f>-Opex_Admin*$G$6/Lump_Basis*AP290*AP279</f>
        <v/>
      </c>
      <c r="AQ292" s="8">
        <f>-Opex_Admin*$G$6/Lump_Basis*AQ290*AQ279</f>
        <v/>
      </c>
      <c r="AR292" s="8">
        <f>-Opex_Admin*$G$6/Lump_Basis*AR290*AR279</f>
        <v/>
      </c>
      <c r="AS292" s="8">
        <f>-Opex_Admin*$G$6/Lump_Basis*AS290*AS279</f>
        <v/>
      </c>
      <c r="AT292" s="8">
        <f>-Opex_Admin*$G$6/Lump_Basis*AT290*AT279</f>
        <v/>
      </c>
      <c r="AU292" s="8">
        <f>-Opex_Admin*$G$6/Lump_Basis*AU290*AU279</f>
        <v/>
      </c>
      <c r="AV292" s="8">
        <f>-Opex_Admin*$G$6/Lump_Basis*AV290*AV279</f>
        <v/>
      </c>
      <c r="AW292" s="8">
        <f>-Opex_Admin*$G$6/Lump_Basis*AW290*AW279</f>
        <v/>
      </c>
      <c r="AX292" s="8">
        <f>-Opex_Admin*$G$6/Lump_Basis*AX290*AX279</f>
        <v/>
      </c>
    </row>
    <row r="293" hidden="1" outlineLevel="1">
      <c r="C293" s="6" t="inlineStr">
        <is>
          <t>Balancing and grid charges</t>
        </is>
      </c>
      <c r="D293" s="2" t="inlineStr">
        <is>
          <t>EUR k</t>
        </is>
      </c>
      <c r="H293" s="8">
        <f>SUM(J293:AX293)</f>
        <v/>
      </c>
      <c r="J293" s="8">
        <f>-J287*(Balancing+Grid_Charges)*J290</f>
        <v/>
      </c>
      <c r="K293" s="8">
        <f>-K287*(Balancing+Grid_Charges)*K290</f>
        <v/>
      </c>
      <c r="L293" s="8">
        <f>-L287*(Balancing+Grid_Charges)*L290</f>
        <v/>
      </c>
      <c r="M293" s="8">
        <f>-M287*(Balancing+Grid_Charges)*M290</f>
        <v/>
      </c>
      <c r="N293" s="8">
        <f>-N287*(Balancing+Grid_Charges)*N290</f>
        <v/>
      </c>
      <c r="O293" s="8">
        <f>-O287*(Balancing+Grid_Charges)*O290</f>
        <v/>
      </c>
      <c r="P293" s="8">
        <f>-P287*(Balancing+Grid_Charges)*P290</f>
        <v/>
      </c>
      <c r="Q293" s="8">
        <f>-Q287*(Balancing+Grid_Charges)*Q290</f>
        <v/>
      </c>
      <c r="R293" s="8">
        <f>-R287*(Balancing+Grid_Charges)*R290</f>
        <v/>
      </c>
      <c r="S293" s="8">
        <f>-S287*(Balancing+Grid_Charges)*S290</f>
        <v/>
      </c>
      <c r="T293" s="8">
        <f>-T287*(Balancing+Grid_Charges)*T290</f>
        <v/>
      </c>
      <c r="U293" s="8">
        <f>-U287*(Balancing+Grid_Charges)*U290</f>
        <v/>
      </c>
      <c r="V293" s="8">
        <f>-V287*(Balancing+Grid_Charges)*V290</f>
        <v/>
      </c>
      <c r="W293" s="8">
        <f>-W287*(Balancing+Grid_Charges)*W290</f>
        <v/>
      </c>
      <c r="X293" s="8">
        <f>-X287*(Balancing+Grid_Charges)*X290</f>
        <v/>
      </c>
      <c r="Y293" s="8">
        <f>-Y287*(Balancing+Grid_Charges)*Y290</f>
        <v/>
      </c>
      <c r="Z293" s="8">
        <f>-Z287*(Balancing+Grid_Charges)*Z290</f>
        <v/>
      </c>
      <c r="AA293" s="8">
        <f>-AA287*(Balancing+Grid_Charges)*AA290</f>
        <v/>
      </c>
      <c r="AB293" s="8">
        <f>-AB287*(Balancing+Grid_Charges)*AB290</f>
        <v/>
      </c>
      <c r="AC293" s="8">
        <f>-AC287*(Balancing+Grid_Charges)*AC290</f>
        <v/>
      </c>
      <c r="AD293" s="8">
        <f>-AD287*(Balancing+Grid_Charges)*AD290</f>
        <v/>
      </c>
      <c r="AE293" s="8">
        <f>-AE287*(Balancing+Grid_Charges)*AE290</f>
        <v/>
      </c>
      <c r="AF293" s="8">
        <f>-AF287*(Balancing+Grid_Charges)*AF290</f>
        <v/>
      </c>
      <c r="AG293" s="8">
        <f>-AG287*(Balancing+Grid_Charges)*AG290</f>
        <v/>
      </c>
      <c r="AH293" s="8">
        <f>-AH287*(Balancing+Grid_Charges)*AH290</f>
        <v/>
      </c>
      <c r="AI293" s="8">
        <f>-AI287*(Balancing+Grid_Charges)*AI290</f>
        <v/>
      </c>
      <c r="AJ293" s="8">
        <f>-AJ287*(Balancing+Grid_Charges)*AJ290</f>
        <v/>
      </c>
      <c r="AK293" s="8">
        <f>-AK287*(Balancing+Grid_Charges)*AK290</f>
        <v/>
      </c>
      <c r="AL293" s="8">
        <f>-AL287*(Balancing+Grid_Charges)*AL290</f>
        <v/>
      </c>
      <c r="AM293" s="8">
        <f>-AM287*(Balancing+Grid_Charges)*AM290</f>
        <v/>
      </c>
      <c r="AN293" s="8">
        <f>-AN287*(Balancing+Grid_Charges)*AN290</f>
        <v/>
      </c>
      <c r="AO293" s="8">
        <f>-AO287*(Balancing+Grid_Charges)*AO290</f>
        <v/>
      </c>
      <c r="AP293" s="8">
        <f>-AP287*(Balancing+Grid_Charges)*AP290</f>
        <v/>
      </c>
      <c r="AQ293" s="8">
        <f>-AQ287*(Balancing+Grid_Charges)*AQ290</f>
        <v/>
      </c>
      <c r="AR293" s="8">
        <f>-AR287*(Balancing+Grid_Charges)*AR290</f>
        <v/>
      </c>
      <c r="AS293" s="8">
        <f>-AS287*(Balancing+Grid_Charges)*AS290</f>
        <v/>
      </c>
      <c r="AT293" s="8">
        <f>-AT287*(Balancing+Grid_Charges)*AT290</f>
        <v/>
      </c>
      <c r="AU293" s="8">
        <f>-AU287*(Balancing+Grid_Charges)*AU290</f>
        <v/>
      </c>
      <c r="AV293" s="8">
        <f>-AV287*(Balancing+Grid_Charges)*AV290</f>
        <v/>
      </c>
      <c r="AW293" s="8">
        <f>-AW287*(Balancing+Grid_Charges)*AW290</f>
        <v/>
      </c>
      <c r="AX293" s="8">
        <f>-AX287*(Balancing+Grid_Charges)*AX290</f>
        <v/>
      </c>
    </row>
    <row r="294" hidden="1" outlineLevel="1">
      <c r="C294" s="6" t="inlineStr">
        <is>
          <t>MEKH supervisory fee</t>
        </is>
      </c>
      <c r="D294" s="2" t="inlineStr">
        <is>
          <t>EUR k</t>
        </is>
      </c>
      <c r="H294" s="8">
        <f>SUM(J294:AX294)</f>
        <v/>
      </c>
      <c r="J294" s="8">
        <f>-J289*MEKH_Fee</f>
        <v/>
      </c>
      <c r="K294" s="8">
        <f>-K289*MEKH_Fee</f>
        <v/>
      </c>
      <c r="L294" s="8">
        <f>-L289*MEKH_Fee</f>
        <v/>
      </c>
      <c r="M294" s="8">
        <f>-M289*MEKH_Fee</f>
        <v/>
      </c>
      <c r="N294" s="8">
        <f>-N289*MEKH_Fee</f>
        <v/>
      </c>
      <c r="O294" s="8">
        <f>-O289*MEKH_Fee</f>
        <v/>
      </c>
      <c r="P294" s="8">
        <f>-P289*MEKH_Fee</f>
        <v/>
      </c>
      <c r="Q294" s="8">
        <f>-Q289*MEKH_Fee</f>
        <v/>
      </c>
      <c r="R294" s="8">
        <f>-R289*MEKH_Fee</f>
        <v/>
      </c>
      <c r="S294" s="8">
        <f>-S289*MEKH_Fee</f>
        <v/>
      </c>
      <c r="T294" s="8">
        <f>-T289*MEKH_Fee</f>
        <v/>
      </c>
      <c r="U294" s="8">
        <f>-U289*MEKH_Fee</f>
        <v/>
      </c>
      <c r="V294" s="8">
        <f>-V289*MEKH_Fee</f>
        <v/>
      </c>
      <c r="W294" s="8">
        <f>-W289*MEKH_Fee</f>
        <v/>
      </c>
      <c r="X294" s="8">
        <f>-X289*MEKH_Fee</f>
        <v/>
      </c>
      <c r="Y294" s="8">
        <f>-Y289*MEKH_Fee</f>
        <v/>
      </c>
      <c r="Z294" s="8">
        <f>-Z289*MEKH_Fee</f>
        <v/>
      </c>
      <c r="AA294" s="8">
        <f>-AA289*MEKH_Fee</f>
        <v/>
      </c>
      <c r="AB294" s="8">
        <f>-AB289*MEKH_Fee</f>
        <v/>
      </c>
      <c r="AC294" s="8">
        <f>-AC289*MEKH_Fee</f>
        <v/>
      </c>
      <c r="AD294" s="8">
        <f>-AD289*MEKH_Fee</f>
        <v/>
      </c>
      <c r="AE294" s="8">
        <f>-AE289*MEKH_Fee</f>
        <v/>
      </c>
      <c r="AF294" s="8">
        <f>-AF289*MEKH_Fee</f>
        <v/>
      </c>
      <c r="AG294" s="8">
        <f>-AG289*MEKH_Fee</f>
        <v/>
      </c>
      <c r="AH294" s="8">
        <f>-AH289*MEKH_Fee</f>
        <v/>
      </c>
      <c r="AI294" s="8">
        <f>-AI289*MEKH_Fee</f>
        <v/>
      </c>
      <c r="AJ294" s="8">
        <f>-AJ289*MEKH_Fee</f>
        <v/>
      </c>
      <c r="AK294" s="8">
        <f>-AK289*MEKH_Fee</f>
        <v/>
      </c>
      <c r="AL294" s="8">
        <f>-AL289*MEKH_Fee</f>
        <v/>
      </c>
      <c r="AM294" s="8">
        <f>-AM289*MEKH_Fee</f>
        <v/>
      </c>
      <c r="AN294" s="8">
        <f>-AN289*MEKH_Fee</f>
        <v/>
      </c>
      <c r="AO294" s="8">
        <f>-AO289*MEKH_Fee</f>
        <v/>
      </c>
      <c r="AP294" s="8">
        <f>-AP289*MEKH_Fee</f>
        <v/>
      </c>
      <c r="AQ294" s="8">
        <f>-AQ289*MEKH_Fee</f>
        <v/>
      </c>
      <c r="AR294" s="8">
        <f>-AR289*MEKH_Fee</f>
        <v/>
      </c>
      <c r="AS294" s="8">
        <f>-AS289*MEKH_Fee</f>
        <v/>
      </c>
      <c r="AT294" s="8">
        <f>-AT289*MEKH_Fee</f>
        <v/>
      </c>
      <c r="AU294" s="8">
        <f>-AU289*MEKH_Fee</f>
        <v/>
      </c>
      <c r="AV294" s="8">
        <f>-AV289*MEKH_Fee</f>
        <v/>
      </c>
      <c r="AW294" s="8">
        <f>-AW289*MEKH_Fee</f>
        <v/>
      </c>
      <c r="AX294" s="8">
        <f>-AX289*MEKH_Fee</f>
        <v/>
      </c>
    </row>
    <row r="295" hidden="1" outlineLevel="1">
      <c r="C295" s="6" t="inlineStr">
        <is>
          <t>Opex contingency</t>
        </is>
      </c>
      <c r="D295" s="2" t="inlineStr">
        <is>
          <t>EUR k</t>
        </is>
      </c>
      <c r="H295" s="8">
        <f>SUM(J295:AX295)</f>
        <v/>
      </c>
      <c r="J295" s="8">
        <f>SUM(J291:J294)*Opex_Cont</f>
        <v/>
      </c>
      <c r="K295" s="8">
        <f>SUM(K291:K294)*Opex_Cont</f>
        <v/>
      </c>
      <c r="L295" s="8">
        <f>SUM(L291:L294)*Opex_Cont</f>
        <v/>
      </c>
      <c r="M295" s="8">
        <f>SUM(M291:M294)*Opex_Cont</f>
        <v/>
      </c>
      <c r="N295" s="8">
        <f>SUM(N291:N294)*Opex_Cont</f>
        <v/>
      </c>
      <c r="O295" s="8">
        <f>SUM(O291:O294)*Opex_Cont</f>
        <v/>
      </c>
      <c r="P295" s="8">
        <f>SUM(P291:P294)*Opex_Cont</f>
        <v/>
      </c>
      <c r="Q295" s="8">
        <f>SUM(Q291:Q294)*Opex_Cont</f>
        <v/>
      </c>
      <c r="R295" s="8">
        <f>SUM(R291:R294)*Opex_Cont</f>
        <v/>
      </c>
      <c r="S295" s="8">
        <f>SUM(S291:S294)*Opex_Cont</f>
        <v/>
      </c>
      <c r="T295" s="8">
        <f>SUM(T291:T294)*Opex_Cont</f>
        <v/>
      </c>
      <c r="U295" s="8">
        <f>SUM(U291:U294)*Opex_Cont</f>
        <v/>
      </c>
      <c r="V295" s="8">
        <f>SUM(V291:V294)*Opex_Cont</f>
        <v/>
      </c>
      <c r="W295" s="8">
        <f>SUM(W291:W294)*Opex_Cont</f>
        <v/>
      </c>
      <c r="X295" s="8">
        <f>SUM(X291:X294)*Opex_Cont</f>
        <v/>
      </c>
      <c r="Y295" s="8">
        <f>SUM(Y291:Y294)*Opex_Cont</f>
        <v/>
      </c>
      <c r="Z295" s="8">
        <f>SUM(Z291:Z294)*Opex_Cont</f>
        <v/>
      </c>
      <c r="AA295" s="8">
        <f>SUM(AA291:AA294)*Opex_Cont</f>
        <v/>
      </c>
      <c r="AB295" s="8">
        <f>SUM(AB291:AB294)*Opex_Cont</f>
        <v/>
      </c>
      <c r="AC295" s="8">
        <f>SUM(AC291:AC294)*Opex_Cont</f>
        <v/>
      </c>
      <c r="AD295" s="8">
        <f>SUM(AD291:AD294)*Opex_Cont</f>
        <v/>
      </c>
      <c r="AE295" s="8">
        <f>SUM(AE291:AE294)*Opex_Cont</f>
        <v/>
      </c>
      <c r="AF295" s="8">
        <f>SUM(AF291:AF294)*Opex_Cont</f>
        <v/>
      </c>
      <c r="AG295" s="8">
        <f>SUM(AG291:AG294)*Opex_Cont</f>
        <v/>
      </c>
      <c r="AH295" s="8">
        <f>SUM(AH291:AH294)*Opex_Cont</f>
        <v/>
      </c>
      <c r="AI295" s="8">
        <f>SUM(AI291:AI294)*Opex_Cont</f>
        <v/>
      </c>
      <c r="AJ295" s="8">
        <f>SUM(AJ291:AJ294)*Opex_Cont</f>
        <v/>
      </c>
      <c r="AK295" s="8">
        <f>SUM(AK291:AK294)*Opex_Cont</f>
        <v/>
      </c>
      <c r="AL295" s="8">
        <f>SUM(AL291:AL294)*Opex_Cont</f>
        <v/>
      </c>
      <c r="AM295" s="8">
        <f>SUM(AM291:AM294)*Opex_Cont</f>
        <v/>
      </c>
      <c r="AN295" s="8">
        <f>SUM(AN291:AN294)*Opex_Cont</f>
        <v/>
      </c>
      <c r="AO295" s="8">
        <f>SUM(AO291:AO294)*Opex_Cont</f>
        <v/>
      </c>
      <c r="AP295" s="8">
        <f>SUM(AP291:AP294)*Opex_Cont</f>
        <v/>
      </c>
      <c r="AQ295" s="8">
        <f>SUM(AQ291:AQ294)*Opex_Cont</f>
        <v/>
      </c>
      <c r="AR295" s="8">
        <f>SUM(AR291:AR294)*Opex_Cont</f>
        <v/>
      </c>
      <c r="AS295" s="8">
        <f>SUM(AS291:AS294)*Opex_Cont</f>
        <v/>
      </c>
      <c r="AT295" s="8">
        <f>SUM(AT291:AT294)*Opex_Cont</f>
        <v/>
      </c>
      <c r="AU295" s="8">
        <f>SUM(AU291:AU294)*Opex_Cont</f>
        <v/>
      </c>
      <c r="AV295" s="8">
        <f>SUM(AV291:AV294)*Opex_Cont</f>
        <v/>
      </c>
      <c r="AW295" s="8">
        <f>SUM(AW291:AW294)*Opex_Cont</f>
        <v/>
      </c>
      <c r="AX295" s="8">
        <f>SUM(AX291:AX294)*Opex_Cont</f>
        <v/>
      </c>
    </row>
    <row r="296" hidden="1" outlineLevel="1">
      <c r="C296" s="6" t="inlineStr">
        <is>
          <t>Community contribution</t>
        </is>
      </c>
      <c r="D296" s="2" t="inlineStr">
        <is>
          <t>EUR k</t>
        </is>
      </c>
      <c r="H296" s="8">
        <f>SUM(J296:AX296)</f>
        <v/>
      </c>
      <c r="J296" s="8">
        <f>-J287*$G$12</f>
        <v/>
      </c>
      <c r="K296" s="8">
        <f>-K287*$G$12</f>
        <v/>
      </c>
      <c r="L296" s="8">
        <f>-L287*$G$12</f>
        <v/>
      </c>
      <c r="M296" s="8">
        <f>-M287*$G$12</f>
        <v/>
      </c>
      <c r="N296" s="8">
        <f>-N287*$G$12</f>
        <v/>
      </c>
      <c r="O296" s="8">
        <f>-O287*$G$12</f>
        <v/>
      </c>
      <c r="P296" s="8">
        <f>-P287*$G$12</f>
        <v/>
      </c>
      <c r="Q296" s="8">
        <f>-Q287*$G$12</f>
        <v/>
      </c>
      <c r="R296" s="8">
        <f>-R287*$G$12</f>
        <v/>
      </c>
      <c r="S296" s="8">
        <f>-S287*$G$12</f>
        <v/>
      </c>
      <c r="T296" s="8">
        <f>-T287*$G$12</f>
        <v/>
      </c>
      <c r="U296" s="8">
        <f>-U287*$G$12</f>
        <v/>
      </c>
      <c r="V296" s="8">
        <f>-V287*$G$12</f>
        <v/>
      </c>
      <c r="W296" s="8">
        <f>-W287*$G$12</f>
        <v/>
      </c>
      <c r="X296" s="8">
        <f>-X287*$G$12</f>
        <v/>
      </c>
      <c r="Y296" s="8">
        <f>-Y287*$G$12</f>
        <v/>
      </c>
      <c r="Z296" s="8">
        <f>-Z287*$G$12</f>
        <v/>
      </c>
      <c r="AA296" s="8">
        <f>-AA287*$G$12</f>
        <v/>
      </c>
      <c r="AB296" s="8">
        <f>-AB287*$G$12</f>
        <v/>
      </c>
      <c r="AC296" s="8">
        <f>-AC287*$G$12</f>
        <v/>
      </c>
      <c r="AD296" s="8">
        <f>-AD287*$G$12</f>
        <v/>
      </c>
      <c r="AE296" s="8">
        <f>-AE287*$G$12</f>
        <v/>
      </c>
      <c r="AF296" s="8">
        <f>-AF287*$G$12</f>
        <v/>
      </c>
      <c r="AG296" s="8">
        <f>-AG287*$G$12</f>
        <v/>
      </c>
      <c r="AH296" s="8">
        <f>-AH287*$G$12</f>
        <v/>
      </c>
      <c r="AI296" s="8">
        <f>-AI287*$G$12</f>
        <v/>
      </c>
      <c r="AJ296" s="8">
        <f>-AJ287*$G$12</f>
        <v/>
      </c>
      <c r="AK296" s="8">
        <f>-AK287*$G$12</f>
        <v/>
      </c>
      <c r="AL296" s="8">
        <f>-AL287*$G$12</f>
        <v/>
      </c>
      <c r="AM296" s="8">
        <f>-AM287*$G$12</f>
        <v/>
      </c>
      <c r="AN296" s="8">
        <f>-AN287*$G$12</f>
        <v/>
      </c>
      <c r="AO296" s="8">
        <f>-AO287*$G$12</f>
        <v/>
      </c>
      <c r="AP296" s="8">
        <f>-AP287*$G$12</f>
        <v/>
      </c>
      <c r="AQ296" s="8">
        <f>-AQ287*$G$12</f>
        <v/>
      </c>
      <c r="AR296" s="8">
        <f>-AR287*$G$12</f>
        <v/>
      </c>
      <c r="AS296" s="8">
        <f>-AS287*$G$12</f>
        <v/>
      </c>
      <c r="AT296" s="8">
        <f>-AT287*$G$12</f>
        <v/>
      </c>
      <c r="AU296" s="8">
        <f>-AU287*$G$12</f>
        <v/>
      </c>
      <c r="AV296" s="8">
        <f>-AV287*$G$12</f>
        <v/>
      </c>
      <c r="AW296" s="8">
        <f>-AW287*$G$12</f>
        <v/>
      </c>
      <c r="AX296" s="8">
        <f>-AX287*$G$12</f>
        <v/>
      </c>
    </row>
    <row r="297" hidden="1" outlineLevel="1">
      <c r="C297" s="6" t="inlineStr">
        <is>
          <t>HIPA local business tax</t>
        </is>
      </c>
      <c r="D297" s="2" t="inlineStr">
        <is>
          <t>EUR k</t>
        </is>
      </c>
      <c r="H297" s="8">
        <f>SUM(J297:AX297)</f>
        <v/>
      </c>
      <c r="J297" s="8">
        <f>-J289*HIPA_Rate</f>
        <v/>
      </c>
      <c r="K297" s="8">
        <f>-K289*HIPA_Rate</f>
        <v/>
      </c>
      <c r="L297" s="8">
        <f>-L289*HIPA_Rate</f>
        <v/>
      </c>
      <c r="M297" s="8">
        <f>-M289*HIPA_Rate</f>
        <v/>
      </c>
      <c r="N297" s="8">
        <f>-N289*HIPA_Rate</f>
        <v/>
      </c>
      <c r="O297" s="8">
        <f>-O289*HIPA_Rate</f>
        <v/>
      </c>
      <c r="P297" s="8">
        <f>-P289*HIPA_Rate</f>
        <v/>
      </c>
      <c r="Q297" s="8">
        <f>-Q289*HIPA_Rate</f>
        <v/>
      </c>
      <c r="R297" s="8">
        <f>-R289*HIPA_Rate</f>
        <v/>
      </c>
      <c r="S297" s="8">
        <f>-S289*HIPA_Rate</f>
        <v/>
      </c>
      <c r="T297" s="8">
        <f>-T289*HIPA_Rate</f>
        <v/>
      </c>
      <c r="U297" s="8">
        <f>-U289*HIPA_Rate</f>
        <v/>
      </c>
      <c r="V297" s="8">
        <f>-V289*HIPA_Rate</f>
        <v/>
      </c>
      <c r="W297" s="8">
        <f>-W289*HIPA_Rate</f>
        <v/>
      </c>
      <c r="X297" s="8">
        <f>-X289*HIPA_Rate</f>
        <v/>
      </c>
      <c r="Y297" s="8">
        <f>-Y289*HIPA_Rate</f>
        <v/>
      </c>
      <c r="Z297" s="8">
        <f>-Z289*HIPA_Rate</f>
        <v/>
      </c>
      <c r="AA297" s="8">
        <f>-AA289*HIPA_Rate</f>
        <v/>
      </c>
      <c r="AB297" s="8">
        <f>-AB289*HIPA_Rate</f>
        <v/>
      </c>
      <c r="AC297" s="8">
        <f>-AC289*HIPA_Rate</f>
        <v/>
      </c>
      <c r="AD297" s="8">
        <f>-AD289*HIPA_Rate</f>
        <v/>
      </c>
      <c r="AE297" s="8">
        <f>-AE289*HIPA_Rate</f>
        <v/>
      </c>
      <c r="AF297" s="8">
        <f>-AF289*HIPA_Rate</f>
        <v/>
      </c>
      <c r="AG297" s="8">
        <f>-AG289*HIPA_Rate</f>
        <v/>
      </c>
      <c r="AH297" s="8">
        <f>-AH289*HIPA_Rate</f>
        <v/>
      </c>
      <c r="AI297" s="8">
        <f>-AI289*HIPA_Rate</f>
        <v/>
      </c>
      <c r="AJ297" s="8">
        <f>-AJ289*HIPA_Rate</f>
        <v/>
      </c>
      <c r="AK297" s="8">
        <f>-AK289*HIPA_Rate</f>
        <v/>
      </c>
      <c r="AL297" s="8">
        <f>-AL289*HIPA_Rate</f>
        <v/>
      </c>
      <c r="AM297" s="8">
        <f>-AM289*HIPA_Rate</f>
        <v/>
      </c>
      <c r="AN297" s="8">
        <f>-AN289*HIPA_Rate</f>
        <v/>
      </c>
      <c r="AO297" s="8">
        <f>-AO289*HIPA_Rate</f>
        <v/>
      </c>
      <c r="AP297" s="8">
        <f>-AP289*HIPA_Rate</f>
        <v/>
      </c>
      <c r="AQ297" s="8">
        <f>-AQ289*HIPA_Rate</f>
        <v/>
      </c>
      <c r="AR297" s="8">
        <f>-AR289*HIPA_Rate</f>
        <v/>
      </c>
      <c r="AS297" s="8">
        <f>-AS289*HIPA_Rate</f>
        <v/>
      </c>
      <c r="AT297" s="8">
        <f>-AT289*HIPA_Rate</f>
        <v/>
      </c>
      <c r="AU297" s="8">
        <f>-AU289*HIPA_Rate</f>
        <v/>
      </c>
      <c r="AV297" s="8">
        <f>-AV289*HIPA_Rate</f>
        <v/>
      </c>
      <c r="AW297" s="8">
        <f>-AW289*HIPA_Rate</f>
        <v/>
      </c>
      <c r="AX297" s="8">
        <f>-AX289*HIPA_Rate</f>
        <v/>
      </c>
    </row>
    <row r="298" hidden="1" outlineLevel="1">
      <c r="C298" s="1" t="inlineStr">
        <is>
          <t>Total opex</t>
        </is>
      </c>
      <c r="D298" s="2" t="inlineStr">
        <is>
          <t>EUR k</t>
        </is>
      </c>
      <c r="H298" s="19">
        <f>SUM(J298:AX298)</f>
        <v/>
      </c>
      <c r="J298" s="19">
        <f>SUM(J291:J297)</f>
        <v/>
      </c>
      <c r="K298" s="19">
        <f>SUM(K291:K297)</f>
        <v/>
      </c>
      <c r="L298" s="19">
        <f>SUM(L291:L297)</f>
        <v/>
      </c>
      <c r="M298" s="19">
        <f>SUM(M291:M297)</f>
        <v/>
      </c>
      <c r="N298" s="19">
        <f>SUM(N291:N297)</f>
        <v/>
      </c>
      <c r="O298" s="19">
        <f>SUM(O291:O297)</f>
        <v/>
      </c>
      <c r="P298" s="19">
        <f>SUM(P291:P297)</f>
        <v/>
      </c>
      <c r="Q298" s="19">
        <f>SUM(Q291:Q297)</f>
        <v/>
      </c>
      <c r="R298" s="19">
        <f>SUM(R291:R297)</f>
        <v/>
      </c>
      <c r="S298" s="19">
        <f>SUM(S291:S297)</f>
        <v/>
      </c>
      <c r="T298" s="19">
        <f>SUM(T291:T297)</f>
        <v/>
      </c>
      <c r="U298" s="19">
        <f>SUM(U291:U297)</f>
        <v/>
      </c>
      <c r="V298" s="19">
        <f>SUM(V291:V297)</f>
        <v/>
      </c>
      <c r="W298" s="19">
        <f>SUM(W291:W297)</f>
        <v/>
      </c>
      <c r="X298" s="19">
        <f>SUM(X291:X297)</f>
        <v/>
      </c>
      <c r="Y298" s="19">
        <f>SUM(Y291:Y297)</f>
        <v/>
      </c>
      <c r="Z298" s="19">
        <f>SUM(Z291:Z297)</f>
        <v/>
      </c>
      <c r="AA298" s="19">
        <f>SUM(AA291:AA297)</f>
        <v/>
      </c>
      <c r="AB298" s="19">
        <f>SUM(AB291:AB297)</f>
        <v/>
      </c>
      <c r="AC298" s="19">
        <f>SUM(AC291:AC297)</f>
        <v/>
      </c>
      <c r="AD298" s="19">
        <f>SUM(AD291:AD297)</f>
        <v/>
      </c>
      <c r="AE298" s="19">
        <f>SUM(AE291:AE297)</f>
        <v/>
      </c>
      <c r="AF298" s="19">
        <f>SUM(AF291:AF297)</f>
        <v/>
      </c>
      <c r="AG298" s="19">
        <f>SUM(AG291:AG297)</f>
        <v/>
      </c>
      <c r="AH298" s="19">
        <f>SUM(AH291:AH297)</f>
        <v/>
      </c>
      <c r="AI298" s="19">
        <f>SUM(AI291:AI297)</f>
        <v/>
      </c>
      <c r="AJ298" s="19">
        <f>SUM(AJ291:AJ297)</f>
        <v/>
      </c>
      <c r="AK298" s="19">
        <f>SUM(AK291:AK297)</f>
        <v/>
      </c>
      <c r="AL298" s="19">
        <f>SUM(AL291:AL297)</f>
        <v/>
      </c>
      <c r="AM298" s="19">
        <f>SUM(AM291:AM297)</f>
        <v/>
      </c>
      <c r="AN298" s="19">
        <f>SUM(AN291:AN297)</f>
        <v/>
      </c>
      <c r="AO298" s="19">
        <f>SUM(AO291:AO297)</f>
        <v/>
      </c>
      <c r="AP298" s="19">
        <f>SUM(AP291:AP297)</f>
        <v/>
      </c>
      <c r="AQ298" s="19">
        <f>SUM(AQ291:AQ297)</f>
        <v/>
      </c>
      <c r="AR298" s="19">
        <f>SUM(AR291:AR297)</f>
        <v/>
      </c>
      <c r="AS298" s="19">
        <f>SUM(AS291:AS297)</f>
        <v/>
      </c>
      <c r="AT298" s="19">
        <f>SUM(AT291:AT297)</f>
        <v/>
      </c>
      <c r="AU298" s="19">
        <f>SUM(AU291:AU297)</f>
        <v/>
      </c>
      <c r="AV298" s="19">
        <f>SUM(AV291:AV297)</f>
        <v/>
      </c>
      <c r="AW298" s="19">
        <f>SUM(AW291:AW297)</f>
        <v/>
      </c>
      <c r="AX298" s="19">
        <f>SUM(AX291:AX297)</f>
        <v/>
      </c>
    </row>
    <row r="299" hidden="1" outlineLevel="1">
      <c r="C299" s="1" t="inlineStr">
        <is>
          <t>EBITDA</t>
        </is>
      </c>
      <c r="D299" s="2" t="inlineStr">
        <is>
          <t>EUR k</t>
        </is>
      </c>
      <c r="H299" s="14">
        <f>SUM(J299:AX299)</f>
        <v/>
      </c>
      <c r="J299" s="14">
        <f>J289+J298</f>
        <v/>
      </c>
      <c r="K299" s="14">
        <f>K289+K298</f>
        <v/>
      </c>
      <c r="L299" s="14">
        <f>L289+L298</f>
        <v/>
      </c>
      <c r="M299" s="14">
        <f>M289+M298</f>
        <v/>
      </c>
      <c r="N299" s="14">
        <f>N289+N298</f>
        <v/>
      </c>
      <c r="O299" s="14">
        <f>O289+O298</f>
        <v/>
      </c>
      <c r="P299" s="14">
        <f>P289+P298</f>
        <v/>
      </c>
      <c r="Q299" s="14">
        <f>Q289+Q298</f>
        <v/>
      </c>
      <c r="R299" s="14">
        <f>R289+R298</f>
        <v/>
      </c>
      <c r="S299" s="14">
        <f>S289+S298</f>
        <v/>
      </c>
      <c r="T299" s="14">
        <f>T289+T298</f>
        <v/>
      </c>
      <c r="U299" s="14">
        <f>U289+U298</f>
        <v/>
      </c>
      <c r="V299" s="14">
        <f>V289+V298</f>
        <v/>
      </c>
      <c r="W299" s="14">
        <f>W289+W298</f>
        <v/>
      </c>
      <c r="X299" s="14">
        <f>X289+X298</f>
        <v/>
      </c>
      <c r="Y299" s="14">
        <f>Y289+Y298</f>
        <v/>
      </c>
      <c r="Z299" s="14">
        <f>Z289+Z298</f>
        <v/>
      </c>
      <c r="AA299" s="14">
        <f>AA289+AA298</f>
        <v/>
      </c>
      <c r="AB299" s="14">
        <f>AB289+AB298</f>
        <v/>
      </c>
      <c r="AC299" s="14">
        <f>AC289+AC298</f>
        <v/>
      </c>
      <c r="AD299" s="14">
        <f>AD289+AD298</f>
        <v/>
      </c>
      <c r="AE299" s="14">
        <f>AE289+AE298</f>
        <v/>
      </c>
      <c r="AF299" s="14">
        <f>AF289+AF298</f>
        <v/>
      </c>
      <c r="AG299" s="14">
        <f>AG289+AG298</f>
        <v/>
      </c>
      <c r="AH299" s="14">
        <f>AH289+AH298</f>
        <v/>
      </c>
      <c r="AI299" s="14">
        <f>AI289+AI298</f>
        <v/>
      </c>
      <c r="AJ299" s="14">
        <f>AJ289+AJ298</f>
        <v/>
      </c>
      <c r="AK299" s="14">
        <f>AK289+AK298</f>
        <v/>
      </c>
      <c r="AL299" s="14">
        <f>AL289+AL298</f>
        <v/>
      </c>
      <c r="AM299" s="14">
        <f>AM289+AM298</f>
        <v/>
      </c>
      <c r="AN299" s="14">
        <f>AN289+AN298</f>
        <v/>
      </c>
      <c r="AO299" s="14">
        <f>AO289+AO298</f>
        <v/>
      </c>
      <c r="AP299" s="14">
        <f>AP289+AP298</f>
        <v/>
      </c>
      <c r="AQ299" s="14">
        <f>AQ289+AQ298</f>
        <v/>
      </c>
      <c r="AR299" s="14">
        <f>AR289+AR298</f>
        <v/>
      </c>
      <c r="AS299" s="14">
        <f>AS289+AS298</f>
        <v/>
      </c>
      <c r="AT299" s="14">
        <f>AT289+AT298</f>
        <v/>
      </c>
      <c r="AU299" s="14">
        <f>AU289+AU298</f>
        <v/>
      </c>
      <c r="AV299" s="14">
        <f>AV289+AV298</f>
        <v/>
      </c>
      <c r="AW299" s="14">
        <f>AW289+AW298</f>
        <v/>
      </c>
      <c r="AX299" s="14">
        <f>AX289+AX298</f>
        <v/>
      </c>
    </row>
    <row r="300" hidden="1" outlineLevel="1">
      <c r="C300" s="1" t="inlineStr">
        <is>
          <t>Unlevered pre-tax cash flow</t>
        </is>
      </c>
      <c r="D300" s="2" t="inlineStr">
        <is>
          <t>EUR k</t>
        </is>
      </c>
      <c r="H300" s="19">
        <f>SUM(J300:AX300)</f>
        <v/>
      </c>
      <c r="J300" s="19">
        <f>J285+J299</f>
        <v/>
      </c>
      <c r="K300" s="19">
        <f>K285+K299</f>
        <v/>
      </c>
      <c r="L300" s="19">
        <f>L285+L299</f>
        <v/>
      </c>
      <c r="M300" s="19">
        <f>M285+M299</f>
        <v/>
      </c>
      <c r="N300" s="19">
        <f>N285+N299</f>
        <v/>
      </c>
      <c r="O300" s="19">
        <f>O285+O299</f>
        <v/>
      </c>
      <c r="P300" s="19">
        <f>P285+P299</f>
        <v/>
      </c>
      <c r="Q300" s="19">
        <f>Q285+Q299</f>
        <v/>
      </c>
      <c r="R300" s="19">
        <f>R285+R299</f>
        <v/>
      </c>
      <c r="S300" s="19">
        <f>S285+S299</f>
        <v/>
      </c>
      <c r="T300" s="19">
        <f>T285+T299</f>
        <v/>
      </c>
      <c r="U300" s="19">
        <f>U285+U299</f>
        <v/>
      </c>
      <c r="V300" s="19">
        <f>V285+V299</f>
        <v/>
      </c>
      <c r="W300" s="19">
        <f>W285+W299</f>
        <v/>
      </c>
      <c r="X300" s="19">
        <f>X285+X299</f>
        <v/>
      </c>
      <c r="Y300" s="19">
        <f>Y285+Y299</f>
        <v/>
      </c>
      <c r="Z300" s="19">
        <f>Z285+Z299</f>
        <v/>
      </c>
      <c r="AA300" s="19">
        <f>AA285+AA299</f>
        <v/>
      </c>
      <c r="AB300" s="19">
        <f>AB285+AB299</f>
        <v/>
      </c>
      <c r="AC300" s="19">
        <f>AC285+AC299</f>
        <v/>
      </c>
      <c r="AD300" s="19">
        <f>AD285+AD299</f>
        <v/>
      </c>
      <c r="AE300" s="19">
        <f>AE285+AE299</f>
        <v/>
      </c>
      <c r="AF300" s="19">
        <f>AF285+AF299</f>
        <v/>
      </c>
      <c r="AG300" s="19">
        <f>AG285+AG299</f>
        <v/>
      </c>
      <c r="AH300" s="19">
        <f>AH285+AH299</f>
        <v/>
      </c>
      <c r="AI300" s="19">
        <f>AI285+AI299</f>
        <v/>
      </c>
      <c r="AJ300" s="19">
        <f>AJ285+AJ299</f>
        <v/>
      </c>
      <c r="AK300" s="19">
        <f>AK285+AK299</f>
        <v/>
      </c>
      <c r="AL300" s="19">
        <f>AL285+AL299</f>
        <v/>
      </c>
      <c r="AM300" s="19">
        <f>AM285+AM299</f>
        <v/>
      </c>
      <c r="AN300" s="19">
        <f>AN285+AN299</f>
        <v/>
      </c>
      <c r="AO300" s="19">
        <f>AO285+AO299</f>
        <v/>
      </c>
      <c r="AP300" s="19">
        <f>AP285+AP299</f>
        <v/>
      </c>
      <c r="AQ300" s="19">
        <f>AQ285+AQ299</f>
        <v/>
      </c>
      <c r="AR300" s="19">
        <f>AR285+AR299</f>
        <v/>
      </c>
      <c r="AS300" s="19">
        <f>AS285+AS299</f>
        <v/>
      </c>
      <c r="AT300" s="19">
        <f>AT285+AT299</f>
        <v/>
      </c>
      <c r="AU300" s="19">
        <f>AU285+AU299</f>
        <v/>
      </c>
      <c r="AV300" s="19">
        <f>AV285+AV299</f>
        <v/>
      </c>
      <c r="AW300" s="19">
        <f>AW285+AW299</f>
        <v/>
      </c>
      <c r="AX300" s="19">
        <f>AX285+AX299</f>
        <v/>
      </c>
    </row>
    <row r="301" hidden="1" outlineLevel="1">
      <c r="C301" s="6" t="inlineStr">
        <is>
          <t>Discount factor to COD (buyer's rate)</t>
        </is>
      </c>
      <c r="D301" s="2" t="inlineStr">
        <is>
          <t>x</t>
        </is>
      </c>
      <c r="J301" s="30">
        <f>(1+Discount_Rate)^((Date_COD-J$210)/Days_In_Year)</f>
        <v/>
      </c>
      <c r="K301" s="30">
        <f>(1+Discount_Rate)^((Date_COD-K$210)/Days_In_Year)</f>
        <v/>
      </c>
      <c r="L301" s="30">
        <f>(1+Discount_Rate)^((Date_COD-L$210)/Days_In_Year)</f>
        <v/>
      </c>
      <c r="M301" s="30">
        <f>(1+Discount_Rate)^((Date_COD-M$210)/Days_In_Year)</f>
        <v/>
      </c>
      <c r="N301" s="30">
        <f>(1+Discount_Rate)^((Date_COD-N$210)/Days_In_Year)</f>
        <v/>
      </c>
      <c r="O301" s="30">
        <f>(1+Discount_Rate)^((Date_COD-O$210)/Days_In_Year)</f>
        <v/>
      </c>
      <c r="P301" s="30">
        <f>(1+Discount_Rate)^((Date_COD-P$210)/Days_In_Year)</f>
        <v/>
      </c>
      <c r="Q301" s="30">
        <f>(1+Discount_Rate)^((Date_COD-Q$210)/Days_In_Year)</f>
        <v/>
      </c>
      <c r="R301" s="30">
        <f>(1+Discount_Rate)^((Date_COD-R$210)/Days_In_Year)</f>
        <v/>
      </c>
      <c r="S301" s="30">
        <f>(1+Discount_Rate)^((Date_COD-S$210)/Days_In_Year)</f>
        <v/>
      </c>
      <c r="T301" s="30">
        <f>(1+Discount_Rate)^((Date_COD-T$210)/Days_In_Year)</f>
        <v/>
      </c>
      <c r="U301" s="30">
        <f>(1+Discount_Rate)^((Date_COD-U$210)/Days_In_Year)</f>
        <v/>
      </c>
      <c r="V301" s="30">
        <f>(1+Discount_Rate)^((Date_COD-V$210)/Days_In_Year)</f>
        <v/>
      </c>
      <c r="W301" s="30">
        <f>(1+Discount_Rate)^((Date_COD-W$210)/Days_In_Year)</f>
        <v/>
      </c>
      <c r="X301" s="30">
        <f>(1+Discount_Rate)^((Date_COD-X$210)/Days_In_Year)</f>
        <v/>
      </c>
      <c r="Y301" s="30">
        <f>(1+Discount_Rate)^((Date_COD-Y$210)/Days_In_Year)</f>
        <v/>
      </c>
      <c r="Z301" s="30">
        <f>(1+Discount_Rate)^((Date_COD-Z$210)/Days_In_Year)</f>
        <v/>
      </c>
      <c r="AA301" s="30">
        <f>(1+Discount_Rate)^((Date_COD-AA$210)/Days_In_Year)</f>
        <v/>
      </c>
      <c r="AB301" s="30">
        <f>(1+Discount_Rate)^((Date_COD-AB$210)/Days_In_Year)</f>
        <v/>
      </c>
      <c r="AC301" s="30">
        <f>(1+Discount_Rate)^((Date_COD-AC$210)/Days_In_Year)</f>
        <v/>
      </c>
      <c r="AD301" s="30">
        <f>(1+Discount_Rate)^((Date_COD-AD$210)/Days_In_Year)</f>
        <v/>
      </c>
      <c r="AE301" s="30">
        <f>(1+Discount_Rate)^((Date_COD-AE$210)/Days_In_Year)</f>
        <v/>
      </c>
      <c r="AF301" s="30">
        <f>(1+Discount_Rate)^((Date_COD-AF$210)/Days_In_Year)</f>
        <v/>
      </c>
      <c r="AG301" s="30">
        <f>(1+Discount_Rate)^((Date_COD-AG$210)/Days_In_Year)</f>
        <v/>
      </c>
      <c r="AH301" s="30">
        <f>(1+Discount_Rate)^((Date_COD-AH$210)/Days_In_Year)</f>
        <v/>
      </c>
      <c r="AI301" s="30">
        <f>(1+Discount_Rate)^((Date_COD-AI$210)/Days_In_Year)</f>
        <v/>
      </c>
      <c r="AJ301" s="30">
        <f>(1+Discount_Rate)^((Date_COD-AJ$210)/Days_In_Year)</f>
        <v/>
      </c>
      <c r="AK301" s="30">
        <f>(1+Discount_Rate)^((Date_COD-AK$210)/Days_In_Year)</f>
        <v/>
      </c>
      <c r="AL301" s="30">
        <f>(1+Discount_Rate)^((Date_COD-AL$210)/Days_In_Year)</f>
        <v/>
      </c>
      <c r="AM301" s="30">
        <f>(1+Discount_Rate)^((Date_COD-AM$210)/Days_In_Year)</f>
        <v/>
      </c>
      <c r="AN301" s="30">
        <f>(1+Discount_Rate)^((Date_COD-AN$210)/Days_In_Year)</f>
        <v/>
      </c>
      <c r="AO301" s="30">
        <f>(1+Discount_Rate)^((Date_COD-AO$210)/Days_In_Year)</f>
        <v/>
      </c>
      <c r="AP301" s="30">
        <f>(1+Discount_Rate)^((Date_COD-AP$210)/Days_In_Year)</f>
        <v/>
      </c>
      <c r="AQ301" s="30">
        <f>(1+Discount_Rate)^((Date_COD-AQ$210)/Days_In_Year)</f>
        <v/>
      </c>
      <c r="AR301" s="30">
        <f>(1+Discount_Rate)^((Date_COD-AR$210)/Days_In_Year)</f>
        <v/>
      </c>
      <c r="AS301" s="30">
        <f>(1+Discount_Rate)^((Date_COD-AS$210)/Days_In_Year)</f>
        <v/>
      </c>
      <c r="AT301" s="30">
        <f>(1+Discount_Rate)^((Date_COD-AT$210)/Days_In_Year)</f>
        <v/>
      </c>
      <c r="AU301" s="30">
        <f>(1+Discount_Rate)^((Date_COD-AU$210)/Days_In_Year)</f>
        <v/>
      </c>
      <c r="AV301" s="30">
        <f>(1+Discount_Rate)^((Date_COD-AV$210)/Days_In_Year)</f>
        <v/>
      </c>
      <c r="AW301" s="30">
        <f>(1+Discount_Rate)^((Date_COD-AW$210)/Days_In_Year)</f>
        <v/>
      </c>
      <c r="AX301" s="30">
        <f>(1+Discount_Rate)^((Date_COD-AX$210)/Days_In_Year)</f>
        <v/>
      </c>
    </row>
    <row r="302" hidden="1" outlineLevel="1">
      <c r="C302" s="6" t="inlineStr">
        <is>
          <t>EBITDA valued at COD (total = COD price)</t>
        </is>
      </c>
      <c r="D302" s="2" t="inlineStr">
        <is>
          <t>EUR k</t>
        </is>
      </c>
      <c r="H302" s="8">
        <f>SUM(J302:AX302)</f>
        <v/>
      </c>
      <c r="J302" s="8">
        <f>J299*J301</f>
        <v/>
      </c>
      <c r="K302" s="8">
        <f>K299*K301</f>
        <v/>
      </c>
      <c r="L302" s="8">
        <f>L299*L301</f>
        <v/>
      </c>
      <c r="M302" s="8">
        <f>M299*M301</f>
        <v/>
      </c>
      <c r="N302" s="8">
        <f>N299*N301</f>
        <v/>
      </c>
      <c r="O302" s="8">
        <f>O299*O301</f>
        <v/>
      </c>
      <c r="P302" s="8">
        <f>P299*P301</f>
        <v/>
      </c>
      <c r="Q302" s="8">
        <f>Q299*Q301</f>
        <v/>
      </c>
      <c r="R302" s="8">
        <f>R299*R301</f>
        <v/>
      </c>
      <c r="S302" s="8">
        <f>S299*S301</f>
        <v/>
      </c>
      <c r="T302" s="8">
        <f>T299*T301</f>
        <v/>
      </c>
      <c r="U302" s="8">
        <f>U299*U301</f>
        <v/>
      </c>
      <c r="V302" s="8">
        <f>V299*V301</f>
        <v/>
      </c>
      <c r="W302" s="8">
        <f>W299*W301</f>
        <v/>
      </c>
      <c r="X302" s="8">
        <f>X299*X301</f>
        <v/>
      </c>
      <c r="Y302" s="8">
        <f>Y299*Y301</f>
        <v/>
      </c>
      <c r="Z302" s="8">
        <f>Z299*Z301</f>
        <v/>
      </c>
      <c r="AA302" s="8">
        <f>AA299*AA301</f>
        <v/>
      </c>
      <c r="AB302" s="8">
        <f>AB299*AB301</f>
        <v/>
      </c>
      <c r="AC302" s="8">
        <f>AC299*AC301</f>
        <v/>
      </c>
      <c r="AD302" s="8">
        <f>AD299*AD301</f>
        <v/>
      </c>
      <c r="AE302" s="8">
        <f>AE299*AE301</f>
        <v/>
      </c>
      <c r="AF302" s="8">
        <f>AF299*AF301</f>
        <v/>
      </c>
      <c r="AG302" s="8">
        <f>AG299*AG301</f>
        <v/>
      </c>
      <c r="AH302" s="8">
        <f>AH299*AH301</f>
        <v/>
      </c>
      <c r="AI302" s="8">
        <f>AI299*AI301</f>
        <v/>
      </c>
      <c r="AJ302" s="8">
        <f>AJ299*AJ301</f>
        <v/>
      </c>
      <c r="AK302" s="8">
        <f>AK299*AK301</f>
        <v/>
      </c>
      <c r="AL302" s="8">
        <f>AL299*AL301</f>
        <v/>
      </c>
      <c r="AM302" s="8">
        <f>AM299*AM301</f>
        <v/>
      </c>
      <c r="AN302" s="8">
        <f>AN299*AN301</f>
        <v/>
      </c>
      <c r="AO302" s="8">
        <f>AO299*AO301</f>
        <v/>
      </c>
      <c r="AP302" s="8">
        <f>AP299*AP301</f>
        <v/>
      </c>
      <c r="AQ302" s="8">
        <f>AQ299*AQ301</f>
        <v/>
      </c>
      <c r="AR302" s="8">
        <f>AR299*AR301</f>
        <v/>
      </c>
      <c r="AS302" s="8">
        <f>AS299*AS301</f>
        <v/>
      </c>
      <c r="AT302" s="8">
        <f>AT299*AT301</f>
        <v/>
      </c>
      <c r="AU302" s="8">
        <f>AU299*AU301</f>
        <v/>
      </c>
      <c r="AV302" s="8">
        <f>AV299*AV301</f>
        <v/>
      </c>
      <c r="AW302" s="8">
        <f>AW299*AW301</f>
        <v/>
      </c>
      <c r="AX302" s="8">
        <f>AX299*AX301</f>
        <v/>
      </c>
    </row>
    <row r="303" hidden="1" outlineLevel="1">
      <c r="C303" s="1" t="inlineStr">
        <is>
          <t>COD exit: FEP cash flow (to COD, price and securities at COD)</t>
        </is>
      </c>
      <c r="D303" s="2" t="inlineStr">
        <is>
          <t>EUR k</t>
        </is>
      </c>
      <c r="H303" s="19">
        <f>SUM(J303:AX303)</f>
        <v/>
      </c>
      <c r="J303" s="19">
        <f>J285*(J275&lt;=0)+J280*($H302+$G$62+$G$63)</f>
        <v/>
      </c>
      <c r="K303" s="19">
        <f>K285*(K275&lt;=0)+K280*($H302+$G$62+$G$63)</f>
        <v/>
      </c>
      <c r="L303" s="19">
        <f>L285*(L275&lt;=0)+L280*($H302+$G$62+$G$63)</f>
        <v/>
      </c>
      <c r="M303" s="19">
        <f>M285*(M275&lt;=0)+M280*($H302+$G$62+$G$63)</f>
        <v/>
      </c>
      <c r="N303" s="19">
        <f>N285*(N275&lt;=0)+N280*($H302+$G$62+$G$63)</f>
        <v/>
      </c>
      <c r="O303" s="19">
        <f>O285*(O275&lt;=0)+O280*($H302+$G$62+$G$63)</f>
        <v/>
      </c>
      <c r="P303" s="19">
        <f>P285*(P275&lt;=0)+P280*($H302+$G$62+$G$63)</f>
        <v/>
      </c>
      <c r="Q303" s="19">
        <f>Q285*(Q275&lt;=0)+Q280*($H302+$G$62+$G$63)</f>
        <v/>
      </c>
      <c r="R303" s="19">
        <f>R285*(R275&lt;=0)+R280*($H302+$G$62+$G$63)</f>
        <v/>
      </c>
      <c r="S303" s="19">
        <f>S285*(S275&lt;=0)+S280*($H302+$G$62+$G$63)</f>
        <v/>
      </c>
      <c r="T303" s="19">
        <f>T285*(T275&lt;=0)+T280*($H302+$G$62+$G$63)</f>
        <v/>
      </c>
      <c r="U303" s="19">
        <f>U285*(U275&lt;=0)+U280*($H302+$G$62+$G$63)</f>
        <v/>
      </c>
      <c r="V303" s="19">
        <f>V285*(V275&lt;=0)+V280*($H302+$G$62+$G$63)</f>
        <v/>
      </c>
      <c r="W303" s="19">
        <f>W285*(W275&lt;=0)+W280*($H302+$G$62+$G$63)</f>
        <v/>
      </c>
      <c r="X303" s="19">
        <f>X285*(X275&lt;=0)+X280*($H302+$G$62+$G$63)</f>
        <v/>
      </c>
      <c r="Y303" s="19">
        <f>Y285*(Y275&lt;=0)+Y280*($H302+$G$62+$G$63)</f>
        <v/>
      </c>
      <c r="Z303" s="19">
        <f>Z285*(Z275&lt;=0)+Z280*($H302+$G$62+$G$63)</f>
        <v/>
      </c>
      <c r="AA303" s="19">
        <f>AA285*(AA275&lt;=0)+AA280*($H302+$G$62+$G$63)</f>
        <v/>
      </c>
      <c r="AB303" s="19">
        <f>AB285*(AB275&lt;=0)+AB280*($H302+$G$62+$G$63)</f>
        <v/>
      </c>
      <c r="AC303" s="19">
        <f>AC285*(AC275&lt;=0)+AC280*($H302+$G$62+$G$63)</f>
        <v/>
      </c>
      <c r="AD303" s="19">
        <f>AD285*(AD275&lt;=0)+AD280*($H302+$G$62+$G$63)</f>
        <v/>
      </c>
      <c r="AE303" s="19">
        <f>AE285*(AE275&lt;=0)+AE280*($H302+$G$62+$G$63)</f>
        <v/>
      </c>
      <c r="AF303" s="19">
        <f>AF285*(AF275&lt;=0)+AF280*($H302+$G$62+$G$63)</f>
        <v/>
      </c>
      <c r="AG303" s="19">
        <f>AG285*(AG275&lt;=0)+AG280*($H302+$G$62+$G$63)</f>
        <v/>
      </c>
      <c r="AH303" s="19">
        <f>AH285*(AH275&lt;=0)+AH280*($H302+$G$62+$G$63)</f>
        <v/>
      </c>
      <c r="AI303" s="19">
        <f>AI285*(AI275&lt;=0)+AI280*($H302+$G$62+$G$63)</f>
        <v/>
      </c>
      <c r="AJ303" s="19">
        <f>AJ285*(AJ275&lt;=0)+AJ280*($H302+$G$62+$G$63)</f>
        <v/>
      </c>
      <c r="AK303" s="19">
        <f>AK285*(AK275&lt;=0)+AK280*($H302+$G$62+$G$63)</f>
        <v/>
      </c>
      <c r="AL303" s="19">
        <f>AL285*(AL275&lt;=0)+AL280*($H302+$G$62+$G$63)</f>
        <v/>
      </c>
      <c r="AM303" s="19">
        <f>AM285*(AM275&lt;=0)+AM280*($H302+$G$62+$G$63)</f>
        <v/>
      </c>
      <c r="AN303" s="19">
        <f>AN285*(AN275&lt;=0)+AN280*($H302+$G$62+$G$63)</f>
        <v/>
      </c>
      <c r="AO303" s="19">
        <f>AO285*(AO275&lt;=0)+AO280*($H302+$G$62+$G$63)</f>
        <v/>
      </c>
      <c r="AP303" s="19">
        <f>AP285*(AP275&lt;=0)+AP280*($H302+$G$62+$G$63)</f>
        <v/>
      </c>
      <c r="AQ303" s="19">
        <f>AQ285*(AQ275&lt;=0)+AQ280*($H302+$G$62+$G$63)</f>
        <v/>
      </c>
      <c r="AR303" s="19">
        <f>AR285*(AR275&lt;=0)+AR280*($H302+$G$62+$G$63)</f>
        <v/>
      </c>
      <c r="AS303" s="19">
        <f>AS285*(AS275&lt;=0)+AS280*($H302+$G$62+$G$63)</f>
        <v/>
      </c>
      <c r="AT303" s="19">
        <f>AT285*(AT275&lt;=0)+AT280*($H302+$G$62+$G$63)</f>
        <v/>
      </c>
      <c r="AU303" s="19">
        <f>AU285*(AU275&lt;=0)+AU280*($H302+$G$62+$G$63)</f>
        <v/>
      </c>
      <c r="AV303" s="19">
        <f>AV285*(AV275&lt;=0)+AV280*($H302+$G$62+$G$63)</f>
        <v/>
      </c>
      <c r="AW303" s="19">
        <f>AW285*(AW275&lt;=0)+AW280*($H302+$G$62+$G$63)</f>
        <v/>
      </c>
      <c r="AX303" s="19">
        <f>AX285*(AX275&lt;=0)+AX280*($H302+$G$62+$G$63)</f>
        <v/>
      </c>
    </row>
    <row r="304" hidden="1" outlineLevel="1"/>
    <row r="305" hidden="1" outlineLevel="1">
      <c r="B305" s="4" t="inlineStr">
        <is>
          <t>x</t>
        </is>
      </c>
      <c r="C305" s="4" t="inlineStr">
        <is>
          <t>COD exit: tax on the gain (price and profit: totals of the cash-flow blocks above)</t>
        </is>
      </c>
      <c r="D305" s="4" t="n"/>
      <c r="E305" s="5" t="inlineStr">
        <is>
          <t>Bora</t>
        </is>
      </c>
      <c r="F305" s="5" t="inlineStr">
        <is>
          <t>Iváncsa</t>
        </is>
      </c>
      <c r="G305" s="5" t="inlineStr">
        <is>
          <t>Dunaújváros</t>
        </is>
      </c>
      <c r="H305" s="5" t="inlineStr">
        <is>
          <t>Total</t>
        </is>
      </c>
    </row>
    <row r="306" hidden="1" outlineLevel="1">
      <c r="C306" s="6" t="inlineStr">
        <is>
          <t>CIT on the gain</t>
        </is>
      </c>
      <c r="D306" s="2" t="inlineStr">
        <is>
          <t>EUR k</t>
        </is>
      </c>
      <c r="E306" s="8">
        <f>-MAX(0,$H$241)*CIT_Rate</f>
        <v/>
      </c>
      <c r="F306" s="8">
        <f>-MAX(0,$H$272)*CIT_Rate</f>
        <v/>
      </c>
      <c r="G306" s="8">
        <f>-MAX(0,$H$303)*CIT_Rate</f>
        <v/>
      </c>
      <c r="H306" s="8">
        <f>SUM(E306:G306)</f>
        <v/>
      </c>
    </row>
    <row r="307" hidden="1" outlineLevel="1">
      <c r="C307" s="1" t="inlineStr">
        <is>
          <t>FEP profit, post-tax</t>
        </is>
      </c>
      <c r="D307" s="2" t="inlineStr">
        <is>
          <t>EUR k</t>
        </is>
      </c>
      <c r="E307" s="14">
        <f>$H$241+E306</f>
        <v/>
      </c>
      <c r="F307" s="14">
        <f>$H$272+F306</f>
        <v/>
      </c>
      <c r="G307" s="14">
        <f>$H$303+G306</f>
        <v/>
      </c>
      <c r="H307" s="14">
        <f>SUM(E307:G307)</f>
        <v/>
      </c>
    </row>
    <row r="308" hidden="1" outlineLevel="1"/>
    <row r="309" hidden="1" outlineLevel="1">
      <c r="B309" s="4" t="inlineStr">
        <is>
          <t>x</t>
        </is>
      </c>
      <c r="C309" s="4" t="inlineStr">
        <is>
          <t>Checks (0 = OK)</t>
        </is>
      </c>
      <c r="D309" s="4" t="n"/>
      <c r="E309" s="5" t="inlineStr">
        <is>
          <t>Bora</t>
        </is>
      </c>
      <c r="F309" s="5" t="inlineStr">
        <is>
          <t>Iváncsa</t>
        </is>
      </c>
      <c r="G309" s="5" t="inlineStr">
        <is>
          <t>Dunaújváros</t>
        </is>
      </c>
      <c r="H309" s="5" t="inlineStr">
        <is>
          <t>Total</t>
        </is>
      </c>
    </row>
    <row r="310" hidden="1" outlineLevel="1">
      <c r="C310" s="6" t="inlineStr">
        <is>
          <t>RtB waterfall closes (proceeds = all amounts paid out)</t>
        </is>
      </c>
      <c r="D310" s="2" t="inlineStr">
        <is>
          <t>flag</t>
        </is>
      </c>
      <c r="E310" s="29">
        <f>N(ABS(E184+E185+E189-E192-E203)&gt;Tolerance)</f>
        <v/>
      </c>
      <c r="F310" s="29">
        <f>N(ABS(F184+F185+F189-F192-F203)&gt;Tolerance)</f>
        <v/>
      </c>
      <c r="G310" s="29">
        <f>N(ABS(G184+G185+G189-G192-G203)&gt;Tolerance)</f>
        <v/>
      </c>
      <c r="H310" s="29">
        <f>SUM(E310:G310)</f>
        <v/>
      </c>
    </row>
    <row r="311" hidden="1" outlineLevel="1">
      <c r="C311" s="6" t="inlineStr">
        <is>
          <t>Turbine route is EU or CN</t>
        </is>
      </c>
      <c r="D311" s="2" t="inlineStr">
        <is>
          <t>flag</t>
        </is>
      </c>
      <c r="E311" s="29">
        <f>N(AND(E17&lt;&gt;"EU",E17&lt;&gt;"CN"))</f>
        <v/>
      </c>
      <c r="F311" s="29">
        <f>N(AND(F17&lt;&gt;"EU",F17&lt;&gt;"CN"))</f>
        <v/>
      </c>
      <c r="G311" s="29">
        <f>N(AND(G17&lt;&gt;"EU",G17&lt;&gt;"CN"))</f>
        <v/>
      </c>
      <c r="H311" s="29">
        <f>SUM(E311:G311)</f>
        <v/>
      </c>
    </row>
    <row r="312" hidden="1" outlineLevel="1">
      <c r="C312" s="6" t="inlineStr">
        <is>
          <t>Devex breakdown = DEVEX line</t>
        </is>
      </c>
      <c r="D312" s="2" t="inlineStr">
        <is>
          <t>flag</t>
        </is>
      </c>
      <c r="E312" s="29">
        <f>N(ABS(E98-E67)&gt;Tolerance)</f>
        <v/>
      </c>
      <c r="F312" s="29">
        <f>N(ABS(F98-F67)&gt;Tolerance)</f>
        <v/>
      </c>
      <c r="G312" s="29">
        <f>N(ABS(G98-G67)&gt;Tolerance)</f>
        <v/>
      </c>
      <c r="H312" s="29">
        <f>SUM(E312:G312)</f>
        <v/>
      </c>
    </row>
    <row r="313" hidden="1" outlineLevel="1">
      <c r="C313" s="6" t="inlineStr">
        <is>
          <t>Construction capex spread in full (timeline = capex)</t>
        </is>
      </c>
      <c r="D313" s="2" t="inlineStr">
        <is>
          <t>flag</t>
        </is>
      </c>
      <c r="E313" s="29">
        <f>N(ABS(E82+$H$221)&gt;Tolerance)</f>
        <v/>
      </c>
      <c r="F313" s="29">
        <f>N(ABS(F82+$H$252)&gt;Tolerance)</f>
        <v/>
      </c>
      <c r="G313" s="29">
        <f>N(ABS(G82+$H$283)&gt;Tolerance)</f>
        <v/>
      </c>
      <c r="H313" s="29">
        <f>SUM(E313:G313)</f>
        <v/>
      </c>
    </row>
    <row r="314" hidden="1" outlineLevel="1">
      <c r="C314" s="6" t="inlineStr">
        <is>
          <t>Investment cash flows = all-in cost to COD</t>
        </is>
      </c>
      <c r="D314" s="2" t="inlineStr">
        <is>
          <t>flag</t>
        </is>
      </c>
      <c r="E314" s="29">
        <f>N(ABS(E86+$H$223)&gt;Tolerance)</f>
        <v/>
      </c>
      <c r="F314" s="29">
        <f>N(ABS(F86+$H$254)&gt;Tolerance)</f>
        <v/>
      </c>
      <c r="G314" s="29">
        <f>N(ABS(G86+$H$285)&gt;Tolerance)</f>
        <v/>
      </c>
      <c r="H314" s="29">
        <f>SUM(E314:G314)</f>
        <v/>
      </c>
    </row>
    <row r="315" hidden="1" outlineLevel="1">
      <c r="C315" s="6" t="inlineStr">
        <is>
          <t>Operating life inside the timeline</t>
        </is>
      </c>
      <c r="D315" s="2" t="inlineStr">
        <is>
          <t>flag</t>
        </is>
      </c>
      <c r="E315" s="29">
        <f>N(ABS($H$217-Life)&gt;Tolerance)</f>
        <v/>
      </c>
      <c r="F315" s="29">
        <f>N(ABS($H$248-Life)&gt;Tolerance)</f>
        <v/>
      </c>
      <c r="G315" s="29">
        <f>N(ABS($H$279-Life)&gt;Tolerance)</f>
        <v/>
      </c>
      <c r="H315" s="29">
        <f>SUM(E315:G315)</f>
        <v/>
      </c>
    </row>
    <row r="316" hidden="1" outlineLevel="1">
      <c r="C316" s="1" t="inlineStr">
        <is>
          <t>Master check</t>
        </is>
      </c>
      <c r="D316" s="2" t="inlineStr">
        <is>
          <t>flag</t>
        </is>
      </c>
      <c r="H316" s="31">
        <f>SUM(H310:H315)</f>
        <v/>
      </c>
    </row>
    <row r="317" hidden="1" outlineLevel="1"/>
    <row r="318" hidden="1" outlineLevel="1">
      <c r="C318" s="32" t="inlineStr">
        <is>
          <t>***END***</t>
        </is>
      </c>
    </row>
  </sheetData>
  <conditionalFormatting sqref="H3">
    <cfRule type="cellIs" priority="1" operator="equal" dxfId="0">
      <formula>0</formula>
    </cfRule>
    <cfRule type="cellIs" priority="3" operator="notEqual" dxfId="1">
      <formula>0</formula>
    </cfRule>
  </conditionalFormatting>
  <conditionalFormatting sqref="H316">
    <cfRule type="cellIs" priority="1" operator="equal" dxfId="0">
      <formula>0</formula>
    </cfRule>
    <cfRule type="cellIs" priority="3" operator="notEqual" dxfId="1">
      <formula>0</formula>
    </cfRule>
  </conditionalFormatting>
  <dataValidations count="1">
    <dataValidation sqref="H23" showDropDown="0" showInputMessage="0" showErrorMessage="0" allowBlank="0" type="list">
      <formula1>"Base,Low,High"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B2:P11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4" customWidth="1" min="3" max="3"/>
    <col width="11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2">
      <c r="C2" s="1" t="inlineStr">
        <is>
          <t>HU wind bids – other inputs (blue) with sources</t>
        </is>
      </c>
    </row>
    <row r="4">
      <c r="B4" s="4" t="inlineStr">
        <is>
          <t>x</t>
        </is>
      </c>
      <c r="C4" s="4" t="inlineStr">
        <is>
          <t>Inputs</t>
        </is>
      </c>
      <c r="D4" s="4" t="n"/>
      <c r="E4" s="5" t="inlineStr">
        <is>
          <t>Bora</t>
        </is>
      </c>
      <c r="F4" s="5" t="inlineStr">
        <is>
          <t>Iváncsa</t>
        </is>
      </c>
      <c r="G4" s="5" t="inlineStr">
        <is>
          <t>Dunaújváros</t>
        </is>
      </c>
      <c r="H4" s="4" t="inlineStr">
        <is>
          <t>Source</t>
        </is>
      </c>
    </row>
    <row r="5">
      <c r="C5" s="20" t="inlineStr">
        <is>
          <t>Tender and grid (all projects; value in column E)</t>
        </is>
      </c>
      <c r="D5" s="20" t="n"/>
      <c r="E5" s="21" t="n"/>
      <c r="F5" s="21" t="n"/>
      <c r="G5" s="21" t="n"/>
      <c r="H5" s="21" t="n"/>
    </row>
    <row r="6">
      <c r="C6" s="6" t="inlineStr">
        <is>
          <t>FX rate</t>
        </is>
      </c>
      <c r="D6" s="2" t="inlineStr">
        <is>
          <t>HUF/EUR</t>
        </is>
      </c>
      <c r="E6" s="7" t="n">
        <v>365</v>
      </c>
      <c r="H6" s="2" t="inlineStr">
        <is>
          <t>Bora Inputs E11; Bid_Cash E45</t>
        </is>
      </c>
    </row>
    <row r="7">
      <c r="C7" s="6" t="inlineStr">
        <is>
          <t>Security base: benchmark investment, wind</t>
        </is>
      </c>
      <c r="D7" s="2" t="inlineStr">
        <is>
          <t>HUF/MW</t>
        </is>
      </c>
      <c r="E7" s="7" t="n">
        <v>406000000</v>
      </c>
      <c r="H7" s="2" t="inlineStr">
        <is>
          <t>Bora Inputs E75; Bid_Cash E46</t>
        </is>
      </c>
    </row>
    <row r="8">
      <c r="C8" s="6" t="inlineStr">
        <is>
          <t>Security base: benchmark investment, BESS</t>
        </is>
      </c>
      <c r="D8" s="2" t="inlineStr">
        <is>
          <t>HUF/MWh</t>
        </is>
      </c>
      <c r="E8" s="7" t="n">
        <v>200000000</v>
      </c>
      <c r="H8" s="2" t="inlineStr">
        <is>
          <t>Bora Inputs E89; Bid_Cash E47</t>
        </is>
      </c>
    </row>
    <row r="9">
      <c r="C9" s="6" t="inlineStr">
        <is>
          <t>Bid security, share of base</t>
        </is>
      </c>
      <c r="D9" s="2" t="inlineStr">
        <is>
          <t>%</t>
        </is>
      </c>
      <c r="E9" s="9" t="n">
        <v>0.005</v>
      </c>
      <c r="H9" s="2" t="inlineStr">
        <is>
          <t>Bora Inputs E76; Bid_Cash E49</t>
        </is>
      </c>
    </row>
    <row r="10">
      <c r="C10" s="6" t="inlineStr">
        <is>
          <t>Performance security, minimum share of base</t>
        </is>
      </c>
      <c r="D10" s="2" t="inlineStr">
        <is>
          <t>%</t>
        </is>
      </c>
      <c r="E10" s="9" t="n">
        <v>0.025</v>
      </c>
      <c r="H10" s="2" t="inlineStr">
        <is>
          <t>Bora Inputs E77; Bid_Cash E50</t>
        </is>
      </c>
    </row>
    <row r="11">
      <c r="C11" s="6" t="inlineStr">
        <is>
          <t>Participation fee per bid</t>
        </is>
      </c>
      <c r="D11" s="2" t="inlineStr">
        <is>
          <t>HUF</t>
        </is>
      </c>
      <c r="E11" s="7" t="n">
        <v>3000000</v>
      </c>
      <c r="H11" s="2" t="inlineStr">
        <is>
          <t>Bora Inputs E81; Bid_Cash E48</t>
        </is>
      </c>
    </row>
    <row r="12">
      <c r="C12" s="6" t="inlineStr">
        <is>
          <t>TSO connection-request security</t>
        </is>
      </c>
      <c r="D12" s="2" t="inlineStr">
        <is>
          <t>HUF/MVA</t>
        </is>
      </c>
      <c r="E12" s="7" t="n">
        <v>4500000</v>
      </c>
      <c r="H12" s="2" t="inlineStr">
        <is>
          <t>Bora Inputs E83; Bid_Cash E51</t>
        </is>
      </c>
    </row>
    <row r="13">
      <c r="C13" s="20" t="inlineStr">
        <is>
          <t>Per project: fees, devex, dates</t>
        </is>
      </c>
      <c r="D13" s="20" t="n"/>
      <c r="E13" s="21" t="n"/>
      <c r="F13" s="21" t="n"/>
      <c r="G13" s="21" t="n"/>
      <c r="H13" s="21" t="n"/>
    </row>
    <row r="14">
      <c r="C14" s="6" t="inlineStr">
        <is>
          <t>Indirect connection fee</t>
        </is>
      </c>
      <c r="D14" s="2" t="inlineStr">
        <is>
          <t>HUF/MVA</t>
        </is>
      </c>
      <c r="E14" s="7" t="n">
        <v>73071306</v>
      </c>
      <c r="F14" s="7" t="n">
        <v>19826680</v>
      </c>
      <c r="G14" s="7" t="n">
        <v>19826680</v>
      </c>
      <c r="H14" s="2" t="inlineStr">
        <is>
          <t>Bora Inputs G290; Bid_Cash E52</t>
        </is>
      </c>
    </row>
    <row r="15">
      <c r="C15" s="6" t="inlineStr">
        <is>
          <t>Direct connection fee per connection point</t>
        </is>
      </c>
      <c r="D15" s="2" t="inlineStr">
        <is>
          <t>HUF</t>
        </is>
      </c>
      <c r="E15" s="7" t="n">
        <v>508345804</v>
      </c>
      <c r="F15" s="7" t="n">
        <v>460000000</v>
      </c>
      <c r="G15" s="7" t="n">
        <v>460000000</v>
      </c>
      <c r="H15" s="2" t="inlineStr">
        <is>
          <t>Bora Inputs G291; Bid_Cash E53</t>
        </is>
      </c>
    </row>
    <row r="16">
      <c r="C16" s="6" t="inlineStr">
        <is>
          <t>Bids sharing the connection point</t>
        </is>
      </c>
      <c r="D16" s="2" t="inlineStr">
        <is>
          <t>count</t>
        </is>
      </c>
      <c r="E16" s="11" t="n">
        <v>2</v>
      </c>
      <c r="F16" s="11" t="n">
        <v>1</v>
      </c>
      <c r="G16" s="11" t="n">
        <v>1</v>
      </c>
      <c r="H16" s="2" t="inlineStr">
        <is>
          <t>Bora: 2 bids per point (SPEC §22.2)</t>
        </is>
      </c>
    </row>
    <row r="17">
      <c r="C17" s="6" t="inlineStr">
        <is>
          <t>Signing fee and DD</t>
        </is>
      </c>
      <c r="D17" s="2" t="inlineStr">
        <is>
          <t>EUR k</t>
        </is>
      </c>
      <c r="E17" s="7" t="n">
        <v>100</v>
      </c>
      <c r="F17" s="7" t="n">
        <v>150</v>
      </c>
      <c r="G17" s="7" t="n">
        <v>150</v>
      </c>
      <c r="H17" s="2" t="inlineStr">
        <is>
          <t>Bora E24+E25 × 50/200; Bid_Cash E55; per project, not per MVA</t>
        </is>
      </c>
    </row>
    <row r="18">
      <c r="C18" s="6" t="inlineStr">
        <is>
          <t>Devex: grid connection plan and agreement</t>
        </is>
      </c>
      <c r="D18" s="2" t="inlineStr">
        <is>
          <t>EUR k</t>
        </is>
      </c>
      <c r="E18" s="10" t="n">
        <v>40.47</v>
      </c>
      <c r="F18" s="10" t="n">
        <v>0</v>
      </c>
      <c r="G18" s="10" t="n">
        <v>0</v>
      </c>
      <c r="H18" s="2" t="inlineStr">
        <is>
          <t>Bora devex × 50/200; Bid_Cash E56; per project, not per MVA</t>
        </is>
      </c>
    </row>
    <row r="19">
      <c r="C19" s="6" t="inlineStr">
        <is>
          <t>Devex: land (reservation, purchase, contracting)</t>
        </is>
      </c>
      <c r="D19" s="2" t="inlineStr">
        <is>
          <t>EUR k</t>
        </is>
      </c>
      <c r="E19" s="10" t="n">
        <v>150.66</v>
      </c>
      <c r="F19" s="10" t="n">
        <v>0</v>
      </c>
      <c r="G19" s="10" t="n">
        <v>0</v>
      </c>
      <c r="H19" s="2" t="inlineStr">
        <is>
          <t>Bora devex × 50/200; Bid_Cash E56; per project, not per MVA</t>
        </is>
      </c>
    </row>
    <row r="20">
      <c r="C20" s="6" t="inlineStr">
        <is>
          <t>Devex: permits, zoning, cable rights</t>
        </is>
      </c>
      <c r="D20" s="2" t="inlineStr">
        <is>
          <t>EUR k</t>
        </is>
      </c>
      <c r="E20" s="10" t="n">
        <v>333.93</v>
      </c>
      <c r="F20" s="10" t="n">
        <v>0</v>
      </c>
      <c r="G20" s="10" t="n">
        <v>0</v>
      </c>
      <c r="H20" s="2" t="inlineStr">
        <is>
          <t>Bora devex × 50/200; Bid_Cash E56; per project, not per MVA</t>
        </is>
      </c>
    </row>
    <row r="21">
      <c r="C21" s="6" t="inlineStr">
        <is>
          <t>Devex: studies (wind, environment, ground)</t>
        </is>
      </c>
      <c r="D21" s="2" t="inlineStr">
        <is>
          <t>EUR k</t>
        </is>
      </c>
      <c r="E21" s="10" t="n">
        <v>151.36</v>
      </c>
      <c r="F21" s="10" t="n">
        <v>0</v>
      </c>
      <c r="G21" s="10" t="n">
        <v>0</v>
      </c>
      <c r="H21" s="2" t="inlineStr">
        <is>
          <t>Bora devex × 50/200; Bid_Cash E56; per project, not per MVA</t>
        </is>
      </c>
    </row>
    <row r="22">
      <c r="C22" s="6" t="inlineStr">
        <is>
          <t>Devex: legal, financial and other</t>
        </is>
      </c>
      <c r="D22" s="2" t="inlineStr">
        <is>
          <t>EUR k</t>
        </is>
      </c>
      <c r="E22" s="10" t="n">
        <v>37.5</v>
      </c>
      <c r="F22" s="10" t="n">
        <v>0</v>
      </c>
      <c r="G22" s="10" t="n">
        <v>0</v>
      </c>
      <c r="H22" s="2" t="inlineStr">
        <is>
          <t>Bora devex × 50/200; Bid_Cash E56; per project, not per MVA</t>
        </is>
      </c>
    </row>
    <row r="23">
      <c r="C23" s="6" t="inlineStr">
        <is>
          <t>Devex: not itemised</t>
        </is>
      </c>
      <c r="D23" s="2" t="inlineStr">
        <is>
          <t>EUR k</t>
        </is>
      </c>
      <c r="E23" s="10" t="n">
        <v>0</v>
      </c>
      <c r="F23" s="10" t="n">
        <v>909.09</v>
      </c>
      <c r="G23" s="10" t="n">
        <v>909.09</v>
      </c>
      <c r="H23" s="2" t="inlineStr">
        <is>
          <t>Bora devex × 50/200; Bid_Cash E56; per project, not per MVA</t>
        </is>
      </c>
    </row>
    <row r="24">
      <c r="C24" s="6" t="inlineStr">
        <is>
          <t>Devex: contingency</t>
        </is>
      </c>
      <c r="D24" s="2" t="inlineStr">
        <is>
          <t>EUR k</t>
        </is>
      </c>
      <c r="E24" s="10" t="n">
        <v>70.55</v>
      </c>
      <c r="F24" s="10" t="n">
        <v>90.91</v>
      </c>
      <c r="G24" s="10" t="n">
        <v>90.91</v>
      </c>
      <c r="H24" s="2" t="inlineStr">
        <is>
          <t>Bora devex × 50/200; Bid_Cash E56; per project, not per MVA</t>
        </is>
      </c>
    </row>
    <row r="25">
      <c r="C25" s="6" t="inlineStr">
        <is>
          <t>EU transformers ≥ 80 % (ÖSZ-9)</t>
        </is>
      </c>
      <c r="D25" s="2" t="inlineStr">
        <is>
          <t>flag</t>
        </is>
      </c>
      <c r="E25" s="11" t="n">
        <v>0</v>
      </c>
      <c r="F25" s="11" t="n">
        <v>0</v>
      </c>
      <c r="G25" s="11" t="n">
        <v>0</v>
      </c>
      <c r="H25" s="2" t="inlineStr">
        <is>
          <t>Bid_Cash E16; SPEC §23.1</t>
        </is>
      </c>
    </row>
    <row r="26">
      <c r="C26" s="20" t="inlineStr">
        <is>
          <t>Key dates (all projects; value in column E)</t>
        </is>
      </c>
      <c r="D26" s="20" t="n"/>
      <c r="E26" s="21" t="n"/>
      <c r="F26" s="21" t="n"/>
      <c r="G26" s="21" t="n"/>
      <c r="H26" s="21" t="n"/>
    </row>
    <row r="27">
      <c r="C27" s="6" t="inlineStr">
        <is>
          <t>Signing fee and DD paid</t>
        </is>
      </c>
      <c r="D27" s="2" t="inlineStr">
        <is>
          <t>date</t>
        </is>
      </c>
      <c r="E27" s="33" t="n">
        <v>46234</v>
      </c>
      <c r="H27" s="2" t="inlineStr">
        <is>
          <t>Bid_Cash E34</t>
        </is>
      </c>
    </row>
    <row r="28">
      <c r="C28" s="6" t="inlineStr">
        <is>
          <t>Bid submission: fee paid, bid security posted</t>
        </is>
      </c>
      <c r="D28" s="2" t="inlineStr">
        <is>
          <t>date</t>
        </is>
      </c>
      <c r="E28" s="33" t="n">
        <v>46325</v>
      </c>
      <c r="H28" s="2" t="inlineStr">
        <is>
          <t>Bid_Cash E35</t>
        </is>
      </c>
    </row>
    <row r="29">
      <c r="C29" s="6" t="inlineStr">
        <is>
          <t>Performance security posted (bid security credited)</t>
        </is>
      </c>
      <c r="D29" s="2" t="inlineStr">
        <is>
          <t>date</t>
        </is>
      </c>
      <c r="E29" s="33" t="n">
        <v>46402</v>
      </c>
      <c r="H29" s="2" t="inlineStr">
        <is>
          <t>Bid_Cash E36</t>
        </is>
      </c>
    </row>
    <row r="30">
      <c r="C30" s="6" t="inlineStr">
        <is>
          <t>TSO security paid</t>
        </is>
      </c>
      <c r="D30" s="2" t="inlineStr">
        <is>
          <t>date</t>
        </is>
      </c>
      <c r="E30" s="33" t="n">
        <v>46402</v>
      </c>
      <c r="H30" s="2" t="inlineStr">
        <is>
          <t>Bid_Cash E37</t>
        </is>
      </c>
    </row>
    <row r="31">
      <c r="C31" s="6" t="inlineStr">
        <is>
          <t>Devex average payment date (spent continuously)</t>
        </is>
      </c>
      <c r="D31" s="2" t="inlineStr">
        <is>
          <t>date</t>
        </is>
      </c>
      <c r="E31" s="33" t="n">
        <v>46752</v>
      </c>
      <c r="H31" s="2" t="inlineStr">
        <is>
          <t>Bid_Cash H77 'continuous'; SPEC §21.1</t>
        </is>
      </c>
    </row>
    <row r="32">
      <c r="C32" s="6" t="inlineStr">
        <is>
          <t>Connection agreement (HCSSZ): fees paid</t>
        </is>
      </c>
      <c r="D32" s="2" t="inlineStr">
        <is>
          <t>date</t>
        </is>
      </c>
      <c r="E32" s="33" t="n">
        <v>47027</v>
      </c>
      <c r="H32" s="2" t="inlineStr">
        <is>
          <t>Bid_Cash E39</t>
        </is>
      </c>
    </row>
    <row r="33">
      <c r="C33" s="6" t="inlineStr">
        <is>
          <t>Notice to proceed</t>
        </is>
      </c>
      <c r="D33" s="2" t="inlineStr">
        <is>
          <t>date</t>
        </is>
      </c>
      <c r="E33" s="33" t="n">
        <v>47299</v>
      </c>
      <c r="H33" s="2" t="inlineStr">
        <is>
          <t>Bid_Cash E40</t>
        </is>
      </c>
    </row>
    <row r="34">
      <c r="C34" s="6" t="inlineStr">
        <is>
          <t>COD</t>
        </is>
      </c>
      <c r="D34" s="2" t="inlineStr">
        <is>
          <t>date</t>
        </is>
      </c>
      <c r="E34" s="33" t="n">
        <v>48029</v>
      </c>
      <c r="H34" s="2" t="inlineStr">
        <is>
          <t>Bid_Cash E41</t>
        </is>
      </c>
    </row>
    <row r="35">
      <c r="C35" s="6" t="inlineStr">
        <is>
          <t>Performance security released</t>
        </is>
      </c>
      <c r="D35" s="2" t="inlineStr">
        <is>
          <t>date</t>
        </is>
      </c>
      <c r="E35" s="33" t="n">
        <v>48669</v>
      </c>
      <c r="H35" s="2" t="inlineStr">
        <is>
          <t>Bid_Cash E42 (estimate)</t>
        </is>
      </c>
    </row>
    <row r="36">
      <c r="C36" s="20" t="inlineStr">
        <is>
          <t>RtB exit terms (all projects; value in column E)</t>
        </is>
      </c>
      <c r="D36" s="20" t="n"/>
      <c r="E36" s="21" t="n"/>
      <c r="F36" s="21" t="n"/>
      <c r="G36" s="21" t="n"/>
      <c r="H36" s="21" t="n"/>
    </row>
    <row r="37">
      <c r="C37" s="6" t="inlineStr">
        <is>
          <t>Claim rate, cash lines (incl. cash-posted securities)</t>
        </is>
      </c>
      <c r="D37" s="2" t="inlineStr">
        <is>
          <t>%</t>
        </is>
      </c>
      <c r="E37" s="9" t="n">
        <v>0.12</v>
      </c>
      <c r="H37" s="2" t="inlineStr">
        <is>
          <t>Devex file V18; SPEC §21.1</t>
        </is>
      </c>
    </row>
    <row r="38">
      <c r="C38" s="6" t="inlineStr">
        <is>
          <t>Claim rate, devex</t>
        </is>
      </c>
      <c r="D38" s="2" t="inlineStr">
        <is>
          <t>%</t>
        </is>
      </c>
      <c r="E38" s="9" t="n">
        <v>0.2</v>
      </c>
      <c r="H38" s="2" t="inlineStr">
        <is>
          <t>Devex file V19</t>
        </is>
      </c>
    </row>
    <row r="39">
      <c r="C39" s="6" t="inlineStr">
        <is>
          <t>Devex minimum return multiple</t>
        </is>
      </c>
      <c r="D39" s="2" t="inlineStr">
        <is>
          <t>x</t>
        </is>
      </c>
      <c r="E39" s="12" t="n">
        <v>2</v>
      </c>
      <c r="H39" s="2" t="inlineStr">
        <is>
          <t>Devex file V20</t>
        </is>
      </c>
    </row>
    <row r="40">
      <c r="C40" s="6" t="inlineStr">
        <is>
          <t>Interest freeze date</t>
        </is>
      </c>
      <c r="D40" s="2" t="inlineStr">
        <is>
          <t>date</t>
        </is>
      </c>
      <c r="E40" s="33" t="n">
        <v>47299</v>
      </c>
      <c r="H40" s="2" t="inlineStr">
        <is>
          <t>Devex file V24</t>
        </is>
      </c>
    </row>
    <row r="41">
      <c r="C41" s="6" t="inlineStr">
        <is>
          <t>Sale date (RtB exit)</t>
        </is>
      </c>
      <c r="D41" s="2" t="inlineStr">
        <is>
          <t>date</t>
        </is>
      </c>
      <c r="E41" s="33" t="n">
        <v>47391</v>
      </c>
      <c r="H41" s="2" t="inlineStr">
        <is>
          <t>Bora Inputs E58; SPEC §21.1</t>
        </is>
      </c>
    </row>
    <row r="42">
      <c r="C42" s="6" t="inlineStr">
        <is>
          <t>Sale costs per project</t>
        </is>
      </c>
      <c r="D42" s="2" t="inlineStr">
        <is>
          <t>EUR k</t>
        </is>
      </c>
      <c r="E42" s="7" t="n">
        <v>250</v>
      </c>
      <c r="H42" s="2" t="inlineStr">
        <is>
          <t>SPEC §21.1; per project, not per MVA</t>
        </is>
      </c>
    </row>
    <row r="43">
      <c r="C43" s="6" t="inlineStr">
        <is>
          <t>Developer success fee (on committed MW, signing to sale, 30/360)</t>
        </is>
      </c>
      <c r="D43" s="2" t="inlineStr">
        <is>
          <t>EUR k/MW/yr</t>
        </is>
      </c>
      <c r="E43" s="10" t="n">
        <v>2.5</v>
      </c>
      <c r="H43" s="2" t="inlineStr">
        <is>
          <t>Bora Inputs E36</t>
        </is>
      </c>
    </row>
    <row r="44">
      <c r="C44" s="6" t="inlineStr">
        <is>
          <t>Developer success fee cap</t>
        </is>
      </c>
      <c r="D44" s="2" t="inlineStr">
        <is>
          <t>EUR k/MW</t>
        </is>
      </c>
      <c r="E44" s="10" t="n">
        <v>10</v>
      </c>
      <c r="H44" s="2" t="inlineStr">
        <is>
          <t>Bora Inputs E37</t>
        </is>
      </c>
    </row>
    <row r="45">
      <c r="C45" s="6" t="inlineStr">
        <is>
          <t>Corporate income tax on exit gains</t>
        </is>
      </c>
      <c r="D45" s="2" t="inlineStr">
        <is>
          <t>%</t>
        </is>
      </c>
      <c r="E45" s="9" t="n">
        <v>0.09</v>
      </c>
      <c r="H45" s="2" t="inlineStr">
        <is>
          <t>SPEC §22.2 (exit gains only)</t>
        </is>
      </c>
    </row>
    <row r="46">
      <c r="C46" s="20" t="inlineStr">
        <is>
          <t>Capex (per MW of wind built unless stated; turbines: case table on the Dashboard)</t>
        </is>
      </c>
      <c r="D46" s="20" t="n"/>
      <c r="E46" s="21" t="n"/>
      <c r="F46" s="21" t="n"/>
      <c r="G46" s="21" t="n"/>
      <c r="H46" s="21" t="n"/>
    </row>
    <row r="47">
      <c r="C47" s="6" t="inlineStr">
        <is>
          <t>Turbine installation and erection</t>
        </is>
      </c>
      <c r="D47" s="2" t="inlineStr">
        <is>
          <t>EUR k/MW</t>
        </is>
      </c>
      <c r="E47" s="7" t="n">
        <v>80</v>
      </c>
      <c r="H47" s="2" t="inlineStr">
        <is>
          <t>Bora Inputs G163</t>
        </is>
      </c>
    </row>
    <row r="48">
      <c r="C48" s="6" t="inlineStr">
        <is>
          <t>Foundations</t>
        </is>
      </c>
      <c r="D48" s="2" t="inlineStr">
        <is>
          <t>EUR k/MW</t>
        </is>
      </c>
      <c r="E48" s="7" t="n">
        <v>90</v>
      </c>
      <c r="H48" s="2" t="inlineStr">
        <is>
          <t>Bora Inputs G164</t>
        </is>
      </c>
    </row>
    <row r="49">
      <c r="C49" s="6" t="inlineStr">
        <is>
          <t>Balance of plant – civil</t>
        </is>
      </c>
      <c r="D49" s="2" t="inlineStr">
        <is>
          <t>EUR k/MW</t>
        </is>
      </c>
      <c r="E49" s="7" t="n">
        <v>70</v>
      </c>
      <c r="H49" s="2" t="inlineStr">
        <is>
          <t>Bora Inputs G165</t>
        </is>
      </c>
    </row>
    <row r="50">
      <c r="C50" s="6" t="inlineStr">
        <is>
          <t>Balance of plant – electrical</t>
        </is>
      </c>
      <c r="D50" s="2" t="inlineStr">
        <is>
          <t>EUR k/MW</t>
        </is>
      </c>
      <c r="E50" s="7" t="n">
        <v>60</v>
      </c>
      <c r="H50" s="2" t="inlineStr">
        <is>
          <t>Bora Inputs G166</t>
        </is>
      </c>
    </row>
    <row r="51">
      <c r="C51" s="6" t="inlineStr">
        <is>
          <t>Owner's costs, engineering, PM, construction insurance</t>
        </is>
      </c>
      <c r="D51" s="2" t="inlineStr">
        <is>
          <t>EUR k/MW</t>
        </is>
      </c>
      <c r="E51" s="7" t="n">
        <v>40</v>
      </c>
      <c r="H51" s="2" t="inlineStr">
        <is>
          <t>Bora Inputs G169</t>
        </is>
      </c>
    </row>
    <row r="52">
      <c r="C52" s="6" t="inlineStr">
        <is>
          <t>Land purchase and easements</t>
        </is>
      </c>
      <c r="D52" s="2" t="inlineStr">
        <is>
          <t>EUR k/MW</t>
        </is>
      </c>
      <c r="E52" s="7" t="n">
        <v>15</v>
      </c>
      <c r="H52" s="2" t="inlineStr">
        <is>
          <t>Bora Inputs G170</t>
        </is>
      </c>
    </row>
    <row r="53">
      <c r="C53" s="6" t="inlineStr">
        <is>
          <t>On-site substation and 132 kV bay (lump sum)</t>
        </is>
      </c>
      <c r="D53" s="2" t="inlineStr">
        <is>
          <t>EUR k</t>
        </is>
      </c>
      <c r="E53" s="7" t="n">
        <v>12000</v>
      </c>
      <c r="H53" s="2" t="inlineStr">
        <is>
          <t>Bora Inputs G167</t>
        </is>
      </c>
    </row>
    <row r="54">
      <c r="C54" s="6" t="inlineStr">
        <is>
          <t>Source basis of the lump sums</t>
        </is>
      </c>
      <c r="D54" s="2" t="inlineStr">
        <is>
          <t>MVA</t>
        </is>
      </c>
      <c r="E54" s="7" t="n">
        <v>200</v>
      </c>
      <c r="H54" s="2" t="inlineStr">
        <is>
          <t>Bora Inputs E305</t>
        </is>
      </c>
    </row>
    <row r="55">
      <c r="C55" s="6" t="inlineStr">
        <is>
          <t>Capex contingency (not on BESS)</t>
        </is>
      </c>
      <c r="D55" s="2" t="inlineStr">
        <is>
          <t>%</t>
        </is>
      </c>
      <c r="E55" s="9" t="n">
        <v>0.05</v>
      </c>
      <c r="H55" s="2" t="inlineStr">
        <is>
          <t>Bora Inputs G173</t>
        </is>
      </c>
    </row>
    <row r="56">
      <c r="C56" s="6" t="inlineStr">
        <is>
          <t>BESS capex (at cost; no BESS revenue or opex modelled)</t>
        </is>
      </c>
      <c r="D56" s="2" t="inlineStr">
        <is>
          <t>EUR k/MWh</t>
        </is>
      </c>
      <c r="E56" s="7" t="n">
        <v>100</v>
      </c>
      <c r="H56" s="2" t="inlineStr">
        <is>
          <t>CLAUDE.md standing assumption, 15-Oct-26</t>
        </is>
      </c>
    </row>
    <row r="57">
      <c r="C57" s="20" t="inlineStr">
        <is>
          <t>Generation (hours and PPA price: case table on the Dashboard)</t>
        </is>
      </c>
      <c r="D57" s="20" t="n"/>
      <c r="E57" s="21" t="n"/>
      <c r="F57" s="21" t="n"/>
      <c r="G57" s="21" t="n"/>
      <c r="H57" s="21" t="n"/>
    </row>
    <row r="58">
      <c r="C58" s="6" t="inlineStr">
        <is>
          <t>Curtailment</t>
        </is>
      </c>
      <c r="D58" s="2" t="inlineStr">
        <is>
          <t>%</t>
        </is>
      </c>
      <c r="E58" s="9" t="n">
        <v>0.02</v>
      </c>
      <c r="H58" s="2" t="inlineStr">
        <is>
          <t>Bora Inputs G183</t>
        </is>
      </c>
    </row>
    <row r="59">
      <c r="C59" s="6" t="inlineStr">
        <is>
          <t>Clipping</t>
        </is>
      </c>
      <c r="D59" s="2" t="inlineStr">
        <is>
          <t>%</t>
        </is>
      </c>
      <c r="E59" s="9" t="n">
        <v>0.04</v>
      </c>
      <c r="H59" s="2" t="inlineStr">
        <is>
          <t>Bora Dash_Clip_Override (user, 26-Oct-26)</t>
        </is>
      </c>
    </row>
    <row r="60">
      <c r="C60" s="6" t="inlineStr">
        <is>
          <t>Degradation</t>
        </is>
      </c>
      <c r="D60" s="2" t="inlineStr">
        <is>
          <t>% p.a.</t>
        </is>
      </c>
      <c r="E60" s="9" t="n">
        <v>0.003</v>
      </c>
      <c r="H60" s="2" t="inlineStr">
        <is>
          <t>Bora Inputs G184</t>
        </is>
      </c>
    </row>
    <row r="61">
      <c r="C61" s="6" t="inlineStr">
        <is>
          <t>PPA escalation</t>
        </is>
      </c>
      <c r="D61" s="2" t="inlineStr">
        <is>
          <t>% p.a.</t>
        </is>
      </c>
      <c r="E61" s="9" t="n">
        <v>0.01</v>
      </c>
      <c r="H61" s="2" t="inlineStr">
        <is>
          <t>Bora Inputs G194</t>
        </is>
      </c>
    </row>
    <row r="62">
      <c r="C62" s="20" t="inlineStr">
        <is>
          <t>Opex (COD-year prices; O&amp;M contract: case table on the Dashboard)</t>
        </is>
      </c>
      <c r="D62" s="20" t="n"/>
      <c r="E62" s="21" t="n"/>
      <c r="F62" s="21" t="n"/>
      <c r="G62" s="21" t="n"/>
      <c r="H62" s="21" t="n"/>
    </row>
    <row r="63">
      <c r="C63" s="6" t="inlineStr">
        <is>
          <t>Balance of plant maintenance</t>
        </is>
      </c>
      <c r="D63" s="2" t="inlineStr">
        <is>
          <t>EUR k/MW/yr</t>
        </is>
      </c>
      <c r="E63" s="10" t="n">
        <v>3</v>
      </c>
      <c r="H63" s="2" t="inlineStr">
        <is>
          <t>Bora Inputs G204</t>
        </is>
      </c>
    </row>
    <row r="64">
      <c r="C64" s="6" t="inlineStr">
        <is>
          <t>Land lease</t>
        </is>
      </c>
      <c r="D64" s="2" t="inlineStr">
        <is>
          <t>EUR k/MW/yr</t>
        </is>
      </c>
      <c r="E64" s="10" t="n">
        <v>3</v>
      </c>
      <c r="H64" s="2" t="inlineStr">
        <is>
          <t>Bora Inputs G205</t>
        </is>
      </c>
    </row>
    <row r="65">
      <c r="C65" s="6" t="inlineStr">
        <is>
          <t>Operational insurance</t>
        </is>
      </c>
      <c r="D65" s="2" t="inlineStr">
        <is>
          <t>EUR k/MW/yr</t>
        </is>
      </c>
      <c r="E65" s="10" t="n">
        <v>2.5</v>
      </c>
      <c r="H65" s="2" t="inlineStr">
        <is>
          <t>Bora Inputs G206</t>
        </is>
      </c>
    </row>
    <row r="66">
      <c r="C66" s="6" t="inlineStr">
        <is>
          <t>Asset and commercial management</t>
        </is>
      </c>
      <c r="D66" s="2" t="inlineStr">
        <is>
          <t>EUR k/MW/yr</t>
        </is>
      </c>
      <c r="E66" s="10" t="n">
        <v>1.5</v>
      </c>
      <c r="H66" s="2" t="inlineStr">
        <is>
          <t>Bora Inputs G207</t>
        </is>
      </c>
    </row>
    <row r="67">
      <c r="C67" s="6" t="inlineStr">
        <is>
          <t>Property tax</t>
        </is>
      </c>
      <c r="D67" s="2" t="inlineStr">
        <is>
          <t>EUR k/MW/yr</t>
        </is>
      </c>
      <c r="E67" s="10" t="n">
        <v>3</v>
      </c>
      <c r="H67" s="2" t="inlineStr">
        <is>
          <t>Bora Inputs G208</t>
        </is>
      </c>
    </row>
    <row r="68">
      <c r="C68" s="6" t="inlineStr">
        <is>
          <t>Administration, audit, compliance (at the source basis)</t>
        </is>
      </c>
      <c r="D68" s="2" t="inlineStr">
        <is>
          <t>EUR k/yr</t>
        </is>
      </c>
      <c r="E68" s="7" t="n">
        <v>150</v>
      </c>
      <c r="H68" s="2" t="inlineStr">
        <is>
          <t>Bora Inputs G209</t>
        </is>
      </c>
    </row>
    <row r="69">
      <c r="C69" s="6" t="inlineStr">
        <is>
          <t>Balancing cost</t>
        </is>
      </c>
      <c r="D69" s="2" t="inlineStr">
        <is>
          <t>EUR/MWh</t>
        </is>
      </c>
      <c r="E69" s="10" t="n">
        <v>4</v>
      </c>
      <c r="H69" s="2" t="inlineStr">
        <is>
          <t>Bora Inputs G196</t>
        </is>
      </c>
    </row>
    <row r="70">
      <c r="C70" s="6" t="inlineStr">
        <is>
          <t>Grid use-of-system charges</t>
        </is>
      </c>
      <c r="D70" s="2" t="inlineStr">
        <is>
          <t>EUR/MWh</t>
        </is>
      </c>
      <c r="E70" s="10" t="n">
        <v>1</v>
      </c>
      <c r="H70" s="2" t="inlineStr">
        <is>
          <t>Bora Inputs G197</t>
        </is>
      </c>
    </row>
    <row r="71">
      <c r="C71" s="6" t="inlineStr">
        <is>
          <t>MEKH supervisory fee</t>
        </is>
      </c>
      <c r="D71" s="2" t="inlineStr">
        <is>
          <t>% of rev.</t>
        </is>
      </c>
      <c r="E71" s="9" t="n">
        <v>0.001</v>
      </c>
      <c r="H71" s="2" t="inlineStr">
        <is>
          <t>Bora Inputs G198</t>
        </is>
      </c>
    </row>
    <row r="72">
      <c r="C72" s="6" t="inlineStr">
        <is>
          <t>HIPA local business tax</t>
        </is>
      </c>
      <c r="D72" s="2" t="inlineStr">
        <is>
          <t>% of rev.</t>
        </is>
      </c>
      <c r="E72" s="9" t="n">
        <v>0.02</v>
      </c>
      <c r="H72" s="2" t="inlineStr">
        <is>
          <t>Bora Inputs G212</t>
        </is>
      </c>
    </row>
    <row r="73">
      <c r="C73" s="6" t="inlineStr">
        <is>
          <t>Opex contingency (not on community, HIPA)</t>
        </is>
      </c>
      <c r="D73" s="2" t="inlineStr">
        <is>
          <t>%</t>
        </is>
      </c>
      <c r="E73" s="9" t="n">
        <v>0.05</v>
      </c>
      <c r="H73" s="2" t="inlineStr">
        <is>
          <t>Bora Inputs G210</t>
        </is>
      </c>
    </row>
    <row r="74">
      <c r="C74" s="6" t="inlineStr">
        <is>
          <t>Opex escalation</t>
        </is>
      </c>
      <c r="D74" s="2" t="inlineStr">
        <is>
          <t>% p.a.</t>
        </is>
      </c>
      <c r="E74" s="9" t="n">
        <v>0.025</v>
      </c>
      <c r="H74" s="2" t="inlineStr">
        <is>
          <t>Bora Inputs G211</t>
        </is>
      </c>
    </row>
    <row r="75">
      <c r="C75" s="20" t="inlineStr">
        <is>
          <t>Valuation, timeline and constants</t>
        </is>
      </c>
      <c r="D75" s="20" t="n"/>
      <c r="E75" s="21" t="n"/>
      <c r="F75" s="21" t="n"/>
      <c r="G75" s="21" t="n"/>
      <c r="H75" s="21" t="n"/>
    </row>
    <row r="76">
      <c r="C76" s="6" t="inlineStr">
        <is>
          <t>Operating life from COD</t>
        </is>
      </c>
      <c r="D76" s="2" t="inlineStr">
        <is>
          <t>years</t>
        </is>
      </c>
      <c r="E76" s="11" t="n">
        <v>30</v>
      </c>
      <c r="H76" s="2" t="inlineStr">
        <is>
          <t>Bora Inputs G157</t>
        </is>
      </c>
    </row>
    <row r="77">
      <c r="C77" s="6" t="inlineStr">
        <is>
          <t>Discount rate (buyer's pre-tax return at COD)</t>
        </is>
      </c>
      <c r="D77" s="2" t="inlineStr">
        <is>
          <t>%</t>
        </is>
      </c>
      <c r="E77" s="9" t="n">
        <v>0.08</v>
      </c>
      <c r="H77" s="2" t="inlineStr">
        <is>
          <t>Bora Inputs G226</t>
        </is>
      </c>
    </row>
    <row r="78">
      <c r="C78" s="6" t="inlineStr">
        <is>
          <t>First year of the annual timeline</t>
        </is>
      </c>
      <c r="D78" s="2" t="inlineStr">
        <is>
          <t>year</t>
        </is>
      </c>
      <c r="E78" s="11" t="n">
        <v>2026</v>
      </c>
      <c r="H78" s="2" t="inlineStr">
        <is>
          <t>Year of the first signing</t>
        </is>
      </c>
    </row>
    <row r="79">
      <c r="C79" s="6" t="inlineStr">
        <is>
          <t>Thousand</t>
        </is>
      </c>
      <c r="D79" s="2" t="inlineStr">
        <is>
          <t>x</t>
        </is>
      </c>
      <c r="E79" s="7" t="n">
        <v>1000</v>
      </c>
      <c r="H79" s="2" t="inlineStr">
        <is>
          <t>Constant</t>
        </is>
      </c>
    </row>
    <row r="80">
      <c r="C80" s="6" t="inlineStr">
        <is>
          <t>Days in a year (act/365)</t>
        </is>
      </c>
      <c r="D80" s="2" t="inlineStr">
        <is>
          <t>days</t>
        </is>
      </c>
      <c r="E80" s="11" t="n">
        <v>365</v>
      </c>
      <c r="H80" s="2" t="inlineStr">
        <is>
          <t>Constant</t>
        </is>
      </c>
    </row>
    <row r="81">
      <c r="C81" s="6" t="inlineStr">
        <is>
          <t>Months in a year</t>
        </is>
      </c>
      <c r="D81" s="2" t="inlineStr">
        <is>
          <t>months</t>
        </is>
      </c>
      <c r="E81" s="11" t="n">
        <v>12</v>
      </c>
      <c r="H81" s="2" t="inlineStr">
        <is>
          <t>Constant</t>
        </is>
      </c>
    </row>
    <row r="82">
      <c r="C82" s="6" t="inlineStr">
        <is>
          <t>Check tolerance</t>
        </is>
      </c>
      <c r="D82" s="2" t="inlineStr">
        <is>
          <t>EUR k</t>
        </is>
      </c>
      <c r="E82" s="34" t="n">
        <v>0.001</v>
      </c>
      <c r="H82" s="2" t="inlineStr">
        <is>
          <t>Constant</t>
        </is>
      </c>
    </row>
    <row r="84">
      <c r="B84" s="4" t="inlineStr">
        <is>
          <t>x</t>
        </is>
      </c>
      <c r="C84" s="4" t="inlineStr">
        <is>
          <t>Band tables for the points (ÖSZ, Kiírás Annex 4) – expand the group</t>
        </is>
      </c>
      <c r="D84" s="4" t="n"/>
      <c r="E84" s="5" t="inlineStr">
        <is>
          <t>Values →</t>
        </is>
      </c>
      <c r="F84" s="5" t="n"/>
      <c r="G84" s="5" t="n"/>
      <c r="H84" s="5" t="n"/>
    </row>
    <row r="85" hidden="1" outlineLevel="1">
      <c r="C85" s="6" t="inlineStr">
        <is>
          <t>Osz1_LB</t>
        </is>
      </c>
      <c r="E85" s="13" t="n">
        <v>10</v>
      </c>
      <c r="F85" s="13" t="n">
        <v>15</v>
      </c>
      <c r="G85" s="13" t="n">
        <v>20</v>
      </c>
      <c r="H85" s="13" t="n">
        <v>25</v>
      </c>
      <c r="I85" s="13" t="n">
        <v>30</v>
      </c>
      <c r="J85" s="13" t="n">
        <v>35</v>
      </c>
      <c r="K85" s="13" t="n">
        <v>40</v>
      </c>
      <c r="L85" s="13" t="n">
        <v>45</v>
      </c>
      <c r="M85" s="13" t="n">
        <v>50</v>
      </c>
    </row>
    <row r="86" hidden="1" outlineLevel="1">
      <c r="C86" s="6" t="inlineStr">
        <is>
          <t>Osz1_Incl</t>
        </is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1</v>
      </c>
    </row>
    <row r="87" hidden="1" outlineLevel="1">
      <c r="C87" s="6" t="inlineStr">
        <is>
          <t>Osz1_Pts</t>
        </is>
      </c>
      <c r="E87" s="13" t="n">
        <v>0</v>
      </c>
      <c r="F87" s="13" t="n">
        <v>10</v>
      </c>
      <c r="G87" s="13" t="n">
        <v>20</v>
      </c>
      <c r="H87" s="13" t="n">
        <v>30</v>
      </c>
      <c r="I87" s="13" t="n">
        <v>40</v>
      </c>
      <c r="J87" s="13" t="n">
        <v>55</v>
      </c>
      <c r="K87" s="13" t="n">
        <v>70</v>
      </c>
      <c r="L87" s="13" t="n">
        <v>80</v>
      </c>
      <c r="M87" s="13" t="n">
        <v>90</v>
      </c>
      <c r="N87" s="13" t="n">
        <v>100</v>
      </c>
    </row>
    <row r="88" hidden="1" outlineLevel="1">
      <c r="C88" s="6" t="inlineStr">
        <is>
          <t>Osz2_LB</t>
        </is>
      </c>
      <c r="E88" s="13" t="n">
        <v>2</v>
      </c>
      <c r="F88" s="13" t="n">
        <v>2.1</v>
      </c>
      <c r="G88" s="13" t="n">
        <v>2.2</v>
      </c>
      <c r="H88" s="13" t="n">
        <v>2.3</v>
      </c>
      <c r="I88" s="13" t="n">
        <v>2.4</v>
      </c>
      <c r="J88" s="13" t="n">
        <v>2.5</v>
      </c>
      <c r="K88" s="13" t="n">
        <v>2.6</v>
      </c>
      <c r="L88" s="13" t="n">
        <v>2.7</v>
      </c>
      <c r="M88" s="13" t="n">
        <v>2.8</v>
      </c>
      <c r="N88" s="13" t="n">
        <v>2.9</v>
      </c>
      <c r="O88" s="13" t="n">
        <v>3</v>
      </c>
    </row>
    <row r="89" hidden="1" outlineLevel="1">
      <c r="C89" s="6" t="inlineStr">
        <is>
          <t>Osz2_Incl</t>
        </is>
      </c>
      <c r="E89" s="13" t="n">
        <v>0</v>
      </c>
      <c r="F89" s="13" t="n">
        <v>0</v>
      </c>
      <c r="G89" s="13" t="n">
        <v>0</v>
      </c>
      <c r="H89" s="13" t="n">
        <v>0</v>
      </c>
      <c r="I89" s="13" t="n">
        <v>0</v>
      </c>
      <c r="J89" s="13" t="n">
        <v>0</v>
      </c>
      <c r="K89" s="13" t="n">
        <v>0</v>
      </c>
      <c r="L89" s="13" t="n">
        <v>0</v>
      </c>
      <c r="M89" s="13" t="n">
        <v>0</v>
      </c>
      <c r="N89" s="13" t="n">
        <v>0</v>
      </c>
      <c r="O89" s="13" t="n">
        <v>1</v>
      </c>
    </row>
    <row r="90" hidden="1" outlineLevel="1">
      <c r="C90" s="6" t="inlineStr">
        <is>
          <t>Osz2_Pts</t>
        </is>
      </c>
      <c r="E90" s="13" t="n">
        <v>0</v>
      </c>
      <c r="F90" s="13" t="n">
        <v>5</v>
      </c>
      <c r="G90" s="13" t="n">
        <v>10</v>
      </c>
      <c r="H90" s="13" t="n">
        <v>20</v>
      </c>
      <c r="I90" s="13" t="n">
        <v>30</v>
      </c>
      <c r="J90" s="13" t="n">
        <v>40</v>
      </c>
      <c r="K90" s="13" t="n">
        <v>50</v>
      </c>
      <c r="L90" s="13" t="n">
        <v>60</v>
      </c>
      <c r="M90" s="13" t="n">
        <v>70</v>
      </c>
      <c r="N90" s="13" t="n">
        <v>80</v>
      </c>
      <c r="O90" s="13" t="n">
        <v>90</v>
      </c>
      <c r="P90" s="13" t="n">
        <v>100</v>
      </c>
    </row>
    <row r="91" hidden="1" outlineLevel="1">
      <c r="C91" s="6" t="inlineStr">
        <is>
          <t>Osz3_LB</t>
        </is>
      </c>
      <c r="E91" s="13" t="n">
        <v>0.02</v>
      </c>
      <c r="F91" s="13" t="n">
        <v>0.05</v>
      </c>
      <c r="G91" s="13" t="n">
        <v>0.1</v>
      </c>
      <c r="H91" s="13" t="n">
        <v>0.15</v>
      </c>
      <c r="I91" s="13" t="n">
        <v>0.2</v>
      </c>
      <c r="J91" s="13" t="n">
        <v>0.25</v>
      </c>
      <c r="K91" s="13" t="n">
        <v>0.3</v>
      </c>
      <c r="L91" s="13" t="n">
        <v>0.35</v>
      </c>
      <c r="M91" s="13" t="n">
        <v>0.4</v>
      </c>
      <c r="N91" s="13" t="n">
        <v>0.5</v>
      </c>
    </row>
    <row r="92" hidden="1" outlineLevel="1">
      <c r="C92" s="6" t="inlineStr">
        <is>
          <t>Osz3_Incl</t>
        </is>
      </c>
      <c r="E92" s="13" t="n">
        <v>0</v>
      </c>
      <c r="F92" s="13" t="n">
        <v>1</v>
      </c>
      <c r="G92" s="13" t="n">
        <v>1</v>
      </c>
      <c r="H92" s="13" t="n">
        <v>1</v>
      </c>
      <c r="I92" s="13" t="n">
        <v>1</v>
      </c>
      <c r="J92" s="13" t="n">
        <v>1</v>
      </c>
      <c r="K92" s="13" t="n">
        <v>1</v>
      </c>
      <c r="L92" s="13" t="n">
        <v>1</v>
      </c>
      <c r="M92" s="13" t="n">
        <v>1</v>
      </c>
      <c r="N92" s="13" t="n">
        <v>0</v>
      </c>
    </row>
    <row r="93" hidden="1" outlineLevel="1">
      <c r="C93" s="6" t="inlineStr">
        <is>
          <t>Osz3_Pts</t>
        </is>
      </c>
      <c r="E93" s="13" t="n">
        <v>0</v>
      </c>
      <c r="F93" s="13" t="n">
        <v>10</v>
      </c>
      <c r="G93" s="13" t="n">
        <v>20</v>
      </c>
      <c r="H93" s="13" t="n">
        <v>30</v>
      </c>
      <c r="I93" s="13" t="n">
        <v>40</v>
      </c>
      <c r="J93" s="13" t="n">
        <v>50</v>
      </c>
      <c r="K93" s="13" t="n">
        <v>60</v>
      </c>
      <c r="L93" s="13" t="n">
        <v>70</v>
      </c>
      <c r="M93" s="13" t="n">
        <v>80</v>
      </c>
      <c r="N93" s="13" t="n">
        <v>90</v>
      </c>
      <c r="O93" s="13" t="n">
        <v>100</v>
      </c>
    </row>
    <row r="94" hidden="1" outlineLevel="1">
      <c r="C94" s="6" t="inlineStr">
        <is>
          <t>Osz6_LB</t>
        </is>
      </c>
      <c r="E94" s="13" t="n">
        <v>1</v>
      </c>
      <c r="F94" s="13" t="n">
        <v>1.2</v>
      </c>
      <c r="G94" s="13" t="n">
        <v>1.3</v>
      </c>
      <c r="H94" s="13" t="n">
        <v>1.4</v>
      </c>
      <c r="I94" s="13" t="n">
        <v>1.5</v>
      </c>
      <c r="J94" s="13" t="n">
        <v>1.6</v>
      </c>
      <c r="K94" s="13" t="n">
        <v>1.7</v>
      </c>
      <c r="L94" s="13" t="n">
        <v>1.8</v>
      </c>
      <c r="M94" s="13" t="n">
        <v>1.9</v>
      </c>
      <c r="N94" s="13" t="n">
        <v>2</v>
      </c>
    </row>
    <row r="95" hidden="1" outlineLevel="1">
      <c r="C95" s="6" t="inlineStr">
        <is>
          <t>Osz6_Incl</t>
        </is>
      </c>
      <c r="E95" s="13" t="n">
        <v>0</v>
      </c>
      <c r="F95" s="13" t="n">
        <v>1</v>
      </c>
      <c r="G95" s="13" t="n">
        <v>1</v>
      </c>
      <c r="H95" s="13" t="n">
        <v>1</v>
      </c>
      <c r="I95" s="13" t="n">
        <v>1</v>
      </c>
      <c r="J95" s="13" t="n">
        <v>1</v>
      </c>
      <c r="K95" s="13" t="n">
        <v>1</v>
      </c>
      <c r="L95" s="13" t="n">
        <v>1</v>
      </c>
      <c r="M95" s="13" t="n">
        <v>1</v>
      </c>
      <c r="N95" s="13" t="n">
        <v>1</v>
      </c>
    </row>
    <row r="96" hidden="1" outlineLevel="1">
      <c r="C96" s="6" t="inlineStr">
        <is>
          <t>Osz6_Pts</t>
        </is>
      </c>
      <c r="E96" s="13" t="n">
        <v>0</v>
      </c>
      <c r="F96" s="13" t="n">
        <v>10</v>
      </c>
      <c r="G96" s="13" t="n">
        <v>20</v>
      </c>
      <c r="H96" s="13" t="n">
        <v>30</v>
      </c>
      <c r="I96" s="13" t="n">
        <v>40</v>
      </c>
      <c r="J96" s="13" t="n">
        <v>50</v>
      </c>
      <c r="K96" s="13" t="n">
        <v>60</v>
      </c>
      <c r="L96" s="13" t="n">
        <v>70</v>
      </c>
      <c r="M96" s="13" t="n">
        <v>80</v>
      </c>
      <c r="N96" s="13" t="n">
        <v>90</v>
      </c>
      <c r="O96" s="13" t="n">
        <v>100</v>
      </c>
    </row>
    <row r="97" hidden="1" outlineLevel="1">
      <c r="C97" s="6" t="inlineStr">
        <is>
          <t>Osz5_Pts</t>
        </is>
      </c>
      <c r="E97" s="13" t="n">
        <v>100</v>
      </c>
    </row>
    <row r="98" hidden="1" outlineLevel="1">
      <c r="C98" s="6" t="inlineStr">
        <is>
          <t>Osz7_Pts</t>
        </is>
      </c>
      <c r="E98" s="13" t="n">
        <v>100</v>
      </c>
    </row>
    <row r="99" hidden="1" outlineLevel="1">
      <c r="C99" s="6" t="inlineStr">
        <is>
          <t>Osz8_Pts</t>
        </is>
      </c>
      <c r="E99" s="13" t="n">
        <v>100</v>
      </c>
    </row>
    <row r="100" hidden="1" outlineLevel="1">
      <c r="C100" s="6" t="inlineStr">
        <is>
          <t>Osz9a_Pts</t>
        </is>
      </c>
      <c r="E100" s="13" t="n">
        <v>80</v>
      </c>
    </row>
    <row r="101" hidden="1" outlineLevel="1">
      <c r="C101" s="6" t="inlineStr">
        <is>
          <t>Osz9b_Pts</t>
        </is>
      </c>
      <c r="E101" s="13" t="n">
        <v>20</v>
      </c>
    </row>
    <row r="102" hidden="1" outlineLevel="1">
      <c r="C102" s="6" t="inlineStr">
        <is>
          <t>Osz1_W</t>
        </is>
      </c>
      <c r="E102" s="13" t="n">
        <v>0.2</v>
      </c>
    </row>
    <row r="103" hidden="1" outlineLevel="1">
      <c r="C103" s="6" t="inlineStr">
        <is>
          <t>Osz2_W</t>
        </is>
      </c>
      <c r="E103" s="13" t="n">
        <v>0.15</v>
      </c>
    </row>
    <row r="104" hidden="1" outlineLevel="1">
      <c r="C104" s="6" t="inlineStr">
        <is>
          <t>Osz3_W</t>
        </is>
      </c>
      <c r="E104" s="13" t="n">
        <v>0.1</v>
      </c>
    </row>
    <row r="105" hidden="1" outlineLevel="1">
      <c r="C105" s="6" t="inlineStr">
        <is>
          <t>Osz4_W</t>
        </is>
      </c>
      <c r="E105" s="13" t="n">
        <v>0.15</v>
      </c>
    </row>
    <row r="106" hidden="1" outlineLevel="1">
      <c r="C106" s="6" t="inlineStr">
        <is>
          <t>Osz5_W</t>
        </is>
      </c>
      <c r="E106" s="13" t="n">
        <v>0.05</v>
      </c>
    </row>
    <row r="107" hidden="1" outlineLevel="1">
      <c r="C107" s="6" t="inlineStr">
        <is>
          <t>Osz6_W</t>
        </is>
      </c>
      <c r="E107" s="13" t="n">
        <v>0.05</v>
      </c>
    </row>
    <row r="108" hidden="1" outlineLevel="1">
      <c r="C108" s="6" t="inlineStr">
        <is>
          <t>Osz7_W</t>
        </is>
      </c>
      <c r="E108" s="13" t="n">
        <v>0.1</v>
      </c>
    </row>
    <row r="109" hidden="1" outlineLevel="1">
      <c r="C109" s="6" t="inlineStr">
        <is>
          <t>Osz8_W</t>
        </is>
      </c>
      <c r="E109" s="13" t="n">
        <v>0.05</v>
      </c>
    </row>
    <row r="110" hidden="1" outlineLevel="1">
      <c r="C110" s="6" t="inlineStr">
        <is>
          <t>Osz9_W</t>
        </is>
      </c>
      <c r="E110" s="13" t="n">
        <v>0.15</v>
      </c>
    </row>
    <row r="112">
      <c r="C112" s="32" t="inlineStr">
        <is>
          <t>***END***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2026-10-27T15:51:22Z</dcterms:created>
  <dcterms:modified xmlns:dcterms="http://purl.org/dc/terms/" xmlns:xsi="http://www.w3.org/2001/XMLSchema-instance" xsi:type="dcterms:W3CDTF">2026-10-27T15:51:22Z</dcterms:modified>
</cp:coreProperties>
</file>