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11/relationships/webextensiontaskpanes" Target="xl/webextensions/taskpanes.xml"/><Relationship Id="rId9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</sheets>
  <definedNames>
    <definedName function="false" hidden="false" name="Balancing" vbProcedure="false">Inputs!$E$75</definedName>
    <definedName function="false" hidden="false" name="Bench_BESS" vbProcedure="false">Inputs!$E$8</definedName>
    <definedName function="false" hidden="false" name="Bench_Wind" vbProcedure="false">Inputs!$E$7</definedName>
    <definedName function="false" hidden="false" name="BESS_Capex" vbProcedure="false">Inputs!$E$62</definedName>
    <definedName function="false" hidden="false" name="Bid_Sec_Rate" vbProcedure="false">Inputs!$E$9</definedName>
    <definedName function="false" hidden="false" name="Capex_Civil" vbProcedure="false">Inputs!$E$55</definedName>
    <definedName function="false" hidden="false" name="Capex_Cont" vbProcedure="false">Inputs!$E$61</definedName>
    <definedName function="false" hidden="false" name="Capex_Elec" vbProcedure="false">Inputs!$E$56</definedName>
    <definedName function="false" hidden="false" name="Capex_Fdn" vbProcedure="false">Inputs!$E$54</definedName>
    <definedName function="false" hidden="false" name="Capex_Install" vbProcedure="false">Inputs!$E$53</definedName>
    <definedName function="false" hidden="false" name="Capex_Land" vbProcedure="false">Inputs!$E$58</definedName>
    <definedName function="false" hidden="false" name="Capex_Owner" vbProcedure="false">Inputs!$E$57</definedName>
    <definedName function="false" hidden="false" name="Case_CN" vbProcedure="false">Dashboard!$H$27</definedName>
    <definedName function="false" hidden="false" name="Case_EU" vbProcedure="false">Dashboard!$H$26</definedName>
    <definedName function="false" hidden="false" name="Case_OM" vbProcedure="false">Dashboard!$H$30</definedName>
    <definedName function="false" hidden="false" name="Case_P50" vbProcedure="false">Dashboard!$H$29</definedName>
    <definedName function="false" hidden="false" name="Case_PPA" vbProcedure="false">Dashboard!$H$28</definedName>
    <definedName function="false" hidden="false" name="CIT_Rate" vbProcedure="false">Inputs!$E$46</definedName>
    <definedName function="false" hidden="false" name="Clipping" vbProcedure="false">Inputs!$E$65</definedName>
    <definedName function="false" hidden="false" name="Curtailment" vbProcedure="false">Inputs!$E$64</definedName>
    <definedName function="false" hidden="false" name="Dash_BESS_Share" vbProcedure="false">Dashboard!$E$8:$G$8</definedName>
    <definedName function="false" hidden="false" name="Dash_Brownfield" vbProcedure="false">Dashboard!$E$15:$G$15</definedName>
    <definedName function="false" hidden="false" name="Dash_Case" vbProcedure="false">Dashboard!$H$25</definedName>
    <definedName function="false" hidden="false" name="Dash_Case_CN" vbProcedure="false">Dashboard!$E$27:$G$27</definedName>
    <definedName function="false" hidden="false" name="Dash_Case_EU" vbProcedure="false">Dashboard!$E$26:$G$26</definedName>
    <definedName function="false" hidden="false" name="Dash_Case_OM" vbProcedure="false">Dashboard!$E$30:$G$30</definedName>
    <definedName function="false" hidden="false" name="Dash_Case_P50" vbProcedure="false">Dashboard!$E$29:$G$29</definedName>
    <definedName function="false" hidden="false" name="Dash_Case_PPA" vbProcedure="false">Dashboard!$E$28:$G$28</definedName>
    <definedName function="false" hidden="false" name="Dash_Community" vbProcedure="false">Dashboard!$E$12:$G$12</definedName>
    <definedName function="false" hidden="false" name="Dash_DSA" vbProcedure="false">Dashboard!$E$20:$G$20</definedName>
    <definedName function="false" hidden="false" name="Dash_FEP_Share" vbProcedure="false">Dashboard!$E$19:$G$19</definedName>
    <definedName function="false" hidden="false" name="Dash_Hours" vbProcedure="false">Dashboard!$E$9:$G$9</definedName>
    <definedName function="false" hidden="false" name="Dash_JV" vbProcedure="false">Dashboard!$E$21:$G$21</definedName>
    <definedName function="false" hidden="false" name="Dash_Municipal" vbProcedure="false">Dashboard!$E$11:$G$11</definedName>
    <definedName function="false" hidden="false" name="Dash_MVA" vbProcedure="false">Dashboard!$E$6:$G$6</definedName>
    <definedName function="false" hidden="false" name="Dash_Overbuild" vbProcedure="false">Dashboard!$E$7:$G$7</definedName>
    <definedName function="false" hidden="false" name="Dash_P50" vbProcedure="false">Dashboard!$E$22:$G$22</definedName>
    <definedName function="false" hidden="false" name="Dash_Partial" vbProcedure="false">Dashboard!$E$13:$G$13</definedName>
    <definedName function="false" hidden="false" name="Dash_PB_Mult" vbProcedure="false">Dashboard!$E$14:$G$14</definedName>
    <definedName function="false" hidden="false" name="Dash_Premium" vbProcedure="false">Dashboard!$E$18:$G$18</definedName>
    <definedName function="false" hidden="false" name="Dash_Shared" vbProcedure="false">Dashboard!$E$16:$G$16</definedName>
    <definedName function="false" hidden="false" name="Dash_Shortfall" vbProcedure="false">Dashboard!$E$10:$G$10</definedName>
    <definedName function="false" hidden="false" name="Dash_Turbine" vbProcedure="false">Dashboard!$E$17:$G$17</definedName>
    <definedName function="false" hidden="false" name="Days_In_Year" vbProcedure="false">Inputs!$E$86</definedName>
    <definedName function="false" hidden="false" name="Debt_Rate" vbProcedure="false">Inputs!$E$50</definedName>
    <definedName function="false" hidden="false" name="Debt_Tenor" vbProcedure="false">Inputs!$E$51</definedName>
    <definedName function="false" hidden="false" name="Degradation" vbProcedure="false">Inputs!$E$66</definedName>
    <definedName function="false" hidden="false" name="Dep_Years" vbProcedure="false">Inputs!$E$48</definedName>
    <definedName function="false" hidden="false" name="Devex_Floor" vbProcedure="false">Inputs!$E$39</definedName>
    <definedName function="false" hidden="false" name="Discount_Rate" vbProcedure="false">Inputs!$E$83</definedName>
    <definedName function="false" hidden="false" name="DSA_Cap" vbProcedure="false">Inputs!$E$45</definedName>
    <definedName function="false" hidden="false" name="DSA_Rate" vbProcedure="false">Inputs!$E$44</definedName>
    <definedName function="false" hidden="false" name="First_Year" vbProcedure="false">Inputs!$E$84</definedName>
    <definedName function="false" hidden="false" name="Freeze_Date" vbProcedure="false">Inputs!$E$40</definedName>
    <definedName function="false" hidden="false" name="FX" vbProcedure="false">Inputs!$E$6</definedName>
    <definedName function="false" hidden="false" name="Gearing" vbProcedure="false">Inputs!$E$49</definedName>
    <definedName function="false" hidden="false" name="Grid_Charges" vbProcedure="false">Inputs!$E$76</definedName>
    <definedName function="false" hidden="false" name="HIPA_Rate" vbProcedure="false">Inputs!$E$78</definedName>
    <definedName function="false" hidden="false" name="Life" vbProcedure="false">Inputs!$E$82</definedName>
    <definedName function="false" hidden="false" name="Lump_Basis" vbProcedure="false">Inputs!$E$60</definedName>
    <definedName function="false" hidden="false" name="Master_Check" vbProcedure="false">Dashboard!$H$409</definedName>
    <definedName function="false" hidden="false" name="MEKH_Fee" vbProcedure="false">Inputs!$E$77</definedName>
    <definedName function="false" hidden="false" name="Months_In_Year" vbProcedure="false">Inputs!$E$87</definedName>
    <definedName function="false" hidden="false" name="Opex_Admin" vbProcedure="false">Inputs!$E$74</definedName>
    <definedName function="false" hidden="false" name="Opex_BoP" vbProcedure="false">Inputs!$E$69</definedName>
    <definedName function="false" hidden="false" name="Opex_Cont" vbProcedure="false">Inputs!$E$79</definedName>
    <definedName function="false" hidden="false" name="Opex_Esc" vbProcedure="false">Inputs!$E$80</definedName>
    <definedName function="false" hidden="false" name="Opex_Ins" vbProcedure="false">Inputs!$E$71</definedName>
    <definedName function="false" hidden="false" name="Opex_Lease" vbProcedure="false">Inputs!$E$70</definedName>
    <definedName function="false" hidden="false" name="Opex_Mgmt" vbProcedure="false">Inputs!$E$72</definedName>
    <definedName function="false" hidden="false" name="Opex_Per_MW" vbProcedure="false">Inputs!$E$69:$E$73</definedName>
    <definedName function="false" hidden="false" name="Opex_PropTax" vbProcedure="false">Inputs!$E$73</definedName>
    <definedName function="false" hidden="false" name="Osz1_Incl" vbProcedure="false">Inputs!$E$92:$M$92</definedName>
    <definedName function="false" hidden="false" name="Osz1_LB" vbProcedure="false">Inputs!$E$91:$M$91</definedName>
    <definedName function="false" hidden="false" name="Osz1_Pts" vbProcedure="false">Inputs!$E$93:$N$93</definedName>
    <definedName function="false" hidden="false" name="Osz1_W" vbProcedure="false">Inputs!$E$108</definedName>
    <definedName function="false" hidden="false" name="Osz2_Incl" vbProcedure="false">Inputs!$E$95:$O$95</definedName>
    <definedName function="false" hidden="false" name="Osz2_LB" vbProcedure="false">Inputs!$E$94:$O$94</definedName>
    <definedName function="false" hidden="false" name="Osz2_Pts" vbProcedure="false">Inputs!$E$96:$P$96</definedName>
    <definedName function="false" hidden="false" name="Osz2_W" vbProcedure="false">Inputs!$E$109</definedName>
    <definedName function="false" hidden="false" name="Osz3_Incl" vbProcedure="false">Inputs!$E$98:$N$98</definedName>
    <definedName function="false" hidden="false" name="Osz3_LB" vbProcedure="false">Inputs!$E$97:$N$97</definedName>
    <definedName function="false" hidden="false" name="Osz3_Pts" vbProcedure="false">Inputs!$E$99:$O$99</definedName>
    <definedName function="false" hidden="false" name="Osz3_W" vbProcedure="false">Inputs!$E$110</definedName>
    <definedName function="false" hidden="false" name="Osz4_W" vbProcedure="false">Inputs!$E$111</definedName>
    <definedName function="false" hidden="false" name="Osz5_Pts" vbProcedure="false">Inputs!$E$103</definedName>
    <definedName function="false" hidden="false" name="Osz5_W" vbProcedure="false">Inputs!$E$112</definedName>
    <definedName function="false" hidden="false" name="Osz6_Incl" vbProcedure="false">Inputs!$E$101:$N$101</definedName>
    <definedName function="false" hidden="false" name="Osz6_LB" vbProcedure="false">Inputs!$E$100:$N$100</definedName>
    <definedName function="false" hidden="false" name="Osz6_Pts" vbProcedure="false">Inputs!$E$102:$O$102</definedName>
    <definedName function="false" hidden="false" name="Osz6_W" vbProcedure="false">Inputs!$E$113</definedName>
    <definedName function="false" hidden="false" name="Osz7_Pts" vbProcedure="false">Inputs!$E$104</definedName>
    <definedName function="false" hidden="false" name="Osz7_W" vbProcedure="false">Inputs!$E$114</definedName>
    <definedName function="false" hidden="false" name="Osz8_Pts" vbProcedure="false">Inputs!$E$105</definedName>
    <definedName function="false" hidden="false" name="Osz8_W" vbProcedure="false">Inputs!$E$115</definedName>
    <definedName function="false" hidden="false" name="Osz9a_Pts" vbProcedure="false">Inputs!$E$106</definedName>
    <definedName function="false" hidden="false" name="Osz9b_Pts" vbProcedure="false">Inputs!$E$107</definedName>
    <definedName function="false" hidden="false" name="Osz9_W" vbProcedure="false">Inputs!$E$116</definedName>
    <definedName function="false" hidden="false" name="Part_Fee" vbProcedure="false">Inputs!$E$11</definedName>
    <definedName function="false" hidden="false" name="PB_Rate" vbProcedure="false">Inputs!$E$10</definedName>
    <definedName function="false" hidden="false" name="PPA_Esc" vbProcedure="false">Inputs!$E$67</definedName>
    <definedName function="false" hidden="false" name="Rate_Cash" vbProcedure="false">Inputs!$E$37</definedName>
    <definedName function="false" hidden="false" name="Rate_Devex" vbProcedure="false">Inputs!$E$38</definedName>
    <definedName function="false" hidden="false" name="Sale_Costs" vbProcedure="false">Inputs!$E$43</definedName>
    <definedName function="false" hidden="false" name="Sale_Date" vbProcedure="false">Inputs!$E$41</definedName>
    <definedName function="false" hidden="false" name="Sale_Date_A" vbProcedure="false">Inputs!$E$42</definedName>
    <definedName function="false" hidden="false" name="Share_Exempt" vbProcedure="false">Inputs!$E$47</definedName>
    <definedName function="false" hidden="false" name="Subs_Lump" vbProcedure="false">Inputs!$E$59</definedName>
    <definedName function="false" hidden="false" name="Thousand" vbProcedure="false">Inputs!$E$85</definedName>
    <definedName function="false" hidden="false" name="Tolerance" vbProcedure="false">Inputs!$E$88</definedName>
    <definedName function="false" hidden="false" name="TSO_Rate" vbProcedure="false">Inputs!$E$12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<sst xmlns="http://schemas.openxmlformats.org/spreadsheetml/2006/main" count="1131" uniqueCount="472">
  <si>
    <t xml:space="preserve">HU wind projects</t>
  </si>
  <si>
    <t xml:space="preserve">Master check (0 = OK; checks at the end of the detail)</t>
  </si>
  <si>
    <t xml:space="preserve">flag</t>
  </si>
  <si>
    <t xml:space="preserve">x</t>
  </si>
  <si>
    <t xml:space="preserve">Key inputs: the bids</t>
  </si>
  <si>
    <t xml:space="preserve">Bora</t>
  </si>
  <si>
    <t xml:space="preserve">Iváncsa</t>
  </si>
  <si>
    <t xml:space="preserve">Dunaújváros</t>
  </si>
  <si>
    <t xml:space="preserve">Total</t>
  </si>
  <si>
    <t xml:space="preserve">Net connection capacity</t>
  </si>
  <si>
    <t xml:space="preserve">MVA</t>
  </si>
  <si>
    <t xml:space="preserve">Overbuild (ÖSZ-3)</t>
  </si>
  <si>
    <t xml:space="preserve">%</t>
  </si>
  <si>
    <t xml:space="preserve">BESS power, share of MVA (ÖSZ-4)</t>
  </si>
  <si>
    <t xml:space="preserve">BESS duration</t>
  </si>
  <si>
    <t xml:space="preserve">h</t>
  </si>
  <si>
    <t xml:space="preserve">Wind built below the bid</t>
  </si>
  <si>
    <t xml:space="preserve">Municipal one-off (ÖSZ-1), at COD</t>
  </si>
  <si>
    <t xml:space="preserve">EUR k/MVA</t>
  </si>
  <si>
    <t xml:space="preserve">Community contribution (ÖSZ-2)</t>
  </si>
  <si>
    <t xml:space="preserve">EUR/MWh</t>
  </si>
  <si>
    <t xml:space="preserve">Partial award accepted (ÖSZ-5)</t>
  </si>
  <si>
    <t xml:space="preserve">Performance security multiple (ÖSZ-6)</t>
  </si>
  <si>
    <t xml:space="preserve">Brownfield site (ÖSZ-7)</t>
  </si>
  <si>
    <t xml:space="preserve">Shared connection (ÖSZ-8)</t>
  </si>
  <si>
    <t xml:space="preserve">Turbine route (EU or CN; EU scores ÖSZ-9)</t>
  </si>
  <si>
    <t xml:space="preserve">text</t>
  </si>
  <si>
    <t xml:space="preserve">CN</t>
  </si>
  <si>
    <t xml:space="preserve">RtB premium</t>
  </si>
  <si>
    <t xml:space="preserve">FEP share of distributable proceeds</t>
  </si>
  <si>
    <t xml:space="preserve">Developer success fee (DSA) on</t>
  </si>
  <si>
    <t xml:space="preserve">JV with a developer (1 = yes; claims and DSA apply)</t>
  </si>
  <si>
    <t xml:space="preserve">Net P50 hours (project wind study)</t>
  </si>
  <si>
    <t xml:space="preserve">h/yr</t>
  </si>
  <si>
    <t xml:space="preserve">Case: turbine price, PPA, yield, O&amp;M</t>
  </si>
  <si>
    <t xml:space="preserve">Base</t>
  </si>
  <si>
    <t xml:space="preserve">Low</t>
  </si>
  <si>
    <t xml:space="preserve">High</t>
  </si>
  <si>
    <t xml:space="preserve">Live</t>
  </si>
  <si>
    <t xml:space="preserve">Case selected (Base, Low or High)</t>
  </si>
  <si>
    <t xml:space="preserve">case</t>
  </si>
  <si>
    <t xml:space="preserve">Turbine supply incl. transport, EU route</t>
  </si>
  <si>
    <t xml:space="preserve">EUR k/MW</t>
  </si>
  <si>
    <t xml:space="preserve">Bora Dashboard H8 / Inputs G162</t>
  </si>
  <si>
    <t xml:space="preserve">Turbine supply incl. transport, CN route</t>
  </si>
  <si>
    <t xml:space="preserve">Bora Inputs H162</t>
  </si>
  <si>
    <t xml:space="preserve">PPA price in the COD year</t>
  </si>
  <si>
    <t xml:space="preserve">Bora Dashboard H9</t>
  </si>
  <si>
    <t xml:space="preserve">Net P50 hours (not used: project P50 in row 21)</t>
  </si>
  <si>
    <t xml:space="preserve">Bora Dashboard H10</t>
  </si>
  <si>
    <t xml:space="preserve">O&amp;M full-service contract</t>
  </si>
  <si>
    <t xml:space="preserve">EUR k/MW/yr</t>
  </si>
  <si>
    <t xml:space="preserve">Bora Dashboard H11</t>
  </si>
  <si>
    <t xml:space="preserve">Bid points and capacity</t>
  </si>
  <si>
    <t xml:space="preserve">Points – municipal one-off</t>
  </si>
  <si>
    <t xml:space="preserve">points</t>
  </si>
  <si>
    <t xml:space="preserve">Points – community contribution</t>
  </si>
  <si>
    <t xml:space="preserve">Points – overbuild</t>
  </si>
  <si>
    <t xml:space="preserve">Points – BESS</t>
  </si>
  <si>
    <t xml:space="preserve">Points – partial award</t>
  </si>
  <si>
    <t xml:space="preserve">Points – performance security</t>
  </si>
  <si>
    <t xml:space="preserve">Points – brownfield</t>
  </si>
  <si>
    <t xml:space="preserve">Points – shared connection</t>
  </si>
  <si>
    <t xml:space="preserve">Points – EU turbines</t>
  </si>
  <si>
    <t xml:space="preserve">Points – EU transformers</t>
  </si>
  <si>
    <t xml:space="preserve">Points total</t>
  </si>
  <si>
    <t xml:space="preserve">Wind committed in the bid</t>
  </si>
  <si>
    <t xml:space="preserve">MW</t>
  </si>
  <si>
    <t xml:space="preserve">BESS energy</t>
  </si>
  <si>
    <t xml:space="preserve">MWh</t>
  </si>
  <si>
    <t xml:space="preserve">Wind built (committed less the build shortfall)</t>
  </si>
  <si>
    <t xml:space="preserve">Guarantees, securities and connection fees, DEVEX (HUF)</t>
  </si>
  <si>
    <t xml:space="preserve">Date</t>
  </si>
  <si>
    <t xml:space="preserve">Participation fee</t>
  </si>
  <si>
    <t xml:space="preserve">HUF</t>
  </si>
  <si>
    <t xml:space="preserve">Bid security</t>
  </si>
  <si>
    <t xml:space="preserve">Performance security payable (bid security deducted)</t>
  </si>
  <si>
    <t xml:space="preserve">TSO connection-request security</t>
  </si>
  <si>
    <t xml:space="preserve">Direct connection fee (per point ÷ bids sharing it)</t>
  </si>
  <si>
    <t xml:space="preserve">Indirect connection fee, payable (TSO security deducted)</t>
  </si>
  <si>
    <t xml:space="preserve">DEVEX</t>
  </si>
  <si>
    <t xml:space="preserve">Signing fee and DD</t>
  </si>
  <si>
    <t xml:space="preserve">Total cash to RtB (incl. signing and DD)</t>
  </si>
  <si>
    <t xml:space="preserve">Guarantees, securities and connection fees, DEVEX (EUR k)</t>
  </si>
  <si>
    <t xml:space="preserve">EUR k</t>
  </si>
  <si>
    <t xml:space="preserve">Cash to RtB by nature: sunk, returned, or borne by the buyer (EUR k)</t>
  </si>
  <si>
    <t xml:space="preserve">Who bears it</t>
  </si>
  <si>
    <t xml:space="preserve">Sunk fees and devex (signing and DD, participation fee, devex)</t>
  </si>
  <si>
    <t xml:space="preserve">FEP – sunk; recovered only via the claims at the sale</t>
  </si>
  <si>
    <t xml:space="preserve">Securities, returned (bid, performance, TSO connection request)</t>
  </si>
  <si>
    <t xml:space="preserve">FEP – cash out, returned or reimbursed at the sale</t>
  </si>
  <si>
    <t xml:space="preserve">Grid connection fees (direct + indirect, payable at HCSSZ)</t>
  </si>
  <si>
    <t xml:space="preserve">Buyer at RtB; FEP pays only if no buyer is found</t>
  </si>
  <si>
    <t xml:space="preserve">Total cash to RtB (= total above)</t>
  </si>
  <si>
    <t xml:space="preserve">Case A: FEP pre-funds everything</t>
  </si>
  <si>
    <t xml:space="preserve">Grid connection fees, share of the total</t>
  </si>
  <si>
    <t xml:space="preserve">FEP exposure if the buyer pays the grid connection fees</t>
  </si>
  <si>
    <t xml:space="preserve">Case B: FEP funds sunk fees, devex and securities only</t>
  </si>
  <si>
    <t xml:space="preserve">Capex breakdown to COD</t>
  </si>
  <si>
    <t xml:space="preserve">Turbines (route price, live case)</t>
  </si>
  <si>
    <t xml:space="preserve">Installation and erection</t>
  </si>
  <si>
    <t xml:space="preserve">Foundations</t>
  </si>
  <si>
    <t xml:space="preserve">Balance of plant – civil</t>
  </si>
  <si>
    <t xml:space="preserve">Balance of plant – electrical</t>
  </si>
  <si>
    <t xml:space="preserve">Owner's costs, engineering, PM, construction insurance</t>
  </si>
  <si>
    <t xml:space="preserve">Land purchase and easements</t>
  </si>
  <si>
    <t xml:space="preserve">Substation and 132 kV bay (scaled by MVA)</t>
  </si>
  <si>
    <t xml:space="preserve">Contingency (not on BESS)</t>
  </si>
  <si>
    <t xml:space="preserve">BESS (on BESS energy)</t>
  </si>
  <si>
    <t xml:space="preserve">Construction capex</t>
  </si>
  <si>
    <t xml:space="preserve">Connection fees (TSO security, direct, indirect)</t>
  </si>
  <si>
    <t xml:space="preserve">Municipal one-off</t>
  </si>
  <si>
    <t xml:space="preserve">Development (participation fee, devex, signing and DD)</t>
  </si>
  <si>
    <t xml:space="preserve">All-in cost to COD (securities excluded: returned)</t>
  </si>
  <si>
    <t xml:space="preserve">All-in cost per MW built</t>
  </si>
  <si>
    <t xml:space="preserve">All-in cost per MVA</t>
  </si>
  <si>
    <t xml:space="preserve">Devex breakdown (Bora: devex-file categories; tender fee and securities: above)</t>
  </si>
  <si>
    <t xml:space="preserve">Grid connection plan and agreement</t>
  </si>
  <si>
    <t xml:space="preserve">Land (reservation, purchase, contracting)</t>
  </si>
  <si>
    <t xml:space="preserve">Permits, zoning, cable rights</t>
  </si>
  <si>
    <t xml:space="preserve">Studies (wind, environment, ground)</t>
  </si>
  <si>
    <t xml:space="preserve">Legal, financial and other</t>
  </si>
  <si>
    <t xml:space="preserve">Contingency</t>
  </si>
  <si>
    <t xml:space="preserve">Devex total (= DEVEX line above)</t>
  </si>
  <si>
    <t xml:space="preserve">Returns RTB COD HTM</t>
  </si>
  <si>
    <t xml:space="preserve">RTB exit, Case A: buyer pays the grid connection fees (FEP does not pre-fund)</t>
  </si>
  <si>
    <t xml:space="preserve">Grid connection fees paid by the buyer (not FEP cash)</t>
  </si>
  <si>
    <t xml:space="preserve">Total FEP cash out to RtB (peak exposure)</t>
  </si>
  <si>
    <t xml:space="preserve">Total proceeds to FEP at the sale</t>
  </si>
  <si>
    <t xml:space="preserve">FEP profit, pre-tax</t>
  </si>
  <si>
    <t xml:space="preserve">FEP profit, post-tax</t>
  </si>
  <si>
    <t xml:space="preserve">MOIC, pre-tax</t>
  </si>
  <si>
    <t xml:space="preserve">IRR, pre-tax</t>
  </si>
  <si>
    <t xml:space="preserve">RTB exit, Case B: FEP pre-funds the grid connection fees, buyer reimburses them at the sale</t>
  </si>
  <si>
    <t xml:space="preserve">COD exit</t>
  </si>
  <si>
    <t xml:space="preserve">Total capex and costs to COD (incl. developer JV buyout at RtB)</t>
  </si>
  <si>
    <t xml:space="preserve">Sale price at COD</t>
  </si>
  <si>
    <t xml:space="preserve">Hold to maturity (EBITDA; CIT 15 %; 60 % levered case)</t>
  </si>
  <si>
    <t xml:space="preserve">Total capex and costs to COD</t>
  </si>
  <si>
    <t xml:space="preserve">Total revenue over the life</t>
  </si>
  <si>
    <t xml:space="preserve">Total opex over the life</t>
  </si>
  <si>
    <t xml:space="preserve">Total EBITDA over the life</t>
  </si>
  <si>
    <t xml:space="preserve">Project IRR, pre-tax</t>
  </si>
  <si>
    <t xml:space="preserve">NPV at the discount rate, at the first year end</t>
  </si>
  <si>
    <t xml:space="preserve">CIT over the life (15 %, no loss carry-forward)</t>
  </si>
  <si>
    <t xml:space="preserve">Project IRR, post-tax</t>
  </si>
  <si>
    <t xml:space="preserve">Debt at COD (60 %)</t>
  </si>
  <si>
    <t xml:space="preserve">Equity IRR, post-tax (60 % gearing)</t>
  </si>
  <si>
    <t xml:space="preserve">Minimum DSCR</t>
  </si>
  <si>
    <t xml:space="preserve">Annual cash flow per project (EUR k)</t>
  </si>
  <si>
    <t xml:space="preserve">Year</t>
  </si>
  <si>
    <t xml:space="preserve">year</t>
  </si>
  <si>
    <t xml:space="preserve">Spending (capex, fees, securities, devex), net</t>
  </si>
  <si>
    <t xml:space="preserve">Revenue</t>
  </si>
  <si>
    <t xml:space="preserve">Opex</t>
  </si>
  <si>
    <t xml:space="preserve">EBITDA</t>
  </si>
  <si>
    <t xml:space="preserve">Net cash flow</t>
  </si>
  <si>
    <t xml:space="preserve">Cumulative net cash flow</t>
  </si>
  <si>
    <t xml:space="preserve">Detailed calculations: claims, waterfall, dated flows, timelines, checks – expand the group</t>
  </si>
  <si>
    <t xml:space="preserve">RtB exit, Case B: FEP claims at the sale (interest to the freeze, act/365, capitalised 31-Dec)</t>
  </si>
  <si>
    <t xml:space="preserve">Interest accrual end (earlier of freeze and sale)</t>
  </si>
  <si>
    <t xml:space="preserve">date</t>
  </si>
  <si>
    <t xml:space="preserve">Accrual factor in the end year, cash rate</t>
  </si>
  <si>
    <t xml:space="preserve">Accrual factor in the end year, devex rate</t>
  </si>
  <si>
    <t xml:space="preserve">Days to the first 31-Dec from bid submission</t>
  </si>
  <si>
    <t xml:space="preserve">days</t>
  </si>
  <si>
    <t xml:space="preserve">Accrual factor from bid submission</t>
  </si>
  <si>
    <t xml:space="preserve">Days to the first 31-Dec from performance security posting</t>
  </si>
  <si>
    <t xml:space="preserve">Accrual factor from performance security posting</t>
  </si>
  <si>
    <t xml:space="preserve">Days to the first 31-Dec from TSO security payment</t>
  </si>
  <si>
    <t xml:space="preserve">Accrual factor from TSO security payment</t>
  </si>
  <si>
    <t xml:space="preserve">Days to the first 31-Dec from connection agreement (HCSSZ)</t>
  </si>
  <si>
    <t xml:space="preserve">Accrual factor from connection agreement (HCSSZ)</t>
  </si>
  <si>
    <t xml:space="preserve">Days to the first 31-Dec from devex payment (average)</t>
  </si>
  <si>
    <t xml:space="preserve">Accrual factor from devex payment (average)</t>
  </si>
  <si>
    <t xml:space="preserve">Claim on FEP's shareholder loan (JV only): participation fee (not reimbursed)</t>
  </si>
  <si>
    <t xml:space="preserve">Claim on FEP's shareholder loan (JV only): bid security (cash)</t>
  </si>
  <si>
    <t xml:space="preserve">Claim on FEP's shareholder loan (JV only): performance security payable (cash)</t>
  </si>
  <si>
    <t xml:space="preserve">Claim on FEP's shareholder loan (JV only): TSO connection-request security</t>
  </si>
  <si>
    <t xml:space="preserve">Claim on FEP's shareholder loan (JV only): direct connection fee</t>
  </si>
  <si>
    <t xml:space="preserve">Claim on FEP's shareholder loan (JV only): indirect connection fee, payable</t>
  </si>
  <si>
    <t xml:space="preserve">Claim on FEP's shareholder loan (JV only): devex, MAX(20 % accrued, 1× principal)</t>
  </si>
  <si>
    <t xml:space="preserve">Total FEP claims on its shareholder loans (JV only)</t>
  </si>
  <si>
    <t xml:space="preserve">Developer success fee due (DSA, capped)</t>
  </si>
  <si>
    <t xml:space="preserve">RtB exit, Case B: waterfall at the sale</t>
  </si>
  <si>
    <t xml:space="preserve">Buyer reimburses securities and connection fees at cost</t>
  </si>
  <si>
    <t xml:space="preserve">Total proceeds</t>
  </si>
  <si>
    <t xml:space="preserve">Less sale costs</t>
  </si>
  <si>
    <t xml:space="preserve">Less securities and fees repaid to FEP</t>
  </si>
  <si>
    <t xml:space="preserve">Less FEP claims at 12 % on FEP's shareholder loan (JV only)</t>
  </si>
  <si>
    <t xml:space="preserve">Less FEP devex return on FEP's shareholder loan (JV only)</t>
  </si>
  <si>
    <t xml:space="preserve">Less developer success fee (DSA)</t>
  </si>
  <si>
    <t xml:space="preserve">Distributable proceeds</t>
  </si>
  <si>
    <t xml:space="preserve">FEP share of distributable</t>
  </si>
  <si>
    <t xml:space="preserve">Developer share of distributable</t>
  </si>
  <si>
    <t xml:space="preserve">FEP cash flows, dated, Case B (outlays, then receipts at the sale)</t>
  </si>
  <si>
    <t xml:space="preserve">Date: Bora</t>
  </si>
  <si>
    <t xml:space="preserve">Performance security payable</t>
  </si>
  <si>
    <t xml:space="preserve">Direct connection fee</t>
  </si>
  <si>
    <t xml:space="preserve">Indirect connection fee, payable</t>
  </si>
  <si>
    <t xml:space="preserve">Devex</t>
  </si>
  <si>
    <t xml:space="preserve">FEP receipts at the sale (repaid, claims, share)</t>
  </si>
  <si>
    <t xml:space="preserve">CIT: claims taxed as interest; share gain exempt if share deal</t>
  </si>
  <si>
    <t xml:space="preserve">RtB exit, Case A: buyer pays the grid connection fees directly (FEP does not pre-fund them)</t>
  </si>
  <si>
    <t xml:space="preserve">Grid connection fees paid by the buyer at HCSSZ (direct + indirect, payable)</t>
  </si>
  <si>
    <t xml:space="preserve">FEP cash out to RtB, Case A (peak exposure)</t>
  </si>
  <si>
    <t xml:space="preserve">Case A: interest accrual end (earlier of freeze and sale A)</t>
  </si>
  <si>
    <t xml:space="preserve">Case A: accrual factor in the end year, cash rate</t>
  </si>
  <si>
    <t xml:space="preserve">Case A: accrual factor in the end year, devex rate</t>
  </si>
  <si>
    <t xml:space="preserve">Case A: days to the first 31-Dec from bid submission</t>
  </si>
  <si>
    <t xml:space="preserve">Case A: accrual factor from bid submission</t>
  </si>
  <si>
    <t xml:space="preserve">Case A: days to the first 31-Dec from performance security posting</t>
  </si>
  <si>
    <t xml:space="preserve">Case A: accrual factor from performance security posting</t>
  </si>
  <si>
    <t xml:space="preserve">Case A: days to the first 31-Dec from TSO security payment</t>
  </si>
  <si>
    <t xml:space="preserve">Case A: accrual factor from TSO security payment</t>
  </si>
  <si>
    <t xml:space="preserve">Case A: days to the first 31-Dec from devex payment (average)</t>
  </si>
  <si>
    <t xml:space="preserve">Case A: accrual factor from devex payment (average)</t>
  </si>
  <si>
    <t xml:space="preserve">Case A: claim on FEP's shareholder loan (JV only): participation fee (not reimbursed)</t>
  </si>
  <si>
    <t xml:space="preserve">Case A: claim on FEP's shareholder loan (JV only): bid security (cash)</t>
  </si>
  <si>
    <t xml:space="preserve">Case A: claim on FEP's shareholder loan (JV only): performance security payable (cash)</t>
  </si>
  <si>
    <t xml:space="preserve">Case A: claim on FEP's shareholder loan (JV only): TSO connection-request security</t>
  </si>
  <si>
    <t xml:space="preserve">Case A: claim on FEP's shareholder loan (JV only): devex, MAX(20 % accrued, 1× principal)</t>
  </si>
  <si>
    <t xml:space="preserve">Case A: developer success fee due (DSA to sale A, capped)</t>
  </si>
  <si>
    <t xml:space="preserve">Total FEP claims on its shareholder loans, Case A (JV only; no connection-fee claims)</t>
  </si>
  <si>
    <t xml:space="preserve">Waterfall at the sale, Case A</t>
  </si>
  <si>
    <t xml:space="preserve">Buyer reimburses securities at cost (no connection fees to reimburse)</t>
  </si>
  <si>
    <t xml:space="preserve">Less securities repaid to FEP</t>
  </si>
  <si>
    <t xml:space="preserve">FEP cash flows, dated, Case A (no connection-fee outlays; sale A)</t>
  </si>
  <si>
    <t xml:space="preserve">Memo: pre-tax profit vs Case B (connection-fee claims no longer earned, FEP share)</t>
  </si>
  <si>
    <t xml:space="preserve">Annual timeline</t>
  </si>
  <si>
    <t xml:space="preserve">Year end</t>
  </si>
  <si>
    <t xml:space="preserve">Bora: annual cash flow (EUR k)</t>
  </si>
  <si>
    <t xml:space="preserve">Value</t>
  </si>
  <si>
    <t xml:space="preserve">Years from the COD year</t>
  </si>
  <si>
    <t xml:space="preserve">years</t>
  </si>
  <si>
    <t xml:space="preserve">Construction months by year end (value: construction period)</t>
  </si>
  <si>
    <t xml:space="preserve">months</t>
  </si>
  <si>
    <t xml:space="preserve">Construction share of the year (NTP to COD)</t>
  </si>
  <si>
    <t xml:space="preserve">Months operated by year end (value: operating life)</t>
  </si>
  <si>
    <t xml:space="preserve">Operating share of the year (COD to end of life)</t>
  </si>
  <si>
    <t xml:space="preserve">COD year flag</t>
  </si>
  <si>
    <t xml:space="preserve">FEP outlays at their dates (signing, fee, securities, fees, devex)</t>
  </si>
  <si>
    <t xml:space="preserve">Performance security released (bid security included)</t>
  </si>
  <si>
    <t xml:space="preserve">Construction capex (straight-line NTP to COD)</t>
  </si>
  <si>
    <t xml:space="preserve">Municipal one-off at COD</t>
  </si>
  <si>
    <t xml:space="preserve">Investment cash flow</t>
  </si>
  <si>
    <t xml:space="preserve">Degradation factor (from the first full year)</t>
  </si>
  <si>
    <t xml:space="preserve">Net generation</t>
  </si>
  <si>
    <t xml:space="preserve">GWh</t>
  </si>
  <si>
    <t xml:space="preserve">PPA price</t>
  </si>
  <si>
    <t xml:space="preserve">Opex index (COD year = 1)</t>
  </si>
  <si>
    <t xml:space="preserve">O&amp;M, BoP, lease, insurance, management, property tax</t>
  </si>
  <si>
    <t xml:space="preserve">Administration, audit, compliance</t>
  </si>
  <si>
    <t xml:space="preserve">Balancing and grid charges</t>
  </si>
  <si>
    <t xml:space="preserve">MEKH supervisory fee</t>
  </si>
  <si>
    <t xml:space="preserve">Opex contingency</t>
  </si>
  <si>
    <t xml:space="preserve">Community contribution</t>
  </si>
  <si>
    <t xml:space="preserve">HIPA local business tax</t>
  </si>
  <si>
    <t xml:space="preserve">Total opex</t>
  </si>
  <si>
    <t xml:space="preserve">Unlevered pre-tax cash flow</t>
  </si>
  <si>
    <t xml:space="preserve">Tax depreciation (all-in cost ÷ 20 years from the COD year)</t>
  </si>
  <si>
    <t xml:space="preserve">CIT (15 % × MAX(0, EBITDA − depreciation); no loss carry-forward)</t>
  </si>
  <si>
    <t xml:space="preserve">Unlevered post-tax cash flow</t>
  </si>
  <si>
    <t xml:space="preserve">Debt drawn at COD (gearing × all-in cost; no interest during construction)</t>
  </si>
  <si>
    <t xml:space="preserve">Debt service (annuity: interest + principal; value: annual amount)</t>
  </si>
  <si>
    <t xml:space="preserve">Debt balance at year end</t>
  </si>
  <si>
    <t xml:space="preserve">Equity cash flow (post-tax, 60 % gearing)</t>
  </si>
  <si>
    <t xml:space="preserve">DSCR ((EBITDA + CIT) ÷ debt service)</t>
  </si>
  <si>
    <t xml:space="preserve">Discount factor to COD (buyer's rate)</t>
  </si>
  <si>
    <t xml:space="preserve">EBITDA valued at COD (total = COD price)</t>
  </si>
  <si>
    <t xml:space="preserve">Developer JV buyout at RtB (developer waterfall share + DSA, at the sale date)</t>
  </si>
  <si>
    <t xml:space="preserve">COD exit: FEP cash flow (to COD, price and securities at COD)</t>
  </si>
  <si>
    <t xml:space="preserve">Iváncsa: annual cash flow (EUR k)</t>
  </si>
  <si>
    <t xml:space="preserve">Dunaújváros: annual cash flow (EUR k)</t>
  </si>
  <si>
    <t xml:space="preserve">COD exit: tax on the gain (price and profit: totals of the cash-flow blocks above)</t>
  </si>
  <si>
    <t xml:space="preserve">CIT on the gain (nil if share deal with participation exemption)</t>
  </si>
  <si>
    <t xml:space="preserve">Checks (0 = OK)</t>
  </si>
  <si>
    <t xml:space="preserve">Case B waterfall closes (proceeds = all amounts paid out)</t>
  </si>
  <si>
    <t xml:space="preserve">Claim lines paid before the accrual end year</t>
  </si>
  <si>
    <t xml:space="preserve">Turbine route is EU or CN</t>
  </si>
  <si>
    <t xml:space="preserve">Devex breakdown = DEVEX line</t>
  </si>
  <si>
    <t xml:space="preserve">Construction capex spread in full (timeline = capex)</t>
  </si>
  <si>
    <t xml:space="preserve">Investment cash flows = all-in cost to COD</t>
  </si>
  <si>
    <t xml:space="preserve">Operating life inside the timeline</t>
  </si>
  <si>
    <t xml:space="preserve">Sale date A before the HCSSZ date (Case A exits before the connection fees)</t>
  </si>
  <si>
    <t xml:space="preserve">Debt fully repaid at the end of the tenor (balance 0)</t>
  </si>
  <si>
    <t xml:space="preserve">Case A waterfall closes (proceeds = all amounts paid out)</t>
  </si>
  <si>
    <t xml:space="preserve">Master check</t>
  </si>
  <si>
    <t xml:space="preserve">***END***</t>
  </si>
  <si>
    <t xml:space="preserve">HU wind bids – other inputs (blue) with sources</t>
  </si>
  <si>
    <t xml:space="preserve">Inputs</t>
  </si>
  <si>
    <t xml:space="preserve">Source</t>
  </si>
  <si>
    <t xml:space="preserve">Tender and grid (all projects; value in column E)</t>
  </si>
  <si>
    <t xml:space="preserve">FX rate</t>
  </si>
  <si>
    <t xml:space="preserve">HUF/EUR</t>
  </si>
  <si>
    <t xml:space="preserve">Bora Inputs E11; Bid_Cash E45</t>
  </si>
  <si>
    <t xml:space="preserve">Security base: benchmark investment, wind</t>
  </si>
  <si>
    <t xml:space="preserve">HUF/MW</t>
  </si>
  <si>
    <t xml:space="preserve">Bora Inputs E75; Bid_Cash E46</t>
  </si>
  <si>
    <t xml:space="preserve">Security base: benchmark investment, BESS</t>
  </si>
  <si>
    <t xml:space="preserve">HUF/MWh</t>
  </si>
  <si>
    <t xml:space="preserve">Bora Inputs E89; Bid_Cash E47</t>
  </si>
  <si>
    <t xml:space="preserve">Bid security, share of base</t>
  </si>
  <si>
    <t xml:space="preserve">Bora Inputs E76; Bid_Cash E49</t>
  </si>
  <si>
    <t xml:space="preserve">Performance security, minimum share of base</t>
  </si>
  <si>
    <t xml:space="preserve">Bora Inputs E77; Bid_Cash E50</t>
  </si>
  <si>
    <t xml:space="preserve">Participation fee per bid</t>
  </si>
  <si>
    <t xml:space="preserve">Bora Inputs E81; Bid_Cash E48</t>
  </si>
  <si>
    <t xml:space="preserve">HUF/MVA</t>
  </si>
  <si>
    <t xml:space="preserve">Bora Inputs E83; Bid_Cash E51</t>
  </si>
  <si>
    <t xml:space="preserve">Per project: fees, devex, dates</t>
  </si>
  <si>
    <t xml:space="preserve">Indirect connection fee</t>
  </si>
  <si>
    <t xml:space="preserve">Bora Inputs G290; Bid_Cash E52</t>
  </si>
  <si>
    <t xml:space="preserve">Direct connection fee per connection point</t>
  </si>
  <si>
    <t xml:space="preserve">Bora Inputs G291; Bid_Cash E53</t>
  </si>
  <si>
    <t xml:space="preserve">Bids sharing the connection point</t>
  </si>
  <si>
    <t xml:space="preserve">count</t>
  </si>
  <si>
    <t xml:space="preserve">Bora: 2 bids per point (SPEC §22.2)</t>
  </si>
  <si>
    <t xml:space="preserve">Bora E24+E25: 400 × 50/200; Bid_Cash E55</t>
  </si>
  <si>
    <t xml:space="preserve">Devex: grid connection plan and agreement</t>
  </si>
  <si>
    <t xml:space="preserve">Bora share × F25/G25 (Iváncsa, Dunaújváros); Bora: Devex_FEP × 50/100 MVA</t>
  </si>
  <si>
    <t xml:space="preserve">Devex: land (reservation, purchase, contracting)</t>
  </si>
  <si>
    <t xml:space="preserve">Devex: permits, zoning, cable rights</t>
  </si>
  <si>
    <t xml:space="preserve">Devex: studies (wind, environment, ground)</t>
  </si>
  <si>
    <t xml:space="preserve">Devex: legal, financial and other</t>
  </si>
  <si>
    <t xml:space="preserve">Devex: contingency</t>
  </si>
  <si>
    <t xml:space="preserve">Devex total, Iváncsa and Dunaújváros (allocated pro rata to Bora's categories)</t>
  </si>
  <si>
    <t xml:space="preserve">User, 27-Oct-26: EUR 1m per project, split as Bora</t>
  </si>
  <si>
    <t xml:space="preserve">EU transformers ≥ 80 % (ÖSZ-9)</t>
  </si>
  <si>
    <t xml:space="preserve">Bid_Cash E16; SPEC §23.1</t>
  </si>
  <si>
    <t xml:space="preserve">Signing fee and DD paid</t>
  </si>
  <si>
    <t xml:space="preserve">Bora Inputs E27; Bid_Cash E34</t>
  </si>
  <si>
    <t xml:space="preserve">Bid submission: fee paid, bid security posted</t>
  </si>
  <si>
    <t xml:space="preserve">Bora Inputs E95; Bid_Cash E35</t>
  </si>
  <si>
    <t xml:space="preserve">Performance security posted</t>
  </si>
  <si>
    <t xml:space="preserve">Bora Deposits K10 (E96 + 17 d); Bid_Cash E36</t>
  </si>
  <si>
    <t xml:space="preserve">TSO security paid</t>
  </si>
  <si>
    <t xml:space="preserve">Bora Inputs E97; Bid_Cash E37</t>
  </si>
  <si>
    <t xml:space="preserve">Connection agreement (HCSSZ): fees paid</t>
  </si>
  <si>
    <t xml:space="preserve">Bora Inputs E99; Bid_Cash E39</t>
  </si>
  <si>
    <t xml:space="preserve">Devex average payment date</t>
  </si>
  <si>
    <t xml:space="preserve">Bora Devex_FEP, amount-weighted; Bid_Cash 'continuous'</t>
  </si>
  <si>
    <t xml:space="preserve">Notice to proceed</t>
  </si>
  <si>
    <t xml:space="preserve">Bora Inputs E154; Bid_Cash E40</t>
  </si>
  <si>
    <t xml:space="preserve">COD</t>
  </si>
  <si>
    <t xml:space="preserve">Bora Inputs E155; Bid_Cash E41</t>
  </si>
  <si>
    <t xml:space="preserve">Performance security released</t>
  </si>
  <si>
    <t xml:space="preserve">Bid_Cash E42 (Kiírás XII.13, estimate)</t>
  </si>
  <si>
    <t xml:space="preserve">DSA accrual start</t>
  </si>
  <si>
    <t xml:space="preserve">Bora Inputs E70; others: signing (DSA off)</t>
  </si>
  <si>
    <t xml:space="preserve">RtB exit terms (all projects; value in column E)</t>
  </si>
  <si>
    <t xml:space="preserve">Claim rate, cash lines (incl. cash-posted securities)</t>
  </si>
  <si>
    <t xml:space="preserve">Devex file V18; SPEC §21.1</t>
  </si>
  <si>
    <t xml:space="preserve">Claim rate, devex</t>
  </si>
  <si>
    <t xml:space="preserve">Devex file V19</t>
  </si>
  <si>
    <t xml:space="preserve">Devex minimum return multiple</t>
  </si>
  <si>
    <t xml:space="preserve">Devex file V20</t>
  </si>
  <si>
    <t xml:space="preserve">Interest freeze date</t>
  </si>
  <si>
    <t xml:space="preserve">Devex file V24</t>
  </si>
  <si>
    <t xml:space="preserve">Sale date, Case B (RtB exit after HCSSZ)</t>
  </si>
  <si>
    <t xml:space="preserve">Bora Inputs E58; SPEC §21.1</t>
  </si>
  <si>
    <t xml:space="preserve">Sale date, Case A (before HCSSZ)</t>
  </si>
  <si>
    <t xml:space="preserve">SPEC §25.2 (user, 28-Oct-2026)</t>
  </si>
  <si>
    <t xml:space="preserve">Sale costs per project</t>
  </si>
  <si>
    <t xml:space="preserve">SPEC §21.1</t>
  </si>
  <si>
    <t xml:space="preserve">Developer success fee (on committed MW, 30/360)</t>
  </si>
  <si>
    <t xml:space="preserve">Bora Inputs E36</t>
  </si>
  <si>
    <t xml:space="preserve">Developer success fee cap</t>
  </si>
  <si>
    <t xml:space="preserve">Bora Inputs E37</t>
  </si>
  <si>
    <t xml:space="preserve">Corporate income tax on exit gains and on operating profit</t>
  </si>
  <si>
    <t xml:space="preserve">SPEC §24.1 / §25.3 (15 %)</t>
  </si>
  <si>
    <t xml:space="preserve">Share deal, participation exemption on the share gain (1 = on); claims taxed as interest</t>
  </si>
  <si>
    <t xml:space="preserve">Tax depreciation period (straight line from the COD year)</t>
  </si>
  <si>
    <t xml:space="preserve">Bora model Inputs G215</t>
  </si>
  <si>
    <t xml:space="preserve">Gearing (debt ÷ all-in cost to COD)</t>
  </si>
  <si>
    <t xml:space="preserve">Bora model Inputs G219</t>
  </si>
  <si>
    <t xml:space="preserve">Debt interest rate</t>
  </si>
  <si>
    <t xml:space="preserve">Bora model Inputs G220</t>
  </si>
  <si>
    <t xml:space="preserve">Debt tenor (annuity from the first full year)</t>
  </si>
  <si>
    <t xml:space="preserve">Bora model Inputs G222</t>
  </si>
  <si>
    <t xml:space="preserve">Capex (per MW of wind built unless stated; turbines: case table on the Dashboard)</t>
  </si>
  <si>
    <t xml:space="preserve">Turbine installation and erection</t>
  </si>
  <si>
    <t xml:space="preserve">Bora Inputs G163</t>
  </si>
  <si>
    <t xml:space="preserve">Bora Inputs G164</t>
  </si>
  <si>
    <t xml:space="preserve">Bora Inputs G165</t>
  </si>
  <si>
    <t xml:space="preserve">Bora Inputs G166</t>
  </si>
  <si>
    <t xml:space="preserve">Bora Inputs G169</t>
  </si>
  <si>
    <t xml:space="preserve">Bora Inputs G170</t>
  </si>
  <si>
    <t xml:space="preserve">On-site substation and 132 kV bay (lump sum)</t>
  </si>
  <si>
    <t xml:space="preserve">Bora Inputs G167</t>
  </si>
  <si>
    <t xml:space="preserve">Source basis of the lump sums</t>
  </si>
  <si>
    <t xml:space="preserve">Bora Inputs E305</t>
  </si>
  <si>
    <t xml:space="preserve">Capex contingency (not on BESS)</t>
  </si>
  <si>
    <t xml:space="preserve">Bora Inputs G173</t>
  </si>
  <si>
    <t xml:space="preserve">BESS capex</t>
  </si>
  <si>
    <t xml:space="preserve">EUR k/MWh</t>
  </si>
  <si>
    <t xml:space="preserve">CLAUDE.md standing assumption, 15-Oct-26</t>
  </si>
  <si>
    <t xml:space="preserve">Generation (hours and PPA price: case table on the Dashboard)</t>
  </si>
  <si>
    <t xml:space="preserve">Curtailment</t>
  </si>
  <si>
    <t xml:space="preserve">Bora Inputs G183</t>
  </si>
  <si>
    <t xml:space="preserve">Clipping</t>
  </si>
  <si>
    <t xml:space="preserve">Bora Dash_Clip_Override (user, 26-Oct-26)</t>
  </si>
  <si>
    <t xml:space="preserve">Degradation</t>
  </si>
  <si>
    <t xml:space="preserve">% p.a.</t>
  </si>
  <si>
    <t xml:space="preserve">Bora Inputs G184</t>
  </si>
  <si>
    <t xml:space="preserve">PPA escalation</t>
  </si>
  <si>
    <t xml:space="preserve">Bora Inputs G194</t>
  </si>
  <si>
    <t xml:space="preserve">Opex (COD-year prices; O&amp;M contract: case table on the Dashboard)</t>
  </si>
  <si>
    <t xml:space="preserve">Balance of plant maintenance</t>
  </si>
  <si>
    <t xml:space="preserve">Bora Inputs G204</t>
  </si>
  <si>
    <t xml:space="preserve">Land lease</t>
  </si>
  <si>
    <t xml:space="preserve">Bora Inputs G205</t>
  </si>
  <si>
    <t xml:space="preserve">Operational insurance</t>
  </si>
  <si>
    <t xml:space="preserve">Bora Inputs G206</t>
  </si>
  <si>
    <t xml:space="preserve">Asset and commercial management</t>
  </si>
  <si>
    <t xml:space="preserve">Bora Inputs G207</t>
  </si>
  <si>
    <t xml:space="preserve">Property tax</t>
  </si>
  <si>
    <t xml:space="preserve">Bora Inputs G208</t>
  </si>
  <si>
    <t xml:space="preserve">Administration, audit, compliance (at the source basis)</t>
  </si>
  <si>
    <t xml:space="preserve">EUR k/yr</t>
  </si>
  <si>
    <t xml:space="preserve">Bora Inputs G209</t>
  </si>
  <si>
    <t xml:space="preserve">Balancing cost</t>
  </si>
  <si>
    <t xml:space="preserve">Bora Inputs G196</t>
  </si>
  <si>
    <t xml:space="preserve">Grid use-of-system charges</t>
  </si>
  <si>
    <t xml:space="preserve">Bora Inputs G197</t>
  </si>
  <si>
    <t xml:space="preserve">% of rev.</t>
  </si>
  <si>
    <t xml:space="preserve">Bora Inputs G198</t>
  </si>
  <si>
    <t xml:space="preserve">Bora Inputs G212</t>
  </si>
  <si>
    <t xml:space="preserve">Opex contingency (not on community, HIPA)</t>
  </si>
  <si>
    <t xml:space="preserve">Bora Inputs G210</t>
  </si>
  <si>
    <t xml:space="preserve">Opex escalation</t>
  </si>
  <si>
    <t xml:space="preserve">Bora Inputs G211</t>
  </si>
  <si>
    <t xml:space="preserve">Valuation, timeline and constants</t>
  </si>
  <si>
    <t xml:space="preserve">Operating life from COD</t>
  </si>
  <si>
    <t xml:space="preserve">Bora Inputs G157</t>
  </si>
  <si>
    <t xml:space="preserve">Discount rate (buyer's pre-tax return at COD)</t>
  </si>
  <si>
    <t xml:space="preserve">Bora Inputs G226</t>
  </si>
  <si>
    <t xml:space="preserve">First year of the annual timeline</t>
  </si>
  <si>
    <t xml:space="preserve">Year of the first signing</t>
  </si>
  <si>
    <t xml:space="preserve">Thousand</t>
  </si>
  <si>
    <t xml:space="preserve">Constant</t>
  </si>
  <si>
    <t xml:space="preserve">Days in a year (act/365)</t>
  </si>
  <si>
    <t xml:space="preserve">Months in a year</t>
  </si>
  <si>
    <t xml:space="preserve">Check tolerance</t>
  </si>
  <si>
    <t xml:space="preserve">Band tables for the points (ÖSZ, Kiírás Annex 4) – expand the group</t>
  </si>
  <si>
    <t xml:space="preserve">Values →</t>
  </si>
  <si>
    <t xml:space="preserve">Osz1_LB</t>
  </si>
  <si>
    <t xml:space="preserve">Osz1_Incl</t>
  </si>
  <si>
    <t xml:space="preserve">Osz1_Pts</t>
  </si>
  <si>
    <t xml:space="preserve">Osz2_LB</t>
  </si>
  <si>
    <t xml:space="preserve">Osz2_Incl</t>
  </si>
  <si>
    <t xml:space="preserve">Osz2_Pts</t>
  </si>
  <si>
    <t xml:space="preserve">Osz3_LB</t>
  </si>
  <si>
    <t xml:space="preserve">Osz3_Incl</t>
  </si>
  <si>
    <t xml:space="preserve">Osz3_Pts</t>
  </si>
  <si>
    <t xml:space="preserve">Osz6_LB</t>
  </si>
  <si>
    <t xml:space="preserve">Osz6_Incl</t>
  </si>
  <si>
    <t xml:space="preserve">Osz6_Pts</t>
  </si>
  <si>
    <t xml:space="preserve">Osz5_Pts</t>
  </si>
  <si>
    <t xml:space="preserve">Osz7_Pts</t>
  </si>
  <si>
    <t xml:space="preserve">Osz8_Pts</t>
  </si>
  <si>
    <t xml:space="preserve">Osz9a_Pts</t>
  </si>
  <si>
    <t xml:space="preserve">Osz9b_Pts</t>
  </si>
  <si>
    <t xml:space="preserve">Osz1_W</t>
  </si>
  <si>
    <t xml:space="preserve">Osz2_W</t>
  </si>
  <si>
    <t xml:space="preserve">Osz3_W</t>
  </si>
  <si>
    <t xml:space="preserve">Osz4_W</t>
  </si>
  <si>
    <t xml:space="preserve">Osz5_W</t>
  </si>
  <si>
    <t xml:space="preserve">Osz6_W</t>
  </si>
  <si>
    <t xml:space="preserve">Osz7_W</t>
  </si>
  <si>
    <t xml:space="preserve">Osz8_W</t>
  </si>
  <si>
    <t xml:space="preserve">Osz9_W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</si>
</sst>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&quot;CHECK &quot;0;&quot;CHECK -&quot;0;&quot;OK&quot;"/>
    <numFmt numFmtId="166" formatCode="#,##0;\(#,##0\);\–"/>
    <numFmt numFmtId="167" formatCode="0.0%;\(0.0%\);\–"/>
    <numFmt numFmtId="168" formatCode="#,##0.0;\(#,##0.0\);\–"/>
    <numFmt numFmtId="169" formatCode="0"/>
    <numFmt numFmtId="170" formatCode="0.00\x"/>
    <numFmt numFmtId="171" formatCode="#,##0"/>
    <numFmt numFmtId="172" formatCode="d\-mmm\-yy"/>
    <numFmt numFmtId="173" formatCode="0.0%"/>
    <numFmt numFmtId="174" formatCode="0.0000"/>
    <numFmt numFmtId="175" formatCode="#,##0.00;\(#,##0.00\);\–"/>
    <numFmt numFmtId="176" formatCode="0;\-0;\–"/>
    <numFmt numFmtId="177" formatCode="0.000;\(0.000\);\–"/>
    <numFmt numFmtId="178" formatCode="#,##0.00"/>
    <numFmt numFmtId="179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color rgb="FF0000FF"/>
      <name val="Aptos Narrow"/>
      <family val="0"/>
      <charset val="1"/>
    </font>
    <font>
      <b val="true"/>
      <sz val="10"/>
      <color rgb="FF000000"/>
      <name val="Aptos Narrow"/>
      <family val="2"/>
      <charset val="1"/>
    </font>
    <font>
      <b val="true"/>
      <i val="true"/>
      <sz val="10"/>
      <color rgb="FF808080"/>
      <name val="Aptos Narrow"/>
      <family val="2"/>
      <charset val="1"/>
    </font>
    <font>
      <i val="true"/>
      <sz val="10"/>
      <color rgb="FF808080"/>
      <name val="Aptos Narrow"/>
      <family val="2"/>
      <charset val="1"/>
    </font>
    <font>
      <b val="true"/>
      <sz val="11"/>
      <color theme="1"/>
      <name val="Calibri"/>
      <family val="2"/>
      <charset val="238"/>
    </font>
    <font>
      <b val="true"/>
      <sz val="10"/>
      <color rgb="FFFFFFFF"/>
      <name val="Aptos Narrow"/>
      <family val="2"/>
      <charset val="1"/>
    </font>
    <font>
      <b val="true"/>
      <sz val="10"/>
      <color rgb="FFFFFFFF"/>
      <name val="Aptos Narrow"/>
      <family val="2"/>
      <charset val="238"/>
    </font>
    <font>
      <b val="true"/>
      <sz val="10"/>
      <color rgb="FF3C3C3B"/>
      <name val="Aptos Narrow"/>
      <family val="2"/>
      <charset val="1"/>
    </font>
    <font>
      <b val="true"/>
      <sz val="10"/>
      <color rgb="FF3C3C3B"/>
      <name val="Aptos Narrow"/>
      <family val="0"/>
      <charset val="1"/>
    </font>
    <font>
      <i val="true"/>
      <sz val="10"/>
      <color rgb="FF000000"/>
      <name val="Aptos Narrow"/>
      <family val="2"/>
      <charset val="1"/>
    </font>
    <font>
      <b val="true"/>
      <sz val="10"/>
      <color rgb="FF808080"/>
      <name val="Aptos Narrow"/>
      <family val="0"/>
      <charset val="1"/>
    </font>
    <font>
      <sz val="10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DEADA"/>
      </patternFill>
    </fill>
    <fill>
      <patternFill patternType="solid">
        <fgColor theme="0"/>
        <bgColor rgb="FFE6F4EC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DE9D9"/>
      </patternFill>
    </fill>
    <fill>
      <patternFill patternType="solid">
        <fgColor rgb="FFFDE9D9"/>
        <bgColor rgb="FFFDEADA"/>
      </patternFill>
    </fill>
    <fill>
      <patternFill patternType="solid">
        <fgColor rgb="FFE6F4EC"/>
        <bgColor rgb="FFFDEA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B050"/>
      </font>
    </dxf>
    <dxf>
      <font>
        <b val="1"/>
        <color rgb="FFFF000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S41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F12" activeCellId="0" sqref="F12"/>
    </sheetView>
  </sheetViews>
  <sheetFormatPr defaultColWidth="8.6796875" defaultRowHeight="14.25" zeroHeight="false" outlineLevelRow="1" outlineLevelCol="0"/>
  <cols>
    <col collapsed="false" customWidth="true" hidden="false" outlineLevel="0" max="2" min="1" style="0" width="2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2"/>
    <col collapsed="false" customWidth="true" hidden="false" outlineLevel="0" max="45" min="10" style="0" width="10"/>
  </cols>
  <sheetData>
    <row r="2" customFormat="false" ht="14.2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1" t="s">
        <v>1</v>
      </c>
      <c r="D3" s="2" t="s">
        <v>2</v>
      </c>
      <c r="H3" s="3" t="n">
        <f aca="false">Master_Check</f>
        <v>0</v>
      </c>
    </row>
    <row r="5" customFormat="false" ht="14.25" hidden="false" customHeight="false" outlineLevel="0" collapsed="false">
      <c r="B5" s="4" t="s">
        <v>3</v>
      </c>
      <c r="C5" s="4" t="s">
        <v>4</v>
      </c>
      <c r="D5" s="4"/>
      <c r="E5" s="5" t="s">
        <v>5</v>
      </c>
      <c r="F5" s="5" t="s">
        <v>6</v>
      </c>
      <c r="G5" s="5" t="s">
        <v>7</v>
      </c>
      <c r="H5" s="5" t="s">
        <v>8</v>
      </c>
    </row>
    <row r="6" customFormat="false" ht="14.25" hidden="false" customHeight="false" outlineLevel="0" collapsed="false">
      <c r="C6" s="6" t="s">
        <v>9</v>
      </c>
      <c r="D6" s="2" t="s">
        <v>10</v>
      </c>
      <c r="E6" s="7" t="n">
        <v>50</v>
      </c>
      <c r="F6" s="7" t="n">
        <v>50</v>
      </c>
      <c r="G6" s="7" t="n">
        <v>50</v>
      </c>
      <c r="H6" s="8" t="n">
        <f aca="false">SUM(E6:G6)</f>
        <v>150</v>
      </c>
    </row>
    <row r="7" customFormat="false" ht="14.25" hidden="false" customHeight="false" outlineLevel="0" collapsed="false">
      <c r="C7" s="6" t="s">
        <v>11</v>
      </c>
      <c r="D7" s="2" t="s">
        <v>12</v>
      </c>
      <c r="E7" s="9" t="n">
        <v>0</v>
      </c>
      <c r="F7" s="9" t="n">
        <v>0.4</v>
      </c>
      <c r="G7" s="9" t="n">
        <v>0.4</v>
      </c>
    </row>
    <row r="8" customFormat="false" ht="14.25" hidden="false" customHeight="false" outlineLevel="0" collapsed="false">
      <c r="C8" s="6" t="s">
        <v>13</v>
      </c>
      <c r="D8" s="2" t="s">
        <v>12</v>
      </c>
      <c r="E8" s="9" t="n">
        <v>0</v>
      </c>
      <c r="F8" s="9" t="n">
        <v>0.2</v>
      </c>
      <c r="G8" s="9" t="n">
        <v>0.2</v>
      </c>
    </row>
    <row r="9" customFormat="false" ht="14.25" hidden="false" customHeight="false" outlineLevel="0" collapsed="false">
      <c r="C9" s="6" t="s">
        <v>14</v>
      </c>
      <c r="D9" s="2" t="s">
        <v>15</v>
      </c>
      <c r="E9" s="7" t="n">
        <v>4</v>
      </c>
      <c r="F9" s="7" t="n">
        <v>4</v>
      </c>
      <c r="G9" s="7" t="n">
        <v>4</v>
      </c>
    </row>
    <row r="10" customFormat="false" ht="14.25" hidden="false" customHeight="false" outlineLevel="0" collapsed="false">
      <c r="C10" s="6" t="s">
        <v>16</v>
      </c>
      <c r="D10" s="2" t="s">
        <v>12</v>
      </c>
      <c r="E10" s="9" t="n">
        <v>0</v>
      </c>
      <c r="F10" s="9" t="n">
        <v>0</v>
      </c>
      <c r="G10" s="9" t="n">
        <v>0</v>
      </c>
    </row>
    <row r="11" customFormat="false" ht="14.25" hidden="false" customHeight="false" outlineLevel="0" collapsed="false">
      <c r="C11" s="6" t="s">
        <v>17</v>
      </c>
      <c r="D11" s="2" t="s">
        <v>18</v>
      </c>
      <c r="E11" s="7" t="n">
        <v>20</v>
      </c>
      <c r="F11" s="7" t="n">
        <v>50</v>
      </c>
      <c r="G11" s="7" t="n">
        <v>50</v>
      </c>
    </row>
    <row r="12" customFormat="false" ht="14.25" hidden="false" customHeight="false" outlineLevel="0" collapsed="false">
      <c r="C12" s="6" t="s">
        <v>19</v>
      </c>
      <c r="D12" s="2" t="s">
        <v>20</v>
      </c>
      <c r="E12" s="10" t="n">
        <v>0</v>
      </c>
      <c r="F12" s="10" t="n">
        <v>3</v>
      </c>
      <c r="G12" s="10" t="n">
        <v>3</v>
      </c>
    </row>
    <row r="13" customFormat="false" ht="14.25" hidden="false" customHeight="false" outlineLevel="0" collapsed="false">
      <c r="C13" s="6" t="s">
        <v>21</v>
      </c>
      <c r="D13" s="2" t="s">
        <v>2</v>
      </c>
      <c r="E13" s="11" t="n">
        <v>1</v>
      </c>
      <c r="F13" s="11" t="n">
        <v>1</v>
      </c>
      <c r="G13" s="11" t="n">
        <v>1</v>
      </c>
    </row>
    <row r="14" customFormat="false" ht="14.25" hidden="false" customHeight="false" outlineLevel="0" collapsed="false">
      <c r="C14" s="6" t="s">
        <v>22</v>
      </c>
      <c r="D14" s="2" t="s">
        <v>3</v>
      </c>
      <c r="E14" s="12" t="n">
        <v>1</v>
      </c>
      <c r="F14" s="12" t="n">
        <v>1</v>
      </c>
      <c r="G14" s="12" t="n">
        <v>1</v>
      </c>
    </row>
    <row r="15" customFormat="false" ht="14.25" hidden="false" customHeight="false" outlineLevel="0" collapsed="false">
      <c r="C15" s="6" t="s">
        <v>23</v>
      </c>
      <c r="D15" s="2" t="s">
        <v>2</v>
      </c>
      <c r="E15" s="11" t="n">
        <v>0</v>
      </c>
      <c r="F15" s="11" t="n">
        <v>0</v>
      </c>
      <c r="G15" s="11" t="n">
        <v>0</v>
      </c>
    </row>
    <row r="16" customFormat="false" ht="14.25" hidden="false" customHeight="false" outlineLevel="0" collapsed="false">
      <c r="C16" s="6" t="s">
        <v>24</v>
      </c>
      <c r="D16" s="2" t="s">
        <v>2</v>
      </c>
      <c r="E16" s="11" t="n">
        <v>1</v>
      </c>
      <c r="F16" s="11" t="n">
        <v>1</v>
      </c>
      <c r="G16" s="11" t="n">
        <v>1</v>
      </c>
    </row>
    <row r="17" customFormat="false" ht="14.25" hidden="false" customHeight="false" outlineLevel="0" collapsed="false">
      <c r="C17" s="6" t="s">
        <v>25</v>
      </c>
      <c r="D17" s="2" t="s">
        <v>26</v>
      </c>
      <c r="E17" s="13" t="s">
        <v>27</v>
      </c>
      <c r="F17" s="13" t="s">
        <v>27</v>
      </c>
      <c r="G17" s="13" t="s">
        <v>27</v>
      </c>
    </row>
    <row r="18" customFormat="false" ht="14.25" hidden="false" customHeight="false" outlineLevel="0" collapsed="false">
      <c r="C18" s="6" t="s">
        <v>28</v>
      </c>
      <c r="D18" s="2" t="s">
        <v>18</v>
      </c>
      <c r="E18" s="7" t="n">
        <v>150</v>
      </c>
      <c r="F18" s="7" t="n">
        <v>150</v>
      </c>
      <c r="G18" s="7" t="n">
        <v>150</v>
      </c>
    </row>
    <row r="19" customFormat="false" ht="14.25" hidden="false" customHeight="false" outlineLevel="0" collapsed="false">
      <c r="C19" s="6" t="s">
        <v>29</v>
      </c>
      <c r="D19" s="2" t="s">
        <v>12</v>
      </c>
      <c r="E19" s="9" t="n">
        <v>0.7</v>
      </c>
      <c r="F19" s="9" t="n">
        <v>1</v>
      </c>
      <c r="G19" s="9" t="n">
        <v>1</v>
      </c>
    </row>
    <row r="20" customFormat="false" ht="14.25" hidden="false" customHeight="false" outlineLevel="0" collapsed="false">
      <c r="C20" s="6" t="s">
        <v>30</v>
      </c>
      <c r="D20" s="2" t="s">
        <v>2</v>
      </c>
      <c r="E20" s="11" t="n">
        <v>1</v>
      </c>
      <c r="F20" s="11" t="n">
        <v>0</v>
      </c>
      <c r="G20" s="11" t="n">
        <v>0</v>
      </c>
    </row>
    <row r="21" customFormat="false" ht="14.25" hidden="false" customHeight="false" outlineLevel="0" collapsed="false">
      <c r="C21" s="6" t="s">
        <v>31</v>
      </c>
      <c r="D21" s="2" t="s">
        <v>2</v>
      </c>
      <c r="E21" s="11" t="n">
        <v>1</v>
      </c>
      <c r="F21" s="11" t="n">
        <v>0</v>
      </c>
      <c r="G21" s="11" t="n">
        <v>0</v>
      </c>
    </row>
    <row r="22" customFormat="false" ht="14.25" hidden="false" customHeight="false" outlineLevel="0" collapsed="false">
      <c r="C22" s="6" t="s">
        <v>32</v>
      </c>
      <c r="D22" s="2" t="s">
        <v>33</v>
      </c>
      <c r="E22" s="14" t="n">
        <v>2500</v>
      </c>
      <c r="F22" s="14" t="n">
        <v>2500</v>
      </c>
      <c r="G22" s="14" t="n">
        <v>2500</v>
      </c>
    </row>
    <row r="24" customFormat="false" ht="14.25" hidden="false" customHeight="false" outlineLevel="0" collapsed="false">
      <c r="B24" s="4" t="s">
        <v>3</v>
      </c>
      <c r="C24" s="4" t="s">
        <v>34</v>
      </c>
      <c r="D24" s="4"/>
      <c r="E24" s="5" t="s">
        <v>35</v>
      </c>
      <c r="F24" s="5" t="s">
        <v>36</v>
      </c>
      <c r="G24" s="5" t="s">
        <v>37</v>
      </c>
      <c r="H24" s="5" t="s">
        <v>38</v>
      </c>
    </row>
    <row r="25" customFormat="false" ht="14.25" hidden="false" customHeight="false" outlineLevel="0" collapsed="false">
      <c r="C25" s="1" t="s">
        <v>39</v>
      </c>
      <c r="D25" s="2" t="s">
        <v>40</v>
      </c>
      <c r="H25" s="13" t="s">
        <v>35</v>
      </c>
    </row>
    <row r="26" customFormat="false" ht="14.25" hidden="false" customHeight="false" outlineLevel="0" collapsed="false">
      <c r="C26" s="6" t="s">
        <v>41</v>
      </c>
      <c r="D26" s="2" t="s">
        <v>42</v>
      </c>
      <c r="E26" s="7" t="n">
        <v>850</v>
      </c>
      <c r="F26" s="7" t="n">
        <v>950</v>
      </c>
      <c r="G26" s="7" t="n">
        <v>800</v>
      </c>
      <c r="H26" s="15" t="n">
        <f aca="false">INDEX(E26:G26,MATCH(Dash_Case,$E$24:$G$24,0))</f>
        <v>850</v>
      </c>
      <c r="J26" s="2" t="s">
        <v>43</v>
      </c>
    </row>
    <row r="27" customFormat="false" ht="14.25" hidden="false" customHeight="false" outlineLevel="0" collapsed="false">
      <c r="C27" s="6" t="s">
        <v>44</v>
      </c>
      <c r="D27" s="2" t="s">
        <v>42</v>
      </c>
      <c r="E27" s="7" t="n">
        <v>500</v>
      </c>
      <c r="F27" s="7" t="n">
        <v>600</v>
      </c>
      <c r="G27" s="7" t="n">
        <v>480</v>
      </c>
      <c r="H27" s="15" t="n">
        <f aca="false">INDEX(E27:G27,MATCH(Dash_Case,$E$24:$G$24,0))</f>
        <v>500</v>
      </c>
      <c r="J27" s="2" t="s">
        <v>45</v>
      </c>
    </row>
    <row r="28" customFormat="false" ht="14.25" hidden="false" customHeight="false" outlineLevel="0" collapsed="false">
      <c r="C28" s="6" t="s">
        <v>46</v>
      </c>
      <c r="D28" s="2" t="s">
        <v>20</v>
      </c>
      <c r="E28" s="10" t="n">
        <v>90</v>
      </c>
      <c r="F28" s="10" t="n">
        <v>90</v>
      </c>
      <c r="G28" s="10" t="n">
        <v>100</v>
      </c>
      <c r="H28" s="16" t="n">
        <f aca="false">INDEX(E28:G28,MATCH(Dash_Case,$E$24:$G$24,0))</f>
        <v>90</v>
      </c>
      <c r="J28" s="2" t="s">
        <v>47</v>
      </c>
    </row>
    <row r="29" customFormat="false" ht="14.25" hidden="false" customHeight="false" outlineLevel="0" collapsed="false">
      <c r="C29" s="6" t="s">
        <v>48</v>
      </c>
      <c r="D29" s="2" t="s">
        <v>33</v>
      </c>
      <c r="E29" s="7" t="n">
        <v>2500</v>
      </c>
      <c r="F29" s="7" t="n">
        <v>2460</v>
      </c>
      <c r="G29" s="7" t="n">
        <v>2600</v>
      </c>
      <c r="H29" s="15" t="n">
        <f aca="false">INDEX(E29:G29,MATCH(Dash_Case,$E$24:$G$24,0))</f>
        <v>2500</v>
      </c>
      <c r="J29" s="2" t="s">
        <v>49</v>
      </c>
    </row>
    <row r="30" customFormat="false" ht="14.25" hidden="false" customHeight="false" outlineLevel="0" collapsed="false">
      <c r="C30" s="6" t="s">
        <v>50</v>
      </c>
      <c r="D30" s="2" t="s">
        <v>51</v>
      </c>
      <c r="E30" s="10" t="n">
        <v>12</v>
      </c>
      <c r="F30" s="10" t="n">
        <v>12</v>
      </c>
      <c r="G30" s="10" t="n">
        <v>10</v>
      </c>
      <c r="H30" s="16" t="n">
        <f aca="false">INDEX(E30:G30,MATCH(Dash_Case,$E$24:$G$24,0))</f>
        <v>12</v>
      </c>
      <c r="J30" s="2" t="s">
        <v>52</v>
      </c>
    </row>
    <row r="32" customFormat="false" ht="14.25" hidden="false" customHeight="false" outlineLevel="0" collapsed="false">
      <c r="B32" s="4" t="s">
        <v>3</v>
      </c>
      <c r="C32" s="4" t="s">
        <v>53</v>
      </c>
      <c r="D32" s="4"/>
      <c r="E32" s="5" t="s">
        <v>5</v>
      </c>
      <c r="F32" s="5" t="s">
        <v>6</v>
      </c>
      <c r="G32" s="5" t="s">
        <v>7</v>
      </c>
      <c r="H32" s="5" t="s">
        <v>8</v>
      </c>
    </row>
    <row r="33" customFormat="false" ht="14.25" hidden="false" customHeight="false" outlineLevel="0" collapsed="false">
      <c r="C33" s="6" t="s">
        <v>54</v>
      </c>
      <c r="D33" s="2" t="s">
        <v>55</v>
      </c>
      <c r="E33" s="17" t="n">
        <f aca="false">INDEX(Osz1_Pts,1+SUMPRODUCT((Osz1_LB&lt;E11)+(Osz1_LB=E11)*Osz1_Incl))*Osz1_W</f>
        <v>4</v>
      </c>
      <c r="F33" s="17" t="n">
        <f aca="false">INDEX(Osz1_Pts,1+SUMPRODUCT((Osz1_LB&lt;F11)+(Osz1_LB=F11)*Osz1_Incl))*Osz1_W</f>
        <v>20</v>
      </c>
      <c r="G33" s="17" t="n">
        <f aca="false">INDEX(Osz1_Pts,1+SUMPRODUCT((Osz1_LB&lt;G11)+(Osz1_LB=G11)*Osz1_Incl))*Osz1_W</f>
        <v>20</v>
      </c>
    </row>
    <row r="34" customFormat="false" ht="14.25" hidden="false" customHeight="false" outlineLevel="0" collapsed="false">
      <c r="C34" s="6" t="s">
        <v>56</v>
      </c>
      <c r="D34" s="2" t="s">
        <v>55</v>
      </c>
      <c r="E34" s="17" t="n">
        <f aca="false">INDEX(Osz2_Pts,1+SUMPRODUCT((Osz2_LB&lt;E12)+(Osz2_LB=E12)*Osz2_Incl))*Osz2_W</f>
        <v>0</v>
      </c>
      <c r="F34" s="18" t="n">
        <f aca="false">INDEX(Osz2_Pts,1+SUMPRODUCT((Osz2_LB&lt;F12)+(Osz2_LB=F12)*Osz2_Incl))*Osz2_W</f>
        <v>15</v>
      </c>
      <c r="G34" s="17" t="n">
        <f aca="false">INDEX(Osz2_Pts,1+SUMPRODUCT((Osz2_LB&lt;G12)+(Osz2_LB=G12)*Osz2_Incl))*Osz2_W</f>
        <v>15</v>
      </c>
    </row>
    <row r="35" customFormat="false" ht="14.25" hidden="false" customHeight="false" outlineLevel="0" collapsed="false">
      <c r="C35" s="6" t="s">
        <v>57</v>
      </c>
      <c r="D35" s="2" t="s">
        <v>55</v>
      </c>
      <c r="E35" s="18" t="n">
        <f aca="false">INDEX(Osz3_Pts,1+SUMPRODUCT((Osz3_LB&lt;E7)+(Osz3_LB=E7)*Osz3_Incl))*Osz3_W</f>
        <v>0</v>
      </c>
      <c r="F35" s="17" t="n">
        <f aca="false">INDEX(Osz3_Pts,1+SUMPRODUCT((Osz3_LB&lt;F7)+(Osz3_LB=F7)*Osz3_Incl))*Osz3_W</f>
        <v>9</v>
      </c>
      <c r="G35" s="17" t="n">
        <f aca="false">INDEX(Osz3_Pts,1+SUMPRODUCT((Osz3_LB&lt;G7)+(Osz3_LB=G7)*Osz3_Incl))*Osz3_W</f>
        <v>9</v>
      </c>
    </row>
    <row r="36" customFormat="false" ht="14.25" hidden="false" customHeight="false" outlineLevel="0" collapsed="false">
      <c r="C36" s="6" t="s">
        <v>58</v>
      </c>
      <c r="D36" s="2" t="s">
        <v>55</v>
      </c>
      <c r="E36" s="17" t="n">
        <f aca="false">INDEX(Osz3_Pts,1+SUMPRODUCT((Osz3_LB&lt;E8)+(Osz3_LB=E8)*Osz3_Incl))*Osz4_W</f>
        <v>0</v>
      </c>
      <c r="F36" s="17" t="n">
        <f aca="false">INDEX(Osz3_Pts,1+SUMPRODUCT((Osz3_LB&lt;F8)+(Osz3_LB=F8)*Osz3_Incl))*Osz4_W</f>
        <v>7.5</v>
      </c>
      <c r="G36" s="17" t="n">
        <f aca="false">INDEX(Osz3_Pts,1+SUMPRODUCT((Osz3_LB&lt;G8)+(Osz3_LB=G8)*Osz3_Incl))*Osz4_W</f>
        <v>7.5</v>
      </c>
    </row>
    <row r="37" customFormat="false" ht="14.25" hidden="false" customHeight="false" outlineLevel="0" collapsed="false">
      <c r="C37" s="6" t="s">
        <v>59</v>
      </c>
      <c r="D37" s="2" t="s">
        <v>55</v>
      </c>
      <c r="E37" s="17" t="n">
        <f aca="false">E13*Osz5_Pts*Osz5_W</f>
        <v>5</v>
      </c>
      <c r="F37" s="17" t="n">
        <f aca="false">F13*Osz5_Pts*Osz5_W</f>
        <v>5</v>
      </c>
      <c r="G37" s="17" t="n">
        <f aca="false">G13*Osz5_Pts*Osz5_W</f>
        <v>5</v>
      </c>
    </row>
    <row r="38" customFormat="false" ht="14.25" hidden="false" customHeight="false" outlineLevel="0" collapsed="false">
      <c r="C38" s="6" t="s">
        <v>60</v>
      </c>
      <c r="D38" s="2" t="s">
        <v>55</v>
      </c>
      <c r="E38" s="17" t="n">
        <f aca="false">INDEX(Osz6_Pts,1+SUMPRODUCT((Osz6_LB&lt;E14)+(Osz6_LB=E14)*Osz6_Incl))*Osz6_W</f>
        <v>0</v>
      </c>
      <c r="F38" s="17" t="n">
        <f aca="false">INDEX(Osz6_Pts,1+SUMPRODUCT((Osz6_LB&lt;F14)+(Osz6_LB=F14)*Osz6_Incl))*Osz6_W</f>
        <v>0</v>
      </c>
      <c r="G38" s="17" t="n">
        <f aca="false">INDEX(Osz6_Pts,1+SUMPRODUCT((Osz6_LB&lt;G14)+(Osz6_LB=G14)*Osz6_Incl))*Osz6_W</f>
        <v>0</v>
      </c>
    </row>
    <row r="39" customFormat="false" ht="14.25" hidden="false" customHeight="false" outlineLevel="0" collapsed="false">
      <c r="C39" s="6" t="s">
        <v>61</v>
      </c>
      <c r="D39" s="2" t="s">
        <v>55</v>
      </c>
      <c r="E39" s="17" t="n">
        <f aca="false">E15*Osz7_Pts*Osz7_W</f>
        <v>0</v>
      </c>
      <c r="F39" s="17" t="n">
        <f aca="false">F15*Osz7_Pts*Osz7_W</f>
        <v>0</v>
      </c>
      <c r="G39" s="17" t="n">
        <f aca="false">G15*Osz7_Pts*Osz7_W</f>
        <v>0</v>
      </c>
    </row>
    <row r="40" customFormat="false" ht="14.25" hidden="false" customHeight="false" outlineLevel="0" collapsed="false">
      <c r="C40" s="6" t="s">
        <v>62</v>
      </c>
      <c r="D40" s="2" t="s">
        <v>55</v>
      </c>
      <c r="E40" s="17" t="n">
        <f aca="false">E16*Osz8_Pts*Osz8_W</f>
        <v>5</v>
      </c>
      <c r="F40" s="17" t="n">
        <f aca="false">F16*Osz8_Pts*Osz8_W</f>
        <v>5</v>
      </c>
      <c r="G40" s="17" t="n">
        <f aca="false">G16*Osz8_Pts*Osz8_W</f>
        <v>5</v>
      </c>
    </row>
    <row r="41" customFormat="false" ht="14.25" hidden="false" customHeight="false" outlineLevel="0" collapsed="false">
      <c r="C41" s="6" t="s">
        <v>63</v>
      </c>
      <c r="D41" s="2" t="s">
        <v>55</v>
      </c>
      <c r="E41" s="17" t="n">
        <f aca="false">N(E17="EU")*Osz9a_Pts*Osz9_W</f>
        <v>0</v>
      </c>
      <c r="F41" s="18" t="n">
        <f aca="false">N(F17="EU")*Osz9a_Pts*Osz9_W</f>
        <v>0</v>
      </c>
      <c r="G41" s="17" t="n">
        <f aca="false">N(G17="EU")*Osz9a_Pts*Osz9_W</f>
        <v>0</v>
      </c>
    </row>
    <row r="42" customFormat="false" ht="14.25" hidden="false" customHeight="false" outlineLevel="0" collapsed="false">
      <c r="C42" s="6" t="s">
        <v>64</v>
      </c>
      <c r="D42" s="2" t="s">
        <v>55</v>
      </c>
      <c r="E42" s="17" t="n">
        <f aca="false">Inputs!E$25*Osz9b_Pts*Osz9_W</f>
        <v>0</v>
      </c>
      <c r="F42" s="17" t="n">
        <f aca="false">Inputs!F$25*Osz9b_Pts*Osz9_W</f>
        <v>0</v>
      </c>
      <c r="G42" s="17" t="n">
        <f aca="false">Inputs!G$25*Osz9b_Pts*Osz9_W</f>
        <v>0</v>
      </c>
    </row>
    <row r="43" customFormat="false" ht="14.25" hidden="false" customHeight="false" outlineLevel="0" collapsed="false">
      <c r="C43" s="1" t="s">
        <v>65</v>
      </c>
      <c r="D43" s="2" t="s">
        <v>55</v>
      </c>
      <c r="E43" s="19" t="n">
        <f aca="false">SUM(E33:E42)</f>
        <v>14</v>
      </c>
      <c r="F43" s="19" t="n">
        <f aca="false">SUM(F33:F42)</f>
        <v>61.5</v>
      </c>
      <c r="G43" s="19" t="n">
        <f aca="false">SUM(G33:G42)</f>
        <v>61.5</v>
      </c>
    </row>
    <row r="44" customFormat="false" ht="14.25" hidden="false" customHeight="false" outlineLevel="0" collapsed="false">
      <c r="C44" s="6" t="s">
        <v>66</v>
      </c>
      <c r="D44" s="2" t="s">
        <v>67</v>
      </c>
      <c r="E44" s="18" t="n">
        <f aca="false">E6*(1+E7)</f>
        <v>50</v>
      </c>
      <c r="F44" s="17" t="n">
        <f aca="false">F6*(1+F7)</f>
        <v>70</v>
      </c>
      <c r="G44" s="17" t="n">
        <f aca="false">G6*(1+G7)</f>
        <v>70</v>
      </c>
      <c r="H44" s="17" t="n">
        <f aca="false">SUM(E44:G44)</f>
        <v>190</v>
      </c>
    </row>
    <row r="45" customFormat="false" ht="14.25" hidden="false" customHeight="false" outlineLevel="0" collapsed="false">
      <c r="C45" s="6" t="s">
        <v>68</v>
      </c>
      <c r="D45" s="2" t="s">
        <v>69</v>
      </c>
      <c r="E45" s="18" t="n">
        <f aca="false">E6*E8*E9</f>
        <v>0</v>
      </c>
      <c r="F45" s="17" t="n">
        <f aca="false">F6*F8*F9</f>
        <v>40</v>
      </c>
      <c r="G45" s="17" t="n">
        <f aca="false">G6*G8*G9</f>
        <v>40</v>
      </c>
      <c r="H45" s="17" t="n">
        <f aca="false">SUM(E45:G45)</f>
        <v>80</v>
      </c>
    </row>
    <row r="46" customFormat="false" ht="14.25" hidden="false" customHeight="false" outlineLevel="0" collapsed="false">
      <c r="C46" s="6" t="s">
        <v>70</v>
      </c>
      <c r="D46" s="2" t="s">
        <v>67</v>
      </c>
      <c r="E46" s="17" t="n">
        <f aca="false">E44*(1-E10)</f>
        <v>50</v>
      </c>
      <c r="F46" s="18" t="n">
        <f aca="false">F44*(1-F10)</f>
        <v>70</v>
      </c>
      <c r="G46" s="17" t="n">
        <f aca="false">G44*(1-G10)</f>
        <v>70</v>
      </c>
      <c r="H46" s="17" t="n">
        <f aca="false">SUM(E46:G46)</f>
        <v>190</v>
      </c>
    </row>
    <row r="47" customFormat="false" ht="14.25" hidden="false" customHeight="false" outlineLevel="0" collapsed="false">
      <c r="K47" s="20"/>
      <c r="L47" s="20"/>
      <c r="M47" s="20"/>
    </row>
    <row r="48" customFormat="false" ht="14.25" hidden="false" customHeight="false" outlineLevel="0" collapsed="false">
      <c r="B48" s="4" t="s">
        <v>3</v>
      </c>
      <c r="C48" s="4" t="s">
        <v>71</v>
      </c>
      <c r="D48" s="4"/>
      <c r="E48" s="5" t="s">
        <v>5</v>
      </c>
      <c r="F48" s="5" t="s">
        <v>6</v>
      </c>
      <c r="G48" s="5" t="s">
        <v>7</v>
      </c>
      <c r="H48" s="5" t="s">
        <v>8</v>
      </c>
      <c r="J48" s="5" t="s">
        <v>72</v>
      </c>
      <c r="K48" s="21"/>
      <c r="L48" s="21"/>
      <c r="M48" s="20"/>
    </row>
    <row r="49" customFormat="false" ht="14.25" hidden="false" customHeight="false" outlineLevel="0" collapsed="false">
      <c r="C49" s="22" t="s">
        <v>73</v>
      </c>
      <c r="D49" s="23" t="s">
        <v>74</v>
      </c>
      <c r="E49" s="24" t="n">
        <f aca="false">Part_Fee</f>
        <v>3000000</v>
      </c>
      <c r="F49" s="24" t="n">
        <f aca="false">Part_Fee</f>
        <v>3000000</v>
      </c>
      <c r="G49" s="24" t="n">
        <f aca="false">Part_Fee</f>
        <v>3000000</v>
      </c>
      <c r="H49" s="24" t="n">
        <f aca="false">SUM(E49:G49)</f>
        <v>9000000</v>
      </c>
      <c r="J49" s="25" t="n">
        <f aca="false">Inputs!E$27</f>
        <v>46325</v>
      </c>
      <c r="K49" s="26"/>
      <c r="L49" s="26"/>
      <c r="M49" s="20"/>
    </row>
    <row r="50" customFormat="false" ht="14.25" hidden="false" customHeight="false" outlineLevel="0" collapsed="false">
      <c r="C50" s="22" t="s">
        <v>75</v>
      </c>
      <c r="D50" s="23" t="s">
        <v>74</v>
      </c>
      <c r="E50" s="24" t="n">
        <f aca="false">Bid_Sec_Rate*(E44*Bench_Wind+E45*Bench_BESS)</f>
        <v>101500000</v>
      </c>
      <c r="F50" s="24" t="n">
        <f aca="false">Bid_Sec_Rate*(F44*Bench_Wind+F45*Bench_BESS)</f>
        <v>182100000</v>
      </c>
      <c r="G50" s="24" t="n">
        <f aca="false">Bid_Sec_Rate*(G44*Bench_Wind+G45*Bench_BESS)</f>
        <v>182100000</v>
      </c>
      <c r="H50" s="24" t="n">
        <f aca="false">SUM(E50:G50)</f>
        <v>465700000</v>
      </c>
      <c r="J50" s="25" t="n">
        <f aca="false">Inputs!E$27</f>
        <v>46325</v>
      </c>
      <c r="K50" s="26"/>
      <c r="L50" s="26"/>
      <c r="M50" s="20"/>
    </row>
    <row r="51" customFormat="false" ht="14.25" hidden="false" customHeight="false" outlineLevel="0" collapsed="false">
      <c r="C51" s="22" t="s">
        <v>76</v>
      </c>
      <c r="D51" s="23" t="s">
        <v>74</v>
      </c>
      <c r="E51" s="24" t="n">
        <f aca="false">PB_Rate*E14*(E44*Bench_Wind+E45*Bench_BESS)-E50</f>
        <v>406000000</v>
      </c>
      <c r="F51" s="24" t="n">
        <f aca="false">PB_Rate*F14*(F44*Bench_Wind+F45*Bench_BESS)-F50</f>
        <v>728400000</v>
      </c>
      <c r="G51" s="24" t="n">
        <f aca="false">PB_Rate*G14*(G44*Bench_Wind+G45*Bench_BESS)-G50</f>
        <v>728400000</v>
      </c>
      <c r="H51" s="24" t="n">
        <f aca="false">SUM(E51:G51)</f>
        <v>1862800000</v>
      </c>
      <c r="J51" s="25" t="n">
        <f aca="false">Inputs!E$28</f>
        <v>46402</v>
      </c>
      <c r="K51" s="26"/>
      <c r="L51" s="26"/>
      <c r="M51" s="20"/>
    </row>
    <row r="52" customFormat="false" ht="14.25" hidden="false" customHeight="false" outlineLevel="0" collapsed="false">
      <c r="C52" s="27" t="s">
        <v>77</v>
      </c>
      <c r="D52" s="28" t="s">
        <v>74</v>
      </c>
      <c r="E52" s="29" t="n">
        <f aca="false">TSO_Rate*E6</f>
        <v>225000000</v>
      </c>
      <c r="F52" s="29" t="n">
        <f aca="false">TSO_Rate*F6</f>
        <v>225000000</v>
      </c>
      <c r="G52" s="29" t="n">
        <f aca="false">TSO_Rate*G6</f>
        <v>225000000</v>
      </c>
      <c r="H52" s="29" t="n">
        <f aca="false">SUM(E52:G52)</f>
        <v>675000000</v>
      </c>
      <c r="J52" s="25" t="n">
        <f aca="false">Inputs!E$29</f>
        <v>46402</v>
      </c>
      <c r="K52" s="26"/>
      <c r="L52" s="26"/>
      <c r="M52" s="20"/>
    </row>
    <row r="53" customFormat="false" ht="14.25" hidden="false" customHeight="false" outlineLevel="0" collapsed="false">
      <c r="C53" s="30" t="s">
        <v>78</v>
      </c>
      <c r="D53" s="31" t="s">
        <v>74</v>
      </c>
      <c r="E53" s="32" t="n">
        <f aca="false">Inputs!E$15/Inputs!E$16</f>
        <v>254172902</v>
      </c>
      <c r="F53" s="32" t="n">
        <f aca="false">Inputs!F$15/Inputs!F$16</f>
        <v>460000000</v>
      </c>
      <c r="G53" s="32" t="n">
        <f aca="false">Inputs!G$15/Inputs!G$16</f>
        <v>460000000</v>
      </c>
      <c r="H53" s="32" t="n">
        <f aca="false">SUM(E53:G53)</f>
        <v>1174172902</v>
      </c>
      <c r="J53" s="25" t="n">
        <f aca="false">Inputs!E$30</f>
        <v>47027</v>
      </c>
      <c r="K53" s="26"/>
      <c r="L53" s="26"/>
      <c r="M53" s="20"/>
    </row>
    <row r="54" customFormat="false" ht="14.25" hidden="false" customHeight="false" outlineLevel="0" collapsed="false">
      <c r="C54" s="30" t="s">
        <v>79</v>
      </c>
      <c r="D54" s="31" t="s">
        <v>74</v>
      </c>
      <c r="E54" s="32" t="n">
        <f aca="false">Inputs!E$14*E6-E52</f>
        <v>3428565300</v>
      </c>
      <c r="F54" s="32" t="n">
        <f aca="false">Inputs!F$14*F6-F52</f>
        <v>766334000</v>
      </c>
      <c r="G54" s="32" t="n">
        <f aca="false">Inputs!G$14*G6-G52</f>
        <v>766334000</v>
      </c>
      <c r="H54" s="32" t="n">
        <f aca="false">SUM(E54:G54)</f>
        <v>4961233300</v>
      </c>
      <c r="J54" s="25" t="n">
        <f aca="false">Inputs!E$30</f>
        <v>47027</v>
      </c>
      <c r="K54" s="26"/>
      <c r="L54" s="26"/>
      <c r="M54" s="20"/>
    </row>
    <row r="55" customFormat="false" ht="14.25" hidden="false" customHeight="false" outlineLevel="0" collapsed="false">
      <c r="C55" s="6" t="s">
        <v>80</v>
      </c>
      <c r="D55" s="2" t="s">
        <v>74</v>
      </c>
      <c r="E55" s="33" t="n">
        <f aca="false">SUM(Inputs!E$18:E$23)*FX*Thousand</f>
        <v>286331550</v>
      </c>
      <c r="F55" s="8" t="n">
        <f aca="false">SUM(Inputs!F$18:F$23)*FX*Thousand</f>
        <v>365000000</v>
      </c>
      <c r="G55" s="8" t="n">
        <f aca="false">SUM(Inputs!G$18:G$23)*FX*Thousand</f>
        <v>365000000</v>
      </c>
      <c r="H55" s="8" t="n">
        <f aca="false">SUM(E55:G55)</f>
        <v>1016331550</v>
      </c>
      <c r="J55" s="25" t="n">
        <f aca="false">Inputs!E$31</f>
        <v>46752</v>
      </c>
      <c r="K55" s="26"/>
      <c r="L55" s="26"/>
      <c r="M55" s="20"/>
    </row>
    <row r="56" customFormat="false" ht="14.25" hidden="false" customHeight="false" outlineLevel="0" collapsed="false">
      <c r="C56" s="6" t="s">
        <v>81</v>
      </c>
      <c r="D56" s="2" t="s">
        <v>74</v>
      </c>
      <c r="E56" s="8" t="n">
        <f aca="false">Inputs!E$17*FX*Thousand</f>
        <v>36500000</v>
      </c>
      <c r="F56" s="8" t="n">
        <f aca="false">Inputs!F$17*FX*Thousand</f>
        <v>54750000</v>
      </c>
      <c r="G56" s="8" t="n">
        <f aca="false">Inputs!G$17*FX*Thousand</f>
        <v>54750000</v>
      </c>
      <c r="H56" s="8" t="n">
        <f aca="false">SUM(E56:G56)</f>
        <v>146000000</v>
      </c>
      <c r="J56" s="25" t="n">
        <f aca="false">Inputs!E$26</f>
        <v>46234</v>
      </c>
      <c r="K56" s="26"/>
      <c r="L56" s="26"/>
      <c r="M56" s="20"/>
    </row>
    <row r="57" customFormat="false" ht="14.25" hidden="false" customHeight="false" outlineLevel="0" collapsed="false">
      <c r="C57" s="1" t="s">
        <v>82</v>
      </c>
      <c r="D57" s="2" t="s">
        <v>74</v>
      </c>
      <c r="E57" s="34" t="n">
        <f aca="false">SUM(E49:E56)</f>
        <v>4741069752</v>
      </c>
      <c r="F57" s="34" t="n">
        <f aca="false">SUM(F49:F56)</f>
        <v>2784584000</v>
      </c>
      <c r="G57" s="34" t="n">
        <f aca="false">SUM(G49:G56)</f>
        <v>2784584000</v>
      </c>
      <c r="H57" s="34" t="n">
        <f aca="false">SUM(E57:G57)</f>
        <v>10310237752</v>
      </c>
      <c r="K57" s="20"/>
      <c r="L57" s="20"/>
      <c r="M57" s="20"/>
    </row>
    <row r="58" customFormat="false" ht="14.25" hidden="false" customHeight="false" outlineLevel="0" collapsed="false">
      <c r="K58" s="20"/>
      <c r="L58" s="20"/>
      <c r="M58" s="20"/>
    </row>
    <row r="59" customFormat="false" ht="14.25" hidden="false" customHeight="false" outlineLevel="0" collapsed="false">
      <c r="B59" s="4" t="s">
        <v>3</v>
      </c>
      <c r="C59" s="4" t="s">
        <v>83</v>
      </c>
      <c r="D59" s="4"/>
      <c r="E59" s="5" t="s">
        <v>5</v>
      </c>
      <c r="F59" s="5" t="s">
        <v>6</v>
      </c>
      <c r="G59" s="5" t="s">
        <v>7</v>
      </c>
      <c r="H59" s="5" t="s">
        <v>8</v>
      </c>
      <c r="J59" s="5" t="s">
        <v>72</v>
      </c>
      <c r="K59" s="21"/>
      <c r="L59" s="21"/>
      <c r="M59" s="20"/>
    </row>
    <row r="60" customFormat="false" ht="14.25" hidden="false" customHeight="false" outlineLevel="0" collapsed="false">
      <c r="C60" s="22" t="s">
        <v>73</v>
      </c>
      <c r="D60" s="23" t="s">
        <v>84</v>
      </c>
      <c r="E60" s="35" t="n">
        <f aca="false">E49/FX/Thousand</f>
        <v>8.21917808219178</v>
      </c>
      <c r="F60" s="35" t="n">
        <f aca="false">F49/FX/Thousand</f>
        <v>8.21917808219178</v>
      </c>
      <c r="G60" s="35" t="n">
        <f aca="false">G49/FX/Thousand</f>
        <v>8.21917808219178</v>
      </c>
      <c r="H60" s="35" t="n">
        <f aca="false">SUM(E60:G60)</f>
        <v>24.6575342465753</v>
      </c>
      <c r="J60" s="25" t="n">
        <f aca="false">Inputs!E$27</f>
        <v>46325</v>
      </c>
      <c r="K60" s="26"/>
      <c r="L60" s="26"/>
      <c r="M60" s="20"/>
    </row>
    <row r="61" customFormat="false" ht="14.25" hidden="false" customHeight="false" outlineLevel="0" collapsed="false">
      <c r="C61" s="22" t="s">
        <v>75</v>
      </c>
      <c r="D61" s="23" t="s">
        <v>84</v>
      </c>
      <c r="E61" s="24" t="n">
        <f aca="false">E50/FX/Thousand</f>
        <v>278.082191780822</v>
      </c>
      <c r="F61" s="24" t="n">
        <f aca="false">F50/FX/Thousand</f>
        <v>498.904109589041</v>
      </c>
      <c r="G61" s="24" t="n">
        <f aca="false">G50/FX/Thousand</f>
        <v>498.904109589041</v>
      </c>
      <c r="H61" s="24" t="n">
        <f aca="false">SUM(E61:G61)</f>
        <v>1275.8904109589</v>
      </c>
      <c r="J61" s="25" t="n">
        <f aca="false">Inputs!E$27</f>
        <v>46325</v>
      </c>
      <c r="K61" s="26"/>
      <c r="L61" s="26"/>
      <c r="M61" s="20"/>
    </row>
    <row r="62" customFormat="false" ht="14.25" hidden="false" customHeight="false" outlineLevel="0" collapsed="false">
      <c r="C62" s="22" t="s">
        <v>76</v>
      </c>
      <c r="D62" s="23" t="s">
        <v>84</v>
      </c>
      <c r="E62" s="24" t="n">
        <f aca="false">E51/FX/Thousand</f>
        <v>1112.32876712329</v>
      </c>
      <c r="F62" s="24" t="n">
        <f aca="false">F51/FX/Thousand</f>
        <v>1995.61643835616</v>
      </c>
      <c r="G62" s="24" t="n">
        <f aca="false">G51/FX/Thousand</f>
        <v>1995.61643835616</v>
      </c>
      <c r="H62" s="24" t="n">
        <f aca="false">SUM(E62:G62)</f>
        <v>5103.56164383562</v>
      </c>
      <c r="J62" s="25" t="n">
        <f aca="false">Inputs!E$28</f>
        <v>46402</v>
      </c>
      <c r="K62" s="26"/>
      <c r="L62" s="26"/>
      <c r="M62" s="20"/>
    </row>
    <row r="63" customFormat="false" ht="14.25" hidden="false" customHeight="false" outlineLevel="0" collapsed="false">
      <c r="C63" s="27" t="s">
        <v>77</v>
      </c>
      <c r="D63" s="28" t="s">
        <v>84</v>
      </c>
      <c r="E63" s="29" t="n">
        <f aca="false">E52/FX/Thousand</f>
        <v>616.438356164384</v>
      </c>
      <c r="F63" s="29" t="n">
        <f aca="false">F52/FX/Thousand</f>
        <v>616.438356164384</v>
      </c>
      <c r="G63" s="29" t="n">
        <f aca="false">G52/FX/Thousand</f>
        <v>616.438356164384</v>
      </c>
      <c r="H63" s="29" t="n">
        <f aca="false">SUM(E63:G63)</f>
        <v>1849.31506849315</v>
      </c>
      <c r="J63" s="25" t="n">
        <f aca="false">Inputs!E$29</f>
        <v>46402</v>
      </c>
      <c r="K63" s="25"/>
      <c r="L63" s="25"/>
    </row>
    <row r="64" customFormat="false" ht="14.25" hidden="false" customHeight="false" outlineLevel="0" collapsed="false">
      <c r="C64" s="30" t="s">
        <v>78</v>
      </c>
      <c r="D64" s="31" t="s">
        <v>84</v>
      </c>
      <c r="E64" s="32" t="n">
        <f aca="false">E53/FX/Thousand</f>
        <v>696.364115068493</v>
      </c>
      <c r="F64" s="32" t="n">
        <f aca="false">F53/FX/Thousand</f>
        <v>1260.27397260274</v>
      </c>
      <c r="G64" s="32" t="n">
        <f aca="false">G53/FX/Thousand</f>
        <v>1260.27397260274</v>
      </c>
      <c r="H64" s="32" t="n">
        <f aca="false">SUM(E64:G64)</f>
        <v>3216.91206027397</v>
      </c>
      <c r="J64" s="25" t="n">
        <f aca="false">Inputs!E$30</f>
        <v>47027</v>
      </c>
      <c r="K64" s="25"/>
      <c r="L64" s="25"/>
    </row>
    <row r="65" customFormat="false" ht="14.25" hidden="false" customHeight="false" outlineLevel="0" collapsed="false">
      <c r="C65" s="30" t="s">
        <v>79</v>
      </c>
      <c r="D65" s="31" t="s">
        <v>84</v>
      </c>
      <c r="E65" s="32" t="n">
        <f aca="false">E54/FX/Thousand</f>
        <v>9393.3295890411</v>
      </c>
      <c r="F65" s="32" t="n">
        <f aca="false">F54/FX/Thousand</f>
        <v>2099.54520547945</v>
      </c>
      <c r="G65" s="32" t="n">
        <f aca="false">G54/FX/Thousand</f>
        <v>2099.54520547945</v>
      </c>
      <c r="H65" s="32" t="n">
        <f aca="false">SUM(E65:G65)</f>
        <v>13592.42</v>
      </c>
      <c r="J65" s="25" t="n">
        <f aca="false">Inputs!E$30</f>
        <v>47027</v>
      </c>
      <c r="K65" s="25"/>
      <c r="L65" s="25"/>
    </row>
    <row r="66" customFormat="false" ht="14.25" hidden="false" customHeight="false" outlineLevel="0" collapsed="false">
      <c r="C66" s="6" t="s">
        <v>80</v>
      </c>
      <c r="D66" s="2" t="s">
        <v>84</v>
      </c>
      <c r="E66" s="8" t="n">
        <f aca="false">E55/FX/Thousand</f>
        <v>784.47</v>
      </c>
      <c r="F66" s="8" t="n">
        <f aca="false">F55/FX/Thousand</f>
        <v>1000</v>
      </c>
      <c r="G66" s="8" t="n">
        <f aca="false">G55/FX/Thousand</f>
        <v>1000</v>
      </c>
      <c r="H66" s="8" t="n">
        <f aca="false">SUM(E66:G66)</f>
        <v>2784.47</v>
      </c>
      <c r="J66" s="25" t="n">
        <f aca="false">Inputs!E$31</f>
        <v>46752</v>
      </c>
      <c r="K66" s="25"/>
      <c r="L66" s="25"/>
    </row>
    <row r="67" customFormat="false" ht="14.25" hidden="false" customHeight="false" outlineLevel="0" collapsed="false">
      <c r="C67" s="6" t="s">
        <v>81</v>
      </c>
      <c r="D67" s="2" t="s">
        <v>84</v>
      </c>
      <c r="E67" s="8" t="n">
        <f aca="false">Inputs!E$17</f>
        <v>100</v>
      </c>
      <c r="F67" s="8" t="n">
        <f aca="false">Inputs!F$17</f>
        <v>150</v>
      </c>
      <c r="G67" s="8" t="n">
        <f aca="false">Inputs!G$17</f>
        <v>150</v>
      </c>
      <c r="H67" s="8" t="n">
        <f aca="false">SUM(E67:G67)</f>
        <v>400</v>
      </c>
      <c r="J67" s="25" t="n">
        <f aca="false">Inputs!E$26</f>
        <v>46234</v>
      </c>
      <c r="K67" s="25"/>
      <c r="L67" s="25"/>
    </row>
    <row r="68" customFormat="false" ht="14.25" hidden="false" customHeight="false" outlineLevel="0" collapsed="false">
      <c r="C68" s="1" t="s">
        <v>82</v>
      </c>
      <c r="D68" s="2" t="s">
        <v>84</v>
      </c>
      <c r="E68" s="34" t="n">
        <f aca="false">SUM(E60:E67)</f>
        <v>12989.2321972603</v>
      </c>
      <c r="F68" s="34" t="n">
        <f aca="false">SUM(F60:F67)</f>
        <v>7628.99726027397</v>
      </c>
      <c r="G68" s="34" t="n">
        <f aca="false">SUM(G60:G67)</f>
        <v>7628.99726027397</v>
      </c>
      <c r="H68" s="34" t="n">
        <f aca="false">SUM(E68:G68)</f>
        <v>28247.2267178082</v>
      </c>
    </row>
    <row r="70" customFormat="false" ht="14.25" hidden="false" customHeight="false" outlineLevel="0" collapsed="false">
      <c r="B70" s="4" t="s">
        <v>3</v>
      </c>
      <c r="C70" s="4" t="s">
        <v>85</v>
      </c>
      <c r="D70" s="4"/>
      <c r="E70" s="5" t="s">
        <v>5</v>
      </c>
      <c r="F70" s="5" t="s">
        <v>6</v>
      </c>
      <c r="G70" s="5" t="s">
        <v>7</v>
      </c>
      <c r="H70" s="5" t="s">
        <v>8</v>
      </c>
      <c r="J70" s="5" t="s">
        <v>86</v>
      </c>
    </row>
    <row r="71" customFormat="false" ht="14.25" hidden="false" customHeight="false" outlineLevel="0" collapsed="false">
      <c r="C71" s="6" t="s">
        <v>87</v>
      </c>
      <c r="D71" s="2" t="s">
        <v>84</v>
      </c>
      <c r="E71" s="8" t="n">
        <f aca="false">E60+E66+E67</f>
        <v>892.689178082192</v>
      </c>
      <c r="F71" s="8" t="n">
        <f aca="false">F60+F66+F67</f>
        <v>1158.21917808219</v>
      </c>
      <c r="G71" s="8" t="n">
        <f aca="false">G60+G66+G67</f>
        <v>1158.21917808219</v>
      </c>
      <c r="H71" s="8" t="n">
        <f aca="false">SUM(E71:G71)</f>
        <v>3209.12753424658</v>
      </c>
      <c r="J71" s="36" t="s">
        <v>88</v>
      </c>
    </row>
    <row r="72" customFormat="false" ht="14.25" hidden="false" customHeight="false" outlineLevel="0" collapsed="false">
      <c r="C72" s="6" t="s">
        <v>89</v>
      </c>
      <c r="D72" s="2" t="s">
        <v>84</v>
      </c>
      <c r="E72" s="8" t="n">
        <f aca="false">SUM(E61:E63)</f>
        <v>2006.84931506849</v>
      </c>
      <c r="F72" s="8" t="n">
        <f aca="false">SUM(F61:F63)</f>
        <v>3110.95890410959</v>
      </c>
      <c r="G72" s="8" t="n">
        <f aca="false">SUM(G61:G63)</f>
        <v>3110.95890410959</v>
      </c>
      <c r="H72" s="8" t="n">
        <f aca="false">SUM(E72:G72)</f>
        <v>8228.76712328767</v>
      </c>
      <c r="J72" s="36" t="s">
        <v>90</v>
      </c>
    </row>
    <row r="73" customFormat="false" ht="14.25" hidden="false" customHeight="false" outlineLevel="0" collapsed="false">
      <c r="C73" s="6" t="s">
        <v>91</v>
      </c>
      <c r="D73" s="2" t="s">
        <v>84</v>
      </c>
      <c r="E73" s="37" t="n">
        <f aca="false">E64+E65</f>
        <v>10089.6937041096</v>
      </c>
      <c r="F73" s="37" t="n">
        <f aca="false">F64+F65</f>
        <v>3359.81917808219</v>
      </c>
      <c r="G73" s="37" t="n">
        <f aca="false">G64+G65</f>
        <v>3359.81917808219</v>
      </c>
      <c r="H73" s="37" t="n">
        <f aca="false">SUM(E73:G73)</f>
        <v>16809.332060274</v>
      </c>
      <c r="J73" s="36" t="s">
        <v>92</v>
      </c>
    </row>
    <row r="74" customFormat="false" ht="14.25" hidden="false" customHeight="false" outlineLevel="0" collapsed="false">
      <c r="C74" s="1" t="s">
        <v>93</v>
      </c>
      <c r="D74" s="2" t="s">
        <v>84</v>
      </c>
      <c r="E74" s="15" t="n">
        <f aca="false">SUM(E71:E73)</f>
        <v>12989.2321972603</v>
      </c>
      <c r="F74" s="15" t="n">
        <f aca="false">SUM(F71:F73)</f>
        <v>7628.99726027397</v>
      </c>
      <c r="G74" s="15" t="n">
        <f aca="false">SUM(G71:G73)</f>
        <v>7628.99726027397</v>
      </c>
      <c r="H74" s="15" t="n">
        <f aca="false">SUM(E74:G74)</f>
        <v>28247.2267178082</v>
      </c>
      <c r="J74" s="36" t="s">
        <v>94</v>
      </c>
    </row>
    <row r="75" customFormat="false" ht="14.25" hidden="false" customHeight="false" outlineLevel="0" collapsed="false">
      <c r="C75" s="0" t="s">
        <v>95</v>
      </c>
      <c r="D75" s="0" t="s">
        <v>12</v>
      </c>
      <c r="E75" s="38" t="n">
        <f aca="false">E73/E74</f>
        <v>0.776773680759802</v>
      </c>
      <c r="F75" s="38" t="n">
        <f aca="false">F73/F74</f>
        <v>0.440401151482591</v>
      </c>
      <c r="G75" s="38" t="n">
        <f aca="false">G73/G74</f>
        <v>0.440401151482591</v>
      </c>
      <c r="H75" s="38" t="n">
        <f aca="false">H73/H74</f>
        <v>0.595079022383343</v>
      </c>
      <c r="J75" s="36"/>
    </row>
    <row r="76" customFormat="false" ht="14.25" hidden="false" customHeight="false" outlineLevel="0" collapsed="false">
      <c r="C76" s="1" t="s">
        <v>96</v>
      </c>
      <c r="D76" s="2" t="s">
        <v>84</v>
      </c>
      <c r="E76" s="34" t="n">
        <f aca="false">E74-E73</f>
        <v>2899.53849315069</v>
      </c>
      <c r="F76" s="34" t="n">
        <f aca="false">F74-F73</f>
        <v>4269.17808219178</v>
      </c>
      <c r="G76" s="34" t="n">
        <f aca="false">G74-G73</f>
        <v>4269.17808219178</v>
      </c>
      <c r="H76" s="34" t="n">
        <f aca="false">SUM(E76:G76)</f>
        <v>11437.8946575342</v>
      </c>
      <c r="J76" s="36" t="s">
        <v>97</v>
      </c>
    </row>
    <row r="78" customFormat="false" ht="14.25" hidden="false" customHeight="false" outlineLevel="0" collapsed="false">
      <c r="B78" s="4" t="s">
        <v>3</v>
      </c>
      <c r="C78" s="4" t="s">
        <v>98</v>
      </c>
      <c r="D78" s="4"/>
      <c r="E78" s="5" t="s">
        <v>5</v>
      </c>
      <c r="F78" s="5" t="s">
        <v>6</v>
      </c>
      <c r="G78" s="5" t="s">
        <v>7</v>
      </c>
      <c r="H78" s="5" t="s">
        <v>8</v>
      </c>
    </row>
    <row r="79" customFormat="false" ht="14.25" hidden="false" customHeight="false" outlineLevel="0" collapsed="false">
      <c r="C79" s="6" t="s">
        <v>99</v>
      </c>
      <c r="D79" s="2" t="s">
        <v>84</v>
      </c>
      <c r="E79" s="8" t="n">
        <f aca="false">IF(E17="EU",Case_EU,Case_CN)*E46</f>
        <v>25000</v>
      </c>
      <c r="F79" s="8" t="n">
        <f aca="false">IF(F17="EU",Case_EU,Case_CN)*F46</f>
        <v>35000</v>
      </c>
      <c r="G79" s="8" t="n">
        <f aca="false">IF(G17="EU",Case_EU,Case_CN)*G46</f>
        <v>35000</v>
      </c>
      <c r="H79" s="8" t="n">
        <f aca="false">SUM(E79:G79)</f>
        <v>95000</v>
      </c>
    </row>
    <row r="80" customFormat="false" ht="14.25" hidden="false" customHeight="false" outlineLevel="0" collapsed="false">
      <c r="C80" s="6" t="s">
        <v>100</v>
      </c>
      <c r="D80" s="2" t="s">
        <v>84</v>
      </c>
      <c r="E80" s="8" t="n">
        <f aca="false">Capex_Install*E46</f>
        <v>4000</v>
      </c>
      <c r="F80" s="8" t="n">
        <f aca="false">Capex_Install*F46</f>
        <v>5600</v>
      </c>
      <c r="G80" s="8" t="n">
        <f aca="false">Capex_Install*G46</f>
        <v>5600</v>
      </c>
      <c r="H80" s="8" t="n">
        <f aca="false">SUM(E80:G80)</f>
        <v>15200</v>
      </c>
    </row>
    <row r="81" customFormat="false" ht="14.25" hidden="false" customHeight="false" outlineLevel="0" collapsed="false">
      <c r="C81" s="6" t="s">
        <v>101</v>
      </c>
      <c r="D81" s="2" t="s">
        <v>84</v>
      </c>
      <c r="E81" s="8" t="n">
        <f aca="false">Capex_Fdn*E46</f>
        <v>4500</v>
      </c>
      <c r="F81" s="8" t="n">
        <f aca="false">Capex_Fdn*F46</f>
        <v>6300</v>
      </c>
      <c r="G81" s="8" t="n">
        <f aca="false">Capex_Fdn*G46</f>
        <v>6300</v>
      </c>
      <c r="H81" s="8" t="n">
        <f aca="false">SUM(E81:G81)</f>
        <v>17100</v>
      </c>
    </row>
    <row r="82" customFormat="false" ht="14.25" hidden="false" customHeight="false" outlineLevel="0" collapsed="false">
      <c r="C82" s="6" t="s">
        <v>102</v>
      </c>
      <c r="D82" s="2" t="s">
        <v>84</v>
      </c>
      <c r="E82" s="8" t="n">
        <f aca="false">Capex_Civil*E46</f>
        <v>3500</v>
      </c>
      <c r="F82" s="8" t="n">
        <f aca="false">Capex_Civil*F46</f>
        <v>4900</v>
      </c>
      <c r="G82" s="8" t="n">
        <f aca="false">Capex_Civil*G46</f>
        <v>4900</v>
      </c>
      <c r="H82" s="8" t="n">
        <f aca="false">SUM(E82:G82)</f>
        <v>13300</v>
      </c>
    </row>
    <row r="83" customFormat="false" ht="14.25" hidden="false" customHeight="false" outlineLevel="0" collapsed="false">
      <c r="C83" s="6" t="s">
        <v>103</v>
      </c>
      <c r="D83" s="2" t="s">
        <v>84</v>
      </c>
      <c r="E83" s="8" t="n">
        <f aca="false">Capex_Elec*E46</f>
        <v>3000</v>
      </c>
      <c r="F83" s="8" t="n">
        <f aca="false">Capex_Elec*F46</f>
        <v>4200</v>
      </c>
      <c r="G83" s="8" t="n">
        <f aca="false">Capex_Elec*G46</f>
        <v>4200</v>
      </c>
      <c r="H83" s="8" t="n">
        <f aca="false">SUM(E83:G83)</f>
        <v>11400</v>
      </c>
    </row>
    <row r="84" customFormat="false" ht="14.25" hidden="false" customHeight="false" outlineLevel="0" collapsed="false">
      <c r="C84" s="6" t="s">
        <v>104</v>
      </c>
      <c r="D84" s="2" t="s">
        <v>84</v>
      </c>
      <c r="E84" s="8" t="n">
        <f aca="false">Capex_Owner*E46</f>
        <v>2000</v>
      </c>
      <c r="F84" s="8" t="n">
        <f aca="false">Capex_Owner*F46</f>
        <v>2800</v>
      </c>
      <c r="G84" s="8" t="n">
        <f aca="false">Capex_Owner*G46</f>
        <v>2800</v>
      </c>
      <c r="H84" s="8" t="n">
        <f aca="false">SUM(E84:G84)</f>
        <v>7600</v>
      </c>
    </row>
    <row r="85" customFormat="false" ht="14.25" hidden="false" customHeight="false" outlineLevel="0" collapsed="false">
      <c r="C85" s="6" t="s">
        <v>105</v>
      </c>
      <c r="D85" s="2" t="s">
        <v>84</v>
      </c>
      <c r="E85" s="8" t="n">
        <f aca="false">Capex_Land*E46</f>
        <v>750</v>
      </c>
      <c r="F85" s="8" t="n">
        <f aca="false">Capex_Land*F46</f>
        <v>1050</v>
      </c>
      <c r="G85" s="8" t="n">
        <f aca="false">Capex_Land*G46</f>
        <v>1050</v>
      </c>
      <c r="H85" s="8" t="n">
        <f aca="false">SUM(E85:G85)</f>
        <v>2850</v>
      </c>
    </row>
    <row r="86" customFormat="false" ht="14.25" hidden="false" customHeight="false" outlineLevel="0" collapsed="false">
      <c r="C86" s="6" t="s">
        <v>106</v>
      </c>
      <c r="D86" s="2" t="s">
        <v>84</v>
      </c>
      <c r="E86" s="8" t="n">
        <f aca="false">Subs_Lump*E6/Lump_Basis</f>
        <v>3000</v>
      </c>
      <c r="F86" s="8" t="n">
        <f aca="false">Subs_Lump*F6/Lump_Basis</f>
        <v>3000</v>
      </c>
      <c r="G86" s="8" t="n">
        <f aca="false">Subs_Lump*G6/Lump_Basis</f>
        <v>3000</v>
      </c>
      <c r="H86" s="8" t="n">
        <f aca="false">SUM(E86:G86)</f>
        <v>9000</v>
      </c>
    </row>
    <row r="87" customFormat="false" ht="14.25" hidden="false" customHeight="false" outlineLevel="0" collapsed="false">
      <c r="C87" s="6" t="s">
        <v>107</v>
      </c>
      <c r="D87" s="2" t="s">
        <v>84</v>
      </c>
      <c r="E87" s="8" t="n">
        <f aca="false">SUM(E79:E86)*Capex_Cont</f>
        <v>2287.5</v>
      </c>
      <c r="F87" s="8" t="n">
        <f aca="false">SUM(F79:F86)*Capex_Cont</f>
        <v>3142.5</v>
      </c>
      <c r="G87" s="8" t="n">
        <f aca="false">SUM(G79:G86)*Capex_Cont</f>
        <v>3142.5</v>
      </c>
      <c r="H87" s="8" t="n">
        <f aca="false">SUM(E87:G87)</f>
        <v>8572.5</v>
      </c>
    </row>
    <row r="88" customFormat="false" ht="14.25" hidden="false" customHeight="false" outlineLevel="0" collapsed="false">
      <c r="C88" s="6" t="s">
        <v>108</v>
      </c>
      <c r="D88" s="2" t="s">
        <v>84</v>
      </c>
      <c r="E88" s="8" t="n">
        <f aca="false">BESS_Capex*E45</f>
        <v>0</v>
      </c>
      <c r="F88" s="8" t="n">
        <f aca="false">BESS_Capex*F45</f>
        <v>4000</v>
      </c>
      <c r="G88" s="8" t="n">
        <f aca="false">BESS_Capex*G45</f>
        <v>4000</v>
      </c>
      <c r="H88" s="8" t="n">
        <f aca="false">SUM(E88:G88)</f>
        <v>8000</v>
      </c>
    </row>
    <row r="89" customFormat="false" ht="14.25" hidden="false" customHeight="false" outlineLevel="0" collapsed="false">
      <c r="C89" s="1" t="s">
        <v>109</v>
      </c>
      <c r="D89" s="2" t="s">
        <v>84</v>
      </c>
      <c r="E89" s="34" t="n">
        <f aca="false">SUM(E79:E88)</f>
        <v>48037.5</v>
      </c>
      <c r="F89" s="34" t="n">
        <f aca="false">SUM(F79:F88)</f>
        <v>69992.5</v>
      </c>
      <c r="G89" s="34" t="n">
        <f aca="false">SUM(G79:G88)</f>
        <v>69992.5</v>
      </c>
      <c r="H89" s="34" t="n">
        <f aca="false">SUM(E89:G89)</f>
        <v>188022.5</v>
      </c>
    </row>
    <row r="90" customFormat="false" ht="14.25" hidden="false" customHeight="false" outlineLevel="0" collapsed="false">
      <c r="C90" s="30" t="s">
        <v>110</v>
      </c>
      <c r="D90" s="31" t="s">
        <v>84</v>
      </c>
      <c r="E90" s="32" t="n">
        <f aca="false">E63+E64+E65</f>
        <v>10706.132060274</v>
      </c>
      <c r="F90" s="32" t="n">
        <f aca="false">F63+F64+F65</f>
        <v>3976.25753424658</v>
      </c>
      <c r="G90" s="32" t="n">
        <f aca="false">G63+G64+G65</f>
        <v>3976.25753424658</v>
      </c>
      <c r="H90" s="32" t="n">
        <f aca="false">SUM(E90:G90)</f>
        <v>18658.6471287671</v>
      </c>
    </row>
    <row r="91" customFormat="false" ht="14.25" hidden="false" customHeight="false" outlineLevel="0" collapsed="false">
      <c r="C91" s="6" t="s">
        <v>111</v>
      </c>
      <c r="D91" s="2" t="s">
        <v>84</v>
      </c>
      <c r="E91" s="8" t="n">
        <f aca="false">E11*E6</f>
        <v>1000</v>
      </c>
      <c r="F91" s="8" t="n">
        <f aca="false">F11*F6</f>
        <v>2500</v>
      </c>
      <c r="G91" s="8" t="n">
        <f aca="false">G11*G6</f>
        <v>2500</v>
      </c>
      <c r="H91" s="8" t="n">
        <f aca="false">SUM(E91:G91)</f>
        <v>6000</v>
      </c>
    </row>
    <row r="92" customFormat="false" ht="14.25" hidden="false" customHeight="false" outlineLevel="0" collapsed="false">
      <c r="C92" s="6" t="s">
        <v>112</v>
      </c>
      <c r="D92" s="2" t="s">
        <v>84</v>
      </c>
      <c r="E92" s="8" t="n">
        <f aca="false">E60+E66+E67</f>
        <v>892.689178082192</v>
      </c>
      <c r="F92" s="8" t="n">
        <f aca="false">F60+F66+F67</f>
        <v>1158.21917808219</v>
      </c>
      <c r="G92" s="8" t="n">
        <f aca="false">G60+G66+G67</f>
        <v>1158.21917808219</v>
      </c>
      <c r="H92" s="8" t="n">
        <f aca="false">SUM(E92:G92)</f>
        <v>3209.12753424658</v>
      </c>
    </row>
    <row r="93" customFormat="false" ht="14.25" hidden="false" customHeight="false" outlineLevel="0" collapsed="false">
      <c r="C93" s="1" t="s">
        <v>113</v>
      </c>
      <c r="D93" s="2" t="s">
        <v>84</v>
      </c>
      <c r="E93" s="34" t="n">
        <f aca="false">E89+SUM(E90:E92)</f>
        <v>60636.3212383562</v>
      </c>
      <c r="F93" s="34" t="n">
        <f aca="false">F89+SUM(F90:F92)</f>
        <v>77626.9767123288</v>
      </c>
      <c r="G93" s="34" t="n">
        <f aca="false">G89+SUM(G90:G92)</f>
        <v>77626.9767123288</v>
      </c>
      <c r="H93" s="34" t="n">
        <f aca="false">SUM(E93:G93)</f>
        <v>215890.274663014</v>
      </c>
    </row>
    <row r="94" customFormat="false" ht="14.25" hidden="false" customHeight="false" outlineLevel="0" collapsed="false">
      <c r="C94" s="6" t="s">
        <v>114</v>
      </c>
      <c r="D94" s="2" t="s">
        <v>42</v>
      </c>
      <c r="E94" s="17" t="n">
        <f aca="false">E93/E46</f>
        <v>1212.72642476712</v>
      </c>
      <c r="F94" s="17" t="n">
        <f aca="false">F93/F46</f>
        <v>1108.95681017613</v>
      </c>
      <c r="G94" s="17" t="n">
        <f aca="false">G93/G46</f>
        <v>1108.95681017613</v>
      </c>
      <c r="H94" s="17" t="n">
        <f aca="false">H93/H46</f>
        <v>1136.26460348955</v>
      </c>
    </row>
    <row r="95" customFormat="false" ht="14.25" hidden="false" customHeight="false" outlineLevel="0" collapsed="false">
      <c r="C95" s="6" t="s">
        <v>115</v>
      </c>
      <c r="D95" s="2" t="s">
        <v>18</v>
      </c>
      <c r="E95" s="17" t="n">
        <f aca="false">E93/E6</f>
        <v>1212.72642476712</v>
      </c>
      <c r="F95" s="17" t="n">
        <f aca="false">F93/F6</f>
        <v>1552.53953424658</v>
      </c>
      <c r="G95" s="17" t="n">
        <f aca="false">G93/G6</f>
        <v>1552.53953424658</v>
      </c>
      <c r="H95" s="17" t="n">
        <f aca="false">H93/H6</f>
        <v>1439.26849775342</v>
      </c>
    </row>
    <row r="97" customFormat="false" ht="14.25" hidden="false" customHeight="false" outlineLevel="0" collapsed="false">
      <c r="B97" s="4" t="s">
        <v>3</v>
      </c>
      <c r="C97" s="4" t="s">
        <v>116</v>
      </c>
      <c r="D97" s="4"/>
      <c r="E97" s="5" t="s">
        <v>5</v>
      </c>
      <c r="F97" s="5" t="s">
        <v>6</v>
      </c>
      <c r="G97" s="5" t="s">
        <v>7</v>
      </c>
      <c r="H97" s="5" t="s">
        <v>8</v>
      </c>
    </row>
    <row r="98" customFormat="false" ht="14.25" hidden="false" customHeight="false" outlineLevel="0" collapsed="false">
      <c r="C98" s="6" t="s">
        <v>117</v>
      </c>
      <c r="D98" s="2" t="s">
        <v>84</v>
      </c>
      <c r="E98" s="17" t="n">
        <f aca="false">Inputs!E$18</f>
        <v>40.47</v>
      </c>
      <c r="F98" s="17" t="n">
        <f aca="false">Inputs!F$18</f>
        <v>51.5889708975487</v>
      </c>
      <c r="G98" s="17" t="n">
        <f aca="false">Inputs!G$18</f>
        <v>51.5889708975487</v>
      </c>
      <c r="H98" s="17" t="n">
        <f aca="false">SUM(E98:G98)</f>
        <v>143.647941795097</v>
      </c>
    </row>
    <row r="99" customFormat="false" ht="14.25" hidden="false" customHeight="false" outlineLevel="0" collapsed="false">
      <c r="C99" s="6" t="s">
        <v>118</v>
      </c>
      <c r="D99" s="2" t="s">
        <v>84</v>
      </c>
      <c r="E99" s="17" t="n">
        <f aca="false">Inputs!E$19</f>
        <v>150.66</v>
      </c>
      <c r="F99" s="17" t="n">
        <f aca="false">Inputs!F$19</f>
        <v>192.053233393246</v>
      </c>
      <c r="G99" s="17" t="n">
        <f aca="false">Inputs!G$19</f>
        <v>192.053233393246</v>
      </c>
      <c r="H99" s="17" t="n">
        <f aca="false">SUM(E99:G99)</f>
        <v>534.766466786493</v>
      </c>
    </row>
    <row r="100" customFormat="false" ht="14.25" hidden="false" customHeight="false" outlineLevel="0" collapsed="false">
      <c r="C100" s="6" t="s">
        <v>119</v>
      </c>
      <c r="D100" s="2" t="s">
        <v>84</v>
      </c>
      <c r="E100" s="17" t="n">
        <f aca="false">Inputs!E$20</f>
        <v>333.93</v>
      </c>
      <c r="F100" s="17" t="n">
        <f aca="false">Inputs!F$20</f>
        <v>425.675934070137</v>
      </c>
      <c r="G100" s="17" t="n">
        <f aca="false">Inputs!G$20</f>
        <v>425.675934070137</v>
      </c>
      <c r="H100" s="17" t="n">
        <f aca="false">SUM(E100:G100)</f>
        <v>1185.28186814027</v>
      </c>
    </row>
    <row r="101" customFormat="false" ht="14.25" hidden="false" customHeight="false" outlineLevel="0" collapsed="false">
      <c r="C101" s="6" t="s">
        <v>120</v>
      </c>
      <c r="D101" s="2" t="s">
        <v>84</v>
      </c>
      <c r="E101" s="17" t="n">
        <f aca="false">Inputs!E$21</f>
        <v>151.36</v>
      </c>
      <c r="F101" s="17" t="n">
        <f aca="false">Inputs!F$21</f>
        <v>192.945555598047</v>
      </c>
      <c r="G101" s="17" t="n">
        <f aca="false">Inputs!G$21</f>
        <v>192.945555598047</v>
      </c>
      <c r="H101" s="17" t="n">
        <f aca="false">SUM(E101:G101)</f>
        <v>537.251111196094</v>
      </c>
    </row>
    <row r="102" customFormat="false" ht="14.25" hidden="false" customHeight="false" outlineLevel="0" collapsed="false">
      <c r="C102" s="6" t="s">
        <v>121</v>
      </c>
      <c r="D102" s="2" t="s">
        <v>84</v>
      </c>
      <c r="E102" s="17" t="n">
        <f aca="false">Inputs!E$22</f>
        <v>37.5</v>
      </c>
      <c r="F102" s="17" t="n">
        <f aca="false">Inputs!F$22</f>
        <v>47.80297525718</v>
      </c>
      <c r="G102" s="17" t="n">
        <f aca="false">Inputs!G$22</f>
        <v>47.80297525718</v>
      </c>
      <c r="H102" s="17" t="n">
        <f aca="false">SUM(E102:G102)</f>
        <v>133.10595051436</v>
      </c>
    </row>
    <row r="103" customFormat="false" ht="14.25" hidden="false" customHeight="false" outlineLevel="0" collapsed="false">
      <c r="C103" s="6" t="s">
        <v>122</v>
      </c>
      <c r="D103" s="2" t="s">
        <v>84</v>
      </c>
      <c r="E103" s="18" t="n">
        <f aca="false">Inputs!E$23</f>
        <v>70.55</v>
      </c>
      <c r="F103" s="18" t="n">
        <f aca="false">Inputs!F$23</f>
        <v>89.9333307838413</v>
      </c>
      <c r="G103" s="17" t="n">
        <f aca="false">Inputs!G$23</f>
        <v>89.9333307838413</v>
      </c>
      <c r="H103" s="17" t="n">
        <f aca="false">SUM(E103:G103)</f>
        <v>250.416661567683</v>
      </c>
    </row>
    <row r="104" customFormat="false" ht="14.25" hidden="false" customHeight="false" outlineLevel="0" collapsed="false">
      <c r="C104" s="1" t="s">
        <v>123</v>
      </c>
      <c r="D104" s="2" t="s">
        <v>84</v>
      </c>
      <c r="E104" s="19" t="n">
        <f aca="false">SUM(E98:E103)</f>
        <v>784.47</v>
      </c>
      <c r="F104" s="19" t="n">
        <f aca="false">SUM(F98:F103)</f>
        <v>1000</v>
      </c>
      <c r="G104" s="19" t="n">
        <f aca="false">SUM(G98:G103)</f>
        <v>1000</v>
      </c>
      <c r="H104" s="19" t="n">
        <f aca="false">SUM(E104:G104)</f>
        <v>2784.47</v>
      </c>
    </row>
    <row r="106" s="39" customFormat="true" ht="14.25" hidden="false" customHeight="false" outlineLevel="0" collapsed="false">
      <c r="B106" s="40" t="s">
        <v>3</v>
      </c>
      <c r="C106" s="41" t="s">
        <v>124</v>
      </c>
      <c r="D106" s="40"/>
      <c r="E106" s="42" t="s">
        <v>5</v>
      </c>
      <c r="F106" s="42" t="s">
        <v>6</v>
      </c>
      <c r="G106" s="42" t="s">
        <v>7</v>
      </c>
      <c r="H106" s="42" t="s">
        <v>8</v>
      </c>
    </row>
    <row r="107" customFormat="false" ht="14.25" hidden="false" customHeight="false" outlineLevel="0" collapsed="false">
      <c r="C107" s="43" t="s">
        <v>125</v>
      </c>
      <c r="D107" s="44"/>
      <c r="E107" s="45"/>
      <c r="F107" s="45"/>
      <c r="G107" s="45"/>
      <c r="H107" s="45"/>
    </row>
    <row r="108" customFormat="false" ht="14.25" hidden="false" customHeight="false" outlineLevel="0" collapsed="false">
      <c r="C108" s="6" t="s">
        <v>126</v>
      </c>
      <c r="D108" s="2" t="s">
        <v>84</v>
      </c>
      <c r="E108" s="33" t="n">
        <f aca="false">E223</f>
        <v>10089.6937041096</v>
      </c>
      <c r="F108" s="8" t="n">
        <f aca="false">F223</f>
        <v>3359.81917808219</v>
      </c>
      <c r="G108" s="8" t="n">
        <f aca="false">G223</f>
        <v>3359.81917808219</v>
      </c>
      <c r="H108" s="8" t="n">
        <f aca="false">SUM(E108:G108)</f>
        <v>16809.332060274</v>
      </c>
    </row>
    <row r="109" customFormat="false" ht="14.25" hidden="false" customHeight="false" outlineLevel="0" collapsed="false">
      <c r="C109" s="46" t="s">
        <v>127</v>
      </c>
      <c r="D109" s="47" t="s">
        <v>84</v>
      </c>
      <c r="E109" s="48" t="n">
        <f aca="false">E224</f>
        <v>2899.53849315069</v>
      </c>
      <c r="F109" s="48" t="n">
        <f aca="false">F224</f>
        <v>4269.17808219178</v>
      </c>
      <c r="G109" s="48" t="n">
        <f aca="false">G224</f>
        <v>4269.17808219178</v>
      </c>
      <c r="H109" s="48" t="n">
        <f aca="false">SUM(E109:G109)</f>
        <v>11437.8946575342</v>
      </c>
    </row>
    <row r="110" customFormat="false" ht="14.25" hidden="false" customHeight="false" outlineLevel="0" collapsed="false">
      <c r="C110" s="6" t="s">
        <v>128</v>
      </c>
      <c r="D110" s="2" t="s">
        <v>84</v>
      </c>
      <c r="E110" s="8" t="n">
        <f aca="false">E262</f>
        <v>7282.58556652315</v>
      </c>
      <c r="F110" s="8" t="n">
        <f aca="false">F262</f>
        <v>10360.9589041096</v>
      </c>
      <c r="G110" s="8" t="n">
        <f aca="false">G262</f>
        <v>10360.9589041096</v>
      </c>
      <c r="H110" s="8" t="n">
        <f aca="false">SUM(E110:G110)</f>
        <v>28004.5033747423</v>
      </c>
    </row>
    <row r="111" customFormat="false" ht="14.25" hidden="false" customHeight="false" outlineLevel="0" collapsed="false">
      <c r="C111" s="6" t="s">
        <v>129</v>
      </c>
      <c r="D111" s="2" t="s">
        <v>84</v>
      </c>
      <c r="E111" s="8" t="n">
        <f aca="false">E263</f>
        <v>4383.04707337246</v>
      </c>
      <c r="F111" s="8" t="n">
        <f aca="false">F263</f>
        <v>6091.78082191781</v>
      </c>
      <c r="G111" s="8" t="n">
        <f aca="false">G263</f>
        <v>6091.78082191781</v>
      </c>
      <c r="H111" s="8" t="n">
        <f aca="false">SUM(E111:G111)</f>
        <v>16566.6087172081</v>
      </c>
    </row>
    <row r="112" customFormat="false" ht="14.25" hidden="false" customHeight="false" outlineLevel="0" collapsed="false">
      <c r="C112" s="46" t="s">
        <v>130</v>
      </c>
      <c r="D112" s="47" t="s">
        <v>84</v>
      </c>
      <c r="E112" s="48" t="n">
        <f aca="false">E265</f>
        <v>4198.82478097847</v>
      </c>
      <c r="F112" s="48" t="n">
        <f aca="false">F265</f>
        <v>6091.78082191781</v>
      </c>
      <c r="G112" s="48" t="n">
        <f aca="false">G265</f>
        <v>6091.78082191781</v>
      </c>
      <c r="H112" s="48" t="n">
        <f aca="false">SUM(E112:G112)</f>
        <v>16382.3864248141</v>
      </c>
    </row>
    <row r="113" customFormat="false" ht="14.25" hidden="false" customHeight="false" outlineLevel="0" collapsed="false">
      <c r="C113" s="6" t="s">
        <v>131</v>
      </c>
      <c r="D113" s="2" t="s">
        <v>3</v>
      </c>
      <c r="E113" s="49" t="n">
        <f aca="false">E266</f>
        <v>2.51163610475465</v>
      </c>
      <c r="F113" s="49" t="n">
        <f aca="false">F266</f>
        <v>2.426921225734</v>
      </c>
      <c r="G113" s="49" t="n">
        <f aca="false">G266</f>
        <v>2.426921225734</v>
      </c>
      <c r="H113" s="49" t="n">
        <f aca="false">H266</f>
        <v>2.44839668603658</v>
      </c>
    </row>
    <row r="114" customFormat="false" ht="14.25" hidden="false" customHeight="false" outlineLevel="0" collapsed="false">
      <c r="C114" s="6" t="s">
        <v>132</v>
      </c>
      <c r="D114" s="2" t="s">
        <v>12</v>
      </c>
      <c r="E114" s="50" t="n">
        <f aca="false">E267</f>
        <v>0.81525733588529</v>
      </c>
      <c r="F114" s="50" t="n">
        <f aca="false">F267</f>
        <v>0.755086340553753</v>
      </c>
      <c r="G114" s="50" t="n">
        <f aca="false">G267</f>
        <v>0.755086340553753</v>
      </c>
    </row>
    <row r="115" customFormat="false" ht="14.25" hidden="false" customHeight="false" outlineLevel="0" collapsed="false">
      <c r="C115" s="43" t="s">
        <v>133</v>
      </c>
      <c r="D115" s="44"/>
      <c r="E115" s="45"/>
      <c r="F115" s="45"/>
      <c r="G115" s="45"/>
      <c r="H115" s="45"/>
    </row>
    <row r="116" customFormat="false" ht="14.25" hidden="false" customHeight="false" outlineLevel="0" collapsed="false">
      <c r="C116" s="46" t="s">
        <v>127</v>
      </c>
      <c r="D116" s="47" t="s">
        <v>84</v>
      </c>
      <c r="E116" s="48" t="n">
        <f aca="false">E68</f>
        <v>12989.2321972603</v>
      </c>
      <c r="F116" s="48" t="n">
        <f aca="false">F68</f>
        <v>7628.99726027397</v>
      </c>
      <c r="G116" s="48" t="n">
        <f aca="false">G68</f>
        <v>7628.99726027397</v>
      </c>
      <c r="H116" s="48" t="n">
        <f aca="false">SUM(E116:G116)</f>
        <v>28247.2267178082</v>
      </c>
    </row>
    <row r="117" customFormat="false" ht="14.25" hidden="false" customHeight="false" outlineLevel="0" collapsed="false">
      <c r="C117" s="6" t="s">
        <v>128</v>
      </c>
      <c r="D117" s="2" t="s">
        <v>84</v>
      </c>
      <c r="E117" s="8" t="n">
        <f aca="false">E217</f>
        <v>17627.2455112175</v>
      </c>
      <c r="F117" s="8" t="n">
        <f aca="false">F217</f>
        <v>13720.7780821918</v>
      </c>
      <c r="G117" s="8" t="n">
        <f aca="false">G217</f>
        <v>13720.7780821918</v>
      </c>
      <c r="H117" s="8" t="n">
        <f aca="false">SUM(E117:G117)</f>
        <v>45068.8016756011</v>
      </c>
    </row>
    <row r="118" customFormat="false" ht="14.25" hidden="false" customHeight="false" outlineLevel="0" collapsed="false">
      <c r="C118" s="6" t="s">
        <v>129</v>
      </c>
      <c r="D118" s="2" t="s">
        <v>84</v>
      </c>
      <c r="E118" s="8" t="n">
        <f aca="false">E218</f>
        <v>4638.01331395724</v>
      </c>
      <c r="F118" s="8" t="n">
        <f aca="false">F218</f>
        <v>6091.78082191781</v>
      </c>
      <c r="G118" s="8" t="n">
        <f aca="false">G218</f>
        <v>6091.78082191781</v>
      </c>
      <c r="H118" s="8" t="n">
        <f aca="false">SUM(E118:G118)</f>
        <v>16821.5749577929</v>
      </c>
    </row>
    <row r="119" customFormat="false" ht="14.25" hidden="false" customHeight="false" outlineLevel="0" collapsed="false">
      <c r="C119" s="46" t="s">
        <v>130</v>
      </c>
      <c r="D119" s="47" t="s">
        <v>84</v>
      </c>
      <c r="E119" s="48" t="n">
        <f aca="false">E220</f>
        <v>4282.55790127086</v>
      </c>
      <c r="F119" s="51" t="n">
        <f aca="false">F220</f>
        <v>6091.78082191781</v>
      </c>
      <c r="G119" s="48" t="n">
        <f aca="false">G220</f>
        <v>6091.78082191781</v>
      </c>
      <c r="H119" s="15" t="n">
        <f aca="false">SUM(E119:G119)</f>
        <v>16466.1195451065</v>
      </c>
    </row>
    <row r="120" customFormat="false" ht="14.25" hidden="false" customHeight="false" outlineLevel="0" collapsed="false">
      <c r="C120" s="6" t="s">
        <v>131</v>
      </c>
      <c r="D120" s="2" t="s">
        <v>3</v>
      </c>
      <c r="E120" s="49" t="n">
        <f aca="false">SUMIF(E209:E217,"&gt;0")/-SUMIF(E209:E217,"&lt;0")</f>
        <v>1.35706601002448</v>
      </c>
      <c r="F120" s="49" t="n">
        <f aca="false">SUMIF(F209:F217,"&gt;0")/-SUMIF(F209:F217,"&lt;0")</f>
        <v>1.79850347484579</v>
      </c>
      <c r="G120" s="49" t="n">
        <f aca="false">SUMIF(G209:G217,"&gt;0")/-SUMIF(G209:G217,"&lt;0")</f>
        <v>1.79850347484579</v>
      </c>
      <c r="H120" s="49" t="n">
        <f aca="false">SUMIF(H209:H217,"&gt;0")/-SUMIF(H209:H217,"&lt;0")</f>
        <v>1.59551244183514</v>
      </c>
    </row>
    <row r="121" customFormat="false" ht="14.25" hidden="false" customHeight="false" outlineLevel="0" collapsed="false">
      <c r="C121" s="6" t="s">
        <v>132</v>
      </c>
      <c r="D121" s="2" t="s">
        <v>12</v>
      </c>
      <c r="E121" s="50" t="n">
        <f aca="false">XIRR(E209:E217,J209:J217)</f>
        <v>0.247371518455374</v>
      </c>
      <c r="F121" s="52" t="n">
        <f aca="false">XIRR(F209:F217,K209:K217)</f>
        <v>0.350034363381376</v>
      </c>
      <c r="G121" s="50" t="n">
        <f aca="false">XIRR(G209:G217,L209:L217)</f>
        <v>0.350034363381376</v>
      </c>
    </row>
    <row r="122" customFormat="false" ht="14.25" hidden="false" customHeight="false" outlineLevel="0" collapsed="false">
      <c r="C122" s="43" t="s">
        <v>134</v>
      </c>
      <c r="D122" s="44"/>
      <c r="E122" s="45"/>
      <c r="F122" s="45"/>
      <c r="G122" s="45"/>
      <c r="H122" s="45"/>
    </row>
    <row r="123" customFormat="false" ht="14.25" hidden="false" customHeight="false" outlineLevel="0" collapsed="false">
      <c r="C123" s="6" t="s">
        <v>135</v>
      </c>
      <c r="D123" s="2" t="s">
        <v>84</v>
      </c>
      <c r="E123" s="8" t="n">
        <f aca="false">E93-$H$311</f>
        <v>62355.6187463167</v>
      </c>
      <c r="F123" s="8" t="n">
        <f aca="false">F93-$H$351</f>
        <v>77626.9767123288</v>
      </c>
      <c r="G123" s="8" t="n">
        <f aca="false">G93-$H$391</f>
        <v>77626.9767123288</v>
      </c>
      <c r="H123" s="8" t="n">
        <f aca="false">SUM(E123:G123)</f>
        <v>217609.572170974</v>
      </c>
    </row>
    <row r="124" customFormat="false" ht="14.25" hidden="false" customHeight="false" outlineLevel="0" collapsed="false">
      <c r="C124" s="6" t="s">
        <v>136</v>
      </c>
      <c r="D124" s="2" t="s">
        <v>84</v>
      </c>
      <c r="E124" s="8" t="n">
        <f aca="false">$H$310</f>
        <v>96859.9875751141</v>
      </c>
      <c r="F124" s="8" t="n">
        <f aca="false">$H$350</f>
        <v>130416.00131392</v>
      </c>
      <c r="G124" s="8" t="n">
        <f aca="false">$H$390</f>
        <v>130416.00131392</v>
      </c>
      <c r="H124" s="8" t="n">
        <f aca="false">SUM(E124:G124)</f>
        <v>357691.990202953</v>
      </c>
    </row>
    <row r="125" customFormat="false" ht="14.25" hidden="false" customHeight="false" outlineLevel="0" collapsed="false">
      <c r="C125" s="6" t="s">
        <v>129</v>
      </c>
      <c r="D125" s="2" t="s">
        <v>84</v>
      </c>
      <c r="E125" s="8" t="n">
        <f aca="false">$H$312</f>
        <v>34504.3688287974</v>
      </c>
      <c r="F125" s="8" t="n">
        <f aca="false">$H$352</f>
        <v>52789.0246015908</v>
      </c>
      <c r="G125" s="8" t="n">
        <f aca="false">$H$392</f>
        <v>52789.0246015908</v>
      </c>
      <c r="H125" s="8" t="n">
        <f aca="false">SUM(E125:G125)</f>
        <v>140082.418031979</v>
      </c>
      <c r="J125" s="53"/>
    </row>
    <row r="126" customFormat="false" ht="14.25" hidden="false" customHeight="false" outlineLevel="0" collapsed="false">
      <c r="C126" s="1" t="s">
        <v>130</v>
      </c>
      <c r="D126" s="2" t="s">
        <v>84</v>
      </c>
      <c r="E126" s="15" t="n">
        <f aca="false">E396</f>
        <v>34504.3688287974</v>
      </c>
      <c r="F126" s="15" t="n">
        <f aca="false">F396</f>
        <v>52789.0246015908</v>
      </c>
      <c r="G126" s="15" t="n">
        <f aca="false">G396</f>
        <v>52789.0246015908</v>
      </c>
      <c r="H126" s="15" t="n">
        <f aca="false">SUM(E126:G126)</f>
        <v>140082.418031979</v>
      </c>
    </row>
    <row r="127" customFormat="false" ht="14.25" hidden="false" customHeight="false" outlineLevel="0" collapsed="false">
      <c r="C127" s="6" t="s">
        <v>131</v>
      </c>
      <c r="D127" s="2" t="s">
        <v>3</v>
      </c>
      <c r="E127" s="49" t="n">
        <f aca="false">SUMIF($J$312:$AS$312,"&gt;0")/-SUMIF($J$312:$AS$312,"&lt;0")</f>
        <v>1.68006787261137</v>
      </c>
      <c r="F127" s="49" t="n">
        <f aca="false">SUMIF($J$352:$AS$352,"&gt;0")/-SUMIF($J$352:$AS$352,"&lt;0")</f>
        <v>1.87801170521619</v>
      </c>
      <c r="G127" s="49" t="n">
        <f aca="false">SUMIF($J$392:$AS$392,"&gt;0")/-SUMIF($J$392:$AS$392,"&lt;0")</f>
        <v>1.87801170521619</v>
      </c>
    </row>
    <row r="128" customFormat="false" ht="14.25" hidden="false" customHeight="false" outlineLevel="0" collapsed="false">
      <c r="C128" s="6" t="s">
        <v>132</v>
      </c>
      <c r="D128" s="2" t="s">
        <v>12</v>
      </c>
      <c r="E128" s="50" t="n">
        <f aca="false">XIRR($J$312:$AS$312,$J$272:$AS$272)</f>
        <v>0.300213499651068</v>
      </c>
      <c r="F128" s="50" t="n">
        <f aca="false">XIRR($J$352:$AS$352,$J$272:$AS$272)</f>
        <v>0.418851421020743</v>
      </c>
      <c r="G128" s="50" t="n">
        <f aca="false">XIRR($J$392:$AS$392,$J$272:$AS$272)</f>
        <v>0.418851421020743</v>
      </c>
    </row>
    <row r="129" customFormat="false" ht="14.25" hidden="false" customHeight="false" outlineLevel="0" collapsed="false">
      <c r="C129" s="43" t="s">
        <v>137</v>
      </c>
      <c r="D129" s="44"/>
      <c r="E129" s="45"/>
      <c r="F129" s="45"/>
      <c r="G129" s="45"/>
      <c r="H129" s="45"/>
    </row>
    <row r="130" customFormat="false" ht="14.25" hidden="false" customHeight="false" outlineLevel="0" collapsed="false">
      <c r="C130" s="6" t="s">
        <v>138</v>
      </c>
      <c r="D130" s="2" t="s">
        <v>84</v>
      </c>
      <c r="E130" s="8" t="n">
        <f aca="false">E93</f>
        <v>60636.3212383562</v>
      </c>
      <c r="F130" s="8" t="n">
        <f aca="false">F93</f>
        <v>77626.9767123288</v>
      </c>
      <c r="G130" s="8" t="n">
        <f aca="false">G93</f>
        <v>77626.9767123288</v>
      </c>
      <c r="H130" s="8" t="n">
        <f aca="false">SUM(E130:G130)</f>
        <v>215890.274663014</v>
      </c>
    </row>
    <row r="131" customFormat="false" ht="14.25" hidden="false" customHeight="false" outlineLevel="0" collapsed="false">
      <c r="C131" s="6" t="s">
        <v>139</v>
      </c>
      <c r="D131" s="2" t="s">
        <v>84</v>
      </c>
      <c r="E131" s="8" t="n">
        <f aca="false">$H$289</f>
        <v>354071.972801154</v>
      </c>
      <c r="F131" s="8" t="n">
        <f aca="false">$H$329</f>
        <v>495700.761921616</v>
      </c>
      <c r="G131" s="8" t="n">
        <f aca="false">$H$369</f>
        <v>495700.761921616</v>
      </c>
      <c r="H131" s="8" t="n">
        <f aca="false">SUM(E131:G131)</f>
        <v>1345473.49664439</v>
      </c>
    </row>
    <row r="132" customFormat="false" ht="14.25" hidden="false" customHeight="false" outlineLevel="0" collapsed="false">
      <c r="C132" s="6" t="s">
        <v>140</v>
      </c>
      <c r="D132" s="2" t="s">
        <v>84</v>
      </c>
      <c r="E132" s="8" t="n">
        <f aca="false">$H$298</f>
        <v>-93722.6771745354</v>
      </c>
      <c r="F132" s="8" t="n">
        <f aca="false">$H$338</f>
        <v>-144722.966548392</v>
      </c>
      <c r="G132" s="8" t="n">
        <f aca="false">$H$378</f>
        <v>-144722.966548392</v>
      </c>
      <c r="H132" s="8" t="n">
        <f aca="false">SUM(E132:G132)</f>
        <v>-383168.610271319</v>
      </c>
    </row>
    <row r="133" customFormat="false" ht="14.25" hidden="false" customHeight="false" outlineLevel="0" collapsed="false">
      <c r="C133" s="6" t="s">
        <v>141</v>
      </c>
      <c r="D133" s="2" t="s">
        <v>84</v>
      </c>
      <c r="E133" s="8" t="n">
        <f aca="false">$H$299</f>
        <v>260349.295626619</v>
      </c>
      <c r="F133" s="8" t="n">
        <f aca="false">$H$339</f>
        <v>350977.795373224</v>
      </c>
      <c r="G133" s="8" t="n">
        <f aca="false">$H$379</f>
        <v>350977.795373224</v>
      </c>
      <c r="H133" s="8" t="n">
        <f aca="false">SUM(E133:G133)</f>
        <v>962304.886373067</v>
      </c>
    </row>
    <row r="134" customFormat="false" ht="14.25" hidden="false" customHeight="false" outlineLevel="0" collapsed="false">
      <c r="C134" s="1" t="s">
        <v>142</v>
      </c>
      <c r="D134" s="2" t="s">
        <v>12</v>
      </c>
      <c r="E134" s="54" t="n">
        <f aca="false">XIRR($J$300:$AS$300,$J$272:$AS$272)</f>
        <v>0.120792919762974</v>
      </c>
      <c r="F134" s="54" t="n">
        <f aca="false">XIRR($J$340:$AS$340,$J$272:$AS$272)</f>
        <v>0.130138231957479</v>
      </c>
      <c r="G134" s="54" t="n">
        <f aca="false">XIRR($J$380:$AS$380,$J$272:$AS$272)</f>
        <v>0.130138231957479</v>
      </c>
    </row>
    <row r="135" customFormat="false" ht="14.25" hidden="false" customHeight="false" outlineLevel="0" collapsed="false">
      <c r="C135" s="6" t="s">
        <v>143</v>
      </c>
      <c r="D135" s="2" t="s">
        <v>84</v>
      </c>
      <c r="E135" s="8" t="n">
        <f aca="false">XNPV(Discount_Rate,$J$300:$AS$300,$J$272:$AS$272)</f>
        <v>21929.4501954482</v>
      </c>
      <c r="F135" s="8" t="n">
        <f aca="false">XNPV(Discount_Rate,$J$340:$AS$340,$J$272:$AS$272)</f>
        <v>33611.0901025967</v>
      </c>
      <c r="G135" s="8" t="n">
        <f aca="false">XNPV(Discount_Rate,$J$380:$AS$380,$J$272:$AS$272)</f>
        <v>33611.0901025967</v>
      </c>
      <c r="H135" s="8" t="n">
        <f aca="false">SUM(E135:G135)</f>
        <v>89151.6304006416</v>
      </c>
    </row>
    <row r="136" customFormat="false" ht="14.25" hidden="false" customHeight="false" outlineLevel="0" collapsed="false">
      <c r="C136" s="6" t="s">
        <v>144</v>
      </c>
      <c r="D136" s="2" t="s">
        <v>84</v>
      </c>
      <c r="E136" s="8" t="n">
        <f aca="false">$H$302</f>
        <v>-29956.9461582394</v>
      </c>
      <c r="F136" s="8" t="n">
        <f aca="false">$H$342</f>
        <v>-41002.6227991343</v>
      </c>
      <c r="G136" s="8" t="n">
        <f aca="false">$H$382</f>
        <v>-41002.6227991343</v>
      </c>
      <c r="H136" s="8" t="n">
        <f aca="false">SUM(E136:G136)</f>
        <v>-111962.191756508</v>
      </c>
    </row>
    <row r="137" customFormat="false" ht="14.25" hidden="false" customHeight="false" outlineLevel="0" collapsed="false">
      <c r="C137" s="1" t="s">
        <v>145</v>
      </c>
      <c r="D137" s="2" t="s">
        <v>12</v>
      </c>
      <c r="E137" s="54" t="n">
        <f aca="false">XIRR($J$303:$AS$303,$J$272:$AS$272)</f>
        <v>0.108855413916679</v>
      </c>
      <c r="F137" s="54" t="n">
        <f aca="false">XIRR($J$343:$AS$343,$J$272:$AS$272)</f>
        <v>0.117102282700654</v>
      </c>
      <c r="G137" s="54" t="n">
        <f aca="false">XIRR($J$383:$AS$383,$J$272:$AS$272)</f>
        <v>0.117102282700654</v>
      </c>
    </row>
    <row r="138" customFormat="false" ht="14.25" hidden="false" customHeight="false" outlineLevel="0" collapsed="false">
      <c r="C138" s="6" t="s">
        <v>146</v>
      </c>
      <c r="D138" s="2" t="s">
        <v>84</v>
      </c>
      <c r="E138" s="8" t="n">
        <f aca="false">$H$304</f>
        <v>36381.7927430137</v>
      </c>
      <c r="F138" s="8" t="n">
        <f aca="false">$H$344</f>
        <v>46576.1860273973</v>
      </c>
      <c r="G138" s="8" t="n">
        <f aca="false">$H$384</f>
        <v>46576.1860273973</v>
      </c>
      <c r="H138" s="8" t="n">
        <f aca="false">SUM(E138:G138)</f>
        <v>129534.164797808</v>
      </c>
    </row>
    <row r="139" customFormat="false" ht="14.25" hidden="false" customHeight="false" outlineLevel="0" collapsed="false">
      <c r="C139" s="1" t="s">
        <v>147</v>
      </c>
      <c r="D139" s="2" t="s">
        <v>12</v>
      </c>
      <c r="E139" s="54" t="n">
        <f aca="false">XIRR($J$307:$AS$307,$J$272:$AS$272)</f>
        <v>0.134371395511389</v>
      </c>
      <c r="F139" s="54" t="n">
        <f aca="false">XIRR($J$347:$AS$347,$J$272:$AS$272)</f>
        <v>0.148372080597109</v>
      </c>
      <c r="G139" s="54" t="n">
        <f aca="false">XIRR($J$387:$AS$387,$J$272:$AS$272)</f>
        <v>0.148372080597109</v>
      </c>
    </row>
    <row r="140" customFormat="false" ht="14.25" hidden="false" customHeight="false" outlineLevel="0" collapsed="false">
      <c r="C140" s="6" t="s">
        <v>148</v>
      </c>
      <c r="D140" s="2" t="s">
        <v>3</v>
      </c>
      <c r="E140" s="49" t="n">
        <f aca="false">MIN($J$308:$AS$308)</f>
        <v>2.17800530883066</v>
      </c>
      <c r="F140" s="49" t="n">
        <f aca="false">MIN($J$348:$AS$348)</f>
        <v>2.27916639433686</v>
      </c>
      <c r="G140" s="49" t="n">
        <f aca="false">MIN($J$388:$AS$388)</f>
        <v>2.27916639433686</v>
      </c>
      <c r="H140" s="49"/>
    </row>
    <row r="142" customFormat="false" ht="14.25" hidden="false" customHeight="false" outlineLevel="0" collapsed="false">
      <c r="B142" s="4" t="s">
        <v>3</v>
      </c>
      <c r="C142" s="4" t="s">
        <v>149</v>
      </c>
      <c r="D142" s="4"/>
      <c r="E142" s="5"/>
      <c r="F142" s="5"/>
      <c r="G142" s="5"/>
      <c r="H142" s="5" t="s">
        <v>8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customFormat="false" ht="14.25" hidden="false" customHeight="false" outlineLevel="0" collapsed="false">
      <c r="C143" s="6" t="s">
        <v>150</v>
      </c>
      <c r="D143" s="2" t="s">
        <v>151</v>
      </c>
      <c r="J143" s="55" t="n">
        <f aca="false">J271</f>
        <v>2026</v>
      </c>
      <c r="K143" s="55" t="n">
        <f aca="false">K271</f>
        <v>2027</v>
      </c>
      <c r="L143" s="55" t="n">
        <f aca="false">L271</f>
        <v>2028</v>
      </c>
      <c r="M143" s="55" t="n">
        <f aca="false">M271</f>
        <v>2029</v>
      </c>
      <c r="N143" s="55" t="n">
        <f aca="false">N271</f>
        <v>2030</v>
      </c>
      <c r="O143" s="55" t="n">
        <f aca="false">O271</f>
        <v>2031</v>
      </c>
      <c r="P143" s="55" t="n">
        <f aca="false">P271</f>
        <v>2032</v>
      </c>
      <c r="Q143" s="55" t="n">
        <f aca="false">Q271</f>
        <v>2033</v>
      </c>
      <c r="R143" s="55" t="n">
        <f aca="false">R271</f>
        <v>2034</v>
      </c>
      <c r="S143" s="55" t="n">
        <f aca="false">S271</f>
        <v>2035</v>
      </c>
      <c r="T143" s="55" t="n">
        <f aca="false">T271</f>
        <v>2036</v>
      </c>
      <c r="U143" s="55" t="n">
        <f aca="false">U271</f>
        <v>2037</v>
      </c>
      <c r="V143" s="55" t="n">
        <f aca="false">V271</f>
        <v>2038</v>
      </c>
      <c r="W143" s="55" t="n">
        <f aca="false">W271</f>
        <v>2039</v>
      </c>
      <c r="X143" s="55" t="n">
        <f aca="false">X271</f>
        <v>2040</v>
      </c>
      <c r="Y143" s="55" t="n">
        <f aca="false">Y271</f>
        <v>2041</v>
      </c>
      <c r="Z143" s="55" t="n">
        <f aca="false">Z271</f>
        <v>2042</v>
      </c>
      <c r="AA143" s="55" t="n">
        <f aca="false">AA271</f>
        <v>2043</v>
      </c>
      <c r="AB143" s="55" t="n">
        <f aca="false">AB271</f>
        <v>2044</v>
      </c>
      <c r="AC143" s="55" t="n">
        <f aca="false">AC271</f>
        <v>2045</v>
      </c>
      <c r="AD143" s="55" t="n">
        <f aca="false">AD271</f>
        <v>2046</v>
      </c>
      <c r="AE143" s="55" t="n">
        <f aca="false">AE271</f>
        <v>2047</v>
      </c>
      <c r="AF143" s="55" t="n">
        <f aca="false">AF271</f>
        <v>2048</v>
      </c>
      <c r="AG143" s="55" t="n">
        <f aca="false">AG271</f>
        <v>2049</v>
      </c>
      <c r="AH143" s="55" t="n">
        <f aca="false">AH271</f>
        <v>2050</v>
      </c>
      <c r="AI143" s="55" t="n">
        <f aca="false">AI271</f>
        <v>2051</v>
      </c>
      <c r="AJ143" s="55" t="n">
        <f aca="false">AJ271</f>
        <v>2052</v>
      </c>
      <c r="AK143" s="55" t="n">
        <f aca="false">AK271</f>
        <v>2053</v>
      </c>
      <c r="AL143" s="55" t="n">
        <f aca="false">AL271</f>
        <v>2054</v>
      </c>
      <c r="AM143" s="55" t="n">
        <f aca="false">AM271</f>
        <v>2055</v>
      </c>
      <c r="AN143" s="55" t="n">
        <f aca="false">AN271</f>
        <v>2056</v>
      </c>
      <c r="AO143" s="55" t="n">
        <f aca="false">AO271</f>
        <v>2057</v>
      </c>
      <c r="AP143" s="55" t="n">
        <f aca="false">AP271</f>
        <v>2058</v>
      </c>
      <c r="AQ143" s="55" t="n">
        <f aca="false">AQ271</f>
        <v>2059</v>
      </c>
      <c r="AR143" s="55" t="n">
        <f aca="false">AR271</f>
        <v>2060</v>
      </c>
      <c r="AS143" s="55" t="n">
        <f aca="false">AS271</f>
        <v>2061</v>
      </c>
    </row>
    <row r="145" customFormat="false" ht="14.25" hidden="false" customHeight="false" outlineLevel="0" collapsed="false">
      <c r="C145" s="44" t="s">
        <v>5</v>
      </c>
      <c r="D145" s="44"/>
      <c r="E145" s="45"/>
      <c r="F145" s="45"/>
      <c r="G145" s="45"/>
      <c r="H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</row>
    <row r="146" customFormat="false" ht="14.25" hidden="false" customHeight="false" outlineLevel="0" collapsed="false">
      <c r="C146" s="6" t="s">
        <v>152</v>
      </c>
      <c r="D146" s="2" t="s">
        <v>84</v>
      </c>
      <c r="H146" s="8" t="n">
        <f aca="false">SUM(J146:AS146)</f>
        <v>-60636.3212383562</v>
      </c>
      <c r="J146" s="8" t="n">
        <f aca="false">J285</f>
        <v>-386.301369863014</v>
      </c>
      <c r="K146" s="33" t="n">
        <f aca="false">K285</f>
        <v>-2513.23712328767</v>
      </c>
      <c r="L146" s="8" t="n">
        <f aca="false">L285</f>
        <v>-10089.6937041096</v>
      </c>
      <c r="M146" s="8" t="n">
        <f aca="false">M285</f>
        <v>-12009.375</v>
      </c>
      <c r="N146" s="8" t="n">
        <f aca="false">N285</f>
        <v>-24018.75</v>
      </c>
      <c r="O146" s="8" t="n">
        <f aca="false">O285</f>
        <v>-13009.375</v>
      </c>
      <c r="P146" s="8" t="n">
        <f aca="false">P285</f>
        <v>0</v>
      </c>
      <c r="Q146" s="8" t="n">
        <f aca="false">Q285</f>
        <v>1390.41095890411</v>
      </c>
      <c r="R146" s="8" t="n">
        <f aca="false">R285</f>
        <v>0</v>
      </c>
      <c r="S146" s="8" t="n">
        <f aca="false">S285</f>
        <v>0</v>
      </c>
      <c r="T146" s="8" t="n">
        <f aca="false">T285</f>
        <v>0</v>
      </c>
      <c r="U146" s="8" t="n">
        <f aca="false">U285</f>
        <v>0</v>
      </c>
      <c r="V146" s="8" t="n">
        <f aca="false">V285</f>
        <v>0</v>
      </c>
      <c r="W146" s="8" t="n">
        <f aca="false">W285</f>
        <v>0</v>
      </c>
      <c r="X146" s="8" t="n">
        <f aca="false">X285</f>
        <v>0</v>
      </c>
      <c r="Y146" s="8" t="n">
        <f aca="false">Y285</f>
        <v>0</v>
      </c>
      <c r="Z146" s="8" t="n">
        <f aca="false">Z285</f>
        <v>0</v>
      </c>
      <c r="AA146" s="8" t="n">
        <f aca="false">AA285</f>
        <v>0</v>
      </c>
      <c r="AB146" s="8" t="n">
        <f aca="false">AB285</f>
        <v>0</v>
      </c>
      <c r="AC146" s="8" t="n">
        <f aca="false">AC285</f>
        <v>0</v>
      </c>
      <c r="AD146" s="8" t="n">
        <f aca="false">AD285</f>
        <v>0</v>
      </c>
      <c r="AE146" s="8" t="n">
        <f aca="false">AE285</f>
        <v>0</v>
      </c>
      <c r="AF146" s="8" t="n">
        <f aca="false">AF285</f>
        <v>0</v>
      </c>
      <c r="AG146" s="8" t="n">
        <f aca="false">AG285</f>
        <v>0</v>
      </c>
      <c r="AH146" s="8" t="n">
        <f aca="false">AH285</f>
        <v>0</v>
      </c>
      <c r="AI146" s="8" t="n">
        <f aca="false">AI285</f>
        <v>0</v>
      </c>
      <c r="AJ146" s="8" t="n">
        <f aca="false">AJ285</f>
        <v>0</v>
      </c>
      <c r="AK146" s="8" t="n">
        <f aca="false">AK285</f>
        <v>0</v>
      </c>
      <c r="AL146" s="8" t="n">
        <f aca="false">AL285</f>
        <v>0</v>
      </c>
      <c r="AM146" s="8" t="n">
        <f aca="false">AM285</f>
        <v>0</v>
      </c>
      <c r="AN146" s="8" t="n">
        <f aca="false">AN285</f>
        <v>0</v>
      </c>
      <c r="AO146" s="8" t="n">
        <f aca="false">AO285</f>
        <v>0</v>
      </c>
      <c r="AP146" s="8" t="n">
        <f aca="false">AP285</f>
        <v>0</v>
      </c>
      <c r="AQ146" s="8" t="n">
        <f aca="false">AQ285</f>
        <v>0</v>
      </c>
      <c r="AR146" s="8" t="n">
        <f aca="false">AR285</f>
        <v>0</v>
      </c>
      <c r="AS146" s="8" t="n">
        <f aca="false">AS285</f>
        <v>0</v>
      </c>
    </row>
    <row r="147" customFormat="false" ht="14.25" hidden="false" customHeight="false" outlineLevel="0" collapsed="false">
      <c r="C147" s="6" t="s">
        <v>153</v>
      </c>
      <c r="D147" s="2" t="s">
        <v>84</v>
      </c>
      <c r="H147" s="8" t="n">
        <f aca="false">SUM(J147:AS147)</f>
        <v>354071.972801154</v>
      </c>
      <c r="J147" s="8" t="n">
        <f aca="false">J289</f>
        <v>0</v>
      </c>
      <c r="K147" s="8" t="n">
        <f aca="false">K289</f>
        <v>0</v>
      </c>
      <c r="L147" s="8" t="n">
        <f aca="false">L289</f>
        <v>0</v>
      </c>
      <c r="M147" s="8" t="n">
        <f aca="false">M289</f>
        <v>0</v>
      </c>
      <c r="N147" s="8" t="n">
        <f aca="false">N289</f>
        <v>0</v>
      </c>
      <c r="O147" s="8" t="n">
        <f aca="false">O289</f>
        <v>5292</v>
      </c>
      <c r="P147" s="8" t="n">
        <f aca="false">P289</f>
        <v>10689.84</v>
      </c>
      <c r="Q147" s="8" t="n">
        <f aca="false">Q289</f>
        <v>10764.3481848</v>
      </c>
      <c r="R147" s="8" t="n">
        <f aca="false">R289</f>
        <v>10839.3756916481</v>
      </c>
      <c r="S147" s="8" t="n">
        <f aca="false">S289</f>
        <v>10914.9261402188</v>
      </c>
      <c r="T147" s="8" t="n">
        <f aca="false">T289</f>
        <v>10991.0031754162</v>
      </c>
      <c r="U147" s="8" t="n">
        <f aca="false">U289</f>
        <v>11067.6104675488</v>
      </c>
      <c r="V147" s="8" t="n">
        <f aca="false">V289</f>
        <v>11144.7517125076</v>
      </c>
      <c r="W147" s="8" t="n">
        <f aca="false">W289</f>
        <v>11222.4306319438</v>
      </c>
      <c r="X147" s="8" t="n">
        <f aca="false">X289</f>
        <v>11300.6509734485</v>
      </c>
      <c r="Y147" s="8" t="n">
        <f aca="false">Y289</f>
        <v>11379.4165107334</v>
      </c>
      <c r="Z147" s="8" t="n">
        <f aca="false">Z289</f>
        <v>11458.7310438132</v>
      </c>
      <c r="AA147" s="8" t="n">
        <f aca="false">AA289</f>
        <v>11538.5983991886</v>
      </c>
      <c r="AB147" s="8" t="n">
        <f aca="false">AB289</f>
        <v>11619.0224300309</v>
      </c>
      <c r="AC147" s="8" t="n">
        <f aca="false">AC289</f>
        <v>11700.0070163682</v>
      </c>
      <c r="AD147" s="8" t="n">
        <f aca="false">AD289</f>
        <v>11781.5560652723</v>
      </c>
      <c r="AE147" s="8" t="n">
        <f aca="false">AE289</f>
        <v>11863.6735110473</v>
      </c>
      <c r="AF147" s="8" t="n">
        <f aca="false">AF289</f>
        <v>11946.3633154193</v>
      </c>
      <c r="AG147" s="8" t="n">
        <f aca="false">AG289</f>
        <v>12029.6294677278</v>
      </c>
      <c r="AH147" s="8" t="n">
        <f aca="false">AH289</f>
        <v>12113.4759851178</v>
      </c>
      <c r="AI147" s="8" t="n">
        <f aca="false">AI289</f>
        <v>12197.9069127341</v>
      </c>
      <c r="AJ147" s="8" t="n">
        <f aca="false">AJ289</f>
        <v>12282.9263239158</v>
      </c>
      <c r="AK147" s="8" t="n">
        <f aca="false">AK289</f>
        <v>12368.5383203935</v>
      </c>
      <c r="AL147" s="8" t="n">
        <f aca="false">AL289</f>
        <v>12454.7470324867</v>
      </c>
      <c r="AM147" s="8" t="n">
        <f aca="false">AM289</f>
        <v>12541.5566193031</v>
      </c>
      <c r="AN147" s="8" t="n">
        <f aca="false">AN289</f>
        <v>12628.9712689397</v>
      </c>
      <c r="AO147" s="8" t="n">
        <f aca="false">AO289</f>
        <v>12716.9951986842</v>
      </c>
      <c r="AP147" s="8" t="n">
        <f aca="false">AP289</f>
        <v>12805.632655219</v>
      </c>
      <c r="AQ147" s="8" t="n">
        <f aca="false">AQ289</f>
        <v>12894.8879148259</v>
      </c>
      <c r="AR147" s="8" t="n">
        <f aca="false">AR289</f>
        <v>12984.7652835922</v>
      </c>
      <c r="AS147" s="8" t="n">
        <f aca="false">AS289</f>
        <v>6537.63454880942</v>
      </c>
    </row>
    <row r="148" customFormat="false" ht="14.25" hidden="false" customHeight="false" outlineLevel="0" collapsed="false">
      <c r="C148" s="6" t="s">
        <v>154</v>
      </c>
      <c r="D148" s="2" t="s">
        <v>84</v>
      </c>
      <c r="H148" s="8" t="n">
        <f aca="false">SUM(J148:AS148)</f>
        <v>-93722.6771745354</v>
      </c>
      <c r="J148" s="8" t="n">
        <f aca="false">J298</f>
        <v>0</v>
      </c>
      <c r="K148" s="8" t="n">
        <f aca="false">K298</f>
        <v>0</v>
      </c>
      <c r="L148" s="8" t="n">
        <f aca="false">L298</f>
        <v>0</v>
      </c>
      <c r="M148" s="8" t="n">
        <f aca="false">M298</f>
        <v>0</v>
      </c>
      <c r="N148" s="8" t="n">
        <f aca="false">N298</f>
        <v>0</v>
      </c>
      <c r="O148" s="8" t="n">
        <f aca="false">O298</f>
        <v>-1096.0341</v>
      </c>
      <c r="P148" s="8" t="n">
        <f aca="false">P298</f>
        <v>-2243.528007</v>
      </c>
      <c r="Q148" s="8" t="n">
        <f aca="false">Q298</f>
        <v>-2293.61310854004</v>
      </c>
      <c r="R148" s="8" t="n">
        <f aca="false">R298</f>
        <v>-2344.87939407526</v>
      </c>
      <c r="S148" s="8" t="n">
        <f aca="false">S298</f>
        <v>-2397.35526066889</v>
      </c>
      <c r="T148" s="8" t="n">
        <f aca="false">T298</f>
        <v>-2451.06979342747</v>
      </c>
      <c r="U148" s="8" t="n">
        <f aca="false">U298</f>
        <v>-2506.05278224273</v>
      </c>
      <c r="V148" s="8" t="n">
        <f aca="false">V298</f>
        <v>-2562.33473894201</v>
      </c>
      <c r="W148" s="8" t="n">
        <f aca="false">W298</f>
        <v>-2619.94691485736</v>
      </c>
      <c r="X148" s="8" t="n">
        <f aca="false">X298</f>
        <v>-2678.92131882348</v>
      </c>
      <c r="Y148" s="8" t="n">
        <f aca="false">Y298</f>
        <v>-2739.29073561501</v>
      </c>
      <c r="Z148" s="8" t="n">
        <f aca="false">Z298</f>
        <v>-2801.08874483394</v>
      </c>
      <c r="AA148" s="8" t="n">
        <f aca="false">AA298</f>
        <v>-2864.34974025816</v>
      </c>
      <c r="AB148" s="8" t="n">
        <f aca="false">AB298</f>
        <v>-2929.10894966239</v>
      </c>
      <c r="AC148" s="8" t="n">
        <f aca="false">AC298</f>
        <v>-2995.40245512313</v>
      </c>
      <c r="AD148" s="8" t="n">
        <f aca="false">AD298</f>
        <v>-3063.26721381944</v>
      </c>
      <c r="AE148" s="8" t="n">
        <f aca="false">AE298</f>
        <v>-3132.7410793416</v>
      </c>
      <c r="AF148" s="8" t="n">
        <f aca="false">AF298</f>
        <v>-3203.86282352027</v>
      </c>
      <c r="AG148" s="8" t="n">
        <f aca="false">AG298</f>
        <v>-3276.67215878875</v>
      </c>
      <c r="AH148" s="8" t="n">
        <f aca="false">AH298</f>
        <v>-3351.20976109145</v>
      </c>
      <c r="AI148" s="8" t="n">
        <f aca="false">AI298</f>
        <v>-3427.51729335186</v>
      </c>
      <c r="AJ148" s="8" t="n">
        <f aca="false">AJ298</f>
        <v>-3505.63742951389</v>
      </c>
      <c r="AK148" s="8" t="n">
        <f aca="false">AK298</f>
        <v>-3585.61387917048</v>
      </c>
      <c r="AL148" s="8" t="n">
        <f aca="false">AL298</f>
        <v>-3667.49141279384</v>
      </c>
      <c r="AM148" s="8" t="n">
        <f aca="false">AM298</f>
        <v>-3751.31588758224</v>
      </c>
      <c r="AN148" s="8" t="n">
        <f aca="false">AN298</f>
        <v>-3837.13427393821</v>
      </c>
      <c r="AO148" s="8" t="n">
        <f aca="false">AO298</f>
        <v>-3924.99468259377</v>
      </c>
      <c r="AP148" s="8" t="n">
        <f aca="false">AP298</f>
        <v>-4014.94639239857</v>
      </c>
      <c r="AQ148" s="8" t="n">
        <f aca="false">AQ298</f>
        <v>-4107.039878787</v>
      </c>
      <c r="AR148" s="8" t="n">
        <f aca="false">AR298</f>
        <v>-4201.32684294109</v>
      </c>
      <c r="AS148" s="8" t="n">
        <f aca="false">AS298</f>
        <v>-2148.93012083305</v>
      </c>
    </row>
    <row r="149" customFormat="false" ht="14.25" hidden="false" customHeight="false" outlineLevel="0" collapsed="false">
      <c r="C149" s="6" t="s">
        <v>155</v>
      </c>
      <c r="D149" s="2" t="s">
        <v>84</v>
      </c>
      <c r="H149" s="8" t="n">
        <f aca="false">SUM(J149:AS149)</f>
        <v>260349.295626619</v>
      </c>
      <c r="J149" s="8" t="n">
        <f aca="false">J299</f>
        <v>0</v>
      </c>
      <c r="K149" s="8" t="n">
        <f aca="false">K299</f>
        <v>0</v>
      </c>
      <c r="L149" s="8" t="n">
        <f aca="false">L299</f>
        <v>0</v>
      </c>
      <c r="M149" s="8" t="n">
        <f aca="false">M299</f>
        <v>0</v>
      </c>
      <c r="N149" s="8" t="n">
        <f aca="false">N299</f>
        <v>0</v>
      </c>
      <c r="O149" s="8" t="n">
        <f aca="false">O299</f>
        <v>4195.9659</v>
      </c>
      <c r="P149" s="8" t="n">
        <f aca="false">P299</f>
        <v>8446.311993</v>
      </c>
      <c r="Q149" s="8" t="n">
        <f aca="false">Q299</f>
        <v>8470.73507625996</v>
      </c>
      <c r="R149" s="8" t="n">
        <f aca="false">R299</f>
        <v>8494.4962975728</v>
      </c>
      <c r="S149" s="8" t="n">
        <f aca="false">S299</f>
        <v>8517.57087954995</v>
      </c>
      <c r="T149" s="8" t="n">
        <f aca="false">T299</f>
        <v>8539.9333819887</v>
      </c>
      <c r="U149" s="8" t="n">
        <f aca="false">U299</f>
        <v>8561.55768530609</v>
      </c>
      <c r="V149" s="8" t="n">
        <f aca="false">V299</f>
        <v>8582.41697356563</v>
      </c>
      <c r="W149" s="8" t="n">
        <f aca="false">W299</f>
        <v>8602.48371708645</v>
      </c>
      <c r="X149" s="8" t="n">
        <f aca="false">X299</f>
        <v>8621.72965462498</v>
      </c>
      <c r="Y149" s="8" t="n">
        <f aca="false">Y299</f>
        <v>8640.12577511838</v>
      </c>
      <c r="Z149" s="8" t="n">
        <f aca="false">Z299</f>
        <v>8657.64229897927</v>
      </c>
      <c r="AA149" s="8" t="n">
        <f aca="false">AA299</f>
        <v>8674.24865893043</v>
      </c>
      <c r="AB149" s="8" t="n">
        <f aca="false">AB299</f>
        <v>8689.91348036855</v>
      </c>
      <c r="AC149" s="8" t="n">
        <f aca="false">AC299</f>
        <v>8704.60456124511</v>
      </c>
      <c r="AD149" s="8" t="n">
        <f aca="false">AD299</f>
        <v>8718.28885145289</v>
      </c>
      <c r="AE149" s="8" t="n">
        <f aca="false">AE299</f>
        <v>8730.93243170569</v>
      </c>
      <c r="AF149" s="8" t="n">
        <f aca="false">AF299</f>
        <v>8742.50049189901</v>
      </c>
      <c r="AG149" s="8" t="n">
        <f aca="false">AG299</f>
        <v>8752.957308939</v>
      </c>
      <c r="AH149" s="8" t="n">
        <f aca="false">AH299</f>
        <v>8762.26622402637</v>
      </c>
      <c r="AI149" s="8" t="n">
        <f aca="false">AI299</f>
        <v>8770.38961938223</v>
      </c>
      <c r="AJ149" s="8" t="n">
        <f aca="false">AJ299</f>
        <v>8777.28889440195</v>
      </c>
      <c r="AK149" s="8" t="n">
        <f aca="false">AK299</f>
        <v>8782.92444122306</v>
      </c>
      <c r="AL149" s="8" t="n">
        <f aca="false">AL299</f>
        <v>8787.25561969284</v>
      </c>
      <c r="AM149" s="8" t="n">
        <f aca="false">AM299</f>
        <v>8790.24073172087</v>
      </c>
      <c r="AN149" s="8" t="n">
        <f aca="false">AN299</f>
        <v>8791.83699500145</v>
      </c>
      <c r="AO149" s="8" t="n">
        <f aca="false">AO299</f>
        <v>8792.0005160904</v>
      </c>
      <c r="AP149" s="8" t="n">
        <f aca="false">AP299</f>
        <v>8790.68626282043</v>
      </c>
      <c r="AQ149" s="8" t="n">
        <f aca="false">AQ299</f>
        <v>8787.84803603887</v>
      </c>
      <c r="AR149" s="8" t="n">
        <f aca="false">AR299</f>
        <v>8783.43844065112</v>
      </c>
      <c r="AS149" s="8" t="n">
        <f aca="false">AS299</f>
        <v>4388.70442797637</v>
      </c>
    </row>
    <row r="150" customFormat="false" ht="14.25" hidden="false" customHeight="false" outlineLevel="0" collapsed="false">
      <c r="C150" s="1" t="s">
        <v>156</v>
      </c>
      <c r="D150" s="2" t="s">
        <v>84</v>
      </c>
      <c r="H150" s="15" t="n">
        <f aca="false">SUM(J150:AS150)</f>
        <v>199712.974388263</v>
      </c>
      <c r="J150" s="15" t="n">
        <f aca="false">J300</f>
        <v>-386.301369863014</v>
      </c>
      <c r="K150" s="15" t="n">
        <f aca="false">K300</f>
        <v>-2513.23712328767</v>
      </c>
      <c r="L150" s="15" t="n">
        <f aca="false">L300</f>
        <v>-10089.6937041096</v>
      </c>
      <c r="M150" s="15" t="n">
        <f aca="false">M300</f>
        <v>-12009.375</v>
      </c>
      <c r="N150" s="15" t="n">
        <f aca="false">N300</f>
        <v>-24018.75</v>
      </c>
      <c r="O150" s="15" t="n">
        <f aca="false">O300</f>
        <v>-8813.4091</v>
      </c>
      <c r="P150" s="15" t="n">
        <f aca="false">P300</f>
        <v>8446.311993</v>
      </c>
      <c r="Q150" s="15" t="n">
        <f aca="false">Q300</f>
        <v>9861.14603516407</v>
      </c>
      <c r="R150" s="15" t="n">
        <f aca="false">R300</f>
        <v>8494.4962975728</v>
      </c>
      <c r="S150" s="15" t="n">
        <f aca="false">S300</f>
        <v>8517.57087954995</v>
      </c>
      <c r="T150" s="15" t="n">
        <f aca="false">T300</f>
        <v>8539.9333819887</v>
      </c>
      <c r="U150" s="15" t="n">
        <f aca="false">U300</f>
        <v>8561.55768530609</v>
      </c>
      <c r="V150" s="15" t="n">
        <f aca="false">V300</f>
        <v>8582.41697356563</v>
      </c>
      <c r="W150" s="15" t="n">
        <f aca="false">W300</f>
        <v>8602.48371708645</v>
      </c>
      <c r="X150" s="15" t="n">
        <f aca="false">X300</f>
        <v>8621.72965462498</v>
      </c>
      <c r="Y150" s="15" t="n">
        <f aca="false">Y300</f>
        <v>8640.12577511838</v>
      </c>
      <c r="Z150" s="15" t="n">
        <f aca="false">Z300</f>
        <v>8657.64229897927</v>
      </c>
      <c r="AA150" s="15" t="n">
        <f aca="false">AA300</f>
        <v>8674.24865893043</v>
      </c>
      <c r="AB150" s="15" t="n">
        <f aca="false">AB300</f>
        <v>8689.91348036855</v>
      </c>
      <c r="AC150" s="15" t="n">
        <f aca="false">AC300</f>
        <v>8704.60456124511</v>
      </c>
      <c r="AD150" s="15" t="n">
        <f aca="false">AD300</f>
        <v>8718.28885145289</v>
      </c>
      <c r="AE150" s="15" t="n">
        <f aca="false">AE300</f>
        <v>8730.93243170569</v>
      </c>
      <c r="AF150" s="15" t="n">
        <f aca="false">AF300</f>
        <v>8742.50049189901</v>
      </c>
      <c r="AG150" s="15" t="n">
        <f aca="false">AG300</f>
        <v>8752.957308939</v>
      </c>
      <c r="AH150" s="15" t="n">
        <f aca="false">AH300</f>
        <v>8762.26622402637</v>
      </c>
      <c r="AI150" s="15" t="n">
        <f aca="false">AI300</f>
        <v>8770.38961938223</v>
      </c>
      <c r="AJ150" s="15" t="n">
        <f aca="false">AJ300</f>
        <v>8777.28889440195</v>
      </c>
      <c r="AK150" s="15" t="n">
        <f aca="false">AK300</f>
        <v>8782.92444122306</v>
      </c>
      <c r="AL150" s="15" t="n">
        <f aca="false">AL300</f>
        <v>8787.25561969284</v>
      </c>
      <c r="AM150" s="15" t="n">
        <f aca="false">AM300</f>
        <v>8790.24073172087</v>
      </c>
      <c r="AN150" s="15" t="n">
        <f aca="false">AN300</f>
        <v>8791.83699500145</v>
      </c>
      <c r="AO150" s="15" t="n">
        <f aca="false">AO300</f>
        <v>8792.0005160904</v>
      </c>
      <c r="AP150" s="15" t="n">
        <f aca="false">AP300</f>
        <v>8790.68626282043</v>
      </c>
      <c r="AQ150" s="15" t="n">
        <f aca="false">AQ300</f>
        <v>8787.84803603887</v>
      </c>
      <c r="AR150" s="15" t="n">
        <f aca="false">AR300</f>
        <v>8783.43844065112</v>
      </c>
      <c r="AS150" s="15" t="n">
        <f aca="false">AS300</f>
        <v>4388.70442797637</v>
      </c>
    </row>
    <row r="151" customFormat="false" ht="14.25" hidden="false" customHeight="false" outlineLevel="0" collapsed="false">
      <c r="C151" s="6" t="s">
        <v>157</v>
      </c>
      <c r="D151" s="2" t="s">
        <v>84</v>
      </c>
      <c r="J151" s="8" t="n">
        <f aca="false">SUM($J150:J150)</f>
        <v>-386.301369863014</v>
      </c>
      <c r="K151" s="8" t="n">
        <f aca="false">SUM($J150:K150)</f>
        <v>-2899.53849315069</v>
      </c>
      <c r="L151" s="8" t="n">
        <f aca="false">SUM($J150:L150)</f>
        <v>-12989.2321972603</v>
      </c>
      <c r="M151" s="8" t="n">
        <f aca="false">SUM($J150:M150)</f>
        <v>-24998.6071972603</v>
      </c>
      <c r="N151" s="8" t="n">
        <f aca="false">SUM($J150:N150)</f>
        <v>-49017.3571972603</v>
      </c>
      <c r="O151" s="8" t="n">
        <f aca="false">SUM($J150:O150)</f>
        <v>-57830.7662972603</v>
      </c>
      <c r="P151" s="8" t="n">
        <f aca="false">SUM($J150:P150)</f>
        <v>-49384.4543042603</v>
      </c>
      <c r="Q151" s="8" t="n">
        <f aca="false">SUM($J150:Q150)</f>
        <v>-39523.3082690962</v>
      </c>
      <c r="R151" s="8" t="n">
        <f aca="false">SUM($J150:R150)</f>
        <v>-31028.8119715234</v>
      </c>
      <c r="S151" s="8" t="n">
        <f aca="false">SUM($J150:S150)</f>
        <v>-22511.2410919735</v>
      </c>
      <c r="T151" s="8" t="n">
        <f aca="false">SUM($J150:T150)</f>
        <v>-13971.3077099848</v>
      </c>
      <c r="U151" s="8" t="n">
        <f aca="false">SUM($J150:U150)</f>
        <v>-5409.75002467866</v>
      </c>
      <c r="V151" s="8" t="n">
        <f aca="false">SUM($J150:V150)</f>
        <v>3172.66694888696</v>
      </c>
      <c r="W151" s="8" t="n">
        <f aca="false">SUM($J150:W150)</f>
        <v>11775.1506659734</v>
      </c>
      <c r="X151" s="8" t="n">
        <f aca="false">SUM($J150:X150)</f>
        <v>20396.8803205984</v>
      </c>
      <c r="Y151" s="8" t="n">
        <f aca="false">SUM($J150:Y150)</f>
        <v>29037.0060957168</v>
      </c>
      <c r="Z151" s="8" t="n">
        <f aca="false">SUM($J150:Z150)</f>
        <v>37694.648394696</v>
      </c>
      <c r="AA151" s="8" t="n">
        <f aca="false">SUM($J150:AA150)</f>
        <v>46368.8970536265</v>
      </c>
      <c r="AB151" s="8" t="n">
        <f aca="false">SUM($J150:AB150)</f>
        <v>55058.810533995</v>
      </c>
      <c r="AC151" s="8" t="n">
        <f aca="false">SUM($J150:AC150)</f>
        <v>63763.4150952401</v>
      </c>
      <c r="AD151" s="8" t="n">
        <f aca="false">SUM($J150:AD150)</f>
        <v>72481.703946693</v>
      </c>
      <c r="AE151" s="8" t="n">
        <f aca="false">SUM($J150:AE150)</f>
        <v>81212.6363783987</v>
      </c>
      <c r="AF151" s="8" t="n">
        <f aca="false">SUM($J150:AF150)</f>
        <v>89955.1368702977</v>
      </c>
      <c r="AG151" s="8" t="n">
        <f aca="false">SUM($J150:AG150)</f>
        <v>98708.0941792367</v>
      </c>
      <c r="AH151" s="8" t="n">
        <f aca="false">SUM($J150:AH150)</f>
        <v>107470.360403263</v>
      </c>
      <c r="AI151" s="8" t="n">
        <f aca="false">SUM($J150:AI150)</f>
        <v>116240.750022645</v>
      </c>
      <c r="AJ151" s="8" t="n">
        <f aca="false">SUM($J150:AJ150)</f>
        <v>125018.038917047</v>
      </c>
      <c r="AK151" s="8" t="n">
        <f aca="false">SUM($J150:AK150)</f>
        <v>133800.96335827</v>
      </c>
      <c r="AL151" s="8" t="n">
        <f aca="false">SUM($J150:AL150)</f>
        <v>142588.218977963</v>
      </c>
      <c r="AM151" s="8" t="n">
        <f aca="false">SUM($J150:AM150)</f>
        <v>151378.459709684</v>
      </c>
      <c r="AN151" s="8" t="n">
        <f aca="false">SUM($J150:AN150)</f>
        <v>160170.296704686</v>
      </c>
      <c r="AO151" s="8" t="n">
        <f aca="false">SUM($J150:AO150)</f>
        <v>168962.297220776</v>
      </c>
      <c r="AP151" s="8" t="n">
        <f aca="false">SUM($J150:AP150)</f>
        <v>177752.983483596</v>
      </c>
      <c r="AQ151" s="8" t="n">
        <f aca="false">SUM($J150:AQ150)</f>
        <v>186540.831519635</v>
      </c>
      <c r="AR151" s="8" t="n">
        <f aca="false">SUM($J150:AR150)</f>
        <v>195324.269960286</v>
      </c>
      <c r="AS151" s="8" t="n">
        <f aca="false">SUM($J150:AS150)</f>
        <v>199712.974388263</v>
      </c>
    </row>
    <row r="153" customFormat="false" ht="14.25" hidden="false" customHeight="false" outlineLevel="0" collapsed="false">
      <c r="C153" s="44" t="s">
        <v>6</v>
      </c>
      <c r="D153" s="44"/>
      <c r="E153" s="45"/>
      <c r="F153" s="45"/>
      <c r="G153" s="45"/>
      <c r="H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</row>
    <row r="154" customFormat="false" ht="14.25" hidden="false" customHeight="false" outlineLevel="0" collapsed="false">
      <c r="C154" s="6" t="s">
        <v>152</v>
      </c>
      <c r="D154" s="2" t="s">
        <v>84</v>
      </c>
      <c r="H154" s="8" t="n">
        <f aca="false">SUM(J154:AS154)</f>
        <v>-77626.9767123288</v>
      </c>
      <c r="J154" s="8" t="n">
        <f aca="false">J325</f>
        <v>-657.123287671233</v>
      </c>
      <c r="K154" s="8" t="n">
        <f aca="false">K325</f>
        <v>-3612.05479452055</v>
      </c>
      <c r="L154" s="8" t="n">
        <f aca="false">L325</f>
        <v>-3359.81917808219</v>
      </c>
      <c r="M154" s="8" t="n">
        <f aca="false">M325</f>
        <v>-17498.125</v>
      </c>
      <c r="N154" s="8" t="n">
        <f aca="false">N325</f>
        <v>-34996.25</v>
      </c>
      <c r="O154" s="8" t="n">
        <f aca="false">O325</f>
        <v>-19998.125</v>
      </c>
      <c r="P154" s="8" t="n">
        <f aca="false">P325</f>
        <v>0</v>
      </c>
      <c r="Q154" s="8" t="n">
        <f aca="false">Q325</f>
        <v>2494.52054794521</v>
      </c>
      <c r="R154" s="8" t="n">
        <f aca="false">R325</f>
        <v>0</v>
      </c>
      <c r="S154" s="8" t="n">
        <f aca="false">S325</f>
        <v>0</v>
      </c>
      <c r="T154" s="8" t="n">
        <f aca="false">T325</f>
        <v>0</v>
      </c>
      <c r="U154" s="8" t="n">
        <f aca="false">U325</f>
        <v>0</v>
      </c>
      <c r="V154" s="8" t="n">
        <f aca="false">V325</f>
        <v>0</v>
      </c>
      <c r="W154" s="8" t="n">
        <f aca="false">W325</f>
        <v>0</v>
      </c>
      <c r="X154" s="8" t="n">
        <f aca="false">X325</f>
        <v>0</v>
      </c>
      <c r="Y154" s="8" t="n">
        <f aca="false">Y325</f>
        <v>0</v>
      </c>
      <c r="Z154" s="8" t="n">
        <f aca="false">Z325</f>
        <v>0</v>
      </c>
      <c r="AA154" s="8" t="n">
        <f aca="false">AA325</f>
        <v>0</v>
      </c>
      <c r="AB154" s="8" t="n">
        <f aca="false">AB325</f>
        <v>0</v>
      </c>
      <c r="AC154" s="8" t="n">
        <f aca="false">AC325</f>
        <v>0</v>
      </c>
      <c r="AD154" s="8" t="n">
        <f aca="false">AD325</f>
        <v>0</v>
      </c>
      <c r="AE154" s="8" t="n">
        <f aca="false">AE325</f>
        <v>0</v>
      </c>
      <c r="AF154" s="8" t="n">
        <f aca="false">AF325</f>
        <v>0</v>
      </c>
      <c r="AG154" s="8" t="n">
        <f aca="false">AG325</f>
        <v>0</v>
      </c>
      <c r="AH154" s="8" t="n">
        <f aca="false">AH325</f>
        <v>0</v>
      </c>
      <c r="AI154" s="8" t="n">
        <f aca="false">AI325</f>
        <v>0</v>
      </c>
      <c r="AJ154" s="8" t="n">
        <f aca="false">AJ325</f>
        <v>0</v>
      </c>
      <c r="AK154" s="8" t="n">
        <f aca="false">AK325</f>
        <v>0</v>
      </c>
      <c r="AL154" s="8" t="n">
        <f aca="false">AL325</f>
        <v>0</v>
      </c>
      <c r="AM154" s="8" t="n">
        <f aca="false">AM325</f>
        <v>0</v>
      </c>
      <c r="AN154" s="8" t="n">
        <f aca="false">AN325</f>
        <v>0</v>
      </c>
      <c r="AO154" s="8" t="n">
        <f aca="false">AO325</f>
        <v>0</v>
      </c>
      <c r="AP154" s="8" t="n">
        <f aca="false">AP325</f>
        <v>0</v>
      </c>
      <c r="AQ154" s="8" t="n">
        <f aca="false">AQ325</f>
        <v>0</v>
      </c>
      <c r="AR154" s="8" t="n">
        <f aca="false">AR325</f>
        <v>0</v>
      </c>
      <c r="AS154" s="8" t="n">
        <f aca="false">AS325</f>
        <v>0</v>
      </c>
    </row>
    <row r="155" customFormat="false" ht="14.25" hidden="false" customHeight="false" outlineLevel="0" collapsed="false">
      <c r="C155" s="6" t="s">
        <v>153</v>
      </c>
      <c r="D155" s="2" t="s">
        <v>84</v>
      </c>
      <c r="H155" s="8" t="n">
        <f aca="false">SUM(J155:AS155)</f>
        <v>495700.761921616</v>
      </c>
      <c r="J155" s="8" t="n">
        <f aca="false">J329</f>
        <v>0</v>
      </c>
      <c r="K155" s="8" t="n">
        <f aca="false">K329</f>
        <v>0</v>
      </c>
      <c r="L155" s="8" t="n">
        <f aca="false">L329</f>
        <v>0</v>
      </c>
      <c r="M155" s="8" t="n">
        <f aca="false">M329</f>
        <v>0</v>
      </c>
      <c r="N155" s="8" t="n">
        <f aca="false">N329</f>
        <v>0</v>
      </c>
      <c r="O155" s="8" t="n">
        <f aca="false">O329</f>
        <v>7408.8</v>
      </c>
      <c r="P155" s="8" t="n">
        <f aca="false">P329</f>
        <v>14965.776</v>
      </c>
      <c r="Q155" s="8" t="n">
        <f aca="false">Q329</f>
        <v>15070.08745872</v>
      </c>
      <c r="R155" s="8" t="n">
        <f aca="false">R329</f>
        <v>15175.1259683073</v>
      </c>
      <c r="S155" s="8" t="n">
        <f aca="false">S329</f>
        <v>15280.8965963064</v>
      </c>
      <c r="T155" s="8" t="n">
        <f aca="false">T329</f>
        <v>15387.4044455826</v>
      </c>
      <c r="U155" s="8" t="n">
        <f aca="false">U329</f>
        <v>15494.6546545683</v>
      </c>
      <c r="V155" s="8" t="n">
        <f aca="false">V329</f>
        <v>15602.6523975107</v>
      </c>
      <c r="W155" s="8" t="n">
        <f aca="false">W329</f>
        <v>15711.4028847213</v>
      </c>
      <c r="X155" s="8" t="n">
        <f aca="false">X329</f>
        <v>15820.9113628278</v>
      </c>
      <c r="Y155" s="8" t="n">
        <f aca="false">Y329</f>
        <v>15931.1831150268</v>
      </c>
      <c r="Z155" s="8" t="n">
        <f aca="false">Z329</f>
        <v>16042.2234613385</v>
      </c>
      <c r="AA155" s="8" t="n">
        <f aca="false">AA329</f>
        <v>16154.037758864</v>
      </c>
      <c r="AB155" s="8" t="n">
        <f aca="false">AB329</f>
        <v>16266.6314020433</v>
      </c>
      <c r="AC155" s="8" t="n">
        <f aca="false">AC329</f>
        <v>16380.0098229155</v>
      </c>
      <c r="AD155" s="8" t="n">
        <f aca="false">AD329</f>
        <v>16494.1784913813</v>
      </c>
      <c r="AE155" s="8" t="n">
        <f aca="false">AE329</f>
        <v>16609.1429154662</v>
      </c>
      <c r="AF155" s="8" t="n">
        <f aca="false">AF329</f>
        <v>16724.908641587</v>
      </c>
      <c r="AG155" s="8" t="n">
        <f aca="false">AG329</f>
        <v>16841.4812548189</v>
      </c>
      <c r="AH155" s="8" t="n">
        <f aca="false">AH329</f>
        <v>16958.8663791649</v>
      </c>
      <c r="AI155" s="8" t="n">
        <f aca="false">AI329</f>
        <v>17077.0696778277</v>
      </c>
      <c r="AJ155" s="8" t="n">
        <f aca="false">AJ329</f>
        <v>17196.0968534822</v>
      </c>
      <c r="AK155" s="8" t="n">
        <f aca="false">AK329</f>
        <v>17315.953648551</v>
      </c>
      <c r="AL155" s="8" t="n">
        <f aca="false">AL329</f>
        <v>17436.6458454814</v>
      </c>
      <c r="AM155" s="8" t="n">
        <f aca="false">AM329</f>
        <v>17558.1792670244</v>
      </c>
      <c r="AN155" s="8" t="n">
        <f aca="false">AN329</f>
        <v>17680.5597765155</v>
      </c>
      <c r="AO155" s="8" t="n">
        <f aca="false">AO329</f>
        <v>17803.7932781578</v>
      </c>
      <c r="AP155" s="8" t="n">
        <f aca="false">AP329</f>
        <v>17927.8857173066</v>
      </c>
      <c r="AQ155" s="8" t="n">
        <f aca="false">AQ329</f>
        <v>18052.8430807562</v>
      </c>
      <c r="AR155" s="8" t="n">
        <f aca="false">AR329</f>
        <v>18178.6713970291</v>
      </c>
      <c r="AS155" s="8" t="n">
        <f aca="false">AS329</f>
        <v>9152.68836833319</v>
      </c>
    </row>
    <row r="156" customFormat="false" ht="14.25" hidden="false" customHeight="false" outlineLevel="0" collapsed="false">
      <c r="C156" s="6" t="s">
        <v>154</v>
      </c>
      <c r="D156" s="2" t="s">
        <v>84</v>
      </c>
      <c r="H156" s="8" t="n">
        <f aca="false">SUM(J156:AS156)</f>
        <v>-144722.966548392</v>
      </c>
      <c r="J156" s="8" t="n">
        <f aca="false">J338</f>
        <v>0</v>
      </c>
      <c r="K156" s="8" t="n">
        <f aca="false">K338</f>
        <v>0</v>
      </c>
      <c r="L156" s="8" t="n">
        <f aca="false">L338</f>
        <v>0</v>
      </c>
      <c r="M156" s="8" t="n">
        <f aca="false">M338</f>
        <v>0</v>
      </c>
      <c r="N156" s="8" t="n">
        <f aca="false">N338</f>
        <v>0</v>
      </c>
      <c r="O156" s="8" t="n">
        <f aca="false">O338</f>
        <v>-1773.53274</v>
      </c>
      <c r="P156" s="8" t="n">
        <f aca="false">P338</f>
        <v>-3618.7154598</v>
      </c>
      <c r="Q156" s="8" t="n">
        <f aca="false">Q338</f>
        <v>-3686.94924820606</v>
      </c>
      <c r="R156" s="8" t="n">
        <f aca="false">R338</f>
        <v>-3756.83104964162</v>
      </c>
      <c r="S156" s="8" t="n">
        <f aca="false">S338</f>
        <v>-3828.40035441326</v>
      </c>
      <c r="T156" s="8" t="n">
        <f aca="false">T338</f>
        <v>-3901.69760982208</v>
      </c>
      <c r="U156" s="8" t="n">
        <f aca="false">U338</f>
        <v>-3976.76424344449</v>
      </c>
      <c r="V156" s="8" t="n">
        <f aca="false">V338</f>
        <v>-4053.64268698113</v>
      </c>
      <c r="W156" s="8" t="n">
        <f aca="false">W338</f>
        <v>-4132.37640068787</v>
      </c>
      <c r="X156" s="8" t="n">
        <f aca="false">X338</f>
        <v>-4213.00989840297</v>
      </c>
      <c r="Y156" s="8" t="n">
        <f aca="false">Y338</f>
        <v>-4295.58877318522</v>
      </c>
      <c r="Z156" s="8" t="n">
        <f aca="false">Z338</f>
        <v>-4380.15972357776</v>
      </c>
      <c r="AA156" s="8" t="n">
        <f aca="false">AA338</f>
        <v>-4466.77058051314</v>
      </c>
      <c r="AB156" s="8" t="n">
        <f aca="false">AB338</f>
        <v>-4555.47033487511</v>
      </c>
      <c r="AC156" s="8" t="n">
        <f aca="false">AC338</f>
        <v>-4646.30916573333</v>
      </c>
      <c r="AD156" s="8" t="n">
        <f aca="false">AD338</f>
        <v>-4739.33846926743</v>
      </c>
      <c r="AE156" s="8" t="n">
        <f aca="false">AE338</f>
        <v>-4834.61088839726</v>
      </c>
      <c r="AF156" s="8" t="n">
        <f aca="false">AF338</f>
        <v>-4932.18034313673</v>
      </c>
      <c r="AG156" s="8" t="n">
        <f aca="false">AG338</f>
        <v>-5032.10206168881</v>
      </c>
      <c r="AH156" s="8" t="n">
        <f aca="false">AH338</f>
        <v>-5134.43261229992</v>
      </c>
      <c r="AI156" s="8" t="n">
        <f aca="false">AI338</f>
        <v>-5239.22993589231</v>
      </c>
      <c r="AJ156" s="8" t="n">
        <f aca="false">AJ338</f>
        <v>-5346.55337949339</v>
      </c>
      <c r="AK156" s="8" t="n">
        <f aca="false">AK338</f>
        <v>-5456.46373048167</v>
      </c>
      <c r="AL156" s="8" t="n">
        <f aca="false">AL338</f>
        <v>-5569.02325166912</v>
      </c>
      <c r="AM156" s="8" t="n">
        <f aca="false">AM338</f>
        <v>-5684.29571724061</v>
      </c>
      <c r="AN156" s="8" t="n">
        <f aca="false">AN338</f>
        <v>-5802.34644957131</v>
      </c>
      <c r="AO156" s="8" t="n">
        <f aca="false">AO338</f>
        <v>-5923.24235694357</v>
      </c>
      <c r="AP156" s="8" t="n">
        <f aca="false">AP338</f>
        <v>-6047.05197218531</v>
      </c>
      <c r="AQ156" s="8" t="n">
        <f aca="false">AQ338</f>
        <v>-6173.84549225257</v>
      </c>
      <c r="AR156" s="8" t="n">
        <f aca="false">AR338</f>
        <v>-6303.69481877916</v>
      </c>
      <c r="AS156" s="8" t="n">
        <f aca="false">AS338</f>
        <v>-3218.33679980867</v>
      </c>
    </row>
    <row r="157" customFormat="false" ht="14.25" hidden="false" customHeight="false" outlineLevel="0" collapsed="false">
      <c r="C157" s="6" t="s">
        <v>155</v>
      </c>
      <c r="D157" s="2" t="s">
        <v>84</v>
      </c>
      <c r="H157" s="8" t="n">
        <f aca="false">SUM(J157:AS157)</f>
        <v>350977.795373224</v>
      </c>
      <c r="J157" s="8" t="n">
        <f aca="false">J339</f>
        <v>0</v>
      </c>
      <c r="K157" s="8" t="n">
        <f aca="false">K339</f>
        <v>0</v>
      </c>
      <c r="L157" s="8" t="n">
        <f aca="false">L339</f>
        <v>0</v>
      </c>
      <c r="M157" s="8" t="n">
        <f aca="false">M339</f>
        <v>0</v>
      </c>
      <c r="N157" s="8" t="n">
        <f aca="false">N339</f>
        <v>0</v>
      </c>
      <c r="O157" s="8" t="n">
        <f aca="false">O339</f>
        <v>5635.26726</v>
      </c>
      <c r="P157" s="8" t="n">
        <f aca="false">P339</f>
        <v>11347.0605402</v>
      </c>
      <c r="Q157" s="8" t="n">
        <f aca="false">Q339</f>
        <v>11383.1382105139</v>
      </c>
      <c r="R157" s="8" t="n">
        <f aca="false">R339</f>
        <v>11418.2949186657</v>
      </c>
      <c r="S157" s="8" t="n">
        <f aca="false">S339</f>
        <v>11452.4962418931</v>
      </c>
      <c r="T157" s="8" t="n">
        <f aca="false">T339</f>
        <v>11485.7068357606</v>
      </c>
      <c r="U157" s="8" t="n">
        <f aca="false">U339</f>
        <v>11517.8904111239</v>
      </c>
      <c r="V157" s="8" t="n">
        <f aca="false">V339</f>
        <v>11549.0097105296</v>
      </c>
      <c r="W157" s="8" t="n">
        <f aca="false">W339</f>
        <v>11579.0264840335</v>
      </c>
      <c r="X157" s="8" t="n">
        <f aca="false">X339</f>
        <v>11607.9014644249</v>
      </c>
      <c r="Y157" s="8" t="n">
        <f aca="false">Y339</f>
        <v>11635.5943418415</v>
      </c>
      <c r="Z157" s="8" t="n">
        <f aca="false">Z339</f>
        <v>11662.0637377607</v>
      </c>
      <c r="AA157" s="8" t="n">
        <f aca="false">AA339</f>
        <v>11687.2671783509</v>
      </c>
      <c r="AB157" s="8" t="n">
        <f aca="false">AB339</f>
        <v>11711.1610671682</v>
      </c>
      <c r="AC157" s="8" t="n">
        <f aca="false">AC339</f>
        <v>11733.7006571822</v>
      </c>
      <c r="AD157" s="8" t="n">
        <f aca="false">AD339</f>
        <v>11754.8400221138</v>
      </c>
      <c r="AE157" s="8" t="n">
        <f aca="false">AE339</f>
        <v>11774.5320270689</v>
      </c>
      <c r="AF157" s="8" t="n">
        <f aca="false">AF339</f>
        <v>11792.7282984503</v>
      </c>
      <c r="AG157" s="8" t="n">
        <f aca="false">AG339</f>
        <v>11809.37919313</v>
      </c>
      <c r="AH157" s="8" t="n">
        <f aca="false">AH339</f>
        <v>11824.433766865</v>
      </c>
      <c r="AI157" s="8" t="n">
        <f aca="false">AI339</f>
        <v>11837.8397419354</v>
      </c>
      <c r="AJ157" s="8" t="n">
        <f aca="false">AJ339</f>
        <v>11849.5434739888</v>
      </c>
      <c r="AK157" s="8" t="n">
        <f aca="false">AK339</f>
        <v>11859.4899180693</v>
      </c>
      <c r="AL157" s="8" t="n">
        <f aca="false">AL339</f>
        <v>11867.6225938122</v>
      </c>
      <c r="AM157" s="8" t="n">
        <f aca="false">AM339</f>
        <v>11873.8835497838</v>
      </c>
      <c r="AN157" s="8" t="n">
        <f aca="false">AN339</f>
        <v>11878.2133269442</v>
      </c>
      <c r="AO157" s="8" t="n">
        <f aca="false">AO339</f>
        <v>11880.5509212143</v>
      </c>
      <c r="AP157" s="8" t="n">
        <f aca="false">AP339</f>
        <v>11880.8337451213</v>
      </c>
      <c r="AQ157" s="8" t="n">
        <f aca="false">AQ339</f>
        <v>11878.9975885037</v>
      </c>
      <c r="AR157" s="8" t="n">
        <f aca="false">AR339</f>
        <v>11874.9765782499</v>
      </c>
      <c r="AS157" s="8" t="n">
        <f aca="false">AS339</f>
        <v>5934.35156852452</v>
      </c>
    </row>
    <row r="158" customFormat="false" ht="14.25" hidden="false" customHeight="false" outlineLevel="0" collapsed="false">
      <c r="C158" s="1" t="s">
        <v>156</v>
      </c>
      <c r="D158" s="2" t="s">
        <v>84</v>
      </c>
      <c r="H158" s="15" t="n">
        <f aca="false">SUM(J158:AS158)</f>
        <v>273350.818660895</v>
      </c>
      <c r="J158" s="15" t="n">
        <f aca="false">J340</f>
        <v>-657.123287671233</v>
      </c>
      <c r="K158" s="15" t="n">
        <f aca="false">K340</f>
        <v>-3612.05479452055</v>
      </c>
      <c r="L158" s="15" t="n">
        <f aca="false">L340</f>
        <v>-3359.81917808219</v>
      </c>
      <c r="M158" s="15" t="n">
        <f aca="false">M340</f>
        <v>-17498.125</v>
      </c>
      <c r="N158" s="15" t="n">
        <f aca="false">N340</f>
        <v>-34996.25</v>
      </c>
      <c r="O158" s="15" t="n">
        <f aca="false">O340</f>
        <v>-14362.85774</v>
      </c>
      <c r="P158" s="15" t="n">
        <f aca="false">P340</f>
        <v>11347.0605402</v>
      </c>
      <c r="Q158" s="15" t="n">
        <f aca="false">Q340</f>
        <v>13877.6587584591</v>
      </c>
      <c r="R158" s="15" t="n">
        <f aca="false">R340</f>
        <v>11418.2949186657</v>
      </c>
      <c r="S158" s="15" t="n">
        <f aca="false">S340</f>
        <v>11452.4962418931</v>
      </c>
      <c r="T158" s="15" t="n">
        <f aca="false">T340</f>
        <v>11485.7068357606</v>
      </c>
      <c r="U158" s="15" t="n">
        <f aca="false">U340</f>
        <v>11517.8904111239</v>
      </c>
      <c r="V158" s="15" t="n">
        <f aca="false">V340</f>
        <v>11549.0097105296</v>
      </c>
      <c r="W158" s="15" t="n">
        <f aca="false">W340</f>
        <v>11579.0264840335</v>
      </c>
      <c r="X158" s="15" t="n">
        <f aca="false">X340</f>
        <v>11607.9014644249</v>
      </c>
      <c r="Y158" s="15" t="n">
        <f aca="false">Y340</f>
        <v>11635.5943418415</v>
      </c>
      <c r="Z158" s="15" t="n">
        <f aca="false">Z340</f>
        <v>11662.0637377607</v>
      </c>
      <c r="AA158" s="15" t="n">
        <f aca="false">AA340</f>
        <v>11687.2671783509</v>
      </c>
      <c r="AB158" s="15" t="n">
        <f aca="false">AB340</f>
        <v>11711.1610671682</v>
      </c>
      <c r="AC158" s="15" t="n">
        <f aca="false">AC340</f>
        <v>11733.7006571822</v>
      </c>
      <c r="AD158" s="15" t="n">
        <f aca="false">AD340</f>
        <v>11754.8400221138</v>
      </c>
      <c r="AE158" s="15" t="n">
        <f aca="false">AE340</f>
        <v>11774.5320270689</v>
      </c>
      <c r="AF158" s="15" t="n">
        <f aca="false">AF340</f>
        <v>11792.7282984503</v>
      </c>
      <c r="AG158" s="15" t="n">
        <f aca="false">AG340</f>
        <v>11809.37919313</v>
      </c>
      <c r="AH158" s="15" t="n">
        <f aca="false">AH340</f>
        <v>11824.433766865</v>
      </c>
      <c r="AI158" s="15" t="n">
        <f aca="false">AI340</f>
        <v>11837.8397419354</v>
      </c>
      <c r="AJ158" s="15" t="n">
        <f aca="false">AJ340</f>
        <v>11849.5434739888</v>
      </c>
      <c r="AK158" s="15" t="n">
        <f aca="false">AK340</f>
        <v>11859.4899180693</v>
      </c>
      <c r="AL158" s="15" t="n">
        <f aca="false">AL340</f>
        <v>11867.6225938122</v>
      </c>
      <c r="AM158" s="15" t="n">
        <f aca="false">AM340</f>
        <v>11873.8835497838</v>
      </c>
      <c r="AN158" s="15" t="n">
        <f aca="false">AN340</f>
        <v>11878.2133269442</v>
      </c>
      <c r="AO158" s="15" t="n">
        <f aca="false">AO340</f>
        <v>11880.5509212143</v>
      </c>
      <c r="AP158" s="15" t="n">
        <f aca="false">AP340</f>
        <v>11880.8337451213</v>
      </c>
      <c r="AQ158" s="15" t="n">
        <f aca="false">AQ340</f>
        <v>11878.9975885037</v>
      </c>
      <c r="AR158" s="15" t="n">
        <f aca="false">AR340</f>
        <v>11874.9765782499</v>
      </c>
      <c r="AS158" s="15" t="n">
        <f aca="false">AS340</f>
        <v>5934.35156852452</v>
      </c>
    </row>
    <row r="159" customFormat="false" ht="14.25" hidden="false" customHeight="false" outlineLevel="0" collapsed="false">
      <c r="C159" s="6" t="s">
        <v>157</v>
      </c>
      <c r="D159" s="2" t="s">
        <v>84</v>
      </c>
      <c r="J159" s="8" t="n">
        <f aca="false">SUM($J158:J158)</f>
        <v>-657.123287671233</v>
      </c>
      <c r="K159" s="8" t="n">
        <f aca="false">SUM($J158:K158)</f>
        <v>-4269.17808219178</v>
      </c>
      <c r="L159" s="8" t="n">
        <f aca="false">SUM($J158:L158)</f>
        <v>-7628.99726027397</v>
      </c>
      <c r="M159" s="8" t="n">
        <f aca="false">SUM($J158:M158)</f>
        <v>-25127.122260274</v>
      </c>
      <c r="N159" s="8" t="n">
        <f aca="false">SUM($J158:N158)</f>
        <v>-60123.372260274</v>
      </c>
      <c r="O159" s="8" t="n">
        <f aca="false">SUM($J158:O158)</f>
        <v>-74486.230000274</v>
      </c>
      <c r="P159" s="8" t="n">
        <f aca="false">SUM($J158:P158)</f>
        <v>-63139.169460074</v>
      </c>
      <c r="Q159" s="8" t="n">
        <f aca="false">SUM($J158:Q158)</f>
        <v>-49261.5107016148</v>
      </c>
      <c r="R159" s="8" t="n">
        <f aca="false">SUM($J158:R158)</f>
        <v>-37843.2157829492</v>
      </c>
      <c r="S159" s="8" t="n">
        <f aca="false">SUM($J158:S158)</f>
        <v>-26390.719541056</v>
      </c>
      <c r="T159" s="8" t="n">
        <f aca="false">SUM($J158:T158)</f>
        <v>-14905.0127052955</v>
      </c>
      <c r="U159" s="8" t="n">
        <f aca="false">SUM($J158:U158)</f>
        <v>-3387.12229417162</v>
      </c>
      <c r="V159" s="8" t="n">
        <f aca="false">SUM($J158:V158)</f>
        <v>8161.88741635794</v>
      </c>
      <c r="W159" s="8" t="n">
        <f aca="false">SUM($J158:W158)</f>
        <v>19740.9139003914</v>
      </c>
      <c r="X159" s="8" t="n">
        <f aca="false">SUM($J158:X158)</f>
        <v>31348.8153648163</v>
      </c>
      <c r="Y159" s="8" t="n">
        <f aca="false">SUM($J158:Y158)</f>
        <v>42984.4097066578</v>
      </c>
      <c r="Z159" s="8" t="n">
        <f aca="false">SUM($J158:Z158)</f>
        <v>54646.4734444186</v>
      </c>
      <c r="AA159" s="8" t="n">
        <f aca="false">SUM($J158:AA158)</f>
        <v>66333.7406227694</v>
      </c>
      <c r="AB159" s="8" t="n">
        <f aca="false">SUM($J158:AB158)</f>
        <v>78044.9016899376</v>
      </c>
      <c r="AC159" s="8" t="n">
        <f aca="false">SUM($J158:AC158)</f>
        <v>89778.6023471198</v>
      </c>
      <c r="AD159" s="8" t="n">
        <f aca="false">SUM($J158:AD158)</f>
        <v>101533.442369234</v>
      </c>
      <c r="AE159" s="8" t="n">
        <f aca="false">SUM($J158:AE158)</f>
        <v>113307.974396303</v>
      </c>
      <c r="AF159" s="8" t="n">
        <f aca="false">SUM($J158:AF158)</f>
        <v>125100.702694753</v>
      </c>
      <c r="AG159" s="8" t="n">
        <f aca="false">SUM($J158:AG158)</f>
        <v>136910.081887883</v>
      </c>
      <c r="AH159" s="8" t="n">
        <f aca="false">SUM($J158:AH158)</f>
        <v>148734.515654748</v>
      </c>
      <c r="AI159" s="8" t="n">
        <f aca="false">SUM($J158:AI158)</f>
        <v>160572.355396683</v>
      </c>
      <c r="AJ159" s="8" t="n">
        <f aca="false">SUM($J158:AJ158)</f>
        <v>172421.898870672</v>
      </c>
      <c r="AK159" s="8" t="n">
        <f aca="false">SUM($J158:AK158)</f>
        <v>184281.388788741</v>
      </c>
      <c r="AL159" s="8" t="n">
        <f aca="false">SUM($J158:AL158)</f>
        <v>196149.011382554</v>
      </c>
      <c r="AM159" s="8" t="n">
        <f aca="false">SUM($J158:AM158)</f>
        <v>208022.894932337</v>
      </c>
      <c r="AN159" s="8" t="n">
        <f aca="false">SUM($J158:AN158)</f>
        <v>219901.108259282</v>
      </c>
      <c r="AO159" s="8" t="n">
        <f aca="false">SUM($J158:AO158)</f>
        <v>231781.659180496</v>
      </c>
      <c r="AP159" s="8" t="n">
        <f aca="false">SUM($J158:AP158)</f>
        <v>243662.492925617</v>
      </c>
      <c r="AQ159" s="8" t="n">
        <f aca="false">SUM($J158:AQ158)</f>
        <v>255541.490514121</v>
      </c>
      <c r="AR159" s="8" t="n">
        <f aca="false">SUM($J158:AR158)</f>
        <v>267416.467092371</v>
      </c>
      <c r="AS159" s="8" t="n">
        <f aca="false">SUM($J158:AS158)</f>
        <v>273350.818660895</v>
      </c>
    </row>
    <row r="161" customFormat="false" ht="14.25" hidden="false" customHeight="false" outlineLevel="0" collapsed="false">
      <c r="C161" s="44" t="s">
        <v>7</v>
      </c>
      <c r="D161" s="44"/>
      <c r="E161" s="45"/>
      <c r="F161" s="45"/>
      <c r="G161" s="45"/>
      <c r="H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</row>
    <row r="162" customFormat="false" ht="14.25" hidden="false" customHeight="false" outlineLevel="0" collapsed="false">
      <c r="C162" s="6" t="s">
        <v>152</v>
      </c>
      <c r="D162" s="2" t="s">
        <v>84</v>
      </c>
      <c r="H162" s="8" t="n">
        <f aca="false">SUM(J162:AS162)</f>
        <v>-77626.9767123288</v>
      </c>
      <c r="J162" s="33" t="n">
        <f aca="false">J365</f>
        <v>-657.123287671233</v>
      </c>
      <c r="K162" s="8" t="n">
        <f aca="false">K365</f>
        <v>-3612.05479452055</v>
      </c>
      <c r="L162" s="8" t="n">
        <f aca="false">L365</f>
        <v>-3359.81917808219</v>
      </c>
      <c r="M162" s="8" t="n">
        <f aca="false">M365</f>
        <v>-17498.125</v>
      </c>
      <c r="N162" s="8" t="n">
        <f aca="false">N365</f>
        <v>-34996.25</v>
      </c>
      <c r="O162" s="8" t="n">
        <f aca="false">O365</f>
        <v>-19998.125</v>
      </c>
      <c r="P162" s="8" t="n">
        <f aca="false">P365</f>
        <v>0</v>
      </c>
      <c r="Q162" s="8" t="n">
        <f aca="false">Q365</f>
        <v>2494.52054794521</v>
      </c>
      <c r="R162" s="8" t="n">
        <f aca="false">R365</f>
        <v>0</v>
      </c>
      <c r="S162" s="8" t="n">
        <f aca="false">S365</f>
        <v>0</v>
      </c>
      <c r="T162" s="8" t="n">
        <f aca="false">T365</f>
        <v>0</v>
      </c>
      <c r="U162" s="8" t="n">
        <f aca="false">U365</f>
        <v>0</v>
      </c>
      <c r="V162" s="8" t="n">
        <f aca="false">V365</f>
        <v>0</v>
      </c>
      <c r="W162" s="8" t="n">
        <f aca="false">W365</f>
        <v>0</v>
      </c>
      <c r="X162" s="8" t="n">
        <f aca="false">X365</f>
        <v>0</v>
      </c>
      <c r="Y162" s="8" t="n">
        <f aca="false">Y365</f>
        <v>0</v>
      </c>
      <c r="Z162" s="8" t="n">
        <f aca="false">Z365</f>
        <v>0</v>
      </c>
      <c r="AA162" s="8" t="n">
        <f aca="false">AA365</f>
        <v>0</v>
      </c>
      <c r="AB162" s="8" t="n">
        <f aca="false">AB365</f>
        <v>0</v>
      </c>
      <c r="AC162" s="8" t="n">
        <f aca="false">AC365</f>
        <v>0</v>
      </c>
      <c r="AD162" s="8" t="n">
        <f aca="false">AD365</f>
        <v>0</v>
      </c>
      <c r="AE162" s="8" t="n">
        <f aca="false">AE365</f>
        <v>0</v>
      </c>
      <c r="AF162" s="8" t="n">
        <f aca="false">AF365</f>
        <v>0</v>
      </c>
      <c r="AG162" s="8" t="n">
        <f aca="false">AG365</f>
        <v>0</v>
      </c>
      <c r="AH162" s="8" t="n">
        <f aca="false">AH365</f>
        <v>0</v>
      </c>
      <c r="AI162" s="8" t="n">
        <f aca="false">AI365</f>
        <v>0</v>
      </c>
      <c r="AJ162" s="8" t="n">
        <f aca="false">AJ365</f>
        <v>0</v>
      </c>
      <c r="AK162" s="8" t="n">
        <f aca="false">AK365</f>
        <v>0</v>
      </c>
      <c r="AL162" s="8" t="n">
        <f aca="false">AL365</f>
        <v>0</v>
      </c>
      <c r="AM162" s="8" t="n">
        <f aca="false">AM365</f>
        <v>0</v>
      </c>
      <c r="AN162" s="8" t="n">
        <f aca="false">AN365</f>
        <v>0</v>
      </c>
      <c r="AO162" s="8" t="n">
        <f aca="false">AO365</f>
        <v>0</v>
      </c>
      <c r="AP162" s="8" t="n">
        <f aca="false">AP365</f>
        <v>0</v>
      </c>
      <c r="AQ162" s="8" t="n">
        <f aca="false">AQ365</f>
        <v>0</v>
      </c>
      <c r="AR162" s="8" t="n">
        <f aca="false">AR365</f>
        <v>0</v>
      </c>
      <c r="AS162" s="8" t="n">
        <f aca="false">AS365</f>
        <v>0</v>
      </c>
    </row>
    <row r="163" customFormat="false" ht="14.25" hidden="false" customHeight="false" outlineLevel="0" collapsed="false">
      <c r="C163" s="6" t="s">
        <v>153</v>
      </c>
      <c r="D163" s="2" t="s">
        <v>84</v>
      </c>
      <c r="H163" s="8" t="n">
        <f aca="false">SUM(J163:AS163)</f>
        <v>495700.761921616</v>
      </c>
      <c r="J163" s="8" t="n">
        <f aca="false">J369</f>
        <v>0</v>
      </c>
      <c r="K163" s="8" t="n">
        <f aca="false">K369</f>
        <v>0</v>
      </c>
      <c r="L163" s="8" t="n">
        <f aca="false">L369</f>
        <v>0</v>
      </c>
      <c r="M163" s="8" t="n">
        <f aca="false">M369</f>
        <v>0</v>
      </c>
      <c r="N163" s="8" t="n">
        <f aca="false">N369</f>
        <v>0</v>
      </c>
      <c r="O163" s="8" t="n">
        <f aca="false">O369</f>
        <v>7408.8</v>
      </c>
      <c r="P163" s="8" t="n">
        <f aca="false">P369</f>
        <v>14965.776</v>
      </c>
      <c r="Q163" s="8" t="n">
        <f aca="false">Q369</f>
        <v>15070.08745872</v>
      </c>
      <c r="R163" s="8" t="n">
        <f aca="false">R369</f>
        <v>15175.1259683073</v>
      </c>
      <c r="S163" s="8" t="n">
        <f aca="false">S369</f>
        <v>15280.8965963064</v>
      </c>
      <c r="T163" s="8" t="n">
        <f aca="false">T369</f>
        <v>15387.4044455826</v>
      </c>
      <c r="U163" s="8" t="n">
        <f aca="false">U369</f>
        <v>15494.6546545683</v>
      </c>
      <c r="V163" s="8" t="n">
        <f aca="false">V369</f>
        <v>15602.6523975107</v>
      </c>
      <c r="W163" s="8" t="n">
        <f aca="false">W369</f>
        <v>15711.4028847213</v>
      </c>
      <c r="X163" s="8" t="n">
        <f aca="false">X369</f>
        <v>15820.9113628278</v>
      </c>
      <c r="Y163" s="8" t="n">
        <f aca="false">Y369</f>
        <v>15931.1831150268</v>
      </c>
      <c r="Z163" s="8" t="n">
        <f aca="false">Z369</f>
        <v>16042.2234613385</v>
      </c>
      <c r="AA163" s="8" t="n">
        <f aca="false">AA369</f>
        <v>16154.037758864</v>
      </c>
      <c r="AB163" s="8" t="n">
        <f aca="false">AB369</f>
        <v>16266.6314020433</v>
      </c>
      <c r="AC163" s="8" t="n">
        <f aca="false">AC369</f>
        <v>16380.0098229155</v>
      </c>
      <c r="AD163" s="8" t="n">
        <f aca="false">AD369</f>
        <v>16494.1784913813</v>
      </c>
      <c r="AE163" s="8" t="n">
        <f aca="false">AE369</f>
        <v>16609.1429154662</v>
      </c>
      <c r="AF163" s="8" t="n">
        <f aca="false">AF369</f>
        <v>16724.908641587</v>
      </c>
      <c r="AG163" s="8" t="n">
        <f aca="false">AG369</f>
        <v>16841.4812548189</v>
      </c>
      <c r="AH163" s="8" t="n">
        <f aca="false">AH369</f>
        <v>16958.8663791649</v>
      </c>
      <c r="AI163" s="8" t="n">
        <f aca="false">AI369</f>
        <v>17077.0696778277</v>
      </c>
      <c r="AJ163" s="8" t="n">
        <f aca="false">AJ369</f>
        <v>17196.0968534822</v>
      </c>
      <c r="AK163" s="8" t="n">
        <f aca="false">AK369</f>
        <v>17315.953648551</v>
      </c>
      <c r="AL163" s="8" t="n">
        <f aca="false">AL369</f>
        <v>17436.6458454814</v>
      </c>
      <c r="AM163" s="8" t="n">
        <f aca="false">AM369</f>
        <v>17558.1792670244</v>
      </c>
      <c r="AN163" s="8" t="n">
        <f aca="false">AN369</f>
        <v>17680.5597765155</v>
      </c>
      <c r="AO163" s="8" t="n">
        <f aca="false">AO369</f>
        <v>17803.7932781578</v>
      </c>
      <c r="AP163" s="8" t="n">
        <f aca="false">AP369</f>
        <v>17927.8857173066</v>
      </c>
      <c r="AQ163" s="8" t="n">
        <f aca="false">AQ369</f>
        <v>18052.8430807562</v>
      </c>
      <c r="AR163" s="8" t="n">
        <f aca="false">AR369</f>
        <v>18178.6713970291</v>
      </c>
      <c r="AS163" s="8" t="n">
        <f aca="false">AS369</f>
        <v>9152.68836833319</v>
      </c>
    </row>
    <row r="164" customFormat="false" ht="14.25" hidden="false" customHeight="false" outlineLevel="0" collapsed="false">
      <c r="C164" s="6" t="s">
        <v>154</v>
      </c>
      <c r="D164" s="2" t="s">
        <v>84</v>
      </c>
      <c r="H164" s="8" t="n">
        <f aca="false">SUM(J164:AS164)</f>
        <v>-144722.966548392</v>
      </c>
      <c r="J164" s="8" t="n">
        <f aca="false">J378</f>
        <v>0</v>
      </c>
      <c r="K164" s="8" t="n">
        <f aca="false">K378</f>
        <v>0</v>
      </c>
      <c r="L164" s="8" t="n">
        <f aca="false">L378</f>
        <v>0</v>
      </c>
      <c r="M164" s="8" t="n">
        <f aca="false">M378</f>
        <v>0</v>
      </c>
      <c r="N164" s="8" t="n">
        <f aca="false">N378</f>
        <v>0</v>
      </c>
      <c r="O164" s="8" t="n">
        <f aca="false">O378</f>
        <v>-1773.53274</v>
      </c>
      <c r="P164" s="8" t="n">
        <f aca="false">P378</f>
        <v>-3618.7154598</v>
      </c>
      <c r="Q164" s="8" t="n">
        <f aca="false">Q378</f>
        <v>-3686.94924820606</v>
      </c>
      <c r="R164" s="8" t="n">
        <f aca="false">R378</f>
        <v>-3756.83104964162</v>
      </c>
      <c r="S164" s="8" t="n">
        <f aca="false">S378</f>
        <v>-3828.40035441326</v>
      </c>
      <c r="T164" s="8" t="n">
        <f aca="false">T378</f>
        <v>-3901.69760982208</v>
      </c>
      <c r="U164" s="8" t="n">
        <f aca="false">U378</f>
        <v>-3976.76424344449</v>
      </c>
      <c r="V164" s="8" t="n">
        <f aca="false">V378</f>
        <v>-4053.64268698113</v>
      </c>
      <c r="W164" s="8" t="n">
        <f aca="false">W378</f>
        <v>-4132.37640068787</v>
      </c>
      <c r="X164" s="8" t="n">
        <f aca="false">X378</f>
        <v>-4213.00989840297</v>
      </c>
      <c r="Y164" s="8" t="n">
        <f aca="false">Y378</f>
        <v>-4295.58877318522</v>
      </c>
      <c r="Z164" s="8" t="n">
        <f aca="false">Z378</f>
        <v>-4380.15972357776</v>
      </c>
      <c r="AA164" s="8" t="n">
        <f aca="false">AA378</f>
        <v>-4466.77058051314</v>
      </c>
      <c r="AB164" s="8" t="n">
        <f aca="false">AB378</f>
        <v>-4555.47033487511</v>
      </c>
      <c r="AC164" s="8" t="n">
        <f aca="false">AC378</f>
        <v>-4646.30916573333</v>
      </c>
      <c r="AD164" s="8" t="n">
        <f aca="false">AD378</f>
        <v>-4739.33846926743</v>
      </c>
      <c r="AE164" s="8" t="n">
        <f aca="false">AE378</f>
        <v>-4834.61088839726</v>
      </c>
      <c r="AF164" s="8" t="n">
        <f aca="false">AF378</f>
        <v>-4932.18034313673</v>
      </c>
      <c r="AG164" s="8" t="n">
        <f aca="false">AG378</f>
        <v>-5032.10206168881</v>
      </c>
      <c r="AH164" s="8" t="n">
        <f aca="false">AH378</f>
        <v>-5134.43261229992</v>
      </c>
      <c r="AI164" s="8" t="n">
        <f aca="false">AI378</f>
        <v>-5239.22993589231</v>
      </c>
      <c r="AJ164" s="8" t="n">
        <f aca="false">AJ378</f>
        <v>-5346.55337949339</v>
      </c>
      <c r="AK164" s="8" t="n">
        <f aca="false">AK378</f>
        <v>-5456.46373048167</v>
      </c>
      <c r="AL164" s="8" t="n">
        <f aca="false">AL378</f>
        <v>-5569.02325166912</v>
      </c>
      <c r="AM164" s="8" t="n">
        <f aca="false">AM378</f>
        <v>-5684.29571724061</v>
      </c>
      <c r="AN164" s="8" t="n">
        <f aca="false">AN378</f>
        <v>-5802.34644957131</v>
      </c>
      <c r="AO164" s="8" t="n">
        <f aca="false">AO378</f>
        <v>-5923.24235694357</v>
      </c>
      <c r="AP164" s="8" t="n">
        <f aca="false">AP378</f>
        <v>-6047.05197218531</v>
      </c>
      <c r="AQ164" s="8" t="n">
        <f aca="false">AQ378</f>
        <v>-6173.84549225257</v>
      </c>
      <c r="AR164" s="8" t="n">
        <f aca="false">AR378</f>
        <v>-6303.69481877916</v>
      </c>
      <c r="AS164" s="8" t="n">
        <f aca="false">AS378</f>
        <v>-3218.33679980867</v>
      </c>
    </row>
    <row r="165" customFormat="false" ht="14.25" hidden="false" customHeight="false" outlineLevel="0" collapsed="false">
      <c r="C165" s="6" t="s">
        <v>155</v>
      </c>
      <c r="D165" s="2" t="s">
        <v>84</v>
      </c>
      <c r="H165" s="8" t="n">
        <f aca="false">SUM(J165:AS165)</f>
        <v>350977.795373224</v>
      </c>
      <c r="J165" s="8" t="n">
        <f aca="false">J379</f>
        <v>0</v>
      </c>
      <c r="K165" s="8" t="n">
        <f aca="false">K379</f>
        <v>0</v>
      </c>
      <c r="L165" s="8" t="n">
        <f aca="false">L379</f>
        <v>0</v>
      </c>
      <c r="M165" s="8" t="n">
        <f aca="false">M379</f>
        <v>0</v>
      </c>
      <c r="N165" s="8" t="n">
        <f aca="false">N379</f>
        <v>0</v>
      </c>
      <c r="O165" s="8" t="n">
        <f aca="false">O379</f>
        <v>5635.26726</v>
      </c>
      <c r="P165" s="8" t="n">
        <f aca="false">P379</f>
        <v>11347.0605402</v>
      </c>
      <c r="Q165" s="8" t="n">
        <f aca="false">Q379</f>
        <v>11383.1382105139</v>
      </c>
      <c r="R165" s="8" t="n">
        <f aca="false">R379</f>
        <v>11418.2949186657</v>
      </c>
      <c r="S165" s="8" t="n">
        <f aca="false">S379</f>
        <v>11452.4962418931</v>
      </c>
      <c r="T165" s="8" t="n">
        <f aca="false">T379</f>
        <v>11485.7068357606</v>
      </c>
      <c r="U165" s="8" t="n">
        <f aca="false">U379</f>
        <v>11517.8904111239</v>
      </c>
      <c r="V165" s="8" t="n">
        <f aca="false">V379</f>
        <v>11549.0097105296</v>
      </c>
      <c r="W165" s="8" t="n">
        <f aca="false">W379</f>
        <v>11579.0264840335</v>
      </c>
      <c r="X165" s="8" t="n">
        <f aca="false">X379</f>
        <v>11607.9014644249</v>
      </c>
      <c r="Y165" s="8" t="n">
        <f aca="false">Y379</f>
        <v>11635.5943418415</v>
      </c>
      <c r="Z165" s="8" t="n">
        <f aca="false">Z379</f>
        <v>11662.0637377607</v>
      </c>
      <c r="AA165" s="8" t="n">
        <f aca="false">AA379</f>
        <v>11687.2671783509</v>
      </c>
      <c r="AB165" s="8" t="n">
        <f aca="false">AB379</f>
        <v>11711.1610671682</v>
      </c>
      <c r="AC165" s="8" t="n">
        <f aca="false">AC379</f>
        <v>11733.7006571822</v>
      </c>
      <c r="AD165" s="8" t="n">
        <f aca="false">AD379</f>
        <v>11754.8400221138</v>
      </c>
      <c r="AE165" s="8" t="n">
        <f aca="false">AE379</f>
        <v>11774.5320270689</v>
      </c>
      <c r="AF165" s="8" t="n">
        <f aca="false">AF379</f>
        <v>11792.7282984503</v>
      </c>
      <c r="AG165" s="8" t="n">
        <f aca="false">AG379</f>
        <v>11809.37919313</v>
      </c>
      <c r="AH165" s="8" t="n">
        <f aca="false">AH379</f>
        <v>11824.433766865</v>
      </c>
      <c r="AI165" s="8" t="n">
        <f aca="false">AI379</f>
        <v>11837.8397419354</v>
      </c>
      <c r="AJ165" s="8" t="n">
        <f aca="false">AJ379</f>
        <v>11849.5434739888</v>
      </c>
      <c r="AK165" s="8" t="n">
        <f aca="false">AK379</f>
        <v>11859.4899180693</v>
      </c>
      <c r="AL165" s="8" t="n">
        <f aca="false">AL379</f>
        <v>11867.6225938122</v>
      </c>
      <c r="AM165" s="8" t="n">
        <f aca="false">AM379</f>
        <v>11873.8835497838</v>
      </c>
      <c r="AN165" s="8" t="n">
        <f aca="false">AN379</f>
        <v>11878.2133269442</v>
      </c>
      <c r="AO165" s="8" t="n">
        <f aca="false">AO379</f>
        <v>11880.5509212143</v>
      </c>
      <c r="AP165" s="8" t="n">
        <f aca="false">AP379</f>
        <v>11880.8337451213</v>
      </c>
      <c r="AQ165" s="8" t="n">
        <f aca="false">AQ379</f>
        <v>11878.9975885037</v>
      </c>
      <c r="AR165" s="8" t="n">
        <f aca="false">AR379</f>
        <v>11874.9765782499</v>
      </c>
      <c r="AS165" s="8" t="n">
        <f aca="false">AS379</f>
        <v>5934.35156852452</v>
      </c>
    </row>
    <row r="166" customFormat="false" ht="14.25" hidden="false" customHeight="false" outlineLevel="0" collapsed="false">
      <c r="C166" s="1" t="s">
        <v>156</v>
      </c>
      <c r="D166" s="2" t="s">
        <v>84</v>
      </c>
      <c r="H166" s="15" t="n">
        <f aca="false">SUM(J166:AS166)</f>
        <v>273350.818660895</v>
      </c>
      <c r="J166" s="15" t="n">
        <f aca="false">J380</f>
        <v>-657.123287671233</v>
      </c>
      <c r="K166" s="15" t="n">
        <f aca="false">K380</f>
        <v>-3612.05479452055</v>
      </c>
      <c r="L166" s="15" t="n">
        <f aca="false">L380</f>
        <v>-3359.81917808219</v>
      </c>
      <c r="M166" s="15" t="n">
        <f aca="false">M380</f>
        <v>-17498.125</v>
      </c>
      <c r="N166" s="15" t="n">
        <f aca="false">N380</f>
        <v>-34996.25</v>
      </c>
      <c r="O166" s="15" t="n">
        <f aca="false">O380</f>
        <v>-14362.85774</v>
      </c>
      <c r="P166" s="15" t="n">
        <f aca="false">P380</f>
        <v>11347.0605402</v>
      </c>
      <c r="Q166" s="15" t="n">
        <f aca="false">Q380</f>
        <v>13877.6587584591</v>
      </c>
      <c r="R166" s="15" t="n">
        <f aca="false">R380</f>
        <v>11418.2949186657</v>
      </c>
      <c r="S166" s="15" t="n">
        <f aca="false">S380</f>
        <v>11452.4962418931</v>
      </c>
      <c r="T166" s="15" t="n">
        <f aca="false">T380</f>
        <v>11485.7068357606</v>
      </c>
      <c r="U166" s="15" t="n">
        <f aca="false">U380</f>
        <v>11517.8904111239</v>
      </c>
      <c r="V166" s="15" t="n">
        <f aca="false">V380</f>
        <v>11549.0097105296</v>
      </c>
      <c r="W166" s="15" t="n">
        <f aca="false">W380</f>
        <v>11579.0264840335</v>
      </c>
      <c r="X166" s="15" t="n">
        <f aca="false">X380</f>
        <v>11607.9014644249</v>
      </c>
      <c r="Y166" s="15" t="n">
        <f aca="false">Y380</f>
        <v>11635.5943418415</v>
      </c>
      <c r="Z166" s="15" t="n">
        <f aca="false">Z380</f>
        <v>11662.0637377607</v>
      </c>
      <c r="AA166" s="15" t="n">
        <f aca="false">AA380</f>
        <v>11687.2671783509</v>
      </c>
      <c r="AB166" s="15" t="n">
        <f aca="false">AB380</f>
        <v>11711.1610671682</v>
      </c>
      <c r="AC166" s="15" t="n">
        <f aca="false">AC380</f>
        <v>11733.7006571822</v>
      </c>
      <c r="AD166" s="15" t="n">
        <f aca="false">AD380</f>
        <v>11754.8400221138</v>
      </c>
      <c r="AE166" s="15" t="n">
        <f aca="false">AE380</f>
        <v>11774.5320270689</v>
      </c>
      <c r="AF166" s="15" t="n">
        <f aca="false">AF380</f>
        <v>11792.7282984503</v>
      </c>
      <c r="AG166" s="15" t="n">
        <f aca="false">AG380</f>
        <v>11809.37919313</v>
      </c>
      <c r="AH166" s="15" t="n">
        <f aca="false">AH380</f>
        <v>11824.433766865</v>
      </c>
      <c r="AI166" s="15" t="n">
        <f aca="false">AI380</f>
        <v>11837.8397419354</v>
      </c>
      <c r="AJ166" s="15" t="n">
        <f aca="false">AJ380</f>
        <v>11849.5434739888</v>
      </c>
      <c r="AK166" s="15" t="n">
        <f aca="false">AK380</f>
        <v>11859.4899180693</v>
      </c>
      <c r="AL166" s="15" t="n">
        <f aca="false">AL380</f>
        <v>11867.6225938122</v>
      </c>
      <c r="AM166" s="15" t="n">
        <f aca="false">AM380</f>
        <v>11873.8835497838</v>
      </c>
      <c r="AN166" s="15" t="n">
        <f aca="false">AN380</f>
        <v>11878.2133269442</v>
      </c>
      <c r="AO166" s="15" t="n">
        <f aca="false">AO380</f>
        <v>11880.5509212143</v>
      </c>
      <c r="AP166" s="15" t="n">
        <f aca="false">AP380</f>
        <v>11880.8337451213</v>
      </c>
      <c r="AQ166" s="15" t="n">
        <f aca="false">AQ380</f>
        <v>11878.9975885037</v>
      </c>
      <c r="AR166" s="15" t="n">
        <f aca="false">AR380</f>
        <v>11874.9765782499</v>
      </c>
      <c r="AS166" s="15" t="n">
        <f aca="false">AS380</f>
        <v>5934.35156852452</v>
      </c>
    </row>
    <row r="167" customFormat="false" ht="14.25" hidden="false" customHeight="false" outlineLevel="0" collapsed="false">
      <c r="C167" s="6" t="s">
        <v>157</v>
      </c>
      <c r="D167" s="2" t="s">
        <v>84</v>
      </c>
      <c r="J167" s="8" t="n">
        <f aca="false">SUM($J166:J166)</f>
        <v>-657.123287671233</v>
      </c>
      <c r="K167" s="8" t="n">
        <f aca="false">SUM($J166:K166)</f>
        <v>-4269.17808219178</v>
      </c>
      <c r="L167" s="8" t="n">
        <f aca="false">SUM($J166:L166)</f>
        <v>-7628.99726027397</v>
      </c>
      <c r="M167" s="8" t="n">
        <f aca="false">SUM($J166:M166)</f>
        <v>-25127.122260274</v>
      </c>
      <c r="N167" s="8" t="n">
        <f aca="false">SUM($J166:N166)</f>
        <v>-60123.372260274</v>
      </c>
      <c r="O167" s="8" t="n">
        <f aca="false">SUM($J166:O166)</f>
        <v>-74486.230000274</v>
      </c>
      <c r="P167" s="8" t="n">
        <f aca="false">SUM($J166:P166)</f>
        <v>-63139.169460074</v>
      </c>
      <c r="Q167" s="8" t="n">
        <f aca="false">SUM($J166:Q166)</f>
        <v>-49261.5107016148</v>
      </c>
      <c r="R167" s="8" t="n">
        <f aca="false">SUM($J166:R166)</f>
        <v>-37843.2157829492</v>
      </c>
      <c r="S167" s="8" t="n">
        <f aca="false">SUM($J166:S166)</f>
        <v>-26390.719541056</v>
      </c>
      <c r="T167" s="8" t="n">
        <f aca="false">SUM($J166:T166)</f>
        <v>-14905.0127052955</v>
      </c>
      <c r="U167" s="8" t="n">
        <f aca="false">SUM($J166:U166)</f>
        <v>-3387.12229417162</v>
      </c>
      <c r="V167" s="8" t="n">
        <f aca="false">SUM($J166:V166)</f>
        <v>8161.88741635794</v>
      </c>
      <c r="W167" s="8" t="n">
        <f aca="false">SUM($J166:W166)</f>
        <v>19740.9139003914</v>
      </c>
      <c r="X167" s="8" t="n">
        <f aca="false">SUM($J166:X166)</f>
        <v>31348.8153648163</v>
      </c>
      <c r="Y167" s="8" t="n">
        <f aca="false">SUM($J166:Y166)</f>
        <v>42984.4097066578</v>
      </c>
      <c r="Z167" s="8" t="n">
        <f aca="false">SUM($J166:Z166)</f>
        <v>54646.4734444186</v>
      </c>
      <c r="AA167" s="8" t="n">
        <f aca="false">SUM($J166:AA166)</f>
        <v>66333.7406227694</v>
      </c>
      <c r="AB167" s="8" t="n">
        <f aca="false">SUM($J166:AB166)</f>
        <v>78044.9016899376</v>
      </c>
      <c r="AC167" s="8" t="n">
        <f aca="false">SUM($J166:AC166)</f>
        <v>89778.6023471198</v>
      </c>
      <c r="AD167" s="8" t="n">
        <f aca="false">SUM($J166:AD166)</f>
        <v>101533.442369234</v>
      </c>
      <c r="AE167" s="8" t="n">
        <f aca="false">SUM($J166:AE166)</f>
        <v>113307.974396303</v>
      </c>
      <c r="AF167" s="8" t="n">
        <f aca="false">SUM($J166:AF166)</f>
        <v>125100.702694753</v>
      </c>
      <c r="AG167" s="8" t="n">
        <f aca="false">SUM($J166:AG166)</f>
        <v>136910.081887883</v>
      </c>
      <c r="AH167" s="8" t="n">
        <f aca="false">SUM($J166:AH166)</f>
        <v>148734.515654748</v>
      </c>
      <c r="AI167" s="8" t="n">
        <f aca="false">SUM($J166:AI166)</f>
        <v>160572.355396683</v>
      </c>
      <c r="AJ167" s="8" t="n">
        <f aca="false">SUM($J166:AJ166)</f>
        <v>172421.898870672</v>
      </c>
      <c r="AK167" s="8" t="n">
        <f aca="false">SUM($J166:AK166)</f>
        <v>184281.388788741</v>
      </c>
      <c r="AL167" s="8" t="n">
        <f aca="false">SUM($J166:AL166)</f>
        <v>196149.011382554</v>
      </c>
      <c r="AM167" s="8" t="n">
        <f aca="false">SUM($J166:AM166)</f>
        <v>208022.894932337</v>
      </c>
      <c r="AN167" s="8" t="n">
        <f aca="false">SUM($J166:AN166)</f>
        <v>219901.108259282</v>
      </c>
      <c r="AO167" s="8" t="n">
        <f aca="false">SUM($J166:AO166)</f>
        <v>231781.659180496</v>
      </c>
      <c r="AP167" s="8" t="n">
        <f aca="false">SUM($J166:AP166)</f>
        <v>243662.492925617</v>
      </c>
      <c r="AQ167" s="8" t="n">
        <f aca="false">SUM($J166:AQ166)</f>
        <v>255541.490514121</v>
      </c>
      <c r="AR167" s="8" t="n">
        <f aca="false">SUM($J166:AR166)</f>
        <v>267416.467092371</v>
      </c>
      <c r="AS167" s="8" t="n">
        <f aca="false">SUM($J166:AS166)</f>
        <v>273350.818660895</v>
      </c>
    </row>
    <row r="169" customFormat="false" ht="14.25" hidden="false" customHeight="false" outlineLevel="0" collapsed="false">
      <c r="B169" s="4" t="s">
        <v>3</v>
      </c>
      <c r="C169" s="4" t="s">
        <v>158</v>
      </c>
      <c r="D169" s="4"/>
      <c r="E169" s="5" t="s">
        <v>5</v>
      </c>
      <c r="F169" s="5" t="s">
        <v>6</v>
      </c>
      <c r="G169" s="5" t="s">
        <v>7</v>
      </c>
      <c r="H169" s="5" t="s">
        <v>8</v>
      </c>
    </row>
    <row r="170" customFormat="false" ht="14.25" hidden="false" customHeight="false" outlineLevel="1" collapsed="false"/>
    <row r="171" customFormat="false" ht="14.25" hidden="false" customHeight="false" outlineLevel="1" collapsed="false">
      <c r="B171" s="4" t="s">
        <v>3</v>
      </c>
      <c r="C171" s="4" t="s">
        <v>159</v>
      </c>
      <c r="D171" s="4"/>
      <c r="E171" s="5" t="s">
        <v>5</v>
      </c>
      <c r="F171" s="5" t="s">
        <v>6</v>
      </c>
      <c r="G171" s="5" t="s">
        <v>7</v>
      </c>
      <c r="H171" s="5" t="s">
        <v>8</v>
      </c>
    </row>
    <row r="172" customFormat="false" ht="14.25" hidden="false" customHeight="false" outlineLevel="1" collapsed="false">
      <c r="C172" s="6" t="s">
        <v>160</v>
      </c>
      <c r="D172" s="2" t="s">
        <v>161</v>
      </c>
      <c r="E172" s="25" t="n">
        <f aca="false">MIN(Freeze_Date,Sale_Date)</f>
        <v>47299</v>
      </c>
      <c r="F172" s="25" t="n">
        <f aca="false">MIN(Freeze_Date,Sale_Date)</f>
        <v>47299</v>
      </c>
      <c r="G172" s="25" t="n">
        <f aca="false">MIN(Freeze_Date,Sale_Date)</f>
        <v>47299</v>
      </c>
    </row>
    <row r="173" customFormat="false" ht="14.25" hidden="false" customHeight="false" outlineLevel="1" collapsed="false">
      <c r="C173" s="6" t="s">
        <v>162</v>
      </c>
      <c r="D173" s="2" t="s">
        <v>3</v>
      </c>
      <c r="E173" s="56" t="n">
        <f aca="false">1+Rate_Cash*(E172-DATE(YEAR(E172),1,1)+1)/Days_In_Year</f>
        <v>1.05950684931507</v>
      </c>
      <c r="F173" s="56" t="n">
        <f aca="false">1+Rate_Cash*(F172-DATE(YEAR(F172),1,1)+1)/Days_In_Year</f>
        <v>1.05950684931507</v>
      </c>
      <c r="G173" s="56" t="n">
        <f aca="false">1+Rate_Cash*(G172-DATE(YEAR(G172),1,1)+1)/Days_In_Year</f>
        <v>1.05950684931507</v>
      </c>
    </row>
    <row r="174" customFormat="false" ht="14.25" hidden="false" customHeight="false" outlineLevel="1" collapsed="false">
      <c r="C174" s="6" t="s">
        <v>163</v>
      </c>
      <c r="D174" s="2" t="s">
        <v>3</v>
      </c>
      <c r="E174" s="56" t="n">
        <f aca="false">1+Rate_Devex*(E172-DATE(YEAR(E172),1,1)+1)/Days_In_Year</f>
        <v>1.09917808219178</v>
      </c>
      <c r="F174" s="56" t="n">
        <f aca="false">1+Rate_Devex*(F172-DATE(YEAR(F172),1,1)+1)/Days_In_Year</f>
        <v>1.09917808219178</v>
      </c>
      <c r="G174" s="56" t="n">
        <f aca="false">1+Rate_Devex*(G172-DATE(YEAR(G172),1,1)+1)/Days_In_Year</f>
        <v>1.09917808219178</v>
      </c>
    </row>
    <row r="175" customFormat="false" ht="14.25" hidden="false" customHeight="false" outlineLevel="1" collapsed="false">
      <c r="C175" s="6" t="s">
        <v>164</v>
      </c>
      <c r="D175" s="2" t="s">
        <v>165</v>
      </c>
      <c r="E175" s="57" t="n">
        <f aca="false">DATE(YEAR(Inputs!E$27)+1,1,1)-Inputs!E$27</f>
        <v>63</v>
      </c>
      <c r="F175" s="57" t="n">
        <f aca="false">DATE(YEAR(Inputs!F$27)+1,1,1)-Inputs!F$27</f>
        <v>63</v>
      </c>
      <c r="G175" s="57" t="n">
        <f aca="false">DATE(YEAR(Inputs!G$27)+1,1,1)-Inputs!G$27</f>
        <v>63</v>
      </c>
    </row>
    <row r="176" customFormat="false" ht="14.25" hidden="false" customHeight="false" outlineLevel="1" collapsed="false">
      <c r="C176" s="6" t="s">
        <v>166</v>
      </c>
      <c r="D176" s="2" t="s">
        <v>3</v>
      </c>
      <c r="E176" s="56" t="n">
        <f aca="false">(1+Rate_Cash*E175/Days_In_Year)*(1+Rate_Cash)^(YEAR(E172)-YEAR(Inputs!E$27)-1)*E173</f>
        <v>1.35657301688182</v>
      </c>
      <c r="F176" s="56" t="n">
        <f aca="false">(1+Rate_Cash*F175/Days_In_Year)*(1+Rate_Cash)^(YEAR(F172)-YEAR(Inputs!F$27)-1)*F173</f>
        <v>1.35657301688182</v>
      </c>
      <c r="G176" s="56" t="n">
        <f aca="false">(1+Rate_Cash*G175/Days_In_Year)*(1+Rate_Cash)^(YEAR(G172)-YEAR(Inputs!G$27)-1)*G173</f>
        <v>1.35657301688182</v>
      </c>
    </row>
    <row r="177" customFormat="false" ht="14.25" hidden="false" customHeight="false" outlineLevel="1" collapsed="false">
      <c r="C177" s="6" t="s">
        <v>167</v>
      </c>
      <c r="D177" s="2" t="s">
        <v>165</v>
      </c>
      <c r="E177" s="57" t="n">
        <f aca="false">DATE(YEAR(Inputs!E$28)+1,1,1)-Inputs!E$28</f>
        <v>351</v>
      </c>
      <c r="F177" s="57" t="n">
        <f aca="false">DATE(YEAR(Inputs!F$28)+1,1,1)-Inputs!F$28</f>
        <v>351</v>
      </c>
      <c r="G177" s="57" t="n">
        <f aca="false">DATE(YEAR(Inputs!G$28)+1,1,1)-Inputs!G$28</f>
        <v>351</v>
      </c>
    </row>
    <row r="178" customFormat="false" ht="14.25" hidden="false" customHeight="false" outlineLevel="1" collapsed="false">
      <c r="C178" s="6" t="s">
        <v>168</v>
      </c>
      <c r="D178" s="2" t="s">
        <v>3</v>
      </c>
      <c r="E178" s="56" t="n">
        <f aca="false">(1+Rate_Cash*E177/Days_In_Year)*(1+Rate_Cash)^(YEAR(E172)-YEAR(Inputs!E$28)-1)*E173</f>
        <v>1.32358356140364</v>
      </c>
      <c r="F178" s="56" t="n">
        <f aca="false">(1+Rate_Cash*F177/Days_In_Year)*(1+Rate_Cash)^(YEAR(F172)-YEAR(Inputs!F$28)-1)*F173</f>
        <v>1.32358356140364</v>
      </c>
      <c r="G178" s="56" t="n">
        <f aca="false">(1+Rate_Cash*G177/Days_In_Year)*(1+Rate_Cash)^(YEAR(G172)-YEAR(Inputs!G$28)-1)*G173</f>
        <v>1.32358356140364</v>
      </c>
    </row>
    <row r="179" customFormat="false" ht="14.25" hidden="false" customHeight="false" outlineLevel="1" collapsed="false">
      <c r="C179" s="6" t="s">
        <v>169</v>
      </c>
      <c r="D179" s="2" t="s">
        <v>165</v>
      </c>
      <c r="E179" s="57" t="n">
        <f aca="false">DATE(YEAR(Inputs!E$29)+1,1,1)-Inputs!E$29</f>
        <v>351</v>
      </c>
      <c r="F179" s="57" t="n">
        <f aca="false">DATE(YEAR(Inputs!F$29)+1,1,1)-Inputs!F$29</f>
        <v>351</v>
      </c>
      <c r="G179" s="57" t="n">
        <f aca="false">DATE(YEAR(Inputs!G$29)+1,1,1)-Inputs!G$29</f>
        <v>351</v>
      </c>
    </row>
    <row r="180" customFormat="false" ht="14.25" hidden="false" customHeight="false" outlineLevel="1" collapsed="false">
      <c r="C180" s="6" t="s">
        <v>170</v>
      </c>
      <c r="D180" s="2" t="s">
        <v>3</v>
      </c>
      <c r="E180" s="56" t="n">
        <f aca="false">(1+Rate_Cash*E179/Days_In_Year)*(1+Rate_Cash)^(YEAR(E172)-YEAR(Inputs!E$29)-1)*E173</f>
        <v>1.32358356140364</v>
      </c>
      <c r="F180" s="56" t="n">
        <f aca="false">(1+Rate_Cash*F179/Days_In_Year)*(1+Rate_Cash)^(YEAR(F172)-YEAR(Inputs!F$29)-1)*F173</f>
        <v>1.32358356140364</v>
      </c>
      <c r="G180" s="56" t="n">
        <f aca="false">(1+Rate_Cash*G179/Days_In_Year)*(1+Rate_Cash)^(YEAR(G172)-YEAR(Inputs!G$29)-1)*G173</f>
        <v>1.32358356140364</v>
      </c>
    </row>
    <row r="181" customFormat="false" ht="14.25" hidden="false" customHeight="false" outlineLevel="1" collapsed="false">
      <c r="C181" s="6" t="s">
        <v>171</v>
      </c>
      <c r="D181" s="2" t="s">
        <v>165</v>
      </c>
      <c r="E181" s="57" t="n">
        <f aca="false">DATE(YEAR(Inputs!E$30)+1,1,1)-Inputs!E$30</f>
        <v>92</v>
      </c>
      <c r="F181" s="57" t="n">
        <f aca="false">DATE(YEAR(Inputs!F$30)+1,1,1)-Inputs!F$30</f>
        <v>92</v>
      </c>
      <c r="G181" s="57" t="n">
        <f aca="false">DATE(YEAR(Inputs!G$30)+1,1,1)-Inputs!G$30</f>
        <v>92</v>
      </c>
    </row>
    <row r="182" customFormat="false" ht="14.25" hidden="false" customHeight="false" outlineLevel="1" collapsed="false">
      <c r="C182" s="6" t="s">
        <v>172</v>
      </c>
      <c r="D182" s="2" t="s">
        <v>3</v>
      </c>
      <c r="E182" s="56" t="n">
        <f aca="false">(1+Rate_Cash*E181/Days_In_Year)*(1+Rate_Cash)^(YEAR(E172)-YEAR(Inputs!E$30)-1)*E173</f>
        <v>1.09155330305874</v>
      </c>
      <c r="F182" s="56" t="n">
        <f aca="false">(1+Rate_Cash*F181/Days_In_Year)*(1+Rate_Cash)^(YEAR(F172)-YEAR(Inputs!F$30)-1)*F173</f>
        <v>1.09155330305874</v>
      </c>
      <c r="G182" s="56" t="n">
        <f aca="false">(1+Rate_Cash*G181/Days_In_Year)*(1+Rate_Cash)^(YEAR(G172)-YEAR(Inputs!G$30)-1)*G173</f>
        <v>1.09155330305874</v>
      </c>
    </row>
    <row r="183" customFormat="false" ht="14.25" hidden="false" customHeight="false" outlineLevel="1" collapsed="false">
      <c r="C183" s="6" t="s">
        <v>173</v>
      </c>
      <c r="D183" s="2" t="s">
        <v>165</v>
      </c>
      <c r="E183" s="57" t="n">
        <f aca="false">DATE(YEAR(Inputs!E$31)+1,1,1)-Inputs!E$31</f>
        <v>1</v>
      </c>
      <c r="F183" s="57" t="n">
        <f aca="false">DATE(YEAR(Inputs!F$31)+1,1,1)-Inputs!F$31</f>
        <v>1</v>
      </c>
      <c r="G183" s="57" t="n">
        <f aca="false">DATE(YEAR(Inputs!G$31)+1,1,1)-Inputs!G$31</f>
        <v>1</v>
      </c>
    </row>
    <row r="184" customFormat="false" ht="14.25" hidden="false" customHeight="false" outlineLevel="1" collapsed="false">
      <c r="C184" s="6" t="s">
        <v>174</v>
      </c>
      <c r="D184" s="2" t="s">
        <v>3</v>
      </c>
      <c r="E184" s="56" t="n">
        <f aca="false">(1+Rate_Devex*E183/Days_In_Year)*(1+Rate_Devex)^(YEAR(E172)-YEAR(Inputs!E$31)-1)*E174</f>
        <v>1.31973644586226</v>
      </c>
      <c r="F184" s="56" t="n">
        <f aca="false">(1+Rate_Devex*F183/Days_In_Year)*(1+Rate_Devex)^(YEAR(F172)-YEAR(Inputs!F$31)-1)*F174</f>
        <v>1.31973644586226</v>
      </c>
      <c r="G184" s="56" t="n">
        <f aca="false">(1+Rate_Devex*G183/Days_In_Year)*(1+Rate_Devex)^(YEAR(G172)-YEAR(Inputs!G$31)-1)*G174</f>
        <v>1.31973644586226</v>
      </c>
    </row>
    <row r="185" customFormat="false" ht="14.25" hidden="false" customHeight="false" outlineLevel="1" collapsed="false">
      <c r="C185" s="6" t="s">
        <v>175</v>
      </c>
      <c r="D185" s="2" t="s">
        <v>84</v>
      </c>
      <c r="E185" s="17" t="n">
        <f aca="false">E$21*E60*(E176-1)</f>
        <v>2.93073712505603</v>
      </c>
      <c r="F185" s="17" t="n">
        <f aca="false">F$21*F60*(F176-1)</f>
        <v>0</v>
      </c>
      <c r="G185" s="17" t="n">
        <f aca="false">G$21*G60*(G176-1)</f>
        <v>0</v>
      </c>
      <c r="H185" s="17" t="n">
        <f aca="false">SUM(E185:G185)</f>
        <v>2.93073712505603</v>
      </c>
    </row>
    <row r="186" customFormat="false" ht="14.25" hidden="false" customHeight="false" outlineLevel="1" collapsed="false">
      <c r="C186" s="6" t="s">
        <v>176</v>
      </c>
      <c r="D186" s="2" t="s">
        <v>84</v>
      </c>
      <c r="E186" s="8" t="n">
        <f aca="false">E$21*E61*(E176-1)</f>
        <v>99.1566060643957</v>
      </c>
      <c r="F186" s="8" t="n">
        <f aca="false">F$21*F61*(F176-1)</f>
        <v>0</v>
      </c>
      <c r="G186" s="8" t="n">
        <f aca="false">G$21*G61*(G176-1)</f>
        <v>0</v>
      </c>
      <c r="H186" s="8" t="n">
        <f aca="false">SUM(E186:G186)</f>
        <v>99.1566060643957</v>
      </c>
    </row>
    <row r="187" customFormat="false" ht="14.25" hidden="false" customHeight="false" outlineLevel="1" collapsed="false">
      <c r="C187" s="6" t="s">
        <v>177</v>
      </c>
      <c r="D187" s="2" t="s">
        <v>84</v>
      </c>
      <c r="E187" s="8" t="n">
        <f aca="false">E$21*E62*(E178-1)</f>
        <v>359.931303917474</v>
      </c>
      <c r="F187" s="8" t="n">
        <f aca="false">F$21*F62*(F178-1)</f>
        <v>0</v>
      </c>
      <c r="G187" s="8" t="n">
        <f aca="false">G$21*G62*(G178-1)</f>
        <v>0</v>
      </c>
      <c r="H187" s="8" t="n">
        <f aca="false">SUM(E187:G187)</f>
        <v>359.931303917474</v>
      </c>
    </row>
    <row r="188" customFormat="false" ht="14.25" hidden="false" customHeight="false" outlineLevel="1" collapsed="false">
      <c r="C188" s="6" t="s">
        <v>178</v>
      </c>
      <c r="D188" s="2" t="s">
        <v>84</v>
      </c>
      <c r="E188" s="8" t="n">
        <f aca="false">E$21*E63*(E180-1)</f>
        <v>199.469318673477</v>
      </c>
      <c r="F188" s="8" t="n">
        <f aca="false">F$21*F63*(F180-1)</f>
        <v>0</v>
      </c>
      <c r="G188" s="8" t="n">
        <f aca="false">G$21*G63*(G180-1)</f>
        <v>0</v>
      </c>
      <c r="H188" s="8" t="n">
        <f aca="false">SUM(E188:G188)</f>
        <v>199.469318673477</v>
      </c>
    </row>
    <row r="189" customFormat="false" ht="14.25" hidden="false" customHeight="false" outlineLevel="1" collapsed="false">
      <c r="C189" s="6" t="s">
        <v>179</v>
      </c>
      <c r="D189" s="2" t="s">
        <v>84</v>
      </c>
      <c r="E189" s="8" t="n">
        <f aca="false">E$21*E64*(E182-1)</f>
        <v>63.7544348660937</v>
      </c>
      <c r="F189" s="8" t="n">
        <f aca="false">F$21*F64*(F182-1)</f>
        <v>0</v>
      </c>
      <c r="G189" s="8" t="n">
        <f aca="false">G$21*G64*(G182-1)</f>
        <v>0</v>
      </c>
      <c r="H189" s="8" t="n">
        <f aca="false">SUM(E189:G189)</f>
        <v>63.7544348660937</v>
      </c>
    </row>
    <row r="190" customFormat="false" ht="14.25" hidden="false" customHeight="false" outlineLevel="1" collapsed="false">
      <c r="C190" s="6" t="s">
        <v>180</v>
      </c>
      <c r="D190" s="2" t="s">
        <v>84</v>
      </c>
      <c r="E190" s="8" t="n">
        <f aca="false">E$21*E65*(E182-1)</f>
        <v>859.990350596064</v>
      </c>
      <c r="F190" s="8" t="n">
        <f aca="false">F$21*F65*(F182-1)</f>
        <v>0</v>
      </c>
      <c r="G190" s="8" t="n">
        <f aca="false">G$21*G65*(G182-1)</f>
        <v>0</v>
      </c>
      <c r="H190" s="8" t="n">
        <f aca="false">SUM(E190:G190)</f>
        <v>859.990350596064</v>
      </c>
    </row>
    <row r="191" customFormat="false" ht="14.25" hidden="false" customHeight="false" outlineLevel="1" collapsed="false">
      <c r="C191" s="6" t="s">
        <v>181</v>
      </c>
      <c r="D191" s="2" t="s">
        <v>84</v>
      </c>
      <c r="E191" s="8" t="n">
        <f aca="false">E$21*E66*MAX(E184-1,Devex_Floor-1)</f>
        <v>784.47</v>
      </c>
      <c r="F191" s="8" t="n">
        <f aca="false">F$21*F66*MAX(F184-1,Devex_Floor-1)</f>
        <v>0</v>
      </c>
      <c r="G191" s="8" t="n">
        <f aca="false">G$21*G66*MAX(G184-1,Devex_Floor-1)</f>
        <v>0</v>
      </c>
      <c r="H191" s="8" t="n">
        <f aca="false">SUM(E191:G191)</f>
        <v>784.47</v>
      </c>
    </row>
    <row r="192" customFormat="false" ht="14.25" hidden="false" customHeight="false" outlineLevel="1" collapsed="false">
      <c r="C192" s="1" t="s">
        <v>182</v>
      </c>
      <c r="D192" s="2" t="s">
        <v>84</v>
      </c>
      <c r="E192" s="34" t="n">
        <f aca="false">SUM(E185:E191)</f>
        <v>2369.70275124256</v>
      </c>
      <c r="F192" s="34" t="n">
        <f aca="false">SUM(F185:F191)</f>
        <v>0</v>
      </c>
      <c r="G192" s="34" t="n">
        <f aca="false">SUM(G185:G191)</f>
        <v>0</v>
      </c>
      <c r="H192" s="34" t="n">
        <f aca="false">SUM(E192:G192)</f>
        <v>2369.70275124256</v>
      </c>
    </row>
    <row r="193" customFormat="false" ht="14.25" hidden="false" customHeight="false" outlineLevel="1" collapsed="false">
      <c r="C193" s="6" t="s">
        <v>183</v>
      </c>
      <c r="D193" s="2" t="s">
        <v>84</v>
      </c>
      <c r="E193" s="8" t="n">
        <f aca="false">E20*MIN(DSA_Rate*YEARFRAC(Inputs!E$35,Sale_Date),DSA_Cap)*E44</f>
        <v>364.583333333333</v>
      </c>
      <c r="F193" s="8" t="n">
        <f aca="false">F20*MIN(DSA_Rate*YEARFRAC(Inputs!F$35,Sale_Date),DSA_Cap)*F44</f>
        <v>0</v>
      </c>
      <c r="G193" s="8" t="n">
        <f aca="false">G20*MIN(DSA_Rate*YEARFRAC(Inputs!G$35,Sale_Date),DSA_Cap)*G44</f>
        <v>0</v>
      </c>
      <c r="H193" s="8" t="n">
        <f aca="false">SUM(E193:G193)</f>
        <v>364.583333333333</v>
      </c>
    </row>
    <row r="194" customFormat="false" ht="14.25" hidden="false" customHeight="false" outlineLevel="1" collapsed="false"/>
    <row r="195" customFormat="false" ht="14.25" hidden="false" customHeight="false" outlineLevel="1" collapsed="false">
      <c r="B195" s="4" t="s">
        <v>3</v>
      </c>
      <c r="C195" s="4" t="s">
        <v>184</v>
      </c>
      <c r="D195" s="4"/>
      <c r="E195" s="5" t="s">
        <v>5</v>
      </c>
      <c r="F195" s="5" t="s">
        <v>6</v>
      </c>
      <c r="G195" s="5" t="s">
        <v>7</v>
      </c>
      <c r="H195" s="5" t="s">
        <v>8</v>
      </c>
    </row>
    <row r="196" customFormat="false" ht="14.25" hidden="false" customHeight="false" outlineLevel="1" collapsed="false">
      <c r="C196" s="6" t="s">
        <v>28</v>
      </c>
      <c r="D196" s="2" t="s">
        <v>84</v>
      </c>
      <c r="E196" s="8" t="n">
        <f aca="false">E18*E6</f>
        <v>7500</v>
      </c>
      <c r="F196" s="8" t="n">
        <f aca="false">F18*F6</f>
        <v>7500</v>
      </c>
      <c r="G196" s="8" t="n">
        <f aca="false">G18*G6</f>
        <v>7500</v>
      </c>
      <c r="H196" s="8" t="n">
        <f aca="false">SUM(E196:G196)</f>
        <v>22500</v>
      </c>
    </row>
    <row r="197" customFormat="false" ht="14.25" hidden="false" customHeight="false" outlineLevel="1" collapsed="false">
      <c r="C197" s="6" t="s">
        <v>185</v>
      </c>
      <c r="D197" s="2" t="s">
        <v>84</v>
      </c>
      <c r="E197" s="8" t="n">
        <f aca="false">SUM(E61:E65)</f>
        <v>12096.5430191781</v>
      </c>
      <c r="F197" s="8" t="n">
        <f aca="false">SUM(F61:F65)</f>
        <v>6470.77808219178</v>
      </c>
      <c r="G197" s="8" t="n">
        <f aca="false">SUM(G61:G65)</f>
        <v>6470.77808219178</v>
      </c>
      <c r="H197" s="8" t="n">
        <f aca="false">SUM(E197:G197)</f>
        <v>25038.0991835616</v>
      </c>
    </row>
    <row r="198" customFormat="false" ht="14.25" hidden="false" customHeight="false" outlineLevel="1" collapsed="false">
      <c r="C198" s="1" t="s">
        <v>186</v>
      </c>
      <c r="D198" s="2" t="s">
        <v>84</v>
      </c>
      <c r="E198" s="15" t="n">
        <f aca="false">E196+E197</f>
        <v>19596.5430191781</v>
      </c>
      <c r="F198" s="15" t="n">
        <f aca="false">F196+F197</f>
        <v>13970.7780821918</v>
      </c>
      <c r="G198" s="15" t="n">
        <f aca="false">G196+G197</f>
        <v>13970.7780821918</v>
      </c>
      <c r="H198" s="15" t="n">
        <f aca="false">SUM(E198:G198)</f>
        <v>47538.0991835616</v>
      </c>
    </row>
    <row r="199" customFormat="false" ht="14.25" hidden="false" customHeight="false" outlineLevel="1" collapsed="false">
      <c r="C199" s="6" t="s">
        <v>187</v>
      </c>
      <c r="D199" s="2" t="s">
        <v>84</v>
      </c>
      <c r="E199" s="8" t="n">
        <f aca="false">-MIN(E198,Sale_Costs)</f>
        <v>-250</v>
      </c>
      <c r="F199" s="8" t="n">
        <f aca="false">-MIN(F198,Sale_Costs)</f>
        <v>-250</v>
      </c>
      <c r="G199" s="8" t="n">
        <f aca="false">-MIN(G198,Sale_Costs)</f>
        <v>-250</v>
      </c>
      <c r="H199" s="8" t="n">
        <f aca="false">SUM(E199:G199)</f>
        <v>-750</v>
      </c>
    </row>
    <row r="200" customFormat="false" ht="14.25" hidden="false" customHeight="false" outlineLevel="1" collapsed="false">
      <c r="C200" s="6" t="s">
        <v>188</v>
      </c>
      <c r="D200" s="2" t="s">
        <v>84</v>
      </c>
      <c r="E200" s="8" t="n">
        <f aca="false">-MIN(SUM(E198:E199),E197)</f>
        <v>-12096.5430191781</v>
      </c>
      <c r="F200" s="8" t="n">
        <f aca="false">-MIN(SUM(F198:F199),F197)</f>
        <v>-6470.77808219178</v>
      </c>
      <c r="G200" s="8" t="n">
        <f aca="false">-MIN(SUM(G198:G199),G197)</f>
        <v>-6470.77808219178</v>
      </c>
      <c r="H200" s="8" t="n">
        <f aca="false">SUM(E200:G200)</f>
        <v>-25038.0991835616</v>
      </c>
    </row>
    <row r="201" customFormat="false" ht="14.25" hidden="false" customHeight="false" outlineLevel="1" collapsed="false">
      <c r="C201" s="6" t="s">
        <v>189</v>
      </c>
      <c r="D201" s="2" t="s">
        <v>84</v>
      </c>
      <c r="E201" s="8" t="n">
        <f aca="false">-MIN(SUM(E198:E200),SUM(E185:E190))</f>
        <v>-1585.23275124256</v>
      </c>
      <c r="F201" s="33" t="n">
        <f aca="false">-MIN(SUM(F198:F200),SUM(F185:F190))</f>
        <v>-0</v>
      </c>
      <c r="G201" s="8" t="n">
        <f aca="false">-MIN(SUM(G198:G200),SUM(G185:G190))</f>
        <v>-0</v>
      </c>
      <c r="H201" s="8" t="n">
        <f aca="false">SUM(E201:G201)</f>
        <v>-1585.23275124256</v>
      </c>
    </row>
    <row r="202" customFormat="false" ht="14.25" hidden="false" customHeight="false" outlineLevel="1" collapsed="false">
      <c r="C202" s="6" t="s">
        <v>190</v>
      </c>
      <c r="D202" s="2" t="s">
        <v>84</v>
      </c>
      <c r="E202" s="8" t="n">
        <f aca="false">-MIN(SUM(E198:E201),E191)</f>
        <v>-784.47</v>
      </c>
      <c r="F202" s="33" t="n">
        <f aca="false">-MIN(SUM(F198:F201),F191)</f>
        <v>-0</v>
      </c>
      <c r="G202" s="8" t="n">
        <f aca="false">-MIN(SUM(G198:G201),G191)</f>
        <v>-0</v>
      </c>
      <c r="H202" s="8" t="n">
        <f aca="false">SUM(E202:G202)</f>
        <v>-784.47</v>
      </c>
    </row>
    <row r="203" customFormat="false" ht="14.25" hidden="false" customHeight="false" outlineLevel="1" collapsed="false">
      <c r="C203" s="6" t="s">
        <v>191</v>
      </c>
      <c r="D203" s="2" t="s">
        <v>84</v>
      </c>
      <c r="E203" s="8" t="n">
        <f aca="false">-MIN(SUM(E198:E202),E193)</f>
        <v>-364.583333333333</v>
      </c>
      <c r="F203" s="8" t="n">
        <f aca="false">-MIN(SUM(F198:F202),F193)</f>
        <v>-0</v>
      </c>
      <c r="G203" s="8" t="n">
        <f aca="false">-MIN(SUM(G198:G202),G193)</f>
        <v>-0</v>
      </c>
      <c r="H203" s="8" t="n">
        <f aca="false">SUM(E203:G203)</f>
        <v>-364.583333333333</v>
      </c>
    </row>
    <row r="204" customFormat="false" ht="14.25" hidden="false" customHeight="false" outlineLevel="1" collapsed="false">
      <c r="C204" s="1" t="s">
        <v>192</v>
      </c>
      <c r="D204" s="2" t="s">
        <v>84</v>
      </c>
      <c r="E204" s="34" t="n">
        <f aca="false">SUM(E198:E203)</f>
        <v>4515.71391542411</v>
      </c>
      <c r="F204" s="34" t="n">
        <f aca="false">SUM(F198:F203)</f>
        <v>7250</v>
      </c>
      <c r="G204" s="34" t="n">
        <f aca="false">SUM(G198:G203)</f>
        <v>7250</v>
      </c>
      <c r="H204" s="34" t="n">
        <f aca="false">SUM(E204:G204)</f>
        <v>19015.7139154241</v>
      </c>
    </row>
    <row r="205" customFormat="false" ht="14.25" hidden="false" customHeight="false" outlineLevel="1" collapsed="false">
      <c r="C205" s="6" t="s">
        <v>193</v>
      </c>
      <c r="D205" s="2" t="s">
        <v>84</v>
      </c>
      <c r="E205" s="8" t="n">
        <f aca="false">E204*E19</f>
        <v>3160.99974079688</v>
      </c>
      <c r="F205" s="8" t="n">
        <f aca="false">F204*F19</f>
        <v>7250</v>
      </c>
      <c r="G205" s="8" t="n">
        <f aca="false">G204*G19</f>
        <v>7250</v>
      </c>
      <c r="H205" s="8" t="n">
        <f aca="false">SUM(E205:G205)</f>
        <v>17660.9997407969</v>
      </c>
    </row>
    <row r="206" customFormat="false" ht="14.25" hidden="false" customHeight="false" outlineLevel="1" collapsed="false">
      <c r="C206" s="6" t="s">
        <v>194</v>
      </c>
      <c r="D206" s="2" t="s">
        <v>84</v>
      </c>
      <c r="E206" s="8" t="n">
        <f aca="false">E204-E205</f>
        <v>1354.71417462723</v>
      </c>
      <c r="F206" s="8" t="n">
        <f aca="false">F204-F205</f>
        <v>0</v>
      </c>
      <c r="G206" s="8" t="n">
        <f aca="false">G204-G205</f>
        <v>0</v>
      </c>
      <c r="H206" s="8" t="n">
        <f aca="false">SUM(E206:G206)</f>
        <v>1354.71417462723</v>
      </c>
    </row>
    <row r="207" customFormat="false" ht="14.25" hidden="false" customHeight="false" outlineLevel="1" collapsed="false"/>
    <row r="208" customFormat="false" ht="14.25" hidden="false" customHeight="false" outlineLevel="1" collapsed="false">
      <c r="C208" s="44" t="s">
        <v>195</v>
      </c>
      <c r="D208" s="44"/>
      <c r="E208" s="45" t="s">
        <v>5</v>
      </c>
      <c r="F208" s="45" t="s">
        <v>6</v>
      </c>
      <c r="G208" s="45" t="s">
        <v>7</v>
      </c>
      <c r="H208" s="45" t="s">
        <v>8</v>
      </c>
      <c r="J208" s="45" t="s">
        <v>196</v>
      </c>
      <c r="K208" s="45" t="s">
        <v>6</v>
      </c>
      <c r="L208" s="45" t="s">
        <v>7</v>
      </c>
    </row>
    <row r="209" customFormat="false" ht="14.25" hidden="false" customHeight="false" outlineLevel="1" collapsed="false">
      <c r="C209" s="6" t="s">
        <v>81</v>
      </c>
      <c r="D209" s="2" t="s">
        <v>84</v>
      </c>
      <c r="E209" s="8" t="n">
        <f aca="false">-E67</f>
        <v>-100</v>
      </c>
      <c r="F209" s="33" t="n">
        <f aca="false">-F67</f>
        <v>-150</v>
      </c>
      <c r="G209" s="8" t="n">
        <f aca="false">-G67</f>
        <v>-150</v>
      </c>
      <c r="H209" s="8" t="n">
        <f aca="false">SUM(E209:G209)</f>
        <v>-400</v>
      </c>
      <c r="J209" s="25" t="n">
        <f aca="false">Inputs!E$26</f>
        <v>46234</v>
      </c>
      <c r="K209" s="58" t="n">
        <f aca="false">Inputs!F$26</f>
        <v>46234</v>
      </c>
      <c r="L209" s="25" t="n">
        <f aca="false">Inputs!G$26</f>
        <v>46234</v>
      </c>
    </row>
    <row r="210" customFormat="false" ht="14.25" hidden="false" customHeight="false" outlineLevel="1" collapsed="false">
      <c r="C210" s="6" t="s">
        <v>73</v>
      </c>
      <c r="D210" s="2" t="s">
        <v>84</v>
      </c>
      <c r="E210" s="17" t="n">
        <f aca="false">-E60</f>
        <v>-8.21917808219178</v>
      </c>
      <c r="F210" s="18" t="n">
        <f aca="false">-F60</f>
        <v>-8.21917808219178</v>
      </c>
      <c r="G210" s="17" t="n">
        <f aca="false">-G60</f>
        <v>-8.21917808219178</v>
      </c>
      <c r="H210" s="17" t="n">
        <f aca="false">SUM(E210:G210)</f>
        <v>-24.6575342465753</v>
      </c>
      <c r="J210" s="25" t="n">
        <f aca="false">Inputs!E$27</f>
        <v>46325</v>
      </c>
      <c r="K210" s="58" t="n">
        <f aca="false">Inputs!F$27</f>
        <v>46325</v>
      </c>
      <c r="L210" s="25" t="n">
        <f aca="false">Inputs!G$27</f>
        <v>46325</v>
      </c>
    </row>
    <row r="211" customFormat="false" ht="14.25" hidden="false" customHeight="false" outlineLevel="1" collapsed="false">
      <c r="C211" s="6" t="s">
        <v>75</v>
      </c>
      <c r="D211" s="2" t="s">
        <v>84</v>
      </c>
      <c r="E211" s="8" t="n">
        <f aca="false">-E61</f>
        <v>-278.082191780822</v>
      </c>
      <c r="F211" s="33" t="n">
        <f aca="false">-F61</f>
        <v>-498.904109589041</v>
      </c>
      <c r="G211" s="8" t="n">
        <f aca="false">-G61</f>
        <v>-498.904109589041</v>
      </c>
      <c r="H211" s="8" t="n">
        <f aca="false">SUM(E211:G211)</f>
        <v>-1275.8904109589</v>
      </c>
      <c r="J211" s="25" t="n">
        <f aca="false">Inputs!E$27</f>
        <v>46325</v>
      </c>
      <c r="K211" s="58" t="n">
        <f aca="false">Inputs!F$27</f>
        <v>46325</v>
      </c>
      <c r="L211" s="25" t="n">
        <f aca="false">Inputs!G$27</f>
        <v>46325</v>
      </c>
    </row>
    <row r="212" customFormat="false" ht="14.25" hidden="false" customHeight="false" outlineLevel="1" collapsed="false">
      <c r="C212" s="6" t="s">
        <v>197</v>
      </c>
      <c r="D212" s="2" t="s">
        <v>84</v>
      </c>
      <c r="E212" s="8" t="n">
        <f aca="false">-E62</f>
        <v>-1112.32876712329</v>
      </c>
      <c r="F212" s="33" t="n">
        <f aca="false">-F62</f>
        <v>-1995.61643835616</v>
      </c>
      <c r="G212" s="8" t="n">
        <f aca="false">-G62</f>
        <v>-1995.61643835616</v>
      </c>
      <c r="H212" s="8" t="n">
        <f aca="false">SUM(E212:G212)</f>
        <v>-5103.56164383562</v>
      </c>
      <c r="J212" s="25" t="n">
        <f aca="false">Inputs!E$28</f>
        <v>46402</v>
      </c>
      <c r="K212" s="58" t="n">
        <f aca="false">Inputs!F$28</f>
        <v>46402</v>
      </c>
      <c r="L212" s="25" t="n">
        <f aca="false">Inputs!G$28</f>
        <v>46402</v>
      </c>
    </row>
    <row r="213" customFormat="false" ht="14.25" hidden="false" customHeight="false" outlineLevel="1" collapsed="false">
      <c r="C213" s="6" t="s">
        <v>77</v>
      </c>
      <c r="D213" s="2" t="s">
        <v>84</v>
      </c>
      <c r="E213" s="8" t="n">
        <f aca="false">-E63</f>
        <v>-616.438356164384</v>
      </c>
      <c r="F213" s="33" t="n">
        <f aca="false">-F63</f>
        <v>-616.438356164384</v>
      </c>
      <c r="G213" s="8" t="n">
        <f aca="false">-G63</f>
        <v>-616.438356164384</v>
      </c>
      <c r="H213" s="8" t="n">
        <f aca="false">SUM(E213:G213)</f>
        <v>-1849.31506849315</v>
      </c>
      <c r="J213" s="25" t="n">
        <f aca="false">Inputs!E$29</f>
        <v>46402</v>
      </c>
      <c r="K213" s="58" t="n">
        <f aca="false">Inputs!F$29</f>
        <v>46402</v>
      </c>
      <c r="L213" s="25" t="n">
        <f aca="false">Inputs!G$29</f>
        <v>46402</v>
      </c>
    </row>
    <row r="214" customFormat="false" ht="14.25" hidden="false" customHeight="false" outlineLevel="1" collapsed="false">
      <c r="C214" s="6" t="s">
        <v>198</v>
      </c>
      <c r="D214" s="2" t="s">
        <v>84</v>
      </c>
      <c r="E214" s="8" t="n">
        <f aca="false">-E64</f>
        <v>-696.364115068493</v>
      </c>
      <c r="F214" s="33" t="n">
        <f aca="false">-F64</f>
        <v>-1260.27397260274</v>
      </c>
      <c r="G214" s="8" t="n">
        <f aca="false">-G64</f>
        <v>-1260.27397260274</v>
      </c>
      <c r="H214" s="8" t="n">
        <f aca="false">SUM(E214:G214)</f>
        <v>-3216.91206027397</v>
      </c>
      <c r="J214" s="25" t="n">
        <f aca="false">Inputs!E$30</f>
        <v>47027</v>
      </c>
      <c r="K214" s="58" t="n">
        <f aca="false">Inputs!F$30</f>
        <v>47027</v>
      </c>
      <c r="L214" s="25" t="n">
        <f aca="false">Inputs!G$30</f>
        <v>47027</v>
      </c>
    </row>
    <row r="215" customFormat="false" ht="14.25" hidden="false" customHeight="false" outlineLevel="1" collapsed="false">
      <c r="C215" s="6" t="s">
        <v>199</v>
      </c>
      <c r="D215" s="2" t="s">
        <v>84</v>
      </c>
      <c r="E215" s="8" t="n">
        <f aca="false">-E65</f>
        <v>-9393.3295890411</v>
      </c>
      <c r="F215" s="33" t="n">
        <f aca="false">-F65</f>
        <v>-2099.54520547945</v>
      </c>
      <c r="G215" s="8" t="n">
        <f aca="false">-G65</f>
        <v>-2099.54520547945</v>
      </c>
      <c r="H215" s="8" t="n">
        <f aca="false">SUM(E215:G215)</f>
        <v>-13592.42</v>
      </c>
      <c r="J215" s="25" t="n">
        <f aca="false">Inputs!E$30</f>
        <v>47027</v>
      </c>
      <c r="K215" s="58" t="n">
        <f aca="false">Inputs!F$30</f>
        <v>47027</v>
      </c>
      <c r="L215" s="25" t="n">
        <f aca="false">Inputs!G$30</f>
        <v>47027</v>
      </c>
    </row>
    <row r="216" customFormat="false" ht="14.25" hidden="false" customHeight="false" outlineLevel="1" collapsed="false">
      <c r="C216" s="6" t="s">
        <v>200</v>
      </c>
      <c r="D216" s="2" t="s">
        <v>84</v>
      </c>
      <c r="E216" s="8" t="n">
        <f aca="false">-E66</f>
        <v>-784.47</v>
      </c>
      <c r="F216" s="33" t="n">
        <f aca="false">-F66</f>
        <v>-1000</v>
      </c>
      <c r="G216" s="8" t="n">
        <f aca="false">-G66</f>
        <v>-1000</v>
      </c>
      <c r="H216" s="8" t="n">
        <f aca="false">SUM(E216:G216)</f>
        <v>-2784.47</v>
      </c>
      <c r="J216" s="25" t="n">
        <f aca="false">Inputs!E$31</f>
        <v>46752</v>
      </c>
      <c r="K216" s="58" t="n">
        <f aca="false">Inputs!F$31</f>
        <v>46752</v>
      </c>
      <c r="L216" s="25" t="n">
        <f aca="false">Inputs!G$31</f>
        <v>46752</v>
      </c>
    </row>
    <row r="217" customFormat="false" ht="14.25" hidden="false" customHeight="false" outlineLevel="1" collapsed="false">
      <c r="C217" s="1" t="s">
        <v>201</v>
      </c>
      <c r="D217" s="2" t="s">
        <v>84</v>
      </c>
      <c r="E217" s="15" t="n">
        <f aca="false">E205-SUM(E200:E202)</f>
        <v>17627.2455112175</v>
      </c>
      <c r="F217" s="59" t="n">
        <f aca="false">F205-SUM(F200:F202)</f>
        <v>13720.7780821918</v>
      </c>
      <c r="G217" s="15" t="n">
        <f aca="false">G205-SUM(G200:G202)</f>
        <v>13720.7780821918</v>
      </c>
      <c r="H217" s="15" t="n">
        <f aca="false">SUM(E217:G217)</f>
        <v>45068.8016756011</v>
      </c>
      <c r="J217" s="25" t="n">
        <f aca="false">Sale_Date</f>
        <v>47391</v>
      </c>
      <c r="K217" s="58" t="n">
        <f aca="false">Sale_Date</f>
        <v>47391</v>
      </c>
      <c r="L217" s="25" t="n">
        <f aca="false">Sale_Date</f>
        <v>47391</v>
      </c>
    </row>
    <row r="218" customFormat="false" ht="14.25" hidden="false" customHeight="false" outlineLevel="1" collapsed="false">
      <c r="C218" s="1" t="s">
        <v>129</v>
      </c>
      <c r="D218" s="2" t="s">
        <v>84</v>
      </c>
      <c r="E218" s="60" t="n">
        <f aca="false">SUM(E209:E217)</f>
        <v>4638.01331395724</v>
      </c>
      <c r="F218" s="60" t="n">
        <f aca="false">SUM(F209:F217)</f>
        <v>6091.78082191781</v>
      </c>
      <c r="G218" s="34" t="n">
        <f aca="false">SUM(G209:G217)</f>
        <v>6091.78082191781</v>
      </c>
      <c r="H218" s="34" t="n">
        <f aca="false">SUM(E218:G218)</f>
        <v>16821.5749577929</v>
      </c>
    </row>
    <row r="219" customFormat="false" ht="14.25" hidden="false" customHeight="false" outlineLevel="1" collapsed="false">
      <c r="C219" s="6" t="s">
        <v>202</v>
      </c>
      <c r="D219" s="2" t="s">
        <v>84</v>
      </c>
      <c r="E219" s="8" t="n">
        <f aca="false">-IF(Share_Exempt=1,MAX(0,-(E201+E202)),MAX(0,E218))*CIT_Rate</f>
        <v>-355.455412686384</v>
      </c>
      <c r="F219" s="33" t="n">
        <f aca="false">-IF(Share_Exempt=1,MAX(0,-(F201+F202)),MAX(0,F218))*CIT_Rate</f>
        <v>-0</v>
      </c>
      <c r="G219" s="8" t="n">
        <f aca="false">-IF(Share_Exempt=1,MAX(0,-(G201+G202)),MAX(0,G218))*CIT_Rate</f>
        <v>-0</v>
      </c>
      <c r="H219" s="8" t="n">
        <f aca="false">SUM(E219:G219)</f>
        <v>-355.455412686384</v>
      </c>
    </row>
    <row r="220" customFormat="false" ht="14.25" hidden="false" customHeight="false" outlineLevel="1" collapsed="false">
      <c r="C220" s="1" t="s">
        <v>130</v>
      </c>
      <c r="D220" s="2" t="s">
        <v>84</v>
      </c>
      <c r="E220" s="15" t="n">
        <f aca="false">E218+E219</f>
        <v>4282.55790127086</v>
      </c>
      <c r="F220" s="59" t="n">
        <f aca="false">F218+F219</f>
        <v>6091.78082191781</v>
      </c>
      <c r="G220" s="15" t="n">
        <f aca="false">G218+G219</f>
        <v>6091.78082191781</v>
      </c>
      <c r="H220" s="15" t="n">
        <f aca="false">SUM(E220:G220)</f>
        <v>16466.1195451065</v>
      </c>
    </row>
    <row r="221" customFormat="false" ht="14.25" hidden="false" customHeight="false" outlineLevel="1" collapsed="false"/>
    <row r="222" customFormat="false" ht="14.25" hidden="false" customHeight="false" outlineLevel="1" collapsed="false">
      <c r="B222" s="4" t="s">
        <v>3</v>
      </c>
      <c r="C222" s="4" t="s">
        <v>203</v>
      </c>
      <c r="D222" s="4"/>
      <c r="E222" s="5" t="s">
        <v>5</v>
      </c>
      <c r="F222" s="5" t="s">
        <v>6</v>
      </c>
      <c r="G222" s="5" t="s">
        <v>7</v>
      </c>
      <c r="H222" s="5" t="s">
        <v>8</v>
      </c>
    </row>
    <row r="223" customFormat="false" ht="14.25" hidden="false" customHeight="false" outlineLevel="1" collapsed="false">
      <c r="C223" s="6" t="s">
        <v>204</v>
      </c>
      <c r="D223" s="2" t="s">
        <v>84</v>
      </c>
      <c r="E223" s="33" t="n">
        <f aca="false">E64+E65</f>
        <v>10089.6937041096</v>
      </c>
      <c r="F223" s="8" t="n">
        <f aca="false">F64+F65</f>
        <v>3359.81917808219</v>
      </c>
      <c r="G223" s="8" t="n">
        <f aca="false">G64+G65</f>
        <v>3359.81917808219</v>
      </c>
      <c r="H223" s="8" t="n">
        <f aca="false">SUM(E223:G223)</f>
        <v>16809.332060274</v>
      </c>
    </row>
    <row r="224" customFormat="false" ht="14.25" hidden="false" customHeight="false" outlineLevel="1" collapsed="false">
      <c r="C224" s="6" t="s">
        <v>205</v>
      </c>
      <c r="D224" s="2" t="s">
        <v>84</v>
      </c>
      <c r="E224" s="8" t="n">
        <f aca="false">E68-E223</f>
        <v>2899.53849315069</v>
      </c>
      <c r="F224" s="8" t="n">
        <f aca="false">F68-F223</f>
        <v>4269.17808219178</v>
      </c>
      <c r="G224" s="8" t="n">
        <f aca="false">G68-G223</f>
        <v>4269.17808219178</v>
      </c>
      <c r="H224" s="8" t="n">
        <f aca="false">SUM(E224:G224)</f>
        <v>11437.8946575342</v>
      </c>
    </row>
    <row r="225" customFormat="false" ht="14.25" hidden="false" customHeight="false" outlineLevel="1" collapsed="false">
      <c r="C225" s="6" t="s">
        <v>206</v>
      </c>
      <c r="D225" s="2" t="s">
        <v>161</v>
      </c>
      <c r="E225" s="25" t="n">
        <f aca="false">MIN(Freeze_Date,Sale_Date_A)</f>
        <v>47026</v>
      </c>
      <c r="F225" s="25" t="n">
        <f aca="false">MIN(Freeze_Date,Sale_Date_A)</f>
        <v>47026</v>
      </c>
      <c r="G225" s="25" t="n">
        <f aca="false">MIN(Freeze_Date,Sale_Date_A)</f>
        <v>47026</v>
      </c>
    </row>
    <row r="226" customFormat="false" ht="14.25" hidden="false" customHeight="false" outlineLevel="1" collapsed="false">
      <c r="C226" s="6" t="s">
        <v>207</v>
      </c>
      <c r="D226" s="2" t="s">
        <v>3</v>
      </c>
      <c r="E226" s="56" t="n">
        <f aca="false">1+Rate_Cash*(E225-DATE(YEAR(E225),1,1)+1)/Days_In_Year</f>
        <v>1.09008219178082</v>
      </c>
      <c r="F226" s="56" t="n">
        <f aca="false">1+Rate_Cash*(F225-DATE(YEAR(F225),1,1)+1)/Days_In_Year</f>
        <v>1.09008219178082</v>
      </c>
      <c r="G226" s="56" t="n">
        <f aca="false">1+Rate_Cash*(G225-DATE(YEAR(G225),1,1)+1)/Days_In_Year</f>
        <v>1.09008219178082</v>
      </c>
    </row>
    <row r="227" customFormat="false" ht="14.25" hidden="false" customHeight="false" outlineLevel="1" collapsed="false">
      <c r="C227" s="6" t="s">
        <v>208</v>
      </c>
      <c r="D227" s="2" t="s">
        <v>3</v>
      </c>
      <c r="E227" s="56" t="n">
        <f aca="false">1+Rate_Devex*(E225-DATE(YEAR(E225),1,1)+1)/Days_In_Year</f>
        <v>1.15013698630137</v>
      </c>
      <c r="F227" s="56" t="n">
        <f aca="false">1+Rate_Devex*(F225-DATE(YEAR(F225),1,1)+1)/Days_In_Year</f>
        <v>1.15013698630137</v>
      </c>
      <c r="G227" s="56" t="n">
        <f aca="false">1+Rate_Devex*(G225-DATE(YEAR(G225),1,1)+1)/Days_In_Year</f>
        <v>1.15013698630137</v>
      </c>
    </row>
    <row r="228" customFormat="false" ht="14.25" hidden="false" customHeight="false" outlineLevel="1" collapsed="false">
      <c r="C228" s="6" t="s">
        <v>209</v>
      </c>
      <c r="D228" s="2" t="s">
        <v>165</v>
      </c>
      <c r="E228" s="57" t="n">
        <f aca="false">DATE(YEAR(Inputs!E$27)+1,1,1)-Inputs!E$27</f>
        <v>63</v>
      </c>
      <c r="F228" s="57" t="n">
        <f aca="false">DATE(YEAR(Inputs!F$27)+1,1,1)-Inputs!F$27</f>
        <v>63</v>
      </c>
      <c r="G228" s="57" t="n">
        <f aca="false">DATE(YEAR(Inputs!G$27)+1,1,1)-Inputs!G$27</f>
        <v>63</v>
      </c>
    </row>
    <row r="229" customFormat="false" ht="14.25" hidden="false" customHeight="false" outlineLevel="1" collapsed="false">
      <c r="C229" s="6" t="s">
        <v>210</v>
      </c>
      <c r="D229" s="2" t="s">
        <v>3</v>
      </c>
      <c r="E229" s="56" t="n">
        <f aca="false">(1+Rate_Cash*E228/Days_In_Year)*(1+Rate_Cash)^(YEAR(E225)-YEAR(Inputs!E$27)-1)*E226</f>
        <v>1.24617957242259</v>
      </c>
      <c r="F229" s="56" t="n">
        <f aca="false">(1+Rate_Cash*F228/Days_In_Year)*(1+Rate_Cash)^(YEAR(F225)-YEAR(Inputs!F$27)-1)*F226</f>
        <v>1.24617957242259</v>
      </c>
      <c r="G229" s="56" t="n">
        <f aca="false">(1+Rate_Cash*G228/Days_In_Year)*(1+Rate_Cash)^(YEAR(G225)-YEAR(Inputs!G$27)-1)*G226</f>
        <v>1.24617957242259</v>
      </c>
    </row>
    <row r="230" customFormat="false" ht="14.25" hidden="false" customHeight="false" outlineLevel="1" collapsed="false">
      <c r="C230" s="6" t="s">
        <v>211</v>
      </c>
      <c r="D230" s="2" t="s">
        <v>165</v>
      </c>
      <c r="E230" s="57" t="n">
        <f aca="false">DATE(YEAR(Inputs!E$28)+1,1,1)-Inputs!E$28</f>
        <v>351</v>
      </c>
      <c r="F230" s="57" t="n">
        <f aca="false">DATE(YEAR(Inputs!F$28)+1,1,1)-Inputs!F$28</f>
        <v>351</v>
      </c>
      <c r="G230" s="57" t="n">
        <f aca="false">DATE(YEAR(Inputs!G$28)+1,1,1)-Inputs!G$28</f>
        <v>351</v>
      </c>
    </row>
    <row r="231" customFormat="false" ht="14.25" hidden="false" customHeight="false" outlineLevel="1" collapsed="false">
      <c r="C231" s="6" t="s">
        <v>212</v>
      </c>
      <c r="D231" s="2" t="s">
        <v>3</v>
      </c>
      <c r="E231" s="56" t="n">
        <f aca="false">(1+Rate_Cash*E230/Days_In_Year)*(1+Rate_Cash)^(YEAR(E225)-YEAR(Inputs!E$28)-1)*E226</f>
        <v>1.21587469018578</v>
      </c>
      <c r="F231" s="56" t="n">
        <f aca="false">(1+Rate_Cash*F230/Days_In_Year)*(1+Rate_Cash)^(YEAR(F225)-YEAR(Inputs!F$28)-1)*F226</f>
        <v>1.21587469018578</v>
      </c>
      <c r="G231" s="56" t="n">
        <f aca="false">(1+Rate_Cash*G230/Days_In_Year)*(1+Rate_Cash)^(YEAR(G225)-YEAR(Inputs!G$28)-1)*G226</f>
        <v>1.21587469018578</v>
      </c>
    </row>
    <row r="232" customFormat="false" ht="14.25" hidden="false" customHeight="false" outlineLevel="1" collapsed="false">
      <c r="C232" s="6" t="s">
        <v>213</v>
      </c>
      <c r="D232" s="2" t="s">
        <v>165</v>
      </c>
      <c r="E232" s="57" t="n">
        <f aca="false">DATE(YEAR(Inputs!E$29)+1,1,1)-Inputs!E$29</f>
        <v>351</v>
      </c>
      <c r="F232" s="57" t="n">
        <f aca="false">DATE(YEAR(Inputs!F$29)+1,1,1)-Inputs!F$29</f>
        <v>351</v>
      </c>
      <c r="G232" s="57" t="n">
        <f aca="false">DATE(YEAR(Inputs!G$29)+1,1,1)-Inputs!G$29</f>
        <v>351</v>
      </c>
    </row>
    <row r="233" customFormat="false" ht="14.25" hidden="false" customHeight="false" outlineLevel="1" collapsed="false">
      <c r="C233" s="6" t="s">
        <v>214</v>
      </c>
      <c r="D233" s="2" t="s">
        <v>3</v>
      </c>
      <c r="E233" s="56" t="n">
        <f aca="false">(1+Rate_Cash*E232/Days_In_Year)*(1+Rate_Cash)^(YEAR(E225)-YEAR(Inputs!E$29)-1)*E226</f>
        <v>1.21587469018578</v>
      </c>
      <c r="F233" s="56" t="n">
        <f aca="false">(1+Rate_Cash*F232/Days_In_Year)*(1+Rate_Cash)^(YEAR(F225)-YEAR(Inputs!F$29)-1)*F226</f>
        <v>1.21587469018578</v>
      </c>
      <c r="G233" s="56" t="n">
        <f aca="false">(1+Rate_Cash*G232/Days_In_Year)*(1+Rate_Cash)^(YEAR(G225)-YEAR(Inputs!G$29)-1)*G226</f>
        <v>1.21587469018578</v>
      </c>
    </row>
    <row r="234" customFormat="false" ht="14.25" hidden="false" customHeight="false" outlineLevel="1" collapsed="false">
      <c r="C234" s="6" t="s">
        <v>215</v>
      </c>
      <c r="D234" s="2" t="s">
        <v>165</v>
      </c>
      <c r="E234" s="57" t="n">
        <f aca="false">DATE(YEAR(Inputs!E$31)+1,1,1)-Inputs!E$31</f>
        <v>1</v>
      </c>
      <c r="F234" s="57" t="n">
        <f aca="false">DATE(YEAR(Inputs!F$31)+1,1,1)-Inputs!F$31</f>
        <v>1</v>
      </c>
      <c r="G234" s="57" t="n">
        <f aca="false">DATE(YEAR(Inputs!G$31)+1,1,1)-Inputs!G$31</f>
        <v>1</v>
      </c>
    </row>
    <row r="235" customFormat="false" ht="14.25" hidden="false" customHeight="false" outlineLevel="1" collapsed="false">
      <c r="C235" s="6" t="s">
        <v>216</v>
      </c>
      <c r="D235" s="2" t="s">
        <v>3</v>
      </c>
      <c r="E235" s="56" t="n">
        <f aca="false">(1+Rate_Devex*E234/Days_In_Year)*(1+Rate_Devex)^(YEAR(E225)-YEAR(Inputs!E$31)-1)*E227</f>
        <v>1.15076719834866</v>
      </c>
      <c r="F235" s="56" t="n">
        <f aca="false">(1+Rate_Devex*F234/Days_In_Year)*(1+Rate_Devex)^(YEAR(F225)-YEAR(Inputs!F$31)-1)*F227</f>
        <v>1.15076719834866</v>
      </c>
      <c r="G235" s="56" t="n">
        <f aca="false">(1+Rate_Devex*G234/Days_In_Year)*(1+Rate_Devex)^(YEAR(G225)-YEAR(Inputs!G$31)-1)*G227</f>
        <v>1.15076719834866</v>
      </c>
    </row>
    <row r="236" customFormat="false" ht="14.25" hidden="false" customHeight="false" outlineLevel="1" collapsed="false">
      <c r="C236" s="6" t="s">
        <v>217</v>
      </c>
      <c r="D236" s="2" t="s">
        <v>84</v>
      </c>
      <c r="E236" s="17" t="n">
        <f aca="false">E$21*E60*(E229-1)</f>
        <v>2.02339374593912</v>
      </c>
      <c r="F236" s="17" t="n">
        <f aca="false">F$21*F60*(F229-1)</f>
        <v>0</v>
      </c>
      <c r="G236" s="17" t="n">
        <f aca="false">G$21*G60*(G229-1)</f>
        <v>0</v>
      </c>
      <c r="H236" s="17" t="n">
        <f aca="false">SUM(E236:G236)</f>
        <v>2.02339374593912</v>
      </c>
    </row>
    <row r="237" customFormat="false" ht="14.25" hidden="false" customHeight="false" outlineLevel="1" collapsed="false">
      <c r="C237" s="6" t="s">
        <v>218</v>
      </c>
      <c r="D237" s="2" t="s">
        <v>84</v>
      </c>
      <c r="E237" s="17" t="n">
        <f aca="false">E$21*E61*(E229-1)</f>
        <v>68.4581550709404</v>
      </c>
      <c r="F237" s="17" t="n">
        <f aca="false">F$21*F61*(F229-1)</f>
        <v>0</v>
      </c>
      <c r="G237" s="17" t="n">
        <f aca="false">G$21*G61*(G229-1)</f>
        <v>0</v>
      </c>
      <c r="H237" s="17" t="n">
        <f aca="false">SUM(E237:G237)</f>
        <v>68.4581550709404</v>
      </c>
    </row>
    <row r="238" customFormat="false" ht="14.25" hidden="false" customHeight="false" outlineLevel="1" collapsed="false">
      <c r="C238" s="6" t="s">
        <v>219</v>
      </c>
      <c r="D238" s="2" t="s">
        <v>84</v>
      </c>
      <c r="E238" s="17" t="n">
        <f aca="false">E$21*E62*(E231-1)</f>
        <v>240.123627987466</v>
      </c>
      <c r="F238" s="17" t="n">
        <f aca="false">F$21*F62*(F231-1)</f>
        <v>0</v>
      </c>
      <c r="G238" s="17" t="n">
        <f aca="false">G$21*G62*(G231-1)</f>
        <v>0</v>
      </c>
      <c r="H238" s="17" t="n">
        <f aca="false">SUM(E238:G238)</f>
        <v>240.123627987466</v>
      </c>
    </row>
    <row r="239" customFormat="false" ht="14.25" hidden="false" customHeight="false" outlineLevel="1" collapsed="false">
      <c r="C239" s="6" t="s">
        <v>220</v>
      </c>
      <c r="D239" s="2" t="s">
        <v>84</v>
      </c>
      <c r="E239" s="17" t="n">
        <f aca="false">E$21*E63*(E233-1)</f>
        <v>133.073439155615</v>
      </c>
      <c r="F239" s="17" t="n">
        <f aca="false">F$21*F63*(F233-1)</f>
        <v>0</v>
      </c>
      <c r="G239" s="17" t="n">
        <f aca="false">G$21*G63*(G233-1)</f>
        <v>0</v>
      </c>
      <c r="H239" s="17" t="n">
        <f aca="false">SUM(E239:G239)</f>
        <v>133.073439155615</v>
      </c>
    </row>
    <row r="240" customFormat="false" ht="14.25" hidden="false" customHeight="false" outlineLevel="1" collapsed="false">
      <c r="C240" s="6" t="s">
        <v>221</v>
      </c>
      <c r="D240" s="2" t="s">
        <v>84</v>
      </c>
      <c r="E240" s="17" t="n">
        <f aca="false">E$21*E66*MAX(E235-1,Devex_Floor-1)</f>
        <v>784.47</v>
      </c>
      <c r="F240" s="17" t="n">
        <f aca="false">F$21*F66*MAX(F235-1,Devex_Floor-1)</f>
        <v>0</v>
      </c>
      <c r="G240" s="17" t="n">
        <f aca="false">G$21*G66*MAX(G235-1,Devex_Floor-1)</f>
        <v>0</v>
      </c>
      <c r="H240" s="17" t="n">
        <f aca="false">SUM(E240:G240)</f>
        <v>784.47</v>
      </c>
    </row>
    <row r="241" customFormat="false" ht="14.25" hidden="false" customHeight="false" outlineLevel="1" collapsed="false">
      <c r="C241" s="6" t="s">
        <v>222</v>
      </c>
      <c r="D241" s="2" t="s">
        <v>84</v>
      </c>
      <c r="E241" s="8" t="n">
        <f aca="false">E20*MIN(DSA_Rate*YEARFRAC(Inputs!E$35,Sale_Date_A),DSA_Cap)*E44</f>
        <v>239.583333333333</v>
      </c>
      <c r="F241" s="8" t="n">
        <f aca="false">F20*MIN(DSA_Rate*YEARFRAC(Inputs!F$35,Sale_Date_A),DSA_Cap)*F44</f>
        <v>0</v>
      </c>
      <c r="G241" s="8" t="n">
        <f aca="false">G20*MIN(DSA_Rate*YEARFRAC(Inputs!G$35,Sale_Date_A),DSA_Cap)*G44</f>
        <v>0</v>
      </c>
      <c r="H241" s="8" t="n">
        <f aca="false">SUM(E241:G241)</f>
        <v>239.583333333333</v>
      </c>
    </row>
    <row r="242" customFormat="false" ht="14.25" hidden="false" customHeight="false" outlineLevel="1" collapsed="false">
      <c r="C242" s="6" t="s">
        <v>223</v>
      </c>
      <c r="D242" s="2" t="s">
        <v>84</v>
      </c>
      <c r="E242" s="8" t="n">
        <f aca="false">SUM(E236:E240)</f>
        <v>1228.14861595996</v>
      </c>
      <c r="F242" s="8" t="n">
        <f aca="false">SUM(F236:F240)</f>
        <v>0</v>
      </c>
      <c r="G242" s="8" t="n">
        <f aca="false">SUM(G236:G240)</f>
        <v>0</v>
      </c>
      <c r="H242" s="8" t="n">
        <f aca="false">SUM(E242:G242)</f>
        <v>1228.14861595996</v>
      </c>
    </row>
    <row r="243" customFormat="false" ht="14.25" hidden="false" customHeight="false" outlineLevel="1" collapsed="false">
      <c r="C243" s="43" t="s">
        <v>224</v>
      </c>
      <c r="D243" s="44"/>
      <c r="E243" s="45"/>
      <c r="F243" s="45"/>
      <c r="G243" s="45"/>
      <c r="H243" s="45"/>
    </row>
    <row r="244" customFormat="false" ht="14.25" hidden="false" customHeight="false" outlineLevel="1" collapsed="false">
      <c r="C244" s="6" t="s">
        <v>28</v>
      </c>
      <c r="D244" s="2" t="s">
        <v>84</v>
      </c>
      <c r="E244" s="8" t="n">
        <f aca="false">E196</f>
        <v>7500</v>
      </c>
      <c r="F244" s="8" t="n">
        <f aca="false">F196</f>
        <v>7500</v>
      </c>
      <c r="G244" s="8" t="n">
        <f aca="false">G196</f>
        <v>7500</v>
      </c>
      <c r="H244" s="8" t="n">
        <f aca="false">SUM(E244:G244)</f>
        <v>22500</v>
      </c>
    </row>
    <row r="245" customFormat="false" ht="14.25" hidden="false" customHeight="false" outlineLevel="1" collapsed="false">
      <c r="C245" s="6" t="s">
        <v>225</v>
      </c>
      <c r="D245" s="2" t="s">
        <v>84</v>
      </c>
      <c r="E245" s="8" t="n">
        <f aca="false">SUM(E61:E63)</f>
        <v>2006.84931506849</v>
      </c>
      <c r="F245" s="8" t="n">
        <f aca="false">SUM(F61:F63)</f>
        <v>3110.95890410959</v>
      </c>
      <c r="G245" s="8" t="n">
        <f aca="false">SUM(G61:G63)</f>
        <v>3110.95890410959</v>
      </c>
      <c r="H245" s="8" t="n">
        <f aca="false">SUM(E245:G245)</f>
        <v>8228.76712328767</v>
      </c>
    </row>
    <row r="246" customFormat="false" ht="14.25" hidden="false" customHeight="false" outlineLevel="1" collapsed="false">
      <c r="C246" s="6" t="s">
        <v>186</v>
      </c>
      <c r="D246" s="2" t="s">
        <v>84</v>
      </c>
      <c r="E246" s="8" t="n">
        <f aca="false">E244+E245</f>
        <v>9506.84931506849</v>
      </c>
      <c r="F246" s="8" t="n">
        <f aca="false">F244+F245</f>
        <v>10610.9589041096</v>
      </c>
      <c r="G246" s="8" t="n">
        <f aca="false">G244+G245</f>
        <v>10610.9589041096</v>
      </c>
      <c r="H246" s="8" t="n">
        <f aca="false">SUM(E246:G246)</f>
        <v>30728.7671232877</v>
      </c>
    </row>
    <row r="247" customFormat="false" ht="14.25" hidden="false" customHeight="false" outlineLevel="1" collapsed="false">
      <c r="C247" s="6" t="s">
        <v>187</v>
      </c>
      <c r="D247" s="2" t="s">
        <v>84</v>
      </c>
      <c r="E247" s="8" t="n">
        <f aca="false">-MIN(E246,Sale_Costs)</f>
        <v>-250</v>
      </c>
      <c r="F247" s="8" t="n">
        <f aca="false">-MIN(F246,Sale_Costs)</f>
        <v>-250</v>
      </c>
      <c r="G247" s="8" t="n">
        <f aca="false">-MIN(G246,Sale_Costs)</f>
        <v>-250</v>
      </c>
      <c r="H247" s="8" t="n">
        <f aca="false">SUM(E247:G247)</f>
        <v>-750</v>
      </c>
    </row>
    <row r="248" customFormat="false" ht="14.25" hidden="false" customHeight="false" outlineLevel="1" collapsed="false">
      <c r="C248" s="6" t="s">
        <v>226</v>
      </c>
      <c r="D248" s="2" t="s">
        <v>84</v>
      </c>
      <c r="E248" s="8" t="n">
        <f aca="false">-MIN(SUM(E246:E247),E245)</f>
        <v>-2006.84931506849</v>
      </c>
      <c r="F248" s="8" t="n">
        <f aca="false">-MIN(SUM(F246:F247),F245)</f>
        <v>-3110.95890410959</v>
      </c>
      <c r="G248" s="8" t="n">
        <f aca="false">-MIN(SUM(G246:G247),G245)</f>
        <v>-3110.95890410959</v>
      </c>
      <c r="H248" s="8" t="n">
        <f aca="false">SUM(E248:G248)</f>
        <v>-8228.76712328767</v>
      </c>
    </row>
    <row r="249" customFormat="false" ht="14.25" hidden="false" customHeight="false" outlineLevel="1" collapsed="false">
      <c r="C249" s="6" t="s">
        <v>189</v>
      </c>
      <c r="D249" s="2" t="s">
        <v>84</v>
      </c>
      <c r="E249" s="8" t="n">
        <f aca="false">-MIN(SUM(E246:E248),SUM(E236:E239))</f>
        <v>-443.67861595996</v>
      </c>
      <c r="F249" s="8" t="n">
        <f aca="false">-MIN(SUM(F246:F248),SUM(F236:F239))</f>
        <v>-0</v>
      </c>
      <c r="G249" s="8" t="n">
        <f aca="false">-MIN(SUM(G246:G248),SUM(G236:G239))</f>
        <v>-0</v>
      </c>
      <c r="H249" s="8" t="n">
        <f aca="false">SUM(E249:G249)</f>
        <v>-443.67861595996</v>
      </c>
    </row>
    <row r="250" customFormat="false" ht="14.25" hidden="false" customHeight="false" outlineLevel="1" collapsed="false">
      <c r="C250" s="6" t="s">
        <v>190</v>
      </c>
      <c r="D250" s="2" t="s">
        <v>84</v>
      </c>
      <c r="E250" s="8" t="n">
        <f aca="false">-MIN(SUM(E246:E249),E240)</f>
        <v>-784.47</v>
      </c>
      <c r="F250" s="8" t="n">
        <f aca="false">-MIN(SUM(F246:F249),F240)</f>
        <v>-0</v>
      </c>
      <c r="G250" s="8" t="n">
        <f aca="false">-MIN(SUM(G246:G249),G240)</f>
        <v>-0</v>
      </c>
      <c r="H250" s="8" t="n">
        <f aca="false">SUM(E250:G250)</f>
        <v>-784.47</v>
      </c>
    </row>
    <row r="251" customFormat="false" ht="14.25" hidden="false" customHeight="false" outlineLevel="1" collapsed="false">
      <c r="C251" s="6" t="s">
        <v>191</v>
      </c>
      <c r="D251" s="2" t="s">
        <v>84</v>
      </c>
      <c r="E251" s="8" t="n">
        <f aca="false">-MIN(SUM(E246:E250),E241)</f>
        <v>-239.583333333333</v>
      </c>
      <c r="F251" s="8" t="n">
        <f aca="false">-MIN(SUM(F246:F250),F241)</f>
        <v>-0</v>
      </c>
      <c r="G251" s="8" t="n">
        <f aca="false">-MIN(SUM(G246:G250),G241)</f>
        <v>-0</v>
      </c>
      <c r="H251" s="8" t="n">
        <f aca="false">SUM(E251:G251)</f>
        <v>-239.583333333333</v>
      </c>
    </row>
    <row r="252" customFormat="false" ht="14.25" hidden="false" customHeight="false" outlineLevel="1" collapsed="false">
      <c r="C252" s="6" t="s">
        <v>192</v>
      </c>
      <c r="D252" s="2" t="s">
        <v>84</v>
      </c>
      <c r="E252" s="8" t="n">
        <f aca="false">SUM(E246:E251)</f>
        <v>5782.26805070671</v>
      </c>
      <c r="F252" s="8" t="n">
        <f aca="false">SUM(F246:F251)</f>
        <v>7250</v>
      </c>
      <c r="G252" s="8" t="n">
        <f aca="false">SUM(G246:G251)</f>
        <v>7250</v>
      </c>
      <c r="H252" s="8" t="n">
        <f aca="false">SUM(E252:G252)</f>
        <v>20282.2680507067</v>
      </c>
    </row>
    <row r="253" customFormat="false" ht="14.25" hidden="false" customHeight="false" outlineLevel="1" collapsed="false">
      <c r="C253" s="6" t="s">
        <v>193</v>
      </c>
      <c r="D253" s="2" t="s">
        <v>84</v>
      </c>
      <c r="E253" s="8" t="n">
        <f aca="false">E252*E19</f>
        <v>4047.58763549469</v>
      </c>
      <c r="F253" s="8" t="n">
        <f aca="false">F252*F19</f>
        <v>7250</v>
      </c>
      <c r="G253" s="8" t="n">
        <f aca="false">G252*G19</f>
        <v>7250</v>
      </c>
      <c r="H253" s="8" t="n">
        <f aca="false">SUM(E253:G253)</f>
        <v>18547.5876354947</v>
      </c>
    </row>
    <row r="254" customFormat="false" ht="14.25" hidden="false" customHeight="false" outlineLevel="1" collapsed="false">
      <c r="C254" s="6" t="s">
        <v>194</v>
      </c>
      <c r="D254" s="2" t="s">
        <v>84</v>
      </c>
      <c r="E254" s="8" t="n">
        <f aca="false">E252-E253</f>
        <v>1734.68041521201</v>
      </c>
      <c r="F254" s="8" t="n">
        <f aca="false">F252-F253</f>
        <v>0</v>
      </c>
      <c r="G254" s="8" t="n">
        <f aca="false">G252-G253</f>
        <v>0</v>
      </c>
      <c r="H254" s="8" t="n">
        <f aca="false">SUM(E254:G254)</f>
        <v>1734.68041521201</v>
      </c>
    </row>
    <row r="255" customFormat="false" ht="14.25" hidden="false" customHeight="false" outlineLevel="1" collapsed="false">
      <c r="C255" s="44" t="s">
        <v>227</v>
      </c>
      <c r="D255" s="44"/>
      <c r="E255" s="45" t="s">
        <v>5</v>
      </c>
      <c r="F255" s="45" t="s">
        <v>6</v>
      </c>
      <c r="G255" s="45" t="s">
        <v>7</v>
      </c>
      <c r="H255" s="45" t="s">
        <v>8</v>
      </c>
      <c r="J255" s="45" t="s">
        <v>196</v>
      </c>
      <c r="K255" s="45" t="s">
        <v>6</v>
      </c>
      <c r="L255" s="45" t="s">
        <v>7</v>
      </c>
    </row>
    <row r="256" customFormat="false" ht="14.25" hidden="false" customHeight="false" outlineLevel="1" collapsed="false">
      <c r="C256" s="6" t="s">
        <v>81</v>
      </c>
      <c r="D256" s="2" t="s">
        <v>84</v>
      </c>
      <c r="E256" s="8" t="n">
        <f aca="false">-E67</f>
        <v>-100</v>
      </c>
      <c r="F256" s="8" t="n">
        <f aca="false">-F67</f>
        <v>-150</v>
      </c>
      <c r="G256" s="8" t="n">
        <f aca="false">-G67</f>
        <v>-150</v>
      </c>
      <c r="H256" s="8" t="n">
        <f aca="false">SUM(E256:G256)</f>
        <v>-400</v>
      </c>
      <c r="J256" s="25" t="n">
        <f aca="false">Inputs!E$26</f>
        <v>46234</v>
      </c>
      <c r="K256" s="25" t="n">
        <f aca="false">Inputs!F$26</f>
        <v>46234</v>
      </c>
      <c r="L256" s="25" t="n">
        <f aca="false">Inputs!G$26</f>
        <v>46234</v>
      </c>
    </row>
    <row r="257" customFormat="false" ht="14.25" hidden="false" customHeight="false" outlineLevel="1" collapsed="false">
      <c r="C257" s="6" t="s">
        <v>73</v>
      </c>
      <c r="D257" s="2" t="s">
        <v>84</v>
      </c>
      <c r="E257" s="8" t="n">
        <f aca="false">-E60</f>
        <v>-8.21917808219178</v>
      </c>
      <c r="F257" s="8" t="n">
        <f aca="false">-F60</f>
        <v>-8.21917808219178</v>
      </c>
      <c r="G257" s="8" t="n">
        <f aca="false">-G60</f>
        <v>-8.21917808219178</v>
      </c>
      <c r="H257" s="8" t="n">
        <f aca="false">SUM(E257:G257)</f>
        <v>-24.6575342465753</v>
      </c>
      <c r="J257" s="25" t="n">
        <f aca="false">Inputs!E$27</f>
        <v>46325</v>
      </c>
      <c r="K257" s="25" t="n">
        <f aca="false">Inputs!F$27</f>
        <v>46325</v>
      </c>
      <c r="L257" s="25" t="n">
        <f aca="false">Inputs!G$27</f>
        <v>46325</v>
      </c>
    </row>
    <row r="258" customFormat="false" ht="14.25" hidden="false" customHeight="false" outlineLevel="1" collapsed="false">
      <c r="C258" s="6" t="s">
        <v>75</v>
      </c>
      <c r="D258" s="2" t="s">
        <v>84</v>
      </c>
      <c r="E258" s="8" t="n">
        <f aca="false">-E61</f>
        <v>-278.082191780822</v>
      </c>
      <c r="F258" s="8" t="n">
        <f aca="false">-F61</f>
        <v>-498.904109589041</v>
      </c>
      <c r="G258" s="8" t="n">
        <f aca="false">-G61</f>
        <v>-498.904109589041</v>
      </c>
      <c r="H258" s="8" t="n">
        <f aca="false">SUM(E258:G258)</f>
        <v>-1275.8904109589</v>
      </c>
      <c r="J258" s="25" t="n">
        <f aca="false">Inputs!E$27</f>
        <v>46325</v>
      </c>
      <c r="K258" s="25" t="n">
        <f aca="false">Inputs!F$27</f>
        <v>46325</v>
      </c>
      <c r="L258" s="25" t="n">
        <f aca="false">Inputs!G$27</f>
        <v>46325</v>
      </c>
    </row>
    <row r="259" customFormat="false" ht="14.25" hidden="false" customHeight="false" outlineLevel="1" collapsed="false">
      <c r="C259" s="6" t="s">
        <v>197</v>
      </c>
      <c r="D259" s="2" t="s">
        <v>84</v>
      </c>
      <c r="E259" s="8" t="n">
        <f aca="false">-E62</f>
        <v>-1112.32876712329</v>
      </c>
      <c r="F259" s="8" t="n">
        <f aca="false">-F62</f>
        <v>-1995.61643835616</v>
      </c>
      <c r="G259" s="8" t="n">
        <f aca="false">-G62</f>
        <v>-1995.61643835616</v>
      </c>
      <c r="H259" s="8" t="n">
        <f aca="false">SUM(E259:G259)</f>
        <v>-5103.56164383562</v>
      </c>
      <c r="J259" s="25" t="n">
        <f aca="false">Inputs!E$28</f>
        <v>46402</v>
      </c>
      <c r="K259" s="25" t="n">
        <f aca="false">Inputs!F$28</f>
        <v>46402</v>
      </c>
      <c r="L259" s="25" t="n">
        <f aca="false">Inputs!G$28</f>
        <v>46402</v>
      </c>
    </row>
    <row r="260" customFormat="false" ht="14.25" hidden="false" customHeight="false" outlineLevel="1" collapsed="false">
      <c r="C260" s="6" t="s">
        <v>77</v>
      </c>
      <c r="D260" s="2" t="s">
        <v>84</v>
      </c>
      <c r="E260" s="8" t="n">
        <f aca="false">-E63</f>
        <v>-616.438356164384</v>
      </c>
      <c r="F260" s="8" t="n">
        <f aca="false">-F63</f>
        <v>-616.438356164384</v>
      </c>
      <c r="G260" s="8" t="n">
        <f aca="false">-G63</f>
        <v>-616.438356164384</v>
      </c>
      <c r="H260" s="8" t="n">
        <f aca="false">SUM(E260:G260)</f>
        <v>-1849.31506849315</v>
      </c>
      <c r="J260" s="25" t="n">
        <f aca="false">Inputs!E$29</f>
        <v>46402</v>
      </c>
      <c r="K260" s="25" t="n">
        <f aca="false">Inputs!F$29</f>
        <v>46402</v>
      </c>
      <c r="L260" s="25" t="n">
        <f aca="false">Inputs!G$29</f>
        <v>46402</v>
      </c>
    </row>
    <row r="261" customFormat="false" ht="14.25" hidden="false" customHeight="false" outlineLevel="1" collapsed="false">
      <c r="C261" s="6" t="s">
        <v>200</v>
      </c>
      <c r="D261" s="2" t="s">
        <v>84</v>
      </c>
      <c r="E261" s="8" t="n">
        <f aca="false">-E66</f>
        <v>-784.47</v>
      </c>
      <c r="F261" s="8" t="n">
        <f aca="false">-F66</f>
        <v>-1000</v>
      </c>
      <c r="G261" s="8" t="n">
        <f aca="false">-G66</f>
        <v>-1000</v>
      </c>
      <c r="H261" s="8" t="n">
        <f aca="false">SUM(E261:G261)</f>
        <v>-2784.47</v>
      </c>
      <c r="J261" s="25" t="n">
        <f aca="false">Inputs!E$31</f>
        <v>46752</v>
      </c>
      <c r="K261" s="25" t="n">
        <f aca="false">Inputs!F$31</f>
        <v>46752</v>
      </c>
      <c r="L261" s="25" t="n">
        <f aca="false">Inputs!G$31</f>
        <v>46752</v>
      </c>
    </row>
    <row r="262" customFormat="false" ht="14.25" hidden="false" customHeight="false" outlineLevel="1" collapsed="false">
      <c r="C262" s="6" t="s">
        <v>201</v>
      </c>
      <c r="D262" s="2" t="s">
        <v>84</v>
      </c>
      <c r="E262" s="8" t="n">
        <f aca="false">E253-SUM(E248:E250)</f>
        <v>7282.58556652315</v>
      </c>
      <c r="F262" s="8" t="n">
        <f aca="false">F253-SUM(F248:F250)</f>
        <v>10360.9589041096</v>
      </c>
      <c r="G262" s="8" t="n">
        <f aca="false">G253-SUM(G248:G250)</f>
        <v>10360.9589041096</v>
      </c>
      <c r="H262" s="8" t="n">
        <f aca="false">SUM(E262:G262)</f>
        <v>28004.5033747423</v>
      </c>
      <c r="J262" s="25" t="n">
        <f aca="false">Sale_Date_A</f>
        <v>47026</v>
      </c>
      <c r="K262" s="25" t="n">
        <f aca="false">Sale_Date_A</f>
        <v>47026</v>
      </c>
      <c r="L262" s="25" t="n">
        <f aca="false">Sale_Date_A</f>
        <v>47026</v>
      </c>
    </row>
    <row r="263" customFormat="false" ht="14.25" hidden="false" customHeight="false" outlineLevel="1" collapsed="false">
      <c r="C263" s="46" t="s">
        <v>129</v>
      </c>
      <c r="D263" s="47" t="s">
        <v>84</v>
      </c>
      <c r="E263" s="61" t="n">
        <f aca="false">SUM(E256:E262)</f>
        <v>4383.04707337246</v>
      </c>
      <c r="F263" s="62" t="n">
        <f aca="false">SUM(F256:F262)</f>
        <v>6091.78082191781</v>
      </c>
      <c r="G263" s="62" t="n">
        <f aca="false">SUM(G256:G262)</f>
        <v>6091.78082191781</v>
      </c>
      <c r="H263" s="62" t="n">
        <f aca="false">SUM(E263:G263)</f>
        <v>16566.6087172081</v>
      </c>
    </row>
    <row r="264" customFormat="false" ht="14.25" hidden="false" customHeight="false" outlineLevel="1" collapsed="false">
      <c r="C264" s="1" t="s">
        <v>202</v>
      </c>
      <c r="D264" s="2" t="s">
        <v>84</v>
      </c>
      <c r="E264" s="34" t="n">
        <f aca="false">-IF(Share_Exempt=1,MAX(0,-(E249+E250)),MAX(0,E263))*CIT_Rate</f>
        <v>-184.222292393994</v>
      </c>
      <c r="F264" s="34" t="n">
        <f aca="false">-IF(Share_Exempt=1,MAX(0,-(F249+F250)),MAX(0,F263))*CIT_Rate</f>
        <v>-0</v>
      </c>
      <c r="G264" s="34" t="n">
        <f aca="false">-IF(Share_Exempt=1,MAX(0,-(G249+G250)),MAX(0,G263))*CIT_Rate</f>
        <v>-0</v>
      </c>
      <c r="H264" s="34" t="n">
        <f aca="false">SUM(E264:G264)</f>
        <v>-184.222292393994</v>
      </c>
    </row>
    <row r="265" customFormat="false" ht="14.25" hidden="false" customHeight="false" outlineLevel="1" collapsed="false">
      <c r="C265" s="46" t="s">
        <v>130</v>
      </c>
      <c r="D265" s="47" t="s">
        <v>84</v>
      </c>
      <c r="E265" s="62" t="n">
        <f aca="false">E263+E264</f>
        <v>4198.82478097847</v>
      </c>
      <c r="F265" s="62" t="n">
        <f aca="false">F263+F264</f>
        <v>6091.78082191781</v>
      </c>
      <c r="G265" s="62" t="n">
        <f aca="false">G263+G264</f>
        <v>6091.78082191781</v>
      </c>
      <c r="H265" s="62" t="n">
        <f aca="false">SUM(E265:G265)</f>
        <v>16382.3864248141</v>
      </c>
    </row>
    <row r="266" customFormat="false" ht="14.25" hidden="false" customHeight="false" outlineLevel="1" collapsed="false">
      <c r="C266" s="6" t="s">
        <v>131</v>
      </c>
      <c r="D266" s="2" t="s">
        <v>3</v>
      </c>
      <c r="E266" s="49" t="n">
        <f aca="false">SUMIF(E256:E262,"&gt;0")/-SUMIF(E256:E262,"&lt;0")</f>
        <v>2.51163610475465</v>
      </c>
      <c r="F266" s="49" t="n">
        <f aca="false">SUMIF(F256:F262,"&gt;0")/-SUMIF(F256:F262,"&lt;0")</f>
        <v>2.426921225734</v>
      </c>
      <c r="G266" s="49" t="n">
        <f aca="false">SUMIF(G256:G262,"&gt;0")/-SUMIF(G256:G262,"&lt;0")</f>
        <v>2.426921225734</v>
      </c>
      <c r="H266" s="49" t="n">
        <f aca="false">SUMIF(H256:H262,"&gt;0")/-SUMIF(H256:H262,"&lt;0")</f>
        <v>2.44839668603658</v>
      </c>
    </row>
    <row r="267" customFormat="false" ht="14.25" hidden="false" customHeight="false" outlineLevel="1" collapsed="false">
      <c r="C267" s="6" t="s">
        <v>132</v>
      </c>
      <c r="D267" s="2" t="s">
        <v>12</v>
      </c>
      <c r="E267" s="50" t="n">
        <f aca="false">XIRR(E256:E262,J256:J262)</f>
        <v>0.81525733588529</v>
      </c>
      <c r="F267" s="50" t="n">
        <f aca="false">XIRR(F256:F262,K256:K262)</f>
        <v>0.755086340553753</v>
      </c>
      <c r="G267" s="50" t="n">
        <f aca="false">XIRR(G256:G262,L256:L262)</f>
        <v>0.755086340553753</v>
      </c>
    </row>
    <row r="268" customFormat="false" ht="14.25" hidden="false" customHeight="false" outlineLevel="1" collapsed="false">
      <c r="C268" s="63" t="s">
        <v>228</v>
      </c>
      <c r="D268" s="36" t="s">
        <v>84</v>
      </c>
      <c r="E268" s="33" t="n">
        <f aca="false">E263-E218</f>
        <v>-254.966240584779</v>
      </c>
      <c r="F268" s="8" t="n">
        <f aca="false">F263-F218</f>
        <v>0</v>
      </c>
      <c r="G268" s="8" t="n">
        <f aca="false">G263-G218</f>
        <v>0</v>
      </c>
      <c r="H268" s="8" t="n">
        <f aca="false">SUM(E268:G268)</f>
        <v>-254.966240584779</v>
      </c>
    </row>
    <row r="269" customFormat="false" ht="14.25" hidden="false" customHeight="false" outlineLevel="1" collapsed="false"/>
    <row r="270" customFormat="false" ht="14.25" hidden="false" customHeight="false" outlineLevel="1" collapsed="false">
      <c r="B270" s="4" t="s">
        <v>3</v>
      </c>
      <c r="C270" s="4" t="s">
        <v>229</v>
      </c>
      <c r="D270" s="4"/>
      <c r="E270" s="5"/>
      <c r="F270" s="5"/>
      <c r="G270" s="5"/>
      <c r="H270" s="5" t="s">
        <v>8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customFormat="false" ht="14.25" hidden="false" customHeight="false" outlineLevel="1" collapsed="false">
      <c r="C271" s="6" t="s">
        <v>150</v>
      </c>
      <c r="D271" s="2" t="s">
        <v>151</v>
      </c>
      <c r="J271" s="57" t="n">
        <f aca="false">First_Year+COLUMN()-COLUMN($J$1)</f>
        <v>2026</v>
      </c>
      <c r="K271" s="57" t="n">
        <f aca="false">First_Year+COLUMN()-COLUMN($J$1)</f>
        <v>2027</v>
      </c>
      <c r="L271" s="57" t="n">
        <f aca="false">First_Year+COLUMN()-COLUMN($J$1)</f>
        <v>2028</v>
      </c>
      <c r="M271" s="57" t="n">
        <f aca="false">First_Year+COLUMN()-COLUMN($J$1)</f>
        <v>2029</v>
      </c>
      <c r="N271" s="57" t="n">
        <f aca="false">First_Year+COLUMN()-COLUMN($J$1)</f>
        <v>2030</v>
      </c>
      <c r="O271" s="57" t="n">
        <f aca="false">First_Year+COLUMN()-COLUMN($J$1)</f>
        <v>2031</v>
      </c>
      <c r="P271" s="57" t="n">
        <f aca="false">First_Year+COLUMN()-COLUMN($J$1)</f>
        <v>2032</v>
      </c>
      <c r="Q271" s="57" t="n">
        <f aca="false">First_Year+COLUMN()-COLUMN($J$1)</f>
        <v>2033</v>
      </c>
      <c r="R271" s="57" t="n">
        <f aca="false">First_Year+COLUMN()-COLUMN($J$1)</f>
        <v>2034</v>
      </c>
      <c r="S271" s="57" t="n">
        <f aca="false">First_Year+COLUMN()-COLUMN($J$1)</f>
        <v>2035</v>
      </c>
      <c r="T271" s="57" t="n">
        <f aca="false">First_Year+COLUMN()-COLUMN($J$1)</f>
        <v>2036</v>
      </c>
      <c r="U271" s="57" t="n">
        <f aca="false">First_Year+COLUMN()-COLUMN($J$1)</f>
        <v>2037</v>
      </c>
      <c r="V271" s="57" t="n">
        <f aca="false">First_Year+COLUMN()-COLUMN($J$1)</f>
        <v>2038</v>
      </c>
      <c r="W271" s="57" t="n">
        <f aca="false">First_Year+COLUMN()-COLUMN($J$1)</f>
        <v>2039</v>
      </c>
      <c r="X271" s="57" t="n">
        <f aca="false">First_Year+COLUMN()-COLUMN($J$1)</f>
        <v>2040</v>
      </c>
      <c r="Y271" s="57" t="n">
        <f aca="false">First_Year+COLUMN()-COLUMN($J$1)</f>
        <v>2041</v>
      </c>
      <c r="Z271" s="57" t="n">
        <f aca="false">First_Year+COLUMN()-COLUMN($J$1)</f>
        <v>2042</v>
      </c>
      <c r="AA271" s="57" t="n">
        <f aca="false">First_Year+COLUMN()-COLUMN($J$1)</f>
        <v>2043</v>
      </c>
      <c r="AB271" s="57" t="n">
        <f aca="false">First_Year+COLUMN()-COLUMN($J$1)</f>
        <v>2044</v>
      </c>
      <c r="AC271" s="57" t="n">
        <f aca="false">First_Year+COLUMN()-COLUMN($J$1)</f>
        <v>2045</v>
      </c>
      <c r="AD271" s="57" t="n">
        <f aca="false">First_Year+COLUMN()-COLUMN($J$1)</f>
        <v>2046</v>
      </c>
      <c r="AE271" s="57" t="n">
        <f aca="false">First_Year+COLUMN()-COLUMN($J$1)</f>
        <v>2047</v>
      </c>
      <c r="AF271" s="57" t="n">
        <f aca="false">First_Year+COLUMN()-COLUMN($J$1)</f>
        <v>2048</v>
      </c>
      <c r="AG271" s="57" t="n">
        <f aca="false">First_Year+COLUMN()-COLUMN($J$1)</f>
        <v>2049</v>
      </c>
      <c r="AH271" s="57" t="n">
        <f aca="false">First_Year+COLUMN()-COLUMN($J$1)</f>
        <v>2050</v>
      </c>
      <c r="AI271" s="57" t="n">
        <f aca="false">First_Year+COLUMN()-COLUMN($J$1)</f>
        <v>2051</v>
      </c>
      <c r="AJ271" s="57" t="n">
        <f aca="false">First_Year+COLUMN()-COLUMN($J$1)</f>
        <v>2052</v>
      </c>
      <c r="AK271" s="57" t="n">
        <f aca="false">First_Year+COLUMN()-COLUMN($J$1)</f>
        <v>2053</v>
      </c>
      <c r="AL271" s="57" t="n">
        <f aca="false">First_Year+COLUMN()-COLUMN($J$1)</f>
        <v>2054</v>
      </c>
      <c r="AM271" s="57" t="n">
        <f aca="false">First_Year+COLUMN()-COLUMN($J$1)</f>
        <v>2055</v>
      </c>
      <c r="AN271" s="57" t="n">
        <f aca="false">First_Year+COLUMN()-COLUMN($J$1)</f>
        <v>2056</v>
      </c>
      <c r="AO271" s="57" t="n">
        <f aca="false">First_Year+COLUMN()-COLUMN($J$1)</f>
        <v>2057</v>
      </c>
      <c r="AP271" s="57" t="n">
        <f aca="false">First_Year+COLUMN()-COLUMN($J$1)</f>
        <v>2058</v>
      </c>
      <c r="AQ271" s="57" t="n">
        <f aca="false">First_Year+COLUMN()-COLUMN($J$1)</f>
        <v>2059</v>
      </c>
      <c r="AR271" s="57" t="n">
        <f aca="false">First_Year+COLUMN()-COLUMN($J$1)</f>
        <v>2060</v>
      </c>
      <c r="AS271" s="57" t="n">
        <f aca="false">First_Year+COLUMN()-COLUMN($J$1)</f>
        <v>2061</v>
      </c>
    </row>
    <row r="272" customFormat="false" ht="14.25" hidden="false" customHeight="false" outlineLevel="1" collapsed="false">
      <c r="C272" s="6" t="s">
        <v>230</v>
      </c>
      <c r="D272" s="2" t="s">
        <v>161</v>
      </c>
      <c r="J272" s="25" t="n">
        <f aca="false">DATE(J271+1,1,1)-1</f>
        <v>46387</v>
      </c>
      <c r="K272" s="25" t="n">
        <f aca="false">DATE(K271+1,1,1)-1</f>
        <v>46752</v>
      </c>
      <c r="L272" s="25" t="n">
        <f aca="false">DATE(L271+1,1,1)-1</f>
        <v>47118</v>
      </c>
      <c r="M272" s="25" t="n">
        <f aca="false">DATE(M271+1,1,1)-1</f>
        <v>47483</v>
      </c>
      <c r="N272" s="25" t="n">
        <f aca="false">DATE(N271+1,1,1)-1</f>
        <v>47848</v>
      </c>
      <c r="O272" s="25" t="n">
        <f aca="false">DATE(O271+1,1,1)-1</f>
        <v>48213</v>
      </c>
      <c r="P272" s="25" t="n">
        <f aca="false">DATE(P271+1,1,1)-1</f>
        <v>48579</v>
      </c>
      <c r="Q272" s="25" t="n">
        <f aca="false">DATE(Q271+1,1,1)-1</f>
        <v>48944</v>
      </c>
      <c r="R272" s="25" t="n">
        <f aca="false">DATE(R271+1,1,1)-1</f>
        <v>49309</v>
      </c>
      <c r="S272" s="25" t="n">
        <f aca="false">DATE(S271+1,1,1)-1</f>
        <v>49674</v>
      </c>
      <c r="T272" s="25" t="n">
        <f aca="false">DATE(T271+1,1,1)-1</f>
        <v>50040</v>
      </c>
      <c r="U272" s="25" t="n">
        <f aca="false">DATE(U271+1,1,1)-1</f>
        <v>50405</v>
      </c>
      <c r="V272" s="25" t="n">
        <f aca="false">DATE(V271+1,1,1)-1</f>
        <v>50770</v>
      </c>
      <c r="W272" s="25" t="n">
        <f aca="false">DATE(W271+1,1,1)-1</f>
        <v>51135</v>
      </c>
      <c r="X272" s="25" t="n">
        <f aca="false">DATE(X271+1,1,1)-1</f>
        <v>51501</v>
      </c>
      <c r="Y272" s="25" t="n">
        <f aca="false">DATE(Y271+1,1,1)-1</f>
        <v>51866</v>
      </c>
      <c r="Z272" s="25" t="n">
        <f aca="false">DATE(Z271+1,1,1)-1</f>
        <v>52231</v>
      </c>
      <c r="AA272" s="25" t="n">
        <f aca="false">DATE(AA271+1,1,1)-1</f>
        <v>52596</v>
      </c>
      <c r="AB272" s="25" t="n">
        <f aca="false">DATE(AB271+1,1,1)-1</f>
        <v>52962</v>
      </c>
      <c r="AC272" s="25" t="n">
        <f aca="false">DATE(AC271+1,1,1)-1</f>
        <v>53327</v>
      </c>
      <c r="AD272" s="25" t="n">
        <f aca="false">DATE(AD271+1,1,1)-1</f>
        <v>53692</v>
      </c>
      <c r="AE272" s="25" t="n">
        <f aca="false">DATE(AE271+1,1,1)-1</f>
        <v>54057</v>
      </c>
      <c r="AF272" s="25" t="n">
        <f aca="false">DATE(AF271+1,1,1)-1</f>
        <v>54423</v>
      </c>
      <c r="AG272" s="25" t="n">
        <f aca="false">DATE(AG271+1,1,1)-1</f>
        <v>54788</v>
      </c>
      <c r="AH272" s="25" t="n">
        <f aca="false">DATE(AH271+1,1,1)-1</f>
        <v>55153</v>
      </c>
      <c r="AI272" s="25" t="n">
        <f aca="false">DATE(AI271+1,1,1)-1</f>
        <v>55518</v>
      </c>
      <c r="AJ272" s="25" t="n">
        <f aca="false">DATE(AJ271+1,1,1)-1</f>
        <v>55884</v>
      </c>
      <c r="AK272" s="25" t="n">
        <f aca="false">DATE(AK271+1,1,1)-1</f>
        <v>56249</v>
      </c>
      <c r="AL272" s="25" t="n">
        <f aca="false">DATE(AL271+1,1,1)-1</f>
        <v>56614</v>
      </c>
      <c r="AM272" s="25" t="n">
        <f aca="false">DATE(AM271+1,1,1)-1</f>
        <v>56979</v>
      </c>
      <c r="AN272" s="25" t="n">
        <f aca="false">DATE(AN271+1,1,1)-1</f>
        <v>57345</v>
      </c>
      <c r="AO272" s="25" t="n">
        <f aca="false">DATE(AO271+1,1,1)-1</f>
        <v>57710</v>
      </c>
      <c r="AP272" s="25" t="n">
        <f aca="false">DATE(AP271+1,1,1)-1</f>
        <v>58075</v>
      </c>
      <c r="AQ272" s="25" t="n">
        <f aca="false">DATE(AQ271+1,1,1)-1</f>
        <v>58440</v>
      </c>
      <c r="AR272" s="25" t="n">
        <f aca="false">DATE(AR271+1,1,1)-1</f>
        <v>58806</v>
      </c>
      <c r="AS272" s="25" t="n">
        <f aca="false">DATE(AS271+1,1,1)-1</f>
        <v>59171</v>
      </c>
    </row>
    <row r="273" customFormat="false" ht="14.25" hidden="false" customHeight="false" outlineLevel="1" collapsed="false"/>
    <row r="274" customFormat="false" ht="14.25" hidden="false" customHeight="false" outlineLevel="1" collapsed="false">
      <c r="B274" s="4" t="s">
        <v>3</v>
      </c>
      <c r="C274" s="4" t="s">
        <v>231</v>
      </c>
      <c r="D274" s="4"/>
      <c r="E274" s="5" t="s">
        <v>232</v>
      </c>
      <c r="F274" s="5"/>
      <c r="G274" s="5"/>
      <c r="H274" s="5" t="s">
        <v>8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customFormat="false" ht="14.25" hidden="false" customHeight="false" outlineLevel="1" collapsed="false">
      <c r="C275" s="6" t="s">
        <v>233</v>
      </c>
      <c r="D275" s="2" t="s">
        <v>234</v>
      </c>
      <c r="J275" s="57" t="n">
        <f aca="false">J$271-YEAR(Inputs!$E$33)</f>
        <v>-5</v>
      </c>
      <c r="K275" s="57" t="n">
        <f aca="false">K$271-YEAR(Inputs!$E$33)</f>
        <v>-4</v>
      </c>
      <c r="L275" s="57" t="n">
        <f aca="false">L$271-YEAR(Inputs!$E$33)</f>
        <v>-3</v>
      </c>
      <c r="M275" s="57" t="n">
        <f aca="false">M$271-YEAR(Inputs!$E$33)</f>
        <v>-2</v>
      </c>
      <c r="N275" s="57" t="n">
        <f aca="false">N$271-YEAR(Inputs!$E$33)</f>
        <v>-1</v>
      </c>
      <c r="O275" s="57" t="n">
        <f aca="false">O$271-YEAR(Inputs!$E$33)</f>
        <v>0</v>
      </c>
      <c r="P275" s="57" t="n">
        <f aca="false">P$271-YEAR(Inputs!$E$33)</f>
        <v>1</v>
      </c>
      <c r="Q275" s="57" t="n">
        <f aca="false">Q$271-YEAR(Inputs!$E$33)</f>
        <v>2</v>
      </c>
      <c r="R275" s="57" t="n">
        <f aca="false">R$271-YEAR(Inputs!$E$33)</f>
        <v>3</v>
      </c>
      <c r="S275" s="57" t="n">
        <f aca="false">S$271-YEAR(Inputs!$E$33)</f>
        <v>4</v>
      </c>
      <c r="T275" s="57" t="n">
        <f aca="false">T$271-YEAR(Inputs!$E$33)</f>
        <v>5</v>
      </c>
      <c r="U275" s="57" t="n">
        <f aca="false">U$271-YEAR(Inputs!$E$33)</f>
        <v>6</v>
      </c>
      <c r="V275" s="57" t="n">
        <f aca="false">V$271-YEAR(Inputs!$E$33)</f>
        <v>7</v>
      </c>
      <c r="W275" s="57" t="n">
        <f aca="false">W$271-YEAR(Inputs!$E$33)</f>
        <v>8</v>
      </c>
      <c r="X275" s="57" t="n">
        <f aca="false">X$271-YEAR(Inputs!$E$33)</f>
        <v>9</v>
      </c>
      <c r="Y275" s="57" t="n">
        <f aca="false">Y$271-YEAR(Inputs!$E$33)</f>
        <v>10</v>
      </c>
      <c r="Z275" s="57" t="n">
        <f aca="false">Z$271-YEAR(Inputs!$E$33)</f>
        <v>11</v>
      </c>
      <c r="AA275" s="57" t="n">
        <f aca="false">AA$271-YEAR(Inputs!$E$33)</f>
        <v>12</v>
      </c>
      <c r="AB275" s="57" t="n">
        <f aca="false">AB$271-YEAR(Inputs!$E$33)</f>
        <v>13</v>
      </c>
      <c r="AC275" s="57" t="n">
        <f aca="false">AC$271-YEAR(Inputs!$E$33)</f>
        <v>14</v>
      </c>
      <c r="AD275" s="57" t="n">
        <f aca="false">AD$271-YEAR(Inputs!$E$33)</f>
        <v>15</v>
      </c>
      <c r="AE275" s="57" t="n">
        <f aca="false">AE$271-YEAR(Inputs!$E$33)</f>
        <v>16</v>
      </c>
      <c r="AF275" s="57" t="n">
        <f aca="false">AF$271-YEAR(Inputs!$E$33)</f>
        <v>17</v>
      </c>
      <c r="AG275" s="57" t="n">
        <f aca="false">AG$271-YEAR(Inputs!$E$33)</f>
        <v>18</v>
      </c>
      <c r="AH275" s="57" t="n">
        <f aca="false">AH$271-YEAR(Inputs!$E$33)</f>
        <v>19</v>
      </c>
      <c r="AI275" s="57" t="n">
        <f aca="false">AI$271-YEAR(Inputs!$E$33)</f>
        <v>20</v>
      </c>
      <c r="AJ275" s="57" t="n">
        <f aca="false">AJ$271-YEAR(Inputs!$E$33)</f>
        <v>21</v>
      </c>
      <c r="AK275" s="57" t="n">
        <f aca="false">AK$271-YEAR(Inputs!$E$33)</f>
        <v>22</v>
      </c>
      <c r="AL275" s="57" t="n">
        <f aca="false">AL$271-YEAR(Inputs!$E$33)</f>
        <v>23</v>
      </c>
      <c r="AM275" s="57" t="n">
        <f aca="false">AM$271-YEAR(Inputs!$E$33)</f>
        <v>24</v>
      </c>
      <c r="AN275" s="57" t="n">
        <f aca="false">AN$271-YEAR(Inputs!$E$33)</f>
        <v>25</v>
      </c>
      <c r="AO275" s="57" t="n">
        <f aca="false">AO$271-YEAR(Inputs!$E$33)</f>
        <v>26</v>
      </c>
      <c r="AP275" s="57" t="n">
        <f aca="false">AP$271-YEAR(Inputs!$E$33)</f>
        <v>27</v>
      </c>
      <c r="AQ275" s="57" t="n">
        <f aca="false">AQ$271-YEAR(Inputs!$E$33)</f>
        <v>28</v>
      </c>
      <c r="AR275" s="57" t="n">
        <f aca="false">AR$271-YEAR(Inputs!$E$33)</f>
        <v>29</v>
      </c>
      <c r="AS275" s="57" t="n">
        <f aca="false">AS$271-YEAR(Inputs!$E$33)</f>
        <v>30</v>
      </c>
    </row>
    <row r="276" customFormat="false" ht="14.25" hidden="false" customHeight="false" outlineLevel="1" collapsed="false">
      <c r="C276" s="6" t="s">
        <v>235</v>
      </c>
      <c r="D276" s="2" t="s">
        <v>236</v>
      </c>
      <c r="E276" s="57" t="n">
        <f aca="false">DATEDIF(Inputs!$E$32,Inputs!$E$33,"m")</f>
        <v>24</v>
      </c>
      <c r="J276" s="57" t="n">
        <f aca="false">(J$271+1-YEAR(Inputs!$E$32))*Months_In_Year-MONTH(Inputs!$E$32)</f>
        <v>-30</v>
      </c>
      <c r="K276" s="57" t="n">
        <f aca="false">(K$271+1-YEAR(Inputs!$E$32))*Months_In_Year-MONTH(Inputs!$E$32)</f>
        <v>-18</v>
      </c>
      <c r="L276" s="57" t="n">
        <f aca="false">(L$271+1-YEAR(Inputs!$E$32))*Months_In_Year-MONTH(Inputs!$E$32)</f>
        <v>-6</v>
      </c>
      <c r="M276" s="57" t="n">
        <f aca="false">(M$271+1-YEAR(Inputs!$E$32))*Months_In_Year-MONTH(Inputs!$E$32)</f>
        <v>6</v>
      </c>
      <c r="N276" s="57" t="n">
        <f aca="false">(N$271+1-YEAR(Inputs!$E$32))*Months_In_Year-MONTH(Inputs!$E$32)</f>
        <v>18</v>
      </c>
      <c r="O276" s="57" t="n">
        <f aca="false">(O$271+1-YEAR(Inputs!$E$32))*Months_In_Year-MONTH(Inputs!$E$32)</f>
        <v>30</v>
      </c>
      <c r="P276" s="57" t="n">
        <f aca="false">(P$271+1-YEAR(Inputs!$E$32))*Months_In_Year-MONTH(Inputs!$E$32)</f>
        <v>42</v>
      </c>
      <c r="Q276" s="57" t="n">
        <f aca="false">(Q$271+1-YEAR(Inputs!$E$32))*Months_In_Year-MONTH(Inputs!$E$32)</f>
        <v>54</v>
      </c>
      <c r="R276" s="57" t="n">
        <f aca="false">(R$271+1-YEAR(Inputs!$E$32))*Months_In_Year-MONTH(Inputs!$E$32)</f>
        <v>66</v>
      </c>
      <c r="S276" s="57" t="n">
        <f aca="false">(S$271+1-YEAR(Inputs!$E$32))*Months_In_Year-MONTH(Inputs!$E$32)</f>
        <v>78</v>
      </c>
      <c r="T276" s="57" t="n">
        <f aca="false">(T$271+1-YEAR(Inputs!$E$32))*Months_In_Year-MONTH(Inputs!$E$32)</f>
        <v>90</v>
      </c>
      <c r="U276" s="57" t="n">
        <f aca="false">(U$271+1-YEAR(Inputs!$E$32))*Months_In_Year-MONTH(Inputs!$E$32)</f>
        <v>102</v>
      </c>
      <c r="V276" s="57" t="n">
        <f aca="false">(V$271+1-YEAR(Inputs!$E$32))*Months_In_Year-MONTH(Inputs!$E$32)</f>
        <v>114</v>
      </c>
      <c r="W276" s="57" t="n">
        <f aca="false">(W$271+1-YEAR(Inputs!$E$32))*Months_In_Year-MONTH(Inputs!$E$32)</f>
        <v>126</v>
      </c>
      <c r="X276" s="57" t="n">
        <f aca="false">(X$271+1-YEAR(Inputs!$E$32))*Months_In_Year-MONTH(Inputs!$E$32)</f>
        <v>138</v>
      </c>
      <c r="Y276" s="57" t="n">
        <f aca="false">(Y$271+1-YEAR(Inputs!$E$32))*Months_In_Year-MONTH(Inputs!$E$32)</f>
        <v>150</v>
      </c>
      <c r="Z276" s="57" t="n">
        <f aca="false">(Z$271+1-YEAR(Inputs!$E$32))*Months_In_Year-MONTH(Inputs!$E$32)</f>
        <v>162</v>
      </c>
      <c r="AA276" s="57" t="n">
        <f aca="false">(AA$271+1-YEAR(Inputs!$E$32))*Months_In_Year-MONTH(Inputs!$E$32)</f>
        <v>174</v>
      </c>
      <c r="AB276" s="57" t="n">
        <f aca="false">(AB$271+1-YEAR(Inputs!$E$32))*Months_In_Year-MONTH(Inputs!$E$32)</f>
        <v>186</v>
      </c>
      <c r="AC276" s="57" t="n">
        <f aca="false">(AC$271+1-YEAR(Inputs!$E$32))*Months_In_Year-MONTH(Inputs!$E$32)</f>
        <v>198</v>
      </c>
      <c r="AD276" s="57" t="n">
        <f aca="false">(AD$271+1-YEAR(Inputs!$E$32))*Months_In_Year-MONTH(Inputs!$E$32)</f>
        <v>210</v>
      </c>
      <c r="AE276" s="57" t="n">
        <f aca="false">(AE$271+1-YEAR(Inputs!$E$32))*Months_In_Year-MONTH(Inputs!$E$32)</f>
        <v>222</v>
      </c>
      <c r="AF276" s="57" t="n">
        <f aca="false">(AF$271+1-YEAR(Inputs!$E$32))*Months_In_Year-MONTH(Inputs!$E$32)</f>
        <v>234</v>
      </c>
      <c r="AG276" s="57" t="n">
        <f aca="false">(AG$271+1-YEAR(Inputs!$E$32))*Months_In_Year-MONTH(Inputs!$E$32)</f>
        <v>246</v>
      </c>
      <c r="AH276" s="57" t="n">
        <f aca="false">(AH$271+1-YEAR(Inputs!$E$32))*Months_In_Year-MONTH(Inputs!$E$32)</f>
        <v>258</v>
      </c>
      <c r="AI276" s="57" t="n">
        <f aca="false">(AI$271+1-YEAR(Inputs!$E$32))*Months_In_Year-MONTH(Inputs!$E$32)</f>
        <v>270</v>
      </c>
      <c r="AJ276" s="57" t="n">
        <f aca="false">(AJ$271+1-YEAR(Inputs!$E$32))*Months_In_Year-MONTH(Inputs!$E$32)</f>
        <v>282</v>
      </c>
      <c r="AK276" s="57" t="n">
        <f aca="false">(AK$271+1-YEAR(Inputs!$E$32))*Months_In_Year-MONTH(Inputs!$E$32)</f>
        <v>294</v>
      </c>
      <c r="AL276" s="57" t="n">
        <f aca="false">(AL$271+1-YEAR(Inputs!$E$32))*Months_In_Year-MONTH(Inputs!$E$32)</f>
        <v>306</v>
      </c>
      <c r="AM276" s="57" t="n">
        <f aca="false">(AM$271+1-YEAR(Inputs!$E$32))*Months_In_Year-MONTH(Inputs!$E$32)</f>
        <v>318</v>
      </c>
      <c r="AN276" s="57" t="n">
        <f aca="false">(AN$271+1-YEAR(Inputs!$E$32))*Months_In_Year-MONTH(Inputs!$E$32)</f>
        <v>330</v>
      </c>
      <c r="AO276" s="57" t="n">
        <f aca="false">(AO$271+1-YEAR(Inputs!$E$32))*Months_In_Year-MONTH(Inputs!$E$32)</f>
        <v>342</v>
      </c>
      <c r="AP276" s="57" t="n">
        <f aca="false">(AP$271+1-YEAR(Inputs!$E$32))*Months_In_Year-MONTH(Inputs!$E$32)</f>
        <v>354</v>
      </c>
      <c r="AQ276" s="57" t="n">
        <f aca="false">(AQ$271+1-YEAR(Inputs!$E$32))*Months_In_Year-MONTH(Inputs!$E$32)</f>
        <v>366</v>
      </c>
      <c r="AR276" s="57" t="n">
        <f aca="false">(AR$271+1-YEAR(Inputs!$E$32))*Months_In_Year-MONTH(Inputs!$E$32)</f>
        <v>378</v>
      </c>
      <c r="AS276" s="57" t="n">
        <f aca="false">(AS$271+1-YEAR(Inputs!$E$32))*Months_In_Year-MONTH(Inputs!$E$32)</f>
        <v>390</v>
      </c>
    </row>
    <row r="277" customFormat="false" ht="14.25" hidden="false" customHeight="false" outlineLevel="1" collapsed="false">
      <c r="C277" s="6" t="s">
        <v>237</v>
      </c>
      <c r="D277" s="2" t="s">
        <v>12</v>
      </c>
      <c r="H277" s="64" t="n">
        <f aca="false">SUM(J277:AS277)</f>
        <v>1</v>
      </c>
      <c r="J277" s="50" t="n">
        <f aca="false">MAX(0,MIN(J276,$E276)-MAX(J276-Months_In_Year,0))/$E276</f>
        <v>0</v>
      </c>
      <c r="K277" s="50" t="n">
        <f aca="false">MAX(0,MIN(K276,$E276)-MAX(K276-Months_In_Year,0))/$E276</f>
        <v>0</v>
      </c>
      <c r="L277" s="50" t="n">
        <f aca="false">MAX(0,MIN(L276,$E276)-MAX(L276-Months_In_Year,0))/$E276</f>
        <v>0</v>
      </c>
      <c r="M277" s="50" t="n">
        <f aca="false">MAX(0,MIN(M276,$E276)-MAX(M276-Months_In_Year,0))/$E276</f>
        <v>0.25</v>
      </c>
      <c r="N277" s="50" t="n">
        <f aca="false">MAX(0,MIN(N276,$E276)-MAX(N276-Months_In_Year,0))/$E276</f>
        <v>0.5</v>
      </c>
      <c r="O277" s="50" t="n">
        <f aca="false">MAX(0,MIN(O276,$E276)-MAX(O276-Months_In_Year,0))/$E276</f>
        <v>0.25</v>
      </c>
      <c r="P277" s="50" t="n">
        <f aca="false">MAX(0,MIN(P276,$E276)-MAX(P276-Months_In_Year,0))/$E276</f>
        <v>0</v>
      </c>
      <c r="Q277" s="50" t="n">
        <f aca="false">MAX(0,MIN(Q276,$E276)-MAX(Q276-Months_In_Year,0))/$E276</f>
        <v>0</v>
      </c>
      <c r="R277" s="50" t="n">
        <f aca="false">MAX(0,MIN(R276,$E276)-MAX(R276-Months_In_Year,0))/$E276</f>
        <v>0</v>
      </c>
      <c r="S277" s="50" t="n">
        <f aca="false">MAX(0,MIN(S276,$E276)-MAX(S276-Months_In_Year,0))/$E276</f>
        <v>0</v>
      </c>
      <c r="T277" s="50" t="n">
        <f aca="false">MAX(0,MIN(T276,$E276)-MAX(T276-Months_In_Year,0))/$E276</f>
        <v>0</v>
      </c>
      <c r="U277" s="50" t="n">
        <f aca="false">MAX(0,MIN(U276,$E276)-MAX(U276-Months_In_Year,0))/$E276</f>
        <v>0</v>
      </c>
      <c r="V277" s="50" t="n">
        <f aca="false">MAX(0,MIN(V276,$E276)-MAX(V276-Months_In_Year,0))/$E276</f>
        <v>0</v>
      </c>
      <c r="W277" s="50" t="n">
        <f aca="false">MAX(0,MIN(W276,$E276)-MAX(W276-Months_In_Year,0))/$E276</f>
        <v>0</v>
      </c>
      <c r="X277" s="50" t="n">
        <f aca="false">MAX(0,MIN(X276,$E276)-MAX(X276-Months_In_Year,0))/$E276</f>
        <v>0</v>
      </c>
      <c r="Y277" s="50" t="n">
        <f aca="false">MAX(0,MIN(Y276,$E276)-MAX(Y276-Months_In_Year,0))/$E276</f>
        <v>0</v>
      </c>
      <c r="Z277" s="50" t="n">
        <f aca="false">MAX(0,MIN(Z276,$E276)-MAX(Z276-Months_In_Year,0))/$E276</f>
        <v>0</v>
      </c>
      <c r="AA277" s="50" t="n">
        <f aca="false">MAX(0,MIN(AA276,$E276)-MAX(AA276-Months_In_Year,0))/$E276</f>
        <v>0</v>
      </c>
      <c r="AB277" s="50" t="n">
        <f aca="false">MAX(0,MIN(AB276,$E276)-MAX(AB276-Months_In_Year,0))/$E276</f>
        <v>0</v>
      </c>
      <c r="AC277" s="50" t="n">
        <f aca="false">MAX(0,MIN(AC276,$E276)-MAX(AC276-Months_In_Year,0))/$E276</f>
        <v>0</v>
      </c>
      <c r="AD277" s="50" t="n">
        <f aca="false">MAX(0,MIN(AD276,$E276)-MAX(AD276-Months_In_Year,0))/$E276</f>
        <v>0</v>
      </c>
      <c r="AE277" s="50" t="n">
        <f aca="false">MAX(0,MIN(AE276,$E276)-MAX(AE276-Months_In_Year,0))/$E276</f>
        <v>0</v>
      </c>
      <c r="AF277" s="50" t="n">
        <f aca="false">MAX(0,MIN(AF276,$E276)-MAX(AF276-Months_In_Year,0))/$E276</f>
        <v>0</v>
      </c>
      <c r="AG277" s="50" t="n">
        <f aca="false">MAX(0,MIN(AG276,$E276)-MAX(AG276-Months_In_Year,0))/$E276</f>
        <v>0</v>
      </c>
      <c r="AH277" s="50" t="n">
        <f aca="false">MAX(0,MIN(AH276,$E276)-MAX(AH276-Months_In_Year,0))/$E276</f>
        <v>0</v>
      </c>
      <c r="AI277" s="50" t="n">
        <f aca="false">MAX(0,MIN(AI276,$E276)-MAX(AI276-Months_In_Year,0))/$E276</f>
        <v>0</v>
      </c>
      <c r="AJ277" s="50" t="n">
        <f aca="false">MAX(0,MIN(AJ276,$E276)-MAX(AJ276-Months_In_Year,0))/$E276</f>
        <v>0</v>
      </c>
      <c r="AK277" s="50" t="n">
        <f aca="false">MAX(0,MIN(AK276,$E276)-MAX(AK276-Months_In_Year,0))/$E276</f>
        <v>0</v>
      </c>
      <c r="AL277" s="50" t="n">
        <f aca="false">MAX(0,MIN(AL276,$E276)-MAX(AL276-Months_In_Year,0))/$E276</f>
        <v>0</v>
      </c>
      <c r="AM277" s="50" t="n">
        <f aca="false">MAX(0,MIN(AM276,$E276)-MAX(AM276-Months_In_Year,0))/$E276</f>
        <v>0</v>
      </c>
      <c r="AN277" s="50" t="n">
        <f aca="false">MAX(0,MIN(AN276,$E276)-MAX(AN276-Months_In_Year,0))/$E276</f>
        <v>0</v>
      </c>
      <c r="AO277" s="50" t="n">
        <f aca="false">MAX(0,MIN(AO276,$E276)-MAX(AO276-Months_In_Year,0))/$E276</f>
        <v>0</v>
      </c>
      <c r="AP277" s="50" t="n">
        <f aca="false">MAX(0,MIN(AP276,$E276)-MAX(AP276-Months_In_Year,0))/$E276</f>
        <v>0</v>
      </c>
      <c r="AQ277" s="50" t="n">
        <f aca="false">MAX(0,MIN(AQ276,$E276)-MAX(AQ276-Months_In_Year,0))/$E276</f>
        <v>0</v>
      </c>
      <c r="AR277" s="50" t="n">
        <f aca="false">MAX(0,MIN(AR276,$E276)-MAX(AR276-Months_In_Year,0))/$E276</f>
        <v>0</v>
      </c>
      <c r="AS277" s="50" t="n">
        <f aca="false">MAX(0,MIN(AS276,$E276)-MAX(AS276-Months_In_Year,0))/$E276</f>
        <v>0</v>
      </c>
    </row>
    <row r="278" customFormat="false" ht="14.25" hidden="false" customHeight="false" outlineLevel="1" collapsed="false">
      <c r="C278" s="6" t="s">
        <v>238</v>
      </c>
      <c r="D278" s="2" t="s">
        <v>236</v>
      </c>
      <c r="E278" s="57" t="n">
        <f aca="false">Life*Months_In_Year</f>
        <v>360</v>
      </c>
      <c r="J278" s="57" t="n">
        <f aca="false">(J$271+1-YEAR(Inputs!$E$33))*Months_In_Year-MONTH(Inputs!$E$33)</f>
        <v>-54</v>
      </c>
      <c r="K278" s="57" t="n">
        <f aca="false">(K$271+1-YEAR(Inputs!$E$33))*Months_In_Year-MONTH(Inputs!$E$33)</f>
        <v>-42</v>
      </c>
      <c r="L278" s="57" t="n">
        <f aca="false">(L$271+1-YEAR(Inputs!$E$33))*Months_In_Year-MONTH(Inputs!$E$33)</f>
        <v>-30</v>
      </c>
      <c r="M278" s="57" t="n">
        <f aca="false">(M$271+1-YEAR(Inputs!$E$33))*Months_In_Year-MONTH(Inputs!$E$33)</f>
        <v>-18</v>
      </c>
      <c r="N278" s="57" t="n">
        <f aca="false">(N$271+1-YEAR(Inputs!$E$33))*Months_In_Year-MONTH(Inputs!$E$33)</f>
        <v>-6</v>
      </c>
      <c r="O278" s="57" t="n">
        <f aca="false">(O$271+1-YEAR(Inputs!$E$33))*Months_In_Year-MONTH(Inputs!$E$33)</f>
        <v>6</v>
      </c>
      <c r="P278" s="57" t="n">
        <f aca="false">(P$271+1-YEAR(Inputs!$E$33))*Months_In_Year-MONTH(Inputs!$E$33)</f>
        <v>18</v>
      </c>
      <c r="Q278" s="57" t="n">
        <f aca="false">(Q$271+1-YEAR(Inputs!$E$33))*Months_In_Year-MONTH(Inputs!$E$33)</f>
        <v>30</v>
      </c>
      <c r="R278" s="57" t="n">
        <f aca="false">(R$271+1-YEAR(Inputs!$E$33))*Months_In_Year-MONTH(Inputs!$E$33)</f>
        <v>42</v>
      </c>
      <c r="S278" s="57" t="n">
        <f aca="false">(S$271+1-YEAR(Inputs!$E$33))*Months_In_Year-MONTH(Inputs!$E$33)</f>
        <v>54</v>
      </c>
      <c r="T278" s="57" t="n">
        <f aca="false">(T$271+1-YEAR(Inputs!$E$33))*Months_In_Year-MONTH(Inputs!$E$33)</f>
        <v>66</v>
      </c>
      <c r="U278" s="57" t="n">
        <f aca="false">(U$271+1-YEAR(Inputs!$E$33))*Months_In_Year-MONTH(Inputs!$E$33)</f>
        <v>78</v>
      </c>
      <c r="V278" s="57" t="n">
        <f aca="false">(V$271+1-YEAR(Inputs!$E$33))*Months_In_Year-MONTH(Inputs!$E$33)</f>
        <v>90</v>
      </c>
      <c r="W278" s="57" t="n">
        <f aca="false">(W$271+1-YEAR(Inputs!$E$33))*Months_In_Year-MONTH(Inputs!$E$33)</f>
        <v>102</v>
      </c>
      <c r="X278" s="57" t="n">
        <f aca="false">(X$271+1-YEAR(Inputs!$E$33))*Months_In_Year-MONTH(Inputs!$E$33)</f>
        <v>114</v>
      </c>
      <c r="Y278" s="57" t="n">
        <f aca="false">(Y$271+1-YEAR(Inputs!$E$33))*Months_In_Year-MONTH(Inputs!$E$33)</f>
        <v>126</v>
      </c>
      <c r="Z278" s="57" t="n">
        <f aca="false">(Z$271+1-YEAR(Inputs!$E$33))*Months_In_Year-MONTH(Inputs!$E$33)</f>
        <v>138</v>
      </c>
      <c r="AA278" s="57" t="n">
        <f aca="false">(AA$271+1-YEAR(Inputs!$E$33))*Months_In_Year-MONTH(Inputs!$E$33)</f>
        <v>150</v>
      </c>
      <c r="AB278" s="57" t="n">
        <f aca="false">(AB$271+1-YEAR(Inputs!$E$33))*Months_In_Year-MONTH(Inputs!$E$33)</f>
        <v>162</v>
      </c>
      <c r="AC278" s="57" t="n">
        <f aca="false">(AC$271+1-YEAR(Inputs!$E$33))*Months_In_Year-MONTH(Inputs!$E$33)</f>
        <v>174</v>
      </c>
      <c r="AD278" s="57" t="n">
        <f aca="false">(AD$271+1-YEAR(Inputs!$E$33))*Months_In_Year-MONTH(Inputs!$E$33)</f>
        <v>186</v>
      </c>
      <c r="AE278" s="57" t="n">
        <f aca="false">(AE$271+1-YEAR(Inputs!$E$33))*Months_In_Year-MONTH(Inputs!$E$33)</f>
        <v>198</v>
      </c>
      <c r="AF278" s="57" t="n">
        <f aca="false">(AF$271+1-YEAR(Inputs!$E$33))*Months_In_Year-MONTH(Inputs!$E$33)</f>
        <v>210</v>
      </c>
      <c r="AG278" s="57" t="n">
        <f aca="false">(AG$271+1-YEAR(Inputs!$E$33))*Months_In_Year-MONTH(Inputs!$E$33)</f>
        <v>222</v>
      </c>
      <c r="AH278" s="57" t="n">
        <f aca="false">(AH$271+1-YEAR(Inputs!$E$33))*Months_In_Year-MONTH(Inputs!$E$33)</f>
        <v>234</v>
      </c>
      <c r="AI278" s="57" t="n">
        <f aca="false">(AI$271+1-YEAR(Inputs!$E$33))*Months_In_Year-MONTH(Inputs!$E$33)</f>
        <v>246</v>
      </c>
      <c r="AJ278" s="57" t="n">
        <f aca="false">(AJ$271+1-YEAR(Inputs!$E$33))*Months_In_Year-MONTH(Inputs!$E$33)</f>
        <v>258</v>
      </c>
      <c r="AK278" s="57" t="n">
        <f aca="false">(AK$271+1-YEAR(Inputs!$E$33))*Months_In_Year-MONTH(Inputs!$E$33)</f>
        <v>270</v>
      </c>
      <c r="AL278" s="57" t="n">
        <f aca="false">(AL$271+1-YEAR(Inputs!$E$33))*Months_In_Year-MONTH(Inputs!$E$33)</f>
        <v>282</v>
      </c>
      <c r="AM278" s="57" t="n">
        <f aca="false">(AM$271+1-YEAR(Inputs!$E$33))*Months_In_Year-MONTH(Inputs!$E$33)</f>
        <v>294</v>
      </c>
      <c r="AN278" s="57" t="n">
        <f aca="false">(AN$271+1-YEAR(Inputs!$E$33))*Months_In_Year-MONTH(Inputs!$E$33)</f>
        <v>306</v>
      </c>
      <c r="AO278" s="57" t="n">
        <f aca="false">(AO$271+1-YEAR(Inputs!$E$33))*Months_In_Year-MONTH(Inputs!$E$33)</f>
        <v>318</v>
      </c>
      <c r="AP278" s="57" t="n">
        <f aca="false">(AP$271+1-YEAR(Inputs!$E$33))*Months_In_Year-MONTH(Inputs!$E$33)</f>
        <v>330</v>
      </c>
      <c r="AQ278" s="57" t="n">
        <f aca="false">(AQ$271+1-YEAR(Inputs!$E$33))*Months_In_Year-MONTH(Inputs!$E$33)</f>
        <v>342</v>
      </c>
      <c r="AR278" s="57" t="n">
        <f aca="false">(AR$271+1-YEAR(Inputs!$E$33))*Months_In_Year-MONTH(Inputs!$E$33)</f>
        <v>354</v>
      </c>
      <c r="AS278" s="57" t="n">
        <f aca="false">(AS$271+1-YEAR(Inputs!$E$33))*Months_In_Year-MONTH(Inputs!$E$33)</f>
        <v>366</v>
      </c>
    </row>
    <row r="279" customFormat="false" ht="14.25" hidden="false" customHeight="false" outlineLevel="1" collapsed="false">
      <c r="C279" s="6" t="s">
        <v>239</v>
      </c>
      <c r="D279" s="2" t="s">
        <v>12</v>
      </c>
      <c r="H279" s="64" t="n">
        <f aca="false">SUM(J279:AS279)</f>
        <v>30</v>
      </c>
      <c r="J279" s="50" t="n">
        <f aca="false">MAX(0,MIN(J278,$E278)-MAX(J278-Months_In_Year,0))/Months_In_Year</f>
        <v>0</v>
      </c>
      <c r="K279" s="50" t="n">
        <f aca="false">MAX(0,MIN(K278,$E278)-MAX(K278-Months_In_Year,0))/Months_In_Year</f>
        <v>0</v>
      </c>
      <c r="L279" s="50" t="n">
        <f aca="false">MAX(0,MIN(L278,$E278)-MAX(L278-Months_In_Year,0))/Months_In_Year</f>
        <v>0</v>
      </c>
      <c r="M279" s="50" t="n">
        <f aca="false">MAX(0,MIN(M278,$E278)-MAX(M278-Months_In_Year,0))/Months_In_Year</f>
        <v>0</v>
      </c>
      <c r="N279" s="50" t="n">
        <f aca="false">MAX(0,MIN(N278,$E278)-MAX(N278-Months_In_Year,0))/Months_In_Year</f>
        <v>0</v>
      </c>
      <c r="O279" s="50" t="n">
        <f aca="false">MAX(0,MIN(O278,$E278)-MAX(O278-Months_In_Year,0))/Months_In_Year</f>
        <v>0.5</v>
      </c>
      <c r="P279" s="50" t="n">
        <f aca="false">MAX(0,MIN(P278,$E278)-MAX(P278-Months_In_Year,0))/Months_In_Year</f>
        <v>1</v>
      </c>
      <c r="Q279" s="50" t="n">
        <f aca="false">MAX(0,MIN(Q278,$E278)-MAX(Q278-Months_In_Year,0))/Months_In_Year</f>
        <v>1</v>
      </c>
      <c r="R279" s="50" t="n">
        <f aca="false">MAX(0,MIN(R278,$E278)-MAX(R278-Months_In_Year,0))/Months_In_Year</f>
        <v>1</v>
      </c>
      <c r="S279" s="50" t="n">
        <f aca="false">MAX(0,MIN(S278,$E278)-MAX(S278-Months_In_Year,0))/Months_In_Year</f>
        <v>1</v>
      </c>
      <c r="T279" s="50" t="n">
        <f aca="false">MAX(0,MIN(T278,$E278)-MAX(T278-Months_In_Year,0))/Months_In_Year</f>
        <v>1</v>
      </c>
      <c r="U279" s="50" t="n">
        <f aca="false">MAX(0,MIN(U278,$E278)-MAX(U278-Months_In_Year,0))/Months_In_Year</f>
        <v>1</v>
      </c>
      <c r="V279" s="50" t="n">
        <f aca="false">MAX(0,MIN(V278,$E278)-MAX(V278-Months_In_Year,0))/Months_In_Year</f>
        <v>1</v>
      </c>
      <c r="W279" s="50" t="n">
        <f aca="false">MAX(0,MIN(W278,$E278)-MAX(W278-Months_In_Year,0))/Months_In_Year</f>
        <v>1</v>
      </c>
      <c r="X279" s="50" t="n">
        <f aca="false">MAX(0,MIN(X278,$E278)-MAX(X278-Months_In_Year,0))/Months_In_Year</f>
        <v>1</v>
      </c>
      <c r="Y279" s="50" t="n">
        <f aca="false">MAX(0,MIN(Y278,$E278)-MAX(Y278-Months_In_Year,0))/Months_In_Year</f>
        <v>1</v>
      </c>
      <c r="Z279" s="50" t="n">
        <f aca="false">MAX(0,MIN(Z278,$E278)-MAX(Z278-Months_In_Year,0))/Months_In_Year</f>
        <v>1</v>
      </c>
      <c r="AA279" s="50" t="n">
        <f aca="false">MAX(0,MIN(AA278,$E278)-MAX(AA278-Months_In_Year,0))/Months_In_Year</f>
        <v>1</v>
      </c>
      <c r="AB279" s="50" t="n">
        <f aca="false">MAX(0,MIN(AB278,$E278)-MAX(AB278-Months_In_Year,0))/Months_In_Year</f>
        <v>1</v>
      </c>
      <c r="AC279" s="50" t="n">
        <f aca="false">MAX(0,MIN(AC278,$E278)-MAX(AC278-Months_In_Year,0))/Months_In_Year</f>
        <v>1</v>
      </c>
      <c r="AD279" s="50" t="n">
        <f aca="false">MAX(0,MIN(AD278,$E278)-MAX(AD278-Months_In_Year,0))/Months_In_Year</f>
        <v>1</v>
      </c>
      <c r="AE279" s="50" t="n">
        <f aca="false">MAX(0,MIN(AE278,$E278)-MAX(AE278-Months_In_Year,0))/Months_In_Year</f>
        <v>1</v>
      </c>
      <c r="AF279" s="50" t="n">
        <f aca="false">MAX(0,MIN(AF278,$E278)-MAX(AF278-Months_In_Year,0))/Months_In_Year</f>
        <v>1</v>
      </c>
      <c r="AG279" s="50" t="n">
        <f aca="false">MAX(0,MIN(AG278,$E278)-MAX(AG278-Months_In_Year,0))/Months_In_Year</f>
        <v>1</v>
      </c>
      <c r="AH279" s="50" t="n">
        <f aca="false">MAX(0,MIN(AH278,$E278)-MAX(AH278-Months_In_Year,0))/Months_In_Year</f>
        <v>1</v>
      </c>
      <c r="AI279" s="50" t="n">
        <f aca="false">MAX(0,MIN(AI278,$E278)-MAX(AI278-Months_In_Year,0))/Months_In_Year</f>
        <v>1</v>
      </c>
      <c r="AJ279" s="50" t="n">
        <f aca="false">MAX(0,MIN(AJ278,$E278)-MAX(AJ278-Months_In_Year,0))/Months_In_Year</f>
        <v>1</v>
      </c>
      <c r="AK279" s="50" t="n">
        <f aca="false">MAX(0,MIN(AK278,$E278)-MAX(AK278-Months_In_Year,0))/Months_In_Year</f>
        <v>1</v>
      </c>
      <c r="AL279" s="50" t="n">
        <f aca="false">MAX(0,MIN(AL278,$E278)-MAX(AL278-Months_In_Year,0))/Months_In_Year</f>
        <v>1</v>
      </c>
      <c r="AM279" s="50" t="n">
        <f aca="false">MAX(0,MIN(AM278,$E278)-MAX(AM278-Months_In_Year,0))/Months_In_Year</f>
        <v>1</v>
      </c>
      <c r="AN279" s="50" t="n">
        <f aca="false">MAX(0,MIN(AN278,$E278)-MAX(AN278-Months_In_Year,0))/Months_In_Year</f>
        <v>1</v>
      </c>
      <c r="AO279" s="50" t="n">
        <f aca="false">MAX(0,MIN(AO278,$E278)-MAX(AO278-Months_In_Year,0))/Months_In_Year</f>
        <v>1</v>
      </c>
      <c r="AP279" s="50" t="n">
        <f aca="false">MAX(0,MIN(AP278,$E278)-MAX(AP278-Months_In_Year,0))/Months_In_Year</f>
        <v>1</v>
      </c>
      <c r="AQ279" s="50" t="n">
        <f aca="false">MAX(0,MIN(AQ278,$E278)-MAX(AQ278-Months_In_Year,0))/Months_In_Year</f>
        <v>1</v>
      </c>
      <c r="AR279" s="50" t="n">
        <f aca="false">MAX(0,MIN(AR278,$E278)-MAX(AR278-Months_In_Year,0))/Months_In_Year</f>
        <v>1</v>
      </c>
      <c r="AS279" s="50" t="n">
        <f aca="false">MAX(0,MIN(AS278,$E278)-MAX(AS278-Months_In_Year,0))/Months_In_Year</f>
        <v>0.5</v>
      </c>
    </row>
    <row r="280" customFormat="false" ht="14.25" hidden="false" customHeight="false" outlineLevel="1" collapsed="false">
      <c r="C280" s="6" t="s">
        <v>240</v>
      </c>
      <c r="D280" s="2" t="s">
        <v>2</v>
      </c>
      <c r="J280" s="65" t="n">
        <f aca="false">N(J275=0)</f>
        <v>0</v>
      </c>
      <c r="K280" s="65" t="n">
        <f aca="false">N(K275=0)</f>
        <v>0</v>
      </c>
      <c r="L280" s="65" t="n">
        <f aca="false">N(L275=0)</f>
        <v>0</v>
      </c>
      <c r="M280" s="65" t="n">
        <f aca="false">N(M275=0)</f>
        <v>0</v>
      </c>
      <c r="N280" s="65" t="n">
        <f aca="false">N(N275=0)</f>
        <v>0</v>
      </c>
      <c r="O280" s="65" t="n">
        <f aca="false">N(O275=0)</f>
        <v>1</v>
      </c>
      <c r="P280" s="65" t="n">
        <f aca="false">N(P275=0)</f>
        <v>0</v>
      </c>
      <c r="Q280" s="65" t="n">
        <f aca="false">N(Q275=0)</f>
        <v>0</v>
      </c>
      <c r="R280" s="65" t="n">
        <f aca="false">N(R275=0)</f>
        <v>0</v>
      </c>
      <c r="S280" s="65" t="n">
        <f aca="false">N(S275=0)</f>
        <v>0</v>
      </c>
      <c r="T280" s="65" t="n">
        <f aca="false">N(T275=0)</f>
        <v>0</v>
      </c>
      <c r="U280" s="65" t="n">
        <f aca="false">N(U275=0)</f>
        <v>0</v>
      </c>
      <c r="V280" s="65" t="n">
        <f aca="false">N(V275=0)</f>
        <v>0</v>
      </c>
      <c r="W280" s="65" t="n">
        <f aca="false">N(W275=0)</f>
        <v>0</v>
      </c>
      <c r="X280" s="65" t="n">
        <f aca="false">N(X275=0)</f>
        <v>0</v>
      </c>
      <c r="Y280" s="65" t="n">
        <f aca="false">N(Y275=0)</f>
        <v>0</v>
      </c>
      <c r="Z280" s="65" t="n">
        <f aca="false">N(Z275=0)</f>
        <v>0</v>
      </c>
      <c r="AA280" s="65" t="n">
        <f aca="false">N(AA275=0)</f>
        <v>0</v>
      </c>
      <c r="AB280" s="65" t="n">
        <f aca="false">N(AB275=0)</f>
        <v>0</v>
      </c>
      <c r="AC280" s="65" t="n">
        <f aca="false">N(AC275=0)</f>
        <v>0</v>
      </c>
      <c r="AD280" s="65" t="n">
        <f aca="false">N(AD275=0)</f>
        <v>0</v>
      </c>
      <c r="AE280" s="65" t="n">
        <f aca="false">N(AE275=0)</f>
        <v>0</v>
      </c>
      <c r="AF280" s="65" t="n">
        <f aca="false">N(AF275=0)</f>
        <v>0</v>
      </c>
      <c r="AG280" s="65" t="n">
        <f aca="false">N(AG275=0)</f>
        <v>0</v>
      </c>
      <c r="AH280" s="65" t="n">
        <f aca="false">N(AH275=0)</f>
        <v>0</v>
      </c>
      <c r="AI280" s="65" t="n">
        <f aca="false">N(AI275=0)</f>
        <v>0</v>
      </c>
      <c r="AJ280" s="65" t="n">
        <f aca="false">N(AJ275=0)</f>
        <v>0</v>
      </c>
      <c r="AK280" s="65" t="n">
        <f aca="false">N(AK275=0)</f>
        <v>0</v>
      </c>
      <c r="AL280" s="65" t="n">
        <f aca="false">N(AL275=0)</f>
        <v>0</v>
      </c>
      <c r="AM280" s="65" t="n">
        <f aca="false">N(AM275=0)</f>
        <v>0</v>
      </c>
      <c r="AN280" s="65" t="n">
        <f aca="false">N(AN275=0)</f>
        <v>0</v>
      </c>
      <c r="AO280" s="65" t="n">
        <f aca="false">N(AO275=0)</f>
        <v>0</v>
      </c>
      <c r="AP280" s="65" t="n">
        <f aca="false">N(AP275=0)</f>
        <v>0</v>
      </c>
      <c r="AQ280" s="65" t="n">
        <f aca="false">N(AQ275=0)</f>
        <v>0</v>
      </c>
      <c r="AR280" s="65" t="n">
        <f aca="false">N(AR275=0)</f>
        <v>0</v>
      </c>
      <c r="AS280" s="65" t="n">
        <f aca="false">N(AS275=0)</f>
        <v>0</v>
      </c>
    </row>
    <row r="281" customFormat="false" ht="14.25" hidden="false" customHeight="false" outlineLevel="1" collapsed="false">
      <c r="C281" s="6" t="s">
        <v>241</v>
      </c>
      <c r="D281" s="2" t="s">
        <v>84</v>
      </c>
      <c r="H281" s="8" t="n">
        <f aca="false">SUM(J281:AS281)</f>
        <v>-12989.2321972603</v>
      </c>
      <c r="J281" s="8" t="n">
        <f aca="false">SUMPRODUCT((YEAR($J$209:$J$216)=J$271)*$E$209:$E$216)</f>
        <v>-386.301369863014</v>
      </c>
      <c r="K281" s="8" t="n">
        <f aca="false">SUMPRODUCT((YEAR($J$209:$J$216)=K$271)*$E$209:$E$216)</f>
        <v>-2513.23712328767</v>
      </c>
      <c r="L281" s="8" t="n">
        <f aca="false">SUMPRODUCT((YEAR($J$209:$J$216)=L$271)*$E$209:$E$216)</f>
        <v>-10089.6937041096</v>
      </c>
      <c r="M281" s="8" t="n">
        <f aca="false">SUMPRODUCT((YEAR($J$209:$J$216)=M$271)*$E$209:$E$216)</f>
        <v>0</v>
      </c>
      <c r="N281" s="8" t="n">
        <f aca="false">SUMPRODUCT((YEAR($J$209:$J$216)=N$271)*$E$209:$E$216)</f>
        <v>0</v>
      </c>
      <c r="O281" s="8" t="n">
        <f aca="false">SUMPRODUCT((YEAR($J$209:$J$216)=O$271)*$E$209:$E$216)</f>
        <v>0</v>
      </c>
      <c r="P281" s="8" t="n">
        <f aca="false">SUMPRODUCT((YEAR($J$209:$J$216)=P$271)*$E$209:$E$216)</f>
        <v>0</v>
      </c>
      <c r="Q281" s="8" t="n">
        <f aca="false">SUMPRODUCT((YEAR($J$209:$J$216)=Q$271)*$E$209:$E$216)</f>
        <v>0</v>
      </c>
      <c r="R281" s="8" t="n">
        <f aca="false">SUMPRODUCT((YEAR($J$209:$J$216)=R$271)*$E$209:$E$216)</f>
        <v>0</v>
      </c>
      <c r="S281" s="8" t="n">
        <f aca="false">SUMPRODUCT((YEAR($J$209:$J$216)=S$271)*$E$209:$E$216)</f>
        <v>0</v>
      </c>
      <c r="T281" s="8" t="n">
        <f aca="false">SUMPRODUCT((YEAR($J$209:$J$216)=T$271)*$E$209:$E$216)</f>
        <v>0</v>
      </c>
      <c r="U281" s="8" t="n">
        <f aca="false">SUMPRODUCT((YEAR($J$209:$J$216)=U$271)*$E$209:$E$216)</f>
        <v>0</v>
      </c>
      <c r="V281" s="8" t="n">
        <f aca="false">SUMPRODUCT((YEAR($J$209:$J$216)=V$271)*$E$209:$E$216)</f>
        <v>0</v>
      </c>
      <c r="W281" s="8" t="n">
        <f aca="false">SUMPRODUCT((YEAR($J$209:$J$216)=W$271)*$E$209:$E$216)</f>
        <v>0</v>
      </c>
      <c r="X281" s="8" t="n">
        <f aca="false">SUMPRODUCT((YEAR($J$209:$J$216)=X$271)*$E$209:$E$216)</f>
        <v>0</v>
      </c>
      <c r="Y281" s="8" t="n">
        <f aca="false">SUMPRODUCT((YEAR($J$209:$J$216)=Y$271)*$E$209:$E$216)</f>
        <v>0</v>
      </c>
      <c r="Z281" s="8" t="n">
        <f aca="false">SUMPRODUCT((YEAR($J$209:$J$216)=Z$271)*$E$209:$E$216)</f>
        <v>0</v>
      </c>
      <c r="AA281" s="8" t="n">
        <f aca="false">SUMPRODUCT((YEAR($J$209:$J$216)=AA$271)*$E$209:$E$216)</f>
        <v>0</v>
      </c>
      <c r="AB281" s="8" t="n">
        <f aca="false">SUMPRODUCT((YEAR($J$209:$J$216)=AB$271)*$E$209:$E$216)</f>
        <v>0</v>
      </c>
      <c r="AC281" s="8" t="n">
        <f aca="false">SUMPRODUCT((YEAR($J$209:$J$216)=AC$271)*$E$209:$E$216)</f>
        <v>0</v>
      </c>
      <c r="AD281" s="8" t="n">
        <f aca="false">SUMPRODUCT((YEAR($J$209:$J$216)=AD$271)*$E$209:$E$216)</f>
        <v>0</v>
      </c>
      <c r="AE281" s="8" t="n">
        <f aca="false">SUMPRODUCT((YEAR($J$209:$J$216)=AE$271)*$E$209:$E$216)</f>
        <v>0</v>
      </c>
      <c r="AF281" s="8" t="n">
        <f aca="false">SUMPRODUCT((YEAR($J$209:$J$216)=AF$271)*$E$209:$E$216)</f>
        <v>0</v>
      </c>
      <c r="AG281" s="8" t="n">
        <f aca="false">SUMPRODUCT((YEAR($J$209:$J$216)=AG$271)*$E$209:$E$216)</f>
        <v>0</v>
      </c>
      <c r="AH281" s="8" t="n">
        <f aca="false">SUMPRODUCT((YEAR($J$209:$J$216)=AH$271)*$E$209:$E$216)</f>
        <v>0</v>
      </c>
      <c r="AI281" s="8" t="n">
        <f aca="false">SUMPRODUCT((YEAR($J$209:$J$216)=AI$271)*$E$209:$E$216)</f>
        <v>0</v>
      </c>
      <c r="AJ281" s="8" t="n">
        <f aca="false">SUMPRODUCT((YEAR($J$209:$J$216)=AJ$271)*$E$209:$E$216)</f>
        <v>0</v>
      </c>
      <c r="AK281" s="8" t="n">
        <f aca="false">SUMPRODUCT((YEAR($J$209:$J$216)=AK$271)*$E$209:$E$216)</f>
        <v>0</v>
      </c>
      <c r="AL281" s="8" t="n">
        <f aca="false">SUMPRODUCT((YEAR($J$209:$J$216)=AL$271)*$E$209:$E$216)</f>
        <v>0</v>
      </c>
      <c r="AM281" s="8" t="n">
        <f aca="false">SUMPRODUCT((YEAR($J$209:$J$216)=AM$271)*$E$209:$E$216)</f>
        <v>0</v>
      </c>
      <c r="AN281" s="8" t="n">
        <f aca="false">SUMPRODUCT((YEAR($J$209:$J$216)=AN$271)*$E$209:$E$216)</f>
        <v>0</v>
      </c>
      <c r="AO281" s="8" t="n">
        <f aca="false">SUMPRODUCT((YEAR($J$209:$J$216)=AO$271)*$E$209:$E$216)</f>
        <v>0</v>
      </c>
      <c r="AP281" s="8" t="n">
        <f aca="false">SUMPRODUCT((YEAR($J$209:$J$216)=AP$271)*$E$209:$E$216)</f>
        <v>0</v>
      </c>
      <c r="AQ281" s="8" t="n">
        <f aca="false">SUMPRODUCT((YEAR($J$209:$J$216)=AQ$271)*$E$209:$E$216)</f>
        <v>0</v>
      </c>
      <c r="AR281" s="8" t="n">
        <f aca="false">SUMPRODUCT((YEAR($J$209:$J$216)=AR$271)*$E$209:$E$216)</f>
        <v>0</v>
      </c>
      <c r="AS281" s="8" t="n">
        <f aca="false">SUMPRODUCT((YEAR($J$209:$J$216)=AS$271)*$E$209:$E$216)</f>
        <v>0</v>
      </c>
    </row>
    <row r="282" customFormat="false" ht="14.25" hidden="false" customHeight="false" outlineLevel="1" collapsed="false">
      <c r="C282" s="6" t="s">
        <v>242</v>
      </c>
      <c r="D282" s="2" t="s">
        <v>84</v>
      </c>
      <c r="H282" s="8" t="n">
        <f aca="false">SUM(J282:AS282)</f>
        <v>1390.41095890411</v>
      </c>
      <c r="J282" s="8" t="n">
        <f aca="false">($E$61+$E$62)*(J$271=YEAR(Inputs!$E$34))</f>
        <v>0</v>
      </c>
      <c r="K282" s="8" t="n">
        <f aca="false">($E$61+$E$62)*(K$271=YEAR(Inputs!$E$34))</f>
        <v>0</v>
      </c>
      <c r="L282" s="8" t="n">
        <f aca="false">($E$61+$E$62)*(L$271=YEAR(Inputs!$E$34))</f>
        <v>0</v>
      </c>
      <c r="M282" s="8" t="n">
        <f aca="false">($E$61+$E$62)*(M$271=YEAR(Inputs!$E$34))</f>
        <v>0</v>
      </c>
      <c r="N282" s="8" t="n">
        <f aca="false">($E$61+$E$62)*(N$271=YEAR(Inputs!$E$34))</f>
        <v>0</v>
      </c>
      <c r="O282" s="8" t="n">
        <f aca="false">($E$61+$E$62)*(O$271=YEAR(Inputs!$E$34))</f>
        <v>0</v>
      </c>
      <c r="P282" s="8" t="n">
        <f aca="false">($E$61+$E$62)*(P$271=YEAR(Inputs!$E$34))</f>
        <v>0</v>
      </c>
      <c r="Q282" s="8" t="n">
        <f aca="false">($E$61+$E$62)*(Q$271=YEAR(Inputs!$E$34))</f>
        <v>1390.41095890411</v>
      </c>
      <c r="R282" s="8" t="n">
        <f aca="false">($E$61+$E$62)*(R$271=YEAR(Inputs!$E$34))</f>
        <v>0</v>
      </c>
      <c r="S282" s="8" t="n">
        <f aca="false">($E$61+$E$62)*(S$271=YEAR(Inputs!$E$34))</f>
        <v>0</v>
      </c>
      <c r="T282" s="8" t="n">
        <f aca="false">($E$61+$E$62)*(T$271=YEAR(Inputs!$E$34))</f>
        <v>0</v>
      </c>
      <c r="U282" s="8" t="n">
        <f aca="false">($E$61+$E$62)*(U$271=YEAR(Inputs!$E$34))</f>
        <v>0</v>
      </c>
      <c r="V282" s="8" t="n">
        <f aca="false">($E$61+$E$62)*(V$271=YEAR(Inputs!$E$34))</f>
        <v>0</v>
      </c>
      <c r="W282" s="8" t="n">
        <f aca="false">($E$61+$E$62)*(W$271=YEAR(Inputs!$E$34))</f>
        <v>0</v>
      </c>
      <c r="X282" s="8" t="n">
        <f aca="false">($E$61+$E$62)*(X$271=YEAR(Inputs!$E$34))</f>
        <v>0</v>
      </c>
      <c r="Y282" s="8" t="n">
        <f aca="false">($E$61+$E$62)*(Y$271=YEAR(Inputs!$E$34))</f>
        <v>0</v>
      </c>
      <c r="Z282" s="8" t="n">
        <f aca="false">($E$61+$E$62)*(Z$271=YEAR(Inputs!$E$34))</f>
        <v>0</v>
      </c>
      <c r="AA282" s="8" t="n">
        <f aca="false">($E$61+$E$62)*(AA$271=YEAR(Inputs!$E$34))</f>
        <v>0</v>
      </c>
      <c r="AB282" s="8" t="n">
        <f aca="false">($E$61+$E$62)*(AB$271=YEAR(Inputs!$E$34))</f>
        <v>0</v>
      </c>
      <c r="AC282" s="8" t="n">
        <f aca="false">($E$61+$E$62)*(AC$271=YEAR(Inputs!$E$34))</f>
        <v>0</v>
      </c>
      <c r="AD282" s="8" t="n">
        <f aca="false">($E$61+$E$62)*(AD$271=YEAR(Inputs!$E$34))</f>
        <v>0</v>
      </c>
      <c r="AE282" s="8" t="n">
        <f aca="false">($E$61+$E$62)*(AE$271=YEAR(Inputs!$E$34))</f>
        <v>0</v>
      </c>
      <c r="AF282" s="8" t="n">
        <f aca="false">($E$61+$E$62)*(AF$271=YEAR(Inputs!$E$34))</f>
        <v>0</v>
      </c>
      <c r="AG282" s="8" t="n">
        <f aca="false">($E$61+$E$62)*(AG$271=YEAR(Inputs!$E$34))</f>
        <v>0</v>
      </c>
      <c r="AH282" s="8" t="n">
        <f aca="false">($E$61+$E$62)*(AH$271=YEAR(Inputs!$E$34))</f>
        <v>0</v>
      </c>
      <c r="AI282" s="8" t="n">
        <f aca="false">($E$61+$E$62)*(AI$271=YEAR(Inputs!$E$34))</f>
        <v>0</v>
      </c>
      <c r="AJ282" s="8" t="n">
        <f aca="false">($E$61+$E$62)*(AJ$271=YEAR(Inputs!$E$34))</f>
        <v>0</v>
      </c>
      <c r="AK282" s="8" t="n">
        <f aca="false">($E$61+$E$62)*(AK$271=YEAR(Inputs!$E$34))</f>
        <v>0</v>
      </c>
      <c r="AL282" s="8" t="n">
        <f aca="false">($E$61+$E$62)*(AL$271=YEAR(Inputs!$E$34))</f>
        <v>0</v>
      </c>
      <c r="AM282" s="8" t="n">
        <f aca="false">($E$61+$E$62)*(AM$271=YEAR(Inputs!$E$34))</f>
        <v>0</v>
      </c>
      <c r="AN282" s="8" t="n">
        <f aca="false">($E$61+$E$62)*(AN$271=YEAR(Inputs!$E$34))</f>
        <v>0</v>
      </c>
      <c r="AO282" s="8" t="n">
        <f aca="false">($E$61+$E$62)*(AO$271=YEAR(Inputs!$E$34))</f>
        <v>0</v>
      </c>
      <c r="AP282" s="8" t="n">
        <f aca="false">($E$61+$E$62)*(AP$271=YEAR(Inputs!$E$34))</f>
        <v>0</v>
      </c>
      <c r="AQ282" s="8" t="n">
        <f aca="false">($E$61+$E$62)*(AQ$271=YEAR(Inputs!$E$34))</f>
        <v>0</v>
      </c>
      <c r="AR282" s="8" t="n">
        <f aca="false">($E$61+$E$62)*(AR$271=YEAR(Inputs!$E$34))</f>
        <v>0</v>
      </c>
      <c r="AS282" s="8" t="n">
        <f aca="false">($E$61+$E$62)*(AS$271=YEAR(Inputs!$E$34))</f>
        <v>0</v>
      </c>
    </row>
    <row r="283" customFormat="false" ht="14.25" hidden="false" customHeight="false" outlineLevel="1" collapsed="false">
      <c r="C283" s="6" t="s">
        <v>243</v>
      </c>
      <c r="D283" s="2" t="s">
        <v>84</v>
      </c>
      <c r="H283" s="8" t="n">
        <f aca="false">SUM(J283:AS283)</f>
        <v>-48037.5</v>
      </c>
      <c r="J283" s="8" t="n">
        <f aca="false">-$E$89*J277</f>
        <v>-0</v>
      </c>
      <c r="K283" s="8" t="n">
        <f aca="false">-$E$89*K277</f>
        <v>-0</v>
      </c>
      <c r="L283" s="8" t="n">
        <f aca="false">-$E$89*L277</f>
        <v>-0</v>
      </c>
      <c r="M283" s="8" t="n">
        <f aca="false">-$E$89*M277</f>
        <v>-12009.375</v>
      </c>
      <c r="N283" s="8" t="n">
        <f aca="false">-$E$89*N277</f>
        <v>-24018.75</v>
      </c>
      <c r="O283" s="8" t="n">
        <f aca="false">-$E$89*O277</f>
        <v>-12009.375</v>
      </c>
      <c r="P283" s="8" t="n">
        <f aca="false">-$E$89*P277</f>
        <v>-0</v>
      </c>
      <c r="Q283" s="8" t="n">
        <f aca="false">-$E$89*Q277</f>
        <v>-0</v>
      </c>
      <c r="R283" s="8" t="n">
        <f aca="false">-$E$89*R277</f>
        <v>-0</v>
      </c>
      <c r="S283" s="8" t="n">
        <f aca="false">-$E$89*S277</f>
        <v>-0</v>
      </c>
      <c r="T283" s="8" t="n">
        <f aca="false">-$E$89*T277</f>
        <v>-0</v>
      </c>
      <c r="U283" s="8" t="n">
        <f aca="false">-$E$89*U277</f>
        <v>-0</v>
      </c>
      <c r="V283" s="8" t="n">
        <f aca="false">-$E$89*V277</f>
        <v>-0</v>
      </c>
      <c r="W283" s="8" t="n">
        <f aca="false">-$E$89*W277</f>
        <v>-0</v>
      </c>
      <c r="X283" s="8" t="n">
        <f aca="false">-$E$89*X277</f>
        <v>-0</v>
      </c>
      <c r="Y283" s="8" t="n">
        <f aca="false">-$E$89*Y277</f>
        <v>-0</v>
      </c>
      <c r="Z283" s="8" t="n">
        <f aca="false">-$E$89*Z277</f>
        <v>-0</v>
      </c>
      <c r="AA283" s="8" t="n">
        <f aca="false">-$E$89*AA277</f>
        <v>-0</v>
      </c>
      <c r="AB283" s="8" t="n">
        <f aca="false">-$E$89*AB277</f>
        <v>-0</v>
      </c>
      <c r="AC283" s="8" t="n">
        <f aca="false">-$E$89*AC277</f>
        <v>-0</v>
      </c>
      <c r="AD283" s="8" t="n">
        <f aca="false">-$E$89*AD277</f>
        <v>-0</v>
      </c>
      <c r="AE283" s="8" t="n">
        <f aca="false">-$E$89*AE277</f>
        <v>-0</v>
      </c>
      <c r="AF283" s="8" t="n">
        <f aca="false">-$E$89*AF277</f>
        <v>-0</v>
      </c>
      <c r="AG283" s="8" t="n">
        <f aca="false">-$E$89*AG277</f>
        <v>-0</v>
      </c>
      <c r="AH283" s="8" t="n">
        <f aca="false">-$E$89*AH277</f>
        <v>-0</v>
      </c>
      <c r="AI283" s="8" t="n">
        <f aca="false">-$E$89*AI277</f>
        <v>-0</v>
      </c>
      <c r="AJ283" s="8" t="n">
        <f aca="false">-$E$89*AJ277</f>
        <v>-0</v>
      </c>
      <c r="AK283" s="8" t="n">
        <f aca="false">-$E$89*AK277</f>
        <v>-0</v>
      </c>
      <c r="AL283" s="8" t="n">
        <f aca="false">-$E$89*AL277</f>
        <v>-0</v>
      </c>
      <c r="AM283" s="8" t="n">
        <f aca="false">-$E$89*AM277</f>
        <v>-0</v>
      </c>
      <c r="AN283" s="8" t="n">
        <f aca="false">-$E$89*AN277</f>
        <v>-0</v>
      </c>
      <c r="AO283" s="8" t="n">
        <f aca="false">-$E$89*AO277</f>
        <v>-0</v>
      </c>
      <c r="AP283" s="8" t="n">
        <f aca="false">-$E$89*AP277</f>
        <v>-0</v>
      </c>
      <c r="AQ283" s="8" t="n">
        <f aca="false">-$E$89*AQ277</f>
        <v>-0</v>
      </c>
      <c r="AR283" s="8" t="n">
        <f aca="false">-$E$89*AR277</f>
        <v>-0</v>
      </c>
      <c r="AS283" s="8" t="n">
        <f aca="false">-$E$89*AS277</f>
        <v>-0</v>
      </c>
    </row>
    <row r="284" customFormat="false" ht="14.25" hidden="false" customHeight="false" outlineLevel="1" collapsed="false">
      <c r="C284" s="6" t="s">
        <v>244</v>
      </c>
      <c r="D284" s="2" t="s">
        <v>84</v>
      </c>
      <c r="H284" s="8" t="n">
        <f aca="false">SUM(J284:AS284)</f>
        <v>-1000</v>
      </c>
      <c r="J284" s="8" t="n">
        <f aca="false">-$E$91*J280</f>
        <v>-0</v>
      </c>
      <c r="K284" s="8" t="n">
        <f aca="false">-$E$91*K280</f>
        <v>-0</v>
      </c>
      <c r="L284" s="8" t="n">
        <f aca="false">-$E$91*L280</f>
        <v>-0</v>
      </c>
      <c r="M284" s="8" t="n">
        <f aca="false">-$E$91*M280</f>
        <v>-0</v>
      </c>
      <c r="N284" s="8" t="n">
        <f aca="false">-$E$91*N280</f>
        <v>-0</v>
      </c>
      <c r="O284" s="8" t="n">
        <f aca="false">-$E$91*O280</f>
        <v>-1000</v>
      </c>
      <c r="P284" s="8" t="n">
        <f aca="false">-$E$91*P280</f>
        <v>-0</v>
      </c>
      <c r="Q284" s="8" t="n">
        <f aca="false">-$E$91*Q280</f>
        <v>-0</v>
      </c>
      <c r="R284" s="8" t="n">
        <f aca="false">-$E$91*R280</f>
        <v>-0</v>
      </c>
      <c r="S284" s="8" t="n">
        <f aca="false">-$E$91*S280</f>
        <v>-0</v>
      </c>
      <c r="T284" s="8" t="n">
        <f aca="false">-$E$91*T280</f>
        <v>-0</v>
      </c>
      <c r="U284" s="8" t="n">
        <f aca="false">-$E$91*U280</f>
        <v>-0</v>
      </c>
      <c r="V284" s="8" t="n">
        <f aca="false">-$E$91*V280</f>
        <v>-0</v>
      </c>
      <c r="W284" s="8" t="n">
        <f aca="false">-$E$91*W280</f>
        <v>-0</v>
      </c>
      <c r="X284" s="8" t="n">
        <f aca="false">-$E$91*X280</f>
        <v>-0</v>
      </c>
      <c r="Y284" s="8" t="n">
        <f aca="false">-$E$91*Y280</f>
        <v>-0</v>
      </c>
      <c r="Z284" s="8" t="n">
        <f aca="false">-$E$91*Z280</f>
        <v>-0</v>
      </c>
      <c r="AA284" s="8" t="n">
        <f aca="false">-$E$91*AA280</f>
        <v>-0</v>
      </c>
      <c r="AB284" s="8" t="n">
        <f aca="false">-$E$91*AB280</f>
        <v>-0</v>
      </c>
      <c r="AC284" s="8" t="n">
        <f aca="false">-$E$91*AC280</f>
        <v>-0</v>
      </c>
      <c r="AD284" s="8" t="n">
        <f aca="false">-$E$91*AD280</f>
        <v>-0</v>
      </c>
      <c r="AE284" s="8" t="n">
        <f aca="false">-$E$91*AE280</f>
        <v>-0</v>
      </c>
      <c r="AF284" s="8" t="n">
        <f aca="false">-$E$91*AF280</f>
        <v>-0</v>
      </c>
      <c r="AG284" s="8" t="n">
        <f aca="false">-$E$91*AG280</f>
        <v>-0</v>
      </c>
      <c r="AH284" s="8" t="n">
        <f aca="false">-$E$91*AH280</f>
        <v>-0</v>
      </c>
      <c r="AI284" s="8" t="n">
        <f aca="false">-$E$91*AI280</f>
        <v>-0</v>
      </c>
      <c r="AJ284" s="8" t="n">
        <f aca="false">-$E$91*AJ280</f>
        <v>-0</v>
      </c>
      <c r="AK284" s="8" t="n">
        <f aca="false">-$E$91*AK280</f>
        <v>-0</v>
      </c>
      <c r="AL284" s="8" t="n">
        <f aca="false">-$E$91*AL280</f>
        <v>-0</v>
      </c>
      <c r="AM284" s="8" t="n">
        <f aca="false">-$E$91*AM280</f>
        <v>-0</v>
      </c>
      <c r="AN284" s="8" t="n">
        <f aca="false">-$E$91*AN280</f>
        <v>-0</v>
      </c>
      <c r="AO284" s="8" t="n">
        <f aca="false">-$E$91*AO280</f>
        <v>-0</v>
      </c>
      <c r="AP284" s="8" t="n">
        <f aca="false">-$E$91*AP280</f>
        <v>-0</v>
      </c>
      <c r="AQ284" s="8" t="n">
        <f aca="false">-$E$91*AQ280</f>
        <v>-0</v>
      </c>
      <c r="AR284" s="8" t="n">
        <f aca="false">-$E$91*AR280</f>
        <v>-0</v>
      </c>
      <c r="AS284" s="8" t="n">
        <f aca="false">-$E$91*AS280</f>
        <v>-0</v>
      </c>
    </row>
    <row r="285" customFormat="false" ht="14.25" hidden="false" customHeight="false" outlineLevel="1" collapsed="false">
      <c r="C285" s="1" t="s">
        <v>245</v>
      </c>
      <c r="D285" s="2" t="s">
        <v>84</v>
      </c>
      <c r="H285" s="15" t="n">
        <f aca="false">SUM(J285:AS285)</f>
        <v>-60636.3212383562</v>
      </c>
      <c r="J285" s="15" t="n">
        <f aca="false">SUM(J281:J284)</f>
        <v>-386.301369863014</v>
      </c>
      <c r="K285" s="59" t="n">
        <f aca="false">SUM(K281:K284)</f>
        <v>-2513.23712328767</v>
      </c>
      <c r="L285" s="15" t="n">
        <f aca="false">SUM(L281:L284)</f>
        <v>-10089.6937041096</v>
      </c>
      <c r="M285" s="15" t="n">
        <f aca="false">SUM(M281:M284)</f>
        <v>-12009.375</v>
      </c>
      <c r="N285" s="15" t="n">
        <f aca="false">SUM(N281:N284)</f>
        <v>-24018.75</v>
      </c>
      <c r="O285" s="15" t="n">
        <f aca="false">SUM(O281:O284)</f>
        <v>-13009.375</v>
      </c>
      <c r="P285" s="15" t="n">
        <f aca="false">SUM(P281:P284)</f>
        <v>0</v>
      </c>
      <c r="Q285" s="15" t="n">
        <f aca="false">SUM(Q281:Q284)</f>
        <v>1390.41095890411</v>
      </c>
      <c r="R285" s="15" t="n">
        <f aca="false">SUM(R281:R284)</f>
        <v>0</v>
      </c>
      <c r="S285" s="15" t="n">
        <f aca="false">SUM(S281:S284)</f>
        <v>0</v>
      </c>
      <c r="T285" s="15" t="n">
        <f aca="false">SUM(T281:T284)</f>
        <v>0</v>
      </c>
      <c r="U285" s="15" t="n">
        <f aca="false">SUM(U281:U284)</f>
        <v>0</v>
      </c>
      <c r="V285" s="15" t="n">
        <f aca="false">SUM(V281:V284)</f>
        <v>0</v>
      </c>
      <c r="W285" s="15" t="n">
        <f aca="false">SUM(W281:W284)</f>
        <v>0</v>
      </c>
      <c r="X285" s="15" t="n">
        <f aca="false">SUM(X281:X284)</f>
        <v>0</v>
      </c>
      <c r="Y285" s="15" t="n">
        <f aca="false">SUM(Y281:Y284)</f>
        <v>0</v>
      </c>
      <c r="Z285" s="15" t="n">
        <f aca="false">SUM(Z281:Z284)</f>
        <v>0</v>
      </c>
      <c r="AA285" s="15" t="n">
        <f aca="false">SUM(AA281:AA284)</f>
        <v>0</v>
      </c>
      <c r="AB285" s="15" t="n">
        <f aca="false">SUM(AB281:AB284)</f>
        <v>0</v>
      </c>
      <c r="AC285" s="15" t="n">
        <f aca="false">SUM(AC281:AC284)</f>
        <v>0</v>
      </c>
      <c r="AD285" s="15" t="n">
        <f aca="false">SUM(AD281:AD284)</f>
        <v>0</v>
      </c>
      <c r="AE285" s="15" t="n">
        <f aca="false">SUM(AE281:AE284)</f>
        <v>0</v>
      </c>
      <c r="AF285" s="15" t="n">
        <f aca="false">SUM(AF281:AF284)</f>
        <v>0</v>
      </c>
      <c r="AG285" s="15" t="n">
        <f aca="false">SUM(AG281:AG284)</f>
        <v>0</v>
      </c>
      <c r="AH285" s="15" t="n">
        <f aca="false">SUM(AH281:AH284)</f>
        <v>0</v>
      </c>
      <c r="AI285" s="15" t="n">
        <f aca="false">SUM(AI281:AI284)</f>
        <v>0</v>
      </c>
      <c r="AJ285" s="15" t="n">
        <f aca="false">SUM(AJ281:AJ284)</f>
        <v>0</v>
      </c>
      <c r="AK285" s="15" t="n">
        <f aca="false">SUM(AK281:AK284)</f>
        <v>0</v>
      </c>
      <c r="AL285" s="15" t="n">
        <f aca="false">SUM(AL281:AL284)</f>
        <v>0</v>
      </c>
      <c r="AM285" s="15" t="n">
        <f aca="false">SUM(AM281:AM284)</f>
        <v>0</v>
      </c>
      <c r="AN285" s="15" t="n">
        <f aca="false">SUM(AN281:AN284)</f>
        <v>0</v>
      </c>
      <c r="AO285" s="15" t="n">
        <f aca="false">SUM(AO281:AO284)</f>
        <v>0</v>
      </c>
      <c r="AP285" s="15" t="n">
        <f aca="false">SUM(AP281:AP284)</f>
        <v>0</v>
      </c>
      <c r="AQ285" s="15" t="n">
        <f aca="false">SUM(AQ281:AQ284)</f>
        <v>0</v>
      </c>
      <c r="AR285" s="15" t="n">
        <f aca="false">SUM(AR281:AR284)</f>
        <v>0</v>
      </c>
      <c r="AS285" s="15" t="n">
        <f aca="false">SUM(AS281:AS284)</f>
        <v>0</v>
      </c>
    </row>
    <row r="286" customFormat="false" ht="14.25" hidden="false" customHeight="false" outlineLevel="1" collapsed="false">
      <c r="C286" s="6" t="s">
        <v>246</v>
      </c>
      <c r="D286" s="2" t="s">
        <v>3</v>
      </c>
      <c r="J286" s="66" t="n">
        <f aca="false">(1-Degradation)^MAX(J275-1,0)</f>
        <v>1</v>
      </c>
      <c r="K286" s="66" t="n">
        <f aca="false">(1-Degradation)^MAX(K275-1,0)</f>
        <v>1</v>
      </c>
      <c r="L286" s="66" t="n">
        <f aca="false">(1-Degradation)^MAX(L275-1,0)</f>
        <v>1</v>
      </c>
      <c r="M286" s="66" t="n">
        <f aca="false">(1-Degradation)^MAX(M275-1,0)</f>
        <v>1</v>
      </c>
      <c r="N286" s="66" t="n">
        <f aca="false">(1-Degradation)^MAX(N275-1,0)</f>
        <v>1</v>
      </c>
      <c r="O286" s="66" t="n">
        <f aca="false">(1-Degradation)^MAX(O275-1,0)</f>
        <v>1</v>
      </c>
      <c r="P286" s="66" t="n">
        <f aca="false">(1-Degradation)^MAX(P275-1,0)</f>
        <v>1</v>
      </c>
      <c r="Q286" s="66" t="n">
        <f aca="false">(1-Degradation)^MAX(Q275-1,0)</f>
        <v>0.997</v>
      </c>
      <c r="R286" s="66" t="n">
        <f aca="false">(1-Degradation)^MAX(R275-1,0)</f>
        <v>0.994009</v>
      </c>
      <c r="S286" s="66" t="n">
        <f aca="false">(1-Degradation)^MAX(S275-1,0)</f>
        <v>0.991026973</v>
      </c>
      <c r="T286" s="66" t="n">
        <f aca="false">(1-Degradation)^MAX(T275-1,0)</f>
        <v>0.988053892081</v>
      </c>
      <c r="U286" s="66" t="n">
        <f aca="false">(1-Degradation)^MAX(U275-1,0)</f>
        <v>0.985089730404757</v>
      </c>
      <c r="V286" s="66" t="n">
        <f aca="false">(1-Degradation)^MAX(V275-1,0)</f>
        <v>0.982134461213543</v>
      </c>
      <c r="W286" s="66" t="n">
        <f aca="false">(1-Degradation)^MAX(W275-1,0)</f>
        <v>0.979188057829902</v>
      </c>
      <c r="X286" s="66" t="n">
        <f aca="false">(1-Degradation)^MAX(X275-1,0)</f>
        <v>0.976250493656412</v>
      </c>
      <c r="Y286" s="66" t="n">
        <f aca="false">(1-Degradation)^MAX(Y275-1,0)</f>
        <v>0.973321742175443</v>
      </c>
      <c r="Z286" s="66" t="n">
        <f aca="false">(1-Degradation)^MAX(Z275-1,0)</f>
        <v>0.970401776948917</v>
      </c>
      <c r="AA286" s="66" t="n">
        <f aca="false">(1-Degradation)^MAX(AA275-1,0)</f>
        <v>0.96749057161807</v>
      </c>
      <c r="AB286" s="66" t="n">
        <f aca="false">(1-Degradation)^MAX(AB275-1,0)</f>
        <v>0.964588099903216</v>
      </c>
      <c r="AC286" s="66" t="n">
        <f aca="false">(1-Degradation)^MAX(AC275-1,0)</f>
        <v>0.961694335603506</v>
      </c>
      <c r="AD286" s="66" t="n">
        <f aca="false">(1-Degradation)^MAX(AD275-1,0)</f>
        <v>0.958809252596696</v>
      </c>
      <c r="AE286" s="66" t="n">
        <f aca="false">(1-Degradation)^MAX(AE275-1,0)</f>
        <v>0.955932824838906</v>
      </c>
      <c r="AF286" s="66" t="n">
        <f aca="false">(1-Degradation)^MAX(AF275-1,0)</f>
        <v>0.953065026364389</v>
      </c>
      <c r="AG286" s="66" t="n">
        <f aca="false">(1-Degradation)^MAX(AG275-1,0)</f>
        <v>0.950205831285296</v>
      </c>
      <c r="AH286" s="66" t="n">
        <f aca="false">(1-Degradation)^MAX(AH275-1,0)</f>
        <v>0.94735521379144</v>
      </c>
      <c r="AI286" s="66" t="n">
        <f aca="false">(1-Degradation)^MAX(AI275-1,0)</f>
        <v>0.944513148150066</v>
      </c>
      <c r="AJ286" s="66" t="n">
        <f aca="false">(1-Degradation)^MAX(AJ275-1,0)</f>
        <v>0.941679608705615</v>
      </c>
      <c r="AK286" s="66" t="n">
        <f aca="false">(1-Degradation)^MAX(AK275-1,0)</f>
        <v>0.938854569879498</v>
      </c>
      <c r="AL286" s="66" t="n">
        <f aca="false">(1-Degradation)^MAX(AL275-1,0)</f>
        <v>0.93603800616986</v>
      </c>
      <c r="AM286" s="66" t="n">
        <f aca="false">(1-Degradation)^MAX(AM275-1,0)</f>
        <v>0.93322989215135</v>
      </c>
      <c r="AN286" s="66" t="n">
        <f aca="false">(1-Degradation)^MAX(AN275-1,0)</f>
        <v>0.930430202474896</v>
      </c>
      <c r="AO286" s="66" t="n">
        <f aca="false">(1-Degradation)^MAX(AO275-1,0)</f>
        <v>0.927638911867472</v>
      </c>
      <c r="AP286" s="66" t="n">
        <f aca="false">(1-Degradation)^MAX(AP275-1,0)</f>
        <v>0.924855995131869</v>
      </c>
      <c r="AQ286" s="66" t="n">
        <f aca="false">(1-Degradation)^MAX(AQ275-1,0)</f>
        <v>0.922081427146474</v>
      </c>
      <c r="AR286" s="66" t="n">
        <f aca="false">(1-Degradation)^MAX(AR275-1,0)</f>
        <v>0.919315182865034</v>
      </c>
      <c r="AS286" s="66" t="n">
        <f aca="false">(1-Degradation)^MAX(AS275-1,0)</f>
        <v>0.916557237316439</v>
      </c>
    </row>
    <row r="287" customFormat="false" ht="14.25" hidden="false" customHeight="false" outlineLevel="1" collapsed="false">
      <c r="C287" s="6" t="s">
        <v>247</v>
      </c>
      <c r="D287" s="2" t="s">
        <v>248</v>
      </c>
      <c r="H287" s="17" t="n">
        <f aca="false">SUM(J287:AS287)</f>
        <v>3383.64986274979</v>
      </c>
      <c r="J287" s="17" t="n">
        <f aca="false">$E$46*$E$22*(1-Curtailment)*(1-Clipping)*J279*J286/Thousand</f>
        <v>0</v>
      </c>
      <c r="K287" s="17" t="n">
        <f aca="false">$E$46*$E$22*(1-Curtailment)*(1-Clipping)*K279*K286/Thousand</f>
        <v>0</v>
      </c>
      <c r="L287" s="17" t="n">
        <f aca="false">$E$46*$E$22*(1-Curtailment)*(1-Clipping)*L279*L286/Thousand</f>
        <v>0</v>
      </c>
      <c r="M287" s="17" t="n">
        <f aca="false">$E$46*$E$22*(1-Curtailment)*(1-Clipping)*M279*M286/Thousand</f>
        <v>0</v>
      </c>
      <c r="N287" s="17" t="n">
        <f aca="false">$E$46*$E$22*(1-Curtailment)*(1-Clipping)*N279*N286/Thousand</f>
        <v>0</v>
      </c>
      <c r="O287" s="17" t="n">
        <f aca="false">$E$46*$E$22*(1-Curtailment)*(1-Clipping)*O279*O286/Thousand</f>
        <v>58.8</v>
      </c>
      <c r="P287" s="17" t="n">
        <f aca="false">$E$46*$E$22*(1-Curtailment)*(1-Clipping)*P279*P286/Thousand</f>
        <v>117.6</v>
      </c>
      <c r="Q287" s="17" t="n">
        <f aca="false">$E$46*$E$22*(1-Curtailment)*(1-Clipping)*Q279*Q286/Thousand</f>
        <v>117.2472</v>
      </c>
      <c r="R287" s="17" t="n">
        <f aca="false">$E$46*$E$22*(1-Curtailment)*(1-Clipping)*R279*R286/Thousand</f>
        <v>116.8954584</v>
      </c>
      <c r="S287" s="17" t="n">
        <f aca="false">$E$46*$E$22*(1-Curtailment)*(1-Clipping)*S279*S286/Thousand</f>
        <v>116.5447720248</v>
      </c>
      <c r="T287" s="17" t="n">
        <f aca="false">$E$46*$E$22*(1-Curtailment)*(1-Clipping)*T279*T286/Thousand</f>
        <v>116.195137708726</v>
      </c>
      <c r="U287" s="17" t="n">
        <f aca="false">$E$46*$E$22*(1-Curtailment)*(1-Clipping)*U279*U286/Thousand</f>
        <v>115.846552295599</v>
      </c>
      <c r="V287" s="17" t="n">
        <f aca="false">$E$46*$E$22*(1-Curtailment)*(1-Clipping)*V279*V286/Thousand</f>
        <v>115.499012638713</v>
      </c>
      <c r="W287" s="17" t="n">
        <f aca="false">$E$46*$E$22*(1-Curtailment)*(1-Clipping)*W279*W286/Thousand</f>
        <v>115.152515600796</v>
      </c>
      <c r="X287" s="17" t="n">
        <f aca="false">$E$46*$E$22*(1-Curtailment)*(1-Clipping)*X279*X286/Thousand</f>
        <v>114.807058053994</v>
      </c>
      <c r="Y287" s="17" t="n">
        <f aca="false">$E$46*$E$22*(1-Curtailment)*(1-Clipping)*Y279*Y286/Thousand</f>
        <v>114.462636879832</v>
      </c>
      <c r="Z287" s="17" t="n">
        <f aca="false">$E$46*$E$22*(1-Curtailment)*(1-Clipping)*Z279*Z286/Thousand</f>
        <v>114.119248969193</v>
      </c>
      <c r="AA287" s="17" t="n">
        <f aca="false">$E$46*$E$22*(1-Curtailment)*(1-Clipping)*AA279*AA286/Thousand</f>
        <v>113.776891222285</v>
      </c>
      <c r="AB287" s="17" t="n">
        <f aca="false">$E$46*$E$22*(1-Curtailment)*(1-Clipping)*AB279*AB286/Thousand</f>
        <v>113.435560548618</v>
      </c>
      <c r="AC287" s="17" t="n">
        <f aca="false">$E$46*$E$22*(1-Curtailment)*(1-Clipping)*AC279*AC286/Thousand</f>
        <v>113.095253866972</v>
      </c>
      <c r="AD287" s="17" t="n">
        <f aca="false">$E$46*$E$22*(1-Curtailment)*(1-Clipping)*AD279*AD286/Thousand</f>
        <v>112.755968105371</v>
      </c>
      <c r="AE287" s="17" t="n">
        <f aca="false">$E$46*$E$22*(1-Curtailment)*(1-Clipping)*AE279*AE286/Thousand</f>
        <v>112.417700201055</v>
      </c>
      <c r="AF287" s="17" t="n">
        <f aca="false">$E$46*$E$22*(1-Curtailment)*(1-Clipping)*AF279*AF286/Thousand</f>
        <v>112.080447100452</v>
      </c>
      <c r="AG287" s="17" t="n">
        <f aca="false">$E$46*$E$22*(1-Curtailment)*(1-Clipping)*AG279*AG286/Thousand</f>
        <v>111.744205759151</v>
      </c>
      <c r="AH287" s="17" t="n">
        <f aca="false">$E$46*$E$22*(1-Curtailment)*(1-Clipping)*AH279*AH286/Thousand</f>
        <v>111.408973141873</v>
      </c>
      <c r="AI287" s="17" t="n">
        <f aca="false">$E$46*$E$22*(1-Curtailment)*(1-Clipping)*AI279*AI286/Thousand</f>
        <v>111.074746222448</v>
      </c>
      <c r="AJ287" s="17" t="n">
        <f aca="false">$E$46*$E$22*(1-Curtailment)*(1-Clipping)*AJ279*AJ286/Thousand</f>
        <v>110.74152198378</v>
      </c>
      <c r="AK287" s="17" t="n">
        <f aca="false">$E$46*$E$22*(1-Curtailment)*(1-Clipping)*AK279*AK286/Thousand</f>
        <v>110.409297417829</v>
      </c>
      <c r="AL287" s="17" t="n">
        <f aca="false">$E$46*$E$22*(1-Curtailment)*(1-Clipping)*AL279*AL286/Thousand</f>
        <v>110.078069525576</v>
      </c>
      <c r="AM287" s="17" t="n">
        <f aca="false">$E$46*$E$22*(1-Curtailment)*(1-Clipping)*AM279*AM286/Thousand</f>
        <v>109.747835316999</v>
      </c>
      <c r="AN287" s="17" t="n">
        <f aca="false">$E$46*$E$22*(1-Curtailment)*(1-Clipping)*AN279*AN286/Thousand</f>
        <v>109.418591811048</v>
      </c>
      <c r="AO287" s="17" t="n">
        <f aca="false">$E$46*$E$22*(1-Curtailment)*(1-Clipping)*AO279*AO286/Thousand</f>
        <v>109.090336035615</v>
      </c>
      <c r="AP287" s="17" t="n">
        <f aca="false">$E$46*$E$22*(1-Curtailment)*(1-Clipping)*AP279*AP286/Thousand</f>
        <v>108.763065027508</v>
      </c>
      <c r="AQ287" s="17" t="n">
        <f aca="false">$E$46*$E$22*(1-Curtailment)*(1-Clipping)*AQ279*AQ286/Thousand</f>
        <v>108.436775832425</v>
      </c>
      <c r="AR287" s="17" t="n">
        <f aca="false">$E$46*$E$22*(1-Curtailment)*(1-Clipping)*AR279*AR286/Thousand</f>
        <v>108.111465504928</v>
      </c>
      <c r="AS287" s="17" t="n">
        <f aca="false">$E$46*$E$22*(1-Curtailment)*(1-Clipping)*AS279*AS286/Thousand</f>
        <v>53.8935655542066</v>
      </c>
    </row>
    <row r="288" customFormat="false" ht="14.25" hidden="false" customHeight="false" outlineLevel="1" collapsed="false">
      <c r="C288" s="6" t="s">
        <v>249</v>
      </c>
      <c r="D288" s="2" t="s">
        <v>20</v>
      </c>
      <c r="J288" s="17" t="n">
        <f aca="false">Case_PPA*(1+PPA_Esc)^J275*(J279&gt;0)</f>
        <v>0</v>
      </c>
      <c r="K288" s="17" t="n">
        <f aca="false">Case_PPA*(1+PPA_Esc)^K275*(K279&gt;0)</f>
        <v>0</v>
      </c>
      <c r="L288" s="17" t="n">
        <f aca="false">Case_PPA*(1+PPA_Esc)^L275*(L279&gt;0)</f>
        <v>0</v>
      </c>
      <c r="M288" s="17" t="n">
        <f aca="false">Case_PPA*(1+PPA_Esc)^M275*(M279&gt;0)</f>
        <v>0</v>
      </c>
      <c r="N288" s="17" t="n">
        <f aca="false">Case_PPA*(1+PPA_Esc)^N275*(N279&gt;0)</f>
        <v>0</v>
      </c>
      <c r="O288" s="17" t="n">
        <f aca="false">Case_PPA*(1+PPA_Esc)^O275*(O279&gt;0)</f>
        <v>90</v>
      </c>
      <c r="P288" s="17" t="n">
        <f aca="false">Case_PPA*(1+PPA_Esc)^P275*(P279&gt;0)</f>
        <v>90.9</v>
      </c>
      <c r="Q288" s="17" t="n">
        <f aca="false">Case_PPA*(1+PPA_Esc)^Q275*(Q279&gt;0)</f>
        <v>91.809</v>
      </c>
      <c r="R288" s="17" t="n">
        <f aca="false">Case_PPA*(1+PPA_Esc)^R275*(R279&gt;0)</f>
        <v>92.72709</v>
      </c>
      <c r="S288" s="17" t="n">
        <f aca="false">Case_PPA*(1+PPA_Esc)^S275*(S279&gt;0)</f>
        <v>93.6543609</v>
      </c>
      <c r="T288" s="17" t="n">
        <f aca="false">Case_PPA*(1+PPA_Esc)^T275*(T279&gt;0)</f>
        <v>94.590904509</v>
      </c>
      <c r="U288" s="17" t="n">
        <f aca="false">Case_PPA*(1+PPA_Esc)^U275*(U279&gt;0)</f>
        <v>95.53681355409</v>
      </c>
      <c r="V288" s="17" t="n">
        <f aca="false">Case_PPA*(1+PPA_Esc)^V275*(V279&gt;0)</f>
        <v>96.4921816896309</v>
      </c>
      <c r="W288" s="17" t="n">
        <f aca="false">Case_PPA*(1+PPA_Esc)^W275*(W279&gt;0)</f>
        <v>97.4571035065272</v>
      </c>
      <c r="X288" s="17" t="n">
        <f aca="false">Case_PPA*(1+PPA_Esc)^X275*(X279&gt;0)</f>
        <v>98.4316745415925</v>
      </c>
      <c r="Y288" s="17" t="n">
        <f aca="false">Case_PPA*(1+PPA_Esc)^Y275*(Y279&gt;0)</f>
        <v>99.4159912870084</v>
      </c>
      <c r="Z288" s="17" t="n">
        <f aca="false">Case_PPA*(1+PPA_Esc)^Z275*(Z279&gt;0)</f>
        <v>100.410151199878</v>
      </c>
      <c r="AA288" s="17" t="n">
        <f aca="false">Case_PPA*(1+PPA_Esc)^AA275*(AA279&gt;0)</f>
        <v>101.414252711877</v>
      </c>
      <c r="AB288" s="17" t="n">
        <f aca="false">Case_PPA*(1+PPA_Esc)^AB275*(AB279&gt;0)</f>
        <v>102.428395238996</v>
      </c>
      <c r="AC288" s="17" t="n">
        <f aca="false">Case_PPA*(1+PPA_Esc)^AC275*(AC279&gt;0)</f>
        <v>103.452679191386</v>
      </c>
      <c r="AD288" s="17" t="n">
        <f aca="false">Case_PPA*(1+PPA_Esc)^AD275*(AD279&gt;0)</f>
        <v>104.4872059833</v>
      </c>
      <c r="AE288" s="17" t="n">
        <f aca="false">Case_PPA*(1+PPA_Esc)^AE275*(AE279&gt;0)</f>
        <v>105.532078043133</v>
      </c>
      <c r="AF288" s="17" t="n">
        <f aca="false">Case_PPA*(1+PPA_Esc)^AF275*(AF279&gt;0)</f>
        <v>106.587398823564</v>
      </c>
      <c r="AG288" s="17" t="n">
        <f aca="false">Case_PPA*(1+PPA_Esc)^AG275*(AG279&gt;0)</f>
        <v>107.6532728118</v>
      </c>
      <c r="AH288" s="17" t="n">
        <f aca="false">Case_PPA*(1+PPA_Esc)^AH275*(AH279&gt;0)</f>
        <v>108.729805539918</v>
      </c>
      <c r="AI288" s="17" t="n">
        <f aca="false">Case_PPA*(1+PPA_Esc)^AI275*(AI279&gt;0)</f>
        <v>109.817103595317</v>
      </c>
      <c r="AJ288" s="17" t="n">
        <f aca="false">Case_PPA*(1+PPA_Esc)^AJ275*(AJ279&gt;0)</f>
        <v>110.91527463127</v>
      </c>
      <c r="AK288" s="17" t="n">
        <f aca="false">Case_PPA*(1+PPA_Esc)^AK275*(AK279&gt;0)</f>
        <v>112.024427377583</v>
      </c>
      <c r="AL288" s="17" t="n">
        <f aca="false">Case_PPA*(1+PPA_Esc)^AL275*(AL279&gt;0)</f>
        <v>113.144671651359</v>
      </c>
      <c r="AM288" s="17" t="n">
        <f aca="false">Case_PPA*(1+PPA_Esc)^AM275*(AM279&gt;0)</f>
        <v>114.276118367872</v>
      </c>
      <c r="AN288" s="17" t="n">
        <f aca="false">Case_PPA*(1+PPA_Esc)^AN275*(AN279&gt;0)</f>
        <v>115.418879551551</v>
      </c>
      <c r="AO288" s="17" t="n">
        <f aca="false">Case_PPA*(1+PPA_Esc)^AO275*(AO279&gt;0)</f>
        <v>116.573068347067</v>
      </c>
      <c r="AP288" s="17" t="n">
        <f aca="false">Case_PPA*(1+PPA_Esc)^AP275*(AP279&gt;0)</f>
        <v>117.738799030537</v>
      </c>
      <c r="AQ288" s="17" t="n">
        <f aca="false">Case_PPA*(1+PPA_Esc)^AQ275*(AQ279&gt;0)</f>
        <v>118.916187020843</v>
      </c>
      <c r="AR288" s="17" t="n">
        <f aca="false">Case_PPA*(1+PPA_Esc)^AR275*(AR279&gt;0)</f>
        <v>120.105348891051</v>
      </c>
      <c r="AS288" s="17" t="n">
        <f aca="false">Case_PPA*(1+PPA_Esc)^AS275*(AS279&gt;0)</f>
        <v>121.306402379962</v>
      </c>
    </row>
    <row r="289" customFormat="false" ht="14.25" hidden="false" customHeight="false" outlineLevel="1" collapsed="false">
      <c r="C289" s="1" t="s">
        <v>153</v>
      </c>
      <c r="D289" s="2" t="s">
        <v>84</v>
      </c>
      <c r="H289" s="34" t="n">
        <f aca="false">SUM(J289:AS289)</f>
        <v>354071.972801154</v>
      </c>
      <c r="J289" s="34" t="n">
        <f aca="false">J287*J288</f>
        <v>0</v>
      </c>
      <c r="K289" s="34" t="n">
        <f aca="false">K287*K288</f>
        <v>0</v>
      </c>
      <c r="L289" s="34" t="n">
        <f aca="false">L287*L288</f>
        <v>0</v>
      </c>
      <c r="M289" s="34" t="n">
        <f aca="false">M287*M288</f>
        <v>0</v>
      </c>
      <c r="N289" s="34" t="n">
        <f aca="false">N287*N288</f>
        <v>0</v>
      </c>
      <c r="O289" s="34" t="n">
        <f aca="false">O287*O288</f>
        <v>5292</v>
      </c>
      <c r="P289" s="34" t="n">
        <f aca="false">P287*P288</f>
        <v>10689.84</v>
      </c>
      <c r="Q289" s="34" t="n">
        <f aca="false">Q287*Q288</f>
        <v>10764.3481848</v>
      </c>
      <c r="R289" s="34" t="n">
        <f aca="false">R287*R288</f>
        <v>10839.3756916481</v>
      </c>
      <c r="S289" s="34" t="n">
        <f aca="false">S287*S288</f>
        <v>10914.9261402188</v>
      </c>
      <c r="T289" s="34" t="n">
        <f aca="false">T287*T288</f>
        <v>10991.0031754162</v>
      </c>
      <c r="U289" s="34" t="n">
        <f aca="false">U287*U288</f>
        <v>11067.6104675488</v>
      </c>
      <c r="V289" s="34" t="n">
        <f aca="false">V287*V288</f>
        <v>11144.7517125076</v>
      </c>
      <c r="W289" s="34" t="n">
        <f aca="false">W287*W288</f>
        <v>11222.4306319438</v>
      </c>
      <c r="X289" s="34" t="n">
        <f aca="false">X287*X288</f>
        <v>11300.6509734485</v>
      </c>
      <c r="Y289" s="34" t="n">
        <f aca="false">Y287*Y288</f>
        <v>11379.4165107334</v>
      </c>
      <c r="Z289" s="34" t="n">
        <f aca="false">Z287*Z288</f>
        <v>11458.7310438132</v>
      </c>
      <c r="AA289" s="34" t="n">
        <f aca="false">AA287*AA288</f>
        <v>11538.5983991886</v>
      </c>
      <c r="AB289" s="34" t="n">
        <f aca="false">AB287*AB288</f>
        <v>11619.0224300309</v>
      </c>
      <c r="AC289" s="34" t="n">
        <f aca="false">AC287*AC288</f>
        <v>11700.0070163682</v>
      </c>
      <c r="AD289" s="34" t="n">
        <f aca="false">AD287*AD288</f>
        <v>11781.5560652723</v>
      </c>
      <c r="AE289" s="34" t="n">
        <f aca="false">AE287*AE288</f>
        <v>11863.6735110473</v>
      </c>
      <c r="AF289" s="34" t="n">
        <f aca="false">AF287*AF288</f>
        <v>11946.3633154193</v>
      </c>
      <c r="AG289" s="34" t="n">
        <f aca="false">AG287*AG288</f>
        <v>12029.6294677278</v>
      </c>
      <c r="AH289" s="34" t="n">
        <f aca="false">AH287*AH288</f>
        <v>12113.4759851178</v>
      </c>
      <c r="AI289" s="34" t="n">
        <f aca="false">AI287*AI288</f>
        <v>12197.9069127341</v>
      </c>
      <c r="AJ289" s="34" t="n">
        <f aca="false">AJ287*AJ288</f>
        <v>12282.9263239158</v>
      </c>
      <c r="AK289" s="34" t="n">
        <f aca="false">AK287*AK288</f>
        <v>12368.5383203935</v>
      </c>
      <c r="AL289" s="34" t="n">
        <f aca="false">AL287*AL288</f>
        <v>12454.7470324867</v>
      </c>
      <c r="AM289" s="34" t="n">
        <f aca="false">AM287*AM288</f>
        <v>12541.5566193031</v>
      </c>
      <c r="AN289" s="34" t="n">
        <f aca="false">AN287*AN288</f>
        <v>12628.9712689397</v>
      </c>
      <c r="AO289" s="34" t="n">
        <f aca="false">AO287*AO288</f>
        <v>12716.9951986842</v>
      </c>
      <c r="AP289" s="34" t="n">
        <f aca="false">AP287*AP288</f>
        <v>12805.632655219</v>
      </c>
      <c r="AQ289" s="34" t="n">
        <f aca="false">AQ287*AQ288</f>
        <v>12894.8879148259</v>
      </c>
      <c r="AR289" s="34" t="n">
        <f aca="false">AR287*AR288</f>
        <v>12984.7652835922</v>
      </c>
      <c r="AS289" s="34" t="n">
        <f aca="false">AS287*AS288</f>
        <v>6537.63454880942</v>
      </c>
    </row>
    <row r="290" customFormat="false" ht="14.25" hidden="false" customHeight="false" outlineLevel="1" collapsed="false">
      <c r="C290" s="6" t="s">
        <v>250</v>
      </c>
      <c r="D290" s="2" t="s">
        <v>3</v>
      </c>
      <c r="J290" s="66" t="n">
        <f aca="false">(1+Opex_Esc)^J275</f>
        <v>0.883854287609517</v>
      </c>
      <c r="K290" s="66" t="n">
        <f aca="false">(1+Opex_Esc)^K275</f>
        <v>0.905950644799755</v>
      </c>
      <c r="L290" s="66" t="n">
        <f aca="false">(1+Opex_Esc)^L275</f>
        <v>0.928599410919749</v>
      </c>
      <c r="M290" s="66" t="n">
        <f aca="false">(1+Opex_Esc)^M275</f>
        <v>0.951814396192743</v>
      </c>
      <c r="N290" s="66" t="n">
        <f aca="false">(1+Opex_Esc)^N275</f>
        <v>0.975609756097561</v>
      </c>
      <c r="O290" s="66" t="n">
        <f aca="false">(1+Opex_Esc)^O275</f>
        <v>1</v>
      </c>
      <c r="P290" s="66" t="n">
        <f aca="false">(1+Opex_Esc)^P275</f>
        <v>1.025</v>
      </c>
      <c r="Q290" s="66" t="n">
        <f aca="false">(1+Opex_Esc)^Q275</f>
        <v>1.050625</v>
      </c>
      <c r="R290" s="66" t="n">
        <f aca="false">(1+Opex_Esc)^R275</f>
        <v>1.076890625</v>
      </c>
      <c r="S290" s="66" t="n">
        <f aca="false">(1+Opex_Esc)^S275</f>
        <v>1.103812890625</v>
      </c>
      <c r="T290" s="66" t="n">
        <f aca="false">(1+Opex_Esc)^T275</f>
        <v>1.13140821289062</v>
      </c>
      <c r="U290" s="66" t="n">
        <f aca="false">(1+Opex_Esc)^U275</f>
        <v>1.15969341821289</v>
      </c>
      <c r="V290" s="66" t="n">
        <f aca="false">(1+Opex_Esc)^V275</f>
        <v>1.18868575366821</v>
      </c>
      <c r="W290" s="66" t="n">
        <f aca="false">(1+Opex_Esc)^W275</f>
        <v>1.21840289750992</v>
      </c>
      <c r="X290" s="66" t="n">
        <f aca="false">(1+Opex_Esc)^X275</f>
        <v>1.24886296994767</v>
      </c>
      <c r="Y290" s="66" t="n">
        <f aca="false">(1+Opex_Esc)^Y275</f>
        <v>1.28008454419636</v>
      </c>
      <c r="Z290" s="66" t="n">
        <f aca="false">(1+Opex_Esc)^Z275</f>
        <v>1.31208665780127</v>
      </c>
      <c r="AA290" s="66" t="n">
        <f aca="false">(1+Opex_Esc)^AA275</f>
        <v>1.3448888242463</v>
      </c>
      <c r="AB290" s="66" t="n">
        <f aca="false">(1+Opex_Esc)^AB275</f>
        <v>1.37851104485245</v>
      </c>
      <c r="AC290" s="66" t="n">
        <f aca="false">(1+Opex_Esc)^AC275</f>
        <v>1.41297382097377</v>
      </c>
      <c r="AD290" s="66" t="n">
        <f aca="false">(1+Opex_Esc)^AD275</f>
        <v>1.44829816649811</v>
      </c>
      <c r="AE290" s="66" t="n">
        <f aca="false">(1+Opex_Esc)^AE275</f>
        <v>1.48450562066056</v>
      </c>
      <c r="AF290" s="66" t="n">
        <f aca="false">(1+Opex_Esc)^AF275</f>
        <v>1.52161826117708</v>
      </c>
      <c r="AG290" s="66" t="n">
        <f aca="false">(1+Opex_Esc)^AG275</f>
        <v>1.5596587177065</v>
      </c>
      <c r="AH290" s="66" t="n">
        <f aca="false">(1+Opex_Esc)^AH275</f>
        <v>1.59865018564917</v>
      </c>
      <c r="AI290" s="66" t="n">
        <f aca="false">(1+Opex_Esc)^AI275</f>
        <v>1.63861644029039</v>
      </c>
      <c r="AJ290" s="66" t="n">
        <f aca="false">(1+Opex_Esc)^AJ275</f>
        <v>1.67958185129765</v>
      </c>
      <c r="AK290" s="66" t="n">
        <f aca="false">(1+Opex_Esc)^AK275</f>
        <v>1.7215713975801</v>
      </c>
      <c r="AL290" s="66" t="n">
        <f aca="false">(1+Opex_Esc)^AL275</f>
        <v>1.7646106825196</v>
      </c>
      <c r="AM290" s="66" t="n">
        <f aca="false">(1+Opex_Esc)^AM275</f>
        <v>1.80872594958259</v>
      </c>
      <c r="AN290" s="66" t="n">
        <f aca="false">(1+Opex_Esc)^AN275</f>
        <v>1.85394409832215</v>
      </c>
      <c r="AO290" s="66" t="n">
        <f aca="false">(1+Opex_Esc)^AO275</f>
        <v>1.90029270078021</v>
      </c>
      <c r="AP290" s="66" t="n">
        <f aca="false">(1+Opex_Esc)^AP275</f>
        <v>1.94780001829971</v>
      </c>
      <c r="AQ290" s="66" t="n">
        <f aca="false">(1+Opex_Esc)^AQ275</f>
        <v>1.9964950187572</v>
      </c>
      <c r="AR290" s="66" t="n">
        <f aca="false">(1+Opex_Esc)^AR275</f>
        <v>2.04640739422613</v>
      </c>
      <c r="AS290" s="66" t="n">
        <f aca="false">(1+Opex_Esc)^AS275</f>
        <v>2.09756757908179</v>
      </c>
    </row>
    <row r="291" customFormat="false" ht="14.25" hidden="false" customHeight="false" outlineLevel="1" collapsed="false">
      <c r="C291" s="6" t="s">
        <v>251</v>
      </c>
      <c r="D291" s="2" t="s">
        <v>84</v>
      </c>
      <c r="H291" s="8" t="n">
        <f aca="false">SUM(J291:AS291)</f>
        <v>-55564.3586910156</v>
      </c>
      <c r="J291" s="8" t="n">
        <f aca="false">-(Case_OM+SUM(Opex_Per_MW))*$E$46*J290*J279</f>
        <v>-0</v>
      </c>
      <c r="K291" s="8" t="n">
        <f aca="false">-(Case_OM+SUM(Opex_Per_MW))*$E$46*K290*K279</f>
        <v>-0</v>
      </c>
      <c r="L291" s="8" t="n">
        <f aca="false">-(Case_OM+SUM(Opex_Per_MW))*$E$46*L290*L279</f>
        <v>-0</v>
      </c>
      <c r="M291" s="8" t="n">
        <f aca="false">-(Case_OM+SUM(Opex_Per_MW))*$E$46*M290*M279</f>
        <v>-0</v>
      </c>
      <c r="N291" s="8" t="n">
        <f aca="false">-(Case_OM+SUM(Opex_Per_MW))*$E$46*N290*N279</f>
        <v>-0</v>
      </c>
      <c r="O291" s="8" t="n">
        <f aca="false">-(Case_OM+SUM(Opex_Per_MW))*$E$46*O290*O279</f>
        <v>-625</v>
      </c>
      <c r="P291" s="8" t="n">
        <f aca="false">-(Case_OM+SUM(Opex_Per_MW))*$E$46*P290*P279</f>
        <v>-1281.25</v>
      </c>
      <c r="Q291" s="8" t="n">
        <f aca="false">-(Case_OM+SUM(Opex_Per_MW))*$E$46*Q290*Q279</f>
        <v>-1313.28125</v>
      </c>
      <c r="R291" s="8" t="n">
        <f aca="false">-(Case_OM+SUM(Opex_Per_MW))*$E$46*R290*R279</f>
        <v>-1346.11328125</v>
      </c>
      <c r="S291" s="8" t="n">
        <f aca="false">-(Case_OM+SUM(Opex_Per_MW))*$E$46*S290*S279</f>
        <v>-1379.76611328125</v>
      </c>
      <c r="T291" s="8" t="n">
        <f aca="false">-(Case_OM+SUM(Opex_Per_MW))*$E$46*T290*T279</f>
        <v>-1414.26026611328</v>
      </c>
      <c r="U291" s="8" t="n">
        <f aca="false">-(Case_OM+SUM(Opex_Per_MW))*$E$46*U290*U279</f>
        <v>-1449.61677276611</v>
      </c>
      <c r="V291" s="8" t="n">
        <f aca="false">-(Case_OM+SUM(Opex_Per_MW))*$E$46*V290*V279</f>
        <v>-1485.85719208527</v>
      </c>
      <c r="W291" s="8" t="n">
        <f aca="false">-(Case_OM+SUM(Opex_Per_MW))*$E$46*W290*W279</f>
        <v>-1523.0036218874</v>
      </c>
      <c r="X291" s="8" t="n">
        <f aca="false">-(Case_OM+SUM(Opex_Per_MW))*$E$46*X290*X279</f>
        <v>-1561.07871243458</v>
      </c>
      <c r="Y291" s="8" t="n">
        <f aca="false">-(Case_OM+SUM(Opex_Per_MW))*$E$46*Y290*Y279</f>
        <v>-1600.10568024545</v>
      </c>
      <c r="Z291" s="8" t="n">
        <f aca="false">-(Case_OM+SUM(Opex_Per_MW))*$E$46*Z290*Z279</f>
        <v>-1640.10832225158</v>
      </c>
      <c r="AA291" s="8" t="n">
        <f aca="false">-(Case_OM+SUM(Opex_Per_MW))*$E$46*AA290*AA279</f>
        <v>-1681.11103030787</v>
      </c>
      <c r="AB291" s="8" t="n">
        <f aca="false">-(Case_OM+SUM(Opex_Per_MW))*$E$46*AB290*AB279</f>
        <v>-1723.13880606557</v>
      </c>
      <c r="AC291" s="8" t="n">
        <f aca="false">-(Case_OM+SUM(Opex_Per_MW))*$E$46*AC290*AC279</f>
        <v>-1766.21727621721</v>
      </c>
      <c r="AD291" s="8" t="n">
        <f aca="false">-(Case_OM+SUM(Opex_Per_MW))*$E$46*AD290*AD279</f>
        <v>-1810.37270812264</v>
      </c>
      <c r="AE291" s="8" t="n">
        <f aca="false">-(Case_OM+SUM(Opex_Per_MW))*$E$46*AE290*AE279</f>
        <v>-1855.6320258257</v>
      </c>
      <c r="AF291" s="8" t="n">
        <f aca="false">-(Case_OM+SUM(Opex_Per_MW))*$E$46*AF290*AF279</f>
        <v>-1902.02282647135</v>
      </c>
      <c r="AG291" s="8" t="n">
        <f aca="false">-(Case_OM+SUM(Opex_Per_MW))*$E$46*AG290*AG279</f>
        <v>-1949.57339713313</v>
      </c>
      <c r="AH291" s="8" t="n">
        <f aca="false">-(Case_OM+SUM(Opex_Per_MW))*$E$46*AH290*AH279</f>
        <v>-1998.31273206146</v>
      </c>
      <c r="AI291" s="8" t="n">
        <f aca="false">-(Case_OM+SUM(Opex_Per_MW))*$E$46*AI290*AI279</f>
        <v>-2048.27055036299</v>
      </c>
      <c r="AJ291" s="8" t="n">
        <f aca="false">-(Case_OM+SUM(Opex_Per_MW))*$E$46*AJ290*AJ279</f>
        <v>-2099.47731412207</v>
      </c>
      <c r="AK291" s="8" t="n">
        <f aca="false">-(Case_OM+SUM(Opex_Per_MW))*$E$46*AK290*AK279</f>
        <v>-2151.96424697512</v>
      </c>
      <c r="AL291" s="8" t="n">
        <f aca="false">-(Case_OM+SUM(Opex_Per_MW))*$E$46*AL290*AL279</f>
        <v>-2205.7633531495</v>
      </c>
      <c r="AM291" s="8" t="n">
        <f aca="false">-(Case_OM+SUM(Opex_Per_MW))*$E$46*AM290*AM279</f>
        <v>-2260.90743697823</v>
      </c>
      <c r="AN291" s="8" t="n">
        <f aca="false">-(Case_OM+SUM(Opex_Per_MW))*$E$46*AN290*AN279</f>
        <v>-2317.43012290269</v>
      </c>
      <c r="AO291" s="8" t="n">
        <f aca="false">-(Case_OM+SUM(Opex_Per_MW))*$E$46*AO290*AO279</f>
        <v>-2375.36587597526</v>
      </c>
      <c r="AP291" s="8" t="n">
        <f aca="false">-(Case_OM+SUM(Opex_Per_MW))*$E$46*AP290*AP279</f>
        <v>-2434.75002287464</v>
      </c>
      <c r="AQ291" s="8" t="n">
        <f aca="false">-(Case_OM+SUM(Opex_Per_MW))*$E$46*AQ290*AQ279</f>
        <v>-2495.6187734465</v>
      </c>
      <c r="AR291" s="8" t="n">
        <f aca="false">-(Case_OM+SUM(Opex_Per_MW))*$E$46*AR290*AR279</f>
        <v>-2558.00924278267</v>
      </c>
      <c r="AS291" s="8" t="n">
        <f aca="false">-(Case_OM+SUM(Opex_Per_MW))*$E$46*AS290*AS279</f>
        <v>-1310.97973692612</v>
      </c>
    </row>
    <row r="292" customFormat="false" ht="14.25" hidden="false" customHeight="false" outlineLevel="1" collapsed="false">
      <c r="C292" s="6" t="s">
        <v>252</v>
      </c>
      <c r="D292" s="2" t="s">
        <v>84</v>
      </c>
      <c r="H292" s="8" t="n">
        <f aca="false">SUM(J292:AS292)</f>
        <v>-1666.93076073047</v>
      </c>
      <c r="J292" s="8" t="n">
        <f aca="false">-Opex_Admin*$E$6/Lump_Basis*J290*J279</f>
        <v>-0</v>
      </c>
      <c r="K292" s="8" t="n">
        <f aca="false">-Opex_Admin*$E$6/Lump_Basis*K290*K279</f>
        <v>-0</v>
      </c>
      <c r="L292" s="8" t="n">
        <f aca="false">-Opex_Admin*$E$6/Lump_Basis*L290*L279</f>
        <v>-0</v>
      </c>
      <c r="M292" s="8" t="n">
        <f aca="false">-Opex_Admin*$E$6/Lump_Basis*M290*M279</f>
        <v>-0</v>
      </c>
      <c r="N292" s="8" t="n">
        <f aca="false">-Opex_Admin*$E$6/Lump_Basis*N290*N279</f>
        <v>-0</v>
      </c>
      <c r="O292" s="8" t="n">
        <f aca="false">-Opex_Admin*$E$6/Lump_Basis*O290*O279</f>
        <v>-18.75</v>
      </c>
      <c r="P292" s="8" t="n">
        <f aca="false">-Opex_Admin*$E$6/Lump_Basis*P290*P279</f>
        <v>-38.4375</v>
      </c>
      <c r="Q292" s="8" t="n">
        <f aca="false">-Opex_Admin*$E$6/Lump_Basis*Q290*Q279</f>
        <v>-39.3984375</v>
      </c>
      <c r="R292" s="8" t="n">
        <f aca="false">-Opex_Admin*$E$6/Lump_Basis*R290*R279</f>
        <v>-40.3833984375</v>
      </c>
      <c r="S292" s="8" t="n">
        <f aca="false">-Opex_Admin*$E$6/Lump_Basis*S290*S279</f>
        <v>-41.3929833984375</v>
      </c>
      <c r="T292" s="8" t="n">
        <f aca="false">-Opex_Admin*$E$6/Lump_Basis*T290*T279</f>
        <v>-42.4278079833984</v>
      </c>
      <c r="U292" s="8" t="n">
        <f aca="false">-Opex_Admin*$E$6/Lump_Basis*U290*U279</f>
        <v>-43.4885031829834</v>
      </c>
      <c r="V292" s="8" t="n">
        <f aca="false">-Opex_Admin*$E$6/Lump_Basis*V290*V279</f>
        <v>-44.575715762558</v>
      </c>
      <c r="W292" s="8" t="n">
        <f aca="false">-Opex_Admin*$E$6/Lump_Basis*W290*W279</f>
        <v>-45.6901086566219</v>
      </c>
      <c r="X292" s="8" t="n">
        <f aca="false">-Opex_Admin*$E$6/Lump_Basis*X290*X279</f>
        <v>-46.8323613730374</v>
      </c>
      <c r="Y292" s="8" t="n">
        <f aca="false">-Opex_Admin*$E$6/Lump_Basis*Y290*Y279</f>
        <v>-48.0031704073634</v>
      </c>
      <c r="Z292" s="8" t="n">
        <f aca="false">-Opex_Admin*$E$6/Lump_Basis*Z290*Z279</f>
        <v>-49.2032496675475</v>
      </c>
      <c r="AA292" s="8" t="n">
        <f aca="false">-Opex_Admin*$E$6/Lump_Basis*AA290*AA279</f>
        <v>-50.4333309092361</v>
      </c>
      <c r="AB292" s="8" t="n">
        <f aca="false">-Opex_Admin*$E$6/Lump_Basis*AB290*AB279</f>
        <v>-51.694164181967</v>
      </c>
      <c r="AC292" s="8" t="n">
        <f aca="false">-Opex_Admin*$E$6/Lump_Basis*AC290*AC279</f>
        <v>-52.9865182865162</v>
      </c>
      <c r="AD292" s="8" t="n">
        <f aca="false">-Opex_Admin*$E$6/Lump_Basis*AD290*AD279</f>
        <v>-54.3111812436791</v>
      </c>
      <c r="AE292" s="8" t="n">
        <f aca="false">-Opex_Admin*$E$6/Lump_Basis*AE290*AE279</f>
        <v>-55.6689607747711</v>
      </c>
      <c r="AF292" s="8" t="n">
        <f aca="false">-Opex_Admin*$E$6/Lump_Basis*AF290*AF279</f>
        <v>-57.0606847941404</v>
      </c>
      <c r="AG292" s="8" t="n">
        <f aca="false">-Opex_Admin*$E$6/Lump_Basis*AG290*AG279</f>
        <v>-58.4872019139939</v>
      </c>
      <c r="AH292" s="8" t="n">
        <f aca="false">-Opex_Admin*$E$6/Lump_Basis*AH290*AH279</f>
        <v>-59.9493819618437</v>
      </c>
      <c r="AI292" s="8" t="n">
        <f aca="false">-Opex_Admin*$E$6/Lump_Basis*AI290*AI279</f>
        <v>-61.4481165108898</v>
      </c>
      <c r="AJ292" s="8" t="n">
        <f aca="false">-Opex_Admin*$E$6/Lump_Basis*AJ290*AJ279</f>
        <v>-62.984319423662</v>
      </c>
      <c r="AK292" s="8" t="n">
        <f aca="false">-Opex_Admin*$E$6/Lump_Basis*AK290*AK279</f>
        <v>-64.5589274092536</v>
      </c>
      <c r="AL292" s="8" t="n">
        <f aca="false">-Opex_Admin*$E$6/Lump_Basis*AL290*AL279</f>
        <v>-66.1729005944849</v>
      </c>
      <c r="AM292" s="8" t="n">
        <f aca="false">-Opex_Admin*$E$6/Lump_Basis*AM290*AM279</f>
        <v>-67.827223109347</v>
      </c>
      <c r="AN292" s="8" t="n">
        <f aca="false">-Opex_Admin*$E$6/Lump_Basis*AN290*AN279</f>
        <v>-69.5229036870807</v>
      </c>
      <c r="AO292" s="8" t="n">
        <f aca="false">-Opex_Admin*$E$6/Lump_Basis*AO290*AO279</f>
        <v>-71.2609762792577</v>
      </c>
      <c r="AP292" s="8" t="n">
        <f aca="false">-Opex_Admin*$E$6/Lump_Basis*AP290*AP279</f>
        <v>-73.0425006862391</v>
      </c>
      <c r="AQ292" s="8" t="n">
        <f aca="false">-Opex_Admin*$E$6/Lump_Basis*AQ290*AQ279</f>
        <v>-74.8685632033951</v>
      </c>
      <c r="AR292" s="8" t="n">
        <f aca="false">-Opex_Admin*$E$6/Lump_Basis*AR290*AR279</f>
        <v>-76.74027728348</v>
      </c>
      <c r="AS292" s="8" t="n">
        <f aca="false">-Opex_Admin*$E$6/Lump_Basis*AS290*AS279</f>
        <v>-39.3293921077835</v>
      </c>
    </row>
    <row r="293" customFormat="false" ht="14.25" hidden="false" customHeight="false" outlineLevel="1" collapsed="false">
      <c r="C293" s="6" t="s">
        <v>253</v>
      </c>
      <c r="D293" s="2" t="s">
        <v>84</v>
      </c>
      <c r="H293" s="8" t="n">
        <f aca="false">SUM(J293:AS293)</f>
        <v>-24930.103069274</v>
      </c>
      <c r="J293" s="8" t="n">
        <f aca="false">-J287*(Balancing+Grid_Charges)*J290</f>
        <v>-0</v>
      </c>
      <c r="K293" s="8" t="n">
        <f aca="false">-K287*(Balancing+Grid_Charges)*K290</f>
        <v>-0</v>
      </c>
      <c r="L293" s="8" t="n">
        <f aca="false">-L287*(Balancing+Grid_Charges)*L290</f>
        <v>-0</v>
      </c>
      <c r="M293" s="8" t="n">
        <f aca="false">-M287*(Balancing+Grid_Charges)*M290</f>
        <v>-0</v>
      </c>
      <c r="N293" s="8" t="n">
        <f aca="false">-N287*(Balancing+Grid_Charges)*N290</f>
        <v>-0</v>
      </c>
      <c r="O293" s="8" t="n">
        <f aca="false">-O287*(Balancing+Grid_Charges)*O290</f>
        <v>-294</v>
      </c>
      <c r="P293" s="8" t="n">
        <f aca="false">-P287*(Balancing+Grid_Charges)*P290</f>
        <v>-602.7</v>
      </c>
      <c r="Q293" s="8" t="n">
        <f aca="false">-Q287*(Balancing+Grid_Charges)*Q290</f>
        <v>-615.9141975</v>
      </c>
      <c r="R293" s="8" t="n">
        <f aca="false">-R287*(Balancing+Grid_Charges)*R290</f>
        <v>-629.418116280187</v>
      </c>
      <c r="S293" s="8" t="n">
        <f aca="false">-S287*(Balancing+Grid_Charges)*S290</f>
        <v>-643.21810847963</v>
      </c>
      <c r="T293" s="8" t="n">
        <f aca="false">-T287*(Balancing+Grid_Charges)*T290</f>
        <v>-657.320665508046</v>
      </c>
      <c r="U293" s="8" t="n">
        <f aca="false">-U287*(Balancing+Grid_Charges)*U290</f>
        <v>-671.73242109931</v>
      </c>
      <c r="V293" s="8" t="n">
        <f aca="false">-V287*(Balancing+Grid_Charges)*V290</f>
        <v>-686.460154431913</v>
      </c>
      <c r="W293" s="8" t="n">
        <f aca="false">-W287*(Balancing+Grid_Charges)*W290</f>
        <v>-701.510793317832</v>
      </c>
      <c r="X293" s="8" t="n">
        <f aca="false">-X287*(Balancing+Grid_Charges)*X290</f>
        <v>-716.891417461325</v>
      </c>
      <c r="Y293" s="8" t="n">
        <f aca="false">-Y287*(Balancing+Grid_Charges)*Y290</f>
        <v>-732.609261789165</v>
      </c>
      <c r="Z293" s="8" t="n">
        <f aca="false">-Z287*(Balancing+Grid_Charges)*Z290</f>
        <v>-748.671719853892</v>
      </c>
      <c r="AA293" s="8" t="n">
        <f aca="false">-AA287*(Balancing+Grid_Charges)*AA290</f>
        <v>-765.086347311689</v>
      </c>
      <c r="AB293" s="8" t="n">
        <f aca="false">-AB287*(Balancing+Grid_Charges)*AB290</f>
        <v>-781.860865476497</v>
      </c>
      <c r="AC293" s="8" t="n">
        <f aca="false">-AC287*(Balancing+Grid_Charges)*AC290</f>
        <v>-799.00316495207</v>
      </c>
      <c r="AD293" s="8" t="n">
        <f aca="false">-AD287*(Balancing+Grid_Charges)*AD290</f>
        <v>-816.521309343644</v>
      </c>
      <c r="AE293" s="8" t="n">
        <f aca="false">-AE287*(Balancing+Grid_Charges)*AE290</f>
        <v>-834.423539051003</v>
      </c>
      <c r="AF293" s="8" t="n">
        <f aca="false">-AF287*(Balancing+Grid_Charges)*AF290</f>
        <v>-852.718275144696</v>
      </c>
      <c r="AG293" s="8" t="n">
        <f aca="false">-AG287*(Balancing+Grid_Charges)*AG290</f>
        <v>-871.414123327244</v>
      </c>
      <c r="AH293" s="8" t="n">
        <f aca="false">-AH287*(Balancing+Grid_Charges)*AH290</f>
        <v>-890.519877981193</v>
      </c>
      <c r="AI293" s="8" t="n">
        <f aca="false">-AI287*(Balancing+Grid_Charges)*AI290</f>
        <v>-910.044526305931</v>
      </c>
      <c r="AJ293" s="8" t="n">
        <f aca="false">-AJ287*(Balancing+Grid_Charges)*AJ290</f>
        <v>-929.997252545188</v>
      </c>
      <c r="AK293" s="8" t="n">
        <f aca="false">-AK287*(Balancing+Grid_Charges)*AK290</f>
        <v>-950.387442307242</v>
      </c>
      <c r="AL293" s="8" t="n">
        <f aca="false">-AL287*(Balancing+Grid_Charges)*AL290</f>
        <v>-971.224686979828</v>
      </c>
      <c r="AM293" s="8" t="n">
        <f aca="false">-AM287*(Balancing+Grid_Charges)*AM290</f>
        <v>-992.51878824186</v>
      </c>
      <c r="AN293" s="8" t="n">
        <f aca="false">-AN287*(Balancing+Grid_Charges)*AN290</f>
        <v>-1014.27976267406</v>
      </c>
      <c r="AO293" s="8" t="n">
        <f aca="false">-AO287*(Balancing+Grid_Charges)*AO290</f>
        <v>-1036.51784647069</v>
      </c>
      <c r="AP293" s="8" t="n">
        <f aca="false">-AP287*(Balancing+Grid_Charges)*AP290</f>
        <v>-1059.24350025456</v>
      </c>
      <c r="AQ293" s="8" t="n">
        <f aca="false">-AQ287*(Balancing+Grid_Charges)*AQ290</f>
        <v>-1082.46741399764</v>
      </c>
      <c r="AR293" s="8" t="n">
        <f aca="false">-AR287*(Balancing+Grid_Charges)*AR290</f>
        <v>-1106.20051204954</v>
      </c>
      <c r="AS293" s="8" t="n">
        <f aca="false">-AS287*(Balancing+Grid_Charges)*AS290</f>
        <v>-565.226979138113</v>
      </c>
    </row>
    <row r="294" customFormat="false" ht="14.25" hidden="false" customHeight="false" outlineLevel="1" collapsed="false">
      <c r="C294" s="6" t="s">
        <v>254</v>
      </c>
      <c r="D294" s="2" t="s">
        <v>84</v>
      </c>
      <c r="H294" s="8" t="n">
        <f aca="false">SUM(J294:AS294)</f>
        <v>-354.071972801154</v>
      </c>
      <c r="J294" s="8" t="n">
        <f aca="false">-J289*MEKH_Fee</f>
        <v>-0</v>
      </c>
      <c r="K294" s="8" t="n">
        <f aca="false">-K289*MEKH_Fee</f>
        <v>-0</v>
      </c>
      <c r="L294" s="8" t="n">
        <f aca="false">-L289*MEKH_Fee</f>
        <v>-0</v>
      </c>
      <c r="M294" s="8" t="n">
        <f aca="false">-M289*MEKH_Fee</f>
        <v>-0</v>
      </c>
      <c r="N294" s="8" t="n">
        <f aca="false">-N289*MEKH_Fee</f>
        <v>-0</v>
      </c>
      <c r="O294" s="8" t="n">
        <f aca="false">-O289*MEKH_Fee</f>
        <v>-5.292</v>
      </c>
      <c r="P294" s="8" t="n">
        <f aca="false">-P289*MEKH_Fee</f>
        <v>-10.68984</v>
      </c>
      <c r="Q294" s="8" t="n">
        <f aca="false">-Q289*MEKH_Fee</f>
        <v>-10.7643481848</v>
      </c>
      <c r="R294" s="8" t="n">
        <f aca="false">-R289*MEKH_Fee</f>
        <v>-10.8393756916481</v>
      </c>
      <c r="S294" s="8" t="n">
        <f aca="false">-S289*MEKH_Fee</f>
        <v>-10.9149261402188</v>
      </c>
      <c r="T294" s="8" t="n">
        <f aca="false">-T289*MEKH_Fee</f>
        <v>-10.9910031754162</v>
      </c>
      <c r="U294" s="8" t="n">
        <f aca="false">-U289*MEKH_Fee</f>
        <v>-11.0676104675488</v>
      </c>
      <c r="V294" s="8" t="n">
        <f aca="false">-V289*MEKH_Fee</f>
        <v>-11.1447517125076</v>
      </c>
      <c r="W294" s="8" t="n">
        <f aca="false">-W289*MEKH_Fee</f>
        <v>-11.2224306319438</v>
      </c>
      <c r="X294" s="8" t="n">
        <f aca="false">-X289*MEKH_Fee</f>
        <v>-11.3006509734485</v>
      </c>
      <c r="Y294" s="8" t="n">
        <f aca="false">-Y289*MEKH_Fee</f>
        <v>-11.3794165107334</v>
      </c>
      <c r="Z294" s="8" t="n">
        <f aca="false">-Z289*MEKH_Fee</f>
        <v>-11.4587310438132</v>
      </c>
      <c r="AA294" s="8" t="n">
        <f aca="false">-AA289*MEKH_Fee</f>
        <v>-11.5385983991886</v>
      </c>
      <c r="AB294" s="8" t="n">
        <f aca="false">-AB289*MEKH_Fee</f>
        <v>-11.6190224300309</v>
      </c>
      <c r="AC294" s="8" t="n">
        <f aca="false">-AC289*MEKH_Fee</f>
        <v>-11.7000070163682</v>
      </c>
      <c r="AD294" s="8" t="n">
        <f aca="false">-AD289*MEKH_Fee</f>
        <v>-11.7815560652723</v>
      </c>
      <c r="AE294" s="8" t="n">
        <f aca="false">-AE289*MEKH_Fee</f>
        <v>-11.8636735110473</v>
      </c>
      <c r="AF294" s="8" t="n">
        <f aca="false">-AF289*MEKH_Fee</f>
        <v>-11.9463633154193</v>
      </c>
      <c r="AG294" s="8" t="n">
        <f aca="false">-AG289*MEKH_Fee</f>
        <v>-12.0296294677278</v>
      </c>
      <c r="AH294" s="8" t="n">
        <f aca="false">-AH289*MEKH_Fee</f>
        <v>-12.1134759851178</v>
      </c>
      <c r="AI294" s="8" t="n">
        <f aca="false">-AI289*MEKH_Fee</f>
        <v>-12.1979069127341</v>
      </c>
      <c r="AJ294" s="8" t="n">
        <f aca="false">-AJ289*MEKH_Fee</f>
        <v>-12.2829263239158</v>
      </c>
      <c r="AK294" s="8" t="n">
        <f aca="false">-AK289*MEKH_Fee</f>
        <v>-12.3685383203935</v>
      </c>
      <c r="AL294" s="8" t="n">
        <f aca="false">-AL289*MEKH_Fee</f>
        <v>-12.4547470324867</v>
      </c>
      <c r="AM294" s="8" t="n">
        <f aca="false">-AM289*MEKH_Fee</f>
        <v>-12.5415566193031</v>
      </c>
      <c r="AN294" s="8" t="n">
        <f aca="false">-AN289*MEKH_Fee</f>
        <v>-12.6289712689397</v>
      </c>
      <c r="AO294" s="8" t="n">
        <f aca="false">-AO289*MEKH_Fee</f>
        <v>-12.7169951986842</v>
      </c>
      <c r="AP294" s="8" t="n">
        <f aca="false">-AP289*MEKH_Fee</f>
        <v>-12.805632655219</v>
      </c>
      <c r="AQ294" s="8" t="n">
        <f aca="false">-AQ289*MEKH_Fee</f>
        <v>-12.8948879148259</v>
      </c>
      <c r="AR294" s="8" t="n">
        <f aca="false">-AR289*MEKH_Fee</f>
        <v>-12.9847652835922</v>
      </c>
      <c r="AS294" s="8" t="n">
        <f aca="false">-AS289*MEKH_Fee</f>
        <v>-6.53763454880942</v>
      </c>
    </row>
    <row r="295" customFormat="false" ht="14.25" hidden="false" customHeight="false" outlineLevel="1" collapsed="false">
      <c r="C295" s="6" t="s">
        <v>255</v>
      </c>
      <c r="D295" s="2" t="s">
        <v>84</v>
      </c>
      <c r="H295" s="8" t="n">
        <f aca="false">SUM(J295:AS295)</f>
        <v>-4125.77322469106</v>
      </c>
      <c r="J295" s="8" t="n">
        <f aca="false">SUM(J291:J294)*Opex_Cont</f>
        <v>0</v>
      </c>
      <c r="K295" s="8" t="n">
        <f aca="false">SUM(K291:K294)*Opex_Cont</f>
        <v>0</v>
      </c>
      <c r="L295" s="8" t="n">
        <f aca="false">SUM(L291:L294)*Opex_Cont</f>
        <v>0</v>
      </c>
      <c r="M295" s="8" t="n">
        <f aca="false">SUM(M291:M294)*Opex_Cont</f>
        <v>0</v>
      </c>
      <c r="N295" s="8" t="n">
        <f aca="false">SUM(N291:N294)*Opex_Cont</f>
        <v>0</v>
      </c>
      <c r="O295" s="8" t="n">
        <f aca="false">SUM(O291:O294)*Opex_Cont</f>
        <v>-47.1521</v>
      </c>
      <c r="P295" s="8" t="n">
        <f aca="false">SUM(P291:P294)*Opex_Cont</f>
        <v>-96.653867</v>
      </c>
      <c r="Q295" s="8" t="n">
        <f aca="false">SUM(Q291:Q294)*Opex_Cont</f>
        <v>-98.96791165924</v>
      </c>
      <c r="R295" s="8" t="n">
        <f aca="false">SUM(R291:R294)*Opex_Cont</f>
        <v>-101.337708582967</v>
      </c>
      <c r="S295" s="8" t="n">
        <f aca="false">SUM(S291:S294)*Opex_Cont</f>
        <v>-103.764606564977</v>
      </c>
      <c r="T295" s="8" t="n">
        <f aca="false">SUM(T291:T294)*Opex_Cont</f>
        <v>-106.249987139007</v>
      </c>
      <c r="U295" s="8" t="n">
        <f aca="false">SUM(U291:U294)*Opex_Cont</f>
        <v>-108.795265375798</v>
      </c>
      <c r="V295" s="8" t="n">
        <f aca="false">SUM(V291:V294)*Opex_Cont</f>
        <v>-111.401890699612</v>
      </c>
      <c r="W295" s="8" t="n">
        <f aca="false">SUM(W291:W294)*Opex_Cont</f>
        <v>-114.07134772469</v>
      </c>
      <c r="X295" s="8" t="n">
        <f aca="false">SUM(X291:X294)*Opex_Cont</f>
        <v>-116.80515711212</v>
      </c>
      <c r="Y295" s="8" t="n">
        <f aca="false">SUM(Y291:Y294)*Opex_Cont</f>
        <v>-119.604876447635</v>
      </c>
      <c r="Z295" s="8" t="n">
        <f aca="false">SUM(Z291:Z294)*Opex_Cont</f>
        <v>-122.472101140842</v>
      </c>
      <c r="AA295" s="8" t="n">
        <f aca="false">SUM(AA291:AA294)*Opex_Cont</f>
        <v>-125.408465346399</v>
      </c>
      <c r="AB295" s="8" t="n">
        <f aca="false">SUM(AB291:AB294)*Opex_Cont</f>
        <v>-128.415642907703</v>
      </c>
      <c r="AC295" s="8" t="n">
        <f aca="false">SUM(AC291:AC294)*Opex_Cont</f>
        <v>-131.495348323608</v>
      </c>
      <c r="AD295" s="8" t="n">
        <f aca="false">SUM(AD291:AD294)*Opex_Cont</f>
        <v>-134.649337738762</v>
      </c>
      <c r="AE295" s="8" t="n">
        <f aca="false">SUM(AE291:AE294)*Opex_Cont</f>
        <v>-137.879409958126</v>
      </c>
      <c r="AF295" s="8" t="n">
        <f aca="false">SUM(AF291:AF294)*Opex_Cont</f>
        <v>-141.18740748628</v>
      </c>
      <c r="AG295" s="8" t="n">
        <f aca="false">SUM(AG291:AG294)*Opex_Cont</f>
        <v>-144.575217592105</v>
      </c>
      <c r="AH295" s="8" t="n">
        <f aca="false">SUM(AH291:AH294)*Opex_Cont</f>
        <v>-148.044773399481</v>
      </c>
      <c r="AI295" s="8" t="n">
        <f aca="false">SUM(AI291:AI294)*Opex_Cont</f>
        <v>-151.598055004627</v>
      </c>
      <c r="AJ295" s="8" t="n">
        <f aca="false">SUM(AJ291:AJ294)*Opex_Cont</f>
        <v>-155.237090620742</v>
      </c>
      <c r="AK295" s="8" t="n">
        <f aca="false">SUM(AK291:AK294)*Opex_Cont</f>
        <v>-158.9639577506</v>
      </c>
      <c r="AL295" s="8" t="n">
        <f aca="false">SUM(AL291:AL294)*Opex_Cont</f>
        <v>-162.780784387815</v>
      </c>
      <c r="AM295" s="8" t="n">
        <f aca="false">SUM(AM291:AM294)*Opex_Cont</f>
        <v>-166.689750247437</v>
      </c>
      <c r="AN295" s="8" t="n">
        <f aca="false">SUM(AN291:AN294)*Opex_Cont</f>
        <v>-170.693088026639</v>
      </c>
      <c r="AO295" s="8" t="n">
        <f aca="false">SUM(AO291:AO294)*Opex_Cont</f>
        <v>-174.793084696195</v>
      </c>
      <c r="AP295" s="8" t="n">
        <f aca="false">SUM(AP291:AP294)*Opex_Cont</f>
        <v>-178.992082823533</v>
      </c>
      <c r="AQ295" s="8" t="n">
        <f aca="false">SUM(AQ291:AQ294)*Opex_Cont</f>
        <v>-183.292481928118</v>
      </c>
      <c r="AR295" s="8" t="n">
        <f aca="false">SUM(AR291:AR294)*Opex_Cont</f>
        <v>-187.696739869964</v>
      </c>
      <c r="AS295" s="8" t="n">
        <f aca="false">SUM(AS291:AS294)*Opex_Cont</f>
        <v>-96.1036871360411</v>
      </c>
    </row>
    <row r="296" customFormat="false" ht="14.25" hidden="false" customHeight="false" outlineLevel="1" collapsed="false">
      <c r="C296" s="6" t="s">
        <v>256</v>
      </c>
      <c r="D296" s="2" t="s">
        <v>84</v>
      </c>
      <c r="H296" s="8" t="n">
        <f aca="false">SUM(J296:AS296)</f>
        <v>0</v>
      </c>
      <c r="J296" s="8" t="n">
        <f aca="false">-J287*$E$12</f>
        <v>-0</v>
      </c>
      <c r="K296" s="8" t="n">
        <f aca="false">-K287*$E$12</f>
        <v>-0</v>
      </c>
      <c r="L296" s="8" t="n">
        <f aca="false">-L287*$E$12</f>
        <v>-0</v>
      </c>
      <c r="M296" s="8" t="n">
        <f aca="false">-M287*$E$12</f>
        <v>-0</v>
      </c>
      <c r="N296" s="8" t="n">
        <f aca="false">-N287*$E$12</f>
        <v>-0</v>
      </c>
      <c r="O296" s="8" t="n">
        <f aca="false">-O287*$E$12</f>
        <v>-0</v>
      </c>
      <c r="P296" s="8" t="n">
        <f aca="false">-P287*$E$12</f>
        <v>-0</v>
      </c>
      <c r="Q296" s="8" t="n">
        <f aca="false">-Q287*$E$12</f>
        <v>-0</v>
      </c>
      <c r="R296" s="8" t="n">
        <f aca="false">-R287*$E$12</f>
        <v>-0</v>
      </c>
      <c r="S296" s="8" t="n">
        <f aca="false">-S287*$E$12</f>
        <v>-0</v>
      </c>
      <c r="T296" s="8" t="n">
        <f aca="false">-T287*$E$12</f>
        <v>-0</v>
      </c>
      <c r="U296" s="8" t="n">
        <f aca="false">-U287*$E$12</f>
        <v>-0</v>
      </c>
      <c r="V296" s="8" t="n">
        <f aca="false">-V287*$E$12</f>
        <v>-0</v>
      </c>
      <c r="W296" s="8" t="n">
        <f aca="false">-W287*$E$12</f>
        <v>-0</v>
      </c>
      <c r="X296" s="8" t="n">
        <f aca="false">-X287*$E$12</f>
        <v>-0</v>
      </c>
      <c r="Y296" s="8" t="n">
        <f aca="false">-Y287*$E$12</f>
        <v>-0</v>
      </c>
      <c r="Z296" s="8" t="n">
        <f aca="false">-Z287*$E$12</f>
        <v>-0</v>
      </c>
      <c r="AA296" s="8" t="n">
        <f aca="false">-AA287*$E$12</f>
        <v>-0</v>
      </c>
      <c r="AB296" s="8" t="n">
        <f aca="false">-AB287*$E$12</f>
        <v>-0</v>
      </c>
      <c r="AC296" s="8" t="n">
        <f aca="false">-AC287*$E$12</f>
        <v>-0</v>
      </c>
      <c r="AD296" s="8" t="n">
        <f aca="false">-AD287*$E$12</f>
        <v>-0</v>
      </c>
      <c r="AE296" s="8" t="n">
        <f aca="false">-AE287*$E$12</f>
        <v>-0</v>
      </c>
      <c r="AF296" s="8" t="n">
        <f aca="false">-AF287*$E$12</f>
        <v>-0</v>
      </c>
      <c r="AG296" s="8" t="n">
        <f aca="false">-AG287*$E$12</f>
        <v>-0</v>
      </c>
      <c r="AH296" s="8" t="n">
        <f aca="false">-AH287*$E$12</f>
        <v>-0</v>
      </c>
      <c r="AI296" s="8" t="n">
        <f aca="false">-AI287*$E$12</f>
        <v>-0</v>
      </c>
      <c r="AJ296" s="8" t="n">
        <f aca="false">-AJ287*$E$12</f>
        <v>-0</v>
      </c>
      <c r="AK296" s="8" t="n">
        <f aca="false">-AK287*$E$12</f>
        <v>-0</v>
      </c>
      <c r="AL296" s="8" t="n">
        <f aca="false">-AL287*$E$12</f>
        <v>-0</v>
      </c>
      <c r="AM296" s="8" t="n">
        <f aca="false">-AM287*$E$12</f>
        <v>-0</v>
      </c>
      <c r="AN296" s="8" t="n">
        <f aca="false">-AN287*$E$12</f>
        <v>-0</v>
      </c>
      <c r="AO296" s="8" t="n">
        <f aca="false">-AO287*$E$12</f>
        <v>-0</v>
      </c>
      <c r="AP296" s="8" t="n">
        <f aca="false">-AP287*$E$12</f>
        <v>-0</v>
      </c>
      <c r="AQ296" s="8" t="n">
        <f aca="false">-AQ287*$E$12</f>
        <v>-0</v>
      </c>
      <c r="AR296" s="8" t="n">
        <f aca="false">-AR287*$E$12</f>
        <v>-0</v>
      </c>
      <c r="AS296" s="8" t="n">
        <f aca="false">-AS287*$E$12</f>
        <v>-0</v>
      </c>
    </row>
    <row r="297" customFormat="false" ht="14.25" hidden="false" customHeight="false" outlineLevel="1" collapsed="false">
      <c r="C297" s="6" t="s">
        <v>257</v>
      </c>
      <c r="D297" s="2" t="s">
        <v>84</v>
      </c>
      <c r="H297" s="8" t="n">
        <f aca="false">SUM(J297:AS297)</f>
        <v>-7081.43945602309</v>
      </c>
      <c r="J297" s="8" t="n">
        <f aca="false">-J289*HIPA_Rate</f>
        <v>-0</v>
      </c>
      <c r="K297" s="8" t="n">
        <f aca="false">-K289*HIPA_Rate</f>
        <v>-0</v>
      </c>
      <c r="L297" s="8" t="n">
        <f aca="false">-L289*HIPA_Rate</f>
        <v>-0</v>
      </c>
      <c r="M297" s="8" t="n">
        <f aca="false">-M289*HIPA_Rate</f>
        <v>-0</v>
      </c>
      <c r="N297" s="8" t="n">
        <f aca="false">-N289*HIPA_Rate</f>
        <v>-0</v>
      </c>
      <c r="O297" s="8" t="n">
        <f aca="false">-O289*HIPA_Rate</f>
        <v>-105.84</v>
      </c>
      <c r="P297" s="8" t="n">
        <f aca="false">-P289*HIPA_Rate</f>
        <v>-213.7968</v>
      </c>
      <c r="Q297" s="8" t="n">
        <f aca="false">-Q289*HIPA_Rate</f>
        <v>-215.286963696</v>
      </c>
      <c r="R297" s="8" t="n">
        <f aca="false">-R289*HIPA_Rate</f>
        <v>-216.787513832961</v>
      </c>
      <c r="S297" s="8" t="n">
        <f aca="false">-S289*HIPA_Rate</f>
        <v>-218.298522804377</v>
      </c>
      <c r="T297" s="8" t="n">
        <f aca="false">-T289*HIPA_Rate</f>
        <v>-219.820063508323</v>
      </c>
      <c r="U297" s="8" t="n">
        <f aca="false">-U289*HIPA_Rate</f>
        <v>-221.352209350976</v>
      </c>
      <c r="V297" s="8" t="n">
        <f aca="false">-V289*HIPA_Rate</f>
        <v>-222.895034250153</v>
      </c>
      <c r="W297" s="8" t="n">
        <f aca="false">-W289*HIPA_Rate</f>
        <v>-224.448612638876</v>
      </c>
      <c r="X297" s="8" t="n">
        <f aca="false">-X289*HIPA_Rate</f>
        <v>-226.013019468969</v>
      </c>
      <c r="Y297" s="8" t="n">
        <f aca="false">-Y289*HIPA_Rate</f>
        <v>-227.588330214668</v>
      </c>
      <c r="Z297" s="8" t="n">
        <f aca="false">-Z289*HIPA_Rate</f>
        <v>-229.174620876264</v>
      </c>
      <c r="AA297" s="8" t="n">
        <f aca="false">-AA289*HIPA_Rate</f>
        <v>-230.771967983772</v>
      </c>
      <c r="AB297" s="8" t="n">
        <f aca="false">-AB289*HIPA_Rate</f>
        <v>-232.380448600619</v>
      </c>
      <c r="AC297" s="8" t="n">
        <f aca="false">-AC289*HIPA_Rate</f>
        <v>-234.000140327365</v>
      </c>
      <c r="AD297" s="8" t="n">
        <f aca="false">-AD289*HIPA_Rate</f>
        <v>-235.631121305447</v>
      </c>
      <c r="AE297" s="8" t="n">
        <f aca="false">-AE289*HIPA_Rate</f>
        <v>-237.273470220946</v>
      </c>
      <c r="AF297" s="8" t="n">
        <f aca="false">-AF289*HIPA_Rate</f>
        <v>-238.927266308386</v>
      </c>
      <c r="AG297" s="8" t="n">
        <f aca="false">-AG289*HIPA_Rate</f>
        <v>-240.592589354555</v>
      </c>
      <c r="AH297" s="8" t="n">
        <f aca="false">-AH289*HIPA_Rate</f>
        <v>-242.269519702356</v>
      </c>
      <c r="AI297" s="8" t="n">
        <f aca="false">-AI289*HIPA_Rate</f>
        <v>-243.958138254682</v>
      </c>
      <c r="AJ297" s="8" t="n">
        <f aca="false">-AJ289*HIPA_Rate</f>
        <v>-245.658526478317</v>
      </c>
      <c r="AK297" s="8" t="n">
        <f aca="false">-AK289*HIPA_Rate</f>
        <v>-247.370766407871</v>
      </c>
      <c r="AL297" s="8" t="n">
        <f aca="false">-AL289*HIPA_Rate</f>
        <v>-249.094940649734</v>
      </c>
      <c r="AM297" s="8" t="n">
        <f aca="false">-AM289*HIPA_Rate</f>
        <v>-250.831132386062</v>
      </c>
      <c r="AN297" s="8" t="n">
        <f aca="false">-AN289*HIPA_Rate</f>
        <v>-252.579425378793</v>
      </c>
      <c r="AO297" s="8" t="n">
        <f aca="false">-AO289*HIPA_Rate</f>
        <v>-254.339903973683</v>
      </c>
      <c r="AP297" s="8" t="n">
        <f aca="false">-AP289*HIPA_Rate</f>
        <v>-256.11265310438</v>
      </c>
      <c r="AQ297" s="8" t="n">
        <f aca="false">-AQ289*HIPA_Rate</f>
        <v>-257.897758296517</v>
      </c>
      <c r="AR297" s="8" t="n">
        <f aca="false">-AR289*HIPA_Rate</f>
        <v>-259.695305671844</v>
      </c>
      <c r="AS297" s="8" t="n">
        <f aca="false">-AS289*HIPA_Rate</f>
        <v>-130.752690976188</v>
      </c>
    </row>
    <row r="298" customFormat="false" ht="14.25" hidden="false" customHeight="false" outlineLevel="1" collapsed="false">
      <c r="C298" s="1" t="s">
        <v>258</v>
      </c>
      <c r="D298" s="2" t="s">
        <v>84</v>
      </c>
      <c r="H298" s="34" t="n">
        <f aca="false">SUM(J298:AS298)</f>
        <v>-93722.6771745354</v>
      </c>
      <c r="J298" s="34" t="n">
        <f aca="false">SUM(J291:J297)</f>
        <v>0</v>
      </c>
      <c r="K298" s="34" t="n">
        <f aca="false">SUM(K291:K297)</f>
        <v>0</v>
      </c>
      <c r="L298" s="34" t="n">
        <f aca="false">SUM(L291:L297)</f>
        <v>0</v>
      </c>
      <c r="M298" s="34" t="n">
        <f aca="false">SUM(M291:M297)</f>
        <v>0</v>
      </c>
      <c r="N298" s="34" t="n">
        <f aca="false">SUM(N291:N297)</f>
        <v>0</v>
      </c>
      <c r="O298" s="34" t="n">
        <f aca="false">SUM(O291:O297)</f>
        <v>-1096.0341</v>
      </c>
      <c r="P298" s="34" t="n">
        <f aca="false">SUM(P291:P297)</f>
        <v>-2243.528007</v>
      </c>
      <c r="Q298" s="34" t="n">
        <f aca="false">SUM(Q291:Q297)</f>
        <v>-2293.61310854004</v>
      </c>
      <c r="R298" s="34" t="n">
        <f aca="false">SUM(R291:R297)</f>
        <v>-2344.87939407526</v>
      </c>
      <c r="S298" s="34" t="n">
        <f aca="false">SUM(S291:S297)</f>
        <v>-2397.35526066889</v>
      </c>
      <c r="T298" s="34" t="n">
        <f aca="false">SUM(T291:T297)</f>
        <v>-2451.06979342747</v>
      </c>
      <c r="U298" s="34" t="n">
        <f aca="false">SUM(U291:U297)</f>
        <v>-2506.05278224273</v>
      </c>
      <c r="V298" s="34" t="n">
        <f aca="false">SUM(V291:V297)</f>
        <v>-2562.33473894201</v>
      </c>
      <c r="W298" s="34" t="n">
        <f aca="false">SUM(W291:W297)</f>
        <v>-2619.94691485736</v>
      </c>
      <c r="X298" s="34" t="n">
        <f aca="false">SUM(X291:X297)</f>
        <v>-2678.92131882348</v>
      </c>
      <c r="Y298" s="34" t="n">
        <f aca="false">SUM(Y291:Y297)</f>
        <v>-2739.29073561501</v>
      </c>
      <c r="Z298" s="34" t="n">
        <f aca="false">SUM(Z291:Z297)</f>
        <v>-2801.08874483394</v>
      </c>
      <c r="AA298" s="34" t="n">
        <f aca="false">SUM(AA291:AA297)</f>
        <v>-2864.34974025816</v>
      </c>
      <c r="AB298" s="34" t="n">
        <f aca="false">SUM(AB291:AB297)</f>
        <v>-2929.10894966239</v>
      </c>
      <c r="AC298" s="34" t="n">
        <f aca="false">SUM(AC291:AC297)</f>
        <v>-2995.40245512313</v>
      </c>
      <c r="AD298" s="34" t="n">
        <f aca="false">SUM(AD291:AD297)</f>
        <v>-3063.26721381944</v>
      </c>
      <c r="AE298" s="34" t="n">
        <f aca="false">SUM(AE291:AE297)</f>
        <v>-3132.7410793416</v>
      </c>
      <c r="AF298" s="34" t="n">
        <f aca="false">SUM(AF291:AF297)</f>
        <v>-3203.86282352027</v>
      </c>
      <c r="AG298" s="34" t="n">
        <f aca="false">SUM(AG291:AG297)</f>
        <v>-3276.67215878875</v>
      </c>
      <c r="AH298" s="34" t="n">
        <f aca="false">SUM(AH291:AH297)</f>
        <v>-3351.20976109145</v>
      </c>
      <c r="AI298" s="34" t="n">
        <f aca="false">SUM(AI291:AI297)</f>
        <v>-3427.51729335186</v>
      </c>
      <c r="AJ298" s="34" t="n">
        <f aca="false">SUM(AJ291:AJ297)</f>
        <v>-3505.63742951389</v>
      </c>
      <c r="AK298" s="34" t="n">
        <f aca="false">SUM(AK291:AK297)</f>
        <v>-3585.61387917048</v>
      </c>
      <c r="AL298" s="34" t="n">
        <f aca="false">SUM(AL291:AL297)</f>
        <v>-3667.49141279384</v>
      </c>
      <c r="AM298" s="34" t="n">
        <f aca="false">SUM(AM291:AM297)</f>
        <v>-3751.31588758224</v>
      </c>
      <c r="AN298" s="34" t="n">
        <f aca="false">SUM(AN291:AN297)</f>
        <v>-3837.13427393821</v>
      </c>
      <c r="AO298" s="34" t="n">
        <f aca="false">SUM(AO291:AO297)</f>
        <v>-3924.99468259377</v>
      </c>
      <c r="AP298" s="34" t="n">
        <f aca="false">SUM(AP291:AP297)</f>
        <v>-4014.94639239857</v>
      </c>
      <c r="AQ298" s="34" t="n">
        <f aca="false">SUM(AQ291:AQ297)</f>
        <v>-4107.039878787</v>
      </c>
      <c r="AR298" s="34" t="n">
        <f aca="false">SUM(AR291:AR297)</f>
        <v>-4201.32684294109</v>
      </c>
      <c r="AS298" s="34" t="n">
        <f aca="false">SUM(AS291:AS297)</f>
        <v>-2148.93012083305</v>
      </c>
    </row>
    <row r="299" customFormat="false" ht="14.25" hidden="false" customHeight="false" outlineLevel="1" collapsed="false">
      <c r="C299" s="1" t="s">
        <v>155</v>
      </c>
      <c r="D299" s="2" t="s">
        <v>84</v>
      </c>
      <c r="H299" s="15" t="n">
        <f aca="false">SUM(J299:AS299)</f>
        <v>260349.295626619</v>
      </c>
      <c r="J299" s="15" t="n">
        <f aca="false">J289+J298</f>
        <v>0</v>
      </c>
      <c r="K299" s="15" t="n">
        <f aca="false">K289+K298</f>
        <v>0</v>
      </c>
      <c r="L299" s="15" t="n">
        <f aca="false">L289+L298</f>
        <v>0</v>
      </c>
      <c r="M299" s="15" t="n">
        <f aca="false">M289+M298</f>
        <v>0</v>
      </c>
      <c r="N299" s="15" t="n">
        <f aca="false">N289+N298</f>
        <v>0</v>
      </c>
      <c r="O299" s="15" t="n">
        <f aca="false">O289+O298</f>
        <v>4195.9659</v>
      </c>
      <c r="P299" s="15" t="n">
        <f aca="false">P289+P298</f>
        <v>8446.311993</v>
      </c>
      <c r="Q299" s="15" t="n">
        <f aca="false">Q289+Q298</f>
        <v>8470.73507625996</v>
      </c>
      <c r="R299" s="15" t="n">
        <f aca="false">R289+R298</f>
        <v>8494.4962975728</v>
      </c>
      <c r="S299" s="15" t="n">
        <f aca="false">S289+S298</f>
        <v>8517.57087954995</v>
      </c>
      <c r="T299" s="15" t="n">
        <f aca="false">T289+T298</f>
        <v>8539.9333819887</v>
      </c>
      <c r="U299" s="15" t="n">
        <f aca="false">U289+U298</f>
        <v>8561.55768530609</v>
      </c>
      <c r="V299" s="15" t="n">
        <f aca="false">V289+V298</f>
        <v>8582.41697356563</v>
      </c>
      <c r="W299" s="15" t="n">
        <f aca="false">W289+W298</f>
        <v>8602.48371708645</v>
      </c>
      <c r="X299" s="15" t="n">
        <f aca="false">X289+X298</f>
        <v>8621.72965462498</v>
      </c>
      <c r="Y299" s="15" t="n">
        <f aca="false">Y289+Y298</f>
        <v>8640.12577511838</v>
      </c>
      <c r="Z299" s="15" t="n">
        <f aca="false">Z289+Z298</f>
        <v>8657.64229897927</v>
      </c>
      <c r="AA299" s="15" t="n">
        <f aca="false">AA289+AA298</f>
        <v>8674.24865893043</v>
      </c>
      <c r="AB299" s="15" t="n">
        <f aca="false">AB289+AB298</f>
        <v>8689.91348036855</v>
      </c>
      <c r="AC299" s="15" t="n">
        <f aca="false">AC289+AC298</f>
        <v>8704.60456124511</v>
      </c>
      <c r="AD299" s="15" t="n">
        <f aca="false">AD289+AD298</f>
        <v>8718.28885145289</v>
      </c>
      <c r="AE299" s="15" t="n">
        <f aca="false">AE289+AE298</f>
        <v>8730.93243170569</v>
      </c>
      <c r="AF299" s="15" t="n">
        <f aca="false">AF289+AF298</f>
        <v>8742.50049189901</v>
      </c>
      <c r="AG299" s="15" t="n">
        <f aca="false">AG289+AG298</f>
        <v>8752.957308939</v>
      </c>
      <c r="AH299" s="15" t="n">
        <f aca="false">AH289+AH298</f>
        <v>8762.26622402637</v>
      </c>
      <c r="AI299" s="15" t="n">
        <f aca="false">AI289+AI298</f>
        <v>8770.38961938223</v>
      </c>
      <c r="AJ299" s="15" t="n">
        <f aca="false">AJ289+AJ298</f>
        <v>8777.28889440195</v>
      </c>
      <c r="AK299" s="15" t="n">
        <f aca="false">AK289+AK298</f>
        <v>8782.92444122306</v>
      </c>
      <c r="AL299" s="15" t="n">
        <f aca="false">AL289+AL298</f>
        <v>8787.25561969284</v>
      </c>
      <c r="AM299" s="15" t="n">
        <f aca="false">AM289+AM298</f>
        <v>8790.24073172087</v>
      </c>
      <c r="AN299" s="15" t="n">
        <f aca="false">AN289+AN298</f>
        <v>8791.83699500145</v>
      </c>
      <c r="AO299" s="15" t="n">
        <f aca="false">AO289+AO298</f>
        <v>8792.0005160904</v>
      </c>
      <c r="AP299" s="15" t="n">
        <f aca="false">AP289+AP298</f>
        <v>8790.68626282043</v>
      </c>
      <c r="AQ299" s="15" t="n">
        <f aca="false">AQ289+AQ298</f>
        <v>8787.84803603887</v>
      </c>
      <c r="AR299" s="15" t="n">
        <f aca="false">AR289+AR298</f>
        <v>8783.43844065112</v>
      </c>
      <c r="AS299" s="15" t="n">
        <f aca="false">AS289+AS298</f>
        <v>4388.70442797637</v>
      </c>
    </row>
    <row r="300" customFormat="false" ht="14.25" hidden="false" customHeight="false" outlineLevel="1" collapsed="false">
      <c r="C300" s="1" t="s">
        <v>259</v>
      </c>
      <c r="D300" s="2" t="s">
        <v>84</v>
      </c>
      <c r="H300" s="34" t="n">
        <f aca="false">SUM(J300:AS300)</f>
        <v>199712.974388263</v>
      </c>
      <c r="J300" s="34" t="n">
        <f aca="false">J285+J299</f>
        <v>-386.301369863014</v>
      </c>
      <c r="K300" s="34" t="n">
        <f aca="false">K285+K299</f>
        <v>-2513.23712328767</v>
      </c>
      <c r="L300" s="34" t="n">
        <f aca="false">L285+L299</f>
        <v>-10089.6937041096</v>
      </c>
      <c r="M300" s="34" t="n">
        <f aca="false">M285+M299</f>
        <v>-12009.375</v>
      </c>
      <c r="N300" s="34" t="n">
        <f aca="false">N285+N299</f>
        <v>-24018.75</v>
      </c>
      <c r="O300" s="34" t="n">
        <f aca="false">O285+O299</f>
        <v>-8813.4091</v>
      </c>
      <c r="P300" s="34" t="n">
        <f aca="false">P285+P299</f>
        <v>8446.311993</v>
      </c>
      <c r="Q300" s="34" t="n">
        <f aca="false">Q285+Q299</f>
        <v>9861.14603516407</v>
      </c>
      <c r="R300" s="34" t="n">
        <f aca="false">R285+R299</f>
        <v>8494.4962975728</v>
      </c>
      <c r="S300" s="34" t="n">
        <f aca="false">S285+S299</f>
        <v>8517.57087954995</v>
      </c>
      <c r="T300" s="34" t="n">
        <f aca="false">T285+T299</f>
        <v>8539.9333819887</v>
      </c>
      <c r="U300" s="34" t="n">
        <f aca="false">U285+U299</f>
        <v>8561.55768530609</v>
      </c>
      <c r="V300" s="34" t="n">
        <f aca="false">V285+V299</f>
        <v>8582.41697356563</v>
      </c>
      <c r="W300" s="34" t="n">
        <f aca="false">W285+W299</f>
        <v>8602.48371708645</v>
      </c>
      <c r="X300" s="34" t="n">
        <f aca="false">X285+X299</f>
        <v>8621.72965462498</v>
      </c>
      <c r="Y300" s="34" t="n">
        <f aca="false">Y285+Y299</f>
        <v>8640.12577511838</v>
      </c>
      <c r="Z300" s="34" t="n">
        <f aca="false">Z285+Z299</f>
        <v>8657.64229897927</v>
      </c>
      <c r="AA300" s="34" t="n">
        <f aca="false">AA285+AA299</f>
        <v>8674.24865893043</v>
      </c>
      <c r="AB300" s="34" t="n">
        <f aca="false">AB285+AB299</f>
        <v>8689.91348036855</v>
      </c>
      <c r="AC300" s="34" t="n">
        <f aca="false">AC285+AC299</f>
        <v>8704.60456124511</v>
      </c>
      <c r="AD300" s="34" t="n">
        <f aca="false">AD285+AD299</f>
        <v>8718.28885145289</v>
      </c>
      <c r="AE300" s="34" t="n">
        <f aca="false">AE285+AE299</f>
        <v>8730.93243170569</v>
      </c>
      <c r="AF300" s="34" t="n">
        <f aca="false">AF285+AF299</f>
        <v>8742.50049189901</v>
      </c>
      <c r="AG300" s="34" t="n">
        <f aca="false">AG285+AG299</f>
        <v>8752.957308939</v>
      </c>
      <c r="AH300" s="34" t="n">
        <f aca="false">AH285+AH299</f>
        <v>8762.26622402637</v>
      </c>
      <c r="AI300" s="34" t="n">
        <f aca="false">AI285+AI299</f>
        <v>8770.38961938223</v>
      </c>
      <c r="AJ300" s="34" t="n">
        <f aca="false">AJ285+AJ299</f>
        <v>8777.28889440195</v>
      </c>
      <c r="AK300" s="34" t="n">
        <f aca="false">AK285+AK299</f>
        <v>8782.92444122306</v>
      </c>
      <c r="AL300" s="34" t="n">
        <f aca="false">AL285+AL299</f>
        <v>8787.25561969284</v>
      </c>
      <c r="AM300" s="34" t="n">
        <f aca="false">AM285+AM299</f>
        <v>8790.24073172087</v>
      </c>
      <c r="AN300" s="34" t="n">
        <f aca="false">AN285+AN299</f>
        <v>8791.83699500145</v>
      </c>
      <c r="AO300" s="34" t="n">
        <f aca="false">AO285+AO299</f>
        <v>8792.0005160904</v>
      </c>
      <c r="AP300" s="34" t="n">
        <f aca="false">AP285+AP299</f>
        <v>8790.68626282043</v>
      </c>
      <c r="AQ300" s="34" t="n">
        <f aca="false">AQ285+AQ299</f>
        <v>8787.84803603887</v>
      </c>
      <c r="AR300" s="34" t="n">
        <f aca="false">AR285+AR299</f>
        <v>8783.43844065112</v>
      </c>
      <c r="AS300" s="34" t="n">
        <f aca="false">AS285+AS299</f>
        <v>4388.70442797637</v>
      </c>
    </row>
    <row r="301" customFormat="false" ht="14.25" hidden="false" customHeight="false" outlineLevel="1" collapsed="false">
      <c r="C301" s="6" t="s">
        <v>260</v>
      </c>
      <c r="D301" s="2" t="s">
        <v>84</v>
      </c>
      <c r="H301" s="8" t="n">
        <f aca="false">SUM(J301:AS301)</f>
        <v>60636.3212383562</v>
      </c>
      <c r="J301" s="8" t="n">
        <f aca="false">$E$93/Dep_Years*(J275&gt;=0)*(J275&lt;Dep_Years)</f>
        <v>0</v>
      </c>
      <c r="K301" s="8" t="n">
        <f aca="false">$E$93/Dep_Years*(K275&gt;=0)*(K275&lt;Dep_Years)</f>
        <v>0</v>
      </c>
      <c r="L301" s="8" t="n">
        <f aca="false">$E$93/Dep_Years*(L275&gt;=0)*(L275&lt;Dep_Years)</f>
        <v>0</v>
      </c>
      <c r="M301" s="8" t="n">
        <f aca="false">$E$93/Dep_Years*(M275&gt;=0)*(M275&lt;Dep_Years)</f>
        <v>0</v>
      </c>
      <c r="N301" s="8" t="n">
        <f aca="false">$E$93/Dep_Years*(N275&gt;=0)*(N275&lt;Dep_Years)</f>
        <v>0</v>
      </c>
      <c r="O301" s="8" t="n">
        <f aca="false">$E$93/Dep_Years*(O275&gt;=0)*(O275&lt;Dep_Years)</f>
        <v>3031.81606191781</v>
      </c>
      <c r="P301" s="8" t="n">
        <f aca="false">$E$93/Dep_Years*(P275&gt;=0)*(P275&lt;Dep_Years)</f>
        <v>3031.81606191781</v>
      </c>
      <c r="Q301" s="8" t="n">
        <f aca="false">$E$93/Dep_Years*(Q275&gt;=0)*(Q275&lt;Dep_Years)</f>
        <v>3031.81606191781</v>
      </c>
      <c r="R301" s="8" t="n">
        <f aca="false">$E$93/Dep_Years*(R275&gt;=0)*(R275&lt;Dep_Years)</f>
        <v>3031.81606191781</v>
      </c>
      <c r="S301" s="8" t="n">
        <f aca="false">$E$93/Dep_Years*(S275&gt;=0)*(S275&lt;Dep_Years)</f>
        <v>3031.81606191781</v>
      </c>
      <c r="T301" s="8" t="n">
        <f aca="false">$E$93/Dep_Years*(T275&gt;=0)*(T275&lt;Dep_Years)</f>
        <v>3031.81606191781</v>
      </c>
      <c r="U301" s="8" t="n">
        <f aca="false">$E$93/Dep_Years*(U275&gt;=0)*(U275&lt;Dep_Years)</f>
        <v>3031.81606191781</v>
      </c>
      <c r="V301" s="8" t="n">
        <f aca="false">$E$93/Dep_Years*(V275&gt;=0)*(V275&lt;Dep_Years)</f>
        <v>3031.81606191781</v>
      </c>
      <c r="W301" s="8" t="n">
        <f aca="false">$E$93/Dep_Years*(W275&gt;=0)*(W275&lt;Dep_Years)</f>
        <v>3031.81606191781</v>
      </c>
      <c r="X301" s="8" t="n">
        <f aca="false">$E$93/Dep_Years*(X275&gt;=0)*(X275&lt;Dep_Years)</f>
        <v>3031.81606191781</v>
      </c>
      <c r="Y301" s="8" t="n">
        <f aca="false">$E$93/Dep_Years*(Y275&gt;=0)*(Y275&lt;Dep_Years)</f>
        <v>3031.81606191781</v>
      </c>
      <c r="Z301" s="8" t="n">
        <f aca="false">$E$93/Dep_Years*(Z275&gt;=0)*(Z275&lt;Dep_Years)</f>
        <v>3031.81606191781</v>
      </c>
      <c r="AA301" s="8" t="n">
        <f aca="false">$E$93/Dep_Years*(AA275&gt;=0)*(AA275&lt;Dep_Years)</f>
        <v>3031.81606191781</v>
      </c>
      <c r="AB301" s="8" t="n">
        <f aca="false">$E$93/Dep_Years*(AB275&gt;=0)*(AB275&lt;Dep_Years)</f>
        <v>3031.81606191781</v>
      </c>
      <c r="AC301" s="8" t="n">
        <f aca="false">$E$93/Dep_Years*(AC275&gt;=0)*(AC275&lt;Dep_Years)</f>
        <v>3031.81606191781</v>
      </c>
      <c r="AD301" s="8" t="n">
        <f aca="false">$E$93/Dep_Years*(AD275&gt;=0)*(AD275&lt;Dep_Years)</f>
        <v>3031.81606191781</v>
      </c>
      <c r="AE301" s="8" t="n">
        <f aca="false">$E$93/Dep_Years*(AE275&gt;=0)*(AE275&lt;Dep_Years)</f>
        <v>3031.81606191781</v>
      </c>
      <c r="AF301" s="8" t="n">
        <f aca="false">$E$93/Dep_Years*(AF275&gt;=0)*(AF275&lt;Dep_Years)</f>
        <v>3031.81606191781</v>
      </c>
      <c r="AG301" s="8" t="n">
        <f aca="false">$E$93/Dep_Years*(AG275&gt;=0)*(AG275&lt;Dep_Years)</f>
        <v>3031.81606191781</v>
      </c>
      <c r="AH301" s="8" t="n">
        <f aca="false">$E$93/Dep_Years*(AH275&gt;=0)*(AH275&lt;Dep_Years)</f>
        <v>3031.81606191781</v>
      </c>
      <c r="AI301" s="8" t="n">
        <f aca="false">$E$93/Dep_Years*(AI275&gt;=0)*(AI275&lt;Dep_Years)</f>
        <v>0</v>
      </c>
      <c r="AJ301" s="8" t="n">
        <f aca="false">$E$93/Dep_Years*(AJ275&gt;=0)*(AJ275&lt;Dep_Years)</f>
        <v>0</v>
      </c>
      <c r="AK301" s="8" t="n">
        <f aca="false">$E$93/Dep_Years*(AK275&gt;=0)*(AK275&lt;Dep_Years)</f>
        <v>0</v>
      </c>
      <c r="AL301" s="8" t="n">
        <f aca="false">$E$93/Dep_Years*(AL275&gt;=0)*(AL275&lt;Dep_Years)</f>
        <v>0</v>
      </c>
      <c r="AM301" s="8" t="n">
        <f aca="false">$E$93/Dep_Years*(AM275&gt;=0)*(AM275&lt;Dep_Years)</f>
        <v>0</v>
      </c>
      <c r="AN301" s="8" t="n">
        <f aca="false">$E$93/Dep_Years*(AN275&gt;=0)*(AN275&lt;Dep_Years)</f>
        <v>0</v>
      </c>
      <c r="AO301" s="8" t="n">
        <f aca="false">$E$93/Dep_Years*(AO275&gt;=0)*(AO275&lt;Dep_Years)</f>
        <v>0</v>
      </c>
      <c r="AP301" s="8" t="n">
        <f aca="false">$E$93/Dep_Years*(AP275&gt;=0)*(AP275&lt;Dep_Years)</f>
        <v>0</v>
      </c>
      <c r="AQ301" s="8" t="n">
        <f aca="false">$E$93/Dep_Years*(AQ275&gt;=0)*(AQ275&lt;Dep_Years)</f>
        <v>0</v>
      </c>
      <c r="AR301" s="8" t="n">
        <f aca="false">$E$93/Dep_Years*(AR275&gt;=0)*(AR275&lt;Dep_Years)</f>
        <v>0</v>
      </c>
      <c r="AS301" s="8" t="n">
        <f aca="false">$E$93/Dep_Years*(AS275&gt;=0)*(AS275&lt;Dep_Years)</f>
        <v>0</v>
      </c>
    </row>
    <row r="302" customFormat="false" ht="14.25" hidden="false" customHeight="false" outlineLevel="1" collapsed="false">
      <c r="C302" s="6" t="s">
        <v>261</v>
      </c>
      <c r="D302" s="2" t="s">
        <v>84</v>
      </c>
      <c r="H302" s="8" t="n">
        <f aca="false">SUM(J302:AS302)</f>
        <v>-29956.9461582394</v>
      </c>
      <c r="J302" s="8" t="n">
        <f aca="false">-CIT_Rate*MAX(0,J299-J301)</f>
        <v>-0</v>
      </c>
      <c r="K302" s="8" t="n">
        <f aca="false">-CIT_Rate*MAX(0,K299-K301)</f>
        <v>-0</v>
      </c>
      <c r="L302" s="8" t="n">
        <f aca="false">-CIT_Rate*MAX(0,L299-L301)</f>
        <v>-0</v>
      </c>
      <c r="M302" s="8" t="n">
        <f aca="false">-CIT_Rate*MAX(0,M299-M301)</f>
        <v>-0</v>
      </c>
      <c r="N302" s="8" t="n">
        <f aca="false">-CIT_Rate*MAX(0,N299-N301)</f>
        <v>-0</v>
      </c>
      <c r="O302" s="8" t="n">
        <f aca="false">-CIT_Rate*MAX(0,O299-O301)</f>
        <v>-174.622475712329</v>
      </c>
      <c r="P302" s="8" t="n">
        <f aca="false">-CIT_Rate*MAX(0,P299-P301)</f>
        <v>-812.174389662329</v>
      </c>
      <c r="Q302" s="8" t="n">
        <f aca="false">-CIT_Rate*MAX(0,Q299-Q301)</f>
        <v>-815.837852151323</v>
      </c>
      <c r="R302" s="8" t="n">
        <f aca="false">-CIT_Rate*MAX(0,R299-R301)</f>
        <v>-819.402035348248</v>
      </c>
      <c r="S302" s="8" t="n">
        <f aca="false">-CIT_Rate*MAX(0,S299-S301)</f>
        <v>-822.863222644822</v>
      </c>
      <c r="T302" s="8" t="n">
        <f aca="false">-CIT_Rate*MAX(0,T299-T301)</f>
        <v>-826.217598010633</v>
      </c>
      <c r="U302" s="8" t="n">
        <f aca="false">-CIT_Rate*MAX(0,U299-U301)</f>
        <v>-829.461243508243</v>
      </c>
      <c r="V302" s="8" t="n">
        <f aca="false">-CIT_Rate*MAX(0,V299-V301)</f>
        <v>-832.590136747173</v>
      </c>
      <c r="W302" s="8" t="n">
        <f aca="false">-CIT_Rate*MAX(0,W299-W301)</f>
        <v>-835.600148275297</v>
      </c>
      <c r="X302" s="8" t="n">
        <f aca="false">-CIT_Rate*MAX(0,X299-X301)</f>
        <v>-838.487038906076</v>
      </c>
      <c r="Y302" s="8" t="n">
        <f aca="false">-CIT_Rate*MAX(0,Y299-Y301)</f>
        <v>-841.246456980086</v>
      </c>
      <c r="Z302" s="8" t="n">
        <f aca="false">-CIT_Rate*MAX(0,Z299-Z301)</f>
        <v>-843.873935559219</v>
      </c>
      <c r="AA302" s="8" t="n">
        <f aca="false">-CIT_Rate*MAX(0,AA299-AA301)</f>
        <v>-846.364889551893</v>
      </c>
      <c r="AB302" s="8" t="n">
        <f aca="false">-CIT_Rate*MAX(0,AB299-AB301)</f>
        <v>-848.71461276761</v>
      </c>
      <c r="AC302" s="8" t="n">
        <f aca="false">-CIT_Rate*MAX(0,AC299-AC301)</f>
        <v>-850.918274899096</v>
      </c>
      <c r="AD302" s="8" t="n">
        <f aca="false">-CIT_Rate*MAX(0,AD299-AD301)</f>
        <v>-852.970918430263</v>
      </c>
      <c r="AE302" s="8" t="n">
        <f aca="false">-CIT_Rate*MAX(0,AE299-AE301)</f>
        <v>-854.867455468182</v>
      </c>
      <c r="AF302" s="8" t="n">
        <f aca="false">-CIT_Rate*MAX(0,AF299-AF301)</f>
        <v>-856.602664497181</v>
      </c>
      <c r="AG302" s="8" t="n">
        <f aca="false">-CIT_Rate*MAX(0,AG299-AG301)</f>
        <v>-858.171187053179</v>
      </c>
      <c r="AH302" s="8" t="n">
        <f aca="false">-CIT_Rate*MAX(0,AH299-AH301)</f>
        <v>-859.567524316284</v>
      </c>
      <c r="AI302" s="8" t="n">
        <f aca="false">-CIT_Rate*MAX(0,AI299-AI301)</f>
        <v>-1315.55844290733</v>
      </c>
      <c r="AJ302" s="8" t="n">
        <f aca="false">-CIT_Rate*MAX(0,AJ299-AJ301)</f>
        <v>-1316.59333416029</v>
      </c>
      <c r="AK302" s="8" t="n">
        <f aca="false">-CIT_Rate*MAX(0,AK299-AK301)</f>
        <v>-1317.43866618346</v>
      </c>
      <c r="AL302" s="8" t="n">
        <f aca="false">-CIT_Rate*MAX(0,AL299-AL301)</f>
        <v>-1318.08834295393</v>
      </c>
      <c r="AM302" s="8" t="n">
        <f aca="false">-CIT_Rate*MAX(0,AM299-AM301)</f>
        <v>-1318.53610975813</v>
      </c>
      <c r="AN302" s="8" t="n">
        <f aca="false">-CIT_Rate*MAX(0,AN299-AN301)</f>
        <v>-1318.77554925022</v>
      </c>
      <c r="AO302" s="8" t="n">
        <f aca="false">-CIT_Rate*MAX(0,AO299-AO301)</f>
        <v>-1318.80007741356</v>
      </c>
      <c r="AP302" s="8" t="n">
        <f aca="false">-CIT_Rate*MAX(0,AP299-AP301)</f>
        <v>-1318.60293942306</v>
      </c>
      <c r="AQ302" s="8" t="n">
        <f aca="false">-CIT_Rate*MAX(0,AQ299-AQ301)</f>
        <v>-1318.17720540583</v>
      </c>
      <c r="AR302" s="8" t="n">
        <f aca="false">-CIT_Rate*MAX(0,AR299-AR301)</f>
        <v>-1317.51576609767</v>
      </c>
      <c r="AS302" s="8" t="n">
        <f aca="false">-CIT_Rate*MAX(0,AS299-AS301)</f>
        <v>-658.305664196456</v>
      </c>
    </row>
    <row r="303" customFormat="false" ht="14.25" hidden="false" customHeight="false" outlineLevel="1" collapsed="false">
      <c r="C303" s="1" t="s">
        <v>262</v>
      </c>
      <c r="D303" s="2" t="s">
        <v>84</v>
      </c>
      <c r="H303" s="34" t="n">
        <f aca="false">SUM(J303:AS303)</f>
        <v>169756.028230023</v>
      </c>
      <c r="J303" s="34" t="n">
        <f aca="false">J300+J302</f>
        <v>-386.301369863014</v>
      </c>
      <c r="K303" s="34" t="n">
        <f aca="false">K300+K302</f>
        <v>-2513.23712328767</v>
      </c>
      <c r="L303" s="34" t="n">
        <f aca="false">L300+L302</f>
        <v>-10089.6937041096</v>
      </c>
      <c r="M303" s="34" t="n">
        <f aca="false">M300+M302</f>
        <v>-12009.375</v>
      </c>
      <c r="N303" s="34" t="n">
        <f aca="false">N300+N302</f>
        <v>-24018.75</v>
      </c>
      <c r="O303" s="34" t="n">
        <f aca="false">O300+O302</f>
        <v>-8988.03157571233</v>
      </c>
      <c r="P303" s="34" t="n">
        <f aca="false">P300+P302</f>
        <v>7634.13760333767</v>
      </c>
      <c r="Q303" s="34" t="n">
        <f aca="false">Q300+Q302</f>
        <v>9045.30818301275</v>
      </c>
      <c r="R303" s="34" t="n">
        <f aca="false">R300+R302</f>
        <v>7675.09426222455</v>
      </c>
      <c r="S303" s="34" t="n">
        <f aca="false">S300+S302</f>
        <v>7694.70765690513</v>
      </c>
      <c r="T303" s="34" t="n">
        <f aca="false">T300+T302</f>
        <v>7713.71578397807</v>
      </c>
      <c r="U303" s="34" t="n">
        <f aca="false">U300+U302</f>
        <v>7732.09644179785</v>
      </c>
      <c r="V303" s="34" t="n">
        <f aca="false">V300+V302</f>
        <v>7749.82683681845</v>
      </c>
      <c r="W303" s="34" t="n">
        <f aca="false">W300+W302</f>
        <v>7766.88356881116</v>
      </c>
      <c r="X303" s="34" t="n">
        <f aca="false">X300+X302</f>
        <v>7783.2426157189</v>
      </c>
      <c r="Y303" s="34" t="n">
        <f aca="false">Y300+Y302</f>
        <v>7798.8793181383</v>
      </c>
      <c r="Z303" s="34" t="n">
        <f aca="false">Z300+Z302</f>
        <v>7813.76836342005</v>
      </c>
      <c r="AA303" s="34" t="n">
        <f aca="false">AA300+AA302</f>
        <v>7827.88376937854</v>
      </c>
      <c r="AB303" s="34" t="n">
        <f aca="false">AB300+AB302</f>
        <v>7841.19886760093</v>
      </c>
      <c r="AC303" s="34" t="n">
        <f aca="false">AC300+AC302</f>
        <v>7853.68628634602</v>
      </c>
      <c r="AD303" s="34" t="n">
        <f aca="false">AD300+AD302</f>
        <v>7865.31793302263</v>
      </c>
      <c r="AE303" s="34" t="n">
        <f aca="false">AE300+AE302</f>
        <v>7876.06497623751</v>
      </c>
      <c r="AF303" s="34" t="n">
        <f aca="false">AF300+AF302</f>
        <v>7885.89782740183</v>
      </c>
      <c r="AG303" s="34" t="n">
        <f aca="false">AG300+AG302</f>
        <v>7894.78612188582</v>
      </c>
      <c r="AH303" s="34" t="n">
        <f aca="false">AH300+AH302</f>
        <v>7902.69869971009</v>
      </c>
      <c r="AI303" s="34" t="n">
        <f aca="false">AI300+AI302</f>
        <v>7454.8311764749</v>
      </c>
      <c r="AJ303" s="34" t="n">
        <f aca="false">AJ300+AJ302</f>
        <v>7460.69556024166</v>
      </c>
      <c r="AK303" s="34" t="n">
        <f aca="false">AK300+AK302</f>
        <v>7465.4857750396</v>
      </c>
      <c r="AL303" s="34" t="n">
        <f aca="false">AL300+AL302</f>
        <v>7469.16727673891</v>
      </c>
      <c r="AM303" s="34" t="n">
        <f aca="false">AM300+AM302</f>
        <v>7471.70462196274</v>
      </c>
      <c r="AN303" s="34" t="n">
        <f aca="false">AN300+AN302</f>
        <v>7473.06144575123</v>
      </c>
      <c r="AO303" s="34" t="n">
        <f aca="false">AO300+AO302</f>
        <v>7473.20043867684</v>
      </c>
      <c r="AP303" s="34" t="n">
        <f aca="false">AP300+AP302</f>
        <v>7472.08332339736</v>
      </c>
      <c r="AQ303" s="34" t="n">
        <f aca="false">AQ300+AQ302</f>
        <v>7469.67083063304</v>
      </c>
      <c r="AR303" s="34" t="n">
        <f aca="false">AR300+AR302</f>
        <v>7465.92267455345</v>
      </c>
      <c r="AS303" s="34" t="n">
        <f aca="false">AS300+AS302</f>
        <v>3730.39876377992</v>
      </c>
    </row>
    <row r="304" customFormat="false" ht="14.25" hidden="false" customHeight="false" outlineLevel="1" collapsed="false">
      <c r="C304" s="6" t="s">
        <v>263</v>
      </c>
      <c r="D304" s="2" t="s">
        <v>84</v>
      </c>
      <c r="H304" s="8" t="n">
        <f aca="false">SUM(J304:AS304)</f>
        <v>36381.7927430137</v>
      </c>
      <c r="J304" s="8" t="n">
        <f aca="false">Gearing*$E$93*J280</f>
        <v>0</v>
      </c>
      <c r="K304" s="8" t="n">
        <f aca="false">Gearing*$E$93*K280</f>
        <v>0</v>
      </c>
      <c r="L304" s="8" t="n">
        <f aca="false">Gearing*$E$93*L280</f>
        <v>0</v>
      </c>
      <c r="M304" s="8" t="n">
        <f aca="false">Gearing*$E$93*M280</f>
        <v>0</v>
      </c>
      <c r="N304" s="8" t="n">
        <f aca="false">Gearing*$E$93*N280</f>
        <v>0</v>
      </c>
      <c r="O304" s="8" t="n">
        <f aca="false">Gearing*$E$93*O280</f>
        <v>36381.7927430137</v>
      </c>
      <c r="P304" s="8" t="n">
        <f aca="false">Gearing*$E$93*P280</f>
        <v>0</v>
      </c>
      <c r="Q304" s="8" t="n">
        <f aca="false">Gearing*$E$93*Q280</f>
        <v>0</v>
      </c>
      <c r="R304" s="8" t="n">
        <f aca="false">Gearing*$E$93*R280</f>
        <v>0</v>
      </c>
      <c r="S304" s="8" t="n">
        <f aca="false">Gearing*$E$93*S280</f>
        <v>0</v>
      </c>
      <c r="T304" s="8" t="n">
        <f aca="false">Gearing*$E$93*T280</f>
        <v>0</v>
      </c>
      <c r="U304" s="8" t="n">
        <f aca="false">Gearing*$E$93*U280</f>
        <v>0</v>
      </c>
      <c r="V304" s="8" t="n">
        <f aca="false">Gearing*$E$93*V280</f>
        <v>0</v>
      </c>
      <c r="W304" s="8" t="n">
        <f aca="false">Gearing*$E$93*W280</f>
        <v>0</v>
      </c>
      <c r="X304" s="8" t="n">
        <f aca="false">Gearing*$E$93*X280</f>
        <v>0</v>
      </c>
      <c r="Y304" s="8" t="n">
        <f aca="false">Gearing*$E$93*Y280</f>
        <v>0</v>
      </c>
      <c r="Z304" s="8" t="n">
        <f aca="false">Gearing*$E$93*Z280</f>
        <v>0</v>
      </c>
      <c r="AA304" s="8" t="n">
        <f aca="false">Gearing*$E$93*AA280</f>
        <v>0</v>
      </c>
      <c r="AB304" s="8" t="n">
        <f aca="false">Gearing*$E$93*AB280</f>
        <v>0</v>
      </c>
      <c r="AC304" s="8" t="n">
        <f aca="false">Gearing*$E$93*AC280</f>
        <v>0</v>
      </c>
      <c r="AD304" s="8" t="n">
        <f aca="false">Gearing*$E$93*AD280</f>
        <v>0</v>
      </c>
      <c r="AE304" s="8" t="n">
        <f aca="false">Gearing*$E$93*AE280</f>
        <v>0</v>
      </c>
      <c r="AF304" s="8" t="n">
        <f aca="false">Gearing*$E$93*AF280</f>
        <v>0</v>
      </c>
      <c r="AG304" s="8" t="n">
        <f aca="false">Gearing*$E$93*AG280</f>
        <v>0</v>
      </c>
      <c r="AH304" s="8" t="n">
        <f aca="false">Gearing*$E$93*AH280</f>
        <v>0</v>
      </c>
      <c r="AI304" s="8" t="n">
        <f aca="false">Gearing*$E$93*AI280</f>
        <v>0</v>
      </c>
      <c r="AJ304" s="8" t="n">
        <f aca="false">Gearing*$E$93*AJ280</f>
        <v>0</v>
      </c>
      <c r="AK304" s="8" t="n">
        <f aca="false">Gearing*$E$93*AK280</f>
        <v>0</v>
      </c>
      <c r="AL304" s="8" t="n">
        <f aca="false">Gearing*$E$93*AL280</f>
        <v>0</v>
      </c>
      <c r="AM304" s="8" t="n">
        <f aca="false">Gearing*$E$93*AM280</f>
        <v>0</v>
      </c>
      <c r="AN304" s="8" t="n">
        <f aca="false">Gearing*$E$93*AN280</f>
        <v>0</v>
      </c>
      <c r="AO304" s="8" t="n">
        <f aca="false">Gearing*$E$93*AO280</f>
        <v>0</v>
      </c>
      <c r="AP304" s="8" t="n">
        <f aca="false">Gearing*$E$93*AP280</f>
        <v>0</v>
      </c>
      <c r="AQ304" s="8" t="n">
        <f aca="false">Gearing*$E$93*AQ280</f>
        <v>0</v>
      </c>
      <c r="AR304" s="8" t="n">
        <f aca="false">Gearing*$E$93*AR280</f>
        <v>0</v>
      </c>
      <c r="AS304" s="8" t="n">
        <f aca="false">Gearing*$E$93*AS280</f>
        <v>0</v>
      </c>
    </row>
    <row r="305" customFormat="false" ht="14.25" hidden="false" customHeight="false" outlineLevel="1" collapsed="false">
      <c r="C305" s="6" t="s">
        <v>264</v>
      </c>
      <c r="D305" s="2" t="s">
        <v>84</v>
      </c>
      <c r="E305" s="53" t="n">
        <f aca="false">Gearing*$E$93*Debt_Rate/(1-(1+Debt_Rate)^-Debt_Tenor)</f>
        <v>3505.10514018734</v>
      </c>
      <c r="H305" s="8" t="n">
        <f aca="false">SUM(J305:AS305)</f>
        <v>-52576.5771028102</v>
      </c>
      <c r="J305" s="8" t="n">
        <f aca="false">-$E305*(J275&gt;=1)*(J275&lt;=Debt_Tenor)</f>
        <v>-0</v>
      </c>
      <c r="K305" s="8" t="n">
        <f aca="false">-$E305*(K275&gt;=1)*(K275&lt;=Debt_Tenor)</f>
        <v>-0</v>
      </c>
      <c r="L305" s="8" t="n">
        <f aca="false">-$E305*(L275&gt;=1)*(L275&lt;=Debt_Tenor)</f>
        <v>-0</v>
      </c>
      <c r="M305" s="8" t="n">
        <f aca="false">-$E305*(M275&gt;=1)*(M275&lt;=Debt_Tenor)</f>
        <v>-0</v>
      </c>
      <c r="N305" s="8" t="n">
        <f aca="false">-$E305*(N275&gt;=1)*(N275&lt;=Debt_Tenor)</f>
        <v>-0</v>
      </c>
      <c r="O305" s="8" t="n">
        <f aca="false">-$E305*(O275&gt;=1)*(O275&lt;=Debt_Tenor)</f>
        <v>-0</v>
      </c>
      <c r="P305" s="8" t="n">
        <f aca="false">-$E305*(P275&gt;=1)*(P275&lt;=Debt_Tenor)</f>
        <v>-3505.10514018734</v>
      </c>
      <c r="Q305" s="8" t="n">
        <f aca="false">-$E305*(Q275&gt;=1)*(Q275&lt;=Debt_Tenor)</f>
        <v>-3505.10514018734</v>
      </c>
      <c r="R305" s="8" t="n">
        <f aca="false">-$E305*(R275&gt;=1)*(R275&lt;=Debt_Tenor)</f>
        <v>-3505.10514018734</v>
      </c>
      <c r="S305" s="8" t="n">
        <f aca="false">-$E305*(S275&gt;=1)*(S275&lt;=Debt_Tenor)</f>
        <v>-3505.10514018734</v>
      </c>
      <c r="T305" s="8" t="n">
        <f aca="false">-$E305*(T275&gt;=1)*(T275&lt;=Debt_Tenor)</f>
        <v>-3505.10514018734</v>
      </c>
      <c r="U305" s="8" t="n">
        <f aca="false">-$E305*(U275&gt;=1)*(U275&lt;=Debt_Tenor)</f>
        <v>-3505.10514018734</v>
      </c>
      <c r="V305" s="8" t="n">
        <f aca="false">-$E305*(V275&gt;=1)*(V275&lt;=Debt_Tenor)</f>
        <v>-3505.10514018734</v>
      </c>
      <c r="W305" s="8" t="n">
        <f aca="false">-$E305*(W275&gt;=1)*(W275&lt;=Debt_Tenor)</f>
        <v>-3505.10514018734</v>
      </c>
      <c r="X305" s="8" t="n">
        <f aca="false">-$E305*(X275&gt;=1)*(X275&lt;=Debt_Tenor)</f>
        <v>-3505.10514018734</v>
      </c>
      <c r="Y305" s="8" t="n">
        <f aca="false">-$E305*(Y275&gt;=1)*(Y275&lt;=Debt_Tenor)</f>
        <v>-3505.10514018734</v>
      </c>
      <c r="Z305" s="8" t="n">
        <f aca="false">-$E305*(Z275&gt;=1)*(Z275&lt;=Debt_Tenor)</f>
        <v>-3505.10514018734</v>
      </c>
      <c r="AA305" s="8" t="n">
        <f aca="false">-$E305*(AA275&gt;=1)*(AA275&lt;=Debt_Tenor)</f>
        <v>-3505.10514018734</v>
      </c>
      <c r="AB305" s="8" t="n">
        <f aca="false">-$E305*(AB275&gt;=1)*(AB275&lt;=Debt_Tenor)</f>
        <v>-3505.10514018734</v>
      </c>
      <c r="AC305" s="8" t="n">
        <f aca="false">-$E305*(AC275&gt;=1)*(AC275&lt;=Debt_Tenor)</f>
        <v>-3505.10514018734</v>
      </c>
      <c r="AD305" s="8" t="n">
        <f aca="false">-$E305*(AD275&gt;=1)*(AD275&lt;=Debt_Tenor)</f>
        <v>-3505.10514018734</v>
      </c>
      <c r="AE305" s="8" t="n">
        <f aca="false">-$E305*(AE275&gt;=1)*(AE275&lt;=Debt_Tenor)</f>
        <v>-0</v>
      </c>
      <c r="AF305" s="8" t="n">
        <f aca="false">-$E305*(AF275&gt;=1)*(AF275&lt;=Debt_Tenor)</f>
        <v>-0</v>
      </c>
      <c r="AG305" s="8" t="n">
        <f aca="false">-$E305*(AG275&gt;=1)*(AG275&lt;=Debt_Tenor)</f>
        <v>-0</v>
      </c>
      <c r="AH305" s="8" t="n">
        <f aca="false">-$E305*(AH275&gt;=1)*(AH275&lt;=Debt_Tenor)</f>
        <v>-0</v>
      </c>
      <c r="AI305" s="8" t="n">
        <f aca="false">-$E305*(AI275&gt;=1)*(AI275&lt;=Debt_Tenor)</f>
        <v>-0</v>
      </c>
      <c r="AJ305" s="8" t="n">
        <f aca="false">-$E305*(AJ275&gt;=1)*(AJ275&lt;=Debt_Tenor)</f>
        <v>-0</v>
      </c>
      <c r="AK305" s="8" t="n">
        <f aca="false">-$E305*(AK275&gt;=1)*(AK275&lt;=Debt_Tenor)</f>
        <v>-0</v>
      </c>
      <c r="AL305" s="8" t="n">
        <f aca="false">-$E305*(AL275&gt;=1)*(AL275&lt;=Debt_Tenor)</f>
        <v>-0</v>
      </c>
      <c r="AM305" s="8" t="n">
        <f aca="false">-$E305*(AM275&gt;=1)*(AM275&lt;=Debt_Tenor)</f>
        <v>-0</v>
      </c>
      <c r="AN305" s="8" t="n">
        <f aca="false">-$E305*(AN275&gt;=1)*(AN275&lt;=Debt_Tenor)</f>
        <v>-0</v>
      </c>
      <c r="AO305" s="8" t="n">
        <f aca="false">-$E305*(AO275&gt;=1)*(AO275&lt;=Debt_Tenor)</f>
        <v>-0</v>
      </c>
      <c r="AP305" s="8" t="n">
        <f aca="false">-$E305*(AP275&gt;=1)*(AP275&lt;=Debt_Tenor)</f>
        <v>-0</v>
      </c>
      <c r="AQ305" s="8" t="n">
        <f aca="false">-$E305*(AQ275&gt;=1)*(AQ275&lt;=Debt_Tenor)</f>
        <v>-0</v>
      </c>
      <c r="AR305" s="8" t="n">
        <f aca="false">-$E305*(AR275&gt;=1)*(AR275&lt;=Debt_Tenor)</f>
        <v>-0</v>
      </c>
      <c r="AS305" s="8" t="n">
        <f aca="false">-$E305*(AS275&gt;=1)*(AS275&lt;=Debt_Tenor)</f>
        <v>-0</v>
      </c>
    </row>
    <row r="306" customFormat="false" ht="14.25" hidden="false" customHeight="false" outlineLevel="1" collapsed="false">
      <c r="C306" s="6" t="s">
        <v>265</v>
      </c>
      <c r="D306" s="2" t="s">
        <v>84</v>
      </c>
      <c r="H306" s="8"/>
      <c r="J306" s="8" t="n">
        <f aca="false">I306*(1+Debt_Rate)+J304+J305</f>
        <v>0</v>
      </c>
      <c r="K306" s="8" t="n">
        <f aca="false">J306*(1+Debt_Rate)+K304+K305</f>
        <v>0</v>
      </c>
      <c r="L306" s="8" t="n">
        <f aca="false">K306*(1+Debt_Rate)+L304+L305</f>
        <v>0</v>
      </c>
      <c r="M306" s="8" t="n">
        <f aca="false">L306*(1+Debt_Rate)+M304+M305</f>
        <v>0</v>
      </c>
      <c r="N306" s="8" t="n">
        <f aca="false">M306*(1+Debt_Rate)+N304+N305</f>
        <v>0</v>
      </c>
      <c r="O306" s="8" t="n">
        <f aca="false">N306*(1+Debt_Rate)+O304+O305</f>
        <v>36381.7927430137</v>
      </c>
      <c r="P306" s="8" t="n">
        <f aca="false">O306*(1+Debt_Rate)+P304+P305</f>
        <v>34695.7772399771</v>
      </c>
      <c r="Q306" s="8" t="n">
        <f aca="false">P306*(1+Debt_Rate)+Q304+Q305</f>
        <v>32925.4609617886</v>
      </c>
      <c r="R306" s="8" t="n">
        <f aca="false">Q306*(1+Debt_Rate)+R304+R305</f>
        <v>31066.6288696906</v>
      </c>
      <c r="S306" s="8" t="n">
        <f aca="false">R306*(1+Debt_Rate)+S304+S305</f>
        <v>29114.8551729878</v>
      </c>
      <c r="T306" s="8" t="n">
        <f aca="false">S306*(1+Debt_Rate)+T304+T305</f>
        <v>27065.4927914499</v>
      </c>
      <c r="U306" s="8" t="n">
        <f aca="false">T306*(1+Debt_Rate)+U304+U305</f>
        <v>24913.662290835</v>
      </c>
      <c r="V306" s="8" t="n">
        <f aca="false">U306*(1+Debt_Rate)+V304+V305</f>
        <v>22654.2402651894</v>
      </c>
      <c r="W306" s="8" t="n">
        <f aca="false">V306*(1+Debt_Rate)+W304+W305</f>
        <v>20281.8471382616</v>
      </c>
      <c r="X306" s="8" t="n">
        <f aca="false">W306*(1+Debt_Rate)+X304+X305</f>
        <v>17790.8343549873</v>
      </c>
      <c r="Y306" s="8" t="n">
        <f aca="false">X306*(1+Debt_Rate)+Y304+Y305</f>
        <v>15175.2709325493</v>
      </c>
      <c r="Z306" s="8" t="n">
        <f aca="false">Y306*(1+Debt_Rate)+Z304+Z305</f>
        <v>12428.9293389895</v>
      </c>
      <c r="AA306" s="8" t="n">
        <f aca="false">Z306*(1+Debt_Rate)+AA304+AA305</f>
        <v>9545.27066575158</v>
      </c>
      <c r="AB306" s="8" t="n">
        <f aca="false">AA306*(1+Debt_Rate)+AB304+AB305</f>
        <v>6517.42905885181</v>
      </c>
      <c r="AC306" s="8" t="n">
        <f aca="false">AB306*(1+Debt_Rate)+AC304+AC305</f>
        <v>3338.19537160706</v>
      </c>
      <c r="AD306" s="8" t="n">
        <f aca="false">AC306*(1+Debt_Rate)+AD304+AD305</f>
        <v>6.9576344685629E-011</v>
      </c>
      <c r="AE306" s="8" t="n">
        <f aca="false">AD306*(1+Debt_Rate)+AE304+AE305</f>
        <v>7.30551619199105E-011</v>
      </c>
      <c r="AF306" s="8" t="n">
        <f aca="false">AE306*(1+Debt_Rate)+AF304+AF305</f>
        <v>7.6707920015906E-011</v>
      </c>
      <c r="AG306" s="8" t="n">
        <f aca="false">AF306*(1+Debt_Rate)+AG304+AG305</f>
        <v>8.05433160167013E-011</v>
      </c>
      <c r="AH306" s="8" t="n">
        <f aca="false">AG306*(1+Debt_Rate)+AH304+AH305</f>
        <v>8.45704818175363E-011</v>
      </c>
      <c r="AI306" s="8" t="n">
        <f aca="false">AH306*(1+Debt_Rate)+AI304+AI305</f>
        <v>8.87990059084132E-011</v>
      </c>
      <c r="AJ306" s="8" t="n">
        <f aca="false">AI306*(1+Debt_Rate)+AJ304+AJ305</f>
        <v>9.32389562038338E-011</v>
      </c>
      <c r="AK306" s="8" t="n">
        <f aca="false">AJ306*(1+Debt_Rate)+AK304+AK305</f>
        <v>9.79009040140255E-011</v>
      </c>
      <c r="AL306" s="8" t="n">
        <f aca="false">AK306*(1+Debt_Rate)+AL304+AL305</f>
        <v>1.02795949214727E-010</v>
      </c>
      <c r="AM306" s="8" t="n">
        <f aca="false">AL306*(1+Debt_Rate)+AM304+AM305</f>
        <v>1.07935746675463E-010</v>
      </c>
      <c r="AN306" s="8" t="n">
        <f aca="false">AM306*(1+Debt_Rate)+AN304+AN305</f>
        <v>1.13332534009236E-010</v>
      </c>
      <c r="AO306" s="8" t="n">
        <f aca="false">AN306*(1+Debt_Rate)+AO304+AO305</f>
        <v>1.18999160709698E-010</v>
      </c>
      <c r="AP306" s="8" t="n">
        <f aca="false">AO306*(1+Debt_Rate)+AP304+AP305</f>
        <v>1.24949118745183E-010</v>
      </c>
      <c r="AQ306" s="8" t="n">
        <f aca="false">AP306*(1+Debt_Rate)+AQ304+AQ305</f>
        <v>1.31196574682442E-010</v>
      </c>
      <c r="AR306" s="8" t="n">
        <f aca="false">AQ306*(1+Debt_Rate)+AR304+AR305</f>
        <v>1.37756403416564E-010</v>
      </c>
      <c r="AS306" s="8" t="n">
        <f aca="false">AR306*(1+Debt_Rate)+AS304+AS305</f>
        <v>1.44644223587393E-010</v>
      </c>
    </row>
    <row r="307" customFormat="false" ht="14.25" hidden="false" customHeight="false" outlineLevel="1" collapsed="false">
      <c r="C307" s="1" t="s">
        <v>266</v>
      </c>
      <c r="D307" s="2" t="s">
        <v>84</v>
      </c>
      <c r="H307" s="34" t="n">
        <f aca="false">SUM(J307:AS307)</f>
        <v>153561.243870227</v>
      </c>
      <c r="J307" s="34" t="n">
        <f aca="false">J303+J304+J305</f>
        <v>-386.301369863014</v>
      </c>
      <c r="K307" s="34" t="n">
        <f aca="false">K303+K304+K305</f>
        <v>-2513.23712328767</v>
      </c>
      <c r="L307" s="34" t="n">
        <f aca="false">L303+L304+L305</f>
        <v>-10089.6937041096</v>
      </c>
      <c r="M307" s="34" t="n">
        <f aca="false">M303+M304+M305</f>
        <v>-12009.375</v>
      </c>
      <c r="N307" s="34" t="n">
        <f aca="false">N303+N304+N305</f>
        <v>-24018.75</v>
      </c>
      <c r="O307" s="34" t="n">
        <f aca="false">O303+O304+O305</f>
        <v>27393.7611673014</v>
      </c>
      <c r="P307" s="34" t="n">
        <f aca="false">P303+P304+P305</f>
        <v>4129.03246315033</v>
      </c>
      <c r="Q307" s="34" t="n">
        <f aca="false">Q303+Q304+Q305</f>
        <v>5540.2030428254</v>
      </c>
      <c r="R307" s="34" t="n">
        <f aca="false">R303+R304+R305</f>
        <v>4169.98912203721</v>
      </c>
      <c r="S307" s="34" t="n">
        <f aca="false">S303+S304+S305</f>
        <v>4189.60251671779</v>
      </c>
      <c r="T307" s="34" t="n">
        <f aca="false">T303+T304+T305</f>
        <v>4208.61064379072</v>
      </c>
      <c r="U307" s="34" t="n">
        <f aca="false">U303+U304+U305</f>
        <v>4226.99130161051</v>
      </c>
      <c r="V307" s="34" t="n">
        <f aca="false">V303+V304+V305</f>
        <v>4244.72169663111</v>
      </c>
      <c r="W307" s="34" t="n">
        <f aca="false">W303+W304+W305</f>
        <v>4261.77842862381</v>
      </c>
      <c r="X307" s="34" t="n">
        <f aca="false">X303+X304+X305</f>
        <v>4278.13747553156</v>
      </c>
      <c r="Y307" s="34" t="n">
        <f aca="false">Y303+Y304+Y305</f>
        <v>4293.77417795095</v>
      </c>
      <c r="Z307" s="34" t="n">
        <f aca="false">Z303+Z304+Z305</f>
        <v>4308.6632232327</v>
      </c>
      <c r="AA307" s="34" t="n">
        <f aca="false">AA303+AA304+AA305</f>
        <v>4322.77862919119</v>
      </c>
      <c r="AB307" s="34" t="n">
        <f aca="false">AB303+AB304+AB305</f>
        <v>4336.09372741359</v>
      </c>
      <c r="AC307" s="34" t="n">
        <f aca="false">AC303+AC304+AC305</f>
        <v>4348.58114615867</v>
      </c>
      <c r="AD307" s="34" t="n">
        <f aca="false">AD303+AD304+AD305</f>
        <v>4360.21279283529</v>
      </c>
      <c r="AE307" s="34" t="n">
        <f aca="false">AE303+AE304+AE305</f>
        <v>7876.06497623751</v>
      </c>
      <c r="AF307" s="34" t="n">
        <f aca="false">AF303+AF304+AF305</f>
        <v>7885.89782740183</v>
      </c>
      <c r="AG307" s="34" t="n">
        <f aca="false">AG303+AG304+AG305</f>
        <v>7894.78612188582</v>
      </c>
      <c r="AH307" s="34" t="n">
        <f aca="false">AH303+AH304+AH305</f>
        <v>7902.69869971009</v>
      </c>
      <c r="AI307" s="34" t="n">
        <f aca="false">AI303+AI304+AI305</f>
        <v>7454.8311764749</v>
      </c>
      <c r="AJ307" s="34" t="n">
        <f aca="false">AJ303+AJ304+AJ305</f>
        <v>7460.69556024166</v>
      </c>
      <c r="AK307" s="34" t="n">
        <f aca="false">AK303+AK304+AK305</f>
        <v>7465.4857750396</v>
      </c>
      <c r="AL307" s="34" t="n">
        <f aca="false">AL303+AL304+AL305</f>
        <v>7469.16727673891</v>
      </c>
      <c r="AM307" s="34" t="n">
        <f aca="false">AM303+AM304+AM305</f>
        <v>7471.70462196274</v>
      </c>
      <c r="AN307" s="34" t="n">
        <f aca="false">AN303+AN304+AN305</f>
        <v>7473.06144575123</v>
      </c>
      <c r="AO307" s="34" t="n">
        <f aca="false">AO303+AO304+AO305</f>
        <v>7473.20043867684</v>
      </c>
      <c r="AP307" s="34" t="n">
        <f aca="false">AP303+AP304+AP305</f>
        <v>7472.08332339736</v>
      </c>
      <c r="AQ307" s="34" t="n">
        <f aca="false">AQ303+AQ304+AQ305</f>
        <v>7469.67083063304</v>
      </c>
      <c r="AR307" s="34" t="n">
        <f aca="false">AR303+AR304+AR305</f>
        <v>7465.92267455345</v>
      </c>
      <c r="AS307" s="34" t="n">
        <f aca="false">AS303+AS304+AS305</f>
        <v>3730.39876377992</v>
      </c>
    </row>
    <row r="308" customFormat="false" ht="14.25" hidden="false" customHeight="false" outlineLevel="1" collapsed="false">
      <c r="C308" s="6" t="s">
        <v>267</v>
      </c>
      <c r="D308" s="2" t="s">
        <v>3</v>
      </c>
      <c r="J308" s="49" t="str">
        <f aca="false">IF(J305&lt;0,(J299+J302)/-J305,"")</f>
        <v/>
      </c>
      <c r="K308" s="49" t="str">
        <f aca="false">IF(K305&lt;0,(K299+K302)/-K305,"")</f>
        <v/>
      </c>
      <c r="L308" s="49" t="str">
        <f aca="false">IF(L305&lt;0,(L299+L302)/-L305,"")</f>
        <v/>
      </c>
      <c r="M308" s="49" t="str">
        <f aca="false">IF(M305&lt;0,(M299+M302)/-M305,"")</f>
        <v/>
      </c>
      <c r="N308" s="49" t="str">
        <f aca="false">IF(N305&lt;0,(N299+N302)/-N305,"")</f>
        <v/>
      </c>
      <c r="O308" s="49" t="str">
        <f aca="false">IF(O305&lt;0,(O299+O302)/-O305,"")</f>
        <v/>
      </c>
      <c r="P308" s="49" t="n">
        <f aca="false">IF(P305&lt;0,(P299+P302)/-P305,"")</f>
        <v>2.17800530883066</v>
      </c>
      <c r="Q308" s="49" t="n">
        <f aca="false">IF(Q305&lt;0,(Q299+Q302)/-Q305,"")</f>
        <v>2.18392799015994</v>
      </c>
      <c r="R308" s="49" t="n">
        <f aca="false">IF(R305&lt;0,(R299+R302)/-R305,"")</f>
        <v>2.18969016770045</v>
      </c>
      <c r="S308" s="49" t="n">
        <f aca="false">IF(S305&lt;0,(S299+S302)/-S305,"")</f>
        <v>2.19528583285061</v>
      </c>
      <c r="T308" s="49" t="n">
        <f aca="false">IF(T305&lt;0,(T299+T302)/-T305,"")</f>
        <v>2.20070881627413</v>
      </c>
      <c r="U308" s="49" t="n">
        <f aca="false">IF(U305&lt;0,(U299+U302)/-U305,"")</f>
        <v>2.2059527838827</v>
      </c>
      <c r="V308" s="49" t="n">
        <f aca="false">IF(V305&lt;0,(V299+V302)/-V305,"")</f>
        <v>2.21101123271989</v>
      </c>
      <c r="W308" s="49" t="n">
        <f aca="false">IF(W305&lt;0,(W299+W302)/-W305,"")</f>
        <v>2.21587748674381</v>
      </c>
      <c r="X308" s="49" t="n">
        <f aca="false">IF(X305&lt;0,(X299+X302)/-X305,"")</f>
        <v>2.22054469250611</v>
      </c>
      <c r="Y308" s="49" t="n">
        <f aca="false">IF(Y305&lt;0,(Y299+Y302)/-Y305,"")</f>
        <v>2.22500581472471</v>
      </c>
      <c r="Z308" s="49" t="n">
        <f aca="false">IF(Z305&lt;0,(Z299+Z302)/-Z305,"")</f>
        <v>2.22925363174767</v>
      </c>
      <c r="AA308" s="49" t="n">
        <f aca="false">IF(AA305&lt;0,(AA299+AA302)/-AA305,"")</f>
        <v>2.23328073090559</v>
      </c>
      <c r="AB308" s="49" t="n">
        <f aca="false">IF(AB305&lt;0,(AB299+AB302)/-AB305,"")</f>
        <v>2.23707950374973</v>
      </c>
      <c r="AC308" s="49" t="n">
        <f aca="false">IF(AC305&lt;0,(AC299+AC302)/-AC305,"")</f>
        <v>2.24064214117305</v>
      </c>
      <c r="AD308" s="49" t="n">
        <f aca="false">IF(AD305&lt;0,(AD299+AD302)/-AD305,"")</f>
        <v>2.24396062841135</v>
      </c>
      <c r="AE308" s="49" t="str">
        <f aca="false">IF(AE305&lt;0,(AE299+AE302)/-AE305,"")</f>
        <v/>
      </c>
      <c r="AF308" s="49" t="str">
        <f aca="false">IF(AF305&lt;0,(AF299+AF302)/-AF305,"")</f>
        <v/>
      </c>
      <c r="AG308" s="49" t="str">
        <f aca="false">IF(AG305&lt;0,(AG299+AG302)/-AG305,"")</f>
        <v/>
      </c>
      <c r="AH308" s="49" t="str">
        <f aca="false">IF(AH305&lt;0,(AH299+AH302)/-AH305,"")</f>
        <v/>
      </c>
      <c r="AI308" s="49" t="str">
        <f aca="false">IF(AI305&lt;0,(AI299+AI302)/-AI305,"")</f>
        <v/>
      </c>
      <c r="AJ308" s="49" t="str">
        <f aca="false">IF(AJ305&lt;0,(AJ299+AJ302)/-AJ305,"")</f>
        <v/>
      </c>
      <c r="AK308" s="49" t="str">
        <f aca="false">IF(AK305&lt;0,(AK299+AK302)/-AK305,"")</f>
        <v/>
      </c>
      <c r="AL308" s="49" t="str">
        <f aca="false">IF(AL305&lt;0,(AL299+AL302)/-AL305,"")</f>
        <v/>
      </c>
      <c r="AM308" s="49" t="str">
        <f aca="false">IF(AM305&lt;0,(AM299+AM302)/-AM305,"")</f>
        <v/>
      </c>
      <c r="AN308" s="49" t="str">
        <f aca="false">IF(AN305&lt;0,(AN299+AN302)/-AN305,"")</f>
        <v/>
      </c>
      <c r="AO308" s="49" t="str">
        <f aca="false">IF(AO305&lt;0,(AO299+AO302)/-AO305,"")</f>
        <v/>
      </c>
      <c r="AP308" s="49" t="str">
        <f aca="false">IF(AP305&lt;0,(AP299+AP302)/-AP305,"")</f>
        <v/>
      </c>
      <c r="AQ308" s="49" t="str">
        <f aca="false">IF(AQ305&lt;0,(AQ299+AQ302)/-AQ305,"")</f>
        <v/>
      </c>
      <c r="AR308" s="49" t="str">
        <f aca="false">IF(AR305&lt;0,(AR299+AR302)/-AR305,"")</f>
        <v/>
      </c>
      <c r="AS308" s="49" t="str">
        <f aca="false">IF(AS305&lt;0,(AS299+AS302)/-AS305,"")</f>
        <v/>
      </c>
    </row>
    <row r="309" customFormat="false" ht="14.25" hidden="false" customHeight="false" outlineLevel="1" collapsed="false">
      <c r="C309" s="6" t="s">
        <v>268</v>
      </c>
      <c r="D309" s="2" t="s">
        <v>3</v>
      </c>
      <c r="J309" s="66" t="n">
        <f aca="false">(1+Discount_Rate)^((Inputs!$E$33-J$272)/Days_In_Year)</f>
        <v>1.41371255107938</v>
      </c>
      <c r="K309" s="66" t="n">
        <f aca="false">(1+Discount_Rate)^((Inputs!$E$33-K$272)/Days_In_Year)</f>
        <v>1.30899310285128</v>
      </c>
      <c r="L309" s="66" t="n">
        <f aca="false">(1+Discount_Rate)^((Inputs!$E$33-L$272)/Days_In_Year)</f>
        <v>1.21177511843915</v>
      </c>
      <c r="M309" s="66" t="n">
        <f aca="false">(1+Discount_Rate)^((Inputs!$E$33-M$272)/Days_In_Year)</f>
        <v>1.12201399855477</v>
      </c>
      <c r="N309" s="66" t="n">
        <f aca="false">(1+Discount_Rate)^((Inputs!$E$33-N$272)/Days_In_Year)</f>
        <v>1.03890185051367</v>
      </c>
      <c r="O309" s="66" t="n">
        <f aca="false">(1+Discount_Rate)^((Inputs!$E$33-O$272)/Days_In_Year)</f>
        <v>0.961946157883031</v>
      </c>
      <c r="P309" s="66" t="n">
        <f aca="false">(1+Discount_Rate)^((Inputs!$E$33-P$272)/Days_In_Year)</f>
        <v>0.890503102622714</v>
      </c>
      <c r="Q309" s="66" t="n">
        <f aca="false">(1+Discount_Rate)^((Inputs!$E$33-Q$272)/Days_In_Year)</f>
        <v>0.824539909835846</v>
      </c>
      <c r="R309" s="66" t="n">
        <f aca="false">(1+Discount_Rate)^((Inputs!$E$33-R$272)/Days_In_Year)</f>
        <v>0.763462879477635</v>
      </c>
      <c r="S309" s="66" t="n">
        <f aca="false">(1+Discount_Rate)^((Inputs!$E$33-S$272)/Days_In_Year)</f>
        <v>0.706910073590403</v>
      </c>
      <c r="T309" s="66" t="n">
        <f aca="false">(1+Discount_Rate)^((Inputs!$E$33-T$272)/Days_In_Year)</f>
        <v>0.654408366464987</v>
      </c>
      <c r="U309" s="66" t="n">
        <f aca="false">(1+Discount_Rate)^((Inputs!$E$33-U$272)/Days_In_Year)</f>
        <v>0.605933672652766</v>
      </c>
      <c r="V309" s="66" t="n">
        <f aca="false">(1+Discount_Rate)^((Inputs!$E$33-V$272)/Days_In_Year)</f>
        <v>0.561049696900709</v>
      </c>
      <c r="W309" s="66" t="n">
        <f aca="false">(1+Discount_Rate)^((Inputs!$E$33-W$272)/Days_In_Year)</f>
        <v>0.519490460093249</v>
      </c>
      <c r="X309" s="66" t="n">
        <f aca="false">(1+Discount_Rate)^((Inputs!$E$33-X$272)/Days_In_Year)</f>
        <v>0.480908274028566</v>
      </c>
      <c r="Y309" s="66" t="n">
        <f aca="false">(1+Discount_Rate)^((Inputs!$E$33-Y$272)/Days_In_Year)</f>
        <v>0.445285438915339</v>
      </c>
      <c r="Z309" s="66" t="n">
        <f aca="false">(1+Discount_Rate)^((Inputs!$E$33-Z$272)/Days_In_Year)</f>
        <v>0.412301332329018</v>
      </c>
      <c r="AA309" s="66" t="n">
        <f aca="false">(1+Discount_Rate)^((Inputs!$E$33-AA$272)/Days_In_Year)</f>
        <v>0.381760492897239</v>
      </c>
      <c r="AB309" s="66" t="n">
        <f aca="false">(1+Discount_Rate)^((Inputs!$E$33-AB$272)/Days_In_Year)</f>
        <v>0.353407413292154</v>
      </c>
      <c r="AC309" s="66" t="n">
        <f aca="false">(1+Discount_Rate)^((Inputs!$E$33-AC$272)/Days_In_Year)</f>
        <v>0.327229086381624</v>
      </c>
      <c r="AD309" s="66" t="n">
        <f aca="false">(1+Discount_Rate)^((Inputs!$E$33-AD$272)/Days_In_Year)</f>
        <v>0.3029898947978</v>
      </c>
      <c r="AE309" s="66" t="n">
        <f aca="false">(1+Discount_Rate)^((Inputs!$E$33-AE$272)/Days_In_Year)</f>
        <v>0.280546198886852</v>
      </c>
      <c r="AF309" s="66" t="n">
        <f aca="false">(1+Discount_Rate)^((Inputs!$E$33-AF$272)/Days_In_Year)</f>
        <v>0.259710232730228</v>
      </c>
      <c r="AG309" s="66" t="n">
        <f aca="false">(1+Discount_Rate)^((Inputs!$E$33-AG$272)/Days_In_Year)</f>
        <v>0.240472437713174</v>
      </c>
      <c r="AH309" s="66" t="n">
        <f aca="false">(1+Discount_Rate)^((Inputs!$E$33-AH$272)/Days_In_Year)</f>
        <v>0.222659664549235</v>
      </c>
      <c r="AI309" s="66" t="n">
        <f aca="false">(1+Discount_Rate)^((Inputs!$E$33-AI$272)/Days_In_Year)</f>
        <v>0.206166356064106</v>
      </c>
      <c r="AJ309" s="66" t="n">
        <f aca="false">(1+Discount_Rate)^((Inputs!$E$33-AJ$272)/Days_In_Year)</f>
        <v>0.190854527799705</v>
      </c>
      <c r="AK309" s="66" t="n">
        <f aca="false">(1+Discount_Rate)^((Inputs!$E$33-AK$272)/Days_In_Year)</f>
        <v>0.176717155370097</v>
      </c>
      <c r="AL309" s="66" t="n">
        <f aca="false">(1+Discount_Rate)^((Inputs!$E$33-AL$272)/Days_In_Year)</f>
        <v>0.163626995713053</v>
      </c>
      <c r="AM309" s="66" t="n">
        <f aca="false">(1+Discount_Rate)^((Inputs!$E$33-AM$272)/Days_In_Year)</f>
        <v>0.151506477512086</v>
      </c>
      <c r="AN309" s="66" t="n">
        <f aca="false">(1+Discount_Rate)^((Inputs!$E$33-AN$272)/Days_In_Year)</f>
        <v>0.140254199454224</v>
      </c>
      <c r="AO309" s="66" t="n">
        <f aca="false">(1+Discount_Rate)^((Inputs!$E$33-AO$272)/Days_In_Year)</f>
        <v>0.129864999494652</v>
      </c>
      <c r="AP309" s="66" t="n">
        <f aca="false">(1+Discount_Rate)^((Inputs!$E$33-AP$272)/Days_In_Year)</f>
        <v>0.120245369902455</v>
      </c>
      <c r="AQ309" s="66" t="n">
        <f aca="false">(1+Discount_Rate)^((Inputs!$E$33-AQ$272)/Days_In_Year)</f>
        <v>0.111338305465236</v>
      </c>
      <c r="AR309" s="66" t="n">
        <f aca="false">(1+Discount_Rate)^((Inputs!$E$33-AR$272)/Days_In_Year)</f>
        <v>0.103069288904634</v>
      </c>
      <c r="AS309" s="66" t="n">
        <f aca="false">(1+Discount_Rate)^((Inputs!$E$33-AS$272)/Days_In_Year)</f>
        <v>0.0954345267635496</v>
      </c>
    </row>
    <row r="310" customFormat="false" ht="14.25" hidden="false" customHeight="false" outlineLevel="1" collapsed="false">
      <c r="C310" s="6" t="s">
        <v>269</v>
      </c>
      <c r="D310" s="2" t="s">
        <v>84</v>
      </c>
      <c r="H310" s="8" t="n">
        <f aca="false">SUM(J310:AS310)</f>
        <v>96859.9875751141</v>
      </c>
      <c r="J310" s="8" t="n">
        <f aca="false">J299*J309</f>
        <v>0</v>
      </c>
      <c r="K310" s="8" t="n">
        <f aca="false">K299*K309</f>
        <v>0</v>
      </c>
      <c r="L310" s="8" t="n">
        <f aca="false">L299*L309</f>
        <v>0</v>
      </c>
      <c r="M310" s="8" t="n">
        <f aca="false">M299*M309</f>
        <v>0</v>
      </c>
      <c r="N310" s="8" t="n">
        <f aca="false">N299*N309</f>
        <v>0</v>
      </c>
      <c r="O310" s="8" t="n">
        <f aca="false">O299*O309</f>
        <v>4036.29327611321</v>
      </c>
      <c r="P310" s="8" t="n">
        <f aca="false">P299*P309</f>
        <v>7521.46703548594</v>
      </c>
      <c r="Q310" s="8" t="n">
        <f aca="false">Q299*Q309</f>
        <v>6984.45913602273</v>
      </c>
      <c r="R310" s="8" t="n">
        <f aca="false">R299*R309</f>
        <v>6485.23260305704</v>
      </c>
      <c r="S310" s="8" t="n">
        <f aca="false">S299*S309</f>
        <v>6021.15665727413</v>
      </c>
      <c r="T310" s="8" t="n">
        <f aca="false">T299*T309</f>
        <v>5588.60385422703</v>
      </c>
      <c r="U310" s="8" t="n">
        <f aca="false">U299*U309</f>
        <v>5187.73609188603</v>
      </c>
      <c r="V310" s="8" t="n">
        <f aca="false">V299*V309</f>
        <v>4815.16244169449</v>
      </c>
      <c r="W310" s="8" t="n">
        <f aca="false">W299*W309</f>
        <v>4468.90822413392</v>
      </c>
      <c r="X310" s="8" t="n">
        <f aca="false">X299*X309</f>
        <v>4146.26112734661</v>
      </c>
      <c r="Y310" s="8" t="n">
        <f aca="false">Y299*Y309</f>
        <v>3847.32219805733</v>
      </c>
      <c r="Z310" s="8" t="n">
        <f aca="false">Z299*Z309</f>
        <v>3569.55745469721</v>
      </c>
      <c r="AA310" s="8" t="n">
        <f aca="false">AA299*AA309</f>
        <v>3311.48544354649</v>
      </c>
      <c r="AB310" s="8" t="n">
        <f aca="false">AB299*AB309</f>
        <v>3071.07984482966</v>
      </c>
      <c r="AC310" s="8" t="n">
        <f aca="false">AC299*AC309</f>
        <v>2848.39979788955</v>
      </c>
      <c r="AD310" s="8" t="n">
        <f aca="false">AD299*AD309</f>
        <v>2641.55342191854</v>
      </c>
      <c r="AE310" s="8" t="n">
        <f aca="false">AE299*AE309</f>
        <v>2449.42990645297</v>
      </c>
      <c r="AF310" s="8" t="n">
        <f aca="false">AF299*AF309</f>
        <v>2270.51683739522</v>
      </c>
      <c r="AG310" s="8" t="n">
        <f aca="false">AG299*AG309</f>
        <v>2104.8449812799</v>
      </c>
      <c r="AH310" s="8" t="n">
        <f aca="false">AH299*AH309</f>
        <v>1951.0032581328</v>
      </c>
      <c r="AI310" s="8" t="n">
        <f aca="false">AI299*AI309</f>
        <v>1808.1592690905</v>
      </c>
      <c r="AJ310" s="8" t="n">
        <f aca="false">AJ299*AJ309</f>
        <v>1675.18532730268</v>
      </c>
      <c r="AK310" s="8" t="n">
        <f aca="false">AK299*AK309</f>
        <v>1552.09342308344</v>
      </c>
      <c r="AL310" s="8" t="n">
        <f aca="false">AL299*AL309</f>
        <v>1437.83223761298</v>
      </c>
      <c r="AM310" s="8" t="n">
        <f aca="false">AM299*AM309</f>
        <v>1331.77840974629</v>
      </c>
      <c r="AN310" s="8" t="n">
        <f aca="false">AN299*AN309</f>
        <v>1233.09205946596</v>
      </c>
      <c r="AO310" s="8" t="n">
        <f aca="false">AO299*AO309</f>
        <v>1141.77314257906</v>
      </c>
      <c r="AP310" s="8" t="n">
        <f aca="false">AP299*AP309</f>
        <v>1057.03932136927</v>
      </c>
      <c r="AQ310" s="8" t="n">
        <f aca="false">AQ299*AQ309</f>
        <v>978.424109018572</v>
      </c>
      <c r="AR310" s="8" t="n">
        <f aca="false">AR299*AR309</f>
        <v>905.302754215534</v>
      </c>
      <c r="AS310" s="8" t="n">
        <f aca="false">AS299*AS309</f>
        <v>418.833930189019</v>
      </c>
    </row>
    <row r="311" customFormat="false" ht="14.25" hidden="false" customHeight="false" outlineLevel="1" collapsed="false">
      <c r="C311" s="6" t="s">
        <v>270</v>
      </c>
      <c r="D311" s="2" t="s">
        <v>84</v>
      </c>
      <c r="H311" s="8" t="n">
        <f aca="false">SUM(J311:AS311)</f>
        <v>-1719.29750796057</v>
      </c>
      <c r="J311" s="8" t="n">
        <f aca="false">-($E$206+$E$193)*(J$271=YEAR(Sale_Date))</f>
        <v>-0</v>
      </c>
      <c r="K311" s="8" t="n">
        <f aca="false">-($E$206+$E$193)*(K$271=YEAR(Sale_Date))</f>
        <v>-0</v>
      </c>
      <c r="L311" s="8" t="n">
        <f aca="false">-($E$206+$E$193)*(L$271=YEAR(Sale_Date))</f>
        <v>-0</v>
      </c>
      <c r="M311" s="8" t="n">
        <f aca="false">-($E$206+$E$193)*(M$271=YEAR(Sale_Date))</f>
        <v>-1719.29750796057</v>
      </c>
      <c r="N311" s="8" t="n">
        <f aca="false">-($E$206+$E$193)*(N$271=YEAR(Sale_Date))</f>
        <v>-0</v>
      </c>
      <c r="O311" s="8" t="n">
        <f aca="false">-($E$206+$E$193)*(O$271=YEAR(Sale_Date))</f>
        <v>-0</v>
      </c>
      <c r="P311" s="8" t="n">
        <f aca="false">-($E$206+$E$193)*(P$271=YEAR(Sale_Date))</f>
        <v>-0</v>
      </c>
      <c r="Q311" s="8" t="n">
        <f aca="false">-($E$206+$E$193)*(Q$271=YEAR(Sale_Date))</f>
        <v>-0</v>
      </c>
      <c r="R311" s="8" t="n">
        <f aca="false">-($E$206+$E$193)*(R$271=YEAR(Sale_Date))</f>
        <v>-0</v>
      </c>
      <c r="S311" s="8" t="n">
        <f aca="false">-($E$206+$E$193)*(S$271=YEAR(Sale_Date))</f>
        <v>-0</v>
      </c>
      <c r="T311" s="8" t="n">
        <f aca="false">-($E$206+$E$193)*(T$271=YEAR(Sale_Date))</f>
        <v>-0</v>
      </c>
      <c r="U311" s="8" t="n">
        <f aca="false">-($E$206+$E$193)*(U$271=YEAR(Sale_Date))</f>
        <v>-0</v>
      </c>
      <c r="V311" s="8" t="n">
        <f aca="false">-($E$206+$E$193)*(V$271=YEAR(Sale_Date))</f>
        <v>-0</v>
      </c>
      <c r="W311" s="8" t="n">
        <f aca="false">-($E$206+$E$193)*(W$271=YEAR(Sale_Date))</f>
        <v>-0</v>
      </c>
      <c r="X311" s="8" t="n">
        <f aca="false">-($E$206+$E$193)*(X$271=YEAR(Sale_Date))</f>
        <v>-0</v>
      </c>
      <c r="Y311" s="8" t="n">
        <f aca="false">-($E$206+$E$193)*(Y$271=YEAR(Sale_Date))</f>
        <v>-0</v>
      </c>
      <c r="Z311" s="8" t="n">
        <f aca="false">-($E$206+$E$193)*(Z$271=YEAR(Sale_Date))</f>
        <v>-0</v>
      </c>
      <c r="AA311" s="8" t="n">
        <f aca="false">-($E$206+$E$193)*(AA$271=YEAR(Sale_Date))</f>
        <v>-0</v>
      </c>
      <c r="AB311" s="8" t="n">
        <f aca="false">-($E$206+$E$193)*(AB$271=YEAR(Sale_Date))</f>
        <v>-0</v>
      </c>
      <c r="AC311" s="8" t="n">
        <f aca="false">-($E$206+$E$193)*(AC$271=YEAR(Sale_Date))</f>
        <v>-0</v>
      </c>
      <c r="AD311" s="8" t="n">
        <f aca="false">-($E$206+$E$193)*(AD$271=YEAR(Sale_Date))</f>
        <v>-0</v>
      </c>
      <c r="AE311" s="8" t="n">
        <f aca="false">-($E$206+$E$193)*(AE$271=YEAR(Sale_Date))</f>
        <v>-0</v>
      </c>
      <c r="AF311" s="8" t="n">
        <f aca="false">-($E$206+$E$193)*(AF$271=YEAR(Sale_Date))</f>
        <v>-0</v>
      </c>
      <c r="AG311" s="8" t="n">
        <f aca="false">-($E$206+$E$193)*(AG$271=YEAR(Sale_Date))</f>
        <v>-0</v>
      </c>
      <c r="AH311" s="8" t="n">
        <f aca="false">-($E$206+$E$193)*(AH$271=YEAR(Sale_Date))</f>
        <v>-0</v>
      </c>
      <c r="AI311" s="8" t="n">
        <f aca="false">-($E$206+$E$193)*(AI$271=YEAR(Sale_Date))</f>
        <v>-0</v>
      </c>
      <c r="AJ311" s="8" t="n">
        <f aca="false">-($E$206+$E$193)*(AJ$271=YEAR(Sale_Date))</f>
        <v>-0</v>
      </c>
      <c r="AK311" s="8" t="n">
        <f aca="false">-($E$206+$E$193)*(AK$271=YEAR(Sale_Date))</f>
        <v>-0</v>
      </c>
      <c r="AL311" s="8" t="n">
        <f aca="false">-($E$206+$E$193)*(AL$271=YEAR(Sale_Date))</f>
        <v>-0</v>
      </c>
      <c r="AM311" s="8" t="n">
        <f aca="false">-($E$206+$E$193)*(AM$271=YEAR(Sale_Date))</f>
        <v>-0</v>
      </c>
      <c r="AN311" s="8" t="n">
        <f aca="false">-($E$206+$E$193)*(AN$271=YEAR(Sale_Date))</f>
        <v>-0</v>
      </c>
      <c r="AO311" s="8" t="n">
        <f aca="false">-($E$206+$E$193)*(AO$271=YEAR(Sale_Date))</f>
        <v>-0</v>
      </c>
      <c r="AP311" s="8" t="n">
        <f aca="false">-($E$206+$E$193)*(AP$271=YEAR(Sale_Date))</f>
        <v>-0</v>
      </c>
      <c r="AQ311" s="8" t="n">
        <f aca="false">-($E$206+$E$193)*(AQ$271=YEAR(Sale_Date))</f>
        <v>-0</v>
      </c>
      <c r="AR311" s="8" t="n">
        <f aca="false">-($E$206+$E$193)*(AR$271=YEAR(Sale_Date))</f>
        <v>-0</v>
      </c>
      <c r="AS311" s="8" t="n">
        <f aca="false">-($E$206+$E$193)*(AS$271=YEAR(Sale_Date))</f>
        <v>-0</v>
      </c>
    </row>
    <row r="312" customFormat="false" ht="14.25" hidden="false" customHeight="false" outlineLevel="1" collapsed="false">
      <c r="C312" s="1" t="s">
        <v>271</v>
      </c>
      <c r="D312" s="2" t="s">
        <v>84</v>
      </c>
      <c r="H312" s="34" t="n">
        <f aca="false">SUM(J312:AS312)</f>
        <v>34504.3688287974</v>
      </c>
      <c r="J312" s="34" t="n">
        <f aca="false">J285*(J275&lt;=0)+J280*($H310+$E$61+$E$62)+J311</f>
        <v>-386.301369863014</v>
      </c>
      <c r="K312" s="34" t="n">
        <f aca="false">K285*(K275&lt;=0)+K280*($H310+$E$61+$E$62)+K311</f>
        <v>-2513.23712328767</v>
      </c>
      <c r="L312" s="34" t="n">
        <f aca="false">L285*(L275&lt;=0)+L280*($H310+$E$61+$E$62)+L311</f>
        <v>-10089.6937041096</v>
      </c>
      <c r="M312" s="34" t="n">
        <f aca="false">M285*(M275&lt;=0)+M280*($H310+$E$61+$E$62)+M311</f>
        <v>-13728.6725079606</v>
      </c>
      <c r="N312" s="34" t="n">
        <f aca="false">N285*(N275&lt;=0)+N280*($H310+$E$61+$E$62)+N311</f>
        <v>-24018.75</v>
      </c>
      <c r="O312" s="34" t="n">
        <f aca="false">O285*(O275&lt;=0)+O280*($H310+$E$61+$E$62)+O311</f>
        <v>85241.0235340182</v>
      </c>
      <c r="P312" s="34" t="n">
        <f aca="false">P285*(P275&lt;=0)+P280*($H310+$E$61+$E$62)+P311</f>
        <v>0</v>
      </c>
      <c r="Q312" s="34" t="n">
        <f aca="false">Q285*(Q275&lt;=0)+Q280*($H310+$E$61+$E$62)+Q311</f>
        <v>0</v>
      </c>
      <c r="R312" s="34" t="n">
        <f aca="false">R285*(R275&lt;=0)+R280*($H310+$E$61+$E$62)+R311</f>
        <v>0</v>
      </c>
      <c r="S312" s="34" t="n">
        <f aca="false">S285*(S275&lt;=0)+S280*($H310+$E$61+$E$62)+S311</f>
        <v>0</v>
      </c>
      <c r="T312" s="34" t="n">
        <f aca="false">T285*(T275&lt;=0)+T280*($H310+$E$61+$E$62)+T311</f>
        <v>0</v>
      </c>
      <c r="U312" s="34" t="n">
        <f aca="false">U285*(U275&lt;=0)+U280*($H310+$E$61+$E$62)+U311</f>
        <v>0</v>
      </c>
      <c r="V312" s="34" t="n">
        <f aca="false">V285*(V275&lt;=0)+V280*($H310+$E$61+$E$62)+V311</f>
        <v>0</v>
      </c>
      <c r="W312" s="34" t="n">
        <f aca="false">W285*(W275&lt;=0)+W280*($H310+$E$61+$E$62)+W311</f>
        <v>0</v>
      </c>
      <c r="X312" s="34" t="n">
        <f aca="false">X285*(X275&lt;=0)+X280*($H310+$E$61+$E$62)+X311</f>
        <v>0</v>
      </c>
      <c r="Y312" s="34" t="n">
        <f aca="false">Y285*(Y275&lt;=0)+Y280*($H310+$E$61+$E$62)+Y311</f>
        <v>0</v>
      </c>
      <c r="Z312" s="34" t="n">
        <f aca="false">Z285*(Z275&lt;=0)+Z280*($H310+$E$61+$E$62)+Z311</f>
        <v>0</v>
      </c>
      <c r="AA312" s="34" t="n">
        <f aca="false">AA285*(AA275&lt;=0)+AA280*($H310+$E$61+$E$62)+AA311</f>
        <v>0</v>
      </c>
      <c r="AB312" s="34" t="n">
        <f aca="false">AB285*(AB275&lt;=0)+AB280*($H310+$E$61+$E$62)+AB311</f>
        <v>0</v>
      </c>
      <c r="AC312" s="34" t="n">
        <f aca="false">AC285*(AC275&lt;=0)+AC280*($H310+$E$61+$E$62)+AC311</f>
        <v>0</v>
      </c>
      <c r="AD312" s="34" t="n">
        <f aca="false">AD285*(AD275&lt;=0)+AD280*($H310+$E$61+$E$62)+AD311</f>
        <v>0</v>
      </c>
      <c r="AE312" s="34" t="n">
        <f aca="false">AE285*(AE275&lt;=0)+AE280*($H310+$E$61+$E$62)+AE311</f>
        <v>0</v>
      </c>
      <c r="AF312" s="34" t="n">
        <f aca="false">AF285*(AF275&lt;=0)+AF280*($H310+$E$61+$E$62)+AF311</f>
        <v>0</v>
      </c>
      <c r="AG312" s="34" t="n">
        <f aca="false">AG285*(AG275&lt;=0)+AG280*($H310+$E$61+$E$62)+AG311</f>
        <v>0</v>
      </c>
      <c r="AH312" s="34" t="n">
        <f aca="false">AH285*(AH275&lt;=0)+AH280*($H310+$E$61+$E$62)+AH311</f>
        <v>0</v>
      </c>
      <c r="AI312" s="34" t="n">
        <f aca="false">AI285*(AI275&lt;=0)+AI280*($H310+$E$61+$E$62)+AI311</f>
        <v>0</v>
      </c>
      <c r="AJ312" s="34" t="n">
        <f aca="false">AJ285*(AJ275&lt;=0)+AJ280*($H310+$E$61+$E$62)+AJ311</f>
        <v>0</v>
      </c>
      <c r="AK312" s="34" t="n">
        <f aca="false">AK285*(AK275&lt;=0)+AK280*($H310+$E$61+$E$62)+AK311</f>
        <v>0</v>
      </c>
      <c r="AL312" s="34" t="n">
        <f aca="false">AL285*(AL275&lt;=0)+AL280*($H310+$E$61+$E$62)+AL311</f>
        <v>0</v>
      </c>
      <c r="AM312" s="34" t="n">
        <f aca="false">AM285*(AM275&lt;=0)+AM280*($H310+$E$61+$E$62)+AM311</f>
        <v>0</v>
      </c>
      <c r="AN312" s="34" t="n">
        <f aca="false">AN285*(AN275&lt;=0)+AN280*($H310+$E$61+$E$62)+AN311</f>
        <v>0</v>
      </c>
      <c r="AO312" s="34" t="n">
        <f aca="false">AO285*(AO275&lt;=0)+AO280*($H310+$E$61+$E$62)+AO311</f>
        <v>0</v>
      </c>
      <c r="AP312" s="34" t="n">
        <f aca="false">AP285*(AP275&lt;=0)+AP280*($H310+$E$61+$E$62)+AP311</f>
        <v>0</v>
      </c>
      <c r="AQ312" s="34" t="n">
        <f aca="false">AQ285*(AQ275&lt;=0)+AQ280*($H310+$E$61+$E$62)+AQ311</f>
        <v>0</v>
      </c>
      <c r="AR312" s="34" t="n">
        <f aca="false">AR285*(AR275&lt;=0)+AR280*($H310+$E$61+$E$62)+AR311</f>
        <v>0</v>
      </c>
      <c r="AS312" s="34" t="n">
        <f aca="false">AS285*(AS275&lt;=0)+AS280*($H310+$E$61+$E$62)+AS311</f>
        <v>0</v>
      </c>
    </row>
    <row r="313" customFormat="false" ht="14.25" hidden="false" customHeight="false" outlineLevel="1" collapsed="false"/>
    <row r="314" customFormat="false" ht="14.25" hidden="false" customHeight="false" outlineLevel="1" collapsed="false">
      <c r="B314" s="4" t="s">
        <v>3</v>
      </c>
      <c r="C314" s="4" t="s">
        <v>272</v>
      </c>
      <c r="D314" s="4"/>
      <c r="E314" s="5"/>
      <c r="F314" s="5" t="s">
        <v>232</v>
      </c>
      <c r="G314" s="5"/>
      <c r="H314" s="5" t="s">
        <v>8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customFormat="false" ht="14.25" hidden="false" customHeight="false" outlineLevel="1" collapsed="false">
      <c r="C315" s="6" t="s">
        <v>233</v>
      </c>
      <c r="D315" s="2" t="s">
        <v>234</v>
      </c>
      <c r="J315" s="57" t="n">
        <f aca="false">J$271-YEAR(Inputs!$F$33)</f>
        <v>-5</v>
      </c>
      <c r="K315" s="57" t="n">
        <f aca="false">K$271-YEAR(Inputs!$F$33)</f>
        <v>-4</v>
      </c>
      <c r="L315" s="57" t="n">
        <f aca="false">L$271-YEAR(Inputs!$F$33)</f>
        <v>-3</v>
      </c>
      <c r="M315" s="57" t="n">
        <f aca="false">M$271-YEAR(Inputs!$F$33)</f>
        <v>-2</v>
      </c>
      <c r="N315" s="57" t="n">
        <f aca="false">N$271-YEAR(Inputs!$F$33)</f>
        <v>-1</v>
      </c>
      <c r="O315" s="57" t="n">
        <f aca="false">O$271-YEAR(Inputs!$F$33)</f>
        <v>0</v>
      </c>
      <c r="P315" s="57" t="n">
        <f aca="false">P$271-YEAR(Inputs!$F$33)</f>
        <v>1</v>
      </c>
      <c r="Q315" s="57" t="n">
        <f aca="false">Q$271-YEAR(Inputs!$F$33)</f>
        <v>2</v>
      </c>
      <c r="R315" s="57" t="n">
        <f aca="false">R$271-YEAR(Inputs!$F$33)</f>
        <v>3</v>
      </c>
      <c r="S315" s="57" t="n">
        <f aca="false">S$271-YEAR(Inputs!$F$33)</f>
        <v>4</v>
      </c>
      <c r="T315" s="57" t="n">
        <f aca="false">T$271-YEAR(Inputs!$F$33)</f>
        <v>5</v>
      </c>
      <c r="U315" s="57" t="n">
        <f aca="false">U$271-YEAR(Inputs!$F$33)</f>
        <v>6</v>
      </c>
      <c r="V315" s="57" t="n">
        <f aca="false">V$271-YEAR(Inputs!$F$33)</f>
        <v>7</v>
      </c>
      <c r="W315" s="57" t="n">
        <f aca="false">W$271-YEAR(Inputs!$F$33)</f>
        <v>8</v>
      </c>
      <c r="X315" s="57" t="n">
        <f aca="false">X$271-YEAR(Inputs!$F$33)</f>
        <v>9</v>
      </c>
      <c r="Y315" s="57" t="n">
        <f aca="false">Y$271-YEAR(Inputs!$F$33)</f>
        <v>10</v>
      </c>
      <c r="Z315" s="57" t="n">
        <f aca="false">Z$271-YEAR(Inputs!$F$33)</f>
        <v>11</v>
      </c>
      <c r="AA315" s="57" t="n">
        <f aca="false">AA$271-YEAR(Inputs!$F$33)</f>
        <v>12</v>
      </c>
      <c r="AB315" s="57" t="n">
        <f aca="false">AB$271-YEAR(Inputs!$F$33)</f>
        <v>13</v>
      </c>
      <c r="AC315" s="57" t="n">
        <f aca="false">AC$271-YEAR(Inputs!$F$33)</f>
        <v>14</v>
      </c>
      <c r="AD315" s="57" t="n">
        <f aca="false">AD$271-YEAR(Inputs!$F$33)</f>
        <v>15</v>
      </c>
      <c r="AE315" s="57" t="n">
        <f aca="false">AE$271-YEAR(Inputs!$F$33)</f>
        <v>16</v>
      </c>
      <c r="AF315" s="57" t="n">
        <f aca="false">AF$271-YEAR(Inputs!$F$33)</f>
        <v>17</v>
      </c>
      <c r="AG315" s="57" t="n">
        <f aca="false">AG$271-YEAR(Inputs!$F$33)</f>
        <v>18</v>
      </c>
      <c r="AH315" s="57" t="n">
        <f aca="false">AH$271-YEAR(Inputs!$F$33)</f>
        <v>19</v>
      </c>
      <c r="AI315" s="57" t="n">
        <f aca="false">AI$271-YEAR(Inputs!$F$33)</f>
        <v>20</v>
      </c>
      <c r="AJ315" s="57" t="n">
        <f aca="false">AJ$271-YEAR(Inputs!$F$33)</f>
        <v>21</v>
      </c>
      <c r="AK315" s="57" t="n">
        <f aca="false">AK$271-YEAR(Inputs!$F$33)</f>
        <v>22</v>
      </c>
      <c r="AL315" s="57" t="n">
        <f aca="false">AL$271-YEAR(Inputs!$F$33)</f>
        <v>23</v>
      </c>
      <c r="AM315" s="57" t="n">
        <f aca="false">AM$271-YEAR(Inputs!$F$33)</f>
        <v>24</v>
      </c>
      <c r="AN315" s="57" t="n">
        <f aca="false">AN$271-YEAR(Inputs!$F$33)</f>
        <v>25</v>
      </c>
      <c r="AO315" s="57" t="n">
        <f aca="false">AO$271-YEAR(Inputs!$F$33)</f>
        <v>26</v>
      </c>
      <c r="AP315" s="57" t="n">
        <f aca="false">AP$271-YEAR(Inputs!$F$33)</f>
        <v>27</v>
      </c>
      <c r="AQ315" s="57" t="n">
        <f aca="false">AQ$271-YEAR(Inputs!$F$33)</f>
        <v>28</v>
      </c>
      <c r="AR315" s="57" t="n">
        <f aca="false">AR$271-YEAR(Inputs!$F$33)</f>
        <v>29</v>
      </c>
      <c r="AS315" s="57" t="n">
        <f aca="false">AS$271-YEAR(Inputs!$F$33)</f>
        <v>30</v>
      </c>
    </row>
    <row r="316" customFormat="false" ht="14.25" hidden="false" customHeight="false" outlineLevel="1" collapsed="false">
      <c r="C316" s="6" t="s">
        <v>235</v>
      </c>
      <c r="D316" s="2" t="s">
        <v>236</v>
      </c>
      <c r="F316" s="57" t="n">
        <f aca="false">DATEDIF(Inputs!$F$32,Inputs!$F$33,"m")</f>
        <v>24</v>
      </c>
      <c r="J316" s="57" t="n">
        <f aca="false">(J$271+1-YEAR(Inputs!$F$32))*Months_In_Year-MONTH(Inputs!$F$32)</f>
        <v>-30</v>
      </c>
      <c r="K316" s="57" t="n">
        <f aca="false">(K$271+1-YEAR(Inputs!$F$32))*Months_In_Year-MONTH(Inputs!$F$32)</f>
        <v>-18</v>
      </c>
      <c r="L316" s="57" t="n">
        <f aca="false">(L$271+1-YEAR(Inputs!$F$32))*Months_In_Year-MONTH(Inputs!$F$32)</f>
        <v>-6</v>
      </c>
      <c r="M316" s="57" t="n">
        <f aca="false">(M$271+1-YEAR(Inputs!$F$32))*Months_In_Year-MONTH(Inputs!$F$32)</f>
        <v>6</v>
      </c>
      <c r="N316" s="57" t="n">
        <f aca="false">(N$271+1-YEAR(Inputs!$F$32))*Months_In_Year-MONTH(Inputs!$F$32)</f>
        <v>18</v>
      </c>
      <c r="O316" s="57" t="n">
        <f aca="false">(O$271+1-YEAR(Inputs!$F$32))*Months_In_Year-MONTH(Inputs!$F$32)</f>
        <v>30</v>
      </c>
      <c r="P316" s="57" t="n">
        <f aca="false">(P$271+1-YEAR(Inputs!$F$32))*Months_In_Year-MONTH(Inputs!$F$32)</f>
        <v>42</v>
      </c>
      <c r="Q316" s="57" t="n">
        <f aca="false">(Q$271+1-YEAR(Inputs!$F$32))*Months_In_Year-MONTH(Inputs!$F$32)</f>
        <v>54</v>
      </c>
      <c r="R316" s="57" t="n">
        <f aca="false">(R$271+1-YEAR(Inputs!$F$32))*Months_In_Year-MONTH(Inputs!$F$32)</f>
        <v>66</v>
      </c>
      <c r="S316" s="57" t="n">
        <f aca="false">(S$271+1-YEAR(Inputs!$F$32))*Months_In_Year-MONTH(Inputs!$F$32)</f>
        <v>78</v>
      </c>
      <c r="T316" s="57" t="n">
        <f aca="false">(T$271+1-YEAR(Inputs!$F$32))*Months_In_Year-MONTH(Inputs!$F$32)</f>
        <v>90</v>
      </c>
      <c r="U316" s="57" t="n">
        <f aca="false">(U$271+1-YEAR(Inputs!$F$32))*Months_In_Year-MONTH(Inputs!$F$32)</f>
        <v>102</v>
      </c>
      <c r="V316" s="57" t="n">
        <f aca="false">(V$271+1-YEAR(Inputs!$F$32))*Months_In_Year-MONTH(Inputs!$F$32)</f>
        <v>114</v>
      </c>
      <c r="W316" s="57" t="n">
        <f aca="false">(W$271+1-YEAR(Inputs!$F$32))*Months_In_Year-MONTH(Inputs!$F$32)</f>
        <v>126</v>
      </c>
      <c r="X316" s="57" t="n">
        <f aca="false">(X$271+1-YEAR(Inputs!$F$32))*Months_In_Year-MONTH(Inputs!$F$32)</f>
        <v>138</v>
      </c>
      <c r="Y316" s="57" t="n">
        <f aca="false">(Y$271+1-YEAR(Inputs!$F$32))*Months_In_Year-MONTH(Inputs!$F$32)</f>
        <v>150</v>
      </c>
      <c r="Z316" s="57" t="n">
        <f aca="false">(Z$271+1-YEAR(Inputs!$F$32))*Months_In_Year-MONTH(Inputs!$F$32)</f>
        <v>162</v>
      </c>
      <c r="AA316" s="57" t="n">
        <f aca="false">(AA$271+1-YEAR(Inputs!$F$32))*Months_In_Year-MONTH(Inputs!$F$32)</f>
        <v>174</v>
      </c>
      <c r="AB316" s="57" t="n">
        <f aca="false">(AB$271+1-YEAR(Inputs!$F$32))*Months_In_Year-MONTH(Inputs!$F$32)</f>
        <v>186</v>
      </c>
      <c r="AC316" s="57" t="n">
        <f aca="false">(AC$271+1-YEAR(Inputs!$F$32))*Months_In_Year-MONTH(Inputs!$F$32)</f>
        <v>198</v>
      </c>
      <c r="AD316" s="57" t="n">
        <f aca="false">(AD$271+1-YEAR(Inputs!$F$32))*Months_In_Year-MONTH(Inputs!$F$32)</f>
        <v>210</v>
      </c>
      <c r="AE316" s="57" t="n">
        <f aca="false">(AE$271+1-YEAR(Inputs!$F$32))*Months_In_Year-MONTH(Inputs!$F$32)</f>
        <v>222</v>
      </c>
      <c r="AF316" s="57" t="n">
        <f aca="false">(AF$271+1-YEAR(Inputs!$F$32))*Months_In_Year-MONTH(Inputs!$F$32)</f>
        <v>234</v>
      </c>
      <c r="AG316" s="57" t="n">
        <f aca="false">(AG$271+1-YEAR(Inputs!$F$32))*Months_In_Year-MONTH(Inputs!$F$32)</f>
        <v>246</v>
      </c>
      <c r="AH316" s="57" t="n">
        <f aca="false">(AH$271+1-YEAR(Inputs!$F$32))*Months_In_Year-MONTH(Inputs!$F$32)</f>
        <v>258</v>
      </c>
      <c r="AI316" s="57" t="n">
        <f aca="false">(AI$271+1-YEAR(Inputs!$F$32))*Months_In_Year-MONTH(Inputs!$F$32)</f>
        <v>270</v>
      </c>
      <c r="AJ316" s="57" t="n">
        <f aca="false">(AJ$271+1-YEAR(Inputs!$F$32))*Months_In_Year-MONTH(Inputs!$F$32)</f>
        <v>282</v>
      </c>
      <c r="AK316" s="57" t="n">
        <f aca="false">(AK$271+1-YEAR(Inputs!$F$32))*Months_In_Year-MONTH(Inputs!$F$32)</f>
        <v>294</v>
      </c>
      <c r="AL316" s="57" t="n">
        <f aca="false">(AL$271+1-YEAR(Inputs!$F$32))*Months_In_Year-MONTH(Inputs!$F$32)</f>
        <v>306</v>
      </c>
      <c r="AM316" s="57" t="n">
        <f aca="false">(AM$271+1-YEAR(Inputs!$F$32))*Months_In_Year-MONTH(Inputs!$F$32)</f>
        <v>318</v>
      </c>
      <c r="AN316" s="57" t="n">
        <f aca="false">(AN$271+1-YEAR(Inputs!$F$32))*Months_In_Year-MONTH(Inputs!$F$32)</f>
        <v>330</v>
      </c>
      <c r="AO316" s="57" t="n">
        <f aca="false">(AO$271+1-YEAR(Inputs!$F$32))*Months_In_Year-MONTH(Inputs!$F$32)</f>
        <v>342</v>
      </c>
      <c r="AP316" s="57" t="n">
        <f aca="false">(AP$271+1-YEAR(Inputs!$F$32))*Months_In_Year-MONTH(Inputs!$F$32)</f>
        <v>354</v>
      </c>
      <c r="AQ316" s="57" t="n">
        <f aca="false">(AQ$271+1-YEAR(Inputs!$F$32))*Months_In_Year-MONTH(Inputs!$F$32)</f>
        <v>366</v>
      </c>
      <c r="AR316" s="57" t="n">
        <f aca="false">(AR$271+1-YEAR(Inputs!$F$32))*Months_In_Year-MONTH(Inputs!$F$32)</f>
        <v>378</v>
      </c>
      <c r="AS316" s="57" t="n">
        <f aca="false">(AS$271+1-YEAR(Inputs!$F$32))*Months_In_Year-MONTH(Inputs!$F$32)</f>
        <v>390</v>
      </c>
    </row>
    <row r="317" customFormat="false" ht="14.25" hidden="false" customHeight="false" outlineLevel="1" collapsed="false">
      <c r="C317" s="6" t="s">
        <v>237</v>
      </c>
      <c r="D317" s="2" t="s">
        <v>12</v>
      </c>
      <c r="H317" s="64" t="n">
        <f aca="false">SUM(J317:AS317)</f>
        <v>1</v>
      </c>
      <c r="J317" s="50" t="n">
        <f aca="false">MAX(0,MIN(J316,$F316)-MAX(J316-Months_In_Year,0))/$F316</f>
        <v>0</v>
      </c>
      <c r="K317" s="50" t="n">
        <f aca="false">MAX(0,MIN(K316,$F316)-MAX(K316-Months_In_Year,0))/$F316</f>
        <v>0</v>
      </c>
      <c r="L317" s="50" t="n">
        <f aca="false">MAX(0,MIN(L316,$F316)-MAX(L316-Months_In_Year,0))/$F316</f>
        <v>0</v>
      </c>
      <c r="M317" s="50" t="n">
        <f aca="false">MAX(0,MIN(M316,$F316)-MAX(M316-Months_In_Year,0))/$F316</f>
        <v>0.25</v>
      </c>
      <c r="N317" s="50" t="n">
        <f aca="false">MAX(0,MIN(N316,$F316)-MAX(N316-Months_In_Year,0))/$F316</f>
        <v>0.5</v>
      </c>
      <c r="O317" s="50" t="n">
        <f aca="false">MAX(0,MIN(O316,$F316)-MAX(O316-Months_In_Year,0))/$F316</f>
        <v>0.25</v>
      </c>
      <c r="P317" s="50" t="n">
        <f aca="false">MAX(0,MIN(P316,$F316)-MAX(P316-Months_In_Year,0))/$F316</f>
        <v>0</v>
      </c>
      <c r="Q317" s="50" t="n">
        <f aca="false">MAX(0,MIN(Q316,$F316)-MAX(Q316-Months_In_Year,0))/$F316</f>
        <v>0</v>
      </c>
      <c r="R317" s="50" t="n">
        <f aca="false">MAX(0,MIN(R316,$F316)-MAX(R316-Months_In_Year,0))/$F316</f>
        <v>0</v>
      </c>
      <c r="S317" s="50" t="n">
        <f aca="false">MAX(0,MIN(S316,$F316)-MAX(S316-Months_In_Year,0))/$F316</f>
        <v>0</v>
      </c>
      <c r="T317" s="50" t="n">
        <f aca="false">MAX(0,MIN(T316,$F316)-MAX(T316-Months_In_Year,0))/$F316</f>
        <v>0</v>
      </c>
      <c r="U317" s="50" t="n">
        <f aca="false">MAX(0,MIN(U316,$F316)-MAX(U316-Months_In_Year,0))/$F316</f>
        <v>0</v>
      </c>
      <c r="V317" s="50" t="n">
        <f aca="false">MAX(0,MIN(V316,$F316)-MAX(V316-Months_In_Year,0))/$F316</f>
        <v>0</v>
      </c>
      <c r="W317" s="50" t="n">
        <f aca="false">MAX(0,MIN(W316,$F316)-MAX(W316-Months_In_Year,0))/$F316</f>
        <v>0</v>
      </c>
      <c r="X317" s="50" t="n">
        <f aca="false">MAX(0,MIN(X316,$F316)-MAX(X316-Months_In_Year,0))/$F316</f>
        <v>0</v>
      </c>
      <c r="Y317" s="50" t="n">
        <f aca="false">MAX(0,MIN(Y316,$F316)-MAX(Y316-Months_In_Year,0))/$F316</f>
        <v>0</v>
      </c>
      <c r="Z317" s="50" t="n">
        <f aca="false">MAX(0,MIN(Z316,$F316)-MAX(Z316-Months_In_Year,0))/$F316</f>
        <v>0</v>
      </c>
      <c r="AA317" s="50" t="n">
        <f aca="false">MAX(0,MIN(AA316,$F316)-MAX(AA316-Months_In_Year,0))/$F316</f>
        <v>0</v>
      </c>
      <c r="AB317" s="50" t="n">
        <f aca="false">MAX(0,MIN(AB316,$F316)-MAX(AB316-Months_In_Year,0))/$F316</f>
        <v>0</v>
      </c>
      <c r="AC317" s="50" t="n">
        <f aca="false">MAX(0,MIN(AC316,$F316)-MAX(AC316-Months_In_Year,0))/$F316</f>
        <v>0</v>
      </c>
      <c r="AD317" s="50" t="n">
        <f aca="false">MAX(0,MIN(AD316,$F316)-MAX(AD316-Months_In_Year,0))/$F316</f>
        <v>0</v>
      </c>
      <c r="AE317" s="50" t="n">
        <f aca="false">MAX(0,MIN(AE316,$F316)-MAX(AE316-Months_In_Year,0))/$F316</f>
        <v>0</v>
      </c>
      <c r="AF317" s="50" t="n">
        <f aca="false">MAX(0,MIN(AF316,$F316)-MAX(AF316-Months_In_Year,0))/$F316</f>
        <v>0</v>
      </c>
      <c r="AG317" s="50" t="n">
        <f aca="false">MAX(0,MIN(AG316,$F316)-MAX(AG316-Months_In_Year,0))/$F316</f>
        <v>0</v>
      </c>
      <c r="AH317" s="50" t="n">
        <f aca="false">MAX(0,MIN(AH316,$F316)-MAX(AH316-Months_In_Year,0))/$F316</f>
        <v>0</v>
      </c>
      <c r="AI317" s="50" t="n">
        <f aca="false">MAX(0,MIN(AI316,$F316)-MAX(AI316-Months_In_Year,0))/$F316</f>
        <v>0</v>
      </c>
      <c r="AJ317" s="50" t="n">
        <f aca="false">MAX(0,MIN(AJ316,$F316)-MAX(AJ316-Months_In_Year,0))/$F316</f>
        <v>0</v>
      </c>
      <c r="AK317" s="50" t="n">
        <f aca="false">MAX(0,MIN(AK316,$F316)-MAX(AK316-Months_In_Year,0))/$F316</f>
        <v>0</v>
      </c>
      <c r="AL317" s="50" t="n">
        <f aca="false">MAX(0,MIN(AL316,$F316)-MAX(AL316-Months_In_Year,0))/$F316</f>
        <v>0</v>
      </c>
      <c r="AM317" s="50" t="n">
        <f aca="false">MAX(0,MIN(AM316,$F316)-MAX(AM316-Months_In_Year,0))/$F316</f>
        <v>0</v>
      </c>
      <c r="AN317" s="50" t="n">
        <f aca="false">MAX(0,MIN(AN316,$F316)-MAX(AN316-Months_In_Year,0))/$F316</f>
        <v>0</v>
      </c>
      <c r="AO317" s="50" t="n">
        <f aca="false">MAX(0,MIN(AO316,$F316)-MAX(AO316-Months_In_Year,0))/$F316</f>
        <v>0</v>
      </c>
      <c r="AP317" s="50" t="n">
        <f aca="false">MAX(0,MIN(AP316,$F316)-MAX(AP316-Months_In_Year,0))/$F316</f>
        <v>0</v>
      </c>
      <c r="AQ317" s="50" t="n">
        <f aca="false">MAX(0,MIN(AQ316,$F316)-MAX(AQ316-Months_In_Year,0))/$F316</f>
        <v>0</v>
      </c>
      <c r="AR317" s="50" t="n">
        <f aca="false">MAX(0,MIN(AR316,$F316)-MAX(AR316-Months_In_Year,0))/$F316</f>
        <v>0</v>
      </c>
      <c r="AS317" s="50" t="n">
        <f aca="false">MAX(0,MIN(AS316,$F316)-MAX(AS316-Months_In_Year,0))/$F316</f>
        <v>0</v>
      </c>
    </row>
    <row r="318" customFormat="false" ht="14.25" hidden="false" customHeight="false" outlineLevel="1" collapsed="false">
      <c r="C318" s="6" t="s">
        <v>238</v>
      </c>
      <c r="D318" s="2" t="s">
        <v>236</v>
      </c>
      <c r="F318" s="57" t="n">
        <f aca="false">Life*Months_In_Year</f>
        <v>360</v>
      </c>
      <c r="J318" s="57" t="n">
        <f aca="false">(J$271+1-YEAR(Inputs!$F$33))*Months_In_Year-MONTH(Inputs!$F$33)</f>
        <v>-54</v>
      </c>
      <c r="K318" s="57" t="n">
        <f aca="false">(K$271+1-YEAR(Inputs!$F$33))*Months_In_Year-MONTH(Inputs!$F$33)</f>
        <v>-42</v>
      </c>
      <c r="L318" s="57" t="n">
        <f aca="false">(L$271+1-YEAR(Inputs!$F$33))*Months_In_Year-MONTH(Inputs!$F$33)</f>
        <v>-30</v>
      </c>
      <c r="M318" s="57" t="n">
        <f aca="false">(M$271+1-YEAR(Inputs!$F$33))*Months_In_Year-MONTH(Inputs!$F$33)</f>
        <v>-18</v>
      </c>
      <c r="N318" s="57" t="n">
        <f aca="false">(N$271+1-YEAR(Inputs!$F$33))*Months_In_Year-MONTH(Inputs!$F$33)</f>
        <v>-6</v>
      </c>
      <c r="O318" s="57" t="n">
        <f aca="false">(O$271+1-YEAR(Inputs!$F$33))*Months_In_Year-MONTH(Inputs!$F$33)</f>
        <v>6</v>
      </c>
      <c r="P318" s="57" t="n">
        <f aca="false">(P$271+1-YEAR(Inputs!$F$33))*Months_In_Year-MONTH(Inputs!$F$33)</f>
        <v>18</v>
      </c>
      <c r="Q318" s="57" t="n">
        <f aca="false">(Q$271+1-YEAR(Inputs!$F$33))*Months_In_Year-MONTH(Inputs!$F$33)</f>
        <v>30</v>
      </c>
      <c r="R318" s="57" t="n">
        <f aca="false">(R$271+1-YEAR(Inputs!$F$33))*Months_In_Year-MONTH(Inputs!$F$33)</f>
        <v>42</v>
      </c>
      <c r="S318" s="57" t="n">
        <f aca="false">(S$271+1-YEAR(Inputs!$F$33))*Months_In_Year-MONTH(Inputs!$F$33)</f>
        <v>54</v>
      </c>
      <c r="T318" s="57" t="n">
        <f aca="false">(T$271+1-YEAR(Inputs!$F$33))*Months_In_Year-MONTH(Inputs!$F$33)</f>
        <v>66</v>
      </c>
      <c r="U318" s="57" t="n">
        <f aca="false">(U$271+1-YEAR(Inputs!$F$33))*Months_In_Year-MONTH(Inputs!$F$33)</f>
        <v>78</v>
      </c>
      <c r="V318" s="57" t="n">
        <f aca="false">(V$271+1-YEAR(Inputs!$F$33))*Months_In_Year-MONTH(Inputs!$F$33)</f>
        <v>90</v>
      </c>
      <c r="W318" s="57" t="n">
        <f aca="false">(W$271+1-YEAR(Inputs!$F$33))*Months_In_Year-MONTH(Inputs!$F$33)</f>
        <v>102</v>
      </c>
      <c r="X318" s="57" t="n">
        <f aca="false">(X$271+1-YEAR(Inputs!$F$33))*Months_In_Year-MONTH(Inputs!$F$33)</f>
        <v>114</v>
      </c>
      <c r="Y318" s="57" t="n">
        <f aca="false">(Y$271+1-YEAR(Inputs!$F$33))*Months_In_Year-MONTH(Inputs!$F$33)</f>
        <v>126</v>
      </c>
      <c r="Z318" s="57" t="n">
        <f aca="false">(Z$271+1-YEAR(Inputs!$F$33))*Months_In_Year-MONTH(Inputs!$F$33)</f>
        <v>138</v>
      </c>
      <c r="AA318" s="57" t="n">
        <f aca="false">(AA$271+1-YEAR(Inputs!$F$33))*Months_In_Year-MONTH(Inputs!$F$33)</f>
        <v>150</v>
      </c>
      <c r="AB318" s="57" t="n">
        <f aca="false">(AB$271+1-YEAR(Inputs!$F$33))*Months_In_Year-MONTH(Inputs!$F$33)</f>
        <v>162</v>
      </c>
      <c r="AC318" s="57" t="n">
        <f aca="false">(AC$271+1-YEAR(Inputs!$F$33))*Months_In_Year-MONTH(Inputs!$F$33)</f>
        <v>174</v>
      </c>
      <c r="AD318" s="57" t="n">
        <f aca="false">(AD$271+1-YEAR(Inputs!$F$33))*Months_In_Year-MONTH(Inputs!$F$33)</f>
        <v>186</v>
      </c>
      <c r="AE318" s="57" t="n">
        <f aca="false">(AE$271+1-YEAR(Inputs!$F$33))*Months_In_Year-MONTH(Inputs!$F$33)</f>
        <v>198</v>
      </c>
      <c r="AF318" s="57" t="n">
        <f aca="false">(AF$271+1-YEAR(Inputs!$F$33))*Months_In_Year-MONTH(Inputs!$F$33)</f>
        <v>210</v>
      </c>
      <c r="AG318" s="57" t="n">
        <f aca="false">(AG$271+1-YEAR(Inputs!$F$33))*Months_In_Year-MONTH(Inputs!$F$33)</f>
        <v>222</v>
      </c>
      <c r="AH318" s="57" t="n">
        <f aca="false">(AH$271+1-YEAR(Inputs!$F$33))*Months_In_Year-MONTH(Inputs!$F$33)</f>
        <v>234</v>
      </c>
      <c r="AI318" s="57" t="n">
        <f aca="false">(AI$271+1-YEAR(Inputs!$F$33))*Months_In_Year-MONTH(Inputs!$F$33)</f>
        <v>246</v>
      </c>
      <c r="AJ318" s="57" t="n">
        <f aca="false">(AJ$271+1-YEAR(Inputs!$F$33))*Months_In_Year-MONTH(Inputs!$F$33)</f>
        <v>258</v>
      </c>
      <c r="AK318" s="57" t="n">
        <f aca="false">(AK$271+1-YEAR(Inputs!$F$33))*Months_In_Year-MONTH(Inputs!$F$33)</f>
        <v>270</v>
      </c>
      <c r="AL318" s="57" t="n">
        <f aca="false">(AL$271+1-YEAR(Inputs!$F$33))*Months_In_Year-MONTH(Inputs!$F$33)</f>
        <v>282</v>
      </c>
      <c r="AM318" s="57" t="n">
        <f aca="false">(AM$271+1-YEAR(Inputs!$F$33))*Months_In_Year-MONTH(Inputs!$F$33)</f>
        <v>294</v>
      </c>
      <c r="AN318" s="57" t="n">
        <f aca="false">(AN$271+1-YEAR(Inputs!$F$33))*Months_In_Year-MONTH(Inputs!$F$33)</f>
        <v>306</v>
      </c>
      <c r="AO318" s="57" t="n">
        <f aca="false">(AO$271+1-YEAR(Inputs!$F$33))*Months_In_Year-MONTH(Inputs!$F$33)</f>
        <v>318</v>
      </c>
      <c r="AP318" s="57" t="n">
        <f aca="false">(AP$271+1-YEAR(Inputs!$F$33))*Months_In_Year-MONTH(Inputs!$F$33)</f>
        <v>330</v>
      </c>
      <c r="AQ318" s="57" t="n">
        <f aca="false">(AQ$271+1-YEAR(Inputs!$F$33))*Months_In_Year-MONTH(Inputs!$F$33)</f>
        <v>342</v>
      </c>
      <c r="AR318" s="57" t="n">
        <f aca="false">(AR$271+1-YEAR(Inputs!$F$33))*Months_In_Year-MONTH(Inputs!$F$33)</f>
        <v>354</v>
      </c>
      <c r="AS318" s="57" t="n">
        <f aca="false">(AS$271+1-YEAR(Inputs!$F$33))*Months_In_Year-MONTH(Inputs!$F$33)</f>
        <v>366</v>
      </c>
    </row>
    <row r="319" customFormat="false" ht="14.25" hidden="false" customHeight="false" outlineLevel="1" collapsed="false">
      <c r="C319" s="6" t="s">
        <v>239</v>
      </c>
      <c r="D319" s="2" t="s">
        <v>12</v>
      </c>
      <c r="H319" s="64" t="n">
        <f aca="false">SUM(J319:AS319)</f>
        <v>30</v>
      </c>
      <c r="J319" s="50" t="n">
        <f aca="false">MAX(0,MIN(J318,$F318)-MAX(J318-Months_In_Year,0))/Months_In_Year</f>
        <v>0</v>
      </c>
      <c r="K319" s="50" t="n">
        <f aca="false">MAX(0,MIN(K318,$F318)-MAX(K318-Months_In_Year,0))/Months_In_Year</f>
        <v>0</v>
      </c>
      <c r="L319" s="50" t="n">
        <f aca="false">MAX(0,MIN(L318,$F318)-MAX(L318-Months_In_Year,0))/Months_In_Year</f>
        <v>0</v>
      </c>
      <c r="M319" s="50" t="n">
        <f aca="false">MAX(0,MIN(M318,$F318)-MAX(M318-Months_In_Year,0))/Months_In_Year</f>
        <v>0</v>
      </c>
      <c r="N319" s="50" t="n">
        <f aca="false">MAX(0,MIN(N318,$F318)-MAX(N318-Months_In_Year,0))/Months_In_Year</f>
        <v>0</v>
      </c>
      <c r="O319" s="50" t="n">
        <f aca="false">MAX(0,MIN(O318,$F318)-MAX(O318-Months_In_Year,0))/Months_In_Year</f>
        <v>0.5</v>
      </c>
      <c r="P319" s="50" t="n">
        <f aca="false">MAX(0,MIN(P318,$F318)-MAX(P318-Months_In_Year,0))/Months_In_Year</f>
        <v>1</v>
      </c>
      <c r="Q319" s="50" t="n">
        <f aca="false">MAX(0,MIN(Q318,$F318)-MAX(Q318-Months_In_Year,0))/Months_In_Year</f>
        <v>1</v>
      </c>
      <c r="R319" s="50" t="n">
        <f aca="false">MAX(0,MIN(R318,$F318)-MAX(R318-Months_In_Year,0))/Months_In_Year</f>
        <v>1</v>
      </c>
      <c r="S319" s="50" t="n">
        <f aca="false">MAX(0,MIN(S318,$F318)-MAX(S318-Months_In_Year,0))/Months_In_Year</f>
        <v>1</v>
      </c>
      <c r="T319" s="50" t="n">
        <f aca="false">MAX(0,MIN(T318,$F318)-MAX(T318-Months_In_Year,0))/Months_In_Year</f>
        <v>1</v>
      </c>
      <c r="U319" s="50" t="n">
        <f aca="false">MAX(0,MIN(U318,$F318)-MAX(U318-Months_In_Year,0))/Months_In_Year</f>
        <v>1</v>
      </c>
      <c r="V319" s="50" t="n">
        <f aca="false">MAX(0,MIN(V318,$F318)-MAX(V318-Months_In_Year,0))/Months_In_Year</f>
        <v>1</v>
      </c>
      <c r="W319" s="50" t="n">
        <f aca="false">MAX(0,MIN(W318,$F318)-MAX(W318-Months_In_Year,0))/Months_In_Year</f>
        <v>1</v>
      </c>
      <c r="X319" s="50" t="n">
        <f aca="false">MAX(0,MIN(X318,$F318)-MAX(X318-Months_In_Year,0))/Months_In_Year</f>
        <v>1</v>
      </c>
      <c r="Y319" s="50" t="n">
        <f aca="false">MAX(0,MIN(Y318,$F318)-MAX(Y318-Months_In_Year,0))/Months_In_Year</f>
        <v>1</v>
      </c>
      <c r="Z319" s="50" t="n">
        <f aca="false">MAX(0,MIN(Z318,$F318)-MAX(Z318-Months_In_Year,0))/Months_In_Year</f>
        <v>1</v>
      </c>
      <c r="AA319" s="50" t="n">
        <f aca="false">MAX(0,MIN(AA318,$F318)-MAX(AA318-Months_In_Year,0))/Months_In_Year</f>
        <v>1</v>
      </c>
      <c r="AB319" s="50" t="n">
        <f aca="false">MAX(0,MIN(AB318,$F318)-MAX(AB318-Months_In_Year,0))/Months_In_Year</f>
        <v>1</v>
      </c>
      <c r="AC319" s="50" t="n">
        <f aca="false">MAX(0,MIN(AC318,$F318)-MAX(AC318-Months_In_Year,0))/Months_In_Year</f>
        <v>1</v>
      </c>
      <c r="AD319" s="50" t="n">
        <f aca="false">MAX(0,MIN(AD318,$F318)-MAX(AD318-Months_In_Year,0))/Months_In_Year</f>
        <v>1</v>
      </c>
      <c r="AE319" s="50" t="n">
        <f aca="false">MAX(0,MIN(AE318,$F318)-MAX(AE318-Months_In_Year,0))/Months_In_Year</f>
        <v>1</v>
      </c>
      <c r="AF319" s="50" t="n">
        <f aca="false">MAX(0,MIN(AF318,$F318)-MAX(AF318-Months_In_Year,0))/Months_In_Year</f>
        <v>1</v>
      </c>
      <c r="AG319" s="50" t="n">
        <f aca="false">MAX(0,MIN(AG318,$F318)-MAX(AG318-Months_In_Year,0))/Months_In_Year</f>
        <v>1</v>
      </c>
      <c r="AH319" s="50" t="n">
        <f aca="false">MAX(0,MIN(AH318,$F318)-MAX(AH318-Months_In_Year,0))/Months_In_Year</f>
        <v>1</v>
      </c>
      <c r="AI319" s="50" t="n">
        <f aca="false">MAX(0,MIN(AI318,$F318)-MAX(AI318-Months_In_Year,0))/Months_In_Year</f>
        <v>1</v>
      </c>
      <c r="AJ319" s="50" t="n">
        <f aca="false">MAX(0,MIN(AJ318,$F318)-MAX(AJ318-Months_In_Year,0))/Months_In_Year</f>
        <v>1</v>
      </c>
      <c r="AK319" s="50" t="n">
        <f aca="false">MAX(0,MIN(AK318,$F318)-MAX(AK318-Months_In_Year,0))/Months_In_Year</f>
        <v>1</v>
      </c>
      <c r="AL319" s="50" t="n">
        <f aca="false">MAX(0,MIN(AL318,$F318)-MAX(AL318-Months_In_Year,0))/Months_In_Year</f>
        <v>1</v>
      </c>
      <c r="AM319" s="50" t="n">
        <f aca="false">MAX(0,MIN(AM318,$F318)-MAX(AM318-Months_In_Year,0))/Months_In_Year</f>
        <v>1</v>
      </c>
      <c r="AN319" s="50" t="n">
        <f aca="false">MAX(0,MIN(AN318,$F318)-MAX(AN318-Months_In_Year,0))/Months_In_Year</f>
        <v>1</v>
      </c>
      <c r="AO319" s="50" t="n">
        <f aca="false">MAX(0,MIN(AO318,$F318)-MAX(AO318-Months_In_Year,0))/Months_In_Year</f>
        <v>1</v>
      </c>
      <c r="AP319" s="50" t="n">
        <f aca="false">MAX(0,MIN(AP318,$F318)-MAX(AP318-Months_In_Year,0))/Months_In_Year</f>
        <v>1</v>
      </c>
      <c r="AQ319" s="50" t="n">
        <f aca="false">MAX(0,MIN(AQ318,$F318)-MAX(AQ318-Months_In_Year,0))/Months_In_Year</f>
        <v>1</v>
      </c>
      <c r="AR319" s="50" t="n">
        <f aca="false">MAX(0,MIN(AR318,$F318)-MAX(AR318-Months_In_Year,0))/Months_In_Year</f>
        <v>1</v>
      </c>
      <c r="AS319" s="50" t="n">
        <f aca="false">MAX(0,MIN(AS318,$F318)-MAX(AS318-Months_In_Year,0))/Months_In_Year</f>
        <v>0.5</v>
      </c>
    </row>
    <row r="320" customFormat="false" ht="14.25" hidden="false" customHeight="false" outlineLevel="1" collapsed="false">
      <c r="C320" s="6" t="s">
        <v>240</v>
      </c>
      <c r="D320" s="2" t="s">
        <v>2</v>
      </c>
      <c r="J320" s="65" t="n">
        <f aca="false">N(J315=0)</f>
        <v>0</v>
      </c>
      <c r="K320" s="65" t="n">
        <f aca="false">N(K315=0)</f>
        <v>0</v>
      </c>
      <c r="L320" s="65" t="n">
        <f aca="false">N(L315=0)</f>
        <v>0</v>
      </c>
      <c r="M320" s="65" t="n">
        <f aca="false">N(M315=0)</f>
        <v>0</v>
      </c>
      <c r="N320" s="65" t="n">
        <f aca="false">N(N315=0)</f>
        <v>0</v>
      </c>
      <c r="O320" s="65" t="n">
        <f aca="false">N(O315=0)</f>
        <v>1</v>
      </c>
      <c r="P320" s="65" t="n">
        <f aca="false">N(P315=0)</f>
        <v>0</v>
      </c>
      <c r="Q320" s="65" t="n">
        <f aca="false">N(Q315=0)</f>
        <v>0</v>
      </c>
      <c r="R320" s="65" t="n">
        <f aca="false">N(R315=0)</f>
        <v>0</v>
      </c>
      <c r="S320" s="65" t="n">
        <f aca="false">N(S315=0)</f>
        <v>0</v>
      </c>
      <c r="T320" s="65" t="n">
        <f aca="false">N(T315=0)</f>
        <v>0</v>
      </c>
      <c r="U320" s="65" t="n">
        <f aca="false">N(U315=0)</f>
        <v>0</v>
      </c>
      <c r="V320" s="65" t="n">
        <f aca="false">N(V315=0)</f>
        <v>0</v>
      </c>
      <c r="W320" s="65" t="n">
        <f aca="false">N(W315=0)</f>
        <v>0</v>
      </c>
      <c r="X320" s="65" t="n">
        <f aca="false">N(X315=0)</f>
        <v>0</v>
      </c>
      <c r="Y320" s="65" t="n">
        <f aca="false">N(Y315=0)</f>
        <v>0</v>
      </c>
      <c r="Z320" s="65" t="n">
        <f aca="false">N(Z315=0)</f>
        <v>0</v>
      </c>
      <c r="AA320" s="65" t="n">
        <f aca="false">N(AA315=0)</f>
        <v>0</v>
      </c>
      <c r="AB320" s="65" t="n">
        <f aca="false">N(AB315=0)</f>
        <v>0</v>
      </c>
      <c r="AC320" s="65" t="n">
        <f aca="false">N(AC315=0)</f>
        <v>0</v>
      </c>
      <c r="AD320" s="65" t="n">
        <f aca="false">N(AD315=0)</f>
        <v>0</v>
      </c>
      <c r="AE320" s="65" t="n">
        <f aca="false">N(AE315=0)</f>
        <v>0</v>
      </c>
      <c r="AF320" s="65" t="n">
        <f aca="false">N(AF315=0)</f>
        <v>0</v>
      </c>
      <c r="AG320" s="65" t="n">
        <f aca="false">N(AG315=0)</f>
        <v>0</v>
      </c>
      <c r="AH320" s="65" t="n">
        <f aca="false">N(AH315=0)</f>
        <v>0</v>
      </c>
      <c r="AI320" s="65" t="n">
        <f aca="false">N(AI315=0)</f>
        <v>0</v>
      </c>
      <c r="AJ320" s="65" t="n">
        <f aca="false">N(AJ315=0)</f>
        <v>0</v>
      </c>
      <c r="AK320" s="65" t="n">
        <f aca="false">N(AK315=0)</f>
        <v>0</v>
      </c>
      <c r="AL320" s="65" t="n">
        <f aca="false">N(AL315=0)</f>
        <v>0</v>
      </c>
      <c r="AM320" s="65" t="n">
        <f aca="false">N(AM315=0)</f>
        <v>0</v>
      </c>
      <c r="AN320" s="65" t="n">
        <f aca="false">N(AN315=0)</f>
        <v>0</v>
      </c>
      <c r="AO320" s="65" t="n">
        <f aca="false">N(AO315=0)</f>
        <v>0</v>
      </c>
      <c r="AP320" s="65" t="n">
        <f aca="false">N(AP315=0)</f>
        <v>0</v>
      </c>
      <c r="AQ320" s="65" t="n">
        <f aca="false">N(AQ315=0)</f>
        <v>0</v>
      </c>
      <c r="AR320" s="65" t="n">
        <f aca="false">N(AR315=0)</f>
        <v>0</v>
      </c>
      <c r="AS320" s="65" t="n">
        <f aca="false">N(AS315=0)</f>
        <v>0</v>
      </c>
    </row>
    <row r="321" customFormat="false" ht="14.25" hidden="false" customHeight="false" outlineLevel="1" collapsed="false">
      <c r="C321" s="6" t="s">
        <v>241</v>
      </c>
      <c r="D321" s="2" t="s">
        <v>84</v>
      </c>
      <c r="H321" s="8" t="n">
        <f aca="false">SUM(J321:AS321)</f>
        <v>-7628.99726027397</v>
      </c>
      <c r="J321" s="8" t="n">
        <f aca="false">SUMPRODUCT((YEAR($K$209:$K$216)=J$271)*$F$209:$F$216)</f>
        <v>-657.123287671233</v>
      </c>
      <c r="K321" s="8" t="n">
        <f aca="false">SUMPRODUCT((YEAR($K$209:$K$216)=K$271)*$F$209:$F$216)</f>
        <v>-3612.05479452055</v>
      </c>
      <c r="L321" s="8" t="n">
        <f aca="false">SUMPRODUCT((YEAR($K$209:$K$216)=L$271)*$F$209:$F$216)</f>
        <v>-3359.81917808219</v>
      </c>
      <c r="M321" s="8" t="n">
        <f aca="false">SUMPRODUCT((YEAR($K$209:$K$216)=M$271)*$F$209:$F$216)</f>
        <v>0</v>
      </c>
      <c r="N321" s="8" t="n">
        <f aca="false">SUMPRODUCT((YEAR($K$209:$K$216)=N$271)*$F$209:$F$216)</f>
        <v>0</v>
      </c>
      <c r="O321" s="8" t="n">
        <f aca="false">SUMPRODUCT((YEAR($K$209:$K$216)=O$271)*$F$209:$F$216)</f>
        <v>0</v>
      </c>
      <c r="P321" s="8" t="n">
        <f aca="false">SUMPRODUCT((YEAR($K$209:$K$216)=P$271)*$F$209:$F$216)</f>
        <v>0</v>
      </c>
      <c r="Q321" s="8" t="n">
        <f aca="false">SUMPRODUCT((YEAR($K$209:$K$216)=Q$271)*$F$209:$F$216)</f>
        <v>0</v>
      </c>
      <c r="R321" s="8" t="n">
        <f aca="false">SUMPRODUCT((YEAR($K$209:$K$216)=R$271)*$F$209:$F$216)</f>
        <v>0</v>
      </c>
      <c r="S321" s="8" t="n">
        <f aca="false">SUMPRODUCT((YEAR($K$209:$K$216)=S$271)*$F$209:$F$216)</f>
        <v>0</v>
      </c>
      <c r="T321" s="8" t="n">
        <f aca="false">SUMPRODUCT((YEAR($K$209:$K$216)=T$271)*$F$209:$F$216)</f>
        <v>0</v>
      </c>
      <c r="U321" s="8" t="n">
        <f aca="false">SUMPRODUCT((YEAR($K$209:$K$216)=U$271)*$F$209:$F$216)</f>
        <v>0</v>
      </c>
      <c r="V321" s="8" t="n">
        <f aca="false">SUMPRODUCT((YEAR($K$209:$K$216)=V$271)*$F$209:$F$216)</f>
        <v>0</v>
      </c>
      <c r="W321" s="8" t="n">
        <f aca="false">SUMPRODUCT((YEAR($K$209:$K$216)=W$271)*$F$209:$F$216)</f>
        <v>0</v>
      </c>
      <c r="X321" s="8" t="n">
        <f aca="false">SUMPRODUCT((YEAR($K$209:$K$216)=X$271)*$F$209:$F$216)</f>
        <v>0</v>
      </c>
      <c r="Y321" s="8" t="n">
        <f aca="false">SUMPRODUCT((YEAR($K$209:$K$216)=Y$271)*$F$209:$F$216)</f>
        <v>0</v>
      </c>
      <c r="Z321" s="8" t="n">
        <f aca="false">SUMPRODUCT((YEAR($K$209:$K$216)=Z$271)*$F$209:$F$216)</f>
        <v>0</v>
      </c>
      <c r="AA321" s="8" t="n">
        <f aca="false">SUMPRODUCT((YEAR($K$209:$K$216)=AA$271)*$F$209:$F$216)</f>
        <v>0</v>
      </c>
      <c r="AB321" s="8" t="n">
        <f aca="false">SUMPRODUCT((YEAR($K$209:$K$216)=AB$271)*$F$209:$F$216)</f>
        <v>0</v>
      </c>
      <c r="AC321" s="8" t="n">
        <f aca="false">SUMPRODUCT((YEAR($K$209:$K$216)=AC$271)*$F$209:$F$216)</f>
        <v>0</v>
      </c>
      <c r="AD321" s="8" t="n">
        <f aca="false">SUMPRODUCT((YEAR($K$209:$K$216)=AD$271)*$F$209:$F$216)</f>
        <v>0</v>
      </c>
      <c r="AE321" s="8" t="n">
        <f aca="false">SUMPRODUCT((YEAR($K$209:$K$216)=AE$271)*$F$209:$F$216)</f>
        <v>0</v>
      </c>
      <c r="AF321" s="8" t="n">
        <f aca="false">SUMPRODUCT((YEAR($K$209:$K$216)=AF$271)*$F$209:$F$216)</f>
        <v>0</v>
      </c>
      <c r="AG321" s="8" t="n">
        <f aca="false">SUMPRODUCT((YEAR($K$209:$K$216)=AG$271)*$F$209:$F$216)</f>
        <v>0</v>
      </c>
      <c r="AH321" s="8" t="n">
        <f aca="false">SUMPRODUCT((YEAR($K$209:$K$216)=AH$271)*$F$209:$F$216)</f>
        <v>0</v>
      </c>
      <c r="AI321" s="8" t="n">
        <f aca="false">SUMPRODUCT((YEAR($K$209:$K$216)=AI$271)*$F$209:$F$216)</f>
        <v>0</v>
      </c>
      <c r="AJ321" s="8" t="n">
        <f aca="false">SUMPRODUCT((YEAR($K$209:$K$216)=AJ$271)*$F$209:$F$216)</f>
        <v>0</v>
      </c>
      <c r="AK321" s="8" t="n">
        <f aca="false">SUMPRODUCT((YEAR($K$209:$K$216)=AK$271)*$F$209:$F$216)</f>
        <v>0</v>
      </c>
      <c r="AL321" s="8" t="n">
        <f aca="false">SUMPRODUCT((YEAR($K$209:$K$216)=AL$271)*$F$209:$F$216)</f>
        <v>0</v>
      </c>
      <c r="AM321" s="8" t="n">
        <f aca="false">SUMPRODUCT((YEAR($K$209:$K$216)=AM$271)*$F$209:$F$216)</f>
        <v>0</v>
      </c>
      <c r="AN321" s="8" t="n">
        <f aca="false">SUMPRODUCT((YEAR($K$209:$K$216)=AN$271)*$F$209:$F$216)</f>
        <v>0</v>
      </c>
      <c r="AO321" s="8" t="n">
        <f aca="false">SUMPRODUCT((YEAR($K$209:$K$216)=AO$271)*$F$209:$F$216)</f>
        <v>0</v>
      </c>
      <c r="AP321" s="8" t="n">
        <f aca="false">SUMPRODUCT((YEAR($K$209:$K$216)=AP$271)*$F$209:$F$216)</f>
        <v>0</v>
      </c>
      <c r="AQ321" s="8" t="n">
        <f aca="false">SUMPRODUCT((YEAR($K$209:$K$216)=AQ$271)*$F$209:$F$216)</f>
        <v>0</v>
      </c>
      <c r="AR321" s="8" t="n">
        <f aca="false">SUMPRODUCT((YEAR($K$209:$K$216)=AR$271)*$F$209:$F$216)</f>
        <v>0</v>
      </c>
      <c r="AS321" s="8" t="n">
        <f aca="false">SUMPRODUCT((YEAR($K$209:$K$216)=AS$271)*$F$209:$F$216)</f>
        <v>0</v>
      </c>
    </row>
    <row r="322" customFormat="false" ht="14.25" hidden="false" customHeight="false" outlineLevel="1" collapsed="false">
      <c r="C322" s="6" t="s">
        <v>242</v>
      </c>
      <c r="D322" s="2" t="s">
        <v>84</v>
      </c>
      <c r="H322" s="8" t="n">
        <f aca="false">SUM(J322:AS322)</f>
        <v>2494.52054794521</v>
      </c>
      <c r="J322" s="8" t="n">
        <f aca="false">($F$61+$F$62)*(J$271=YEAR(Inputs!$F$34))</f>
        <v>0</v>
      </c>
      <c r="K322" s="8" t="n">
        <f aca="false">($F$61+$F$62)*(K$271=YEAR(Inputs!$F$34))</f>
        <v>0</v>
      </c>
      <c r="L322" s="8" t="n">
        <f aca="false">($F$61+$F$62)*(L$271=YEAR(Inputs!$F$34))</f>
        <v>0</v>
      </c>
      <c r="M322" s="8" t="n">
        <f aca="false">($F$61+$F$62)*(M$271=YEAR(Inputs!$F$34))</f>
        <v>0</v>
      </c>
      <c r="N322" s="8" t="n">
        <f aca="false">($F$61+$F$62)*(N$271=YEAR(Inputs!$F$34))</f>
        <v>0</v>
      </c>
      <c r="O322" s="8" t="n">
        <f aca="false">($F$61+$F$62)*(O$271=YEAR(Inputs!$F$34))</f>
        <v>0</v>
      </c>
      <c r="P322" s="8" t="n">
        <f aca="false">($F$61+$F$62)*(P$271=YEAR(Inputs!$F$34))</f>
        <v>0</v>
      </c>
      <c r="Q322" s="8" t="n">
        <f aca="false">($F$61+$F$62)*(Q$271=YEAR(Inputs!$F$34))</f>
        <v>2494.52054794521</v>
      </c>
      <c r="R322" s="8" t="n">
        <f aca="false">($F$61+$F$62)*(R$271=YEAR(Inputs!$F$34))</f>
        <v>0</v>
      </c>
      <c r="S322" s="8" t="n">
        <f aca="false">($F$61+$F$62)*(S$271=YEAR(Inputs!$F$34))</f>
        <v>0</v>
      </c>
      <c r="T322" s="8" t="n">
        <f aca="false">($F$61+$F$62)*(T$271=YEAR(Inputs!$F$34))</f>
        <v>0</v>
      </c>
      <c r="U322" s="8" t="n">
        <f aca="false">($F$61+$F$62)*(U$271=YEAR(Inputs!$F$34))</f>
        <v>0</v>
      </c>
      <c r="V322" s="8" t="n">
        <f aca="false">($F$61+$F$62)*(V$271=YEAR(Inputs!$F$34))</f>
        <v>0</v>
      </c>
      <c r="W322" s="8" t="n">
        <f aca="false">($F$61+$F$62)*(W$271=YEAR(Inputs!$F$34))</f>
        <v>0</v>
      </c>
      <c r="X322" s="8" t="n">
        <f aca="false">($F$61+$F$62)*(X$271=YEAR(Inputs!$F$34))</f>
        <v>0</v>
      </c>
      <c r="Y322" s="8" t="n">
        <f aca="false">($F$61+$F$62)*(Y$271=YEAR(Inputs!$F$34))</f>
        <v>0</v>
      </c>
      <c r="Z322" s="8" t="n">
        <f aca="false">($F$61+$F$62)*(Z$271=YEAR(Inputs!$F$34))</f>
        <v>0</v>
      </c>
      <c r="AA322" s="8" t="n">
        <f aca="false">($F$61+$F$62)*(AA$271=YEAR(Inputs!$F$34))</f>
        <v>0</v>
      </c>
      <c r="AB322" s="8" t="n">
        <f aca="false">($F$61+$F$62)*(AB$271=YEAR(Inputs!$F$34))</f>
        <v>0</v>
      </c>
      <c r="AC322" s="8" t="n">
        <f aca="false">($F$61+$F$62)*(AC$271=YEAR(Inputs!$F$34))</f>
        <v>0</v>
      </c>
      <c r="AD322" s="8" t="n">
        <f aca="false">($F$61+$F$62)*(AD$271=YEAR(Inputs!$F$34))</f>
        <v>0</v>
      </c>
      <c r="AE322" s="8" t="n">
        <f aca="false">($F$61+$F$62)*(AE$271=YEAR(Inputs!$F$34))</f>
        <v>0</v>
      </c>
      <c r="AF322" s="8" t="n">
        <f aca="false">($F$61+$F$62)*(AF$271=YEAR(Inputs!$F$34))</f>
        <v>0</v>
      </c>
      <c r="AG322" s="8" t="n">
        <f aca="false">($F$61+$F$62)*(AG$271=YEAR(Inputs!$F$34))</f>
        <v>0</v>
      </c>
      <c r="AH322" s="8" t="n">
        <f aca="false">($F$61+$F$62)*(AH$271=YEAR(Inputs!$F$34))</f>
        <v>0</v>
      </c>
      <c r="AI322" s="8" t="n">
        <f aca="false">($F$61+$F$62)*(AI$271=YEAR(Inputs!$F$34))</f>
        <v>0</v>
      </c>
      <c r="AJ322" s="8" t="n">
        <f aca="false">($F$61+$F$62)*(AJ$271=YEAR(Inputs!$F$34))</f>
        <v>0</v>
      </c>
      <c r="AK322" s="8" t="n">
        <f aca="false">($F$61+$F$62)*(AK$271=YEAR(Inputs!$F$34))</f>
        <v>0</v>
      </c>
      <c r="AL322" s="8" t="n">
        <f aca="false">($F$61+$F$62)*(AL$271=YEAR(Inputs!$F$34))</f>
        <v>0</v>
      </c>
      <c r="AM322" s="8" t="n">
        <f aca="false">($F$61+$F$62)*(AM$271=YEAR(Inputs!$F$34))</f>
        <v>0</v>
      </c>
      <c r="AN322" s="8" t="n">
        <f aca="false">($F$61+$F$62)*(AN$271=YEAR(Inputs!$F$34))</f>
        <v>0</v>
      </c>
      <c r="AO322" s="8" t="n">
        <f aca="false">($F$61+$F$62)*(AO$271=YEAR(Inputs!$F$34))</f>
        <v>0</v>
      </c>
      <c r="AP322" s="8" t="n">
        <f aca="false">($F$61+$F$62)*(AP$271=YEAR(Inputs!$F$34))</f>
        <v>0</v>
      </c>
      <c r="AQ322" s="8" t="n">
        <f aca="false">($F$61+$F$62)*(AQ$271=YEAR(Inputs!$F$34))</f>
        <v>0</v>
      </c>
      <c r="AR322" s="8" t="n">
        <f aca="false">($F$61+$F$62)*(AR$271=YEAR(Inputs!$F$34))</f>
        <v>0</v>
      </c>
      <c r="AS322" s="8" t="n">
        <f aca="false">($F$61+$F$62)*(AS$271=YEAR(Inputs!$F$34))</f>
        <v>0</v>
      </c>
    </row>
    <row r="323" customFormat="false" ht="14.25" hidden="false" customHeight="false" outlineLevel="1" collapsed="false">
      <c r="C323" s="6" t="s">
        <v>243</v>
      </c>
      <c r="D323" s="2" t="s">
        <v>84</v>
      </c>
      <c r="H323" s="8" t="n">
        <f aca="false">SUM(J323:AS323)</f>
        <v>-69992.5</v>
      </c>
      <c r="J323" s="8" t="n">
        <f aca="false">-$F$89*J317</f>
        <v>-0</v>
      </c>
      <c r="K323" s="8" t="n">
        <f aca="false">-$F$89*K317</f>
        <v>-0</v>
      </c>
      <c r="L323" s="8" t="n">
        <f aca="false">-$F$89*L317</f>
        <v>-0</v>
      </c>
      <c r="M323" s="8" t="n">
        <f aca="false">-$F$89*M317</f>
        <v>-17498.125</v>
      </c>
      <c r="N323" s="8" t="n">
        <f aca="false">-$F$89*N317</f>
        <v>-34996.25</v>
      </c>
      <c r="O323" s="8" t="n">
        <f aca="false">-$F$89*O317</f>
        <v>-17498.125</v>
      </c>
      <c r="P323" s="8" t="n">
        <f aca="false">-$F$89*P317</f>
        <v>-0</v>
      </c>
      <c r="Q323" s="8" t="n">
        <f aca="false">-$F$89*Q317</f>
        <v>-0</v>
      </c>
      <c r="R323" s="8" t="n">
        <f aca="false">-$F$89*R317</f>
        <v>-0</v>
      </c>
      <c r="S323" s="8" t="n">
        <f aca="false">-$F$89*S317</f>
        <v>-0</v>
      </c>
      <c r="T323" s="8" t="n">
        <f aca="false">-$F$89*T317</f>
        <v>-0</v>
      </c>
      <c r="U323" s="8" t="n">
        <f aca="false">-$F$89*U317</f>
        <v>-0</v>
      </c>
      <c r="V323" s="8" t="n">
        <f aca="false">-$F$89*V317</f>
        <v>-0</v>
      </c>
      <c r="W323" s="8" t="n">
        <f aca="false">-$F$89*W317</f>
        <v>-0</v>
      </c>
      <c r="X323" s="8" t="n">
        <f aca="false">-$F$89*X317</f>
        <v>-0</v>
      </c>
      <c r="Y323" s="8" t="n">
        <f aca="false">-$F$89*Y317</f>
        <v>-0</v>
      </c>
      <c r="Z323" s="8" t="n">
        <f aca="false">-$F$89*Z317</f>
        <v>-0</v>
      </c>
      <c r="AA323" s="8" t="n">
        <f aca="false">-$F$89*AA317</f>
        <v>-0</v>
      </c>
      <c r="AB323" s="8" t="n">
        <f aca="false">-$F$89*AB317</f>
        <v>-0</v>
      </c>
      <c r="AC323" s="8" t="n">
        <f aca="false">-$F$89*AC317</f>
        <v>-0</v>
      </c>
      <c r="AD323" s="8" t="n">
        <f aca="false">-$F$89*AD317</f>
        <v>-0</v>
      </c>
      <c r="AE323" s="8" t="n">
        <f aca="false">-$F$89*AE317</f>
        <v>-0</v>
      </c>
      <c r="AF323" s="8" t="n">
        <f aca="false">-$F$89*AF317</f>
        <v>-0</v>
      </c>
      <c r="AG323" s="8" t="n">
        <f aca="false">-$F$89*AG317</f>
        <v>-0</v>
      </c>
      <c r="AH323" s="8" t="n">
        <f aca="false">-$F$89*AH317</f>
        <v>-0</v>
      </c>
      <c r="AI323" s="8" t="n">
        <f aca="false">-$F$89*AI317</f>
        <v>-0</v>
      </c>
      <c r="AJ323" s="8" t="n">
        <f aca="false">-$F$89*AJ317</f>
        <v>-0</v>
      </c>
      <c r="AK323" s="8" t="n">
        <f aca="false">-$F$89*AK317</f>
        <v>-0</v>
      </c>
      <c r="AL323" s="8" t="n">
        <f aca="false">-$F$89*AL317</f>
        <v>-0</v>
      </c>
      <c r="AM323" s="8" t="n">
        <f aca="false">-$F$89*AM317</f>
        <v>-0</v>
      </c>
      <c r="AN323" s="8" t="n">
        <f aca="false">-$F$89*AN317</f>
        <v>-0</v>
      </c>
      <c r="AO323" s="8" t="n">
        <f aca="false">-$F$89*AO317</f>
        <v>-0</v>
      </c>
      <c r="AP323" s="8" t="n">
        <f aca="false">-$F$89*AP317</f>
        <v>-0</v>
      </c>
      <c r="AQ323" s="8" t="n">
        <f aca="false">-$F$89*AQ317</f>
        <v>-0</v>
      </c>
      <c r="AR323" s="8" t="n">
        <f aca="false">-$F$89*AR317</f>
        <v>-0</v>
      </c>
      <c r="AS323" s="8" t="n">
        <f aca="false">-$F$89*AS317</f>
        <v>-0</v>
      </c>
    </row>
    <row r="324" customFormat="false" ht="14.25" hidden="false" customHeight="false" outlineLevel="1" collapsed="false">
      <c r="C324" s="6" t="s">
        <v>244</v>
      </c>
      <c r="D324" s="2" t="s">
        <v>84</v>
      </c>
      <c r="H324" s="8" t="n">
        <f aca="false">SUM(J324:AS324)</f>
        <v>-2500</v>
      </c>
      <c r="J324" s="8" t="n">
        <f aca="false">-$F$91*J320</f>
        <v>-0</v>
      </c>
      <c r="K324" s="8" t="n">
        <f aca="false">-$F$91*K320</f>
        <v>-0</v>
      </c>
      <c r="L324" s="8" t="n">
        <f aca="false">-$F$91*L320</f>
        <v>-0</v>
      </c>
      <c r="M324" s="8" t="n">
        <f aca="false">-$F$91*M320</f>
        <v>-0</v>
      </c>
      <c r="N324" s="8" t="n">
        <f aca="false">-$F$91*N320</f>
        <v>-0</v>
      </c>
      <c r="O324" s="8" t="n">
        <f aca="false">-$F$91*O320</f>
        <v>-2500</v>
      </c>
      <c r="P324" s="8" t="n">
        <f aca="false">-$F$91*P320</f>
        <v>-0</v>
      </c>
      <c r="Q324" s="8" t="n">
        <f aca="false">-$F$91*Q320</f>
        <v>-0</v>
      </c>
      <c r="R324" s="8" t="n">
        <f aca="false">-$F$91*R320</f>
        <v>-0</v>
      </c>
      <c r="S324" s="8" t="n">
        <f aca="false">-$F$91*S320</f>
        <v>-0</v>
      </c>
      <c r="T324" s="8" t="n">
        <f aca="false">-$F$91*T320</f>
        <v>-0</v>
      </c>
      <c r="U324" s="8" t="n">
        <f aca="false">-$F$91*U320</f>
        <v>-0</v>
      </c>
      <c r="V324" s="8" t="n">
        <f aca="false">-$F$91*V320</f>
        <v>-0</v>
      </c>
      <c r="W324" s="8" t="n">
        <f aca="false">-$F$91*W320</f>
        <v>-0</v>
      </c>
      <c r="X324" s="8" t="n">
        <f aca="false">-$F$91*X320</f>
        <v>-0</v>
      </c>
      <c r="Y324" s="8" t="n">
        <f aca="false">-$F$91*Y320</f>
        <v>-0</v>
      </c>
      <c r="Z324" s="8" t="n">
        <f aca="false">-$F$91*Z320</f>
        <v>-0</v>
      </c>
      <c r="AA324" s="8" t="n">
        <f aca="false">-$F$91*AA320</f>
        <v>-0</v>
      </c>
      <c r="AB324" s="8" t="n">
        <f aca="false">-$F$91*AB320</f>
        <v>-0</v>
      </c>
      <c r="AC324" s="8" t="n">
        <f aca="false">-$F$91*AC320</f>
        <v>-0</v>
      </c>
      <c r="AD324" s="8" t="n">
        <f aca="false">-$F$91*AD320</f>
        <v>-0</v>
      </c>
      <c r="AE324" s="8" t="n">
        <f aca="false">-$F$91*AE320</f>
        <v>-0</v>
      </c>
      <c r="AF324" s="8" t="n">
        <f aca="false">-$F$91*AF320</f>
        <v>-0</v>
      </c>
      <c r="AG324" s="8" t="n">
        <f aca="false">-$F$91*AG320</f>
        <v>-0</v>
      </c>
      <c r="AH324" s="8" t="n">
        <f aca="false">-$F$91*AH320</f>
        <v>-0</v>
      </c>
      <c r="AI324" s="8" t="n">
        <f aca="false">-$F$91*AI320</f>
        <v>-0</v>
      </c>
      <c r="AJ324" s="8" t="n">
        <f aca="false">-$F$91*AJ320</f>
        <v>-0</v>
      </c>
      <c r="AK324" s="8" t="n">
        <f aca="false">-$F$91*AK320</f>
        <v>-0</v>
      </c>
      <c r="AL324" s="8" t="n">
        <f aca="false">-$F$91*AL320</f>
        <v>-0</v>
      </c>
      <c r="AM324" s="8" t="n">
        <f aca="false">-$F$91*AM320</f>
        <v>-0</v>
      </c>
      <c r="AN324" s="8" t="n">
        <f aca="false">-$F$91*AN320</f>
        <v>-0</v>
      </c>
      <c r="AO324" s="8" t="n">
        <f aca="false">-$F$91*AO320</f>
        <v>-0</v>
      </c>
      <c r="AP324" s="8" t="n">
        <f aca="false">-$F$91*AP320</f>
        <v>-0</v>
      </c>
      <c r="AQ324" s="8" t="n">
        <f aca="false">-$F$91*AQ320</f>
        <v>-0</v>
      </c>
      <c r="AR324" s="8" t="n">
        <f aca="false">-$F$91*AR320</f>
        <v>-0</v>
      </c>
      <c r="AS324" s="8" t="n">
        <f aca="false">-$F$91*AS320</f>
        <v>-0</v>
      </c>
    </row>
    <row r="325" customFormat="false" ht="14.25" hidden="false" customHeight="false" outlineLevel="1" collapsed="false">
      <c r="C325" s="1" t="s">
        <v>245</v>
      </c>
      <c r="D325" s="2" t="s">
        <v>84</v>
      </c>
      <c r="H325" s="15" t="n">
        <f aca="false">SUM(J325:AS325)</f>
        <v>-77626.9767123288</v>
      </c>
      <c r="J325" s="15" t="n">
        <f aca="false">SUM(J321:J324)</f>
        <v>-657.123287671233</v>
      </c>
      <c r="K325" s="15" t="n">
        <f aca="false">SUM(K321:K324)</f>
        <v>-3612.05479452055</v>
      </c>
      <c r="L325" s="15" t="n">
        <f aca="false">SUM(L321:L324)</f>
        <v>-3359.81917808219</v>
      </c>
      <c r="M325" s="15" t="n">
        <f aca="false">SUM(M321:M324)</f>
        <v>-17498.125</v>
      </c>
      <c r="N325" s="15" t="n">
        <f aca="false">SUM(N321:N324)</f>
        <v>-34996.25</v>
      </c>
      <c r="O325" s="15" t="n">
        <f aca="false">SUM(O321:O324)</f>
        <v>-19998.125</v>
      </c>
      <c r="P325" s="15" t="n">
        <f aca="false">SUM(P321:P324)</f>
        <v>0</v>
      </c>
      <c r="Q325" s="15" t="n">
        <f aca="false">SUM(Q321:Q324)</f>
        <v>2494.52054794521</v>
      </c>
      <c r="R325" s="15" t="n">
        <f aca="false">SUM(R321:R324)</f>
        <v>0</v>
      </c>
      <c r="S325" s="15" t="n">
        <f aca="false">SUM(S321:S324)</f>
        <v>0</v>
      </c>
      <c r="T325" s="15" t="n">
        <f aca="false">SUM(T321:T324)</f>
        <v>0</v>
      </c>
      <c r="U325" s="15" t="n">
        <f aca="false">SUM(U321:U324)</f>
        <v>0</v>
      </c>
      <c r="V325" s="15" t="n">
        <f aca="false">SUM(V321:V324)</f>
        <v>0</v>
      </c>
      <c r="W325" s="15" t="n">
        <f aca="false">SUM(W321:W324)</f>
        <v>0</v>
      </c>
      <c r="X325" s="15" t="n">
        <f aca="false">SUM(X321:X324)</f>
        <v>0</v>
      </c>
      <c r="Y325" s="15" t="n">
        <f aca="false">SUM(Y321:Y324)</f>
        <v>0</v>
      </c>
      <c r="Z325" s="15" t="n">
        <f aca="false">SUM(Z321:Z324)</f>
        <v>0</v>
      </c>
      <c r="AA325" s="15" t="n">
        <f aca="false">SUM(AA321:AA324)</f>
        <v>0</v>
      </c>
      <c r="AB325" s="15" t="n">
        <f aca="false">SUM(AB321:AB324)</f>
        <v>0</v>
      </c>
      <c r="AC325" s="15" t="n">
        <f aca="false">SUM(AC321:AC324)</f>
        <v>0</v>
      </c>
      <c r="AD325" s="15" t="n">
        <f aca="false">SUM(AD321:AD324)</f>
        <v>0</v>
      </c>
      <c r="AE325" s="15" t="n">
        <f aca="false">SUM(AE321:AE324)</f>
        <v>0</v>
      </c>
      <c r="AF325" s="15" t="n">
        <f aca="false">SUM(AF321:AF324)</f>
        <v>0</v>
      </c>
      <c r="AG325" s="15" t="n">
        <f aca="false">SUM(AG321:AG324)</f>
        <v>0</v>
      </c>
      <c r="AH325" s="15" t="n">
        <f aca="false">SUM(AH321:AH324)</f>
        <v>0</v>
      </c>
      <c r="AI325" s="15" t="n">
        <f aca="false">SUM(AI321:AI324)</f>
        <v>0</v>
      </c>
      <c r="AJ325" s="15" t="n">
        <f aca="false">SUM(AJ321:AJ324)</f>
        <v>0</v>
      </c>
      <c r="AK325" s="15" t="n">
        <f aca="false">SUM(AK321:AK324)</f>
        <v>0</v>
      </c>
      <c r="AL325" s="15" t="n">
        <f aca="false">SUM(AL321:AL324)</f>
        <v>0</v>
      </c>
      <c r="AM325" s="15" t="n">
        <f aca="false">SUM(AM321:AM324)</f>
        <v>0</v>
      </c>
      <c r="AN325" s="15" t="n">
        <f aca="false">SUM(AN321:AN324)</f>
        <v>0</v>
      </c>
      <c r="AO325" s="15" t="n">
        <f aca="false">SUM(AO321:AO324)</f>
        <v>0</v>
      </c>
      <c r="AP325" s="15" t="n">
        <f aca="false">SUM(AP321:AP324)</f>
        <v>0</v>
      </c>
      <c r="AQ325" s="15" t="n">
        <f aca="false">SUM(AQ321:AQ324)</f>
        <v>0</v>
      </c>
      <c r="AR325" s="15" t="n">
        <f aca="false">SUM(AR321:AR324)</f>
        <v>0</v>
      </c>
      <c r="AS325" s="15" t="n">
        <f aca="false">SUM(AS321:AS324)</f>
        <v>0</v>
      </c>
    </row>
    <row r="326" customFormat="false" ht="14.25" hidden="false" customHeight="false" outlineLevel="1" collapsed="false">
      <c r="C326" s="6" t="s">
        <v>246</v>
      </c>
      <c r="D326" s="2" t="s">
        <v>3</v>
      </c>
      <c r="J326" s="66" t="n">
        <f aca="false">(1-Degradation)^MAX(J315-1,0)</f>
        <v>1</v>
      </c>
      <c r="K326" s="66" t="n">
        <f aca="false">(1-Degradation)^MAX(K315-1,0)</f>
        <v>1</v>
      </c>
      <c r="L326" s="66" t="n">
        <f aca="false">(1-Degradation)^MAX(L315-1,0)</f>
        <v>1</v>
      </c>
      <c r="M326" s="66" t="n">
        <f aca="false">(1-Degradation)^MAX(M315-1,0)</f>
        <v>1</v>
      </c>
      <c r="N326" s="66" t="n">
        <f aca="false">(1-Degradation)^MAX(N315-1,0)</f>
        <v>1</v>
      </c>
      <c r="O326" s="66" t="n">
        <f aca="false">(1-Degradation)^MAX(O315-1,0)</f>
        <v>1</v>
      </c>
      <c r="P326" s="66" t="n">
        <f aca="false">(1-Degradation)^MAX(P315-1,0)</f>
        <v>1</v>
      </c>
      <c r="Q326" s="66" t="n">
        <f aca="false">(1-Degradation)^MAX(Q315-1,0)</f>
        <v>0.997</v>
      </c>
      <c r="R326" s="66" t="n">
        <f aca="false">(1-Degradation)^MAX(R315-1,0)</f>
        <v>0.994009</v>
      </c>
      <c r="S326" s="66" t="n">
        <f aca="false">(1-Degradation)^MAX(S315-1,0)</f>
        <v>0.991026973</v>
      </c>
      <c r="T326" s="66" t="n">
        <f aca="false">(1-Degradation)^MAX(T315-1,0)</f>
        <v>0.988053892081</v>
      </c>
      <c r="U326" s="66" t="n">
        <f aca="false">(1-Degradation)^MAX(U315-1,0)</f>
        <v>0.985089730404757</v>
      </c>
      <c r="V326" s="66" t="n">
        <f aca="false">(1-Degradation)^MAX(V315-1,0)</f>
        <v>0.982134461213543</v>
      </c>
      <c r="W326" s="66" t="n">
        <f aca="false">(1-Degradation)^MAX(W315-1,0)</f>
        <v>0.979188057829902</v>
      </c>
      <c r="X326" s="66" t="n">
        <f aca="false">(1-Degradation)^MAX(X315-1,0)</f>
        <v>0.976250493656412</v>
      </c>
      <c r="Y326" s="66" t="n">
        <f aca="false">(1-Degradation)^MAX(Y315-1,0)</f>
        <v>0.973321742175443</v>
      </c>
      <c r="Z326" s="66" t="n">
        <f aca="false">(1-Degradation)^MAX(Z315-1,0)</f>
        <v>0.970401776948917</v>
      </c>
      <c r="AA326" s="66" t="n">
        <f aca="false">(1-Degradation)^MAX(AA315-1,0)</f>
        <v>0.96749057161807</v>
      </c>
      <c r="AB326" s="66" t="n">
        <f aca="false">(1-Degradation)^MAX(AB315-1,0)</f>
        <v>0.964588099903216</v>
      </c>
      <c r="AC326" s="66" t="n">
        <f aca="false">(1-Degradation)^MAX(AC315-1,0)</f>
        <v>0.961694335603506</v>
      </c>
      <c r="AD326" s="66" t="n">
        <f aca="false">(1-Degradation)^MAX(AD315-1,0)</f>
        <v>0.958809252596696</v>
      </c>
      <c r="AE326" s="66" t="n">
        <f aca="false">(1-Degradation)^MAX(AE315-1,0)</f>
        <v>0.955932824838906</v>
      </c>
      <c r="AF326" s="66" t="n">
        <f aca="false">(1-Degradation)^MAX(AF315-1,0)</f>
        <v>0.953065026364389</v>
      </c>
      <c r="AG326" s="66" t="n">
        <f aca="false">(1-Degradation)^MAX(AG315-1,0)</f>
        <v>0.950205831285296</v>
      </c>
      <c r="AH326" s="66" t="n">
        <f aca="false">(1-Degradation)^MAX(AH315-1,0)</f>
        <v>0.94735521379144</v>
      </c>
      <c r="AI326" s="66" t="n">
        <f aca="false">(1-Degradation)^MAX(AI315-1,0)</f>
        <v>0.944513148150066</v>
      </c>
      <c r="AJ326" s="66" t="n">
        <f aca="false">(1-Degradation)^MAX(AJ315-1,0)</f>
        <v>0.941679608705615</v>
      </c>
      <c r="AK326" s="66" t="n">
        <f aca="false">(1-Degradation)^MAX(AK315-1,0)</f>
        <v>0.938854569879498</v>
      </c>
      <c r="AL326" s="66" t="n">
        <f aca="false">(1-Degradation)^MAX(AL315-1,0)</f>
        <v>0.93603800616986</v>
      </c>
      <c r="AM326" s="66" t="n">
        <f aca="false">(1-Degradation)^MAX(AM315-1,0)</f>
        <v>0.93322989215135</v>
      </c>
      <c r="AN326" s="66" t="n">
        <f aca="false">(1-Degradation)^MAX(AN315-1,0)</f>
        <v>0.930430202474896</v>
      </c>
      <c r="AO326" s="66" t="n">
        <f aca="false">(1-Degradation)^MAX(AO315-1,0)</f>
        <v>0.927638911867472</v>
      </c>
      <c r="AP326" s="66" t="n">
        <f aca="false">(1-Degradation)^MAX(AP315-1,0)</f>
        <v>0.924855995131869</v>
      </c>
      <c r="AQ326" s="66" t="n">
        <f aca="false">(1-Degradation)^MAX(AQ315-1,0)</f>
        <v>0.922081427146474</v>
      </c>
      <c r="AR326" s="66" t="n">
        <f aca="false">(1-Degradation)^MAX(AR315-1,0)</f>
        <v>0.919315182865034</v>
      </c>
      <c r="AS326" s="66" t="n">
        <f aca="false">(1-Degradation)^MAX(AS315-1,0)</f>
        <v>0.916557237316439</v>
      </c>
    </row>
    <row r="327" customFormat="false" ht="14.25" hidden="false" customHeight="false" outlineLevel="1" collapsed="false">
      <c r="C327" s="6" t="s">
        <v>247</v>
      </c>
      <c r="D327" s="2" t="s">
        <v>248</v>
      </c>
      <c r="H327" s="17" t="n">
        <f aca="false">SUM(J327:AS327)</f>
        <v>4737.10980784971</v>
      </c>
      <c r="J327" s="17" t="n">
        <f aca="false">$F$46*$F$22*(1-Curtailment)*(1-Clipping)*J319*J326/Thousand</f>
        <v>0</v>
      </c>
      <c r="K327" s="17" t="n">
        <f aca="false">$F$46*$F$22*(1-Curtailment)*(1-Clipping)*K319*K326/Thousand</f>
        <v>0</v>
      </c>
      <c r="L327" s="17" t="n">
        <f aca="false">$F$46*$F$22*(1-Curtailment)*(1-Clipping)*L319*L326/Thousand</f>
        <v>0</v>
      </c>
      <c r="M327" s="17" t="n">
        <f aca="false">$F$46*$F$22*(1-Curtailment)*(1-Clipping)*M319*M326/Thousand</f>
        <v>0</v>
      </c>
      <c r="N327" s="17" t="n">
        <f aca="false">$F$46*$F$22*(1-Curtailment)*(1-Clipping)*N319*N326/Thousand</f>
        <v>0</v>
      </c>
      <c r="O327" s="17" t="n">
        <f aca="false">$F$46*$F$22*(1-Curtailment)*(1-Clipping)*O319*O326/Thousand</f>
        <v>82.32</v>
      </c>
      <c r="P327" s="17" t="n">
        <f aca="false">$F$46*$F$22*(1-Curtailment)*(1-Clipping)*P319*P326/Thousand</f>
        <v>164.64</v>
      </c>
      <c r="Q327" s="17" t="n">
        <f aca="false">$F$46*$F$22*(1-Curtailment)*(1-Clipping)*Q319*Q326/Thousand</f>
        <v>164.14608</v>
      </c>
      <c r="R327" s="17" t="n">
        <f aca="false">$F$46*$F$22*(1-Curtailment)*(1-Clipping)*R319*R326/Thousand</f>
        <v>163.65364176</v>
      </c>
      <c r="S327" s="17" t="n">
        <f aca="false">$F$46*$F$22*(1-Curtailment)*(1-Clipping)*S319*S326/Thousand</f>
        <v>163.16268083472</v>
      </c>
      <c r="T327" s="17" t="n">
        <f aca="false">$F$46*$F$22*(1-Curtailment)*(1-Clipping)*T319*T326/Thousand</f>
        <v>162.673192792216</v>
      </c>
      <c r="U327" s="17" t="n">
        <f aca="false">$F$46*$F$22*(1-Curtailment)*(1-Clipping)*U319*U326/Thousand</f>
        <v>162.185173213839</v>
      </c>
      <c r="V327" s="17" t="n">
        <f aca="false">$F$46*$F$22*(1-Curtailment)*(1-Clipping)*V319*V326/Thousand</f>
        <v>161.698617694198</v>
      </c>
      <c r="W327" s="17" t="n">
        <f aca="false">$F$46*$F$22*(1-Curtailment)*(1-Clipping)*W319*W326/Thousand</f>
        <v>161.213521841115</v>
      </c>
      <c r="X327" s="17" t="n">
        <f aca="false">$F$46*$F$22*(1-Curtailment)*(1-Clipping)*X319*X326/Thousand</f>
        <v>160.729881275592</v>
      </c>
      <c r="Y327" s="17" t="n">
        <f aca="false">$F$46*$F$22*(1-Curtailment)*(1-Clipping)*Y319*Y326/Thousand</f>
        <v>160.247691631765</v>
      </c>
      <c r="Z327" s="17" t="n">
        <f aca="false">$F$46*$F$22*(1-Curtailment)*(1-Clipping)*Z319*Z326/Thousand</f>
        <v>159.76694855687</v>
      </c>
      <c r="AA327" s="17" t="n">
        <f aca="false">$F$46*$F$22*(1-Curtailment)*(1-Clipping)*AA319*AA326/Thousand</f>
        <v>159.287647711199</v>
      </c>
      <c r="AB327" s="17" t="n">
        <f aca="false">$F$46*$F$22*(1-Curtailment)*(1-Clipping)*AB319*AB326/Thousand</f>
        <v>158.809784768065</v>
      </c>
      <c r="AC327" s="17" t="n">
        <f aca="false">$F$46*$F$22*(1-Curtailment)*(1-Clipping)*AC319*AC326/Thousand</f>
        <v>158.333355413761</v>
      </c>
      <c r="AD327" s="17" t="n">
        <f aca="false">$F$46*$F$22*(1-Curtailment)*(1-Clipping)*AD319*AD326/Thousand</f>
        <v>157.85835534752</v>
      </c>
      <c r="AE327" s="17" t="n">
        <f aca="false">$F$46*$F$22*(1-Curtailment)*(1-Clipping)*AE319*AE326/Thousand</f>
        <v>157.384780281477</v>
      </c>
      <c r="AF327" s="17" t="n">
        <f aca="false">$F$46*$F$22*(1-Curtailment)*(1-Clipping)*AF319*AF326/Thousand</f>
        <v>156.912625940633</v>
      </c>
      <c r="AG327" s="17" t="n">
        <f aca="false">$F$46*$F$22*(1-Curtailment)*(1-Clipping)*AG319*AG326/Thousand</f>
        <v>156.441888062811</v>
      </c>
      <c r="AH327" s="17" t="n">
        <f aca="false">$F$46*$F$22*(1-Curtailment)*(1-Clipping)*AH319*AH326/Thousand</f>
        <v>155.972562398623</v>
      </c>
      <c r="AI327" s="17" t="n">
        <f aca="false">$F$46*$F$22*(1-Curtailment)*(1-Clipping)*AI319*AI326/Thousand</f>
        <v>155.504644711427</v>
      </c>
      <c r="AJ327" s="17" t="n">
        <f aca="false">$F$46*$F$22*(1-Curtailment)*(1-Clipping)*AJ319*AJ326/Thousand</f>
        <v>155.038130777293</v>
      </c>
      <c r="AK327" s="17" t="n">
        <f aca="false">$F$46*$F$22*(1-Curtailment)*(1-Clipping)*AK319*AK326/Thousand</f>
        <v>154.573016384961</v>
      </c>
      <c r="AL327" s="17" t="n">
        <f aca="false">$F$46*$F$22*(1-Curtailment)*(1-Clipping)*AL319*AL326/Thousand</f>
        <v>154.109297335806</v>
      </c>
      <c r="AM327" s="17" t="n">
        <f aca="false">$F$46*$F$22*(1-Curtailment)*(1-Clipping)*AM319*AM326/Thousand</f>
        <v>153.646969443798</v>
      </c>
      <c r="AN327" s="17" t="n">
        <f aca="false">$F$46*$F$22*(1-Curtailment)*(1-Clipping)*AN319*AN326/Thousand</f>
        <v>153.186028535467</v>
      </c>
      <c r="AO327" s="17" t="n">
        <f aca="false">$F$46*$F$22*(1-Curtailment)*(1-Clipping)*AO319*AO326/Thousand</f>
        <v>152.726470449861</v>
      </c>
      <c r="AP327" s="17" t="n">
        <f aca="false">$F$46*$F$22*(1-Curtailment)*(1-Clipping)*AP319*AP326/Thousand</f>
        <v>152.268291038511</v>
      </c>
      <c r="AQ327" s="17" t="n">
        <f aca="false">$F$46*$F$22*(1-Curtailment)*(1-Clipping)*AQ319*AQ326/Thousand</f>
        <v>151.811486165395</v>
      </c>
      <c r="AR327" s="17" t="n">
        <f aca="false">$F$46*$F$22*(1-Curtailment)*(1-Clipping)*AR319*AR326/Thousand</f>
        <v>151.356051706899</v>
      </c>
      <c r="AS327" s="17" t="n">
        <f aca="false">$F$46*$F$22*(1-Curtailment)*(1-Clipping)*AS319*AS326/Thousand</f>
        <v>75.4509917758893</v>
      </c>
    </row>
    <row r="328" customFormat="false" ht="14.25" hidden="false" customHeight="false" outlineLevel="1" collapsed="false">
      <c r="C328" s="6" t="s">
        <v>249</v>
      </c>
      <c r="D328" s="2" t="s">
        <v>20</v>
      </c>
      <c r="J328" s="17" t="n">
        <f aca="false">Case_PPA*(1+PPA_Esc)^J315*(J319&gt;0)</f>
        <v>0</v>
      </c>
      <c r="K328" s="17" t="n">
        <f aca="false">Case_PPA*(1+PPA_Esc)^K315*(K319&gt;0)</f>
        <v>0</v>
      </c>
      <c r="L328" s="17" t="n">
        <f aca="false">Case_PPA*(1+PPA_Esc)^L315*(L319&gt;0)</f>
        <v>0</v>
      </c>
      <c r="M328" s="17" t="n">
        <f aca="false">Case_PPA*(1+PPA_Esc)^M315*(M319&gt;0)</f>
        <v>0</v>
      </c>
      <c r="N328" s="17" t="n">
        <f aca="false">Case_PPA*(1+PPA_Esc)^N315*(N319&gt;0)</f>
        <v>0</v>
      </c>
      <c r="O328" s="17" t="n">
        <f aca="false">Case_PPA*(1+PPA_Esc)^O315*(O319&gt;0)</f>
        <v>90</v>
      </c>
      <c r="P328" s="17" t="n">
        <f aca="false">Case_PPA*(1+PPA_Esc)^P315*(P319&gt;0)</f>
        <v>90.9</v>
      </c>
      <c r="Q328" s="17" t="n">
        <f aca="false">Case_PPA*(1+PPA_Esc)^Q315*(Q319&gt;0)</f>
        <v>91.809</v>
      </c>
      <c r="R328" s="17" t="n">
        <f aca="false">Case_PPA*(1+PPA_Esc)^R315*(R319&gt;0)</f>
        <v>92.72709</v>
      </c>
      <c r="S328" s="17" t="n">
        <f aca="false">Case_PPA*(1+PPA_Esc)^S315*(S319&gt;0)</f>
        <v>93.6543609</v>
      </c>
      <c r="T328" s="17" t="n">
        <f aca="false">Case_PPA*(1+PPA_Esc)^T315*(T319&gt;0)</f>
        <v>94.590904509</v>
      </c>
      <c r="U328" s="17" t="n">
        <f aca="false">Case_PPA*(1+PPA_Esc)^U315*(U319&gt;0)</f>
        <v>95.53681355409</v>
      </c>
      <c r="V328" s="17" t="n">
        <f aca="false">Case_PPA*(1+PPA_Esc)^V315*(V319&gt;0)</f>
        <v>96.4921816896309</v>
      </c>
      <c r="W328" s="17" t="n">
        <f aca="false">Case_PPA*(1+PPA_Esc)^W315*(W319&gt;0)</f>
        <v>97.4571035065272</v>
      </c>
      <c r="X328" s="17" t="n">
        <f aca="false">Case_PPA*(1+PPA_Esc)^X315*(X319&gt;0)</f>
        <v>98.4316745415925</v>
      </c>
      <c r="Y328" s="17" t="n">
        <f aca="false">Case_PPA*(1+PPA_Esc)^Y315*(Y319&gt;0)</f>
        <v>99.4159912870084</v>
      </c>
      <c r="Z328" s="17" t="n">
        <f aca="false">Case_PPA*(1+PPA_Esc)^Z315*(Z319&gt;0)</f>
        <v>100.410151199878</v>
      </c>
      <c r="AA328" s="17" t="n">
        <f aca="false">Case_PPA*(1+PPA_Esc)^AA315*(AA319&gt;0)</f>
        <v>101.414252711877</v>
      </c>
      <c r="AB328" s="17" t="n">
        <f aca="false">Case_PPA*(1+PPA_Esc)^AB315*(AB319&gt;0)</f>
        <v>102.428395238996</v>
      </c>
      <c r="AC328" s="17" t="n">
        <f aca="false">Case_PPA*(1+PPA_Esc)^AC315*(AC319&gt;0)</f>
        <v>103.452679191386</v>
      </c>
      <c r="AD328" s="17" t="n">
        <f aca="false">Case_PPA*(1+PPA_Esc)^AD315*(AD319&gt;0)</f>
        <v>104.4872059833</v>
      </c>
      <c r="AE328" s="17" t="n">
        <f aca="false">Case_PPA*(1+PPA_Esc)^AE315*(AE319&gt;0)</f>
        <v>105.532078043133</v>
      </c>
      <c r="AF328" s="17" t="n">
        <f aca="false">Case_PPA*(1+PPA_Esc)^AF315*(AF319&gt;0)</f>
        <v>106.587398823564</v>
      </c>
      <c r="AG328" s="17" t="n">
        <f aca="false">Case_PPA*(1+PPA_Esc)^AG315*(AG319&gt;0)</f>
        <v>107.6532728118</v>
      </c>
      <c r="AH328" s="17" t="n">
        <f aca="false">Case_PPA*(1+PPA_Esc)^AH315*(AH319&gt;0)</f>
        <v>108.729805539918</v>
      </c>
      <c r="AI328" s="17" t="n">
        <f aca="false">Case_PPA*(1+PPA_Esc)^AI315*(AI319&gt;0)</f>
        <v>109.817103595317</v>
      </c>
      <c r="AJ328" s="17" t="n">
        <f aca="false">Case_PPA*(1+PPA_Esc)^AJ315*(AJ319&gt;0)</f>
        <v>110.91527463127</v>
      </c>
      <c r="AK328" s="17" t="n">
        <f aca="false">Case_PPA*(1+PPA_Esc)^AK315*(AK319&gt;0)</f>
        <v>112.024427377583</v>
      </c>
      <c r="AL328" s="17" t="n">
        <f aca="false">Case_PPA*(1+PPA_Esc)^AL315*(AL319&gt;0)</f>
        <v>113.144671651359</v>
      </c>
      <c r="AM328" s="17" t="n">
        <f aca="false">Case_PPA*(1+PPA_Esc)^AM315*(AM319&gt;0)</f>
        <v>114.276118367872</v>
      </c>
      <c r="AN328" s="17" t="n">
        <f aca="false">Case_PPA*(1+PPA_Esc)^AN315*(AN319&gt;0)</f>
        <v>115.418879551551</v>
      </c>
      <c r="AO328" s="17" t="n">
        <f aca="false">Case_PPA*(1+PPA_Esc)^AO315*(AO319&gt;0)</f>
        <v>116.573068347067</v>
      </c>
      <c r="AP328" s="17" t="n">
        <f aca="false">Case_PPA*(1+PPA_Esc)^AP315*(AP319&gt;0)</f>
        <v>117.738799030537</v>
      </c>
      <c r="AQ328" s="17" t="n">
        <f aca="false">Case_PPA*(1+PPA_Esc)^AQ315*(AQ319&gt;0)</f>
        <v>118.916187020843</v>
      </c>
      <c r="AR328" s="17" t="n">
        <f aca="false">Case_PPA*(1+PPA_Esc)^AR315*(AR319&gt;0)</f>
        <v>120.105348891051</v>
      </c>
      <c r="AS328" s="17" t="n">
        <f aca="false">Case_PPA*(1+PPA_Esc)^AS315*(AS319&gt;0)</f>
        <v>121.306402379962</v>
      </c>
    </row>
    <row r="329" customFormat="false" ht="14.25" hidden="false" customHeight="false" outlineLevel="1" collapsed="false">
      <c r="C329" s="1" t="s">
        <v>153</v>
      </c>
      <c r="D329" s="2" t="s">
        <v>84</v>
      </c>
      <c r="H329" s="34" t="n">
        <f aca="false">SUM(J329:AS329)</f>
        <v>495700.761921616</v>
      </c>
      <c r="J329" s="34" t="n">
        <f aca="false">J327*J328</f>
        <v>0</v>
      </c>
      <c r="K329" s="34" t="n">
        <f aca="false">K327*K328</f>
        <v>0</v>
      </c>
      <c r="L329" s="34" t="n">
        <f aca="false">L327*L328</f>
        <v>0</v>
      </c>
      <c r="M329" s="34" t="n">
        <f aca="false">M327*M328</f>
        <v>0</v>
      </c>
      <c r="N329" s="34" t="n">
        <f aca="false">N327*N328</f>
        <v>0</v>
      </c>
      <c r="O329" s="34" t="n">
        <f aca="false">O327*O328</f>
        <v>7408.8</v>
      </c>
      <c r="P329" s="34" t="n">
        <f aca="false">P327*P328</f>
        <v>14965.776</v>
      </c>
      <c r="Q329" s="34" t="n">
        <f aca="false">Q327*Q328</f>
        <v>15070.08745872</v>
      </c>
      <c r="R329" s="34" t="n">
        <f aca="false">R327*R328</f>
        <v>15175.1259683073</v>
      </c>
      <c r="S329" s="34" t="n">
        <f aca="false">S327*S328</f>
        <v>15280.8965963064</v>
      </c>
      <c r="T329" s="34" t="n">
        <f aca="false">T327*T328</f>
        <v>15387.4044455826</v>
      </c>
      <c r="U329" s="34" t="n">
        <f aca="false">U327*U328</f>
        <v>15494.6546545683</v>
      </c>
      <c r="V329" s="34" t="n">
        <f aca="false">V327*V328</f>
        <v>15602.6523975107</v>
      </c>
      <c r="W329" s="34" t="n">
        <f aca="false">W327*W328</f>
        <v>15711.4028847213</v>
      </c>
      <c r="X329" s="34" t="n">
        <f aca="false">X327*X328</f>
        <v>15820.9113628278</v>
      </c>
      <c r="Y329" s="34" t="n">
        <f aca="false">Y327*Y328</f>
        <v>15931.1831150268</v>
      </c>
      <c r="Z329" s="34" t="n">
        <f aca="false">Z327*Z328</f>
        <v>16042.2234613385</v>
      </c>
      <c r="AA329" s="34" t="n">
        <f aca="false">AA327*AA328</f>
        <v>16154.037758864</v>
      </c>
      <c r="AB329" s="34" t="n">
        <f aca="false">AB327*AB328</f>
        <v>16266.6314020433</v>
      </c>
      <c r="AC329" s="34" t="n">
        <f aca="false">AC327*AC328</f>
        <v>16380.0098229155</v>
      </c>
      <c r="AD329" s="34" t="n">
        <f aca="false">AD327*AD328</f>
        <v>16494.1784913813</v>
      </c>
      <c r="AE329" s="34" t="n">
        <f aca="false">AE327*AE328</f>
        <v>16609.1429154662</v>
      </c>
      <c r="AF329" s="34" t="n">
        <f aca="false">AF327*AF328</f>
        <v>16724.908641587</v>
      </c>
      <c r="AG329" s="34" t="n">
        <f aca="false">AG327*AG328</f>
        <v>16841.4812548189</v>
      </c>
      <c r="AH329" s="34" t="n">
        <f aca="false">AH327*AH328</f>
        <v>16958.8663791649</v>
      </c>
      <c r="AI329" s="34" t="n">
        <f aca="false">AI327*AI328</f>
        <v>17077.0696778277</v>
      </c>
      <c r="AJ329" s="34" t="n">
        <f aca="false">AJ327*AJ328</f>
        <v>17196.0968534822</v>
      </c>
      <c r="AK329" s="34" t="n">
        <f aca="false">AK327*AK328</f>
        <v>17315.953648551</v>
      </c>
      <c r="AL329" s="34" t="n">
        <f aca="false">AL327*AL328</f>
        <v>17436.6458454814</v>
      </c>
      <c r="AM329" s="34" t="n">
        <f aca="false">AM327*AM328</f>
        <v>17558.1792670244</v>
      </c>
      <c r="AN329" s="34" t="n">
        <f aca="false">AN327*AN328</f>
        <v>17680.5597765155</v>
      </c>
      <c r="AO329" s="34" t="n">
        <f aca="false">AO327*AO328</f>
        <v>17803.7932781578</v>
      </c>
      <c r="AP329" s="34" t="n">
        <f aca="false">AP327*AP328</f>
        <v>17927.8857173066</v>
      </c>
      <c r="AQ329" s="34" t="n">
        <f aca="false">AQ327*AQ328</f>
        <v>18052.8430807562</v>
      </c>
      <c r="AR329" s="34" t="n">
        <f aca="false">AR327*AR328</f>
        <v>18178.6713970291</v>
      </c>
      <c r="AS329" s="34" t="n">
        <f aca="false">AS327*AS328</f>
        <v>9152.68836833319</v>
      </c>
    </row>
    <row r="330" customFormat="false" ht="14.25" hidden="false" customHeight="false" outlineLevel="1" collapsed="false">
      <c r="C330" s="6" t="s">
        <v>250</v>
      </c>
      <c r="D330" s="2" t="s">
        <v>3</v>
      </c>
      <c r="J330" s="66" t="n">
        <f aca="false">(1+Opex_Esc)^J315</f>
        <v>0.883854287609517</v>
      </c>
      <c r="K330" s="66" t="n">
        <f aca="false">(1+Opex_Esc)^K315</f>
        <v>0.905950644799755</v>
      </c>
      <c r="L330" s="66" t="n">
        <f aca="false">(1+Opex_Esc)^L315</f>
        <v>0.928599410919749</v>
      </c>
      <c r="M330" s="66" t="n">
        <f aca="false">(1+Opex_Esc)^M315</f>
        <v>0.951814396192743</v>
      </c>
      <c r="N330" s="66" t="n">
        <f aca="false">(1+Opex_Esc)^N315</f>
        <v>0.975609756097561</v>
      </c>
      <c r="O330" s="66" t="n">
        <f aca="false">(1+Opex_Esc)^O315</f>
        <v>1</v>
      </c>
      <c r="P330" s="66" t="n">
        <f aca="false">(1+Opex_Esc)^P315</f>
        <v>1.025</v>
      </c>
      <c r="Q330" s="66" t="n">
        <f aca="false">(1+Opex_Esc)^Q315</f>
        <v>1.050625</v>
      </c>
      <c r="R330" s="66" t="n">
        <f aca="false">(1+Opex_Esc)^R315</f>
        <v>1.076890625</v>
      </c>
      <c r="S330" s="66" t="n">
        <f aca="false">(1+Opex_Esc)^S315</f>
        <v>1.103812890625</v>
      </c>
      <c r="T330" s="66" t="n">
        <f aca="false">(1+Opex_Esc)^T315</f>
        <v>1.13140821289062</v>
      </c>
      <c r="U330" s="66" t="n">
        <f aca="false">(1+Opex_Esc)^U315</f>
        <v>1.15969341821289</v>
      </c>
      <c r="V330" s="66" t="n">
        <f aca="false">(1+Opex_Esc)^V315</f>
        <v>1.18868575366821</v>
      </c>
      <c r="W330" s="66" t="n">
        <f aca="false">(1+Opex_Esc)^W315</f>
        <v>1.21840289750992</v>
      </c>
      <c r="X330" s="66" t="n">
        <f aca="false">(1+Opex_Esc)^X315</f>
        <v>1.24886296994767</v>
      </c>
      <c r="Y330" s="66" t="n">
        <f aca="false">(1+Opex_Esc)^Y315</f>
        <v>1.28008454419636</v>
      </c>
      <c r="Z330" s="66" t="n">
        <f aca="false">(1+Opex_Esc)^Z315</f>
        <v>1.31208665780127</v>
      </c>
      <c r="AA330" s="66" t="n">
        <f aca="false">(1+Opex_Esc)^AA315</f>
        <v>1.3448888242463</v>
      </c>
      <c r="AB330" s="66" t="n">
        <f aca="false">(1+Opex_Esc)^AB315</f>
        <v>1.37851104485245</v>
      </c>
      <c r="AC330" s="66" t="n">
        <f aca="false">(1+Opex_Esc)^AC315</f>
        <v>1.41297382097377</v>
      </c>
      <c r="AD330" s="66" t="n">
        <f aca="false">(1+Opex_Esc)^AD315</f>
        <v>1.44829816649811</v>
      </c>
      <c r="AE330" s="66" t="n">
        <f aca="false">(1+Opex_Esc)^AE315</f>
        <v>1.48450562066056</v>
      </c>
      <c r="AF330" s="66" t="n">
        <f aca="false">(1+Opex_Esc)^AF315</f>
        <v>1.52161826117708</v>
      </c>
      <c r="AG330" s="66" t="n">
        <f aca="false">(1+Opex_Esc)^AG315</f>
        <v>1.5596587177065</v>
      </c>
      <c r="AH330" s="66" t="n">
        <f aca="false">(1+Opex_Esc)^AH315</f>
        <v>1.59865018564917</v>
      </c>
      <c r="AI330" s="66" t="n">
        <f aca="false">(1+Opex_Esc)^AI315</f>
        <v>1.63861644029039</v>
      </c>
      <c r="AJ330" s="66" t="n">
        <f aca="false">(1+Opex_Esc)^AJ315</f>
        <v>1.67958185129765</v>
      </c>
      <c r="AK330" s="66" t="n">
        <f aca="false">(1+Opex_Esc)^AK315</f>
        <v>1.7215713975801</v>
      </c>
      <c r="AL330" s="66" t="n">
        <f aca="false">(1+Opex_Esc)^AL315</f>
        <v>1.7646106825196</v>
      </c>
      <c r="AM330" s="66" t="n">
        <f aca="false">(1+Opex_Esc)^AM315</f>
        <v>1.80872594958259</v>
      </c>
      <c r="AN330" s="66" t="n">
        <f aca="false">(1+Opex_Esc)^AN315</f>
        <v>1.85394409832215</v>
      </c>
      <c r="AO330" s="66" t="n">
        <f aca="false">(1+Opex_Esc)^AO315</f>
        <v>1.90029270078021</v>
      </c>
      <c r="AP330" s="66" t="n">
        <f aca="false">(1+Opex_Esc)^AP315</f>
        <v>1.94780001829971</v>
      </c>
      <c r="AQ330" s="66" t="n">
        <f aca="false">(1+Opex_Esc)^AQ315</f>
        <v>1.9964950187572</v>
      </c>
      <c r="AR330" s="66" t="n">
        <f aca="false">(1+Opex_Esc)^AR315</f>
        <v>2.04640739422613</v>
      </c>
      <c r="AS330" s="66" t="n">
        <f aca="false">(1+Opex_Esc)^AS315</f>
        <v>2.09756757908179</v>
      </c>
    </row>
    <row r="331" customFormat="false" ht="14.25" hidden="false" customHeight="false" outlineLevel="1" collapsed="false">
      <c r="C331" s="6" t="s">
        <v>251</v>
      </c>
      <c r="D331" s="2" t="s">
        <v>84</v>
      </c>
      <c r="H331" s="8" t="n">
        <f aca="false">SUM(J331:AS331)</f>
        <v>-77790.1021674219</v>
      </c>
      <c r="J331" s="8" t="n">
        <f aca="false">-(Case_OM+SUM(Opex_Per_MW))*$F$46*J330*J319</f>
        <v>-0</v>
      </c>
      <c r="K331" s="8" t="n">
        <f aca="false">-(Case_OM+SUM(Opex_Per_MW))*$F$46*K330*K319</f>
        <v>-0</v>
      </c>
      <c r="L331" s="8" t="n">
        <f aca="false">-(Case_OM+SUM(Opex_Per_MW))*$F$46*L330*L319</f>
        <v>-0</v>
      </c>
      <c r="M331" s="8" t="n">
        <f aca="false">-(Case_OM+SUM(Opex_Per_MW))*$F$46*M330*M319</f>
        <v>-0</v>
      </c>
      <c r="N331" s="8" t="n">
        <f aca="false">-(Case_OM+SUM(Opex_Per_MW))*$F$46*N330*N319</f>
        <v>-0</v>
      </c>
      <c r="O331" s="8" t="n">
        <f aca="false">-(Case_OM+SUM(Opex_Per_MW))*$F$46*O330*O319</f>
        <v>-875</v>
      </c>
      <c r="P331" s="8" t="n">
        <f aca="false">-(Case_OM+SUM(Opex_Per_MW))*$F$46*P330*P319</f>
        <v>-1793.75</v>
      </c>
      <c r="Q331" s="8" t="n">
        <f aca="false">-(Case_OM+SUM(Opex_Per_MW))*$F$46*Q330*Q319</f>
        <v>-1838.59375</v>
      </c>
      <c r="R331" s="8" t="n">
        <f aca="false">-(Case_OM+SUM(Opex_Per_MW))*$F$46*R330*R319</f>
        <v>-1884.55859375</v>
      </c>
      <c r="S331" s="8" t="n">
        <f aca="false">-(Case_OM+SUM(Opex_Per_MW))*$F$46*S330*S319</f>
        <v>-1931.67255859375</v>
      </c>
      <c r="T331" s="8" t="n">
        <f aca="false">-(Case_OM+SUM(Opex_Per_MW))*$F$46*T330*T319</f>
        <v>-1979.96437255859</v>
      </c>
      <c r="U331" s="8" t="n">
        <f aca="false">-(Case_OM+SUM(Opex_Per_MW))*$F$46*U330*U319</f>
        <v>-2029.46348187256</v>
      </c>
      <c r="V331" s="8" t="n">
        <f aca="false">-(Case_OM+SUM(Opex_Per_MW))*$F$46*V330*V319</f>
        <v>-2080.20006891937</v>
      </c>
      <c r="W331" s="8" t="n">
        <f aca="false">-(Case_OM+SUM(Opex_Per_MW))*$F$46*W330*W319</f>
        <v>-2132.20507064236</v>
      </c>
      <c r="X331" s="8" t="n">
        <f aca="false">-(Case_OM+SUM(Opex_Per_MW))*$F$46*X330*X319</f>
        <v>-2185.51019740841</v>
      </c>
      <c r="Y331" s="8" t="n">
        <f aca="false">-(Case_OM+SUM(Opex_Per_MW))*$F$46*Y330*Y319</f>
        <v>-2240.14795234362</v>
      </c>
      <c r="Z331" s="8" t="n">
        <f aca="false">-(Case_OM+SUM(Opex_Per_MW))*$F$46*Z330*Z319</f>
        <v>-2296.15165115221</v>
      </c>
      <c r="AA331" s="8" t="n">
        <f aca="false">-(Case_OM+SUM(Opex_Per_MW))*$F$46*AA330*AA319</f>
        <v>-2353.55544243102</v>
      </c>
      <c r="AB331" s="8" t="n">
        <f aca="false">-(Case_OM+SUM(Opex_Per_MW))*$F$46*AB330*AB319</f>
        <v>-2412.3943284918</v>
      </c>
      <c r="AC331" s="8" t="n">
        <f aca="false">-(Case_OM+SUM(Opex_Per_MW))*$F$46*AC330*AC319</f>
        <v>-2472.70418670409</v>
      </c>
      <c r="AD331" s="8" t="n">
        <f aca="false">-(Case_OM+SUM(Opex_Per_MW))*$F$46*AD330*AD319</f>
        <v>-2534.52179137169</v>
      </c>
      <c r="AE331" s="8" t="n">
        <f aca="false">-(Case_OM+SUM(Opex_Per_MW))*$F$46*AE330*AE319</f>
        <v>-2597.88483615598</v>
      </c>
      <c r="AF331" s="8" t="n">
        <f aca="false">-(Case_OM+SUM(Opex_Per_MW))*$F$46*AF330*AF319</f>
        <v>-2662.83195705988</v>
      </c>
      <c r="AG331" s="8" t="n">
        <f aca="false">-(Case_OM+SUM(Opex_Per_MW))*$F$46*AG330*AG319</f>
        <v>-2729.40275598638</v>
      </c>
      <c r="AH331" s="8" t="n">
        <f aca="false">-(Case_OM+SUM(Opex_Per_MW))*$F$46*AH330*AH319</f>
        <v>-2797.63782488604</v>
      </c>
      <c r="AI331" s="8" t="n">
        <f aca="false">-(Case_OM+SUM(Opex_Per_MW))*$F$46*AI330*AI319</f>
        <v>-2867.57877050819</v>
      </c>
      <c r="AJ331" s="8" t="n">
        <f aca="false">-(Case_OM+SUM(Opex_Per_MW))*$F$46*AJ330*AJ319</f>
        <v>-2939.26823977089</v>
      </c>
      <c r="AK331" s="8" t="n">
        <f aca="false">-(Case_OM+SUM(Opex_Per_MW))*$F$46*AK330*AK319</f>
        <v>-3012.74994576517</v>
      </c>
      <c r="AL331" s="8" t="n">
        <f aca="false">-(Case_OM+SUM(Opex_Per_MW))*$F$46*AL330*AL319</f>
        <v>-3088.0686944093</v>
      </c>
      <c r="AM331" s="8" t="n">
        <f aca="false">-(Case_OM+SUM(Opex_Per_MW))*$F$46*AM330*AM319</f>
        <v>-3165.27041176953</v>
      </c>
      <c r="AN331" s="8" t="n">
        <f aca="false">-(Case_OM+SUM(Opex_Per_MW))*$F$46*AN330*AN319</f>
        <v>-3244.40217206377</v>
      </c>
      <c r="AO331" s="8" t="n">
        <f aca="false">-(Case_OM+SUM(Opex_Per_MW))*$F$46*AO330*AO319</f>
        <v>-3325.51222636536</v>
      </c>
      <c r="AP331" s="8" t="n">
        <f aca="false">-(Case_OM+SUM(Opex_Per_MW))*$F$46*AP330*AP319</f>
        <v>-3408.65003202449</v>
      </c>
      <c r="AQ331" s="8" t="n">
        <f aca="false">-(Case_OM+SUM(Opex_Per_MW))*$F$46*AQ330*AQ319</f>
        <v>-3493.86628282511</v>
      </c>
      <c r="AR331" s="8" t="n">
        <f aca="false">-(Case_OM+SUM(Opex_Per_MW))*$F$46*AR330*AR319</f>
        <v>-3581.21293989573</v>
      </c>
      <c r="AS331" s="8" t="n">
        <f aca="false">-(Case_OM+SUM(Opex_Per_MW))*$F$46*AS330*AS319</f>
        <v>-1835.37163169656</v>
      </c>
    </row>
    <row r="332" customFormat="false" ht="14.25" hidden="false" customHeight="false" outlineLevel="1" collapsed="false">
      <c r="C332" s="6" t="s">
        <v>252</v>
      </c>
      <c r="D332" s="2" t="s">
        <v>84</v>
      </c>
      <c r="H332" s="8" t="n">
        <f aca="false">SUM(J332:AS332)</f>
        <v>-1666.93076073047</v>
      </c>
      <c r="J332" s="8" t="n">
        <f aca="false">-Opex_Admin*$F$6/Lump_Basis*J330*J319</f>
        <v>-0</v>
      </c>
      <c r="K332" s="8" t="n">
        <f aca="false">-Opex_Admin*$F$6/Lump_Basis*K330*K319</f>
        <v>-0</v>
      </c>
      <c r="L332" s="8" t="n">
        <f aca="false">-Opex_Admin*$F$6/Lump_Basis*L330*L319</f>
        <v>-0</v>
      </c>
      <c r="M332" s="8" t="n">
        <f aca="false">-Opex_Admin*$F$6/Lump_Basis*M330*M319</f>
        <v>-0</v>
      </c>
      <c r="N332" s="8" t="n">
        <f aca="false">-Opex_Admin*$F$6/Lump_Basis*N330*N319</f>
        <v>-0</v>
      </c>
      <c r="O332" s="8" t="n">
        <f aca="false">-Opex_Admin*$F$6/Lump_Basis*O330*O319</f>
        <v>-18.75</v>
      </c>
      <c r="P332" s="8" t="n">
        <f aca="false">-Opex_Admin*$F$6/Lump_Basis*P330*P319</f>
        <v>-38.4375</v>
      </c>
      <c r="Q332" s="8" t="n">
        <f aca="false">-Opex_Admin*$F$6/Lump_Basis*Q330*Q319</f>
        <v>-39.3984375</v>
      </c>
      <c r="R332" s="8" t="n">
        <f aca="false">-Opex_Admin*$F$6/Lump_Basis*R330*R319</f>
        <v>-40.3833984375</v>
      </c>
      <c r="S332" s="8" t="n">
        <f aca="false">-Opex_Admin*$F$6/Lump_Basis*S330*S319</f>
        <v>-41.3929833984375</v>
      </c>
      <c r="T332" s="8" t="n">
        <f aca="false">-Opex_Admin*$F$6/Lump_Basis*T330*T319</f>
        <v>-42.4278079833984</v>
      </c>
      <c r="U332" s="8" t="n">
        <f aca="false">-Opex_Admin*$F$6/Lump_Basis*U330*U319</f>
        <v>-43.4885031829834</v>
      </c>
      <c r="V332" s="8" t="n">
        <f aca="false">-Opex_Admin*$F$6/Lump_Basis*V330*V319</f>
        <v>-44.575715762558</v>
      </c>
      <c r="W332" s="8" t="n">
        <f aca="false">-Opex_Admin*$F$6/Lump_Basis*W330*W319</f>
        <v>-45.6901086566219</v>
      </c>
      <c r="X332" s="8" t="n">
        <f aca="false">-Opex_Admin*$F$6/Lump_Basis*X330*X319</f>
        <v>-46.8323613730374</v>
      </c>
      <c r="Y332" s="8" t="n">
        <f aca="false">-Opex_Admin*$F$6/Lump_Basis*Y330*Y319</f>
        <v>-48.0031704073634</v>
      </c>
      <c r="Z332" s="8" t="n">
        <f aca="false">-Opex_Admin*$F$6/Lump_Basis*Z330*Z319</f>
        <v>-49.2032496675475</v>
      </c>
      <c r="AA332" s="8" t="n">
        <f aca="false">-Opex_Admin*$F$6/Lump_Basis*AA330*AA319</f>
        <v>-50.4333309092361</v>
      </c>
      <c r="AB332" s="8" t="n">
        <f aca="false">-Opex_Admin*$F$6/Lump_Basis*AB330*AB319</f>
        <v>-51.694164181967</v>
      </c>
      <c r="AC332" s="8" t="n">
        <f aca="false">-Opex_Admin*$F$6/Lump_Basis*AC330*AC319</f>
        <v>-52.9865182865162</v>
      </c>
      <c r="AD332" s="8" t="n">
        <f aca="false">-Opex_Admin*$F$6/Lump_Basis*AD330*AD319</f>
        <v>-54.3111812436791</v>
      </c>
      <c r="AE332" s="8" t="n">
        <f aca="false">-Opex_Admin*$F$6/Lump_Basis*AE330*AE319</f>
        <v>-55.6689607747711</v>
      </c>
      <c r="AF332" s="8" t="n">
        <f aca="false">-Opex_Admin*$F$6/Lump_Basis*AF330*AF319</f>
        <v>-57.0606847941404</v>
      </c>
      <c r="AG332" s="8" t="n">
        <f aca="false">-Opex_Admin*$F$6/Lump_Basis*AG330*AG319</f>
        <v>-58.4872019139939</v>
      </c>
      <c r="AH332" s="8" t="n">
        <f aca="false">-Opex_Admin*$F$6/Lump_Basis*AH330*AH319</f>
        <v>-59.9493819618437</v>
      </c>
      <c r="AI332" s="8" t="n">
        <f aca="false">-Opex_Admin*$F$6/Lump_Basis*AI330*AI319</f>
        <v>-61.4481165108898</v>
      </c>
      <c r="AJ332" s="8" t="n">
        <f aca="false">-Opex_Admin*$F$6/Lump_Basis*AJ330*AJ319</f>
        <v>-62.984319423662</v>
      </c>
      <c r="AK332" s="8" t="n">
        <f aca="false">-Opex_Admin*$F$6/Lump_Basis*AK330*AK319</f>
        <v>-64.5589274092536</v>
      </c>
      <c r="AL332" s="8" t="n">
        <f aca="false">-Opex_Admin*$F$6/Lump_Basis*AL330*AL319</f>
        <v>-66.1729005944849</v>
      </c>
      <c r="AM332" s="8" t="n">
        <f aca="false">-Opex_Admin*$F$6/Lump_Basis*AM330*AM319</f>
        <v>-67.827223109347</v>
      </c>
      <c r="AN332" s="8" t="n">
        <f aca="false">-Opex_Admin*$F$6/Lump_Basis*AN330*AN319</f>
        <v>-69.5229036870807</v>
      </c>
      <c r="AO332" s="8" t="n">
        <f aca="false">-Opex_Admin*$F$6/Lump_Basis*AO330*AO319</f>
        <v>-71.2609762792577</v>
      </c>
      <c r="AP332" s="8" t="n">
        <f aca="false">-Opex_Admin*$F$6/Lump_Basis*AP330*AP319</f>
        <v>-73.0425006862391</v>
      </c>
      <c r="AQ332" s="8" t="n">
        <f aca="false">-Opex_Admin*$F$6/Lump_Basis*AQ330*AQ319</f>
        <v>-74.8685632033951</v>
      </c>
      <c r="AR332" s="8" t="n">
        <f aca="false">-Opex_Admin*$F$6/Lump_Basis*AR330*AR319</f>
        <v>-76.74027728348</v>
      </c>
      <c r="AS332" s="8" t="n">
        <f aca="false">-Opex_Admin*$F$6/Lump_Basis*AS330*AS319</f>
        <v>-39.3293921077835</v>
      </c>
    </row>
    <row r="333" customFormat="false" ht="14.25" hidden="false" customHeight="false" outlineLevel="1" collapsed="false">
      <c r="C333" s="6" t="s">
        <v>253</v>
      </c>
      <c r="D333" s="2" t="s">
        <v>84</v>
      </c>
      <c r="H333" s="8" t="n">
        <f aca="false">SUM(J333:AS333)</f>
        <v>-34902.1442969836</v>
      </c>
      <c r="J333" s="8" t="n">
        <f aca="false">-J327*(Balancing+Grid_Charges)*J330</f>
        <v>-0</v>
      </c>
      <c r="K333" s="8" t="n">
        <f aca="false">-K327*(Balancing+Grid_Charges)*K330</f>
        <v>-0</v>
      </c>
      <c r="L333" s="8" t="n">
        <f aca="false">-L327*(Balancing+Grid_Charges)*L330</f>
        <v>-0</v>
      </c>
      <c r="M333" s="8" t="n">
        <f aca="false">-M327*(Balancing+Grid_Charges)*M330</f>
        <v>-0</v>
      </c>
      <c r="N333" s="8" t="n">
        <f aca="false">-N327*(Balancing+Grid_Charges)*N330</f>
        <v>-0</v>
      </c>
      <c r="O333" s="8" t="n">
        <f aca="false">-O327*(Balancing+Grid_Charges)*O330</f>
        <v>-411.6</v>
      </c>
      <c r="P333" s="8" t="n">
        <f aca="false">-P327*(Balancing+Grid_Charges)*P330</f>
        <v>-843.78</v>
      </c>
      <c r="Q333" s="8" t="n">
        <f aca="false">-Q327*(Balancing+Grid_Charges)*Q330</f>
        <v>-862.2798765</v>
      </c>
      <c r="R333" s="8" t="n">
        <f aca="false">-R327*(Balancing+Grid_Charges)*R330</f>
        <v>-881.185362792262</v>
      </c>
      <c r="S333" s="8" t="n">
        <f aca="false">-S327*(Balancing+Grid_Charges)*S330</f>
        <v>-900.505351871483</v>
      </c>
      <c r="T333" s="8" t="n">
        <f aca="false">-T327*(Balancing+Grid_Charges)*T330</f>
        <v>-920.248931711265</v>
      </c>
      <c r="U333" s="8" t="n">
        <f aca="false">-U327*(Balancing+Grid_Charges)*U330</f>
        <v>-940.425389539034</v>
      </c>
      <c r="V333" s="8" t="n">
        <f aca="false">-V327*(Balancing+Grid_Charges)*V330</f>
        <v>-961.044216204678</v>
      </c>
      <c r="W333" s="8" t="n">
        <f aca="false">-W327*(Balancing+Grid_Charges)*W330</f>
        <v>-982.115110644965</v>
      </c>
      <c r="X333" s="8" t="n">
        <f aca="false">-X327*(Balancing+Grid_Charges)*X330</f>
        <v>-1003.64798444586</v>
      </c>
      <c r="Y333" s="8" t="n">
        <f aca="false">-Y327*(Balancing+Grid_Charges)*Y330</f>
        <v>-1025.65296650483</v>
      </c>
      <c r="Z333" s="8" t="n">
        <f aca="false">-Z327*(Balancing+Grid_Charges)*Z330</f>
        <v>-1048.14040779545</v>
      </c>
      <c r="AA333" s="8" t="n">
        <f aca="false">-AA327*(Balancing+Grid_Charges)*AA330</f>
        <v>-1071.12088623636</v>
      </c>
      <c r="AB333" s="8" t="n">
        <f aca="false">-AB327*(Balancing+Grid_Charges)*AB330</f>
        <v>-1094.6052116671</v>
      </c>
      <c r="AC333" s="8" t="n">
        <f aca="false">-AC327*(Balancing+Grid_Charges)*AC330</f>
        <v>-1118.6044309329</v>
      </c>
      <c r="AD333" s="8" t="n">
        <f aca="false">-AD327*(Balancing+Grid_Charges)*AD330</f>
        <v>-1143.1298330811</v>
      </c>
      <c r="AE333" s="8" t="n">
        <f aca="false">-AE327*(Balancing+Grid_Charges)*AE330</f>
        <v>-1168.1929546714</v>
      </c>
      <c r="AF333" s="8" t="n">
        <f aca="false">-AF327*(Balancing+Grid_Charges)*AF330</f>
        <v>-1193.80558520257</v>
      </c>
      <c r="AG333" s="8" t="n">
        <f aca="false">-AG327*(Balancing+Grid_Charges)*AG330</f>
        <v>-1219.97977265814</v>
      </c>
      <c r="AH333" s="8" t="n">
        <f aca="false">-AH327*(Balancing+Grid_Charges)*AH330</f>
        <v>-1246.72782917367</v>
      </c>
      <c r="AI333" s="8" t="n">
        <f aca="false">-AI327*(Balancing+Grid_Charges)*AI330</f>
        <v>-1274.0623368283</v>
      </c>
      <c r="AJ333" s="8" t="n">
        <f aca="false">-AJ327*(Balancing+Grid_Charges)*AJ330</f>
        <v>-1301.99615356326</v>
      </c>
      <c r="AK333" s="8" t="n">
        <f aca="false">-AK327*(Balancing+Grid_Charges)*AK330</f>
        <v>-1330.54241923014</v>
      </c>
      <c r="AL333" s="8" t="n">
        <f aca="false">-AL327*(Balancing+Grid_Charges)*AL330</f>
        <v>-1359.71456177176</v>
      </c>
      <c r="AM333" s="8" t="n">
        <f aca="false">-AM327*(Balancing+Grid_Charges)*AM330</f>
        <v>-1389.5263035386</v>
      </c>
      <c r="AN333" s="8" t="n">
        <f aca="false">-AN327*(Balancing+Grid_Charges)*AN330</f>
        <v>-1419.99166774369</v>
      </c>
      <c r="AO333" s="8" t="n">
        <f aca="false">-AO327*(Balancing+Grid_Charges)*AO330</f>
        <v>-1451.12498505897</v>
      </c>
      <c r="AP333" s="8" t="n">
        <f aca="false">-AP327*(Balancing+Grid_Charges)*AP330</f>
        <v>-1482.94090035639</v>
      </c>
      <c r="AQ333" s="8" t="n">
        <f aca="false">-AQ327*(Balancing+Grid_Charges)*AQ330</f>
        <v>-1515.4543795967</v>
      </c>
      <c r="AR333" s="8" t="n">
        <f aca="false">-AR327*(Balancing+Grid_Charges)*AR330</f>
        <v>-1548.68071686936</v>
      </c>
      <c r="AS333" s="8" t="n">
        <f aca="false">-AS327*(Balancing+Grid_Charges)*AS330</f>
        <v>-791.317770793359</v>
      </c>
    </row>
    <row r="334" customFormat="false" ht="14.25" hidden="false" customHeight="false" outlineLevel="1" collapsed="false">
      <c r="C334" s="6" t="s">
        <v>254</v>
      </c>
      <c r="D334" s="2" t="s">
        <v>84</v>
      </c>
      <c r="H334" s="8" t="n">
        <f aca="false">SUM(J334:AS334)</f>
        <v>-495.700761921616</v>
      </c>
      <c r="J334" s="8" t="n">
        <f aca="false">-J329*MEKH_Fee</f>
        <v>-0</v>
      </c>
      <c r="K334" s="8" t="n">
        <f aca="false">-K329*MEKH_Fee</f>
        <v>-0</v>
      </c>
      <c r="L334" s="8" t="n">
        <f aca="false">-L329*MEKH_Fee</f>
        <v>-0</v>
      </c>
      <c r="M334" s="8" t="n">
        <f aca="false">-M329*MEKH_Fee</f>
        <v>-0</v>
      </c>
      <c r="N334" s="8" t="n">
        <f aca="false">-N329*MEKH_Fee</f>
        <v>-0</v>
      </c>
      <c r="O334" s="8" t="n">
        <f aca="false">-O329*MEKH_Fee</f>
        <v>-7.4088</v>
      </c>
      <c r="P334" s="8" t="n">
        <f aca="false">-P329*MEKH_Fee</f>
        <v>-14.965776</v>
      </c>
      <c r="Q334" s="8" t="n">
        <f aca="false">-Q329*MEKH_Fee</f>
        <v>-15.07008745872</v>
      </c>
      <c r="R334" s="8" t="n">
        <f aca="false">-R329*MEKH_Fee</f>
        <v>-15.1751259683073</v>
      </c>
      <c r="S334" s="8" t="n">
        <f aca="false">-S329*MEKH_Fee</f>
        <v>-15.2808965963064</v>
      </c>
      <c r="T334" s="8" t="n">
        <f aca="false">-T329*MEKH_Fee</f>
        <v>-15.3874044455826</v>
      </c>
      <c r="U334" s="8" t="n">
        <f aca="false">-U329*MEKH_Fee</f>
        <v>-15.4946546545683</v>
      </c>
      <c r="V334" s="8" t="n">
        <f aca="false">-V329*MEKH_Fee</f>
        <v>-15.6026523975107</v>
      </c>
      <c r="W334" s="8" t="n">
        <f aca="false">-W329*MEKH_Fee</f>
        <v>-15.7114028847213</v>
      </c>
      <c r="X334" s="8" t="n">
        <f aca="false">-X329*MEKH_Fee</f>
        <v>-15.8209113628278</v>
      </c>
      <c r="Y334" s="8" t="n">
        <f aca="false">-Y329*MEKH_Fee</f>
        <v>-15.9311831150268</v>
      </c>
      <c r="Z334" s="8" t="n">
        <f aca="false">-Z329*MEKH_Fee</f>
        <v>-16.0422234613385</v>
      </c>
      <c r="AA334" s="8" t="n">
        <f aca="false">-AA329*MEKH_Fee</f>
        <v>-16.154037758864</v>
      </c>
      <c r="AB334" s="8" t="n">
        <f aca="false">-AB329*MEKH_Fee</f>
        <v>-16.2666314020433</v>
      </c>
      <c r="AC334" s="8" t="n">
        <f aca="false">-AC329*MEKH_Fee</f>
        <v>-16.3800098229155</v>
      </c>
      <c r="AD334" s="8" t="n">
        <f aca="false">-AD329*MEKH_Fee</f>
        <v>-16.4941784913813</v>
      </c>
      <c r="AE334" s="8" t="n">
        <f aca="false">-AE329*MEKH_Fee</f>
        <v>-16.6091429154662</v>
      </c>
      <c r="AF334" s="8" t="n">
        <f aca="false">-AF329*MEKH_Fee</f>
        <v>-16.724908641587</v>
      </c>
      <c r="AG334" s="8" t="n">
        <f aca="false">-AG329*MEKH_Fee</f>
        <v>-16.8414812548189</v>
      </c>
      <c r="AH334" s="8" t="n">
        <f aca="false">-AH329*MEKH_Fee</f>
        <v>-16.9588663791649</v>
      </c>
      <c r="AI334" s="8" t="n">
        <f aca="false">-AI329*MEKH_Fee</f>
        <v>-17.0770696778277</v>
      </c>
      <c r="AJ334" s="8" t="n">
        <f aca="false">-AJ329*MEKH_Fee</f>
        <v>-17.1960968534822</v>
      </c>
      <c r="AK334" s="8" t="n">
        <f aca="false">-AK329*MEKH_Fee</f>
        <v>-17.315953648551</v>
      </c>
      <c r="AL334" s="8" t="n">
        <f aca="false">-AL329*MEKH_Fee</f>
        <v>-17.4366458454814</v>
      </c>
      <c r="AM334" s="8" t="n">
        <f aca="false">-AM329*MEKH_Fee</f>
        <v>-17.5581792670244</v>
      </c>
      <c r="AN334" s="8" t="n">
        <f aca="false">-AN329*MEKH_Fee</f>
        <v>-17.6805597765155</v>
      </c>
      <c r="AO334" s="8" t="n">
        <f aca="false">-AO329*MEKH_Fee</f>
        <v>-17.8037932781578</v>
      </c>
      <c r="AP334" s="8" t="n">
        <f aca="false">-AP329*MEKH_Fee</f>
        <v>-17.9278857173066</v>
      </c>
      <c r="AQ334" s="8" t="n">
        <f aca="false">-AQ329*MEKH_Fee</f>
        <v>-18.0528430807562</v>
      </c>
      <c r="AR334" s="8" t="n">
        <f aca="false">-AR329*MEKH_Fee</f>
        <v>-18.1786713970291</v>
      </c>
      <c r="AS334" s="8" t="n">
        <f aca="false">-AS329*MEKH_Fee</f>
        <v>-9.15268836833319</v>
      </c>
    </row>
    <row r="335" customFormat="false" ht="14.25" hidden="false" customHeight="false" outlineLevel="1" collapsed="false">
      <c r="C335" s="6" t="s">
        <v>255</v>
      </c>
      <c r="D335" s="2" t="s">
        <v>84</v>
      </c>
      <c r="H335" s="8" t="n">
        <f aca="false">SUM(J335:AS335)</f>
        <v>-5742.74389935288</v>
      </c>
      <c r="J335" s="8" t="n">
        <f aca="false">SUM(J331:J334)*Opex_Cont</f>
        <v>0</v>
      </c>
      <c r="K335" s="8" t="n">
        <f aca="false">SUM(K331:K334)*Opex_Cont</f>
        <v>0</v>
      </c>
      <c r="L335" s="8" t="n">
        <f aca="false">SUM(L331:L334)*Opex_Cont</f>
        <v>0</v>
      </c>
      <c r="M335" s="8" t="n">
        <f aca="false">SUM(M331:M334)*Opex_Cont</f>
        <v>0</v>
      </c>
      <c r="N335" s="8" t="n">
        <f aca="false">SUM(N331:N334)*Opex_Cont</f>
        <v>0</v>
      </c>
      <c r="O335" s="8" t="n">
        <f aca="false">SUM(O331:O334)*Opex_Cont</f>
        <v>-65.63794</v>
      </c>
      <c r="P335" s="8" t="n">
        <f aca="false">SUM(P331:P334)*Opex_Cont</f>
        <v>-134.5466638</v>
      </c>
      <c r="Q335" s="8" t="n">
        <f aca="false">SUM(Q331:Q334)*Opex_Cont</f>
        <v>-137.767107572936</v>
      </c>
      <c r="R335" s="8" t="n">
        <f aca="false">SUM(R331:R334)*Opex_Cont</f>
        <v>-141.065124047403</v>
      </c>
      <c r="S335" s="8" t="n">
        <f aca="false">SUM(S331:S334)*Opex_Cont</f>
        <v>-144.442589522999</v>
      </c>
      <c r="T335" s="8" t="n">
        <f aca="false">SUM(T331:T334)*Opex_Cont</f>
        <v>-147.901425834942</v>
      </c>
      <c r="U335" s="8" t="n">
        <f aca="false">SUM(U331:U334)*Opex_Cont</f>
        <v>-151.443601462457</v>
      </c>
      <c r="V335" s="8" t="n">
        <f aca="false">SUM(V331:V334)*Opex_Cont</f>
        <v>-155.071132664206</v>
      </c>
      <c r="W335" s="8" t="n">
        <f aca="false">SUM(W331:W334)*Opex_Cont</f>
        <v>-158.786084641433</v>
      </c>
      <c r="X335" s="8" t="n">
        <f aca="false">SUM(X331:X334)*Opex_Cont</f>
        <v>-162.590572729507</v>
      </c>
      <c r="Y335" s="8" t="n">
        <f aca="false">SUM(Y331:Y334)*Opex_Cont</f>
        <v>-166.486763618542</v>
      </c>
      <c r="Z335" s="8" t="n">
        <f aca="false">SUM(Z331:Z334)*Opex_Cont</f>
        <v>-170.476876603828</v>
      </c>
      <c r="AA335" s="8" t="n">
        <f aca="false">SUM(AA331:AA334)*Opex_Cont</f>
        <v>-174.563184866774</v>
      </c>
      <c r="AB335" s="8" t="n">
        <f aca="false">SUM(AB331:AB334)*Opex_Cont</f>
        <v>-178.748016787145</v>
      </c>
      <c r="AC335" s="8" t="n">
        <f aca="false">SUM(AC331:AC334)*Opex_Cont</f>
        <v>-183.033757287321</v>
      </c>
      <c r="AD335" s="8" t="n">
        <f aca="false">SUM(AD331:AD334)*Opex_Cont</f>
        <v>-187.422849209393</v>
      </c>
      <c r="AE335" s="8" t="n">
        <f aca="false">SUM(AE331:AE334)*Opex_Cont</f>
        <v>-191.917794725881</v>
      </c>
      <c r="AF335" s="8" t="n">
        <f aca="false">SUM(AF331:AF334)*Opex_Cont</f>
        <v>-196.521156784909</v>
      </c>
      <c r="AG335" s="8" t="n">
        <f aca="false">SUM(AG331:AG334)*Opex_Cont</f>
        <v>-201.235560590667</v>
      </c>
      <c r="AH335" s="8" t="n">
        <f aca="false">SUM(AH331:AH334)*Opex_Cont</f>
        <v>-206.063695120036</v>
      </c>
      <c r="AI335" s="8" t="n">
        <f aca="false">SUM(AI331:AI334)*Opex_Cont</f>
        <v>-211.008314676261</v>
      </c>
      <c r="AJ335" s="8" t="n">
        <f aca="false">SUM(AJ331:AJ334)*Opex_Cont</f>
        <v>-216.072240480565</v>
      </c>
      <c r="AK335" s="8" t="n">
        <f aca="false">SUM(AK331:AK334)*Opex_Cont</f>
        <v>-221.258362302655</v>
      </c>
      <c r="AL335" s="8" t="n">
        <f aca="false">SUM(AL331:AL334)*Opex_Cont</f>
        <v>-226.569640131051</v>
      </c>
      <c r="AM335" s="8" t="n">
        <f aca="false">SUM(AM331:AM334)*Opex_Cont</f>
        <v>-232.009105884225</v>
      </c>
      <c r="AN335" s="8" t="n">
        <f aca="false">SUM(AN331:AN334)*Opex_Cont</f>
        <v>-237.579865163553</v>
      </c>
      <c r="AO335" s="8" t="n">
        <f aca="false">SUM(AO331:AO334)*Opex_Cont</f>
        <v>-243.285099049087</v>
      </c>
      <c r="AP335" s="8" t="n">
        <f aca="false">SUM(AP331:AP334)*Opex_Cont</f>
        <v>-249.128065939221</v>
      </c>
      <c r="AQ335" s="8" t="n">
        <f aca="false">SUM(AQ331:AQ334)*Opex_Cont</f>
        <v>-255.112103435298</v>
      </c>
      <c r="AR335" s="8" t="n">
        <f aca="false">SUM(AR331:AR334)*Opex_Cont</f>
        <v>-261.24063027228</v>
      </c>
      <c r="AS335" s="8" t="n">
        <f aca="false">SUM(AS331:AS334)*Opex_Cont</f>
        <v>-133.758574148302</v>
      </c>
    </row>
    <row r="336" customFormat="false" ht="14.25" hidden="false" customHeight="false" outlineLevel="1" collapsed="false">
      <c r="C336" s="6" t="s">
        <v>256</v>
      </c>
      <c r="D336" s="2" t="s">
        <v>84</v>
      </c>
      <c r="H336" s="8" t="n">
        <f aca="false">SUM(J336:AS336)</f>
        <v>-14211.3294235491</v>
      </c>
      <c r="J336" s="8" t="n">
        <f aca="false">-J327*$F$12</f>
        <v>-0</v>
      </c>
      <c r="K336" s="8" t="n">
        <f aca="false">-K327*$F$12</f>
        <v>-0</v>
      </c>
      <c r="L336" s="8" t="n">
        <f aca="false">-L327*$F$12</f>
        <v>-0</v>
      </c>
      <c r="M336" s="8" t="n">
        <f aca="false">-M327*$F$12</f>
        <v>-0</v>
      </c>
      <c r="N336" s="8" t="n">
        <f aca="false">-N327*$F$12</f>
        <v>-0</v>
      </c>
      <c r="O336" s="8" t="n">
        <f aca="false">-O327*$F$12</f>
        <v>-246.96</v>
      </c>
      <c r="P336" s="8" t="n">
        <f aca="false">-P327*$F$12</f>
        <v>-493.92</v>
      </c>
      <c r="Q336" s="8" t="n">
        <f aca="false">-Q327*$F$12</f>
        <v>-492.43824</v>
      </c>
      <c r="R336" s="8" t="n">
        <f aca="false">-R327*$F$12</f>
        <v>-490.96092528</v>
      </c>
      <c r="S336" s="8" t="n">
        <f aca="false">-S327*$F$12</f>
        <v>-489.48804250416</v>
      </c>
      <c r="T336" s="8" t="n">
        <f aca="false">-T327*$F$12</f>
        <v>-488.019578376648</v>
      </c>
      <c r="U336" s="8" t="n">
        <f aca="false">-U327*$F$12</f>
        <v>-486.555519641518</v>
      </c>
      <c r="V336" s="8" t="n">
        <f aca="false">-V327*$F$12</f>
        <v>-485.095853082593</v>
      </c>
      <c r="W336" s="8" t="n">
        <f aca="false">-W327*$F$12</f>
        <v>-483.640565523345</v>
      </c>
      <c r="X336" s="8" t="n">
        <f aca="false">-X327*$F$12</f>
        <v>-482.189643826775</v>
      </c>
      <c r="Y336" s="8" t="n">
        <f aca="false">-Y327*$F$12</f>
        <v>-480.743074895295</v>
      </c>
      <c r="Z336" s="8" t="n">
        <f aca="false">-Z327*$F$12</f>
        <v>-479.300845670609</v>
      </c>
      <c r="AA336" s="8" t="n">
        <f aca="false">-AA327*$F$12</f>
        <v>-477.862943133597</v>
      </c>
      <c r="AB336" s="8" t="n">
        <f aca="false">-AB327*$F$12</f>
        <v>-476.429354304196</v>
      </c>
      <c r="AC336" s="8" t="n">
        <f aca="false">-AC327*$F$12</f>
        <v>-475.000066241284</v>
      </c>
      <c r="AD336" s="8" t="n">
        <f aca="false">-AD327*$F$12</f>
        <v>-473.57506604256</v>
      </c>
      <c r="AE336" s="8" t="n">
        <f aca="false">-AE327*$F$12</f>
        <v>-472.154340844432</v>
      </c>
      <c r="AF336" s="8" t="n">
        <f aca="false">-AF327*$F$12</f>
        <v>-470.737877821899</v>
      </c>
      <c r="AG336" s="8" t="n">
        <f aca="false">-AG327*$F$12</f>
        <v>-469.325664188433</v>
      </c>
      <c r="AH336" s="8" t="n">
        <f aca="false">-AH327*$F$12</f>
        <v>-467.917687195868</v>
      </c>
      <c r="AI336" s="8" t="n">
        <f aca="false">-AI327*$F$12</f>
        <v>-466.51393413428</v>
      </c>
      <c r="AJ336" s="8" t="n">
        <f aca="false">-AJ327*$F$12</f>
        <v>-465.114392331878</v>
      </c>
      <c r="AK336" s="8" t="n">
        <f aca="false">-AK327*$F$12</f>
        <v>-463.719049154882</v>
      </c>
      <c r="AL336" s="8" t="n">
        <f aca="false">-AL327*$F$12</f>
        <v>-462.327892007417</v>
      </c>
      <c r="AM336" s="8" t="n">
        <f aca="false">-AM327*$F$12</f>
        <v>-460.940908331395</v>
      </c>
      <c r="AN336" s="8" t="n">
        <f aca="false">-AN327*$F$12</f>
        <v>-459.558085606401</v>
      </c>
      <c r="AO336" s="8" t="n">
        <f aca="false">-AO327*$F$12</f>
        <v>-458.179411349582</v>
      </c>
      <c r="AP336" s="8" t="n">
        <f aca="false">-AP327*$F$12</f>
        <v>-456.804873115533</v>
      </c>
      <c r="AQ336" s="8" t="n">
        <f aca="false">-AQ327*$F$12</f>
        <v>-455.434458496186</v>
      </c>
      <c r="AR336" s="8" t="n">
        <f aca="false">-AR327*$F$12</f>
        <v>-454.068155120698</v>
      </c>
      <c r="AS336" s="8" t="n">
        <f aca="false">-AS327*$F$12</f>
        <v>-226.352975327668</v>
      </c>
    </row>
    <row r="337" customFormat="false" ht="14.25" hidden="false" customHeight="false" outlineLevel="1" collapsed="false">
      <c r="C337" s="6" t="s">
        <v>257</v>
      </c>
      <c r="D337" s="2" t="s">
        <v>84</v>
      </c>
      <c r="H337" s="8" t="n">
        <f aca="false">SUM(J337:AS337)</f>
        <v>-9914.01523843232</v>
      </c>
      <c r="J337" s="8" t="n">
        <f aca="false">-J329*HIPA_Rate</f>
        <v>-0</v>
      </c>
      <c r="K337" s="8" t="n">
        <f aca="false">-K329*HIPA_Rate</f>
        <v>-0</v>
      </c>
      <c r="L337" s="8" t="n">
        <f aca="false">-L329*HIPA_Rate</f>
        <v>-0</v>
      </c>
      <c r="M337" s="8" t="n">
        <f aca="false">-M329*HIPA_Rate</f>
        <v>-0</v>
      </c>
      <c r="N337" s="8" t="n">
        <f aca="false">-N329*HIPA_Rate</f>
        <v>-0</v>
      </c>
      <c r="O337" s="8" t="n">
        <f aca="false">-O329*HIPA_Rate</f>
        <v>-148.176</v>
      </c>
      <c r="P337" s="8" t="n">
        <f aca="false">-P329*HIPA_Rate</f>
        <v>-299.31552</v>
      </c>
      <c r="Q337" s="8" t="n">
        <f aca="false">-Q329*HIPA_Rate</f>
        <v>-301.4017491744</v>
      </c>
      <c r="R337" s="8" t="n">
        <f aca="false">-R329*HIPA_Rate</f>
        <v>-303.502519366146</v>
      </c>
      <c r="S337" s="8" t="n">
        <f aca="false">-S329*HIPA_Rate</f>
        <v>-305.617931926128</v>
      </c>
      <c r="T337" s="8" t="n">
        <f aca="false">-T329*HIPA_Rate</f>
        <v>-307.748088911653</v>
      </c>
      <c r="U337" s="8" t="n">
        <f aca="false">-U329*HIPA_Rate</f>
        <v>-309.893093091367</v>
      </c>
      <c r="V337" s="8" t="n">
        <f aca="false">-V329*HIPA_Rate</f>
        <v>-312.053047950214</v>
      </c>
      <c r="W337" s="8" t="n">
        <f aca="false">-W329*HIPA_Rate</f>
        <v>-314.228057694427</v>
      </c>
      <c r="X337" s="8" t="n">
        <f aca="false">-X329*HIPA_Rate</f>
        <v>-316.418227256557</v>
      </c>
      <c r="Y337" s="8" t="n">
        <f aca="false">-Y329*HIPA_Rate</f>
        <v>-318.623662300535</v>
      </c>
      <c r="Z337" s="8" t="n">
        <f aca="false">-Z329*HIPA_Rate</f>
        <v>-320.84446922677</v>
      </c>
      <c r="AA337" s="8" t="n">
        <f aca="false">-AA329*HIPA_Rate</f>
        <v>-323.080755177281</v>
      </c>
      <c r="AB337" s="8" t="n">
        <f aca="false">-AB329*HIPA_Rate</f>
        <v>-325.332628040866</v>
      </c>
      <c r="AC337" s="8" t="n">
        <f aca="false">-AC329*HIPA_Rate</f>
        <v>-327.600196458311</v>
      </c>
      <c r="AD337" s="8" t="n">
        <f aca="false">-AD329*HIPA_Rate</f>
        <v>-329.883569827625</v>
      </c>
      <c r="AE337" s="8" t="n">
        <f aca="false">-AE329*HIPA_Rate</f>
        <v>-332.182858309324</v>
      </c>
      <c r="AF337" s="8" t="n">
        <f aca="false">-AF329*HIPA_Rate</f>
        <v>-334.49817283174</v>
      </c>
      <c r="AG337" s="8" t="n">
        <f aca="false">-AG329*HIPA_Rate</f>
        <v>-336.829625096377</v>
      </c>
      <c r="AH337" s="8" t="n">
        <f aca="false">-AH329*HIPA_Rate</f>
        <v>-339.177327583299</v>
      </c>
      <c r="AI337" s="8" t="n">
        <f aca="false">-AI329*HIPA_Rate</f>
        <v>-341.541393556554</v>
      </c>
      <c r="AJ337" s="8" t="n">
        <f aca="false">-AJ329*HIPA_Rate</f>
        <v>-343.921937069644</v>
      </c>
      <c r="AK337" s="8" t="n">
        <f aca="false">-AK329*HIPA_Rate</f>
        <v>-346.319072971019</v>
      </c>
      <c r="AL337" s="8" t="n">
        <f aca="false">-AL329*HIPA_Rate</f>
        <v>-348.732916909627</v>
      </c>
      <c r="AM337" s="8" t="n">
        <f aca="false">-AM329*HIPA_Rate</f>
        <v>-351.163585340487</v>
      </c>
      <c r="AN337" s="8" t="n">
        <f aca="false">-AN329*HIPA_Rate</f>
        <v>-353.61119553031</v>
      </c>
      <c r="AO337" s="8" t="n">
        <f aca="false">-AO329*HIPA_Rate</f>
        <v>-356.075865563157</v>
      </c>
      <c r="AP337" s="8" t="n">
        <f aca="false">-AP329*HIPA_Rate</f>
        <v>-358.557714346132</v>
      </c>
      <c r="AQ337" s="8" t="n">
        <f aca="false">-AQ329*HIPA_Rate</f>
        <v>-361.056861615124</v>
      </c>
      <c r="AR337" s="8" t="n">
        <f aca="false">-AR329*HIPA_Rate</f>
        <v>-363.573427940582</v>
      </c>
      <c r="AS337" s="8" t="n">
        <f aca="false">-AS329*HIPA_Rate</f>
        <v>-183.053767366664</v>
      </c>
    </row>
    <row r="338" customFormat="false" ht="14.25" hidden="false" customHeight="false" outlineLevel="1" collapsed="false">
      <c r="C338" s="1" t="s">
        <v>258</v>
      </c>
      <c r="D338" s="2" t="s">
        <v>84</v>
      </c>
      <c r="H338" s="34" t="n">
        <f aca="false">SUM(J338:AS338)</f>
        <v>-144722.966548392</v>
      </c>
      <c r="J338" s="34" t="n">
        <f aca="false">SUM(J331:J337)</f>
        <v>0</v>
      </c>
      <c r="K338" s="34" t="n">
        <f aca="false">SUM(K331:K337)</f>
        <v>0</v>
      </c>
      <c r="L338" s="34" t="n">
        <f aca="false">SUM(L331:L337)</f>
        <v>0</v>
      </c>
      <c r="M338" s="34" t="n">
        <f aca="false">SUM(M331:M337)</f>
        <v>0</v>
      </c>
      <c r="N338" s="34" t="n">
        <f aca="false">SUM(N331:N337)</f>
        <v>0</v>
      </c>
      <c r="O338" s="34" t="n">
        <f aca="false">SUM(O331:O337)</f>
        <v>-1773.53274</v>
      </c>
      <c r="P338" s="34" t="n">
        <f aca="false">SUM(P331:P337)</f>
        <v>-3618.7154598</v>
      </c>
      <c r="Q338" s="34" t="n">
        <f aca="false">SUM(Q331:Q337)</f>
        <v>-3686.94924820606</v>
      </c>
      <c r="R338" s="34" t="n">
        <f aca="false">SUM(R331:R337)</f>
        <v>-3756.83104964162</v>
      </c>
      <c r="S338" s="34" t="n">
        <f aca="false">SUM(S331:S337)</f>
        <v>-3828.40035441326</v>
      </c>
      <c r="T338" s="34" t="n">
        <f aca="false">SUM(T331:T337)</f>
        <v>-3901.69760982208</v>
      </c>
      <c r="U338" s="34" t="n">
        <f aca="false">SUM(U331:U337)</f>
        <v>-3976.76424344449</v>
      </c>
      <c r="V338" s="34" t="n">
        <f aca="false">SUM(V331:V337)</f>
        <v>-4053.64268698113</v>
      </c>
      <c r="W338" s="34" t="n">
        <f aca="false">SUM(W331:W337)</f>
        <v>-4132.37640068787</v>
      </c>
      <c r="X338" s="34" t="n">
        <f aca="false">SUM(X331:X337)</f>
        <v>-4213.00989840297</v>
      </c>
      <c r="Y338" s="34" t="n">
        <f aca="false">SUM(Y331:Y337)</f>
        <v>-4295.58877318522</v>
      </c>
      <c r="Z338" s="34" t="n">
        <f aca="false">SUM(Z331:Z337)</f>
        <v>-4380.15972357776</v>
      </c>
      <c r="AA338" s="34" t="n">
        <f aca="false">SUM(AA331:AA337)</f>
        <v>-4466.77058051314</v>
      </c>
      <c r="AB338" s="34" t="n">
        <f aca="false">SUM(AB331:AB337)</f>
        <v>-4555.47033487511</v>
      </c>
      <c r="AC338" s="34" t="n">
        <f aca="false">SUM(AC331:AC337)</f>
        <v>-4646.30916573333</v>
      </c>
      <c r="AD338" s="34" t="n">
        <f aca="false">SUM(AD331:AD337)</f>
        <v>-4739.33846926743</v>
      </c>
      <c r="AE338" s="34" t="n">
        <f aca="false">SUM(AE331:AE337)</f>
        <v>-4834.61088839726</v>
      </c>
      <c r="AF338" s="34" t="n">
        <f aca="false">SUM(AF331:AF337)</f>
        <v>-4932.18034313673</v>
      </c>
      <c r="AG338" s="34" t="n">
        <f aca="false">SUM(AG331:AG337)</f>
        <v>-5032.10206168881</v>
      </c>
      <c r="AH338" s="34" t="n">
        <f aca="false">SUM(AH331:AH337)</f>
        <v>-5134.43261229992</v>
      </c>
      <c r="AI338" s="34" t="n">
        <f aca="false">SUM(AI331:AI337)</f>
        <v>-5239.22993589231</v>
      </c>
      <c r="AJ338" s="34" t="n">
        <f aca="false">SUM(AJ331:AJ337)</f>
        <v>-5346.55337949339</v>
      </c>
      <c r="AK338" s="34" t="n">
        <f aca="false">SUM(AK331:AK337)</f>
        <v>-5456.46373048167</v>
      </c>
      <c r="AL338" s="34" t="n">
        <f aca="false">SUM(AL331:AL337)</f>
        <v>-5569.02325166912</v>
      </c>
      <c r="AM338" s="34" t="n">
        <f aca="false">SUM(AM331:AM337)</f>
        <v>-5684.29571724061</v>
      </c>
      <c r="AN338" s="34" t="n">
        <f aca="false">SUM(AN331:AN337)</f>
        <v>-5802.34644957131</v>
      </c>
      <c r="AO338" s="34" t="n">
        <f aca="false">SUM(AO331:AO337)</f>
        <v>-5923.24235694357</v>
      </c>
      <c r="AP338" s="34" t="n">
        <f aca="false">SUM(AP331:AP337)</f>
        <v>-6047.05197218531</v>
      </c>
      <c r="AQ338" s="34" t="n">
        <f aca="false">SUM(AQ331:AQ337)</f>
        <v>-6173.84549225257</v>
      </c>
      <c r="AR338" s="34" t="n">
        <f aca="false">SUM(AR331:AR337)</f>
        <v>-6303.69481877916</v>
      </c>
      <c r="AS338" s="34" t="n">
        <f aca="false">SUM(AS331:AS337)</f>
        <v>-3218.33679980867</v>
      </c>
    </row>
    <row r="339" customFormat="false" ht="14.25" hidden="false" customHeight="false" outlineLevel="1" collapsed="false">
      <c r="C339" s="1" t="s">
        <v>155</v>
      </c>
      <c r="D339" s="2" t="s">
        <v>84</v>
      </c>
      <c r="H339" s="15" t="n">
        <f aca="false">SUM(J339:AS339)</f>
        <v>350977.795373224</v>
      </c>
      <c r="J339" s="15" t="n">
        <f aca="false">J329+J338</f>
        <v>0</v>
      </c>
      <c r="K339" s="15" t="n">
        <f aca="false">K329+K338</f>
        <v>0</v>
      </c>
      <c r="L339" s="15" t="n">
        <f aca="false">L329+L338</f>
        <v>0</v>
      </c>
      <c r="M339" s="15" t="n">
        <f aca="false">M329+M338</f>
        <v>0</v>
      </c>
      <c r="N339" s="15" t="n">
        <f aca="false">N329+N338</f>
        <v>0</v>
      </c>
      <c r="O339" s="15" t="n">
        <f aca="false">O329+O338</f>
        <v>5635.26726</v>
      </c>
      <c r="P339" s="15" t="n">
        <f aca="false">P329+P338</f>
        <v>11347.0605402</v>
      </c>
      <c r="Q339" s="15" t="n">
        <f aca="false">Q329+Q338</f>
        <v>11383.1382105139</v>
      </c>
      <c r="R339" s="15" t="n">
        <f aca="false">R329+R338</f>
        <v>11418.2949186657</v>
      </c>
      <c r="S339" s="15" t="n">
        <f aca="false">S329+S338</f>
        <v>11452.4962418931</v>
      </c>
      <c r="T339" s="15" t="n">
        <f aca="false">T329+T338</f>
        <v>11485.7068357606</v>
      </c>
      <c r="U339" s="15" t="n">
        <f aca="false">U329+U338</f>
        <v>11517.8904111239</v>
      </c>
      <c r="V339" s="15" t="n">
        <f aca="false">V329+V338</f>
        <v>11549.0097105296</v>
      </c>
      <c r="W339" s="15" t="n">
        <f aca="false">W329+W338</f>
        <v>11579.0264840335</v>
      </c>
      <c r="X339" s="15" t="n">
        <f aca="false">X329+X338</f>
        <v>11607.9014644249</v>
      </c>
      <c r="Y339" s="15" t="n">
        <f aca="false">Y329+Y338</f>
        <v>11635.5943418415</v>
      </c>
      <c r="Z339" s="15" t="n">
        <f aca="false">Z329+Z338</f>
        <v>11662.0637377607</v>
      </c>
      <c r="AA339" s="15" t="n">
        <f aca="false">AA329+AA338</f>
        <v>11687.2671783509</v>
      </c>
      <c r="AB339" s="15" t="n">
        <f aca="false">AB329+AB338</f>
        <v>11711.1610671682</v>
      </c>
      <c r="AC339" s="15" t="n">
        <f aca="false">AC329+AC338</f>
        <v>11733.7006571822</v>
      </c>
      <c r="AD339" s="15" t="n">
        <f aca="false">AD329+AD338</f>
        <v>11754.8400221138</v>
      </c>
      <c r="AE339" s="15" t="n">
        <f aca="false">AE329+AE338</f>
        <v>11774.5320270689</v>
      </c>
      <c r="AF339" s="15" t="n">
        <f aca="false">AF329+AF338</f>
        <v>11792.7282984503</v>
      </c>
      <c r="AG339" s="15" t="n">
        <f aca="false">AG329+AG338</f>
        <v>11809.37919313</v>
      </c>
      <c r="AH339" s="15" t="n">
        <f aca="false">AH329+AH338</f>
        <v>11824.433766865</v>
      </c>
      <c r="AI339" s="15" t="n">
        <f aca="false">AI329+AI338</f>
        <v>11837.8397419354</v>
      </c>
      <c r="AJ339" s="15" t="n">
        <f aca="false">AJ329+AJ338</f>
        <v>11849.5434739888</v>
      </c>
      <c r="AK339" s="15" t="n">
        <f aca="false">AK329+AK338</f>
        <v>11859.4899180693</v>
      </c>
      <c r="AL339" s="15" t="n">
        <f aca="false">AL329+AL338</f>
        <v>11867.6225938122</v>
      </c>
      <c r="AM339" s="15" t="n">
        <f aca="false">AM329+AM338</f>
        <v>11873.8835497838</v>
      </c>
      <c r="AN339" s="15" t="n">
        <f aca="false">AN329+AN338</f>
        <v>11878.2133269442</v>
      </c>
      <c r="AO339" s="15" t="n">
        <f aca="false">AO329+AO338</f>
        <v>11880.5509212143</v>
      </c>
      <c r="AP339" s="15" t="n">
        <f aca="false">AP329+AP338</f>
        <v>11880.8337451213</v>
      </c>
      <c r="AQ339" s="15" t="n">
        <f aca="false">AQ329+AQ338</f>
        <v>11878.9975885037</v>
      </c>
      <c r="AR339" s="15" t="n">
        <f aca="false">AR329+AR338</f>
        <v>11874.9765782499</v>
      </c>
      <c r="AS339" s="15" t="n">
        <f aca="false">AS329+AS338</f>
        <v>5934.35156852452</v>
      </c>
    </row>
    <row r="340" customFormat="false" ht="14.25" hidden="false" customHeight="false" outlineLevel="1" collapsed="false">
      <c r="C340" s="1" t="s">
        <v>259</v>
      </c>
      <c r="D340" s="2" t="s">
        <v>84</v>
      </c>
      <c r="H340" s="34" t="n">
        <f aca="false">SUM(J340:AS340)</f>
        <v>273350.818660895</v>
      </c>
      <c r="J340" s="34" t="n">
        <f aca="false">J325+J339</f>
        <v>-657.123287671233</v>
      </c>
      <c r="K340" s="34" t="n">
        <f aca="false">K325+K339</f>
        <v>-3612.05479452055</v>
      </c>
      <c r="L340" s="34" t="n">
        <f aca="false">L325+L339</f>
        <v>-3359.81917808219</v>
      </c>
      <c r="M340" s="34" t="n">
        <f aca="false">M325+M339</f>
        <v>-17498.125</v>
      </c>
      <c r="N340" s="34" t="n">
        <f aca="false">N325+N339</f>
        <v>-34996.25</v>
      </c>
      <c r="O340" s="34" t="n">
        <f aca="false">O325+O339</f>
        <v>-14362.85774</v>
      </c>
      <c r="P340" s="34" t="n">
        <f aca="false">P325+P339</f>
        <v>11347.0605402</v>
      </c>
      <c r="Q340" s="34" t="n">
        <f aca="false">Q325+Q339</f>
        <v>13877.6587584591</v>
      </c>
      <c r="R340" s="34" t="n">
        <f aca="false">R325+R339</f>
        <v>11418.2949186657</v>
      </c>
      <c r="S340" s="34" t="n">
        <f aca="false">S325+S339</f>
        <v>11452.4962418931</v>
      </c>
      <c r="T340" s="34" t="n">
        <f aca="false">T325+T339</f>
        <v>11485.7068357606</v>
      </c>
      <c r="U340" s="34" t="n">
        <f aca="false">U325+U339</f>
        <v>11517.8904111239</v>
      </c>
      <c r="V340" s="34" t="n">
        <f aca="false">V325+V339</f>
        <v>11549.0097105296</v>
      </c>
      <c r="W340" s="34" t="n">
        <f aca="false">W325+W339</f>
        <v>11579.0264840335</v>
      </c>
      <c r="X340" s="34" t="n">
        <f aca="false">X325+X339</f>
        <v>11607.9014644249</v>
      </c>
      <c r="Y340" s="34" t="n">
        <f aca="false">Y325+Y339</f>
        <v>11635.5943418415</v>
      </c>
      <c r="Z340" s="34" t="n">
        <f aca="false">Z325+Z339</f>
        <v>11662.0637377607</v>
      </c>
      <c r="AA340" s="34" t="n">
        <f aca="false">AA325+AA339</f>
        <v>11687.2671783509</v>
      </c>
      <c r="AB340" s="34" t="n">
        <f aca="false">AB325+AB339</f>
        <v>11711.1610671682</v>
      </c>
      <c r="AC340" s="34" t="n">
        <f aca="false">AC325+AC339</f>
        <v>11733.7006571822</v>
      </c>
      <c r="AD340" s="34" t="n">
        <f aca="false">AD325+AD339</f>
        <v>11754.8400221138</v>
      </c>
      <c r="AE340" s="34" t="n">
        <f aca="false">AE325+AE339</f>
        <v>11774.5320270689</v>
      </c>
      <c r="AF340" s="34" t="n">
        <f aca="false">AF325+AF339</f>
        <v>11792.7282984503</v>
      </c>
      <c r="AG340" s="34" t="n">
        <f aca="false">AG325+AG339</f>
        <v>11809.37919313</v>
      </c>
      <c r="AH340" s="34" t="n">
        <f aca="false">AH325+AH339</f>
        <v>11824.433766865</v>
      </c>
      <c r="AI340" s="34" t="n">
        <f aca="false">AI325+AI339</f>
        <v>11837.8397419354</v>
      </c>
      <c r="AJ340" s="34" t="n">
        <f aca="false">AJ325+AJ339</f>
        <v>11849.5434739888</v>
      </c>
      <c r="AK340" s="34" t="n">
        <f aca="false">AK325+AK339</f>
        <v>11859.4899180693</v>
      </c>
      <c r="AL340" s="34" t="n">
        <f aca="false">AL325+AL339</f>
        <v>11867.6225938122</v>
      </c>
      <c r="AM340" s="34" t="n">
        <f aca="false">AM325+AM339</f>
        <v>11873.8835497838</v>
      </c>
      <c r="AN340" s="34" t="n">
        <f aca="false">AN325+AN339</f>
        <v>11878.2133269442</v>
      </c>
      <c r="AO340" s="34" t="n">
        <f aca="false">AO325+AO339</f>
        <v>11880.5509212143</v>
      </c>
      <c r="AP340" s="34" t="n">
        <f aca="false">AP325+AP339</f>
        <v>11880.8337451213</v>
      </c>
      <c r="AQ340" s="34" t="n">
        <f aca="false">AQ325+AQ339</f>
        <v>11878.9975885037</v>
      </c>
      <c r="AR340" s="34" t="n">
        <f aca="false">AR325+AR339</f>
        <v>11874.9765782499</v>
      </c>
      <c r="AS340" s="34" t="n">
        <f aca="false">AS325+AS339</f>
        <v>5934.35156852452</v>
      </c>
    </row>
    <row r="341" customFormat="false" ht="14.25" hidden="false" customHeight="false" outlineLevel="1" collapsed="false">
      <c r="C341" s="6" t="s">
        <v>260</v>
      </c>
      <c r="D341" s="2" t="s">
        <v>84</v>
      </c>
      <c r="H341" s="8" t="n">
        <f aca="false">SUM(J341:AS341)</f>
        <v>77626.9767123288</v>
      </c>
      <c r="J341" s="8" t="n">
        <f aca="false">$F$93/Dep_Years*(J315&gt;=0)*(J315&lt;Dep_Years)</f>
        <v>0</v>
      </c>
      <c r="K341" s="8" t="n">
        <f aca="false">$F$93/Dep_Years*(K315&gt;=0)*(K315&lt;Dep_Years)</f>
        <v>0</v>
      </c>
      <c r="L341" s="8" t="n">
        <f aca="false">$F$93/Dep_Years*(L315&gt;=0)*(L315&lt;Dep_Years)</f>
        <v>0</v>
      </c>
      <c r="M341" s="8" t="n">
        <f aca="false">$F$93/Dep_Years*(M315&gt;=0)*(M315&lt;Dep_Years)</f>
        <v>0</v>
      </c>
      <c r="N341" s="8" t="n">
        <f aca="false">$F$93/Dep_Years*(N315&gt;=0)*(N315&lt;Dep_Years)</f>
        <v>0</v>
      </c>
      <c r="O341" s="8" t="n">
        <f aca="false">$F$93/Dep_Years*(O315&gt;=0)*(O315&lt;Dep_Years)</f>
        <v>3881.34883561644</v>
      </c>
      <c r="P341" s="8" t="n">
        <f aca="false">$F$93/Dep_Years*(P315&gt;=0)*(P315&lt;Dep_Years)</f>
        <v>3881.34883561644</v>
      </c>
      <c r="Q341" s="8" t="n">
        <f aca="false">$F$93/Dep_Years*(Q315&gt;=0)*(Q315&lt;Dep_Years)</f>
        <v>3881.34883561644</v>
      </c>
      <c r="R341" s="8" t="n">
        <f aca="false">$F$93/Dep_Years*(R315&gt;=0)*(R315&lt;Dep_Years)</f>
        <v>3881.34883561644</v>
      </c>
      <c r="S341" s="8" t="n">
        <f aca="false">$F$93/Dep_Years*(S315&gt;=0)*(S315&lt;Dep_Years)</f>
        <v>3881.34883561644</v>
      </c>
      <c r="T341" s="8" t="n">
        <f aca="false">$F$93/Dep_Years*(T315&gt;=0)*(T315&lt;Dep_Years)</f>
        <v>3881.34883561644</v>
      </c>
      <c r="U341" s="8" t="n">
        <f aca="false">$F$93/Dep_Years*(U315&gt;=0)*(U315&lt;Dep_Years)</f>
        <v>3881.34883561644</v>
      </c>
      <c r="V341" s="8" t="n">
        <f aca="false">$F$93/Dep_Years*(V315&gt;=0)*(V315&lt;Dep_Years)</f>
        <v>3881.34883561644</v>
      </c>
      <c r="W341" s="8" t="n">
        <f aca="false">$F$93/Dep_Years*(W315&gt;=0)*(W315&lt;Dep_Years)</f>
        <v>3881.34883561644</v>
      </c>
      <c r="X341" s="8" t="n">
        <f aca="false">$F$93/Dep_Years*(X315&gt;=0)*(X315&lt;Dep_Years)</f>
        <v>3881.34883561644</v>
      </c>
      <c r="Y341" s="8" t="n">
        <f aca="false">$F$93/Dep_Years*(Y315&gt;=0)*(Y315&lt;Dep_Years)</f>
        <v>3881.34883561644</v>
      </c>
      <c r="Z341" s="8" t="n">
        <f aca="false">$F$93/Dep_Years*(Z315&gt;=0)*(Z315&lt;Dep_Years)</f>
        <v>3881.34883561644</v>
      </c>
      <c r="AA341" s="8" t="n">
        <f aca="false">$F$93/Dep_Years*(AA315&gt;=0)*(AA315&lt;Dep_Years)</f>
        <v>3881.34883561644</v>
      </c>
      <c r="AB341" s="8" t="n">
        <f aca="false">$F$93/Dep_Years*(AB315&gt;=0)*(AB315&lt;Dep_Years)</f>
        <v>3881.34883561644</v>
      </c>
      <c r="AC341" s="8" t="n">
        <f aca="false">$F$93/Dep_Years*(AC315&gt;=0)*(AC315&lt;Dep_Years)</f>
        <v>3881.34883561644</v>
      </c>
      <c r="AD341" s="8" t="n">
        <f aca="false">$F$93/Dep_Years*(AD315&gt;=0)*(AD315&lt;Dep_Years)</f>
        <v>3881.34883561644</v>
      </c>
      <c r="AE341" s="8" t="n">
        <f aca="false">$F$93/Dep_Years*(AE315&gt;=0)*(AE315&lt;Dep_Years)</f>
        <v>3881.34883561644</v>
      </c>
      <c r="AF341" s="8" t="n">
        <f aca="false">$F$93/Dep_Years*(AF315&gt;=0)*(AF315&lt;Dep_Years)</f>
        <v>3881.34883561644</v>
      </c>
      <c r="AG341" s="8" t="n">
        <f aca="false">$F$93/Dep_Years*(AG315&gt;=0)*(AG315&lt;Dep_Years)</f>
        <v>3881.34883561644</v>
      </c>
      <c r="AH341" s="8" t="n">
        <f aca="false">$F$93/Dep_Years*(AH315&gt;=0)*(AH315&lt;Dep_Years)</f>
        <v>3881.34883561644</v>
      </c>
      <c r="AI341" s="8" t="n">
        <f aca="false">$F$93/Dep_Years*(AI315&gt;=0)*(AI315&lt;Dep_Years)</f>
        <v>0</v>
      </c>
      <c r="AJ341" s="8" t="n">
        <f aca="false">$F$93/Dep_Years*(AJ315&gt;=0)*(AJ315&lt;Dep_Years)</f>
        <v>0</v>
      </c>
      <c r="AK341" s="8" t="n">
        <f aca="false">$F$93/Dep_Years*(AK315&gt;=0)*(AK315&lt;Dep_Years)</f>
        <v>0</v>
      </c>
      <c r="AL341" s="8" t="n">
        <f aca="false">$F$93/Dep_Years*(AL315&gt;=0)*(AL315&lt;Dep_Years)</f>
        <v>0</v>
      </c>
      <c r="AM341" s="8" t="n">
        <f aca="false">$F$93/Dep_Years*(AM315&gt;=0)*(AM315&lt;Dep_Years)</f>
        <v>0</v>
      </c>
      <c r="AN341" s="8" t="n">
        <f aca="false">$F$93/Dep_Years*(AN315&gt;=0)*(AN315&lt;Dep_Years)</f>
        <v>0</v>
      </c>
      <c r="AO341" s="8" t="n">
        <f aca="false">$F$93/Dep_Years*(AO315&gt;=0)*(AO315&lt;Dep_Years)</f>
        <v>0</v>
      </c>
      <c r="AP341" s="8" t="n">
        <f aca="false">$F$93/Dep_Years*(AP315&gt;=0)*(AP315&lt;Dep_Years)</f>
        <v>0</v>
      </c>
      <c r="AQ341" s="8" t="n">
        <f aca="false">$F$93/Dep_Years*(AQ315&gt;=0)*(AQ315&lt;Dep_Years)</f>
        <v>0</v>
      </c>
      <c r="AR341" s="8" t="n">
        <f aca="false">$F$93/Dep_Years*(AR315&gt;=0)*(AR315&lt;Dep_Years)</f>
        <v>0</v>
      </c>
      <c r="AS341" s="8" t="n">
        <f aca="false">$F$93/Dep_Years*(AS315&gt;=0)*(AS315&lt;Dep_Years)</f>
        <v>0</v>
      </c>
    </row>
    <row r="342" customFormat="false" ht="14.25" hidden="false" customHeight="false" outlineLevel="1" collapsed="false">
      <c r="C342" s="6" t="s">
        <v>261</v>
      </c>
      <c r="D342" s="2" t="s">
        <v>84</v>
      </c>
      <c r="H342" s="8" t="n">
        <f aca="false">SUM(J342:AS342)</f>
        <v>-41002.6227991343</v>
      </c>
      <c r="J342" s="8" t="n">
        <f aca="false">-CIT_Rate*MAX(0,J339-J341)</f>
        <v>-0</v>
      </c>
      <c r="K342" s="8" t="n">
        <f aca="false">-CIT_Rate*MAX(0,K339-K341)</f>
        <v>-0</v>
      </c>
      <c r="L342" s="8" t="n">
        <f aca="false">-CIT_Rate*MAX(0,L339-L341)</f>
        <v>-0</v>
      </c>
      <c r="M342" s="8" t="n">
        <f aca="false">-CIT_Rate*MAX(0,M339-M341)</f>
        <v>-0</v>
      </c>
      <c r="N342" s="8" t="n">
        <f aca="false">-CIT_Rate*MAX(0,N339-N341)</f>
        <v>-0</v>
      </c>
      <c r="O342" s="8" t="n">
        <f aca="false">-CIT_Rate*MAX(0,O339-O341)</f>
        <v>-263.087763657534</v>
      </c>
      <c r="P342" s="8" t="n">
        <f aca="false">-CIT_Rate*MAX(0,P339-P341)</f>
        <v>-1119.85675568753</v>
      </c>
      <c r="Q342" s="8" t="n">
        <f aca="false">-CIT_Rate*MAX(0,Q339-Q341)</f>
        <v>-1125.26840623463</v>
      </c>
      <c r="R342" s="8" t="n">
        <f aca="false">-CIT_Rate*MAX(0,R339-R341)</f>
        <v>-1130.54191245738</v>
      </c>
      <c r="S342" s="8" t="n">
        <f aca="false">-CIT_Rate*MAX(0,S339-S341)</f>
        <v>-1135.6721109415</v>
      </c>
      <c r="T342" s="8" t="n">
        <f aca="false">-CIT_Rate*MAX(0,T339-T341)</f>
        <v>-1140.65370002162</v>
      </c>
      <c r="U342" s="8" t="n">
        <f aca="false">-CIT_Rate*MAX(0,U339-U341)</f>
        <v>-1145.48123632611</v>
      </c>
      <c r="V342" s="8" t="n">
        <f aca="false">-CIT_Rate*MAX(0,V339-V341)</f>
        <v>-1150.14913123697</v>
      </c>
      <c r="W342" s="8" t="n">
        <f aca="false">-CIT_Rate*MAX(0,W339-W341)</f>
        <v>-1154.65164726256</v>
      </c>
      <c r="X342" s="8" t="n">
        <f aca="false">-CIT_Rate*MAX(0,X339-X341)</f>
        <v>-1158.98289432127</v>
      </c>
      <c r="Y342" s="8" t="n">
        <f aca="false">-CIT_Rate*MAX(0,Y339-Y341)</f>
        <v>-1163.13682593376</v>
      </c>
      <c r="Z342" s="8" t="n">
        <f aca="false">-CIT_Rate*MAX(0,Z339-Z341)</f>
        <v>-1167.10723532164</v>
      </c>
      <c r="AA342" s="8" t="n">
        <f aca="false">-CIT_Rate*MAX(0,AA339-AA341)</f>
        <v>-1170.88775141017</v>
      </c>
      <c r="AB342" s="8" t="n">
        <f aca="false">-CIT_Rate*MAX(0,AB339-AB341)</f>
        <v>-1174.47183473276</v>
      </c>
      <c r="AC342" s="8" t="n">
        <f aca="false">-CIT_Rate*MAX(0,AC339-AC341)</f>
        <v>-1177.85277323487</v>
      </c>
      <c r="AD342" s="8" t="n">
        <f aca="false">-CIT_Rate*MAX(0,AD339-AD341)</f>
        <v>-1181.02367797461</v>
      </c>
      <c r="AE342" s="8" t="n">
        <f aca="false">-CIT_Rate*MAX(0,AE339-AE341)</f>
        <v>-1183.97747871787</v>
      </c>
      <c r="AF342" s="8" t="n">
        <f aca="false">-CIT_Rate*MAX(0,AF339-AF341)</f>
        <v>-1186.70691942507</v>
      </c>
      <c r="AG342" s="8" t="n">
        <f aca="false">-CIT_Rate*MAX(0,AG339-AG341)</f>
        <v>-1189.20455362704</v>
      </c>
      <c r="AH342" s="8" t="n">
        <f aca="false">-CIT_Rate*MAX(0,AH339-AH341)</f>
        <v>-1191.46273968729</v>
      </c>
      <c r="AI342" s="8" t="n">
        <f aca="false">-CIT_Rate*MAX(0,AI339-AI341)</f>
        <v>-1775.67596129031</v>
      </c>
      <c r="AJ342" s="8" t="n">
        <f aca="false">-CIT_Rate*MAX(0,AJ339-AJ341)</f>
        <v>-1777.43152109832</v>
      </c>
      <c r="AK342" s="8" t="n">
        <f aca="false">-CIT_Rate*MAX(0,AK339-AK341)</f>
        <v>-1778.92348771039</v>
      </c>
      <c r="AL342" s="8" t="n">
        <f aca="false">-CIT_Rate*MAX(0,AL339-AL341)</f>
        <v>-1780.14338907184</v>
      </c>
      <c r="AM342" s="8" t="n">
        <f aca="false">-CIT_Rate*MAX(0,AM339-AM341)</f>
        <v>-1781.08253246756</v>
      </c>
      <c r="AN342" s="8" t="n">
        <f aca="false">-CIT_Rate*MAX(0,AN339-AN341)</f>
        <v>-1781.73199904163</v>
      </c>
      <c r="AO342" s="8" t="n">
        <f aca="false">-CIT_Rate*MAX(0,AO339-AO341)</f>
        <v>-1782.08263818214</v>
      </c>
      <c r="AP342" s="8" t="n">
        <f aca="false">-CIT_Rate*MAX(0,AP339-AP341)</f>
        <v>-1782.12506176819</v>
      </c>
      <c r="AQ342" s="8" t="n">
        <f aca="false">-CIT_Rate*MAX(0,AQ339-AQ341)</f>
        <v>-1781.84963827555</v>
      </c>
      <c r="AR342" s="8" t="n">
        <f aca="false">-CIT_Rate*MAX(0,AR339-AR341)</f>
        <v>-1781.24648673749</v>
      </c>
      <c r="AS342" s="8" t="n">
        <f aca="false">-CIT_Rate*MAX(0,AS339-AS341)</f>
        <v>-890.152735278678</v>
      </c>
    </row>
    <row r="343" customFormat="false" ht="14.25" hidden="false" customHeight="false" outlineLevel="1" collapsed="false">
      <c r="C343" s="1" t="s">
        <v>262</v>
      </c>
      <c r="D343" s="2" t="s">
        <v>84</v>
      </c>
      <c r="H343" s="34" t="n">
        <f aca="false">SUM(J343:AS343)</f>
        <v>232348.195861761</v>
      </c>
      <c r="J343" s="34" t="n">
        <f aca="false">J340+J342</f>
        <v>-657.123287671233</v>
      </c>
      <c r="K343" s="34" t="n">
        <f aca="false">K340+K342</f>
        <v>-3612.05479452055</v>
      </c>
      <c r="L343" s="34" t="n">
        <f aca="false">L340+L342</f>
        <v>-3359.81917808219</v>
      </c>
      <c r="M343" s="34" t="n">
        <f aca="false">M340+M342</f>
        <v>-17498.125</v>
      </c>
      <c r="N343" s="34" t="n">
        <f aca="false">N340+N342</f>
        <v>-34996.25</v>
      </c>
      <c r="O343" s="34" t="n">
        <f aca="false">O340+O342</f>
        <v>-14625.9455036575</v>
      </c>
      <c r="P343" s="34" t="n">
        <f aca="false">P340+P342</f>
        <v>10227.2037845125</v>
      </c>
      <c r="Q343" s="34" t="n">
        <f aca="false">Q340+Q342</f>
        <v>12752.3903522245</v>
      </c>
      <c r="R343" s="34" t="n">
        <f aca="false">R340+R342</f>
        <v>10287.7530062083</v>
      </c>
      <c r="S343" s="34" t="n">
        <f aca="false">S340+S342</f>
        <v>10316.8241309516</v>
      </c>
      <c r="T343" s="34" t="n">
        <f aca="false">T340+T342</f>
        <v>10345.0531357389</v>
      </c>
      <c r="U343" s="34" t="n">
        <f aca="false">U340+U342</f>
        <v>10372.4091747977</v>
      </c>
      <c r="V343" s="34" t="n">
        <f aca="false">V340+V342</f>
        <v>10398.8605792926</v>
      </c>
      <c r="W343" s="34" t="n">
        <f aca="false">W340+W342</f>
        <v>10424.3748367709</v>
      </c>
      <c r="X343" s="34" t="n">
        <f aca="false">X340+X342</f>
        <v>10448.9185701036</v>
      </c>
      <c r="Y343" s="34" t="n">
        <f aca="false">Y340+Y342</f>
        <v>10472.4575159078</v>
      </c>
      <c r="Z343" s="34" t="n">
        <f aca="false">Z340+Z342</f>
        <v>10494.9565024391</v>
      </c>
      <c r="AA343" s="34" t="n">
        <f aca="false">AA340+AA342</f>
        <v>10516.3794269407</v>
      </c>
      <c r="AB343" s="34" t="n">
        <f aca="false">AB340+AB342</f>
        <v>10536.6892324354</v>
      </c>
      <c r="AC343" s="34" t="n">
        <f aca="false">AC340+AC342</f>
        <v>10555.8478839473</v>
      </c>
      <c r="AD343" s="34" t="n">
        <f aca="false">AD340+AD342</f>
        <v>10573.8163441392</v>
      </c>
      <c r="AE343" s="34" t="n">
        <f aca="false">AE340+AE342</f>
        <v>10590.5545483511</v>
      </c>
      <c r="AF343" s="34" t="n">
        <f aca="false">AF340+AF342</f>
        <v>10606.0213790252</v>
      </c>
      <c r="AG343" s="34" t="n">
        <f aca="false">AG340+AG342</f>
        <v>10620.174639503</v>
      </c>
      <c r="AH343" s="34" t="n">
        <f aca="false">AH340+AH342</f>
        <v>10632.9710271777</v>
      </c>
      <c r="AI343" s="34" t="n">
        <f aca="false">AI340+AI342</f>
        <v>10062.1637806451</v>
      </c>
      <c r="AJ343" s="34" t="n">
        <f aca="false">AJ340+AJ342</f>
        <v>10072.1119528905</v>
      </c>
      <c r="AK343" s="34" t="n">
        <f aca="false">AK340+AK342</f>
        <v>10080.5664303589</v>
      </c>
      <c r="AL343" s="34" t="n">
        <f aca="false">AL340+AL342</f>
        <v>10087.4792047404</v>
      </c>
      <c r="AM343" s="34" t="n">
        <f aca="false">AM340+AM342</f>
        <v>10092.8010173162</v>
      </c>
      <c r="AN343" s="34" t="n">
        <f aca="false">AN340+AN342</f>
        <v>10096.4813279026</v>
      </c>
      <c r="AO343" s="34" t="n">
        <f aca="false">AO340+AO342</f>
        <v>10098.4682830321</v>
      </c>
      <c r="AP343" s="34" t="n">
        <f aca="false">AP340+AP342</f>
        <v>10098.7086833531</v>
      </c>
      <c r="AQ343" s="34" t="n">
        <f aca="false">AQ340+AQ342</f>
        <v>10097.1479502281</v>
      </c>
      <c r="AR343" s="34" t="n">
        <f aca="false">AR340+AR342</f>
        <v>10093.7300915124</v>
      </c>
      <c r="AS343" s="34" t="n">
        <f aca="false">AS340+AS342</f>
        <v>5044.19883324584</v>
      </c>
    </row>
    <row r="344" customFormat="false" ht="14.25" hidden="false" customHeight="false" outlineLevel="1" collapsed="false">
      <c r="C344" s="6" t="s">
        <v>263</v>
      </c>
      <c r="D344" s="2" t="s">
        <v>84</v>
      </c>
      <c r="H344" s="8" t="n">
        <f aca="false">SUM(J344:AS344)</f>
        <v>46576.1860273973</v>
      </c>
      <c r="J344" s="8" t="n">
        <f aca="false">Gearing*$F$93*J320</f>
        <v>0</v>
      </c>
      <c r="K344" s="8" t="n">
        <f aca="false">Gearing*$F$93*K320</f>
        <v>0</v>
      </c>
      <c r="L344" s="8" t="n">
        <f aca="false">Gearing*$F$93*L320</f>
        <v>0</v>
      </c>
      <c r="M344" s="8" t="n">
        <f aca="false">Gearing*$F$93*M320</f>
        <v>0</v>
      </c>
      <c r="N344" s="8" t="n">
        <f aca="false">Gearing*$F$93*N320</f>
        <v>0</v>
      </c>
      <c r="O344" s="8" t="n">
        <f aca="false">Gearing*$F$93*O320</f>
        <v>46576.1860273973</v>
      </c>
      <c r="P344" s="8" t="n">
        <f aca="false">Gearing*$F$93*P320</f>
        <v>0</v>
      </c>
      <c r="Q344" s="8" t="n">
        <f aca="false">Gearing*$F$93*Q320</f>
        <v>0</v>
      </c>
      <c r="R344" s="8" t="n">
        <f aca="false">Gearing*$F$93*R320</f>
        <v>0</v>
      </c>
      <c r="S344" s="8" t="n">
        <f aca="false">Gearing*$F$93*S320</f>
        <v>0</v>
      </c>
      <c r="T344" s="8" t="n">
        <f aca="false">Gearing*$F$93*T320</f>
        <v>0</v>
      </c>
      <c r="U344" s="8" t="n">
        <f aca="false">Gearing*$F$93*U320</f>
        <v>0</v>
      </c>
      <c r="V344" s="8" t="n">
        <f aca="false">Gearing*$F$93*V320</f>
        <v>0</v>
      </c>
      <c r="W344" s="8" t="n">
        <f aca="false">Gearing*$F$93*W320</f>
        <v>0</v>
      </c>
      <c r="X344" s="8" t="n">
        <f aca="false">Gearing*$F$93*X320</f>
        <v>0</v>
      </c>
      <c r="Y344" s="8" t="n">
        <f aca="false">Gearing*$F$93*Y320</f>
        <v>0</v>
      </c>
      <c r="Z344" s="8" t="n">
        <f aca="false">Gearing*$F$93*Z320</f>
        <v>0</v>
      </c>
      <c r="AA344" s="8" t="n">
        <f aca="false">Gearing*$F$93*AA320</f>
        <v>0</v>
      </c>
      <c r="AB344" s="8" t="n">
        <f aca="false">Gearing*$F$93*AB320</f>
        <v>0</v>
      </c>
      <c r="AC344" s="8" t="n">
        <f aca="false">Gearing*$F$93*AC320</f>
        <v>0</v>
      </c>
      <c r="AD344" s="8" t="n">
        <f aca="false">Gearing*$F$93*AD320</f>
        <v>0</v>
      </c>
      <c r="AE344" s="8" t="n">
        <f aca="false">Gearing*$F$93*AE320</f>
        <v>0</v>
      </c>
      <c r="AF344" s="8" t="n">
        <f aca="false">Gearing*$F$93*AF320</f>
        <v>0</v>
      </c>
      <c r="AG344" s="8" t="n">
        <f aca="false">Gearing*$F$93*AG320</f>
        <v>0</v>
      </c>
      <c r="AH344" s="8" t="n">
        <f aca="false">Gearing*$F$93*AH320</f>
        <v>0</v>
      </c>
      <c r="AI344" s="8" t="n">
        <f aca="false">Gearing*$F$93*AI320</f>
        <v>0</v>
      </c>
      <c r="AJ344" s="8" t="n">
        <f aca="false">Gearing*$F$93*AJ320</f>
        <v>0</v>
      </c>
      <c r="AK344" s="8" t="n">
        <f aca="false">Gearing*$F$93*AK320</f>
        <v>0</v>
      </c>
      <c r="AL344" s="8" t="n">
        <f aca="false">Gearing*$F$93*AL320</f>
        <v>0</v>
      </c>
      <c r="AM344" s="8" t="n">
        <f aca="false">Gearing*$F$93*AM320</f>
        <v>0</v>
      </c>
      <c r="AN344" s="8" t="n">
        <f aca="false">Gearing*$F$93*AN320</f>
        <v>0</v>
      </c>
      <c r="AO344" s="8" t="n">
        <f aca="false">Gearing*$F$93*AO320</f>
        <v>0</v>
      </c>
      <c r="AP344" s="8" t="n">
        <f aca="false">Gearing*$F$93*AP320</f>
        <v>0</v>
      </c>
      <c r="AQ344" s="8" t="n">
        <f aca="false">Gearing*$F$93*AQ320</f>
        <v>0</v>
      </c>
      <c r="AR344" s="8" t="n">
        <f aca="false">Gearing*$F$93*AR320</f>
        <v>0</v>
      </c>
      <c r="AS344" s="8" t="n">
        <f aca="false">Gearing*$F$93*AS320</f>
        <v>0</v>
      </c>
    </row>
    <row r="345" customFormat="false" ht="14.25" hidden="false" customHeight="false" outlineLevel="1" collapsed="false">
      <c r="C345" s="6" t="s">
        <v>264</v>
      </c>
      <c r="D345" s="2" t="s">
        <v>84</v>
      </c>
      <c r="F345" s="53" t="n">
        <f aca="false">Gearing*$F$93*Debt_Rate/(1-(1+Debt_Rate)^-Debt_Tenor)</f>
        <v>4487.25630999317</v>
      </c>
      <c r="H345" s="8" t="n">
        <f aca="false">SUM(J345:AS345)</f>
        <v>-67308.8446498976</v>
      </c>
      <c r="J345" s="8" t="n">
        <f aca="false">-$F345*(J315&gt;=1)*(J315&lt;=Debt_Tenor)</f>
        <v>-0</v>
      </c>
      <c r="K345" s="8" t="n">
        <f aca="false">-$F345*(K315&gt;=1)*(K315&lt;=Debt_Tenor)</f>
        <v>-0</v>
      </c>
      <c r="L345" s="8" t="n">
        <f aca="false">-$F345*(L315&gt;=1)*(L315&lt;=Debt_Tenor)</f>
        <v>-0</v>
      </c>
      <c r="M345" s="8" t="n">
        <f aca="false">-$F345*(M315&gt;=1)*(M315&lt;=Debt_Tenor)</f>
        <v>-0</v>
      </c>
      <c r="N345" s="8" t="n">
        <f aca="false">-$F345*(N315&gt;=1)*(N315&lt;=Debt_Tenor)</f>
        <v>-0</v>
      </c>
      <c r="O345" s="8" t="n">
        <f aca="false">-$F345*(O315&gt;=1)*(O315&lt;=Debt_Tenor)</f>
        <v>-0</v>
      </c>
      <c r="P345" s="8" t="n">
        <f aca="false">-$F345*(P315&gt;=1)*(P315&lt;=Debt_Tenor)</f>
        <v>-4487.25630999317</v>
      </c>
      <c r="Q345" s="8" t="n">
        <f aca="false">-$F345*(Q315&gt;=1)*(Q315&lt;=Debt_Tenor)</f>
        <v>-4487.25630999317</v>
      </c>
      <c r="R345" s="8" t="n">
        <f aca="false">-$F345*(R315&gt;=1)*(R315&lt;=Debt_Tenor)</f>
        <v>-4487.25630999317</v>
      </c>
      <c r="S345" s="8" t="n">
        <f aca="false">-$F345*(S315&gt;=1)*(S315&lt;=Debt_Tenor)</f>
        <v>-4487.25630999317</v>
      </c>
      <c r="T345" s="8" t="n">
        <f aca="false">-$F345*(T315&gt;=1)*(T315&lt;=Debt_Tenor)</f>
        <v>-4487.25630999317</v>
      </c>
      <c r="U345" s="8" t="n">
        <f aca="false">-$F345*(U315&gt;=1)*(U315&lt;=Debt_Tenor)</f>
        <v>-4487.25630999317</v>
      </c>
      <c r="V345" s="8" t="n">
        <f aca="false">-$F345*(V315&gt;=1)*(V315&lt;=Debt_Tenor)</f>
        <v>-4487.25630999317</v>
      </c>
      <c r="W345" s="8" t="n">
        <f aca="false">-$F345*(W315&gt;=1)*(W315&lt;=Debt_Tenor)</f>
        <v>-4487.25630999317</v>
      </c>
      <c r="X345" s="8" t="n">
        <f aca="false">-$F345*(X315&gt;=1)*(X315&lt;=Debt_Tenor)</f>
        <v>-4487.25630999317</v>
      </c>
      <c r="Y345" s="8" t="n">
        <f aca="false">-$F345*(Y315&gt;=1)*(Y315&lt;=Debt_Tenor)</f>
        <v>-4487.25630999317</v>
      </c>
      <c r="Z345" s="8" t="n">
        <f aca="false">-$F345*(Z315&gt;=1)*(Z315&lt;=Debt_Tenor)</f>
        <v>-4487.25630999317</v>
      </c>
      <c r="AA345" s="8" t="n">
        <f aca="false">-$F345*(AA315&gt;=1)*(AA315&lt;=Debt_Tenor)</f>
        <v>-4487.25630999317</v>
      </c>
      <c r="AB345" s="8" t="n">
        <f aca="false">-$F345*(AB315&gt;=1)*(AB315&lt;=Debt_Tenor)</f>
        <v>-4487.25630999317</v>
      </c>
      <c r="AC345" s="8" t="n">
        <f aca="false">-$F345*(AC315&gt;=1)*(AC315&lt;=Debt_Tenor)</f>
        <v>-4487.25630999317</v>
      </c>
      <c r="AD345" s="8" t="n">
        <f aca="false">-$F345*(AD315&gt;=1)*(AD315&lt;=Debt_Tenor)</f>
        <v>-4487.25630999317</v>
      </c>
      <c r="AE345" s="8" t="n">
        <f aca="false">-$F345*(AE315&gt;=1)*(AE315&lt;=Debt_Tenor)</f>
        <v>-0</v>
      </c>
      <c r="AF345" s="8" t="n">
        <f aca="false">-$F345*(AF315&gt;=1)*(AF315&lt;=Debt_Tenor)</f>
        <v>-0</v>
      </c>
      <c r="AG345" s="8" t="n">
        <f aca="false">-$F345*(AG315&gt;=1)*(AG315&lt;=Debt_Tenor)</f>
        <v>-0</v>
      </c>
      <c r="AH345" s="8" t="n">
        <f aca="false">-$F345*(AH315&gt;=1)*(AH315&lt;=Debt_Tenor)</f>
        <v>-0</v>
      </c>
      <c r="AI345" s="8" t="n">
        <f aca="false">-$F345*(AI315&gt;=1)*(AI315&lt;=Debt_Tenor)</f>
        <v>-0</v>
      </c>
      <c r="AJ345" s="8" t="n">
        <f aca="false">-$F345*(AJ315&gt;=1)*(AJ315&lt;=Debt_Tenor)</f>
        <v>-0</v>
      </c>
      <c r="AK345" s="8" t="n">
        <f aca="false">-$F345*(AK315&gt;=1)*(AK315&lt;=Debt_Tenor)</f>
        <v>-0</v>
      </c>
      <c r="AL345" s="8" t="n">
        <f aca="false">-$F345*(AL315&gt;=1)*(AL315&lt;=Debt_Tenor)</f>
        <v>-0</v>
      </c>
      <c r="AM345" s="8" t="n">
        <f aca="false">-$F345*(AM315&gt;=1)*(AM315&lt;=Debt_Tenor)</f>
        <v>-0</v>
      </c>
      <c r="AN345" s="8" t="n">
        <f aca="false">-$F345*(AN315&gt;=1)*(AN315&lt;=Debt_Tenor)</f>
        <v>-0</v>
      </c>
      <c r="AO345" s="8" t="n">
        <f aca="false">-$F345*(AO315&gt;=1)*(AO315&lt;=Debt_Tenor)</f>
        <v>-0</v>
      </c>
      <c r="AP345" s="8" t="n">
        <f aca="false">-$F345*(AP315&gt;=1)*(AP315&lt;=Debt_Tenor)</f>
        <v>-0</v>
      </c>
      <c r="AQ345" s="8" t="n">
        <f aca="false">-$F345*(AQ315&gt;=1)*(AQ315&lt;=Debt_Tenor)</f>
        <v>-0</v>
      </c>
      <c r="AR345" s="8" t="n">
        <f aca="false">-$F345*(AR315&gt;=1)*(AR315&lt;=Debt_Tenor)</f>
        <v>-0</v>
      </c>
      <c r="AS345" s="8" t="n">
        <f aca="false">-$F345*(AS315&gt;=1)*(AS315&lt;=Debt_Tenor)</f>
        <v>-0</v>
      </c>
    </row>
    <row r="346" customFormat="false" ht="14.25" hidden="false" customHeight="false" outlineLevel="1" collapsed="false">
      <c r="C346" s="6" t="s">
        <v>265</v>
      </c>
      <c r="D346" s="2" t="s">
        <v>84</v>
      </c>
      <c r="H346" s="8"/>
      <c r="J346" s="8" t="n">
        <f aca="false">I346*(1+Debt_Rate)+J344+J345</f>
        <v>0</v>
      </c>
      <c r="K346" s="8" t="n">
        <f aca="false">J346*(1+Debt_Rate)+K344+K345</f>
        <v>0</v>
      </c>
      <c r="L346" s="8" t="n">
        <f aca="false">K346*(1+Debt_Rate)+L344+L345</f>
        <v>0</v>
      </c>
      <c r="M346" s="8" t="n">
        <f aca="false">L346*(1+Debt_Rate)+M344+M345</f>
        <v>0</v>
      </c>
      <c r="N346" s="8" t="n">
        <f aca="false">M346*(1+Debt_Rate)+N344+N345</f>
        <v>0</v>
      </c>
      <c r="O346" s="8" t="n">
        <f aca="false">N346*(1+Debt_Rate)+O344+O345</f>
        <v>46576.1860273973</v>
      </c>
      <c r="P346" s="8" t="n">
        <f aca="false">O346*(1+Debt_Rate)+P344+P345</f>
        <v>44417.739018774</v>
      </c>
      <c r="Q346" s="8" t="n">
        <f aca="false">P346*(1+Debt_Rate)+Q344+Q345</f>
        <v>42151.3696597195</v>
      </c>
      <c r="R346" s="8" t="n">
        <f aca="false">Q346*(1+Debt_Rate)+R344+R345</f>
        <v>39771.6818327123</v>
      </c>
      <c r="S346" s="8" t="n">
        <f aca="false">R346*(1+Debt_Rate)+S344+S345</f>
        <v>37273.0096143547</v>
      </c>
      <c r="T346" s="8" t="n">
        <f aca="false">S346*(1+Debt_Rate)+T344+T345</f>
        <v>34649.4037850793</v>
      </c>
      <c r="U346" s="8" t="n">
        <f aca="false">T346*(1+Debt_Rate)+U344+U345</f>
        <v>31894.6176643401</v>
      </c>
      <c r="V346" s="8" t="n">
        <f aca="false">U346*(1+Debt_Rate)+V344+V345</f>
        <v>29002.0922375639</v>
      </c>
      <c r="W346" s="8" t="n">
        <f aca="false">V346*(1+Debt_Rate)+W344+W345</f>
        <v>25964.940539449</v>
      </c>
      <c r="X346" s="8" t="n">
        <f aca="false">W346*(1+Debt_Rate)+X344+X345</f>
        <v>22775.9312564282</v>
      </c>
      <c r="Y346" s="8" t="n">
        <f aca="false">X346*(1+Debt_Rate)+Y344+Y345</f>
        <v>19427.4715092565</v>
      </c>
      <c r="Z346" s="8" t="n">
        <f aca="false">Y346*(1+Debt_Rate)+Z344+Z345</f>
        <v>15911.5887747261</v>
      </c>
      <c r="AA346" s="8" t="n">
        <f aca="false">Z346*(1+Debt_Rate)+AA344+AA345</f>
        <v>12219.9119034692</v>
      </c>
      <c r="AB346" s="8" t="n">
        <f aca="false">AA346*(1+Debt_Rate)+AB344+AB345</f>
        <v>8343.65118864953</v>
      </c>
      <c r="AC346" s="8" t="n">
        <f aca="false">AB346*(1+Debt_Rate)+AC344+AC345</f>
        <v>4273.57743808883</v>
      </c>
      <c r="AD346" s="8" t="n">
        <f aca="false">AC346*(1+Debt_Rate)+AD344+AD345</f>
        <v>1.01863406598568E-010</v>
      </c>
      <c r="AE346" s="8" t="n">
        <f aca="false">AD346*(1+Debt_Rate)+AE344+AE345</f>
        <v>1.06956576928496E-010</v>
      </c>
      <c r="AF346" s="8" t="n">
        <f aca="false">AE346*(1+Debt_Rate)+AF344+AF345</f>
        <v>1.12304405774921E-010</v>
      </c>
      <c r="AG346" s="8" t="n">
        <f aca="false">AF346*(1+Debt_Rate)+AG344+AG345</f>
        <v>1.17919626063667E-010</v>
      </c>
      <c r="AH346" s="8" t="n">
        <f aca="false">AG346*(1+Debt_Rate)+AH344+AH345</f>
        <v>1.23815607366851E-010</v>
      </c>
      <c r="AI346" s="8" t="n">
        <f aca="false">AH346*(1+Debt_Rate)+AI344+AI345</f>
        <v>1.30006387735193E-010</v>
      </c>
      <c r="AJ346" s="8" t="n">
        <f aca="false">AI346*(1+Debt_Rate)+AJ344+AJ345</f>
        <v>1.36506707121953E-010</v>
      </c>
      <c r="AK346" s="8" t="n">
        <f aca="false">AJ346*(1+Debt_Rate)+AK344+AK345</f>
        <v>1.4333204247805E-010</v>
      </c>
      <c r="AL346" s="8" t="n">
        <f aca="false">AK346*(1+Debt_Rate)+AL344+AL345</f>
        <v>1.50498644601953E-010</v>
      </c>
      <c r="AM346" s="8" t="n">
        <f aca="false">AL346*(1+Debt_Rate)+AM344+AM345</f>
        <v>1.58023576832051E-010</v>
      </c>
      <c r="AN346" s="8" t="n">
        <f aca="false">AM346*(1+Debt_Rate)+AN344+AN345</f>
        <v>1.65924755673653E-010</v>
      </c>
      <c r="AO346" s="8" t="n">
        <f aca="false">AN346*(1+Debt_Rate)+AO344+AO345</f>
        <v>1.74220993457336E-010</v>
      </c>
      <c r="AP346" s="8" t="n">
        <f aca="false">AO346*(1+Debt_Rate)+AP344+AP345</f>
        <v>1.82932043130203E-010</v>
      </c>
      <c r="AQ346" s="8" t="n">
        <f aca="false">AP346*(1+Debt_Rate)+AQ344+AQ345</f>
        <v>1.92078645286713E-010</v>
      </c>
      <c r="AR346" s="8" t="n">
        <f aca="false">AQ346*(1+Debt_Rate)+AR344+AR345</f>
        <v>2.01682577551048E-010</v>
      </c>
      <c r="AS346" s="8" t="n">
        <f aca="false">AR346*(1+Debt_Rate)+AS344+AS345</f>
        <v>2.11766706428601E-010</v>
      </c>
    </row>
    <row r="347" customFormat="false" ht="14.25" hidden="false" customHeight="false" outlineLevel="1" collapsed="false">
      <c r="C347" s="1" t="s">
        <v>266</v>
      </c>
      <c r="D347" s="2" t="s">
        <v>84</v>
      </c>
      <c r="H347" s="34" t="n">
        <f aca="false">SUM(J347:AS347)</f>
        <v>211615.537239261</v>
      </c>
      <c r="J347" s="34" t="n">
        <f aca="false">J343+J344+J345</f>
        <v>-657.123287671233</v>
      </c>
      <c r="K347" s="34" t="n">
        <f aca="false">K343+K344+K345</f>
        <v>-3612.05479452055</v>
      </c>
      <c r="L347" s="34" t="n">
        <f aca="false">L343+L344+L345</f>
        <v>-3359.81917808219</v>
      </c>
      <c r="M347" s="34" t="n">
        <f aca="false">M343+M344+M345</f>
        <v>-17498.125</v>
      </c>
      <c r="N347" s="34" t="n">
        <f aca="false">N343+N344+N345</f>
        <v>-34996.25</v>
      </c>
      <c r="O347" s="34" t="n">
        <f aca="false">O343+O344+O345</f>
        <v>31950.2405237397</v>
      </c>
      <c r="P347" s="34" t="n">
        <f aca="false">P343+P344+P345</f>
        <v>5739.94747451929</v>
      </c>
      <c r="Q347" s="34" t="n">
        <f aca="false">Q343+Q344+Q345</f>
        <v>8265.13404223135</v>
      </c>
      <c r="R347" s="34" t="n">
        <f aca="false">R343+R344+R345</f>
        <v>5800.49669621511</v>
      </c>
      <c r="S347" s="34" t="n">
        <f aca="false">S343+S344+S345</f>
        <v>5829.56782095844</v>
      </c>
      <c r="T347" s="34" t="n">
        <f aca="false">T343+T344+T345</f>
        <v>5857.79682574577</v>
      </c>
      <c r="U347" s="34" t="n">
        <f aca="false">U343+U344+U345</f>
        <v>5885.15286480458</v>
      </c>
      <c r="V347" s="34" t="n">
        <f aca="false">V343+V344+V345</f>
        <v>5911.60426929942</v>
      </c>
      <c r="W347" s="34" t="n">
        <f aca="false">W343+W344+W345</f>
        <v>5937.11852677774</v>
      </c>
      <c r="X347" s="34" t="n">
        <f aca="false">X343+X344+X345</f>
        <v>5961.66226011043</v>
      </c>
      <c r="Y347" s="34" t="n">
        <f aca="false">Y343+Y344+Y345</f>
        <v>5985.2012059146</v>
      </c>
      <c r="Z347" s="34" t="n">
        <f aca="false">Z343+Z344+Z345</f>
        <v>6007.70019244592</v>
      </c>
      <c r="AA347" s="34" t="n">
        <f aca="false">AA343+AA344+AA345</f>
        <v>6029.12311694755</v>
      </c>
      <c r="AB347" s="34" t="n">
        <f aca="false">AB343+AB344+AB345</f>
        <v>6049.43292244226</v>
      </c>
      <c r="AC347" s="34" t="n">
        <f aca="false">AC343+AC344+AC345</f>
        <v>6068.59157395417</v>
      </c>
      <c r="AD347" s="34" t="n">
        <f aca="false">AD343+AD344+AD345</f>
        <v>6086.56003414605</v>
      </c>
      <c r="AE347" s="34" t="n">
        <f aca="false">AE343+AE344+AE345</f>
        <v>10590.5545483511</v>
      </c>
      <c r="AF347" s="34" t="n">
        <f aca="false">AF343+AF344+AF345</f>
        <v>10606.0213790252</v>
      </c>
      <c r="AG347" s="34" t="n">
        <f aca="false">AG343+AG344+AG345</f>
        <v>10620.174639503</v>
      </c>
      <c r="AH347" s="34" t="n">
        <f aca="false">AH343+AH344+AH345</f>
        <v>10632.9710271777</v>
      </c>
      <c r="AI347" s="34" t="n">
        <f aca="false">AI343+AI344+AI345</f>
        <v>10062.1637806451</v>
      </c>
      <c r="AJ347" s="34" t="n">
        <f aca="false">AJ343+AJ344+AJ345</f>
        <v>10072.1119528905</v>
      </c>
      <c r="AK347" s="34" t="n">
        <f aca="false">AK343+AK344+AK345</f>
        <v>10080.5664303589</v>
      </c>
      <c r="AL347" s="34" t="n">
        <f aca="false">AL343+AL344+AL345</f>
        <v>10087.4792047404</v>
      </c>
      <c r="AM347" s="34" t="n">
        <f aca="false">AM343+AM344+AM345</f>
        <v>10092.8010173162</v>
      </c>
      <c r="AN347" s="34" t="n">
        <f aca="false">AN343+AN344+AN345</f>
        <v>10096.4813279026</v>
      </c>
      <c r="AO347" s="34" t="n">
        <f aca="false">AO343+AO344+AO345</f>
        <v>10098.4682830321</v>
      </c>
      <c r="AP347" s="34" t="n">
        <f aca="false">AP343+AP344+AP345</f>
        <v>10098.7086833531</v>
      </c>
      <c r="AQ347" s="34" t="n">
        <f aca="false">AQ343+AQ344+AQ345</f>
        <v>10097.1479502281</v>
      </c>
      <c r="AR347" s="34" t="n">
        <f aca="false">AR343+AR344+AR345</f>
        <v>10093.7300915124</v>
      </c>
      <c r="AS347" s="34" t="n">
        <f aca="false">AS343+AS344+AS345</f>
        <v>5044.19883324584</v>
      </c>
    </row>
    <row r="348" customFormat="false" ht="14.25" hidden="false" customHeight="false" outlineLevel="1" collapsed="false">
      <c r="C348" s="6" t="s">
        <v>267</v>
      </c>
      <c r="D348" s="2" t="s">
        <v>3</v>
      </c>
      <c r="J348" s="49" t="str">
        <f aca="false">IF(J345&lt;0,(J339+J342)/-J345,"")</f>
        <v/>
      </c>
      <c r="K348" s="49" t="str">
        <f aca="false">IF(K345&lt;0,(K339+K342)/-K345,"")</f>
        <v/>
      </c>
      <c r="L348" s="49" t="str">
        <f aca="false">IF(L345&lt;0,(L339+L342)/-L345,"")</f>
        <v/>
      </c>
      <c r="M348" s="49" t="str">
        <f aca="false">IF(M345&lt;0,(M339+M342)/-M345,"")</f>
        <v/>
      </c>
      <c r="N348" s="49" t="str">
        <f aca="false">IF(N345&lt;0,(N339+N342)/-N345,"")</f>
        <v/>
      </c>
      <c r="O348" s="49" t="str">
        <f aca="false">IF(O345&lt;0,(O339+O342)/-O345,"")</f>
        <v/>
      </c>
      <c r="P348" s="49" t="n">
        <f aca="false">IF(P345&lt;0,(P339+P342)/-P345,"")</f>
        <v>2.27916639433686</v>
      </c>
      <c r="Q348" s="49" t="n">
        <f aca="false">IF(Q345&lt;0,(Q339+Q342)/-Q345,"")</f>
        <v>2.2860004188829</v>
      </c>
      <c r="R348" s="49" t="n">
        <f aca="false">IF(R345&lt;0,(R339+R342)/-R345,"")</f>
        <v>2.29265998986894</v>
      </c>
      <c r="S348" s="49" t="n">
        <f aca="false">IF(S345&lt;0,(S339+S342)/-S345,"")</f>
        <v>2.29913858675198</v>
      </c>
      <c r="T348" s="49" t="n">
        <f aca="false">IF(T345&lt;0,(T339+T342)/-T345,"")</f>
        <v>2.30542951440068</v>
      </c>
      <c r="U348" s="49" t="n">
        <f aca="false">IF(U345&lt;0,(U339+U342)/-U345,"")</f>
        <v>2.31152589873199</v>
      </c>
      <c r="V348" s="49" t="n">
        <f aca="false">IF(V345&lt;0,(V339+V342)/-V345,"")</f>
        <v>2.31742068224055</v>
      </c>
      <c r="W348" s="49" t="n">
        <f aca="false">IF(W345&lt;0,(W339+W342)/-W345,"")</f>
        <v>2.32310661941813</v>
      </c>
      <c r="X348" s="49" t="n">
        <f aca="false">IF(X345&lt;0,(X339+X342)/-X345,"")</f>
        <v>2.32857627206044</v>
      </c>
      <c r="Y348" s="49" t="n">
        <f aca="false">IF(Y345&lt;0,(Y339+Y342)/-Y345,"")</f>
        <v>2.3338220044586</v>
      </c>
      <c r="Z348" s="49" t="n">
        <f aca="false">IF(Z345&lt;0,(Z339+Z342)/-Z345,"")</f>
        <v>2.33883597847235</v>
      </c>
      <c r="AA348" s="49" t="n">
        <f aca="false">IF(AA345&lt;0,(AA339+AA342)/-AA345,"")</f>
        <v>2.34361014848218</v>
      </c>
      <c r="AB348" s="49" t="n">
        <f aca="false">IF(AB345&lt;0,(AB339+AB342)/-AB345,"")</f>
        <v>2.34813625621743</v>
      </c>
      <c r="AC348" s="49" t="n">
        <f aca="false">IF(AC345&lt;0,(AC339+AC342)/-AC345,"")</f>
        <v>2.35240582545716</v>
      </c>
      <c r="AD348" s="49" t="n">
        <f aca="false">IF(AD345&lt;0,(AD339+AD342)/-AD345,"")</f>
        <v>2.35641015660086</v>
      </c>
      <c r="AE348" s="49" t="str">
        <f aca="false">IF(AE345&lt;0,(AE339+AE342)/-AE345,"")</f>
        <v/>
      </c>
      <c r="AF348" s="49" t="str">
        <f aca="false">IF(AF345&lt;0,(AF339+AF342)/-AF345,"")</f>
        <v/>
      </c>
      <c r="AG348" s="49" t="str">
        <f aca="false">IF(AG345&lt;0,(AG339+AG342)/-AG345,"")</f>
        <v/>
      </c>
      <c r="AH348" s="49" t="str">
        <f aca="false">IF(AH345&lt;0,(AH339+AH342)/-AH345,"")</f>
        <v/>
      </c>
      <c r="AI348" s="49" t="str">
        <f aca="false">IF(AI345&lt;0,(AI339+AI342)/-AI345,"")</f>
        <v/>
      </c>
      <c r="AJ348" s="49" t="str">
        <f aca="false">IF(AJ345&lt;0,(AJ339+AJ342)/-AJ345,"")</f>
        <v/>
      </c>
      <c r="AK348" s="49" t="str">
        <f aca="false">IF(AK345&lt;0,(AK339+AK342)/-AK345,"")</f>
        <v/>
      </c>
      <c r="AL348" s="49" t="str">
        <f aca="false">IF(AL345&lt;0,(AL339+AL342)/-AL345,"")</f>
        <v/>
      </c>
      <c r="AM348" s="49" t="str">
        <f aca="false">IF(AM345&lt;0,(AM339+AM342)/-AM345,"")</f>
        <v/>
      </c>
      <c r="AN348" s="49" t="str">
        <f aca="false">IF(AN345&lt;0,(AN339+AN342)/-AN345,"")</f>
        <v/>
      </c>
      <c r="AO348" s="49" t="str">
        <f aca="false">IF(AO345&lt;0,(AO339+AO342)/-AO345,"")</f>
        <v/>
      </c>
      <c r="AP348" s="49" t="str">
        <f aca="false">IF(AP345&lt;0,(AP339+AP342)/-AP345,"")</f>
        <v/>
      </c>
      <c r="AQ348" s="49" t="str">
        <f aca="false">IF(AQ345&lt;0,(AQ339+AQ342)/-AQ345,"")</f>
        <v/>
      </c>
      <c r="AR348" s="49" t="str">
        <f aca="false">IF(AR345&lt;0,(AR339+AR342)/-AR345,"")</f>
        <v/>
      </c>
      <c r="AS348" s="49" t="str">
        <f aca="false">IF(AS345&lt;0,(AS339+AS342)/-AS345,"")</f>
        <v/>
      </c>
    </row>
    <row r="349" customFormat="false" ht="14.25" hidden="false" customHeight="false" outlineLevel="1" collapsed="false">
      <c r="C349" s="6" t="s">
        <v>268</v>
      </c>
      <c r="D349" s="2" t="s">
        <v>3</v>
      </c>
      <c r="J349" s="66" t="n">
        <f aca="false">(1+Discount_Rate)^((Inputs!$F$33-J$272)/Days_In_Year)</f>
        <v>1.41371255107938</v>
      </c>
      <c r="K349" s="66" t="n">
        <f aca="false">(1+Discount_Rate)^((Inputs!$F$33-K$272)/Days_In_Year)</f>
        <v>1.30899310285128</v>
      </c>
      <c r="L349" s="66" t="n">
        <f aca="false">(1+Discount_Rate)^((Inputs!$F$33-L$272)/Days_In_Year)</f>
        <v>1.21177511843915</v>
      </c>
      <c r="M349" s="66" t="n">
        <f aca="false">(1+Discount_Rate)^((Inputs!$F$33-M$272)/Days_In_Year)</f>
        <v>1.12201399855477</v>
      </c>
      <c r="N349" s="66" t="n">
        <f aca="false">(1+Discount_Rate)^((Inputs!$F$33-N$272)/Days_In_Year)</f>
        <v>1.03890185051367</v>
      </c>
      <c r="O349" s="66" t="n">
        <f aca="false">(1+Discount_Rate)^((Inputs!$F$33-O$272)/Days_In_Year)</f>
        <v>0.961946157883031</v>
      </c>
      <c r="P349" s="66" t="n">
        <f aca="false">(1+Discount_Rate)^((Inputs!$F$33-P$272)/Days_In_Year)</f>
        <v>0.890503102622714</v>
      </c>
      <c r="Q349" s="66" t="n">
        <f aca="false">(1+Discount_Rate)^((Inputs!$F$33-Q$272)/Days_In_Year)</f>
        <v>0.824539909835846</v>
      </c>
      <c r="R349" s="66" t="n">
        <f aca="false">(1+Discount_Rate)^((Inputs!$F$33-R$272)/Days_In_Year)</f>
        <v>0.763462879477635</v>
      </c>
      <c r="S349" s="66" t="n">
        <f aca="false">(1+Discount_Rate)^((Inputs!$F$33-S$272)/Days_In_Year)</f>
        <v>0.706910073590403</v>
      </c>
      <c r="T349" s="66" t="n">
        <f aca="false">(1+Discount_Rate)^((Inputs!$F$33-T$272)/Days_In_Year)</f>
        <v>0.654408366464987</v>
      </c>
      <c r="U349" s="66" t="n">
        <f aca="false">(1+Discount_Rate)^((Inputs!$F$33-U$272)/Days_In_Year)</f>
        <v>0.605933672652766</v>
      </c>
      <c r="V349" s="66" t="n">
        <f aca="false">(1+Discount_Rate)^((Inputs!$F$33-V$272)/Days_In_Year)</f>
        <v>0.561049696900709</v>
      </c>
      <c r="W349" s="66" t="n">
        <f aca="false">(1+Discount_Rate)^((Inputs!$F$33-W$272)/Days_In_Year)</f>
        <v>0.519490460093249</v>
      </c>
      <c r="X349" s="66" t="n">
        <f aca="false">(1+Discount_Rate)^((Inputs!$F$33-X$272)/Days_In_Year)</f>
        <v>0.480908274028566</v>
      </c>
      <c r="Y349" s="66" t="n">
        <f aca="false">(1+Discount_Rate)^((Inputs!$F$33-Y$272)/Days_In_Year)</f>
        <v>0.445285438915339</v>
      </c>
      <c r="Z349" s="66" t="n">
        <f aca="false">(1+Discount_Rate)^((Inputs!$F$33-Z$272)/Days_In_Year)</f>
        <v>0.412301332329018</v>
      </c>
      <c r="AA349" s="66" t="n">
        <f aca="false">(1+Discount_Rate)^((Inputs!$F$33-AA$272)/Days_In_Year)</f>
        <v>0.381760492897239</v>
      </c>
      <c r="AB349" s="66" t="n">
        <f aca="false">(1+Discount_Rate)^((Inputs!$F$33-AB$272)/Days_In_Year)</f>
        <v>0.353407413292154</v>
      </c>
      <c r="AC349" s="66" t="n">
        <f aca="false">(1+Discount_Rate)^((Inputs!$F$33-AC$272)/Days_In_Year)</f>
        <v>0.327229086381624</v>
      </c>
      <c r="AD349" s="66" t="n">
        <f aca="false">(1+Discount_Rate)^((Inputs!$F$33-AD$272)/Days_In_Year)</f>
        <v>0.3029898947978</v>
      </c>
      <c r="AE349" s="66" t="n">
        <f aca="false">(1+Discount_Rate)^((Inputs!$F$33-AE$272)/Days_In_Year)</f>
        <v>0.280546198886852</v>
      </c>
      <c r="AF349" s="66" t="n">
        <f aca="false">(1+Discount_Rate)^((Inputs!$F$33-AF$272)/Days_In_Year)</f>
        <v>0.259710232730228</v>
      </c>
      <c r="AG349" s="66" t="n">
        <f aca="false">(1+Discount_Rate)^((Inputs!$F$33-AG$272)/Days_In_Year)</f>
        <v>0.240472437713174</v>
      </c>
      <c r="AH349" s="66" t="n">
        <f aca="false">(1+Discount_Rate)^((Inputs!$F$33-AH$272)/Days_In_Year)</f>
        <v>0.222659664549235</v>
      </c>
      <c r="AI349" s="66" t="n">
        <f aca="false">(1+Discount_Rate)^((Inputs!$F$33-AI$272)/Days_In_Year)</f>
        <v>0.206166356064106</v>
      </c>
      <c r="AJ349" s="66" t="n">
        <f aca="false">(1+Discount_Rate)^((Inputs!$F$33-AJ$272)/Days_In_Year)</f>
        <v>0.190854527799705</v>
      </c>
      <c r="AK349" s="66" t="n">
        <f aca="false">(1+Discount_Rate)^((Inputs!$F$33-AK$272)/Days_In_Year)</f>
        <v>0.176717155370097</v>
      </c>
      <c r="AL349" s="66" t="n">
        <f aca="false">(1+Discount_Rate)^((Inputs!$F$33-AL$272)/Days_In_Year)</f>
        <v>0.163626995713053</v>
      </c>
      <c r="AM349" s="66" t="n">
        <f aca="false">(1+Discount_Rate)^((Inputs!$F$33-AM$272)/Days_In_Year)</f>
        <v>0.151506477512086</v>
      </c>
      <c r="AN349" s="66" t="n">
        <f aca="false">(1+Discount_Rate)^((Inputs!$F$33-AN$272)/Days_In_Year)</f>
        <v>0.140254199454224</v>
      </c>
      <c r="AO349" s="66" t="n">
        <f aca="false">(1+Discount_Rate)^((Inputs!$F$33-AO$272)/Days_In_Year)</f>
        <v>0.129864999494652</v>
      </c>
      <c r="AP349" s="66" t="n">
        <f aca="false">(1+Discount_Rate)^((Inputs!$F$33-AP$272)/Days_In_Year)</f>
        <v>0.120245369902455</v>
      </c>
      <c r="AQ349" s="66" t="n">
        <f aca="false">(1+Discount_Rate)^((Inputs!$F$33-AQ$272)/Days_In_Year)</f>
        <v>0.111338305465236</v>
      </c>
      <c r="AR349" s="66" t="n">
        <f aca="false">(1+Discount_Rate)^((Inputs!$F$33-AR$272)/Days_In_Year)</f>
        <v>0.103069288904634</v>
      </c>
      <c r="AS349" s="66" t="n">
        <f aca="false">(1+Discount_Rate)^((Inputs!$F$33-AS$272)/Days_In_Year)</f>
        <v>0.0954345267635496</v>
      </c>
    </row>
    <row r="350" customFormat="false" ht="14.25" hidden="false" customHeight="false" outlineLevel="1" collapsed="false">
      <c r="C350" s="6" t="s">
        <v>269</v>
      </c>
      <c r="D350" s="2" t="s">
        <v>84</v>
      </c>
      <c r="H350" s="8" t="n">
        <f aca="false">SUM(J350:AS350)</f>
        <v>130416.00131392</v>
      </c>
      <c r="J350" s="8" t="n">
        <f aca="false">J339*J349</f>
        <v>0</v>
      </c>
      <c r="K350" s="8" t="n">
        <f aca="false">K339*K349</f>
        <v>0</v>
      </c>
      <c r="L350" s="8" t="n">
        <f aca="false">L339*L349</f>
        <v>0</v>
      </c>
      <c r="M350" s="8" t="n">
        <f aca="false">M339*M349</f>
        <v>0</v>
      </c>
      <c r="N350" s="8" t="n">
        <f aca="false">N339*N349</f>
        <v>0</v>
      </c>
      <c r="O350" s="8" t="n">
        <f aca="false">O339*O349</f>
        <v>5420.82368940103</v>
      </c>
      <c r="P350" s="8" t="n">
        <f aca="false">P339*P349</f>
        <v>10104.5926166959</v>
      </c>
      <c r="Q350" s="8" t="n">
        <f aca="false">Q339*Q349</f>
        <v>9385.85175374614</v>
      </c>
      <c r="R350" s="8" t="n">
        <f aca="false">R339*R349</f>
        <v>8717.44431732934</v>
      </c>
      <c r="S350" s="8" t="n">
        <f aca="false">S339*S349</f>
        <v>8095.88496115048</v>
      </c>
      <c r="T350" s="8" t="n">
        <f aca="false">T339*T349</f>
        <v>7516.3426480858</v>
      </c>
      <c r="U350" s="8" t="n">
        <f aca="false">U339*U349</f>
        <v>6979.07763802436</v>
      </c>
      <c r="V350" s="8" t="n">
        <f aca="false">V339*V349</f>
        <v>6479.56839759595</v>
      </c>
      <c r="W350" s="8" t="n">
        <f aca="false">W339*W349</f>
        <v>6015.19379562246</v>
      </c>
      <c r="X350" s="8" t="n">
        <f aca="false">X339*X349</f>
        <v>5582.33585835024</v>
      </c>
      <c r="Y350" s="8" t="n">
        <f aca="false">Y339*Y349</f>
        <v>5181.16073354775</v>
      </c>
      <c r="Z350" s="8" t="n">
        <f aca="false">Z339*Z349</f>
        <v>4808.28441678468</v>
      </c>
      <c r="AA350" s="8" t="n">
        <f aca="false">AA339*AA349</f>
        <v>4461.73687862896</v>
      </c>
      <c r="AB350" s="8" t="n">
        <f aca="false">AB339*AB349</f>
        <v>4138.81113939569</v>
      </c>
      <c r="AC350" s="8" t="n">
        <f aca="false">AC339*AC349</f>
        <v>3839.60814592519</v>
      </c>
      <c r="AD350" s="8" t="n">
        <f aca="false">AD339*AD349</f>
        <v>3561.59774166524</v>
      </c>
      <c r="AE350" s="8" t="n">
        <f aca="false">AE339*AE349</f>
        <v>3303.30020386569</v>
      </c>
      <c r="AF350" s="8" t="n">
        <f aca="false">AF339*AF349</f>
        <v>3062.69221091486</v>
      </c>
      <c r="AG350" s="8" t="n">
        <f aca="false">AG339*AG349</f>
        <v>2839.83020245122</v>
      </c>
      <c r="AH350" s="8" t="n">
        <f aca="false">AH339*AH349</f>
        <v>2632.82445601481</v>
      </c>
      <c r="AI350" s="8" t="n">
        <f aca="false">AI339*AI349</f>
        <v>2440.56428326569</v>
      </c>
      <c r="AJ350" s="8" t="n">
        <f aca="false">AJ339*AJ349</f>
        <v>2261.5390243702</v>
      </c>
      <c r="AK350" s="8" t="n">
        <f aca="false">AK339*AK349</f>
        <v>2095.77532246155</v>
      </c>
      <c r="AL350" s="8" t="n">
        <f aca="false">AL339*AL349</f>
        <v>1941.86343128184</v>
      </c>
      <c r="AM350" s="8" t="n">
        <f aca="false">AM339*AM349</f>
        <v>1798.97027101644</v>
      </c>
      <c r="AN350" s="8" t="n">
        <f aca="false">AN339*AN349</f>
        <v>1665.96930111705</v>
      </c>
      <c r="AO350" s="8" t="n">
        <f aca="false">AO339*AO349</f>
        <v>1542.86773937967</v>
      </c>
      <c r="AP350" s="8" t="n">
        <f aca="false">AP339*AP349</f>
        <v>1428.61524843168</v>
      </c>
      <c r="AQ350" s="8" t="n">
        <f aca="false">AQ339*AQ349</f>
        <v>1322.58746212963</v>
      </c>
      <c r="AR350" s="8" t="n">
        <f aca="false">AR339*AR349</f>
        <v>1223.9453916794</v>
      </c>
      <c r="AS350" s="8" t="n">
        <f aca="false">AS339*AS349</f>
        <v>566.342033590665</v>
      </c>
    </row>
    <row r="351" customFormat="false" ht="14.25" hidden="false" customHeight="false" outlineLevel="1" collapsed="false">
      <c r="C351" s="6" t="s">
        <v>270</v>
      </c>
      <c r="D351" s="2" t="s">
        <v>84</v>
      </c>
      <c r="H351" s="8" t="n">
        <f aca="false">SUM(J351:AS351)</f>
        <v>0</v>
      </c>
      <c r="J351" s="8" t="n">
        <f aca="false">-($F$206+$F$193)*(J$271=YEAR(Sale_Date))</f>
        <v>-0</v>
      </c>
      <c r="K351" s="8" t="n">
        <f aca="false">-($F$206+$F$193)*(K$271=YEAR(Sale_Date))</f>
        <v>-0</v>
      </c>
      <c r="L351" s="8" t="n">
        <f aca="false">-($F$206+$F$193)*(L$271=YEAR(Sale_Date))</f>
        <v>-0</v>
      </c>
      <c r="M351" s="8" t="n">
        <f aca="false">-($F$206+$F$193)*(M$271=YEAR(Sale_Date))</f>
        <v>-0</v>
      </c>
      <c r="N351" s="8" t="n">
        <f aca="false">-($F$206+$F$193)*(N$271=YEAR(Sale_Date))</f>
        <v>-0</v>
      </c>
      <c r="O351" s="8" t="n">
        <f aca="false">-($F$206+$F$193)*(O$271=YEAR(Sale_Date))</f>
        <v>-0</v>
      </c>
      <c r="P351" s="8" t="n">
        <f aca="false">-($F$206+$F$193)*(P$271=YEAR(Sale_Date))</f>
        <v>-0</v>
      </c>
      <c r="Q351" s="8" t="n">
        <f aca="false">-($F$206+$F$193)*(Q$271=YEAR(Sale_Date))</f>
        <v>-0</v>
      </c>
      <c r="R351" s="8" t="n">
        <f aca="false">-($F$206+$F$193)*(R$271=YEAR(Sale_Date))</f>
        <v>-0</v>
      </c>
      <c r="S351" s="8" t="n">
        <f aca="false">-($F$206+$F$193)*(S$271=YEAR(Sale_Date))</f>
        <v>-0</v>
      </c>
      <c r="T351" s="8" t="n">
        <f aca="false">-($F$206+$F$193)*(T$271=YEAR(Sale_Date))</f>
        <v>-0</v>
      </c>
      <c r="U351" s="8" t="n">
        <f aca="false">-($F$206+$F$193)*(U$271=YEAR(Sale_Date))</f>
        <v>-0</v>
      </c>
      <c r="V351" s="8" t="n">
        <f aca="false">-($F$206+$F$193)*(V$271=YEAR(Sale_Date))</f>
        <v>-0</v>
      </c>
      <c r="W351" s="8" t="n">
        <f aca="false">-($F$206+$F$193)*(W$271=YEAR(Sale_Date))</f>
        <v>-0</v>
      </c>
      <c r="X351" s="8" t="n">
        <f aca="false">-($F$206+$F$193)*(X$271=YEAR(Sale_Date))</f>
        <v>-0</v>
      </c>
      <c r="Y351" s="8" t="n">
        <f aca="false">-($F$206+$F$193)*(Y$271=YEAR(Sale_Date))</f>
        <v>-0</v>
      </c>
      <c r="Z351" s="8" t="n">
        <f aca="false">-($F$206+$F$193)*(Z$271=YEAR(Sale_Date))</f>
        <v>-0</v>
      </c>
      <c r="AA351" s="8" t="n">
        <f aca="false">-($F$206+$F$193)*(AA$271=YEAR(Sale_Date))</f>
        <v>-0</v>
      </c>
      <c r="AB351" s="8" t="n">
        <f aca="false">-($F$206+$F$193)*(AB$271=YEAR(Sale_Date))</f>
        <v>-0</v>
      </c>
      <c r="AC351" s="8" t="n">
        <f aca="false">-($F$206+$F$193)*(AC$271=YEAR(Sale_Date))</f>
        <v>-0</v>
      </c>
      <c r="AD351" s="8" t="n">
        <f aca="false">-($F$206+$F$193)*(AD$271=YEAR(Sale_Date))</f>
        <v>-0</v>
      </c>
      <c r="AE351" s="8" t="n">
        <f aca="false">-($F$206+$F$193)*(AE$271=YEAR(Sale_Date))</f>
        <v>-0</v>
      </c>
      <c r="AF351" s="8" t="n">
        <f aca="false">-($F$206+$F$193)*(AF$271=YEAR(Sale_Date))</f>
        <v>-0</v>
      </c>
      <c r="AG351" s="8" t="n">
        <f aca="false">-($F$206+$F$193)*(AG$271=YEAR(Sale_Date))</f>
        <v>-0</v>
      </c>
      <c r="AH351" s="8" t="n">
        <f aca="false">-($F$206+$F$193)*(AH$271=YEAR(Sale_Date))</f>
        <v>-0</v>
      </c>
      <c r="AI351" s="8" t="n">
        <f aca="false">-($F$206+$F$193)*(AI$271=YEAR(Sale_Date))</f>
        <v>-0</v>
      </c>
      <c r="AJ351" s="8" t="n">
        <f aca="false">-($F$206+$F$193)*(AJ$271=YEAR(Sale_Date))</f>
        <v>-0</v>
      </c>
      <c r="AK351" s="8" t="n">
        <f aca="false">-($F$206+$F$193)*(AK$271=YEAR(Sale_Date))</f>
        <v>-0</v>
      </c>
      <c r="AL351" s="8" t="n">
        <f aca="false">-($F$206+$F$193)*(AL$271=YEAR(Sale_Date))</f>
        <v>-0</v>
      </c>
      <c r="AM351" s="8" t="n">
        <f aca="false">-($F$206+$F$193)*(AM$271=YEAR(Sale_Date))</f>
        <v>-0</v>
      </c>
      <c r="AN351" s="8" t="n">
        <f aca="false">-($F$206+$F$193)*(AN$271=YEAR(Sale_Date))</f>
        <v>-0</v>
      </c>
      <c r="AO351" s="8" t="n">
        <f aca="false">-($F$206+$F$193)*(AO$271=YEAR(Sale_Date))</f>
        <v>-0</v>
      </c>
      <c r="AP351" s="8" t="n">
        <f aca="false">-($F$206+$F$193)*(AP$271=YEAR(Sale_Date))</f>
        <v>-0</v>
      </c>
      <c r="AQ351" s="8" t="n">
        <f aca="false">-($F$206+$F$193)*(AQ$271=YEAR(Sale_Date))</f>
        <v>-0</v>
      </c>
      <c r="AR351" s="8" t="n">
        <f aca="false">-($F$206+$F$193)*(AR$271=YEAR(Sale_Date))</f>
        <v>-0</v>
      </c>
      <c r="AS351" s="8" t="n">
        <f aca="false">-($F$206+$F$193)*(AS$271=YEAR(Sale_Date))</f>
        <v>-0</v>
      </c>
    </row>
    <row r="352" customFormat="false" ht="14.25" hidden="false" customHeight="false" outlineLevel="1" collapsed="false">
      <c r="C352" s="1" t="s">
        <v>271</v>
      </c>
      <c r="D352" s="2" t="s">
        <v>84</v>
      </c>
      <c r="H352" s="34" t="n">
        <f aca="false">SUM(J352:AS352)</f>
        <v>52789.0246015908</v>
      </c>
      <c r="J352" s="34" t="n">
        <f aca="false">J325*(J315&lt;=0)+J320*($H350+$F$61+$F$62)+J351</f>
        <v>-657.123287671233</v>
      </c>
      <c r="K352" s="34" t="n">
        <f aca="false">K325*(K315&lt;=0)+K320*($H350+$F$61+$F$62)+K351</f>
        <v>-3612.05479452055</v>
      </c>
      <c r="L352" s="34" t="n">
        <f aca="false">L325*(L315&lt;=0)+L320*($H350+$F$61+$F$62)+L351</f>
        <v>-3359.81917808219</v>
      </c>
      <c r="M352" s="34" t="n">
        <f aca="false">M325*(M315&lt;=0)+M320*($H350+$F$61+$F$62)+M351</f>
        <v>-17498.125</v>
      </c>
      <c r="N352" s="34" t="n">
        <f aca="false">N325*(N315&lt;=0)+N320*($H350+$F$61+$F$62)+N351</f>
        <v>-34996.25</v>
      </c>
      <c r="O352" s="34" t="n">
        <f aca="false">O325*(O315&lt;=0)+O320*($H350+$F$61+$F$62)+O351</f>
        <v>112912.396861865</v>
      </c>
      <c r="P352" s="34" t="n">
        <f aca="false">P325*(P315&lt;=0)+P320*($H350+$F$61+$F$62)+P351</f>
        <v>0</v>
      </c>
      <c r="Q352" s="34" t="n">
        <f aca="false">Q325*(Q315&lt;=0)+Q320*($H350+$F$61+$F$62)+Q351</f>
        <v>0</v>
      </c>
      <c r="R352" s="34" t="n">
        <f aca="false">R325*(R315&lt;=0)+R320*($H350+$F$61+$F$62)+R351</f>
        <v>0</v>
      </c>
      <c r="S352" s="34" t="n">
        <f aca="false">S325*(S315&lt;=0)+S320*($H350+$F$61+$F$62)+S351</f>
        <v>0</v>
      </c>
      <c r="T352" s="34" t="n">
        <f aca="false">T325*(T315&lt;=0)+T320*($H350+$F$61+$F$62)+T351</f>
        <v>0</v>
      </c>
      <c r="U352" s="34" t="n">
        <f aca="false">U325*(U315&lt;=0)+U320*($H350+$F$61+$F$62)+U351</f>
        <v>0</v>
      </c>
      <c r="V352" s="34" t="n">
        <f aca="false">V325*(V315&lt;=0)+V320*($H350+$F$61+$F$62)+V351</f>
        <v>0</v>
      </c>
      <c r="W352" s="34" t="n">
        <f aca="false">W325*(W315&lt;=0)+W320*($H350+$F$61+$F$62)+W351</f>
        <v>0</v>
      </c>
      <c r="X352" s="34" t="n">
        <f aca="false">X325*(X315&lt;=0)+X320*($H350+$F$61+$F$62)+X351</f>
        <v>0</v>
      </c>
      <c r="Y352" s="34" t="n">
        <f aca="false">Y325*(Y315&lt;=0)+Y320*($H350+$F$61+$F$62)+Y351</f>
        <v>0</v>
      </c>
      <c r="Z352" s="34" t="n">
        <f aca="false">Z325*(Z315&lt;=0)+Z320*($H350+$F$61+$F$62)+Z351</f>
        <v>0</v>
      </c>
      <c r="AA352" s="34" t="n">
        <f aca="false">AA325*(AA315&lt;=0)+AA320*($H350+$F$61+$F$62)+AA351</f>
        <v>0</v>
      </c>
      <c r="AB352" s="34" t="n">
        <f aca="false">AB325*(AB315&lt;=0)+AB320*($H350+$F$61+$F$62)+AB351</f>
        <v>0</v>
      </c>
      <c r="AC352" s="34" t="n">
        <f aca="false">AC325*(AC315&lt;=0)+AC320*($H350+$F$61+$F$62)+AC351</f>
        <v>0</v>
      </c>
      <c r="AD352" s="34" t="n">
        <f aca="false">AD325*(AD315&lt;=0)+AD320*($H350+$F$61+$F$62)+AD351</f>
        <v>0</v>
      </c>
      <c r="AE352" s="34" t="n">
        <f aca="false">AE325*(AE315&lt;=0)+AE320*($H350+$F$61+$F$62)+AE351</f>
        <v>0</v>
      </c>
      <c r="AF352" s="34" t="n">
        <f aca="false">AF325*(AF315&lt;=0)+AF320*($H350+$F$61+$F$62)+AF351</f>
        <v>0</v>
      </c>
      <c r="AG352" s="34" t="n">
        <f aca="false">AG325*(AG315&lt;=0)+AG320*($H350+$F$61+$F$62)+AG351</f>
        <v>0</v>
      </c>
      <c r="AH352" s="34" t="n">
        <f aca="false">AH325*(AH315&lt;=0)+AH320*($H350+$F$61+$F$62)+AH351</f>
        <v>0</v>
      </c>
      <c r="AI352" s="34" t="n">
        <f aca="false">AI325*(AI315&lt;=0)+AI320*($H350+$F$61+$F$62)+AI351</f>
        <v>0</v>
      </c>
      <c r="AJ352" s="34" t="n">
        <f aca="false">AJ325*(AJ315&lt;=0)+AJ320*($H350+$F$61+$F$62)+AJ351</f>
        <v>0</v>
      </c>
      <c r="AK352" s="34" t="n">
        <f aca="false">AK325*(AK315&lt;=0)+AK320*($H350+$F$61+$F$62)+AK351</f>
        <v>0</v>
      </c>
      <c r="AL352" s="34" t="n">
        <f aca="false">AL325*(AL315&lt;=0)+AL320*($H350+$F$61+$F$62)+AL351</f>
        <v>0</v>
      </c>
      <c r="AM352" s="34" t="n">
        <f aca="false">AM325*(AM315&lt;=0)+AM320*($H350+$F$61+$F$62)+AM351</f>
        <v>0</v>
      </c>
      <c r="AN352" s="34" t="n">
        <f aca="false">AN325*(AN315&lt;=0)+AN320*($H350+$F$61+$F$62)+AN351</f>
        <v>0</v>
      </c>
      <c r="AO352" s="34" t="n">
        <f aca="false">AO325*(AO315&lt;=0)+AO320*($H350+$F$61+$F$62)+AO351</f>
        <v>0</v>
      </c>
      <c r="AP352" s="34" t="n">
        <f aca="false">AP325*(AP315&lt;=0)+AP320*($H350+$F$61+$F$62)+AP351</f>
        <v>0</v>
      </c>
      <c r="AQ352" s="34" t="n">
        <f aca="false">AQ325*(AQ315&lt;=0)+AQ320*($H350+$F$61+$F$62)+AQ351</f>
        <v>0</v>
      </c>
      <c r="AR352" s="34" t="n">
        <f aca="false">AR325*(AR315&lt;=0)+AR320*($H350+$F$61+$F$62)+AR351</f>
        <v>0</v>
      </c>
      <c r="AS352" s="34" t="n">
        <f aca="false">AS325*(AS315&lt;=0)+AS320*($H350+$F$61+$F$62)+AS351</f>
        <v>0</v>
      </c>
    </row>
    <row r="353" customFormat="false" ht="14.25" hidden="false" customHeight="false" outlineLevel="1" collapsed="false"/>
    <row r="354" customFormat="false" ht="14.25" hidden="false" customHeight="false" outlineLevel="1" collapsed="false">
      <c r="B354" s="4" t="s">
        <v>3</v>
      </c>
      <c r="C354" s="4" t="s">
        <v>273</v>
      </c>
      <c r="D354" s="4"/>
      <c r="E354" s="5"/>
      <c r="F354" s="5"/>
      <c r="G354" s="5" t="s">
        <v>232</v>
      </c>
      <c r="H354" s="5" t="s">
        <v>8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customFormat="false" ht="14.25" hidden="false" customHeight="false" outlineLevel="1" collapsed="false">
      <c r="C355" s="6" t="s">
        <v>233</v>
      </c>
      <c r="D355" s="2" t="s">
        <v>234</v>
      </c>
      <c r="J355" s="57" t="n">
        <f aca="false">J$271-YEAR(Inputs!$G$33)</f>
        <v>-5</v>
      </c>
      <c r="K355" s="57" t="n">
        <f aca="false">K$271-YEAR(Inputs!$G$33)</f>
        <v>-4</v>
      </c>
      <c r="L355" s="57" t="n">
        <f aca="false">L$271-YEAR(Inputs!$G$33)</f>
        <v>-3</v>
      </c>
      <c r="M355" s="57" t="n">
        <f aca="false">M$271-YEAR(Inputs!$G$33)</f>
        <v>-2</v>
      </c>
      <c r="N355" s="57" t="n">
        <f aca="false">N$271-YEAR(Inputs!$G$33)</f>
        <v>-1</v>
      </c>
      <c r="O355" s="57" t="n">
        <f aca="false">O$271-YEAR(Inputs!$G$33)</f>
        <v>0</v>
      </c>
      <c r="P355" s="57" t="n">
        <f aca="false">P$271-YEAR(Inputs!$G$33)</f>
        <v>1</v>
      </c>
      <c r="Q355" s="57" t="n">
        <f aca="false">Q$271-YEAR(Inputs!$G$33)</f>
        <v>2</v>
      </c>
      <c r="R355" s="57" t="n">
        <f aca="false">R$271-YEAR(Inputs!$G$33)</f>
        <v>3</v>
      </c>
      <c r="S355" s="57" t="n">
        <f aca="false">S$271-YEAR(Inputs!$G$33)</f>
        <v>4</v>
      </c>
      <c r="T355" s="57" t="n">
        <f aca="false">T$271-YEAR(Inputs!$G$33)</f>
        <v>5</v>
      </c>
      <c r="U355" s="57" t="n">
        <f aca="false">U$271-YEAR(Inputs!$G$33)</f>
        <v>6</v>
      </c>
      <c r="V355" s="57" t="n">
        <f aca="false">V$271-YEAR(Inputs!$G$33)</f>
        <v>7</v>
      </c>
      <c r="W355" s="57" t="n">
        <f aca="false">W$271-YEAR(Inputs!$G$33)</f>
        <v>8</v>
      </c>
      <c r="X355" s="57" t="n">
        <f aca="false">X$271-YEAR(Inputs!$G$33)</f>
        <v>9</v>
      </c>
      <c r="Y355" s="57" t="n">
        <f aca="false">Y$271-YEAR(Inputs!$G$33)</f>
        <v>10</v>
      </c>
      <c r="Z355" s="57" t="n">
        <f aca="false">Z$271-YEAR(Inputs!$G$33)</f>
        <v>11</v>
      </c>
      <c r="AA355" s="57" t="n">
        <f aca="false">AA$271-YEAR(Inputs!$G$33)</f>
        <v>12</v>
      </c>
      <c r="AB355" s="57" t="n">
        <f aca="false">AB$271-YEAR(Inputs!$G$33)</f>
        <v>13</v>
      </c>
      <c r="AC355" s="57" t="n">
        <f aca="false">AC$271-YEAR(Inputs!$G$33)</f>
        <v>14</v>
      </c>
      <c r="AD355" s="57" t="n">
        <f aca="false">AD$271-YEAR(Inputs!$G$33)</f>
        <v>15</v>
      </c>
      <c r="AE355" s="57" t="n">
        <f aca="false">AE$271-YEAR(Inputs!$G$33)</f>
        <v>16</v>
      </c>
      <c r="AF355" s="57" t="n">
        <f aca="false">AF$271-YEAR(Inputs!$G$33)</f>
        <v>17</v>
      </c>
      <c r="AG355" s="57" t="n">
        <f aca="false">AG$271-YEAR(Inputs!$G$33)</f>
        <v>18</v>
      </c>
      <c r="AH355" s="57" t="n">
        <f aca="false">AH$271-YEAR(Inputs!$G$33)</f>
        <v>19</v>
      </c>
      <c r="AI355" s="57" t="n">
        <f aca="false">AI$271-YEAR(Inputs!$G$33)</f>
        <v>20</v>
      </c>
      <c r="AJ355" s="57" t="n">
        <f aca="false">AJ$271-YEAR(Inputs!$G$33)</f>
        <v>21</v>
      </c>
      <c r="AK355" s="57" t="n">
        <f aca="false">AK$271-YEAR(Inputs!$G$33)</f>
        <v>22</v>
      </c>
      <c r="AL355" s="57" t="n">
        <f aca="false">AL$271-YEAR(Inputs!$G$33)</f>
        <v>23</v>
      </c>
      <c r="AM355" s="57" t="n">
        <f aca="false">AM$271-YEAR(Inputs!$G$33)</f>
        <v>24</v>
      </c>
      <c r="AN355" s="57" t="n">
        <f aca="false">AN$271-YEAR(Inputs!$G$33)</f>
        <v>25</v>
      </c>
      <c r="AO355" s="57" t="n">
        <f aca="false">AO$271-YEAR(Inputs!$G$33)</f>
        <v>26</v>
      </c>
      <c r="AP355" s="57" t="n">
        <f aca="false">AP$271-YEAR(Inputs!$G$33)</f>
        <v>27</v>
      </c>
      <c r="AQ355" s="57" t="n">
        <f aca="false">AQ$271-YEAR(Inputs!$G$33)</f>
        <v>28</v>
      </c>
      <c r="AR355" s="57" t="n">
        <f aca="false">AR$271-YEAR(Inputs!$G$33)</f>
        <v>29</v>
      </c>
      <c r="AS355" s="57" t="n">
        <f aca="false">AS$271-YEAR(Inputs!$G$33)</f>
        <v>30</v>
      </c>
    </row>
    <row r="356" customFormat="false" ht="14.25" hidden="false" customHeight="false" outlineLevel="1" collapsed="false">
      <c r="C356" s="6" t="s">
        <v>235</v>
      </c>
      <c r="D356" s="2" t="s">
        <v>236</v>
      </c>
      <c r="G356" s="57" t="n">
        <f aca="false">DATEDIF(Inputs!$G$32,Inputs!$G$33,"m")</f>
        <v>24</v>
      </c>
      <c r="J356" s="57" t="n">
        <f aca="false">(J$271+1-YEAR(Inputs!$G$32))*Months_In_Year-MONTH(Inputs!$G$32)</f>
        <v>-30</v>
      </c>
      <c r="K356" s="57" t="n">
        <f aca="false">(K$271+1-YEAR(Inputs!$G$32))*Months_In_Year-MONTH(Inputs!$G$32)</f>
        <v>-18</v>
      </c>
      <c r="L356" s="57" t="n">
        <f aca="false">(L$271+1-YEAR(Inputs!$G$32))*Months_In_Year-MONTH(Inputs!$G$32)</f>
        <v>-6</v>
      </c>
      <c r="M356" s="57" t="n">
        <f aca="false">(M$271+1-YEAR(Inputs!$G$32))*Months_In_Year-MONTH(Inputs!$G$32)</f>
        <v>6</v>
      </c>
      <c r="N356" s="57" t="n">
        <f aca="false">(N$271+1-YEAR(Inputs!$G$32))*Months_In_Year-MONTH(Inputs!$G$32)</f>
        <v>18</v>
      </c>
      <c r="O356" s="57" t="n">
        <f aca="false">(O$271+1-YEAR(Inputs!$G$32))*Months_In_Year-MONTH(Inputs!$G$32)</f>
        <v>30</v>
      </c>
      <c r="P356" s="57" t="n">
        <f aca="false">(P$271+1-YEAR(Inputs!$G$32))*Months_In_Year-MONTH(Inputs!$G$32)</f>
        <v>42</v>
      </c>
      <c r="Q356" s="57" t="n">
        <f aca="false">(Q$271+1-YEAR(Inputs!$G$32))*Months_In_Year-MONTH(Inputs!$G$32)</f>
        <v>54</v>
      </c>
      <c r="R356" s="57" t="n">
        <f aca="false">(R$271+1-YEAR(Inputs!$G$32))*Months_In_Year-MONTH(Inputs!$G$32)</f>
        <v>66</v>
      </c>
      <c r="S356" s="57" t="n">
        <f aca="false">(S$271+1-YEAR(Inputs!$G$32))*Months_In_Year-MONTH(Inputs!$G$32)</f>
        <v>78</v>
      </c>
      <c r="T356" s="57" t="n">
        <f aca="false">(T$271+1-YEAR(Inputs!$G$32))*Months_In_Year-MONTH(Inputs!$G$32)</f>
        <v>90</v>
      </c>
      <c r="U356" s="57" t="n">
        <f aca="false">(U$271+1-YEAR(Inputs!$G$32))*Months_In_Year-MONTH(Inputs!$G$32)</f>
        <v>102</v>
      </c>
      <c r="V356" s="57" t="n">
        <f aca="false">(V$271+1-YEAR(Inputs!$G$32))*Months_In_Year-MONTH(Inputs!$G$32)</f>
        <v>114</v>
      </c>
      <c r="W356" s="57" t="n">
        <f aca="false">(W$271+1-YEAR(Inputs!$G$32))*Months_In_Year-MONTH(Inputs!$G$32)</f>
        <v>126</v>
      </c>
      <c r="X356" s="57" t="n">
        <f aca="false">(X$271+1-YEAR(Inputs!$G$32))*Months_In_Year-MONTH(Inputs!$G$32)</f>
        <v>138</v>
      </c>
      <c r="Y356" s="57" t="n">
        <f aca="false">(Y$271+1-YEAR(Inputs!$G$32))*Months_In_Year-MONTH(Inputs!$G$32)</f>
        <v>150</v>
      </c>
      <c r="Z356" s="57" t="n">
        <f aca="false">(Z$271+1-YEAR(Inputs!$G$32))*Months_In_Year-MONTH(Inputs!$G$32)</f>
        <v>162</v>
      </c>
      <c r="AA356" s="57" t="n">
        <f aca="false">(AA$271+1-YEAR(Inputs!$G$32))*Months_In_Year-MONTH(Inputs!$G$32)</f>
        <v>174</v>
      </c>
      <c r="AB356" s="57" t="n">
        <f aca="false">(AB$271+1-YEAR(Inputs!$G$32))*Months_In_Year-MONTH(Inputs!$G$32)</f>
        <v>186</v>
      </c>
      <c r="AC356" s="57" t="n">
        <f aca="false">(AC$271+1-YEAR(Inputs!$G$32))*Months_In_Year-MONTH(Inputs!$G$32)</f>
        <v>198</v>
      </c>
      <c r="AD356" s="57" t="n">
        <f aca="false">(AD$271+1-YEAR(Inputs!$G$32))*Months_In_Year-MONTH(Inputs!$G$32)</f>
        <v>210</v>
      </c>
      <c r="AE356" s="57" t="n">
        <f aca="false">(AE$271+1-YEAR(Inputs!$G$32))*Months_In_Year-MONTH(Inputs!$G$32)</f>
        <v>222</v>
      </c>
      <c r="AF356" s="57" t="n">
        <f aca="false">(AF$271+1-YEAR(Inputs!$G$32))*Months_In_Year-MONTH(Inputs!$G$32)</f>
        <v>234</v>
      </c>
      <c r="AG356" s="57" t="n">
        <f aca="false">(AG$271+1-YEAR(Inputs!$G$32))*Months_In_Year-MONTH(Inputs!$G$32)</f>
        <v>246</v>
      </c>
      <c r="AH356" s="57" t="n">
        <f aca="false">(AH$271+1-YEAR(Inputs!$G$32))*Months_In_Year-MONTH(Inputs!$G$32)</f>
        <v>258</v>
      </c>
      <c r="AI356" s="57" t="n">
        <f aca="false">(AI$271+1-YEAR(Inputs!$G$32))*Months_In_Year-MONTH(Inputs!$G$32)</f>
        <v>270</v>
      </c>
      <c r="AJ356" s="57" t="n">
        <f aca="false">(AJ$271+1-YEAR(Inputs!$G$32))*Months_In_Year-MONTH(Inputs!$G$32)</f>
        <v>282</v>
      </c>
      <c r="AK356" s="57" t="n">
        <f aca="false">(AK$271+1-YEAR(Inputs!$G$32))*Months_In_Year-MONTH(Inputs!$G$32)</f>
        <v>294</v>
      </c>
      <c r="AL356" s="57" t="n">
        <f aca="false">(AL$271+1-YEAR(Inputs!$G$32))*Months_In_Year-MONTH(Inputs!$G$32)</f>
        <v>306</v>
      </c>
      <c r="AM356" s="57" t="n">
        <f aca="false">(AM$271+1-YEAR(Inputs!$G$32))*Months_In_Year-MONTH(Inputs!$G$32)</f>
        <v>318</v>
      </c>
      <c r="AN356" s="57" t="n">
        <f aca="false">(AN$271+1-YEAR(Inputs!$G$32))*Months_In_Year-MONTH(Inputs!$G$32)</f>
        <v>330</v>
      </c>
      <c r="AO356" s="57" t="n">
        <f aca="false">(AO$271+1-YEAR(Inputs!$G$32))*Months_In_Year-MONTH(Inputs!$G$32)</f>
        <v>342</v>
      </c>
      <c r="AP356" s="57" t="n">
        <f aca="false">(AP$271+1-YEAR(Inputs!$G$32))*Months_In_Year-MONTH(Inputs!$G$32)</f>
        <v>354</v>
      </c>
      <c r="AQ356" s="57" t="n">
        <f aca="false">(AQ$271+1-YEAR(Inputs!$G$32))*Months_In_Year-MONTH(Inputs!$G$32)</f>
        <v>366</v>
      </c>
      <c r="AR356" s="57" t="n">
        <f aca="false">(AR$271+1-YEAR(Inputs!$G$32))*Months_In_Year-MONTH(Inputs!$G$32)</f>
        <v>378</v>
      </c>
      <c r="AS356" s="57" t="n">
        <f aca="false">(AS$271+1-YEAR(Inputs!$G$32))*Months_In_Year-MONTH(Inputs!$G$32)</f>
        <v>390</v>
      </c>
    </row>
    <row r="357" customFormat="false" ht="14.25" hidden="false" customHeight="false" outlineLevel="1" collapsed="false">
      <c r="C357" s="6" t="s">
        <v>237</v>
      </c>
      <c r="D357" s="2" t="s">
        <v>12</v>
      </c>
      <c r="H357" s="64" t="n">
        <f aca="false">SUM(J357:AS357)</f>
        <v>1</v>
      </c>
      <c r="J357" s="50" t="n">
        <f aca="false">MAX(0,MIN(J356,$G356)-MAX(J356-Months_In_Year,0))/$G356</f>
        <v>0</v>
      </c>
      <c r="K357" s="50" t="n">
        <f aca="false">MAX(0,MIN(K356,$G356)-MAX(K356-Months_In_Year,0))/$G356</f>
        <v>0</v>
      </c>
      <c r="L357" s="50" t="n">
        <f aca="false">MAX(0,MIN(L356,$G356)-MAX(L356-Months_In_Year,0))/$G356</f>
        <v>0</v>
      </c>
      <c r="M357" s="50" t="n">
        <f aca="false">MAX(0,MIN(M356,$G356)-MAX(M356-Months_In_Year,0))/$G356</f>
        <v>0.25</v>
      </c>
      <c r="N357" s="50" t="n">
        <f aca="false">MAX(0,MIN(N356,$G356)-MAX(N356-Months_In_Year,0))/$G356</f>
        <v>0.5</v>
      </c>
      <c r="O357" s="50" t="n">
        <f aca="false">MAX(0,MIN(O356,$G356)-MAX(O356-Months_In_Year,0))/$G356</f>
        <v>0.25</v>
      </c>
      <c r="P357" s="50" t="n">
        <f aca="false">MAX(0,MIN(P356,$G356)-MAX(P356-Months_In_Year,0))/$G356</f>
        <v>0</v>
      </c>
      <c r="Q357" s="50" t="n">
        <f aca="false">MAX(0,MIN(Q356,$G356)-MAX(Q356-Months_In_Year,0))/$G356</f>
        <v>0</v>
      </c>
      <c r="R357" s="50" t="n">
        <f aca="false">MAX(0,MIN(R356,$G356)-MAX(R356-Months_In_Year,0))/$G356</f>
        <v>0</v>
      </c>
      <c r="S357" s="50" t="n">
        <f aca="false">MAX(0,MIN(S356,$G356)-MAX(S356-Months_In_Year,0))/$G356</f>
        <v>0</v>
      </c>
      <c r="T357" s="50" t="n">
        <f aca="false">MAX(0,MIN(T356,$G356)-MAX(T356-Months_In_Year,0))/$G356</f>
        <v>0</v>
      </c>
      <c r="U357" s="50" t="n">
        <f aca="false">MAX(0,MIN(U356,$G356)-MAX(U356-Months_In_Year,0))/$G356</f>
        <v>0</v>
      </c>
      <c r="V357" s="50" t="n">
        <f aca="false">MAX(0,MIN(V356,$G356)-MAX(V356-Months_In_Year,0))/$G356</f>
        <v>0</v>
      </c>
      <c r="W357" s="50" t="n">
        <f aca="false">MAX(0,MIN(W356,$G356)-MAX(W356-Months_In_Year,0))/$G356</f>
        <v>0</v>
      </c>
      <c r="X357" s="50" t="n">
        <f aca="false">MAX(0,MIN(X356,$G356)-MAX(X356-Months_In_Year,0))/$G356</f>
        <v>0</v>
      </c>
      <c r="Y357" s="50" t="n">
        <f aca="false">MAX(0,MIN(Y356,$G356)-MAX(Y356-Months_In_Year,0))/$G356</f>
        <v>0</v>
      </c>
      <c r="Z357" s="50" t="n">
        <f aca="false">MAX(0,MIN(Z356,$G356)-MAX(Z356-Months_In_Year,0))/$G356</f>
        <v>0</v>
      </c>
      <c r="AA357" s="50" t="n">
        <f aca="false">MAX(0,MIN(AA356,$G356)-MAX(AA356-Months_In_Year,0))/$G356</f>
        <v>0</v>
      </c>
      <c r="AB357" s="50" t="n">
        <f aca="false">MAX(0,MIN(AB356,$G356)-MAX(AB356-Months_In_Year,0))/$G356</f>
        <v>0</v>
      </c>
      <c r="AC357" s="50" t="n">
        <f aca="false">MAX(0,MIN(AC356,$G356)-MAX(AC356-Months_In_Year,0))/$G356</f>
        <v>0</v>
      </c>
      <c r="AD357" s="50" t="n">
        <f aca="false">MAX(0,MIN(AD356,$G356)-MAX(AD356-Months_In_Year,0))/$G356</f>
        <v>0</v>
      </c>
      <c r="AE357" s="50" t="n">
        <f aca="false">MAX(0,MIN(AE356,$G356)-MAX(AE356-Months_In_Year,0))/$G356</f>
        <v>0</v>
      </c>
      <c r="AF357" s="50" t="n">
        <f aca="false">MAX(0,MIN(AF356,$G356)-MAX(AF356-Months_In_Year,0))/$G356</f>
        <v>0</v>
      </c>
      <c r="AG357" s="50" t="n">
        <f aca="false">MAX(0,MIN(AG356,$G356)-MAX(AG356-Months_In_Year,0))/$G356</f>
        <v>0</v>
      </c>
      <c r="AH357" s="50" t="n">
        <f aca="false">MAX(0,MIN(AH356,$G356)-MAX(AH356-Months_In_Year,0))/$G356</f>
        <v>0</v>
      </c>
      <c r="AI357" s="50" t="n">
        <f aca="false">MAX(0,MIN(AI356,$G356)-MAX(AI356-Months_In_Year,0))/$G356</f>
        <v>0</v>
      </c>
      <c r="AJ357" s="50" t="n">
        <f aca="false">MAX(0,MIN(AJ356,$G356)-MAX(AJ356-Months_In_Year,0))/$G356</f>
        <v>0</v>
      </c>
      <c r="AK357" s="50" t="n">
        <f aca="false">MAX(0,MIN(AK356,$G356)-MAX(AK356-Months_In_Year,0))/$G356</f>
        <v>0</v>
      </c>
      <c r="AL357" s="50" t="n">
        <f aca="false">MAX(0,MIN(AL356,$G356)-MAX(AL356-Months_In_Year,0))/$G356</f>
        <v>0</v>
      </c>
      <c r="AM357" s="50" t="n">
        <f aca="false">MAX(0,MIN(AM356,$G356)-MAX(AM356-Months_In_Year,0))/$G356</f>
        <v>0</v>
      </c>
      <c r="AN357" s="50" t="n">
        <f aca="false">MAX(0,MIN(AN356,$G356)-MAX(AN356-Months_In_Year,0))/$G356</f>
        <v>0</v>
      </c>
      <c r="AO357" s="50" t="n">
        <f aca="false">MAX(0,MIN(AO356,$G356)-MAX(AO356-Months_In_Year,0))/$G356</f>
        <v>0</v>
      </c>
      <c r="AP357" s="50" t="n">
        <f aca="false">MAX(0,MIN(AP356,$G356)-MAX(AP356-Months_In_Year,0))/$G356</f>
        <v>0</v>
      </c>
      <c r="AQ357" s="50" t="n">
        <f aca="false">MAX(0,MIN(AQ356,$G356)-MAX(AQ356-Months_In_Year,0))/$G356</f>
        <v>0</v>
      </c>
      <c r="AR357" s="50" t="n">
        <f aca="false">MAX(0,MIN(AR356,$G356)-MAX(AR356-Months_In_Year,0))/$G356</f>
        <v>0</v>
      </c>
      <c r="AS357" s="50" t="n">
        <f aca="false">MAX(0,MIN(AS356,$G356)-MAX(AS356-Months_In_Year,0))/$G356</f>
        <v>0</v>
      </c>
    </row>
    <row r="358" customFormat="false" ht="14.25" hidden="false" customHeight="false" outlineLevel="1" collapsed="false">
      <c r="C358" s="6" t="s">
        <v>238</v>
      </c>
      <c r="D358" s="2" t="s">
        <v>236</v>
      </c>
      <c r="G358" s="57" t="n">
        <f aca="false">Life*Months_In_Year</f>
        <v>360</v>
      </c>
      <c r="J358" s="57" t="n">
        <f aca="false">(J$271+1-YEAR(Inputs!$G$33))*Months_In_Year-MONTH(Inputs!$G$33)</f>
        <v>-54</v>
      </c>
      <c r="K358" s="57" t="n">
        <f aca="false">(K$271+1-YEAR(Inputs!$G$33))*Months_In_Year-MONTH(Inputs!$G$33)</f>
        <v>-42</v>
      </c>
      <c r="L358" s="57" t="n">
        <f aca="false">(L$271+1-YEAR(Inputs!$G$33))*Months_In_Year-MONTH(Inputs!$G$33)</f>
        <v>-30</v>
      </c>
      <c r="M358" s="57" t="n">
        <f aca="false">(M$271+1-YEAR(Inputs!$G$33))*Months_In_Year-MONTH(Inputs!$G$33)</f>
        <v>-18</v>
      </c>
      <c r="N358" s="57" t="n">
        <f aca="false">(N$271+1-YEAR(Inputs!$G$33))*Months_In_Year-MONTH(Inputs!$G$33)</f>
        <v>-6</v>
      </c>
      <c r="O358" s="57" t="n">
        <f aca="false">(O$271+1-YEAR(Inputs!$G$33))*Months_In_Year-MONTH(Inputs!$G$33)</f>
        <v>6</v>
      </c>
      <c r="P358" s="57" t="n">
        <f aca="false">(P$271+1-YEAR(Inputs!$G$33))*Months_In_Year-MONTH(Inputs!$G$33)</f>
        <v>18</v>
      </c>
      <c r="Q358" s="57" t="n">
        <f aca="false">(Q$271+1-YEAR(Inputs!$G$33))*Months_In_Year-MONTH(Inputs!$G$33)</f>
        <v>30</v>
      </c>
      <c r="R358" s="57" t="n">
        <f aca="false">(R$271+1-YEAR(Inputs!$G$33))*Months_In_Year-MONTH(Inputs!$G$33)</f>
        <v>42</v>
      </c>
      <c r="S358" s="57" t="n">
        <f aca="false">(S$271+1-YEAR(Inputs!$G$33))*Months_In_Year-MONTH(Inputs!$G$33)</f>
        <v>54</v>
      </c>
      <c r="T358" s="57" t="n">
        <f aca="false">(T$271+1-YEAR(Inputs!$G$33))*Months_In_Year-MONTH(Inputs!$G$33)</f>
        <v>66</v>
      </c>
      <c r="U358" s="57" t="n">
        <f aca="false">(U$271+1-YEAR(Inputs!$G$33))*Months_In_Year-MONTH(Inputs!$G$33)</f>
        <v>78</v>
      </c>
      <c r="V358" s="57" t="n">
        <f aca="false">(V$271+1-YEAR(Inputs!$G$33))*Months_In_Year-MONTH(Inputs!$G$33)</f>
        <v>90</v>
      </c>
      <c r="W358" s="57" t="n">
        <f aca="false">(W$271+1-YEAR(Inputs!$G$33))*Months_In_Year-MONTH(Inputs!$G$33)</f>
        <v>102</v>
      </c>
      <c r="X358" s="57" t="n">
        <f aca="false">(X$271+1-YEAR(Inputs!$G$33))*Months_In_Year-MONTH(Inputs!$G$33)</f>
        <v>114</v>
      </c>
      <c r="Y358" s="57" t="n">
        <f aca="false">(Y$271+1-YEAR(Inputs!$G$33))*Months_In_Year-MONTH(Inputs!$G$33)</f>
        <v>126</v>
      </c>
      <c r="Z358" s="57" t="n">
        <f aca="false">(Z$271+1-YEAR(Inputs!$G$33))*Months_In_Year-MONTH(Inputs!$G$33)</f>
        <v>138</v>
      </c>
      <c r="AA358" s="57" t="n">
        <f aca="false">(AA$271+1-YEAR(Inputs!$G$33))*Months_In_Year-MONTH(Inputs!$G$33)</f>
        <v>150</v>
      </c>
      <c r="AB358" s="57" t="n">
        <f aca="false">(AB$271+1-YEAR(Inputs!$G$33))*Months_In_Year-MONTH(Inputs!$G$33)</f>
        <v>162</v>
      </c>
      <c r="AC358" s="57" t="n">
        <f aca="false">(AC$271+1-YEAR(Inputs!$G$33))*Months_In_Year-MONTH(Inputs!$G$33)</f>
        <v>174</v>
      </c>
      <c r="AD358" s="57" t="n">
        <f aca="false">(AD$271+1-YEAR(Inputs!$G$33))*Months_In_Year-MONTH(Inputs!$G$33)</f>
        <v>186</v>
      </c>
      <c r="AE358" s="57" t="n">
        <f aca="false">(AE$271+1-YEAR(Inputs!$G$33))*Months_In_Year-MONTH(Inputs!$G$33)</f>
        <v>198</v>
      </c>
      <c r="AF358" s="57" t="n">
        <f aca="false">(AF$271+1-YEAR(Inputs!$G$33))*Months_In_Year-MONTH(Inputs!$G$33)</f>
        <v>210</v>
      </c>
      <c r="AG358" s="57" t="n">
        <f aca="false">(AG$271+1-YEAR(Inputs!$G$33))*Months_In_Year-MONTH(Inputs!$G$33)</f>
        <v>222</v>
      </c>
      <c r="AH358" s="57" t="n">
        <f aca="false">(AH$271+1-YEAR(Inputs!$G$33))*Months_In_Year-MONTH(Inputs!$G$33)</f>
        <v>234</v>
      </c>
      <c r="AI358" s="57" t="n">
        <f aca="false">(AI$271+1-YEAR(Inputs!$G$33))*Months_In_Year-MONTH(Inputs!$G$33)</f>
        <v>246</v>
      </c>
      <c r="AJ358" s="57" t="n">
        <f aca="false">(AJ$271+1-YEAR(Inputs!$G$33))*Months_In_Year-MONTH(Inputs!$G$33)</f>
        <v>258</v>
      </c>
      <c r="AK358" s="57" t="n">
        <f aca="false">(AK$271+1-YEAR(Inputs!$G$33))*Months_In_Year-MONTH(Inputs!$G$33)</f>
        <v>270</v>
      </c>
      <c r="AL358" s="57" t="n">
        <f aca="false">(AL$271+1-YEAR(Inputs!$G$33))*Months_In_Year-MONTH(Inputs!$G$33)</f>
        <v>282</v>
      </c>
      <c r="AM358" s="57" t="n">
        <f aca="false">(AM$271+1-YEAR(Inputs!$G$33))*Months_In_Year-MONTH(Inputs!$G$33)</f>
        <v>294</v>
      </c>
      <c r="AN358" s="57" t="n">
        <f aca="false">(AN$271+1-YEAR(Inputs!$G$33))*Months_In_Year-MONTH(Inputs!$G$33)</f>
        <v>306</v>
      </c>
      <c r="AO358" s="57" t="n">
        <f aca="false">(AO$271+1-YEAR(Inputs!$G$33))*Months_In_Year-MONTH(Inputs!$G$33)</f>
        <v>318</v>
      </c>
      <c r="AP358" s="57" t="n">
        <f aca="false">(AP$271+1-YEAR(Inputs!$G$33))*Months_In_Year-MONTH(Inputs!$G$33)</f>
        <v>330</v>
      </c>
      <c r="AQ358" s="57" t="n">
        <f aca="false">(AQ$271+1-YEAR(Inputs!$G$33))*Months_In_Year-MONTH(Inputs!$G$33)</f>
        <v>342</v>
      </c>
      <c r="AR358" s="57" t="n">
        <f aca="false">(AR$271+1-YEAR(Inputs!$G$33))*Months_In_Year-MONTH(Inputs!$G$33)</f>
        <v>354</v>
      </c>
      <c r="AS358" s="57" t="n">
        <f aca="false">(AS$271+1-YEAR(Inputs!$G$33))*Months_In_Year-MONTH(Inputs!$G$33)</f>
        <v>366</v>
      </c>
    </row>
    <row r="359" customFormat="false" ht="14.25" hidden="false" customHeight="false" outlineLevel="1" collapsed="false">
      <c r="C359" s="6" t="s">
        <v>239</v>
      </c>
      <c r="D359" s="2" t="s">
        <v>12</v>
      </c>
      <c r="H359" s="64" t="n">
        <f aca="false">SUM(J359:AS359)</f>
        <v>30</v>
      </c>
      <c r="J359" s="50" t="n">
        <f aca="false">MAX(0,MIN(J358,$G358)-MAX(J358-Months_In_Year,0))/Months_In_Year</f>
        <v>0</v>
      </c>
      <c r="K359" s="50" t="n">
        <f aca="false">MAX(0,MIN(K358,$G358)-MAX(K358-Months_In_Year,0))/Months_In_Year</f>
        <v>0</v>
      </c>
      <c r="L359" s="50" t="n">
        <f aca="false">MAX(0,MIN(L358,$G358)-MAX(L358-Months_In_Year,0))/Months_In_Year</f>
        <v>0</v>
      </c>
      <c r="M359" s="50" t="n">
        <f aca="false">MAX(0,MIN(M358,$G358)-MAX(M358-Months_In_Year,0))/Months_In_Year</f>
        <v>0</v>
      </c>
      <c r="N359" s="50" t="n">
        <f aca="false">MAX(0,MIN(N358,$G358)-MAX(N358-Months_In_Year,0))/Months_In_Year</f>
        <v>0</v>
      </c>
      <c r="O359" s="50" t="n">
        <f aca="false">MAX(0,MIN(O358,$G358)-MAX(O358-Months_In_Year,0))/Months_In_Year</f>
        <v>0.5</v>
      </c>
      <c r="P359" s="50" t="n">
        <f aca="false">MAX(0,MIN(P358,$G358)-MAX(P358-Months_In_Year,0))/Months_In_Year</f>
        <v>1</v>
      </c>
      <c r="Q359" s="50" t="n">
        <f aca="false">MAX(0,MIN(Q358,$G358)-MAX(Q358-Months_In_Year,0))/Months_In_Year</f>
        <v>1</v>
      </c>
      <c r="R359" s="50" t="n">
        <f aca="false">MAX(0,MIN(R358,$G358)-MAX(R358-Months_In_Year,0))/Months_In_Year</f>
        <v>1</v>
      </c>
      <c r="S359" s="50" t="n">
        <f aca="false">MAX(0,MIN(S358,$G358)-MAX(S358-Months_In_Year,0))/Months_In_Year</f>
        <v>1</v>
      </c>
      <c r="T359" s="50" t="n">
        <f aca="false">MAX(0,MIN(T358,$G358)-MAX(T358-Months_In_Year,0))/Months_In_Year</f>
        <v>1</v>
      </c>
      <c r="U359" s="50" t="n">
        <f aca="false">MAX(0,MIN(U358,$G358)-MAX(U358-Months_In_Year,0))/Months_In_Year</f>
        <v>1</v>
      </c>
      <c r="V359" s="50" t="n">
        <f aca="false">MAX(0,MIN(V358,$G358)-MAX(V358-Months_In_Year,0))/Months_In_Year</f>
        <v>1</v>
      </c>
      <c r="W359" s="50" t="n">
        <f aca="false">MAX(0,MIN(W358,$G358)-MAX(W358-Months_In_Year,0))/Months_In_Year</f>
        <v>1</v>
      </c>
      <c r="X359" s="50" t="n">
        <f aca="false">MAX(0,MIN(X358,$G358)-MAX(X358-Months_In_Year,0))/Months_In_Year</f>
        <v>1</v>
      </c>
      <c r="Y359" s="50" t="n">
        <f aca="false">MAX(0,MIN(Y358,$G358)-MAX(Y358-Months_In_Year,0))/Months_In_Year</f>
        <v>1</v>
      </c>
      <c r="Z359" s="50" t="n">
        <f aca="false">MAX(0,MIN(Z358,$G358)-MAX(Z358-Months_In_Year,0))/Months_In_Year</f>
        <v>1</v>
      </c>
      <c r="AA359" s="50" t="n">
        <f aca="false">MAX(0,MIN(AA358,$G358)-MAX(AA358-Months_In_Year,0))/Months_In_Year</f>
        <v>1</v>
      </c>
      <c r="AB359" s="50" t="n">
        <f aca="false">MAX(0,MIN(AB358,$G358)-MAX(AB358-Months_In_Year,0))/Months_In_Year</f>
        <v>1</v>
      </c>
      <c r="AC359" s="50" t="n">
        <f aca="false">MAX(0,MIN(AC358,$G358)-MAX(AC358-Months_In_Year,0))/Months_In_Year</f>
        <v>1</v>
      </c>
      <c r="AD359" s="50" t="n">
        <f aca="false">MAX(0,MIN(AD358,$G358)-MAX(AD358-Months_In_Year,0))/Months_In_Year</f>
        <v>1</v>
      </c>
      <c r="AE359" s="50" t="n">
        <f aca="false">MAX(0,MIN(AE358,$G358)-MAX(AE358-Months_In_Year,0))/Months_In_Year</f>
        <v>1</v>
      </c>
      <c r="AF359" s="50" t="n">
        <f aca="false">MAX(0,MIN(AF358,$G358)-MAX(AF358-Months_In_Year,0))/Months_In_Year</f>
        <v>1</v>
      </c>
      <c r="AG359" s="50" t="n">
        <f aca="false">MAX(0,MIN(AG358,$G358)-MAX(AG358-Months_In_Year,0))/Months_In_Year</f>
        <v>1</v>
      </c>
      <c r="AH359" s="50" t="n">
        <f aca="false">MAX(0,MIN(AH358,$G358)-MAX(AH358-Months_In_Year,0))/Months_In_Year</f>
        <v>1</v>
      </c>
      <c r="AI359" s="50" t="n">
        <f aca="false">MAX(0,MIN(AI358,$G358)-MAX(AI358-Months_In_Year,0))/Months_In_Year</f>
        <v>1</v>
      </c>
      <c r="AJ359" s="50" t="n">
        <f aca="false">MAX(0,MIN(AJ358,$G358)-MAX(AJ358-Months_In_Year,0))/Months_In_Year</f>
        <v>1</v>
      </c>
      <c r="AK359" s="50" t="n">
        <f aca="false">MAX(0,MIN(AK358,$G358)-MAX(AK358-Months_In_Year,0))/Months_In_Year</f>
        <v>1</v>
      </c>
      <c r="AL359" s="50" t="n">
        <f aca="false">MAX(0,MIN(AL358,$G358)-MAX(AL358-Months_In_Year,0))/Months_In_Year</f>
        <v>1</v>
      </c>
      <c r="AM359" s="50" t="n">
        <f aca="false">MAX(0,MIN(AM358,$G358)-MAX(AM358-Months_In_Year,0))/Months_In_Year</f>
        <v>1</v>
      </c>
      <c r="AN359" s="50" t="n">
        <f aca="false">MAX(0,MIN(AN358,$G358)-MAX(AN358-Months_In_Year,0))/Months_In_Year</f>
        <v>1</v>
      </c>
      <c r="AO359" s="50" t="n">
        <f aca="false">MAX(0,MIN(AO358,$G358)-MAX(AO358-Months_In_Year,0))/Months_In_Year</f>
        <v>1</v>
      </c>
      <c r="AP359" s="50" t="n">
        <f aca="false">MAX(0,MIN(AP358,$G358)-MAX(AP358-Months_In_Year,0))/Months_In_Year</f>
        <v>1</v>
      </c>
      <c r="AQ359" s="50" t="n">
        <f aca="false">MAX(0,MIN(AQ358,$G358)-MAX(AQ358-Months_In_Year,0))/Months_In_Year</f>
        <v>1</v>
      </c>
      <c r="AR359" s="50" t="n">
        <f aca="false">MAX(0,MIN(AR358,$G358)-MAX(AR358-Months_In_Year,0))/Months_In_Year</f>
        <v>1</v>
      </c>
      <c r="AS359" s="50" t="n">
        <f aca="false">MAX(0,MIN(AS358,$G358)-MAX(AS358-Months_In_Year,0))/Months_In_Year</f>
        <v>0.5</v>
      </c>
    </row>
    <row r="360" customFormat="false" ht="14.25" hidden="false" customHeight="false" outlineLevel="1" collapsed="false">
      <c r="C360" s="6" t="s">
        <v>240</v>
      </c>
      <c r="D360" s="2" t="s">
        <v>2</v>
      </c>
      <c r="J360" s="65" t="n">
        <f aca="false">N(J355=0)</f>
        <v>0</v>
      </c>
      <c r="K360" s="65" t="n">
        <f aca="false">N(K355=0)</f>
        <v>0</v>
      </c>
      <c r="L360" s="65" t="n">
        <f aca="false">N(L355=0)</f>
        <v>0</v>
      </c>
      <c r="M360" s="65" t="n">
        <f aca="false">N(M355=0)</f>
        <v>0</v>
      </c>
      <c r="N360" s="65" t="n">
        <f aca="false">N(N355=0)</f>
        <v>0</v>
      </c>
      <c r="O360" s="65" t="n">
        <f aca="false">N(O355=0)</f>
        <v>1</v>
      </c>
      <c r="P360" s="65" t="n">
        <f aca="false">N(P355=0)</f>
        <v>0</v>
      </c>
      <c r="Q360" s="65" t="n">
        <f aca="false">N(Q355=0)</f>
        <v>0</v>
      </c>
      <c r="R360" s="65" t="n">
        <f aca="false">N(R355=0)</f>
        <v>0</v>
      </c>
      <c r="S360" s="65" t="n">
        <f aca="false">N(S355=0)</f>
        <v>0</v>
      </c>
      <c r="T360" s="65" t="n">
        <f aca="false">N(T355=0)</f>
        <v>0</v>
      </c>
      <c r="U360" s="65" t="n">
        <f aca="false">N(U355=0)</f>
        <v>0</v>
      </c>
      <c r="V360" s="65" t="n">
        <f aca="false">N(V355=0)</f>
        <v>0</v>
      </c>
      <c r="W360" s="65" t="n">
        <f aca="false">N(W355=0)</f>
        <v>0</v>
      </c>
      <c r="X360" s="65" t="n">
        <f aca="false">N(X355=0)</f>
        <v>0</v>
      </c>
      <c r="Y360" s="65" t="n">
        <f aca="false">N(Y355=0)</f>
        <v>0</v>
      </c>
      <c r="Z360" s="65" t="n">
        <f aca="false">N(Z355=0)</f>
        <v>0</v>
      </c>
      <c r="AA360" s="65" t="n">
        <f aca="false">N(AA355=0)</f>
        <v>0</v>
      </c>
      <c r="AB360" s="65" t="n">
        <f aca="false">N(AB355=0)</f>
        <v>0</v>
      </c>
      <c r="AC360" s="65" t="n">
        <f aca="false">N(AC355=0)</f>
        <v>0</v>
      </c>
      <c r="AD360" s="65" t="n">
        <f aca="false">N(AD355=0)</f>
        <v>0</v>
      </c>
      <c r="AE360" s="65" t="n">
        <f aca="false">N(AE355=0)</f>
        <v>0</v>
      </c>
      <c r="AF360" s="65" t="n">
        <f aca="false">N(AF355=0)</f>
        <v>0</v>
      </c>
      <c r="AG360" s="65" t="n">
        <f aca="false">N(AG355=0)</f>
        <v>0</v>
      </c>
      <c r="AH360" s="65" t="n">
        <f aca="false">N(AH355=0)</f>
        <v>0</v>
      </c>
      <c r="AI360" s="65" t="n">
        <f aca="false">N(AI355=0)</f>
        <v>0</v>
      </c>
      <c r="AJ360" s="65" t="n">
        <f aca="false">N(AJ355=0)</f>
        <v>0</v>
      </c>
      <c r="AK360" s="65" t="n">
        <f aca="false">N(AK355=0)</f>
        <v>0</v>
      </c>
      <c r="AL360" s="65" t="n">
        <f aca="false">N(AL355=0)</f>
        <v>0</v>
      </c>
      <c r="AM360" s="65" t="n">
        <f aca="false">N(AM355=0)</f>
        <v>0</v>
      </c>
      <c r="AN360" s="65" t="n">
        <f aca="false">N(AN355=0)</f>
        <v>0</v>
      </c>
      <c r="AO360" s="65" t="n">
        <f aca="false">N(AO355=0)</f>
        <v>0</v>
      </c>
      <c r="AP360" s="65" t="n">
        <f aca="false">N(AP355=0)</f>
        <v>0</v>
      </c>
      <c r="AQ360" s="65" t="n">
        <f aca="false">N(AQ355=0)</f>
        <v>0</v>
      </c>
      <c r="AR360" s="65" t="n">
        <f aca="false">N(AR355=0)</f>
        <v>0</v>
      </c>
      <c r="AS360" s="65" t="n">
        <f aca="false">N(AS355=0)</f>
        <v>0</v>
      </c>
    </row>
    <row r="361" customFormat="false" ht="14.25" hidden="false" customHeight="false" outlineLevel="1" collapsed="false">
      <c r="C361" s="6" t="s">
        <v>241</v>
      </c>
      <c r="D361" s="2" t="s">
        <v>84</v>
      </c>
      <c r="H361" s="8" t="n">
        <f aca="false">SUM(J361:AS361)</f>
        <v>-7628.99726027397</v>
      </c>
      <c r="J361" s="8" t="n">
        <f aca="false">SUMPRODUCT((YEAR($L$209:$L$216)=J$271)*$G$209:$G$216)</f>
        <v>-657.123287671233</v>
      </c>
      <c r="K361" s="8" t="n">
        <f aca="false">SUMPRODUCT((YEAR($L$209:$L$216)=K$271)*$G$209:$G$216)</f>
        <v>-3612.05479452055</v>
      </c>
      <c r="L361" s="8" t="n">
        <f aca="false">SUMPRODUCT((YEAR($L$209:$L$216)=L$271)*$G$209:$G$216)</f>
        <v>-3359.81917808219</v>
      </c>
      <c r="M361" s="8" t="n">
        <f aca="false">SUMPRODUCT((YEAR($L$209:$L$216)=M$271)*$G$209:$G$216)</f>
        <v>0</v>
      </c>
      <c r="N361" s="8" t="n">
        <f aca="false">SUMPRODUCT((YEAR($L$209:$L$216)=N$271)*$G$209:$G$216)</f>
        <v>0</v>
      </c>
      <c r="O361" s="8" t="n">
        <f aca="false">SUMPRODUCT((YEAR($L$209:$L$216)=O$271)*$G$209:$G$216)</f>
        <v>0</v>
      </c>
      <c r="P361" s="8" t="n">
        <f aca="false">SUMPRODUCT((YEAR($L$209:$L$216)=P$271)*$G$209:$G$216)</f>
        <v>0</v>
      </c>
      <c r="Q361" s="8" t="n">
        <f aca="false">SUMPRODUCT((YEAR($L$209:$L$216)=Q$271)*$G$209:$G$216)</f>
        <v>0</v>
      </c>
      <c r="R361" s="8" t="n">
        <f aca="false">SUMPRODUCT((YEAR($L$209:$L$216)=R$271)*$G$209:$G$216)</f>
        <v>0</v>
      </c>
      <c r="S361" s="8" t="n">
        <f aca="false">SUMPRODUCT((YEAR($L$209:$L$216)=S$271)*$G$209:$G$216)</f>
        <v>0</v>
      </c>
      <c r="T361" s="8" t="n">
        <f aca="false">SUMPRODUCT((YEAR($L$209:$L$216)=T$271)*$G$209:$G$216)</f>
        <v>0</v>
      </c>
      <c r="U361" s="8" t="n">
        <f aca="false">SUMPRODUCT((YEAR($L$209:$L$216)=U$271)*$G$209:$G$216)</f>
        <v>0</v>
      </c>
      <c r="V361" s="8" t="n">
        <f aca="false">SUMPRODUCT((YEAR($L$209:$L$216)=V$271)*$G$209:$G$216)</f>
        <v>0</v>
      </c>
      <c r="W361" s="8" t="n">
        <f aca="false">SUMPRODUCT((YEAR($L$209:$L$216)=W$271)*$G$209:$G$216)</f>
        <v>0</v>
      </c>
      <c r="X361" s="8" t="n">
        <f aca="false">SUMPRODUCT((YEAR($L$209:$L$216)=X$271)*$G$209:$G$216)</f>
        <v>0</v>
      </c>
      <c r="Y361" s="8" t="n">
        <f aca="false">SUMPRODUCT((YEAR($L$209:$L$216)=Y$271)*$G$209:$G$216)</f>
        <v>0</v>
      </c>
      <c r="Z361" s="8" t="n">
        <f aca="false">SUMPRODUCT((YEAR($L$209:$L$216)=Z$271)*$G$209:$G$216)</f>
        <v>0</v>
      </c>
      <c r="AA361" s="8" t="n">
        <f aca="false">SUMPRODUCT((YEAR($L$209:$L$216)=AA$271)*$G$209:$G$216)</f>
        <v>0</v>
      </c>
      <c r="AB361" s="8" t="n">
        <f aca="false">SUMPRODUCT((YEAR($L$209:$L$216)=AB$271)*$G$209:$G$216)</f>
        <v>0</v>
      </c>
      <c r="AC361" s="8" t="n">
        <f aca="false">SUMPRODUCT((YEAR($L$209:$L$216)=AC$271)*$G$209:$G$216)</f>
        <v>0</v>
      </c>
      <c r="AD361" s="8" t="n">
        <f aca="false">SUMPRODUCT((YEAR($L$209:$L$216)=AD$271)*$G$209:$G$216)</f>
        <v>0</v>
      </c>
      <c r="AE361" s="8" t="n">
        <f aca="false">SUMPRODUCT((YEAR($L$209:$L$216)=AE$271)*$G$209:$G$216)</f>
        <v>0</v>
      </c>
      <c r="AF361" s="8" t="n">
        <f aca="false">SUMPRODUCT((YEAR($L$209:$L$216)=AF$271)*$G$209:$G$216)</f>
        <v>0</v>
      </c>
      <c r="AG361" s="8" t="n">
        <f aca="false">SUMPRODUCT((YEAR($L$209:$L$216)=AG$271)*$G$209:$G$216)</f>
        <v>0</v>
      </c>
      <c r="AH361" s="8" t="n">
        <f aca="false">SUMPRODUCT((YEAR($L$209:$L$216)=AH$271)*$G$209:$G$216)</f>
        <v>0</v>
      </c>
      <c r="AI361" s="8" t="n">
        <f aca="false">SUMPRODUCT((YEAR($L$209:$L$216)=AI$271)*$G$209:$G$216)</f>
        <v>0</v>
      </c>
      <c r="AJ361" s="8" t="n">
        <f aca="false">SUMPRODUCT((YEAR($L$209:$L$216)=AJ$271)*$G$209:$G$216)</f>
        <v>0</v>
      </c>
      <c r="AK361" s="8" t="n">
        <f aca="false">SUMPRODUCT((YEAR($L$209:$L$216)=AK$271)*$G$209:$G$216)</f>
        <v>0</v>
      </c>
      <c r="AL361" s="8" t="n">
        <f aca="false">SUMPRODUCT((YEAR($L$209:$L$216)=AL$271)*$G$209:$G$216)</f>
        <v>0</v>
      </c>
      <c r="AM361" s="8" t="n">
        <f aca="false">SUMPRODUCT((YEAR($L$209:$L$216)=AM$271)*$G$209:$G$216)</f>
        <v>0</v>
      </c>
      <c r="AN361" s="8" t="n">
        <f aca="false">SUMPRODUCT((YEAR($L$209:$L$216)=AN$271)*$G$209:$G$216)</f>
        <v>0</v>
      </c>
      <c r="AO361" s="8" t="n">
        <f aca="false">SUMPRODUCT((YEAR($L$209:$L$216)=AO$271)*$G$209:$G$216)</f>
        <v>0</v>
      </c>
      <c r="AP361" s="8" t="n">
        <f aca="false">SUMPRODUCT((YEAR($L$209:$L$216)=AP$271)*$G$209:$G$216)</f>
        <v>0</v>
      </c>
      <c r="AQ361" s="8" t="n">
        <f aca="false">SUMPRODUCT((YEAR($L$209:$L$216)=AQ$271)*$G$209:$G$216)</f>
        <v>0</v>
      </c>
      <c r="AR361" s="8" t="n">
        <f aca="false">SUMPRODUCT((YEAR($L$209:$L$216)=AR$271)*$G$209:$G$216)</f>
        <v>0</v>
      </c>
      <c r="AS361" s="8" t="n">
        <f aca="false">SUMPRODUCT((YEAR($L$209:$L$216)=AS$271)*$G$209:$G$216)</f>
        <v>0</v>
      </c>
    </row>
    <row r="362" customFormat="false" ht="14.25" hidden="false" customHeight="false" outlineLevel="1" collapsed="false">
      <c r="C362" s="6" t="s">
        <v>242</v>
      </c>
      <c r="D362" s="2" t="s">
        <v>84</v>
      </c>
      <c r="H362" s="8" t="n">
        <f aca="false">SUM(J362:AS362)</f>
        <v>2494.52054794521</v>
      </c>
      <c r="J362" s="8" t="n">
        <f aca="false">($G$61+$G$62)*(J$271=YEAR(Inputs!$G$34))</f>
        <v>0</v>
      </c>
      <c r="K362" s="8" t="n">
        <f aca="false">($G$61+$G$62)*(K$271=YEAR(Inputs!$G$34))</f>
        <v>0</v>
      </c>
      <c r="L362" s="8" t="n">
        <f aca="false">($G$61+$G$62)*(L$271=YEAR(Inputs!$G$34))</f>
        <v>0</v>
      </c>
      <c r="M362" s="8" t="n">
        <f aca="false">($G$61+$G$62)*(M$271=YEAR(Inputs!$G$34))</f>
        <v>0</v>
      </c>
      <c r="N362" s="8" t="n">
        <f aca="false">($G$61+$G$62)*(N$271=YEAR(Inputs!$G$34))</f>
        <v>0</v>
      </c>
      <c r="O362" s="8" t="n">
        <f aca="false">($G$61+$G$62)*(O$271=YEAR(Inputs!$G$34))</f>
        <v>0</v>
      </c>
      <c r="P362" s="8" t="n">
        <f aca="false">($G$61+$G$62)*(P$271=YEAR(Inputs!$G$34))</f>
        <v>0</v>
      </c>
      <c r="Q362" s="8" t="n">
        <f aca="false">($G$61+$G$62)*(Q$271=YEAR(Inputs!$G$34))</f>
        <v>2494.52054794521</v>
      </c>
      <c r="R362" s="8" t="n">
        <f aca="false">($G$61+$G$62)*(R$271=YEAR(Inputs!$G$34))</f>
        <v>0</v>
      </c>
      <c r="S362" s="8" t="n">
        <f aca="false">($G$61+$G$62)*(S$271=YEAR(Inputs!$G$34))</f>
        <v>0</v>
      </c>
      <c r="T362" s="8" t="n">
        <f aca="false">($G$61+$G$62)*(T$271=YEAR(Inputs!$G$34))</f>
        <v>0</v>
      </c>
      <c r="U362" s="8" t="n">
        <f aca="false">($G$61+$G$62)*(U$271=YEAR(Inputs!$G$34))</f>
        <v>0</v>
      </c>
      <c r="V362" s="8" t="n">
        <f aca="false">($G$61+$G$62)*(V$271=YEAR(Inputs!$G$34))</f>
        <v>0</v>
      </c>
      <c r="W362" s="8" t="n">
        <f aca="false">($G$61+$G$62)*(W$271=YEAR(Inputs!$G$34))</f>
        <v>0</v>
      </c>
      <c r="X362" s="8" t="n">
        <f aca="false">($G$61+$G$62)*(X$271=YEAR(Inputs!$G$34))</f>
        <v>0</v>
      </c>
      <c r="Y362" s="8" t="n">
        <f aca="false">($G$61+$G$62)*(Y$271=YEAR(Inputs!$G$34))</f>
        <v>0</v>
      </c>
      <c r="Z362" s="8" t="n">
        <f aca="false">($G$61+$G$62)*(Z$271=YEAR(Inputs!$G$34))</f>
        <v>0</v>
      </c>
      <c r="AA362" s="8" t="n">
        <f aca="false">($G$61+$G$62)*(AA$271=YEAR(Inputs!$G$34))</f>
        <v>0</v>
      </c>
      <c r="AB362" s="8" t="n">
        <f aca="false">($G$61+$G$62)*(AB$271=YEAR(Inputs!$G$34))</f>
        <v>0</v>
      </c>
      <c r="AC362" s="8" t="n">
        <f aca="false">($G$61+$G$62)*(AC$271=YEAR(Inputs!$G$34))</f>
        <v>0</v>
      </c>
      <c r="AD362" s="8" t="n">
        <f aca="false">($G$61+$G$62)*(AD$271=YEAR(Inputs!$G$34))</f>
        <v>0</v>
      </c>
      <c r="AE362" s="8" t="n">
        <f aca="false">($G$61+$G$62)*(AE$271=YEAR(Inputs!$G$34))</f>
        <v>0</v>
      </c>
      <c r="AF362" s="8" t="n">
        <f aca="false">($G$61+$G$62)*(AF$271=YEAR(Inputs!$G$34))</f>
        <v>0</v>
      </c>
      <c r="AG362" s="8" t="n">
        <f aca="false">($G$61+$G$62)*(AG$271=YEAR(Inputs!$G$34))</f>
        <v>0</v>
      </c>
      <c r="AH362" s="8" t="n">
        <f aca="false">($G$61+$G$62)*(AH$271=YEAR(Inputs!$G$34))</f>
        <v>0</v>
      </c>
      <c r="AI362" s="8" t="n">
        <f aca="false">($G$61+$G$62)*(AI$271=YEAR(Inputs!$G$34))</f>
        <v>0</v>
      </c>
      <c r="AJ362" s="8" t="n">
        <f aca="false">($G$61+$G$62)*(AJ$271=YEAR(Inputs!$G$34))</f>
        <v>0</v>
      </c>
      <c r="AK362" s="8" t="n">
        <f aca="false">($G$61+$G$62)*(AK$271=YEAR(Inputs!$G$34))</f>
        <v>0</v>
      </c>
      <c r="AL362" s="8" t="n">
        <f aca="false">($G$61+$G$62)*(AL$271=YEAR(Inputs!$G$34))</f>
        <v>0</v>
      </c>
      <c r="AM362" s="8" t="n">
        <f aca="false">($G$61+$G$62)*(AM$271=YEAR(Inputs!$G$34))</f>
        <v>0</v>
      </c>
      <c r="AN362" s="8" t="n">
        <f aca="false">($G$61+$G$62)*(AN$271=YEAR(Inputs!$G$34))</f>
        <v>0</v>
      </c>
      <c r="AO362" s="8" t="n">
        <f aca="false">($G$61+$G$62)*(AO$271=YEAR(Inputs!$G$34))</f>
        <v>0</v>
      </c>
      <c r="AP362" s="8" t="n">
        <f aca="false">($G$61+$G$62)*(AP$271=YEAR(Inputs!$G$34))</f>
        <v>0</v>
      </c>
      <c r="AQ362" s="8" t="n">
        <f aca="false">($G$61+$G$62)*(AQ$271=YEAR(Inputs!$G$34))</f>
        <v>0</v>
      </c>
      <c r="AR362" s="8" t="n">
        <f aca="false">($G$61+$G$62)*(AR$271=YEAR(Inputs!$G$34))</f>
        <v>0</v>
      </c>
      <c r="AS362" s="8" t="n">
        <f aca="false">($G$61+$G$62)*(AS$271=YEAR(Inputs!$G$34))</f>
        <v>0</v>
      </c>
    </row>
    <row r="363" customFormat="false" ht="14.25" hidden="false" customHeight="false" outlineLevel="1" collapsed="false">
      <c r="C363" s="6" t="s">
        <v>243</v>
      </c>
      <c r="D363" s="2" t="s">
        <v>84</v>
      </c>
      <c r="H363" s="8" t="n">
        <f aca="false">SUM(J363:AS363)</f>
        <v>-69992.5</v>
      </c>
      <c r="J363" s="8" t="n">
        <f aca="false">-$G$89*J357</f>
        <v>-0</v>
      </c>
      <c r="K363" s="8" t="n">
        <f aca="false">-$G$89*K357</f>
        <v>-0</v>
      </c>
      <c r="L363" s="8" t="n">
        <f aca="false">-$G$89*L357</f>
        <v>-0</v>
      </c>
      <c r="M363" s="8" t="n">
        <f aca="false">-$G$89*M357</f>
        <v>-17498.125</v>
      </c>
      <c r="N363" s="8" t="n">
        <f aca="false">-$G$89*N357</f>
        <v>-34996.25</v>
      </c>
      <c r="O363" s="8" t="n">
        <f aca="false">-$G$89*O357</f>
        <v>-17498.125</v>
      </c>
      <c r="P363" s="8" t="n">
        <f aca="false">-$G$89*P357</f>
        <v>-0</v>
      </c>
      <c r="Q363" s="8" t="n">
        <f aca="false">-$G$89*Q357</f>
        <v>-0</v>
      </c>
      <c r="R363" s="8" t="n">
        <f aca="false">-$G$89*R357</f>
        <v>-0</v>
      </c>
      <c r="S363" s="8" t="n">
        <f aca="false">-$G$89*S357</f>
        <v>-0</v>
      </c>
      <c r="T363" s="8" t="n">
        <f aca="false">-$G$89*T357</f>
        <v>-0</v>
      </c>
      <c r="U363" s="8" t="n">
        <f aca="false">-$G$89*U357</f>
        <v>-0</v>
      </c>
      <c r="V363" s="8" t="n">
        <f aca="false">-$G$89*V357</f>
        <v>-0</v>
      </c>
      <c r="W363" s="8" t="n">
        <f aca="false">-$G$89*W357</f>
        <v>-0</v>
      </c>
      <c r="X363" s="8" t="n">
        <f aca="false">-$G$89*X357</f>
        <v>-0</v>
      </c>
      <c r="Y363" s="8" t="n">
        <f aca="false">-$G$89*Y357</f>
        <v>-0</v>
      </c>
      <c r="Z363" s="8" t="n">
        <f aca="false">-$G$89*Z357</f>
        <v>-0</v>
      </c>
      <c r="AA363" s="8" t="n">
        <f aca="false">-$G$89*AA357</f>
        <v>-0</v>
      </c>
      <c r="AB363" s="8" t="n">
        <f aca="false">-$G$89*AB357</f>
        <v>-0</v>
      </c>
      <c r="AC363" s="8" t="n">
        <f aca="false">-$G$89*AC357</f>
        <v>-0</v>
      </c>
      <c r="AD363" s="8" t="n">
        <f aca="false">-$G$89*AD357</f>
        <v>-0</v>
      </c>
      <c r="AE363" s="8" t="n">
        <f aca="false">-$G$89*AE357</f>
        <v>-0</v>
      </c>
      <c r="AF363" s="8" t="n">
        <f aca="false">-$G$89*AF357</f>
        <v>-0</v>
      </c>
      <c r="AG363" s="8" t="n">
        <f aca="false">-$G$89*AG357</f>
        <v>-0</v>
      </c>
      <c r="AH363" s="8" t="n">
        <f aca="false">-$G$89*AH357</f>
        <v>-0</v>
      </c>
      <c r="AI363" s="8" t="n">
        <f aca="false">-$G$89*AI357</f>
        <v>-0</v>
      </c>
      <c r="AJ363" s="8" t="n">
        <f aca="false">-$G$89*AJ357</f>
        <v>-0</v>
      </c>
      <c r="AK363" s="8" t="n">
        <f aca="false">-$G$89*AK357</f>
        <v>-0</v>
      </c>
      <c r="AL363" s="8" t="n">
        <f aca="false">-$G$89*AL357</f>
        <v>-0</v>
      </c>
      <c r="AM363" s="8" t="n">
        <f aca="false">-$G$89*AM357</f>
        <v>-0</v>
      </c>
      <c r="AN363" s="8" t="n">
        <f aca="false">-$G$89*AN357</f>
        <v>-0</v>
      </c>
      <c r="AO363" s="8" t="n">
        <f aca="false">-$G$89*AO357</f>
        <v>-0</v>
      </c>
      <c r="AP363" s="8" t="n">
        <f aca="false">-$G$89*AP357</f>
        <v>-0</v>
      </c>
      <c r="AQ363" s="8" t="n">
        <f aca="false">-$G$89*AQ357</f>
        <v>-0</v>
      </c>
      <c r="AR363" s="8" t="n">
        <f aca="false">-$G$89*AR357</f>
        <v>-0</v>
      </c>
      <c r="AS363" s="8" t="n">
        <f aca="false">-$G$89*AS357</f>
        <v>-0</v>
      </c>
    </row>
    <row r="364" customFormat="false" ht="14.25" hidden="false" customHeight="false" outlineLevel="1" collapsed="false">
      <c r="C364" s="6" t="s">
        <v>244</v>
      </c>
      <c r="D364" s="2" t="s">
        <v>84</v>
      </c>
      <c r="H364" s="8" t="n">
        <f aca="false">SUM(J364:AS364)</f>
        <v>-2500</v>
      </c>
      <c r="J364" s="8" t="n">
        <f aca="false">-$G$91*J360</f>
        <v>-0</v>
      </c>
      <c r="K364" s="8" t="n">
        <f aca="false">-$G$91*K360</f>
        <v>-0</v>
      </c>
      <c r="L364" s="8" t="n">
        <f aca="false">-$G$91*L360</f>
        <v>-0</v>
      </c>
      <c r="M364" s="8" t="n">
        <f aca="false">-$G$91*M360</f>
        <v>-0</v>
      </c>
      <c r="N364" s="8" t="n">
        <f aca="false">-$G$91*N360</f>
        <v>-0</v>
      </c>
      <c r="O364" s="8" t="n">
        <f aca="false">-$G$91*O360</f>
        <v>-2500</v>
      </c>
      <c r="P364" s="8" t="n">
        <f aca="false">-$G$91*P360</f>
        <v>-0</v>
      </c>
      <c r="Q364" s="8" t="n">
        <f aca="false">-$G$91*Q360</f>
        <v>-0</v>
      </c>
      <c r="R364" s="8" t="n">
        <f aca="false">-$G$91*R360</f>
        <v>-0</v>
      </c>
      <c r="S364" s="8" t="n">
        <f aca="false">-$G$91*S360</f>
        <v>-0</v>
      </c>
      <c r="T364" s="8" t="n">
        <f aca="false">-$G$91*T360</f>
        <v>-0</v>
      </c>
      <c r="U364" s="8" t="n">
        <f aca="false">-$G$91*U360</f>
        <v>-0</v>
      </c>
      <c r="V364" s="8" t="n">
        <f aca="false">-$G$91*V360</f>
        <v>-0</v>
      </c>
      <c r="W364" s="8" t="n">
        <f aca="false">-$G$91*W360</f>
        <v>-0</v>
      </c>
      <c r="X364" s="8" t="n">
        <f aca="false">-$G$91*X360</f>
        <v>-0</v>
      </c>
      <c r="Y364" s="8" t="n">
        <f aca="false">-$G$91*Y360</f>
        <v>-0</v>
      </c>
      <c r="Z364" s="8" t="n">
        <f aca="false">-$G$91*Z360</f>
        <v>-0</v>
      </c>
      <c r="AA364" s="8" t="n">
        <f aca="false">-$G$91*AA360</f>
        <v>-0</v>
      </c>
      <c r="AB364" s="8" t="n">
        <f aca="false">-$G$91*AB360</f>
        <v>-0</v>
      </c>
      <c r="AC364" s="8" t="n">
        <f aca="false">-$G$91*AC360</f>
        <v>-0</v>
      </c>
      <c r="AD364" s="8" t="n">
        <f aca="false">-$G$91*AD360</f>
        <v>-0</v>
      </c>
      <c r="AE364" s="8" t="n">
        <f aca="false">-$G$91*AE360</f>
        <v>-0</v>
      </c>
      <c r="AF364" s="8" t="n">
        <f aca="false">-$G$91*AF360</f>
        <v>-0</v>
      </c>
      <c r="AG364" s="8" t="n">
        <f aca="false">-$G$91*AG360</f>
        <v>-0</v>
      </c>
      <c r="AH364" s="8" t="n">
        <f aca="false">-$G$91*AH360</f>
        <v>-0</v>
      </c>
      <c r="AI364" s="8" t="n">
        <f aca="false">-$G$91*AI360</f>
        <v>-0</v>
      </c>
      <c r="AJ364" s="8" t="n">
        <f aca="false">-$G$91*AJ360</f>
        <v>-0</v>
      </c>
      <c r="AK364" s="8" t="n">
        <f aca="false">-$G$91*AK360</f>
        <v>-0</v>
      </c>
      <c r="AL364" s="8" t="n">
        <f aca="false">-$G$91*AL360</f>
        <v>-0</v>
      </c>
      <c r="AM364" s="8" t="n">
        <f aca="false">-$G$91*AM360</f>
        <v>-0</v>
      </c>
      <c r="AN364" s="8" t="n">
        <f aca="false">-$G$91*AN360</f>
        <v>-0</v>
      </c>
      <c r="AO364" s="8" t="n">
        <f aca="false">-$G$91*AO360</f>
        <v>-0</v>
      </c>
      <c r="AP364" s="8" t="n">
        <f aca="false">-$G$91*AP360</f>
        <v>-0</v>
      </c>
      <c r="AQ364" s="8" t="n">
        <f aca="false">-$G$91*AQ360</f>
        <v>-0</v>
      </c>
      <c r="AR364" s="8" t="n">
        <f aca="false">-$G$91*AR360</f>
        <v>-0</v>
      </c>
      <c r="AS364" s="8" t="n">
        <f aca="false">-$G$91*AS360</f>
        <v>-0</v>
      </c>
    </row>
    <row r="365" customFormat="false" ht="14.25" hidden="false" customHeight="false" outlineLevel="1" collapsed="false">
      <c r="C365" s="1" t="s">
        <v>245</v>
      </c>
      <c r="D365" s="2" t="s">
        <v>84</v>
      </c>
      <c r="H365" s="15" t="n">
        <f aca="false">SUM(J365:AS365)</f>
        <v>-77626.9767123288</v>
      </c>
      <c r="J365" s="59" t="n">
        <f aca="false">SUM(J361:J364)</f>
        <v>-657.123287671233</v>
      </c>
      <c r="K365" s="15" t="n">
        <f aca="false">SUM(K361:K364)</f>
        <v>-3612.05479452055</v>
      </c>
      <c r="L365" s="15" t="n">
        <f aca="false">SUM(L361:L364)</f>
        <v>-3359.81917808219</v>
      </c>
      <c r="M365" s="15" t="n">
        <f aca="false">SUM(M361:M364)</f>
        <v>-17498.125</v>
      </c>
      <c r="N365" s="15" t="n">
        <f aca="false">SUM(N361:N364)</f>
        <v>-34996.25</v>
      </c>
      <c r="O365" s="15" t="n">
        <f aca="false">SUM(O361:O364)</f>
        <v>-19998.125</v>
      </c>
      <c r="P365" s="15" t="n">
        <f aca="false">SUM(P361:P364)</f>
        <v>0</v>
      </c>
      <c r="Q365" s="15" t="n">
        <f aca="false">SUM(Q361:Q364)</f>
        <v>2494.52054794521</v>
      </c>
      <c r="R365" s="15" t="n">
        <f aca="false">SUM(R361:R364)</f>
        <v>0</v>
      </c>
      <c r="S365" s="15" t="n">
        <f aca="false">SUM(S361:S364)</f>
        <v>0</v>
      </c>
      <c r="T365" s="15" t="n">
        <f aca="false">SUM(T361:T364)</f>
        <v>0</v>
      </c>
      <c r="U365" s="15" t="n">
        <f aca="false">SUM(U361:U364)</f>
        <v>0</v>
      </c>
      <c r="V365" s="15" t="n">
        <f aca="false">SUM(V361:V364)</f>
        <v>0</v>
      </c>
      <c r="W365" s="15" t="n">
        <f aca="false">SUM(W361:W364)</f>
        <v>0</v>
      </c>
      <c r="X365" s="15" t="n">
        <f aca="false">SUM(X361:X364)</f>
        <v>0</v>
      </c>
      <c r="Y365" s="15" t="n">
        <f aca="false">SUM(Y361:Y364)</f>
        <v>0</v>
      </c>
      <c r="Z365" s="15" t="n">
        <f aca="false">SUM(Z361:Z364)</f>
        <v>0</v>
      </c>
      <c r="AA365" s="15" t="n">
        <f aca="false">SUM(AA361:AA364)</f>
        <v>0</v>
      </c>
      <c r="AB365" s="15" t="n">
        <f aca="false">SUM(AB361:AB364)</f>
        <v>0</v>
      </c>
      <c r="AC365" s="15" t="n">
        <f aca="false">SUM(AC361:AC364)</f>
        <v>0</v>
      </c>
      <c r="AD365" s="15" t="n">
        <f aca="false">SUM(AD361:AD364)</f>
        <v>0</v>
      </c>
      <c r="AE365" s="15" t="n">
        <f aca="false">SUM(AE361:AE364)</f>
        <v>0</v>
      </c>
      <c r="AF365" s="15" t="n">
        <f aca="false">SUM(AF361:AF364)</f>
        <v>0</v>
      </c>
      <c r="AG365" s="15" t="n">
        <f aca="false">SUM(AG361:AG364)</f>
        <v>0</v>
      </c>
      <c r="AH365" s="15" t="n">
        <f aca="false">SUM(AH361:AH364)</f>
        <v>0</v>
      </c>
      <c r="AI365" s="15" t="n">
        <f aca="false">SUM(AI361:AI364)</f>
        <v>0</v>
      </c>
      <c r="AJ365" s="15" t="n">
        <f aca="false">SUM(AJ361:AJ364)</f>
        <v>0</v>
      </c>
      <c r="AK365" s="15" t="n">
        <f aca="false">SUM(AK361:AK364)</f>
        <v>0</v>
      </c>
      <c r="AL365" s="15" t="n">
        <f aca="false">SUM(AL361:AL364)</f>
        <v>0</v>
      </c>
      <c r="AM365" s="15" t="n">
        <f aca="false">SUM(AM361:AM364)</f>
        <v>0</v>
      </c>
      <c r="AN365" s="15" t="n">
        <f aca="false">SUM(AN361:AN364)</f>
        <v>0</v>
      </c>
      <c r="AO365" s="15" t="n">
        <f aca="false">SUM(AO361:AO364)</f>
        <v>0</v>
      </c>
      <c r="AP365" s="15" t="n">
        <f aca="false">SUM(AP361:AP364)</f>
        <v>0</v>
      </c>
      <c r="AQ365" s="15" t="n">
        <f aca="false">SUM(AQ361:AQ364)</f>
        <v>0</v>
      </c>
      <c r="AR365" s="15" t="n">
        <f aca="false">SUM(AR361:AR364)</f>
        <v>0</v>
      </c>
      <c r="AS365" s="15" t="n">
        <f aca="false">SUM(AS361:AS364)</f>
        <v>0</v>
      </c>
    </row>
    <row r="366" customFormat="false" ht="14.25" hidden="false" customHeight="false" outlineLevel="1" collapsed="false">
      <c r="C366" s="6" t="s">
        <v>246</v>
      </c>
      <c r="D366" s="2" t="s">
        <v>3</v>
      </c>
      <c r="J366" s="66" t="n">
        <f aca="false">(1-Degradation)^MAX(J355-1,0)</f>
        <v>1</v>
      </c>
      <c r="K366" s="66" t="n">
        <f aca="false">(1-Degradation)^MAX(K355-1,0)</f>
        <v>1</v>
      </c>
      <c r="L366" s="66" t="n">
        <f aca="false">(1-Degradation)^MAX(L355-1,0)</f>
        <v>1</v>
      </c>
      <c r="M366" s="66" t="n">
        <f aca="false">(1-Degradation)^MAX(M355-1,0)</f>
        <v>1</v>
      </c>
      <c r="N366" s="66" t="n">
        <f aca="false">(1-Degradation)^MAX(N355-1,0)</f>
        <v>1</v>
      </c>
      <c r="O366" s="66" t="n">
        <f aca="false">(1-Degradation)^MAX(O355-1,0)</f>
        <v>1</v>
      </c>
      <c r="P366" s="66" t="n">
        <f aca="false">(1-Degradation)^MAX(P355-1,0)</f>
        <v>1</v>
      </c>
      <c r="Q366" s="66" t="n">
        <f aca="false">(1-Degradation)^MAX(Q355-1,0)</f>
        <v>0.997</v>
      </c>
      <c r="R366" s="66" t="n">
        <f aca="false">(1-Degradation)^MAX(R355-1,0)</f>
        <v>0.994009</v>
      </c>
      <c r="S366" s="66" t="n">
        <f aca="false">(1-Degradation)^MAX(S355-1,0)</f>
        <v>0.991026973</v>
      </c>
      <c r="T366" s="66" t="n">
        <f aca="false">(1-Degradation)^MAX(T355-1,0)</f>
        <v>0.988053892081</v>
      </c>
      <c r="U366" s="66" t="n">
        <f aca="false">(1-Degradation)^MAX(U355-1,0)</f>
        <v>0.985089730404757</v>
      </c>
      <c r="V366" s="66" t="n">
        <f aca="false">(1-Degradation)^MAX(V355-1,0)</f>
        <v>0.982134461213543</v>
      </c>
      <c r="W366" s="66" t="n">
        <f aca="false">(1-Degradation)^MAX(W355-1,0)</f>
        <v>0.979188057829902</v>
      </c>
      <c r="X366" s="66" t="n">
        <f aca="false">(1-Degradation)^MAX(X355-1,0)</f>
        <v>0.976250493656412</v>
      </c>
      <c r="Y366" s="66" t="n">
        <f aca="false">(1-Degradation)^MAX(Y355-1,0)</f>
        <v>0.973321742175443</v>
      </c>
      <c r="Z366" s="66" t="n">
        <f aca="false">(1-Degradation)^MAX(Z355-1,0)</f>
        <v>0.970401776948917</v>
      </c>
      <c r="AA366" s="66" t="n">
        <f aca="false">(1-Degradation)^MAX(AA355-1,0)</f>
        <v>0.96749057161807</v>
      </c>
      <c r="AB366" s="66" t="n">
        <f aca="false">(1-Degradation)^MAX(AB355-1,0)</f>
        <v>0.964588099903216</v>
      </c>
      <c r="AC366" s="66" t="n">
        <f aca="false">(1-Degradation)^MAX(AC355-1,0)</f>
        <v>0.961694335603506</v>
      </c>
      <c r="AD366" s="66" t="n">
        <f aca="false">(1-Degradation)^MAX(AD355-1,0)</f>
        <v>0.958809252596696</v>
      </c>
      <c r="AE366" s="66" t="n">
        <f aca="false">(1-Degradation)^MAX(AE355-1,0)</f>
        <v>0.955932824838906</v>
      </c>
      <c r="AF366" s="66" t="n">
        <f aca="false">(1-Degradation)^MAX(AF355-1,0)</f>
        <v>0.953065026364389</v>
      </c>
      <c r="AG366" s="66" t="n">
        <f aca="false">(1-Degradation)^MAX(AG355-1,0)</f>
        <v>0.950205831285296</v>
      </c>
      <c r="AH366" s="66" t="n">
        <f aca="false">(1-Degradation)^MAX(AH355-1,0)</f>
        <v>0.94735521379144</v>
      </c>
      <c r="AI366" s="66" t="n">
        <f aca="false">(1-Degradation)^MAX(AI355-1,0)</f>
        <v>0.944513148150066</v>
      </c>
      <c r="AJ366" s="66" t="n">
        <f aca="false">(1-Degradation)^MAX(AJ355-1,0)</f>
        <v>0.941679608705615</v>
      </c>
      <c r="AK366" s="66" t="n">
        <f aca="false">(1-Degradation)^MAX(AK355-1,0)</f>
        <v>0.938854569879498</v>
      </c>
      <c r="AL366" s="66" t="n">
        <f aca="false">(1-Degradation)^MAX(AL355-1,0)</f>
        <v>0.93603800616986</v>
      </c>
      <c r="AM366" s="66" t="n">
        <f aca="false">(1-Degradation)^MAX(AM355-1,0)</f>
        <v>0.93322989215135</v>
      </c>
      <c r="AN366" s="66" t="n">
        <f aca="false">(1-Degradation)^MAX(AN355-1,0)</f>
        <v>0.930430202474896</v>
      </c>
      <c r="AO366" s="66" t="n">
        <f aca="false">(1-Degradation)^MAX(AO355-1,0)</f>
        <v>0.927638911867472</v>
      </c>
      <c r="AP366" s="66" t="n">
        <f aca="false">(1-Degradation)^MAX(AP355-1,0)</f>
        <v>0.924855995131869</v>
      </c>
      <c r="AQ366" s="66" t="n">
        <f aca="false">(1-Degradation)^MAX(AQ355-1,0)</f>
        <v>0.922081427146474</v>
      </c>
      <c r="AR366" s="66" t="n">
        <f aca="false">(1-Degradation)^MAX(AR355-1,0)</f>
        <v>0.919315182865034</v>
      </c>
      <c r="AS366" s="66" t="n">
        <f aca="false">(1-Degradation)^MAX(AS355-1,0)</f>
        <v>0.916557237316439</v>
      </c>
    </row>
    <row r="367" customFormat="false" ht="14.25" hidden="false" customHeight="false" outlineLevel="1" collapsed="false">
      <c r="C367" s="6" t="s">
        <v>247</v>
      </c>
      <c r="D367" s="2" t="s">
        <v>248</v>
      </c>
      <c r="H367" s="17" t="n">
        <f aca="false">SUM(J367:AS367)</f>
        <v>4737.10980784971</v>
      </c>
      <c r="J367" s="17" t="n">
        <f aca="false">$G$46*$G$22*(1-Curtailment)*(1-Clipping)*J359*J366/Thousand</f>
        <v>0</v>
      </c>
      <c r="K367" s="17" t="n">
        <f aca="false">$G$46*$G$22*(1-Curtailment)*(1-Clipping)*K359*K366/Thousand</f>
        <v>0</v>
      </c>
      <c r="L367" s="17" t="n">
        <f aca="false">$G$46*$G$22*(1-Curtailment)*(1-Clipping)*L359*L366/Thousand</f>
        <v>0</v>
      </c>
      <c r="M367" s="17" t="n">
        <f aca="false">$G$46*$G$22*(1-Curtailment)*(1-Clipping)*M359*M366/Thousand</f>
        <v>0</v>
      </c>
      <c r="N367" s="17" t="n">
        <f aca="false">$G$46*$G$22*(1-Curtailment)*(1-Clipping)*N359*N366/Thousand</f>
        <v>0</v>
      </c>
      <c r="O367" s="17" t="n">
        <f aca="false">$G$46*$G$22*(1-Curtailment)*(1-Clipping)*O359*O366/Thousand</f>
        <v>82.32</v>
      </c>
      <c r="P367" s="17" t="n">
        <f aca="false">$G$46*$G$22*(1-Curtailment)*(1-Clipping)*P359*P366/Thousand</f>
        <v>164.64</v>
      </c>
      <c r="Q367" s="17" t="n">
        <f aca="false">$G$46*$G$22*(1-Curtailment)*(1-Clipping)*Q359*Q366/Thousand</f>
        <v>164.14608</v>
      </c>
      <c r="R367" s="17" t="n">
        <f aca="false">$G$46*$G$22*(1-Curtailment)*(1-Clipping)*R359*R366/Thousand</f>
        <v>163.65364176</v>
      </c>
      <c r="S367" s="17" t="n">
        <f aca="false">$G$46*$G$22*(1-Curtailment)*(1-Clipping)*S359*S366/Thousand</f>
        <v>163.16268083472</v>
      </c>
      <c r="T367" s="17" t="n">
        <f aca="false">$G$46*$G$22*(1-Curtailment)*(1-Clipping)*T359*T366/Thousand</f>
        <v>162.673192792216</v>
      </c>
      <c r="U367" s="17" t="n">
        <f aca="false">$G$46*$G$22*(1-Curtailment)*(1-Clipping)*U359*U366/Thousand</f>
        <v>162.185173213839</v>
      </c>
      <c r="V367" s="17" t="n">
        <f aca="false">$G$46*$G$22*(1-Curtailment)*(1-Clipping)*V359*V366/Thousand</f>
        <v>161.698617694198</v>
      </c>
      <c r="W367" s="17" t="n">
        <f aca="false">$G$46*$G$22*(1-Curtailment)*(1-Clipping)*W359*W366/Thousand</f>
        <v>161.213521841115</v>
      </c>
      <c r="X367" s="17" t="n">
        <f aca="false">$G$46*$G$22*(1-Curtailment)*(1-Clipping)*X359*X366/Thousand</f>
        <v>160.729881275592</v>
      </c>
      <c r="Y367" s="17" t="n">
        <f aca="false">$G$46*$G$22*(1-Curtailment)*(1-Clipping)*Y359*Y366/Thousand</f>
        <v>160.247691631765</v>
      </c>
      <c r="Z367" s="17" t="n">
        <f aca="false">$G$46*$G$22*(1-Curtailment)*(1-Clipping)*Z359*Z366/Thousand</f>
        <v>159.76694855687</v>
      </c>
      <c r="AA367" s="17" t="n">
        <f aca="false">$G$46*$G$22*(1-Curtailment)*(1-Clipping)*AA359*AA366/Thousand</f>
        <v>159.287647711199</v>
      </c>
      <c r="AB367" s="17" t="n">
        <f aca="false">$G$46*$G$22*(1-Curtailment)*(1-Clipping)*AB359*AB366/Thousand</f>
        <v>158.809784768065</v>
      </c>
      <c r="AC367" s="17" t="n">
        <f aca="false">$G$46*$G$22*(1-Curtailment)*(1-Clipping)*AC359*AC366/Thousand</f>
        <v>158.333355413761</v>
      </c>
      <c r="AD367" s="17" t="n">
        <f aca="false">$G$46*$G$22*(1-Curtailment)*(1-Clipping)*AD359*AD366/Thousand</f>
        <v>157.85835534752</v>
      </c>
      <c r="AE367" s="17" t="n">
        <f aca="false">$G$46*$G$22*(1-Curtailment)*(1-Clipping)*AE359*AE366/Thousand</f>
        <v>157.384780281477</v>
      </c>
      <c r="AF367" s="17" t="n">
        <f aca="false">$G$46*$G$22*(1-Curtailment)*(1-Clipping)*AF359*AF366/Thousand</f>
        <v>156.912625940633</v>
      </c>
      <c r="AG367" s="17" t="n">
        <f aca="false">$G$46*$G$22*(1-Curtailment)*(1-Clipping)*AG359*AG366/Thousand</f>
        <v>156.441888062811</v>
      </c>
      <c r="AH367" s="17" t="n">
        <f aca="false">$G$46*$G$22*(1-Curtailment)*(1-Clipping)*AH359*AH366/Thousand</f>
        <v>155.972562398623</v>
      </c>
      <c r="AI367" s="17" t="n">
        <f aca="false">$G$46*$G$22*(1-Curtailment)*(1-Clipping)*AI359*AI366/Thousand</f>
        <v>155.504644711427</v>
      </c>
      <c r="AJ367" s="17" t="n">
        <f aca="false">$G$46*$G$22*(1-Curtailment)*(1-Clipping)*AJ359*AJ366/Thousand</f>
        <v>155.038130777293</v>
      </c>
      <c r="AK367" s="17" t="n">
        <f aca="false">$G$46*$G$22*(1-Curtailment)*(1-Clipping)*AK359*AK366/Thousand</f>
        <v>154.573016384961</v>
      </c>
      <c r="AL367" s="17" t="n">
        <f aca="false">$G$46*$G$22*(1-Curtailment)*(1-Clipping)*AL359*AL366/Thousand</f>
        <v>154.109297335806</v>
      </c>
      <c r="AM367" s="17" t="n">
        <f aca="false">$G$46*$G$22*(1-Curtailment)*(1-Clipping)*AM359*AM366/Thousand</f>
        <v>153.646969443798</v>
      </c>
      <c r="AN367" s="17" t="n">
        <f aca="false">$G$46*$G$22*(1-Curtailment)*(1-Clipping)*AN359*AN366/Thousand</f>
        <v>153.186028535467</v>
      </c>
      <c r="AO367" s="17" t="n">
        <f aca="false">$G$46*$G$22*(1-Curtailment)*(1-Clipping)*AO359*AO366/Thousand</f>
        <v>152.726470449861</v>
      </c>
      <c r="AP367" s="17" t="n">
        <f aca="false">$G$46*$G$22*(1-Curtailment)*(1-Clipping)*AP359*AP366/Thousand</f>
        <v>152.268291038511</v>
      </c>
      <c r="AQ367" s="17" t="n">
        <f aca="false">$G$46*$G$22*(1-Curtailment)*(1-Clipping)*AQ359*AQ366/Thousand</f>
        <v>151.811486165395</v>
      </c>
      <c r="AR367" s="17" t="n">
        <f aca="false">$G$46*$G$22*(1-Curtailment)*(1-Clipping)*AR359*AR366/Thousand</f>
        <v>151.356051706899</v>
      </c>
      <c r="AS367" s="17" t="n">
        <f aca="false">$G$46*$G$22*(1-Curtailment)*(1-Clipping)*AS359*AS366/Thousand</f>
        <v>75.4509917758893</v>
      </c>
    </row>
    <row r="368" customFormat="false" ht="14.25" hidden="false" customHeight="false" outlineLevel="1" collapsed="false">
      <c r="C368" s="6" t="s">
        <v>249</v>
      </c>
      <c r="D368" s="2" t="s">
        <v>20</v>
      </c>
      <c r="J368" s="17" t="n">
        <f aca="false">Case_PPA*(1+PPA_Esc)^J355*(J359&gt;0)</f>
        <v>0</v>
      </c>
      <c r="K368" s="17" t="n">
        <f aca="false">Case_PPA*(1+PPA_Esc)^K355*(K359&gt;0)</f>
        <v>0</v>
      </c>
      <c r="L368" s="17" t="n">
        <f aca="false">Case_PPA*(1+PPA_Esc)^L355*(L359&gt;0)</f>
        <v>0</v>
      </c>
      <c r="M368" s="17" t="n">
        <f aca="false">Case_PPA*(1+PPA_Esc)^M355*(M359&gt;0)</f>
        <v>0</v>
      </c>
      <c r="N368" s="17" t="n">
        <f aca="false">Case_PPA*(1+PPA_Esc)^N355*(N359&gt;0)</f>
        <v>0</v>
      </c>
      <c r="O368" s="17" t="n">
        <f aca="false">Case_PPA*(1+PPA_Esc)^O355*(O359&gt;0)</f>
        <v>90</v>
      </c>
      <c r="P368" s="17" t="n">
        <f aca="false">Case_PPA*(1+PPA_Esc)^P355*(P359&gt;0)</f>
        <v>90.9</v>
      </c>
      <c r="Q368" s="17" t="n">
        <f aca="false">Case_PPA*(1+PPA_Esc)^Q355*(Q359&gt;0)</f>
        <v>91.809</v>
      </c>
      <c r="R368" s="17" t="n">
        <f aca="false">Case_PPA*(1+PPA_Esc)^R355*(R359&gt;0)</f>
        <v>92.72709</v>
      </c>
      <c r="S368" s="17" t="n">
        <f aca="false">Case_PPA*(1+PPA_Esc)^S355*(S359&gt;0)</f>
        <v>93.6543609</v>
      </c>
      <c r="T368" s="17" t="n">
        <f aca="false">Case_PPA*(1+PPA_Esc)^T355*(T359&gt;0)</f>
        <v>94.590904509</v>
      </c>
      <c r="U368" s="17" t="n">
        <f aca="false">Case_PPA*(1+PPA_Esc)^U355*(U359&gt;0)</f>
        <v>95.53681355409</v>
      </c>
      <c r="V368" s="17" t="n">
        <f aca="false">Case_PPA*(1+PPA_Esc)^V355*(V359&gt;0)</f>
        <v>96.4921816896309</v>
      </c>
      <c r="W368" s="17" t="n">
        <f aca="false">Case_PPA*(1+PPA_Esc)^W355*(W359&gt;0)</f>
        <v>97.4571035065272</v>
      </c>
      <c r="X368" s="17" t="n">
        <f aca="false">Case_PPA*(1+PPA_Esc)^X355*(X359&gt;0)</f>
        <v>98.4316745415925</v>
      </c>
      <c r="Y368" s="17" t="n">
        <f aca="false">Case_PPA*(1+PPA_Esc)^Y355*(Y359&gt;0)</f>
        <v>99.4159912870084</v>
      </c>
      <c r="Z368" s="17" t="n">
        <f aca="false">Case_PPA*(1+PPA_Esc)^Z355*(Z359&gt;0)</f>
        <v>100.410151199878</v>
      </c>
      <c r="AA368" s="17" t="n">
        <f aca="false">Case_PPA*(1+PPA_Esc)^AA355*(AA359&gt;0)</f>
        <v>101.414252711877</v>
      </c>
      <c r="AB368" s="17" t="n">
        <f aca="false">Case_PPA*(1+PPA_Esc)^AB355*(AB359&gt;0)</f>
        <v>102.428395238996</v>
      </c>
      <c r="AC368" s="17" t="n">
        <f aca="false">Case_PPA*(1+PPA_Esc)^AC355*(AC359&gt;0)</f>
        <v>103.452679191386</v>
      </c>
      <c r="AD368" s="17" t="n">
        <f aca="false">Case_PPA*(1+PPA_Esc)^AD355*(AD359&gt;0)</f>
        <v>104.4872059833</v>
      </c>
      <c r="AE368" s="17" t="n">
        <f aca="false">Case_PPA*(1+PPA_Esc)^AE355*(AE359&gt;0)</f>
        <v>105.532078043133</v>
      </c>
      <c r="AF368" s="17" t="n">
        <f aca="false">Case_PPA*(1+PPA_Esc)^AF355*(AF359&gt;0)</f>
        <v>106.587398823564</v>
      </c>
      <c r="AG368" s="17" t="n">
        <f aca="false">Case_PPA*(1+PPA_Esc)^AG355*(AG359&gt;0)</f>
        <v>107.6532728118</v>
      </c>
      <c r="AH368" s="17" t="n">
        <f aca="false">Case_PPA*(1+PPA_Esc)^AH355*(AH359&gt;0)</f>
        <v>108.729805539918</v>
      </c>
      <c r="AI368" s="17" t="n">
        <f aca="false">Case_PPA*(1+PPA_Esc)^AI355*(AI359&gt;0)</f>
        <v>109.817103595317</v>
      </c>
      <c r="AJ368" s="17" t="n">
        <f aca="false">Case_PPA*(1+PPA_Esc)^AJ355*(AJ359&gt;0)</f>
        <v>110.91527463127</v>
      </c>
      <c r="AK368" s="17" t="n">
        <f aca="false">Case_PPA*(1+PPA_Esc)^AK355*(AK359&gt;0)</f>
        <v>112.024427377583</v>
      </c>
      <c r="AL368" s="17" t="n">
        <f aca="false">Case_PPA*(1+PPA_Esc)^AL355*(AL359&gt;0)</f>
        <v>113.144671651359</v>
      </c>
      <c r="AM368" s="17" t="n">
        <f aca="false">Case_PPA*(1+PPA_Esc)^AM355*(AM359&gt;0)</f>
        <v>114.276118367872</v>
      </c>
      <c r="AN368" s="17" t="n">
        <f aca="false">Case_PPA*(1+PPA_Esc)^AN355*(AN359&gt;0)</f>
        <v>115.418879551551</v>
      </c>
      <c r="AO368" s="17" t="n">
        <f aca="false">Case_PPA*(1+PPA_Esc)^AO355*(AO359&gt;0)</f>
        <v>116.573068347067</v>
      </c>
      <c r="AP368" s="17" t="n">
        <f aca="false">Case_PPA*(1+PPA_Esc)^AP355*(AP359&gt;0)</f>
        <v>117.738799030537</v>
      </c>
      <c r="AQ368" s="17" t="n">
        <f aca="false">Case_PPA*(1+PPA_Esc)^AQ355*(AQ359&gt;0)</f>
        <v>118.916187020843</v>
      </c>
      <c r="AR368" s="17" t="n">
        <f aca="false">Case_PPA*(1+PPA_Esc)^AR355*(AR359&gt;0)</f>
        <v>120.105348891051</v>
      </c>
      <c r="AS368" s="17" t="n">
        <f aca="false">Case_PPA*(1+PPA_Esc)^AS355*(AS359&gt;0)</f>
        <v>121.306402379962</v>
      </c>
    </row>
    <row r="369" customFormat="false" ht="14.25" hidden="false" customHeight="false" outlineLevel="1" collapsed="false">
      <c r="C369" s="1" t="s">
        <v>153</v>
      </c>
      <c r="D369" s="2" t="s">
        <v>84</v>
      </c>
      <c r="H369" s="34" t="n">
        <f aca="false">SUM(J369:AS369)</f>
        <v>495700.761921616</v>
      </c>
      <c r="J369" s="34" t="n">
        <f aca="false">J367*J368</f>
        <v>0</v>
      </c>
      <c r="K369" s="34" t="n">
        <f aca="false">K367*K368</f>
        <v>0</v>
      </c>
      <c r="L369" s="34" t="n">
        <f aca="false">L367*L368</f>
        <v>0</v>
      </c>
      <c r="M369" s="34" t="n">
        <f aca="false">M367*M368</f>
        <v>0</v>
      </c>
      <c r="N369" s="34" t="n">
        <f aca="false">N367*N368</f>
        <v>0</v>
      </c>
      <c r="O369" s="34" t="n">
        <f aca="false">O367*O368</f>
        <v>7408.8</v>
      </c>
      <c r="P369" s="34" t="n">
        <f aca="false">P367*P368</f>
        <v>14965.776</v>
      </c>
      <c r="Q369" s="34" t="n">
        <f aca="false">Q367*Q368</f>
        <v>15070.08745872</v>
      </c>
      <c r="R369" s="34" t="n">
        <f aca="false">R367*R368</f>
        <v>15175.1259683073</v>
      </c>
      <c r="S369" s="34" t="n">
        <f aca="false">S367*S368</f>
        <v>15280.8965963064</v>
      </c>
      <c r="T369" s="34" t="n">
        <f aca="false">T367*T368</f>
        <v>15387.4044455826</v>
      </c>
      <c r="U369" s="34" t="n">
        <f aca="false">U367*U368</f>
        <v>15494.6546545683</v>
      </c>
      <c r="V369" s="34" t="n">
        <f aca="false">V367*V368</f>
        <v>15602.6523975107</v>
      </c>
      <c r="W369" s="34" t="n">
        <f aca="false">W367*W368</f>
        <v>15711.4028847213</v>
      </c>
      <c r="X369" s="34" t="n">
        <f aca="false">X367*X368</f>
        <v>15820.9113628278</v>
      </c>
      <c r="Y369" s="34" t="n">
        <f aca="false">Y367*Y368</f>
        <v>15931.1831150268</v>
      </c>
      <c r="Z369" s="34" t="n">
        <f aca="false">Z367*Z368</f>
        <v>16042.2234613385</v>
      </c>
      <c r="AA369" s="34" t="n">
        <f aca="false">AA367*AA368</f>
        <v>16154.037758864</v>
      </c>
      <c r="AB369" s="34" t="n">
        <f aca="false">AB367*AB368</f>
        <v>16266.6314020433</v>
      </c>
      <c r="AC369" s="34" t="n">
        <f aca="false">AC367*AC368</f>
        <v>16380.0098229155</v>
      </c>
      <c r="AD369" s="34" t="n">
        <f aca="false">AD367*AD368</f>
        <v>16494.1784913813</v>
      </c>
      <c r="AE369" s="34" t="n">
        <f aca="false">AE367*AE368</f>
        <v>16609.1429154662</v>
      </c>
      <c r="AF369" s="34" t="n">
        <f aca="false">AF367*AF368</f>
        <v>16724.908641587</v>
      </c>
      <c r="AG369" s="34" t="n">
        <f aca="false">AG367*AG368</f>
        <v>16841.4812548189</v>
      </c>
      <c r="AH369" s="34" t="n">
        <f aca="false">AH367*AH368</f>
        <v>16958.8663791649</v>
      </c>
      <c r="AI369" s="34" t="n">
        <f aca="false">AI367*AI368</f>
        <v>17077.0696778277</v>
      </c>
      <c r="AJ369" s="34" t="n">
        <f aca="false">AJ367*AJ368</f>
        <v>17196.0968534822</v>
      </c>
      <c r="AK369" s="34" t="n">
        <f aca="false">AK367*AK368</f>
        <v>17315.953648551</v>
      </c>
      <c r="AL369" s="34" t="n">
        <f aca="false">AL367*AL368</f>
        <v>17436.6458454814</v>
      </c>
      <c r="AM369" s="34" t="n">
        <f aca="false">AM367*AM368</f>
        <v>17558.1792670244</v>
      </c>
      <c r="AN369" s="34" t="n">
        <f aca="false">AN367*AN368</f>
        <v>17680.5597765155</v>
      </c>
      <c r="AO369" s="34" t="n">
        <f aca="false">AO367*AO368</f>
        <v>17803.7932781578</v>
      </c>
      <c r="AP369" s="34" t="n">
        <f aca="false">AP367*AP368</f>
        <v>17927.8857173066</v>
      </c>
      <c r="AQ369" s="34" t="n">
        <f aca="false">AQ367*AQ368</f>
        <v>18052.8430807562</v>
      </c>
      <c r="AR369" s="34" t="n">
        <f aca="false">AR367*AR368</f>
        <v>18178.6713970291</v>
      </c>
      <c r="AS369" s="34" t="n">
        <f aca="false">AS367*AS368</f>
        <v>9152.68836833319</v>
      </c>
    </row>
    <row r="370" customFormat="false" ht="14.25" hidden="false" customHeight="false" outlineLevel="1" collapsed="false">
      <c r="C370" s="6" t="s">
        <v>250</v>
      </c>
      <c r="D370" s="2" t="s">
        <v>3</v>
      </c>
      <c r="J370" s="66" t="n">
        <f aca="false">(1+Opex_Esc)^J355</f>
        <v>0.883854287609517</v>
      </c>
      <c r="K370" s="66" t="n">
        <f aca="false">(1+Opex_Esc)^K355</f>
        <v>0.905950644799755</v>
      </c>
      <c r="L370" s="66" t="n">
        <f aca="false">(1+Opex_Esc)^L355</f>
        <v>0.928599410919749</v>
      </c>
      <c r="M370" s="66" t="n">
        <f aca="false">(1+Opex_Esc)^M355</f>
        <v>0.951814396192743</v>
      </c>
      <c r="N370" s="66" t="n">
        <f aca="false">(1+Opex_Esc)^N355</f>
        <v>0.975609756097561</v>
      </c>
      <c r="O370" s="66" t="n">
        <f aca="false">(1+Opex_Esc)^O355</f>
        <v>1</v>
      </c>
      <c r="P370" s="66" t="n">
        <f aca="false">(1+Opex_Esc)^P355</f>
        <v>1.025</v>
      </c>
      <c r="Q370" s="66" t="n">
        <f aca="false">(1+Opex_Esc)^Q355</f>
        <v>1.050625</v>
      </c>
      <c r="R370" s="66" t="n">
        <f aca="false">(1+Opex_Esc)^R355</f>
        <v>1.076890625</v>
      </c>
      <c r="S370" s="66" t="n">
        <f aca="false">(1+Opex_Esc)^S355</f>
        <v>1.103812890625</v>
      </c>
      <c r="T370" s="66" t="n">
        <f aca="false">(1+Opex_Esc)^T355</f>
        <v>1.13140821289062</v>
      </c>
      <c r="U370" s="66" t="n">
        <f aca="false">(1+Opex_Esc)^U355</f>
        <v>1.15969341821289</v>
      </c>
      <c r="V370" s="66" t="n">
        <f aca="false">(1+Opex_Esc)^V355</f>
        <v>1.18868575366821</v>
      </c>
      <c r="W370" s="66" t="n">
        <f aca="false">(1+Opex_Esc)^W355</f>
        <v>1.21840289750992</v>
      </c>
      <c r="X370" s="66" t="n">
        <f aca="false">(1+Opex_Esc)^X355</f>
        <v>1.24886296994767</v>
      </c>
      <c r="Y370" s="66" t="n">
        <f aca="false">(1+Opex_Esc)^Y355</f>
        <v>1.28008454419636</v>
      </c>
      <c r="Z370" s="66" t="n">
        <f aca="false">(1+Opex_Esc)^Z355</f>
        <v>1.31208665780127</v>
      </c>
      <c r="AA370" s="66" t="n">
        <f aca="false">(1+Opex_Esc)^AA355</f>
        <v>1.3448888242463</v>
      </c>
      <c r="AB370" s="66" t="n">
        <f aca="false">(1+Opex_Esc)^AB355</f>
        <v>1.37851104485245</v>
      </c>
      <c r="AC370" s="66" t="n">
        <f aca="false">(1+Opex_Esc)^AC355</f>
        <v>1.41297382097377</v>
      </c>
      <c r="AD370" s="66" t="n">
        <f aca="false">(1+Opex_Esc)^AD355</f>
        <v>1.44829816649811</v>
      </c>
      <c r="AE370" s="66" t="n">
        <f aca="false">(1+Opex_Esc)^AE355</f>
        <v>1.48450562066056</v>
      </c>
      <c r="AF370" s="66" t="n">
        <f aca="false">(1+Opex_Esc)^AF355</f>
        <v>1.52161826117708</v>
      </c>
      <c r="AG370" s="66" t="n">
        <f aca="false">(1+Opex_Esc)^AG355</f>
        <v>1.5596587177065</v>
      </c>
      <c r="AH370" s="66" t="n">
        <f aca="false">(1+Opex_Esc)^AH355</f>
        <v>1.59865018564917</v>
      </c>
      <c r="AI370" s="66" t="n">
        <f aca="false">(1+Opex_Esc)^AI355</f>
        <v>1.63861644029039</v>
      </c>
      <c r="AJ370" s="66" t="n">
        <f aca="false">(1+Opex_Esc)^AJ355</f>
        <v>1.67958185129765</v>
      </c>
      <c r="AK370" s="66" t="n">
        <f aca="false">(1+Opex_Esc)^AK355</f>
        <v>1.7215713975801</v>
      </c>
      <c r="AL370" s="66" t="n">
        <f aca="false">(1+Opex_Esc)^AL355</f>
        <v>1.7646106825196</v>
      </c>
      <c r="AM370" s="66" t="n">
        <f aca="false">(1+Opex_Esc)^AM355</f>
        <v>1.80872594958259</v>
      </c>
      <c r="AN370" s="66" t="n">
        <f aca="false">(1+Opex_Esc)^AN355</f>
        <v>1.85394409832215</v>
      </c>
      <c r="AO370" s="66" t="n">
        <f aca="false">(1+Opex_Esc)^AO355</f>
        <v>1.90029270078021</v>
      </c>
      <c r="AP370" s="66" t="n">
        <f aca="false">(1+Opex_Esc)^AP355</f>
        <v>1.94780001829971</v>
      </c>
      <c r="AQ370" s="66" t="n">
        <f aca="false">(1+Opex_Esc)^AQ355</f>
        <v>1.9964950187572</v>
      </c>
      <c r="AR370" s="66" t="n">
        <f aca="false">(1+Opex_Esc)^AR355</f>
        <v>2.04640739422613</v>
      </c>
      <c r="AS370" s="66" t="n">
        <f aca="false">(1+Opex_Esc)^AS355</f>
        <v>2.09756757908179</v>
      </c>
    </row>
    <row r="371" customFormat="false" ht="14.25" hidden="false" customHeight="false" outlineLevel="1" collapsed="false">
      <c r="C371" s="6" t="s">
        <v>251</v>
      </c>
      <c r="D371" s="2" t="s">
        <v>84</v>
      </c>
      <c r="H371" s="8" t="n">
        <f aca="false">SUM(J371:AS371)</f>
        <v>-77790.1021674219</v>
      </c>
      <c r="J371" s="8" t="n">
        <f aca="false">-(Case_OM+SUM(Opex_Per_MW))*$G$46*J370*J359</f>
        <v>-0</v>
      </c>
      <c r="K371" s="8" t="n">
        <f aca="false">-(Case_OM+SUM(Opex_Per_MW))*$G$46*K370*K359</f>
        <v>-0</v>
      </c>
      <c r="L371" s="8" t="n">
        <f aca="false">-(Case_OM+SUM(Opex_Per_MW))*$G$46*L370*L359</f>
        <v>-0</v>
      </c>
      <c r="M371" s="8" t="n">
        <f aca="false">-(Case_OM+SUM(Opex_Per_MW))*$G$46*M370*M359</f>
        <v>-0</v>
      </c>
      <c r="N371" s="8" t="n">
        <f aca="false">-(Case_OM+SUM(Opex_Per_MW))*$G$46*N370*N359</f>
        <v>-0</v>
      </c>
      <c r="O371" s="8" t="n">
        <f aca="false">-(Case_OM+SUM(Opex_Per_MW))*$G$46*O370*O359</f>
        <v>-875</v>
      </c>
      <c r="P371" s="8" t="n">
        <f aca="false">-(Case_OM+SUM(Opex_Per_MW))*$G$46*P370*P359</f>
        <v>-1793.75</v>
      </c>
      <c r="Q371" s="8" t="n">
        <f aca="false">-(Case_OM+SUM(Opex_Per_MW))*$G$46*Q370*Q359</f>
        <v>-1838.59375</v>
      </c>
      <c r="R371" s="8" t="n">
        <f aca="false">-(Case_OM+SUM(Opex_Per_MW))*$G$46*R370*R359</f>
        <v>-1884.55859375</v>
      </c>
      <c r="S371" s="8" t="n">
        <f aca="false">-(Case_OM+SUM(Opex_Per_MW))*$G$46*S370*S359</f>
        <v>-1931.67255859375</v>
      </c>
      <c r="T371" s="8" t="n">
        <f aca="false">-(Case_OM+SUM(Opex_Per_MW))*$G$46*T370*T359</f>
        <v>-1979.96437255859</v>
      </c>
      <c r="U371" s="8" t="n">
        <f aca="false">-(Case_OM+SUM(Opex_Per_MW))*$G$46*U370*U359</f>
        <v>-2029.46348187256</v>
      </c>
      <c r="V371" s="8" t="n">
        <f aca="false">-(Case_OM+SUM(Opex_Per_MW))*$G$46*V370*V359</f>
        <v>-2080.20006891937</v>
      </c>
      <c r="W371" s="8" t="n">
        <f aca="false">-(Case_OM+SUM(Opex_Per_MW))*$G$46*W370*W359</f>
        <v>-2132.20507064236</v>
      </c>
      <c r="X371" s="8" t="n">
        <f aca="false">-(Case_OM+SUM(Opex_Per_MW))*$G$46*X370*X359</f>
        <v>-2185.51019740841</v>
      </c>
      <c r="Y371" s="8" t="n">
        <f aca="false">-(Case_OM+SUM(Opex_Per_MW))*$G$46*Y370*Y359</f>
        <v>-2240.14795234362</v>
      </c>
      <c r="Z371" s="8" t="n">
        <f aca="false">-(Case_OM+SUM(Opex_Per_MW))*$G$46*Z370*Z359</f>
        <v>-2296.15165115221</v>
      </c>
      <c r="AA371" s="8" t="n">
        <f aca="false">-(Case_OM+SUM(Opex_Per_MW))*$G$46*AA370*AA359</f>
        <v>-2353.55544243102</v>
      </c>
      <c r="AB371" s="8" t="n">
        <f aca="false">-(Case_OM+SUM(Opex_Per_MW))*$G$46*AB370*AB359</f>
        <v>-2412.3943284918</v>
      </c>
      <c r="AC371" s="8" t="n">
        <f aca="false">-(Case_OM+SUM(Opex_Per_MW))*$G$46*AC370*AC359</f>
        <v>-2472.70418670409</v>
      </c>
      <c r="AD371" s="8" t="n">
        <f aca="false">-(Case_OM+SUM(Opex_Per_MW))*$G$46*AD370*AD359</f>
        <v>-2534.52179137169</v>
      </c>
      <c r="AE371" s="8" t="n">
        <f aca="false">-(Case_OM+SUM(Opex_Per_MW))*$G$46*AE370*AE359</f>
        <v>-2597.88483615598</v>
      </c>
      <c r="AF371" s="8" t="n">
        <f aca="false">-(Case_OM+SUM(Opex_Per_MW))*$G$46*AF370*AF359</f>
        <v>-2662.83195705988</v>
      </c>
      <c r="AG371" s="8" t="n">
        <f aca="false">-(Case_OM+SUM(Opex_Per_MW))*$G$46*AG370*AG359</f>
        <v>-2729.40275598638</v>
      </c>
      <c r="AH371" s="8" t="n">
        <f aca="false">-(Case_OM+SUM(Opex_Per_MW))*$G$46*AH370*AH359</f>
        <v>-2797.63782488604</v>
      </c>
      <c r="AI371" s="8" t="n">
        <f aca="false">-(Case_OM+SUM(Opex_Per_MW))*$G$46*AI370*AI359</f>
        <v>-2867.57877050819</v>
      </c>
      <c r="AJ371" s="8" t="n">
        <f aca="false">-(Case_OM+SUM(Opex_Per_MW))*$G$46*AJ370*AJ359</f>
        <v>-2939.26823977089</v>
      </c>
      <c r="AK371" s="8" t="n">
        <f aca="false">-(Case_OM+SUM(Opex_Per_MW))*$G$46*AK370*AK359</f>
        <v>-3012.74994576517</v>
      </c>
      <c r="AL371" s="8" t="n">
        <f aca="false">-(Case_OM+SUM(Opex_Per_MW))*$G$46*AL370*AL359</f>
        <v>-3088.0686944093</v>
      </c>
      <c r="AM371" s="8" t="n">
        <f aca="false">-(Case_OM+SUM(Opex_Per_MW))*$G$46*AM370*AM359</f>
        <v>-3165.27041176953</v>
      </c>
      <c r="AN371" s="8" t="n">
        <f aca="false">-(Case_OM+SUM(Opex_Per_MW))*$G$46*AN370*AN359</f>
        <v>-3244.40217206377</v>
      </c>
      <c r="AO371" s="8" t="n">
        <f aca="false">-(Case_OM+SUM(Opex_Per_MW))*$G$46*AO370*AO359</f>
        <v>-3325.51222636536</v>
      </c>
      <c r="AP371" s="8" t="n">
        <f aca="false">-(Case_OM+SUM(Opex_Per_MW))*$G$46*AP370*AP359</f>
        <v>-3408.65003202449</v>
      </c>
      <c r="AQ371" s="8" t="n">
        <f aca="false">-(Case_OM+SUM(Opex_Per_MW))*$G$46*AQ370*AQ359</f>
        <v>-3493.86628282511</v>
      </c>
      <c r="AR371" s="8" t="n">
        <f aca="false">-(Case_OM+SUM(Opex_Per_MW))*$G$46*AR370*AR359</f>
        <v>-3581.21293989573</v>
      </c>
      <c r="AS371" s="8" t="n">
        <f aca="false">-(Case_OM+SUM(Opex_Per_MW))*$G$46*AS370*AS359</f>
        <v>-1835.37163169656</v>
      </c>
    </row>
    <row r="372" customFormat="false" ht="14.25" hidden="false" customHeight="false" outlineLevel="1" collapsed="false">
      <c r="C372" s="6" t="s">
        <v>252</v>
      </c>
      <c r="D372" s="2" t="s">
        <v>84</v>
      </c>
      <c r="H372" s="8" t="n">
        <f aca="false">SUM(J372:AS372)</f>
        <v>-1666.93076073047</v>
      </c>
      <c r="J372" s="8" t="n">
        <f aca="false">-Opex_Admin*$G$6/Lump_Basis*J370*J359</f>
        <v>-0</v>
      </c>
      <c r="K372" s="8" t="n">
        <f aca="false">-Opex_Admin*$G$6/Lump_Basis*K370*K359</f>
        <v>-0</v>
      </c>
      <c r="L372" s="8" t="n">
        <f aca="false">-Opex_Admin*$G$6/Lump_Basis*L370*L359</f>
        <v>-0</v>
      </c>
      <c r="M372" s="8" t="n">
        <f aca="false">-Opex_Admin*$G$6/Lump_Basis*M370*M359</f>
        <v>-0</v>
      </c>
      <c r="N372" s="8" t="n">
        <f aca="false">-Opex_Admin*$G$6/Lump_Basis*N370*N359</f>
        <v>-0</v>
      </c>
      <c r="O372" s="8" t="n">
        <f aca="false">-Opex_Admin*$G$6/Lump_Basis*O370*O359</f>
        <v>-18.75</v>
      </c>
      <c r="P372" s="8" t="n">
        <f aca="false">-Opex_Admin*$G$6/Lump_Basis*P370*P359</f>
        <v>-38.4375</v>
      </c>
      <c r="Q372" s="8" t="n">
        <f aca="false">-Opex_Admin*$G$6/Lump_Basis*Q370*Q359</f>
        <v>-39.3984375</v>
      </c>
      <c r="R372" s="8" t="n">
        <f aca="false">-Opex_Admin*$G$6/Lump_Basis*R370*R359</f>
        <v>-40.3833984375</v>
      </c>
      <c r="S372" s="8" t="n">
        <f aca="false">-Opex_Admin*$G$6/Lump_Basis*S370*S359</f>
        <v>-41.3929833984375</v>
      </c>
      <c r="T372" s="8" t="n">
        <f aca="false">-Opex_Admin*$G$6/Lump_Basis*T370*T359</f>
        <v>-42.4278079833984</v>
      </c>
      <c r="U372" s="8" t="n">
        <f aca="false">-Opex_Admin*$G$6/Lump_Basis*U370*U359</f>
        <v>-43.4885031829834</v>
      </c>
      <c r="V372" s="8" t="n">
        <f aca="false">-Opex_Admin*$G$6/Lump_Basis*V370*V359</f>
        <v>-44.575715762558</v>
      </c>
      <c r="W372" s="8" t="n">
        <f aca="false">-Opex_Admin*$G$6/Lump_Basis*W370*W359</f>
        <v>-45.6901086566219</v>
      </c>
      <c r="X372" s="8" t="n">
        <f aca="false">-Opex_Admin*$G$6/Lump_Basis*X370*X359</f>
        <v>-46.8323613730374</v>
      </c>
      <c r="Y372" s="8" t="n">
        <f aca="false">-Opex_Admin*$G$6/Lump_Basis*Y370*Y359</f>
        <v>-48.0031704073634</v>
      </c>
      <c r="Z372" s="8" t="n">
        <f aca="false">-Opex_Admin*$G$6/Lump_Basis*Z370*Z359</f>
        <v>-49.2032496675475</v>
      </c>
      <c r="AA372" s="8" t="n">
        <f aca="false">-Opex_Admin*$G$6/Lump_Basis*AA370*AA359</f>
        <v>-50.4333309092361</v>
      </c>
      <c r="AB372" s="8" t="n">
        <f aca="false">-Opex_Admin*$G$6/Lump_Basis*AB370*AB359</f>
        <v>-51.694164181967</v>
      </c>
      <c r="AC372" s="8" t="n">
        <f aca="false">-Opex_Admin*$G$6/Lump_Basis*AC370*AC359</f>
        <v>-52.9865182865162</v>
      </c>
      <c r="AD372" s="8" t="n">
        <f aca="false">-Opex_Admin*$G$6/Lump_Basis*AD370*AD359</f>
        <v>-54.3111812436791</v>
      </c>
      <c r="AE372" s="8" t="n">
        <f aca="false">-Opex_Admin*$G$6/Lump_Basis*AE370*AE359</f>
        <v>-55.6689607747711</v>
      </c>
      <c r="AF372" s="8" t="n">
        <f aca="false">-Opex_Admin*$G$6/Lump_Basis*AF370*AF359</f>
        <v>-57.0606847941404</v>
      </c>
      <c r="AG372" s="8" t="n">
        <f aca="false">-Opex_Admin*$G$6/Lump_Basis*AG370*AG359</f>
        <v>-58.4872019139939</v>
      </c>
      <c r="AH372" s="8" t="n">
        <f aca="false">-Opex_Admin*$G$6/Lump_Basis*AH370*AH359</f>
        <v>-59.9493819618437</v>
      </c>
      <c r="AI372" s="8" t="n">
        <f aca="false">-Opex_Admin*$G$6/Lump_Basis*AI370*AI359</f>
        <v>-61.4481165108898</v>
      </c>
      <c r="AJ372" s="8" t="n">
        <f aca="false">-Opex_Admin*$G$6/Lump_Basis*AJ370*AJ359</f>
        <v>-62.984319423662</v>
      </c>
      <c r="AK372" s="8" t="n">
        <f aca="false">-Opex_Admin*$G$6/Lump_Basis*AK370*AK359</f>
        <v>-64.5589274092536</v>
      </c>
      <c r="AL372" s="8" t="n">
        <f aca="false">-Opex_Admin*$G$6/Lump_Basis*AL370*AL359</f>
        <v>-66.1729005944849</v>
      </c>
      <c r="AM372" s="8" t="n">
        <f aca="false">-Opex_Admin*$G$6/Lump_Basis*AM370*AM359</f>
        <v>-67.827223109347</v>
      </c>
      <c r="AN372" s="8" t="n">
        <f aca="false">-Opex_Admin*$G$6/Lump_Basis*AN370*AN359</f>
        <v>-69.5229036870807</v>
      </c>
      <c r="AO372" s="8" t="n">
        <f aca="false">-Opex_Admin*$G$6/Lump_Basis*AO370*AO359</f>
        <v>-71.2609762792577</v>
      </c>
      <c r="AP372" s="8" t="n">
        <f aca="false">-Opex_Admin*$G$6/Lump_Basis*AP370*AP359</f>
        <v>-73.0425006862391</v>
      </c>
      <c r="AQ372" s="8" t="n">
        <f aca="false">-Opex_Admin*$G$6/Lump_Basis*AQ370*AQ359</f>
        <v>-74.8685632033951</v>
      </c>
      <c r="AR372" s="8" t="n">
        <f aca="false">-Opex_Admin*$G$6/Lump_Basis*AR370*AR359</f>
        <v>-76.74027728348</v>
      </c>
      <c r="AS372" s="8" t="n">
        <f aca="false">-Opex_Admin*$G$6/Lump_Basis*AS370*AS359</f>
        <v>-39.3293921077835</v>
      </c>
    </row>
    <row r="373" customFormat="false" ht="14.25" hidden="false" customHeight="false" outlineLevel="1" collapsed="false">
      <c r="C373" s="6" t="s">
        <v>253</v>
      </c>
      <c r="D373" s="2" t="s">
        <v>84</v>
      </c>
      <c r="H373" s="8" t="n">
        <f aca="false">SUM(J373:AS373)</f>
        <v>-34902.1442969836</v>
      </c>
      <c r="J373" s="8" t="n">
        <f aca="false">-J367*(Balancing+Grid_Charges)*J370</f>
        <v>-0</v>
      </c>
      <c r="K373" s="8" t="n">
        <f aca="false">-K367*(Balancing+Grid_Charges)*K370</f>
        <v>-0</v>
      </c>
      <c r="L373" s="8" t="n">
        <f aca="false">-L367*(Balancing+Grid_Charges)*L370</f>
        <v>-0</v>
      </c>
      <c r="M373" s="8" t="n">
        <f aca="false">-M367*(Balancing+Grid_Charges)*M370</f>
        <v>-0</v>
      </c>
      <c r="N373" s="8" t="n">
        <f aca="false">-N367*(Balancing+Grid_Charges)*N370</f>
        <v>-0</v>
      </c>
      <c r="O373" s="8" t="n">
        <f aca="false">-O367*(Balancing+Grid_Charges)*O370</f>
        <v>-411.6</v>
      </c>
      <c r="P373" s="8" t="n">
        <f aca="false">-P367*(Balancing+Grid_Charges)*P370</f>
        <v>-843.78</v>
      </c>
      <c r="Q373" s="8" t="n">
        <f aca="false">-Q367*(Balancing+Grid_Charges)*Q370</f>
        <v>-862.2798765</v>
      </c>
      <c r="R373" s="8" t="n">
        <f aca="false">-R367*(Balancing+Grid_Charges)*R370</f>
        <v>-881.185362792262</v>
      </c>
      <c r="S373" s="8" t="n">
        <f aca="false">-S367*(Balancing+Grid_Charges)*S370</f>
        <v>-900.505351871483</v>
      </c>
      <c r="T373" s="8" t="n">
        <f aca="false">-T367*(Balancing+Grid_Charges)*T370</f>
        <v>-920.248931711265</v>
      </c>
      <c r="U373" s="8" t="n">
        <f aca="false">-U367*(Balancing+Grid_Charges)*U370</f>
        <v>-940.425389539034</v>
      </c>
      <c r="V373" s="8" t="n">
        <f aca="false">-V367*(Balancing+Grid_Charges)*V370</f>
        <v>-961.044216204678</v>
      </c>
      <c r="W373" s="8" t="n">
        <f aca="false">-W367*(Balancing+Grid_Charges)*W370</f>
        <v>-982.115110644965</v>
      </c>
      <c r="X373" s="8" t="n">
        <f aca="false">-X367*(Balancing+Grid_Charges)*X370</f>
        <v>-1003.64798444586</v>
      </c>
      <c r="Y373" s="8" t="n">
        <f aca="false">-Y367*(Balancing+Grid_Charges)*Y370</f>
        <v>-1025.65296650483</v>
      </c>
      <c r="Z373" s="8" t="n">
        <f aca="false">-Z367*(Balancing+Grid_Charges)*Z370</f>
        <v>-1048.14040779545</v>
      </c>
      <c r="AA373" s="8" t="n">
        <f aca="false">-AA367*(Balancing+Grid_Charges)*AA370</f>
        <v>-1071.12088623636</v>
      </c>
      <c r="AB373" s="8" t="n">
        <f aca="false">-AB367*(Balancing+Grid_Charges)*AB370</f>
        <v>-1094.6052116671</v>
      </c>
      <c r="AC373" s="8" t="n">
        <f aca="false">-AC367*(Balancing+Grid_Charges)*AC370</f>
        <v>-1118.6044309329</v>
      </c>
      <c r="AD373" s="8" t="n">
        <f aca="false">-AD367*(Balancing+Grid_Charges)*AD370</f>
        <v>-1143.1298330811</v>
      </c>
      <c r="AE373" s="8" t="n">
        <f aca="false">-AE367*(Balancing+Grid_Charges)*AE370</f>
        <v>-1168.1929546714</v>
      </c>
      <c r="AF373" s="8" t="n">
        <f aca="false">-AF367*(Balancing+Grid_Charges)*AF370</f>
        <v>-1193.80558520257</v>
      </c>
      <c r="AG373" s="8" t="n">
        <f aca="false">-AG367*(Balancing+Grid_Charges)*AG370</f>
        <v>-1219.97977265814</v>
      </c>
      <c r="AH373" s="8" t="n">
        <f aca="false">-AH367*(Balancing+Grid_Charges)*AH370</f>
        <v>-1246.72782917367</v>
      </c>
      <c r="AI373" s="8" t="n">
        <f aca="false">-AI367*(Balancing+Grid_Charges)*AI370</f>
        <v>-1274.0623368283</v>
      </c>
      <c r="AJ373" s="8" t="n">
        <f aca="false">-AJ367*(Balancing+Grid_Charges)*AJ370</f>
        <v>-1301.99615356326</v>
      </c>
      <c r="AK373" s="8" t="n">
        <f aca="false">-AK367*(Balancing+Grid_Charges)*AK370</f>
        <v>-1330.54241923014</v>
      </c>
      <c r="AL373" s="8" t="n">
        <f aca="false">-AL367*(Balancing+Grid_Charges)*AL370</f>
        <v>-1359.71456177176</v>
      </c>
      <c r="AM373" s="8" t="n">
        <f aca="false">-AM367*(Balancing+Grid_Charges)*AM370</f>
        <v>-1389.5263035386</v>
      </c>
      <c r="AN373" s="8" t="n">
        <f aca="false">-AN367*(Balancing+Grid_Charges)*AN370</f>
        <v>-1419.99166774369</v>
      </c>
      <c r="AO373" s="8" t="n">
        <f aca="false">-AO367*(Balancing+Grid_Charges)*AO370</f>
        <v>-1451.12498505897</v>
      </c>
      <c r="AP373" s="8" t="n">
        <f aca="false">-AP367*(Balancing+Grid_Charges)*AP370</f>
        <v>-1482.94090035639</v>
      </c>
      <c r="AQ373" s="8" t="n">
        <f aca="false">-AQ367*(Balancing+Grid_Charges)*AQ370</f>
        <v>-1515.4543795967</v>
      </c>
      <c r="AR373" s="8" t="n">
        <f aca="false">-AR367*(Balancing+Grid_Charges)*AR370</f>
        <v>-1548.68071686936</v>
      </c>
      <c r="AS373" s="8" t="n">
        <f aca="false">-AS367*(Balancing+Grid_Charges)*AS370</f>
        <v>-791.317770793359</v>
      </c>
    </row>
    <row r="374" customFormat="false" ht="14.25" hidden="false" customHeight="false" outlineLevel="1" collapsed="false">
      <c r="C374" s="6" t="s">
        <v>254</v>
      </c>
      <c r="D374" s="2" t="s">
        <v>84</v>
      </c>
      <c r="H374" s="8" t="n">
        <f aca="false">SUM(J374:AS374)</f>
        <v>-495.700761921616</v>
      </c>
      <c r="J374" s="8" t="n">
        <f aca="false">-J369*MEKH_Fee</f>
        <v>-0</v>
      </c>
      <c r="K374" s="8" t="n">
        <f aca="false">-K369*MEKH_Fee</f>
        <v>-0</v>
      </c>
      <c r="L374" s="8" t="n">
        <f aca="false">-L369*MEKH_Fee</f>
        <v>-0</v>
      </c>
      <c r="M374" s="8" t="n">
        <f aca="false">-M369*MEKH_Fee</f>
        <v>-0</v>
      </c>
      <c r="N374" s="8" t="n">
        <f aca="false">-N369*MEKH_Fee</f>
        <v>-0</v>
      </c>
      <c r="O374" s="8" t="n">
        <f aca="false">-O369*MEKH_Fee</f>
        <v>-7.4088</v>
      </c>
      <c r="P374" s="8" t="n">
        <f aca="false">-P369*MEKH_Fee</f>
        <v>-14.965776</v>
      </c>
      <c r="Q374" s="8" t="n">
        <f aca="false">-Q369*MEKH_Fee</f>
        <v>-15.07008745872</v>
      </c>
      <c r="R374" s="8" t="n">
        <f aca="false">-R369*MEKH_Fee</f>
        <v>-15.1751259683073</v>
      </c>
      <c r="S374" s="8" t="n">
        <f aca="false">-S369*MEKH_Fee</f>
        <v>-15.2808965963064</v>
      </c>
      <c r="T374" s="8" t="n">
        <f aca="false">-T369*MEKH_Fee</f>
        <v>-15.3874044455826</v>
      </c>
      <c r="U374" s="8" t="n">
        <f aca="false">-U369*MEKH_Fee</f>
        <v>-15.4946546545683</v>
      </c>
      <c r="V374" s="8" t="n">
        <f aca="false">-V369*MEKH_Fee</f>
        <v>-15.6026523975107</v>
      </c>
      <c r="W374" s="8" t="n">
        <f aca="false">-W369*MEKH_Fee</f>
        <v>-15.7114028847213</v>
      </c>
      <c r="X374" s="8" t="n">
        <f aca="false">-X369*MEKH_Fee</f>
        <v>-15.8209113628278</v>
      </c>
      <c r="Y374" s="8" t="n">
        <f aca="false">-Y369*MEKH_Fee</f>
        <v>-15.9311831150268</v>
      </c>
      <c r="Z374" s="8" t="n">
        <f aca="false">-Z369*MEKH_Fee</f>
        <v>-16.0422234613385</v>
      </c>
      <c r="AA374" s="8" t="n">
        <f aca="false">-AA369*MEKH_Fee</f>
        <v>-16.154037758864</v>
      </c>
      <c r="AB374" s="8" t="n">
        <f aca="false">-AB369*MEKH_Fee</f>
        <v>-16.2666314020433</v>
      </c>
      <c r="AC374" s="8" t="n">
        <f aca="false">-AC369*MEKH_Fee</f>
        <v>-16.3800098229155</v>
      </c>
      <c r="AD374" s="8" t="n">
        <f aca="false">-AD369*MEKH_Fee</f>
        <v>-16.4941784913813</v>
      </c>
      <c r="AE374" s="8" t="n">
        <f aca="false">-AE369*MEKH_Fee</f>
        <v>-16.6091429154662</v>
      </c>
      <c r="AF374" s="8" t="n">
        <f aca="false">-AF369*MEKH_Fee</f>
        <v>-16.724908641587</v>
      </c>
      <c r="AG374" s="8" t="n">
        <f aca="false">-AG369*MEKH_Fee</f>
        <v>-16.8414812548189</v>
      </c>
      <c r="AH374" s="8" t="n">
        <f aca="false">-AH369*MEKH_Fee</f>
        <v>-16.9588663791649</v>
      </c>
      <c r="AI374" s="8" t="n">
        <f aca="false">-AI369*MEKH_Fee</f>
        <v>-17.0770696778277</v>
      </c>
      <c r="AJ374" s="8" t="n">
        <f aca="false">-AJ369*MEKH_Fee</f>
        <v>-17.1960968534822</v>
      </c>
      <c r="AK374" s="8" t="n">
        <f aca="false">-AK369*MEKH_Fee</f>
        <v>-17.315953648551</v>
      </c>
      <c r="AL374" s="8" t="n">
        <f aca="false">-AL369*MEKH_Fee</f>
        <v>-17.4366458454814</v>
      </c>
      <c r="AM374" s="8" t="n">
        <f aca="false">-AM369*MEKH_Fee</f>
        <v>-17.5581792670244</v>
      </c>
      <c r="AN374" s="8" t="n">
        <f aca="false">-AN369*MEKH_Fee</f>
        <v>-17.6805597765155</v>
      </c>
      <c r="AO374" s="8" t="n">
        <f aca="false">-AO369*MEKH_Fee</f>
        <v>-17.8037932781578</v>
      </c>
      <c r="AP374" s="8" t="n">
        <f aca="false">-AP369*MEKH_Fee</f>
        <v>-17.9278857173066</v>
      </c>
      <c r="AQ374" s="8" t="n">
        <f aca="false">-AQ369*MEKH_Fee</f>
        <v>-18.0528430807562</v>
      </c>
      <c r="AR374" s="8" t="n">
        <f aca="false">-AR369*MEKH_Fee</f>
        <v>-18.1786713970291</v>
      </c>
      <c r="AS374" s="8" t="n">
        <f aca="false">-AS369*MEKH_Fee</f>
        <v>-9.15268836833319</v>
      </c>
    </row>
    <row r="375" customFormat="false" ht="14.25" hidden="false" customHeight="false" outlineLevel="1" collapsed="false">
      <c r="C375" s="6" t="s">
        <v>255</v>
      </c>
      <c r="D375" s="2" t="s">
        <v>84</v>
      </c>
      <c r="H375" s="8" t="n">
        <f aca="false">SUM(J375:AS375)</f>
        <v>-5742.74389935288</v>
      </c>
      <c r="J375" s="8" t="n">
        <f aca="false">SUM(J371:J374)*Opex_Cont</f>
        <v>0</v>
      </c>
      <c r="K375" s="8" t="n">
        <f aca="false">SUM(K371:K374)*Opex_Cont</f>
        <v>0</v>
      </c>
      <c r="L375" s="8" t="n">
        <f aca="false">SUM(L371:L374)*Opex_Cont</f>
        <v>0</v>
      </c>
      <c r="M375" s="8" t="n">
        <f aca="false">SUM(M371:M374)*Opex_Cont</f>
        <v>0</v>
      </c>
      <c r="N375" s="8" t="n">
        <f aca="false">SUM(N371:N374)*Opex_Cont</f>
        <v>0</v>
      </c>
      <c r="O375" s="8" t="n">
        <f aca="false">SUM(O371:O374)*Opex_Cont</f>
        <v>-65.63794</v>
      </c>
      <c r="P375" s="8" t="n">
        <f aca="false">SUM(P371:P374)*Opex_Cont</f>
        <v>-134.5466638</v>
      </c>
      <c r="Q375" s="8" t="n">
        <f aca="false">SUM(Q371:Q374)*Opex_Cont</f>
        <v>-137.767107572936</v>
      </c>
      <c r="R375" s="8" t="n">
        <f aca="false">SUM(R371:R374)*Opex_Cont</f>
        <v>-141.065124047403</v>
      </c>
      <c r="S375" s="8" t="n">
        <f aca="false">SUM(S371:S374)*Opex_Cont</f>
        <v>-144.442589522999</v>
      </c>
      <c r="T375" s="8" t="n">
        <f aca="false">SUM(T371:T374)*Opex_Cont</f>
        <v>-147.901425834942</v>
      </c>
      <c r="U375" s="8" t="n">
        <f aca="false">SUM(U371:U374)*Opex_Cont</f>
        <v>-151.443601462457</v>
      </c>
      <c r="V375" s="8" t="n">
        <f aca="false">SUM(V371:V374)*Opex_Cont</f>
        <v>-155.071132664206</v>
      </c>
      <c r="W375" s="8" t="n">
        <f aca="false">SUM(W371:W374)*Opex_Cont</f>
        <v>-158.786084641433</v>
      </c>
      <c r="X375" s="8" t="n">
        <f aca="false">SUM(X371:X374)*Opex_Cont</f>
        <v>-162.590572729507</v>
      </c>
      <c r="Y375" s="8" t="n">
        <f aca="false">SUM(Y371:Y374)*Opex_Cont</f>
        <v>-166.486763618542</v>
      </c>
      <c r="Z375" s="8" t="n">
        <f aca="false">SUM(Z371:Z374)*Opex_Cont</f>
        <v>-170.476876603828</v>
      </c>
      <c r="AA375" s="8" t="n">
        <f aca="false">SUM(AA371:AA374)*Opex_Cont</f>
        <v>-174.563184866774</v>
      </c>
      <c r="AB375" s="8" t="n">
        <f aca="false">SUM(AB371:AB374)*Opex_Cont</f>
        <v>-178.748016787145</v>
      </c>
      <c r="AC375" s="8" t="n">
        <f aca="false">SUM(AC371:AC374)*Opex_Cont</f>
        <v>-183.033757287321</v>
      </c>
      <c r="AD375" s="8" t="n">
        <f aca="false">SUM(AD371:AD374)*Opex_Cont</f>
        <v>-187.422849209393</v>
      </c>
      <c r="AE375" s="8" t="n">
        <f aca="false">SUM(AE371:AE374)*Opex_Cont</f>
        <v>-191.917794725881</v>
      </c>
      <c r="AF375" s="8" t="n">
        <f aca="false">SUM(AF371:AF374)*Opex_Cont</f>
        <v>-196.521156784909</v>
      </c>
      <c r="AG375" s="8" t="n">
        <f aca="false">SUM(AG371:AG374)*Opex_Cont</f>
        <v>-201.235560590667</v>
      </c>
      <c r="AH375" s="8" t="n">
        <f aca="false">SUM(AH371:AH374)*Opex_Cont</f>
        <v>-206.063695120036</v>
      </c>
      <c r="AI375" s="8" t="n">
        <f aca="false">SUM(AI371:AI374)*Opex_Cont</f>
        <v>-211.008314676261</v>
      </c>
      <c r="AJ375" s="8" t="n">
        <f aca="false">SUM(AJ371:AJ374)*Opex_Cont</f>
        <v>-216.072240480565</v>
      </c>
      <c r="AK375" s="8" t="n">
        <f aca="false">SUM(AK371:AK374)*Opex_Cont</f>
        <v>-221.258362302655</v>
      </c>
      <c r="AL375" s="8" t="n">
        <f aca="false">SUM(AL371:AL374)*Opex_Cont</f>
        <v>-226.569640131051</v>
      </c>
      <c r="AM375" s="8" t="n">
        <f aca="false">SUM(AM371:AM374)*Opex_Cont</f>
        <v>-232.009105884225</v>
      </c>
      <c r="AN375" s="8" t="n">
        <f aca="false">SUM(AN371:AN374)*Opex_Cont</f>
        <v>-237.579865163553</v>
      </c>
      <c r="AO375" s="8" t="n">
        <f aca="false">SUM(AO371:AO374)*Opex_Cont</f>
        <v>-243.285099049087</v>
      </c>
      <c r="AP375" s="8" t="n">
        <f aca="false">SUM(AP371:AP374)*Opex_Cont</f>
        <v>-249.128065939221</v>
      </c>
      <c r="AQ375" s="8" t="n">
        <f aca="false">SUM(AQ371:AQ374)*Opex_Cont</f>
        <v>-255.112103435298</v>
      </c>
      <c r="AR375" s="8" t="n">
        <f aca="false">SUM(AR371:AR374)*Opex_Cont</f>
        <v>-261.24063027228</v>
      </c>
      <c r="AS375" s="8" t="n">
        <f aca="false">SUM(AS371:AS374)*Opex_Cont</f>
        <v>-133.758574148302</v>
      </c>
    </row>
    <row r="376" customFormat="false" ht="14.25" hidden="false" customHeight="false" outlineLevel="1" collapsed="false">
      <c r="C376" s="6" t="s">
        <v>256</v>
      </c>
      <c r="D376" s="2" t="s">
        <v>84</v>
      </c>
      <c r="H376" s="8" t="n">
        <f aca="false">SUM(J376:AS376)</f>
        <v>-14211.3294235491</v>
      </c>
      <c r="J376" s="8" t="n">
        <f aca="false">-J367*$G$12</f>
        <v>-0</v>
      </c>
      <c r="K376" s="8" t="n">
        <f aca="false">-K367*$G$12</f>
        <v>-0</v>
      </c>
      <c r="L376" s="8" t="n">
        <f aca="false">-L367*$G$12</f>
        <v>-0</v>
      </c>
      <c r="M376" s="8" t="n">
        <f aca="false">-M367*$G$12</f>
        <v>-0</v>
      </c>
      <c r="N376" s="8" t="n">
        <f aca="false">-N367*$G$12</f>
        <v>-0</v>
      </c>
      <c r="O376" s="8" t="n">
        <f aca="false">-O367*$G$12</f>
        <v>-246.96</v>
      </c>
      <c r="P376" s="8" t="n">
        <f aca="false">-P367*$G$12</f>
        <v>-493.92</v>
      </c>
      <c r="Q376" s="8" t="n">
        <f aca="false">-Q367*$G$12</f>
        <v>-492.43824</v>
      </c>
      <c r="R376" s="8" t="n">
        <f aca="false">-R367*$G$12</f>
        <v>-490.96092528</v>
      </c>
      <c r="S376" s="8" t="n">
        <f aca="false">-S367*$G$12</f>
        <v>-489.48804250416</v>
      </c>
      <c r="T376" s="8" t="n">
        <f aca="false">-T367*$G$12</f>
        <v>-488.019578376648</v>
      </c>
      <c r="U376" s="8" t="n">
        <f aca="false">-U367*$G$12</f>
        <v>-486.555519641518</v>
      </c>
      <c r="V376" s="8" t="n">
        <f aca="false">-V367*$G$12</f>
        <v>-485.095853082593</v>
      </c>
      <c r="W376" s="8" t="n">
        <f aca="false">-W367*$G$12</f>
        <v>-483.640565523345</v>
      </c>
      <c r="X376" s="8" t="n">
        <f aca="false">-X367*$G$12</f>
        <v>-482.189643826775</v>
      </c>
      <c r="Y376" s="8" t="n">
        <f aca="false">-Y367*$G$12</f>
        <v>-480.743074895295</v>
      </c>
      <c r="Z376" s="8" t="n">
        <f aca="false">-Z367*$G$12</f>
        <v>-479.300845670609</v>
      </c>
      <c r="AA376" s="8" t="n">
        <f aca="false">-AA367*$G$12</f>
        <v>-477.862943133597</v>
      </c>
      <c r="AB376" s="8" t="n">
        <f aca="false">-AB367*$G$12</f>
        <v>-476.429354304196</v>
      </c>
      <c r="AC376" s="8" t="n">
        <f aca="false">-AC367*$G$12</f>
        <v>-475.000066241284</v>
      </c>
      <c r="AD376" s="8" t="n">
        <f aca="false">-AD367*$G$12</f>
        <v>-473.57506604256</v>
      </c>
      <c r="AE376" s="8" t="n">
        <f aca="false">-AE367*$G$12</f>
        <v>-472.154340844432</v>
      </c>
      <c r="AF376" s="8" t="n">
        <f aca="false">-AF367*$G$12</f>
        <v>-470.737877821899</v>
      </c>
      <c r="AG376" s="8" t="n">
        <f aca="false">-AG367*$G$12</f>
        <v>-469.325664188433</v>
      </c>
      <c r="AH376" s="8" t="n">
        <f aca="false">-AH367*$G$12</f>
        <v>-467.917687195868</v>
      </c>
      <c r="AI376" s="8" t="n">
        <f aca="false">-AI367*$G$12</f>
        <v>-466.51393413428</v>
      </c>
      <c r="AJ376" s="8" t="n">
        <f aca="false">-AJ367*$G$12</f>
        <v>-465.114392331878</v>
      </c>
      <c r="AK376" s="8" t="n">
        <f aca="false">-AK367*$G$12</f>
        <v>-463.719049154882</v>
      </c>
      <c r="AL376" s="8" t="n">
        <f aca="false">-AL367*$G$12</f>
        <v>-462.327892007417</v>
      </c>
      <c r="AM376" s="8" t="n">
        <f aca="false">-AM367*$G$12</f>
        <v>-460.940908331395</v>
      </c>
      <c r="AN376" s="8" t="n">
        <f aca="false">-AN367*$G$12</f>
        <v>-459.558085606401</v>
      </c>
      <c r="AO376" s="8" t="n">
        <f aca="false">-AO367*$G$12</f>
        <v>-458.179411349582</v>
      </c>
      <c r="AP376" s="8" t="n">
        <f aca="false">-AP367*$G$12</f>
        <v>-456.804873115533</v>
      </c>
      <c r="AQ376" s="8" t="n">
        <f aca="false">-AQ367*$G$12</f>
        <v>-455.434458496186</v>
      </c>
      <c r="AR376" s="8" t="n">
        <f aca="false">-AR367*$G$12</f>
        <v>-454.068155120698</v>
      </c>
      <c r="AS376" s="8" t="n">
        <f aca="false">-AS367*$G$12</f>
        <v>-226.352975327668</v>
      </c>
    </row>
    <row r="377" customFormat="false" ht="14.25" hidden="false" customHeight="false" outlineLevel="1" collapsed="false">
      <c r="C377" s="6" t="s">
        <v>257</v>
      </c>
      <c r="D377" s="2" t="s">
        <v>84</v>
      </c>
      <c r="H377" s="8" t="n">
        <f aca="false">SUM(J377:AS377)</f>
        <v>-9914.01523843232</v>
      </c>
      <c r="J377" s="8" t="n">
        <f aca="false">-J369*HIPA_Rate</f>
        <v>-0</v>
      </c>
      <c r="K377" s="8" t="n">
        <f aca="false">-K369*HIPA_Rate</f>
        <v>-0</v>
      </c>
      <c r="L377" s="8" t="n">
        <f aca="false">-L369*HIPA_Rate</f>
        <v>-0</v>
      </c>
      <c r="M377" s="8" t="n">
        <f aca="false">-M369*HIPA_Rate</f>
        <v>-0</v>
      </c>
      <c r="N377" s="8" t="n">
        <f aca="false">-N369*HIPA_Rate</f>
        <v>-0</v>
      </c>
      <c r="O377" s="8" t="n">
        <f aca="false">-O369*HIPA_Rate</f>
        <v>-148.176</v>
      </c>
      <c r="P377" s="8" t="n">
        <f aca="false">-P369*HIPA_Rate</f>
        <v>-299.31552</v>
      </c>
      <c r="Q377" s="8" t="n">
        <f aca="false">-Q369*HIPA_Rate</f>
        <v>-301.4017491744</v>
      </c>
      <c r="R377" s="8" t="n">
        <f aca="false">-R369*HIPA_Rate</f>
        <v>-303.502519366146</v>
      </c>
      <c r="S377" s="8" t="n">
        <f aca="false">-S369*HIPA_Rate</f>
        <v>-305.617931926128</v>
      </c>
      <c r="T377" s="8" t="n">
        <f aca="false">-T369*HIPA_Rate</f>
        <v>-307.748088911653</v>
      </c>
      <c r="U377" s="8" t="n">
        <f aca="false">-U369*HIPA_Rate</f>
        <v>-309.893093091367</v>
      </c>
      <c r="V377" s="8" t="n">
        <f aca="false">-V369*HIPA_Rate</f>
        <v>-312.053047950214</v>
      </c>
      <c r="W377" s="8" t="n">
        <f aca="false">-W369*HIPA_Rate</f>
        <v>-314.228057694427</v>
      </c>
      <c r="X377" s="8" t="n">
        <f aca="false">-X369*HIPA_Rate</f>
        <v>-316.418227256557</v>
      </c>
      <c r="Y377" s="8" t="n">
        <f aca="false">-Y369*HIPA_Rate</f>
        <v>-318.623662300535</v>
      </c>
      <c r="Z377" s="8" t="n">
        <f aca="false">-Z369*HIPA_Rate</f>
        <v>-320.84446922677</v>
      </c>
      <c r="AA377" s="8" t="n">
        <f aca="false">-AA369*HIPA_Rate</f>
        <v>-323.080755177281</v>
      </c>
      <c r="AB377" s="8" t="n">
        <f aca="false">-AB369*HIPA_Rate</f>
        <v>-325.332628040866</v>
      </c>
      <c r="AC377" s="8" t="n">
        <f aca="false">-AC369*HIPA_Rate</f>
        <v>-327.600196458311</v>
      </c>
      <c r="AD377" s="8" t="n">
        <f aca="false">-AD369*HIPA_Rate</f>
        <v>-329.883569827625</v>
      </c>
      <c r="AE377" s="8" t="n">
        <f aca="false">-AE369*HIPA_Rate</f>
        <v>-332.182858309324</v>
      </c>
      <c r="AF377" s="8" t="n">
        <f aca="false">-AF369*HIPA_Rate</f>
        <v>-334.49817283174</v>
      </c>
      <c r="AG377" s="8" t="n">
        <f aca="false">-AG369*HIPA_Rate</f>
        <v>-336.829625096377</v>
      </c>
      <c r="AH377" s="8" t="n">
        <f aca="false">-AH369*HIPA_Rate</f>
        <v>-339.177327583299</v>
      </c>
      <c r="AI377" s="8" t="n">
        <f aca="false">-AI369*HIPA_Rate</f>
        <v>-341.541393556554</v>
      </c>
      <c r="AJ377" s="8" t="n">
        <f aca="false">-AJ369*HIPA_Rate</f>
        <v>-343.921937069644</v>
      </c>
      <c r="AK377" s="8" t="n">
        <f aca="false">-AK369*HIPA_Rate</f>
        <v>-346.319072971019</v>
      </c>
      <c r="AL377" s="8" t="n">
        <f aca="false">-AL369*HIPA_Rate</f>
        <v>-348.732916909627</v>
      </c>
      <c r="AM377" s="8" t="n">
        <f aca="false">-AM369*HIPA_Rate</f>
        <v>-351.163585340487</v>
      </c>
      <c r="AN377" s="8" t="n">
        <f aca="false">-AN369*HIPA_Rate</f>
        <v>-353.61119553031</v>
      </c>
      <c r="AO377" s="8" t="n">
        <f aca="false">-AO369*HIPA_Rate</f>
        <v>-356.075865563157</v>
      </c>
      <c r="AP377" s="8" t="n">
        <f aca="false">-AP369*HIPA_Rate</f>
        <v>-358.557714346132</v>
      </c>
      <c r="AQ377" s="8" t="n">
        <f aca="false">-AQ369*HIPA_Rate</f>
        <v>-361.056861615124</v>
      </c>
      <c r="AR377" s="8" t="n">
        <f aca="false">-AR369*HIPA_Rate</f>
        <v>-363.573427940582</v>
      </c>
      <c r="AS377" s="8" t="n">
        <f aca="false">-AS369*HIPA_Rate</f>
        <v>-183.053767366664</v>
      </c>
    </row>
    <row r="378" customFormat="false" ht="14.25" hidden="false" customHeight="false" outlineLevel="1" collapsed="false">
      <c r="C378" s="1" t="s">
        <v>258</v>
      </c>
      <c r="D378" s="2" t="s">
        <v>84</v>
      </c>
      <c r="H378" s="34" t="n">
        <f aca="false">SUM(J378:AS378)</f>
        <v>-144722.966548392</v>
      </c>
      <c r="J378" s="34" t="n">
        <f aca="false">SUM(J371:J377)</f>
        <v>0</v>
      </c>
      <c r="K378" s="34" t="n">
        <f aca="false">SUM(K371:K377)</f>
        <v>0</v>
      </c>
      <c r="L378" s="34" t="n">
        <f aca="false">SUM(L371:L377)</f>
        <v>0</v>
      </c>
      <c r="M378" s="34" t="n">
        <f aca="false">SUM(M371:M377)</f>
        <v>0</v>
      </c>
      <c r="N378" s="34" t="n">
        <f aca="false">SUM(N371:N377)</f>
        <v>0</v>
      </c>
      <c r="O378" s="34" t="n">
        <f aca="false">SUM(O371:O377)</f>
        <v>-1773.53274</v>
      </c>
      <c r="P378" s="34" t="n">
        <f aca="false">SUM(P371:P377)</f>
        <v>-3618.7154598</v>
      </c>
      <c r="Q378" s="34" t="n">
        <f aca="false">SUM(Q371:Q377)</f>
        <v>-3686.94924820606</v>
      </c>
      <c r="R378" s="34" t="n">
        <f aca="false">SUM(R371:R377)</f>
        <v>-3756.83104964162</v>
      </c>
      <c r="S378" s="34" t="n">
        <f aca="false">SUM(S371:S377)</f>
        <v>-3828.40035441326</v>
      </c>
      <c r="T378" s="34" t="n">
        <f aca="false">SUM(T371:T377)</f>
        <v>-3901.69760982208</v>
      </c>
      <c r="U378" s="34" t="n">
        <f aca="false">SUM(U371:U377)</f>
        <v>-3976.76424344449</v>
      </c>
      <c r="V378" s="34" t="n">
        <f aca="false">SUM(V371:V377)</f>
        <v>-4053.64268698113</v>
      </c>
      <c r="W378" s="34" t="n">
        <f aca="false">SUM(W371:W377)</f>
        <v>-4132.37640068787</v>
      </c>
      <c r="X378" s="34" t="n">
        <f aca="false">SUM(X371:X377)</f>
        <v>-4213.00989840297</v>
      </c>
      <c r="Y378" s="34" t="n">
        <f aca="false">SUM(Y371:Y377)</f>
        <v>-4295.58877318522</v>
      </c>
      <c r="Z378" s="34" t="n">
        <f aca="false">SUM(Z371:Z377)</f>
        <v>-4380.15972357776</v>
      </c>
      <c r="AA378" s="34" t="n">
        <f aca="false">SUM(AA371:AA377)</f>
        <v>-4466.77058051314</v>
      </c>
      <c r="AB378" s="34" t="n">
        <f aca="false">SUM(AB371:AB377)</f>
        <v>-4555.47033487511</v>
      </c>
      <c r="AC378" s="34" t="n">
        <f aca="false">SUM(AC371:AC377)</f>
        <v>-4646.30916573333</v>
      </c>
      <c r="AD378" s="34" t="n">
        <f aca="false">SUM(AD371:AD377)</f>
        <v>-4739.33846926743</v>
      </c>
      <c r="AE378" s="34" t="n">
        <f aca="false">SUM(AE371:AE377)</f>
        <v>-4834.61088839726</v>
      </c>
      <c r="AF378" s="34" t="n">
        <f aca="false">SUM(AF371:AF377)</f>
        <v>-4932.18034313673</v>
      </c>
      <c r="AG378" s="34" t="n">
        <f aca="false">SUM(AG371:AG377)</f>
        <v>-5032.10206168881</v>
      </c>
      <c r="AH378" s="34" t="n">
        <f aca="false">SUM(AH371:AH377)</f>
        <v>-5134.43261229992</v>
      </c>
      <c r="AI378" s="34" t="n">
        <f aca="false">SUM(AI371:AI377)</f>
        <v>-5239.22993589231</v>
      </c>
      <c r="AJ378" s="34" t="n">
        <f aca="false">SUM(AJ371:AJ377)</f>
        <v>-5346.55337949339</v>
      </c>
      <c r="AK378" s="34" t="n">
        <f aca="false">SUM(AK371:AK377)</f>
        <v>-5456.46373048167</v>
      </c>
      <c r="AL378" s="34" t="n">
        <f aca="false">SUM(AL371:AL377)</f>
        <v>-5569.02325166912</v>
      </c>
      <c r="AM378" s="34" t="n">
        <f aca="false">SUM(AM371:AM377)</f>
        <v>-5684.29571724061</v>
      </c>
      <c r="AN378" s="34" t="n">
        <f aca="false">SUM(AN371:AN377)</f>
        <v>-5802.34644957131</v>
      </c>
      <c r="AO378" s="34" t="n">
        <f aca="false">SUM(AO371:AO377)</f>
        <v>-5923.24235694357</v>
      </c>
      <c r="AP378" s="34" t="n">
        <f aca="false">SUM(AP371:AP377)</f>
        <v>-6047.05197218531</v>
      </c>
      <c r="AQ378" s="34" t="n">
        <f aca="false">SUM(AQ371:AQ377)</f>
        <v>-6173.84549225257</v>
      </c>
      <c r="AR378" s="34" t="n">
        <f aca="false">SUM(AR371:AR377)</f>
        <v>-6303.69481877916</v>
      </c>
      <c r="AS378" s="34" t="n">
        <f aca="false">SUM(AS371:AS377)</f>
        <v>-3218.33679980867</v>
      </c>
    </row>
    <row r="379" customFormat="false" ht="14.25" hidden="false" customHeight="false" outlineLevel="1" collapsed="false">
      <c r="C379" s="1" t="s">
        <v>155</v>
      </c>
      <c r="D379" s="2" t="s">
        <v>84</v>
      </c>
      <c r="H379" s="15" t="n">
        <f aca="false">SUM(J379:AS379)</f>
        <v>350977.795373224</v>
      </c>
      <c r="J379" s="15" t="n">
        <f aca="false">J369+J378</f>
        <v>0</v>
      </c>
      <c r="K379" s="15" t="n">
        <f aca="false">K369+K378</f>
        <v>0</v>
      </c>
      <c r="L379" s="15" t="n">
        <f aca="false">L369+L378</f>
        <v>0</v>
      </c>
      <c r="M379" s="15" t="n">
        <f aca="false">M369+M378</f>
        <v>0</v>
      </c>
      <c r="N379" s="15" t="n">
        <f aca="false">N369+N378</f>
        <v>0</v>
      </c>
      <c r="O379" s="15" t="n">
        <f aca="false">O369+O378</f>
        <v>5635.26726</v>
      </c>
      <c r="P379" s="15" t="n">
        <f aca="false">P369+P378</f>
        <v>11347.0605402</v>
      </c>
      <c r="Q379" s="15" t="n">
        <f aca="false">Q369+Q378</f>
        <v>11383.1382105139</v>
      </c>
      <c r="R379" s="15" t="n">
        <f aca="false">R369+R378</f>
        <v>11418.2949186657</v>
      </c>
      <c r="S379" s="15" t="n">
        <f aca="false">S369+S378</f>
        <v>11452.4962418931</v>
      </c>
      <c r="T379" s="15" t="n">
        <f aca="false">T369+T378</f>
        <v>11485.7068357606</v>
      </c>
      <c r="U379" s="15" t="n">
        <f aca="false">U369+U378</f>
        <v>11517.8904111239</v>
      </c>
      <c r="V379" s="15" t="n">
        <f aca="false">V369+V378</f>
        <v>11549.0097105296</v>
      </c>
      <c r="W379" s="15" t="n">
        <f aca="false">W369+W378</f>
        <v>11579.0264840335</v>
      </c>
      <c r="X379" s="15" t="n">
        <f aca="false">X369+X378</f>
        <v>11607.9014644249</v>
      </c>
      <c r="Y379" s="15" t="n">
        <f aca="false">Y369+Y378</f>
        <v>11635.5943418415</v>
      </c>
      <c r="Z379" s="15" t="n">
        <f aca="false">Z369+Z378</f>
        <v>11662.0637377607</v>
      </c>
      <c r="AA379" s="15" t="n">
        <f aca="false">AA369+AA378</f>
        <v>11687.2671783509</v>
      </c>
      <c r="AB379" s="15" t="n">
        <f aca="false">AB369+AB378</f>
        <v>11711.1610671682</v>
      </c>
      <c r="AC379" s="15" t="n">
        <f aca="false">AC369+AC378</f>
        <v>11733.7006571822</v>
      </c>
      <c r="AD379" s="15" t="n">
        <f aca="false">AD369+AD378</f>
        <v>11754.8400221138</v>
      </c>
      <c r="AE379" s="15" t="n">
        <f aca="false">AE369+AE378</f>
        <v>11774.5320270689</v>
      </c>
      <c r="AF379" s="15" t="n">
        <f aca="false">AF369+AF378</f>
        <v>11792.7282984503</v>
      </c>
      <c r="AG379" s="15" t="n">
        <f aca="false">AG369+AG378</f>
        <v>11809.37919313</v>
      </c>
      <c r="AH379" s="15" t="n">
        <f aca="false">AH369+AH378</f>
        <v>11824.433766865</v>
      </c>
      <c r="AI379" s="15" t="n">
        <f aca="false">AI369+AI378</f>
        <v>11837.8397419354</v>
      </c>
      <c r="AJ379" s="15" t="n">
        <f aca="false">AJ369+AJ378</f>
        <v>11849.5434739888</v>
      </c>
      <c r="AK379" s="15" t="n">
        <f aca="false">AK369+AK378</f>
        <v>11859.4899180693</v>
      </c>
      <c r="AL379" s="15" t="n">
        <f aca="false">AL369+AL378</f>
        <v>11867.6225938122</v>
      </c>
      <c r="AM379" s="15" t="n">
        <f aca="false">AM369+AM378</f>
        <v>11873.8835497838</v>
      </c>
      <c r="AN379" s="15" t="n">
        <f aca="false">AN369+AN378</f>
        <v>11878.2133269442</v>
      </c>
      <c r="AO379" s="15" t="n">
        <f aca="false">AO369+AO378</f>
        <v>11880.5509212143</v>
      </c>
      <c r="AP379" s="15" t="n">
        <f aca="false">AP369+AP378</f>
        <v>11880.8337451213</v>
      </c>
      <c r="AQ379" s="15" t="n">
        <f aca="false">AQ369+AQ378</f>
        <v>11878.9975885037</v>
      </c>
      <c r="AR379" s="15" t="n">
        <f aca="false">AR369+AR378</f>
        <v>11874.9765782499</v>
      </c>
      <c r="AS379" s="15" t="n">
        <f aca="false">AS369+AS378</f>
        <v>5934.35156852452</v>
      </c>
    </row>
    <row r="380" customFormat="false" ht="14.25" hidden="false" customHeight="false" outlineLevel="1" collapsed="false">
      <c r="C380" s="1" t="s">
        <v>259</v>
      </c>
      <c r="D380" s="2" t="s">
        <v>84</v>
      </c>
      <c r="H380" s="34" t="n">
        <f aca="false">SUM(J380:AS380)</f>
        <v>273350.818660895</v>
      </c>
      <c r="J380" s="34" t="n">
        <f aca="false">J365+J379</f>
        <v>-657.123287671233</v>
      </c>
      <c r="K380" s="34" t="n">
        <f aca="false">K365+K379</f>
        <v>-3612.05479452055</v>
      </c>
      <c r="L380" s="34" t="n">
        <f aca="false">L365+L379</f>
        <v>-3359.81917808219</v>
      </c>
      <c r="M380" s="34" t="n">
        <f aca="false">M365+M379</f>
        <v>-17498.125</v>
      </c>
      <c r="N380" s="34" t="n">
        <f aca="false">N365+N379</f>
        <v>-34996.25</v>
      </c>
      <c r="O380" s="34" t="n">
        <f aca="false">O365+O379</f>
        <v>-14362.85774</v>
      </c>
      <c r="P380" s="34" t="n">
        <f aca="false">P365+P379</f>
        <v>11347.0605402</v>
      </c>
      <c r="Q380" s="34" t="n">
        <f aca="false">Q365+Q379</f>
        <v>13877.6587584591</v>
      </c>
      <c r="R380" s="34" t="n">
        <f aca="false">R365+R379</f>
        <v>11418.2949186657</v>
      </c>
      <c r="S380" s="34" t="n">
        <f aca="false">S365+S379</f>
        <v>11452.4962418931</v>
      </c>
      <c r="T380" s="34" t="n">
        <f aca="false">T365+T379</f>
        <v>11485.7068357606</v>
      </c>
      <c r="U380" s="34" t="n">
        <f aca="false">U365+U379</f>
        <v>11517.8904111239</v>
      </c>
      <c r="V380" s="34" t="n">
        <f aca="false">V365+V379</f>
        <v>11549.0097105296</v>
      </c>
      <c r="W380" s="34" t="n">
        <f aca="false">W365+W379</f>
        <v>11579.0264840335</v>
      </c>
      <c r="X380" s="34" t="n">
        <f aca="false">X365+X379</f>
        <v>11607.9014644249</v>
      </c>
      <c r="Y380" s="34" t="n">
        <f aca="false">Y365+Y379</f>
        <v>11635.5943418415</v>
      </c>
      <c r="Z380" s="34" t="n">
        <f aca="false">Z365+Z379</f>
        <v>11662.0637377607</v>
      </c>
      <c r="AA380" s="34" t="n">
        <f aca="false">AA365+AA379</f>
        <v>11687.2671783509</v>
      </c>
      <c r="AB380" s="34" t="n">
        <f aca="false">AB365+AB379</f>
        <v>11711.1610671682</v>
      </c>
      <c r="AC380" s="34" t="n">
        <f aca="false">AC365+AC379</f>
        <v>11733.7006571822</v>
      </c>
      <c r="AD380" s="34" t="n">
        <f aca="false">AD365+AD379</f>
        <v>11754.8400221138</v>
      </c>
      <c r="AE380" s="34" t="n">
        <f aca="false">AE365+AE379</f>
        <v>11774.5320270689</v>
      </c>
      <c r="AF380" s="34" t="n">
        <f aca="false">AF365+AF379</f>
        <v>11792.7282984503</v>
      </c>
      <c r="AG380" s="34" t="n">
        <f aca="false">AG365+AG379</f>
        <v>11809.37919313</v>
      </c>
      <c r="AH380" s="34" t="n">
        <f aca="false">AH365+AH379</f>
        <v>11824.433766865</v>
      </c>
      <c r="AI380" s="34" t="n">
        <f aca="false">AI365+AI379</f>
        <v>11837.8397419354</v>
      </c>
      <c r="AJ380" s="34" t="n">
        <f aca="false">AJ365+AJ379</f>
        <v>11849.5434739888</v>
      </c>
      <c r="AK380" s="34" t="n">
        <f aca="false">AK365+AK379</f>
        <v>11859.4899180693</v>
      </c>
      <c r="AL380" s="34" t="n">
        <f aca="false">AL365+AL379</f>
        <v>11867.6225938122</v>
      </c>
      <c r="AM380" s="34" t="n">
        <f aca="false">AM365+AM379</f>
        <v>11873.8835497838</v>
      </c>
      <c r="AN380" s="34" t="n">
        <f aca="false">AN365+AN379</f>
        <v>11878.2133269442</v>
      </c>
      <c r="AO380" s="34" t="n">
        <f aca="false">AO365+AO379</f>
        <v>11880.5509212143</v>
      </c>
      <c r="AP380" s="34" t="n">
        <f aca="false">AP365+AP379</f>
        <v>11880.8337451213</v>
      </c>
      <c r="AQ380" s="34" t="n">
        <f aca="false">AQ365+AQ379</f>
        <v>11878.9975885037</v>
      </c>
      <c r="AR380" s="34" t="n">
        <f aca="false">AR365+AR379</f>
        <v>11874.9765782499</v>
      </c>
      <c r="AS380" s="34" t="n">
        <f aca="false">AS365+AS379</f>
        <v>5934.35156852452</v>
      </c>
    </row>
    <row r="381" customFormat="false" ht="14.25" hidden="false" customHeight="false" outlineLevel="1" collapsed="false">
      <c r="C381" s="6" t="s">
        <v>260</v>
      </c>
      <c r="D381" s="2" t="s">
        <v>84</v>
      </c>
      <c r="H381" s="8" t="n">
        <f aca="false">SUM(J381:AS381)</f>
        <v>77626.9767123288</v>
      </c>
      <c r="J381" s="8" t="n">
        <f aca="false">$G$93/Dep_Years*(J355&gt;=0)*(J355&lt;Dep_Years)</f>
        <v>0</v>
      </c>
      <c r="K381" s="8" t="n">
        <f aca="false">$G$93/Dep_Years*(K355&gt;=0)*(K355&lt;Dep_Years)</f>
        <v>0</v>
      </c>
      <c r="L381" s="8" t="n">
        <f aca="false">$G$93/Dep_Years*(L355&gt;=0)*(L355&lt;Dep_Years)</f>
        <v>0</v>
      </c>
      <c r="M381" s="8" t="n">
        <f aca="false">$G$93/Dep_Years*(M355&gt;=0)*(M355&lt;Dep_Years)</f>
        <v>0</v>
      </c>
      <c r="N381" s="8" t="n">
        <f aca="false">$G$93/Dep_Years*(N355&gt;=0)*(N355&lt;Dep_Years)</f>
        <v>0</v>
      </c>
      <c r="O381" s="8" t="n">
        <f aca="false">$G$93/Dep_Years*(O355&gt;=0)*(O355&lt;Dep_Years)</f>
        <v>3881.34883561644</v>
      </c>
      <c r="P381" s="8" t="n">
        <f aca="false">$G$93/Dep_Years*(P355&gt;=0)*(P355&lt;Dep_Years)</f>
        <v>3881.34883561644</v>
      </c>
      <c r="Q381" s="8" t="n">
        <f aca="false">$G$93/Dep_Years*(Q355&gt;=0)*(Q355&lt;Dep_Years)</f>
        <v>3881.34883561644</v>
      </c>
      <c r="R381" s="8" t="n">
        <f aca="false">$G$93/Dep_Years*(R355&gt;=0)*(R355&lt;Dep_Years)</f>
        <v>3881.34883561644</v>
      </c>
      <c r="S381" s="8" t="n">
        <f aca="false">$G$93/Dep_Years*(S355&gt;=0)*(S355&lt;Dep_Years)</f>
        <v>3881.34883561644</v>
      </c>
      <c r="T381" s="8" t="n">
        <f aca="false">$G$93/Dep_Years*(T355&gt;=0)*(T355&lt;Dep_Years)</f>
        <v>3881.34883561644</v>
      </c>
      <c r="U381" s="8" t="n">
        <f aca="false">$G$93/Dep_Years*(U355&gt;=0)*(U355&lt;Dep_Years)</f>
        <v>3881.34883561644</v>
      </c>
      <c r="V381" s="8" t="n">
        <f aca="false">$G$93/Dep_Years*(V355&gt;=0)*(V355&lt;Dep_Years)</f>
        <v>3881.34883561644</v>
      </c>
      <c r="W381" s="8" t="n">
        <f aca="false">$G$93/Dep_Years*(W355&gt;=0)*(W355&lt;Dep_Years)</f>
        <v>3881.34883561644</v>
      </c>
      <c r="X381" s="8" t="n">
        <f aca="false">$G$93/Dep_Years*(X355&gt;=0)*(X355&lt;Dep_Years)</f>
        <v>3881.34883561644</v>
      </c>
      <c r="Y381" s="8" t="n">
        <f aca="false">$G$93/Dep_Years*(Y355&gt;=0)*(Y355&lt;Dep_Years)</f>
        <v>3881.34883561644</v>
      </c>
      <c r="Z381" s="8" t="n">
        <f aca="false">$G$93/Dep_Years*(Z355&gt;=0)*(Z355&lt;Dep_Years)</f>
        <v>3881.34883561644</v>
      </c>
      <c r="AA381" s="8" t="n">
        <f aca="false">$G$93/Dep_Years*(AA355&gt;=0)*(AA355&lt;Dep_Years)</f>
        <v>3881.34883561644</v>
      </c>
      <c r="AB381" s="8" t="n">
        <f aca="false">$G$93/Dep_Years*(AB355&gt;=0)*(AB355&lt;Dep_Years)</f>
        <v>3881.34883561644</v>
      </c>
      <c r="AC381" s="8" t="n">
        <f aca="false">$G$93/Dep_Years*(AC355&gt;=0)*(AC355&lt;Dep_Years)</f>
        <v>3881.34883561644</v>
      </c>
      <c r="AD381" s="8" t="n">
        <f aca="false">$G$93/Dep_Years*(AD355&gt;=0)*(AD355&lt;Dep_Years)</f>
        <v>3881.34883561644</v>
      </c>
      <c r="AE381" s="8" t="n">
        <f aca="false">$G$93/Dep_Years*(AE355&gt;=0)*(AE355&lt;Dep_Years)</f>
        <v>3881.34883561644</v>
      </c>
      <c r="AF381" s="8" t="n">
        <f aca="false">$G$93/Dep_Years*(AF355&gt;=0)*(AF355&lt;Dep_Years)</f>
        <v>3881.34883561644</v>
      </c>
      <c r="AG381" s="8" t="n">
        <f aca="false">$G$93/Dep_Years*(AG355&gt;=0)*(AG355&lt;Dep_Years)</f>
        <v>3881.34883561644</v>
      </c>
      <c r="AH381" s="8" t="n">
        <f aca="false">$G$93/Dep_Years*(AH355&gt;=0)*(AH355&lt;Dep_Years)</f>
        <v>3881.34883561644</v>
      </c>
      <c r="AI381" s="8" t="n">
        <f aca="false">$G$93/Dep_Years*(AI355&gt;=0)*(AI355&lt;Dep_Years)</f>
        <v>0</v>
      </c>
      <c r="AJ381" s="8" t="n">
        <f aca="false">$G$93/Dep_Years*(AJ355&gt;=0)*(AJ355&lt;Dep_Years)</f>
        <v>0</v>
      </c>
      <c r="AK381" s="8" t="n">
        <f aca="false">$G$93/Dep_Years*(AK355&gt;=0)*(AK355&lt;Dep_Years)</f>
        <v>0</v>
      </c>
      <c r="AL381" s="8" t="n">
        <f aca="false">$G$93/Dep_Years*(AL355&gt;=0)*(AL355&lt;Dep_Years)</f>
        <v>0</v>
      </c>
      <c r="AM381" s="8" t="n">
        <f aca="false">$G$93/Dep_Years*(AM355&gt;=0)*(AM355&lt;Dep_Years)</f>
        <v>0</v>
      </c>
      <c r="AN381" s="8" t="n">
        <f aca="false">$G$93/Dep_Years*(AN355&gt;=0)*(AN355&lt;Dep_Years)</f>
        <v>0</v>
      </c>
      <c r="AO381" s="8" t="n">
        <f aca="false">$G$93/Dep_Years*(AO355&gt;=0)*(AO355&lt;Dep_Years)</f>
        <v>0</v>
      </c>
      <c r="AP381" s="8" t="n">
        <f aca="false">$G$93/Dep_Years*(AP355&gt;=0)*(AP355&lt;Dep_Years)</f>
        <v>0</v>
      </c>
      <c r="AQ381" s="8" t="n">
        <f aca="false">$G$93/Dep_Years*(AQ355&gt;=0)*(AQ355&lt;Dep_Years)</f>
        <v>0</v>
      </c>
      <c r="AR381" s="8" t="n">
        <f aca="false">$G$93/Dep_Years*(AR355&gt;=0)*(AR355&lt;Dep_Years)</f>
        <v>0</v>
      </c>
      <c r="AS381" s="8" t="n">
        <f aca="false">$G$93/Dep_Years*(AS355&gt;=0)*(AS355&lt;Dep_Years)</f>
        <v>0</v>
      </c>
    </row>
    <row r="382" customFormat="false" ht="14.25" hidden="false" customHeight="false" outlineLevel="1" collapsed="false">
      <c r="C382" s="6" t="s">
        <v>261</v>
      </c>
      <c r="D382" s="2" t="s">
        <v>84</v>
      </c>
      <c r="H382" s="8" t="n">
        <f aca="false">SUM(J382:AS382)</f>
        <v>-41002.6227991343</v>
      </c>
      <c r="J382" s="8" t="n">
        <f aca="false">-CIT_Rate*MAX(0,J379-J381)</f>
        <v>-0</v>
      </c>
      <c r="K382" s="8" t="n">
        <f aca="false">-CIT_Rate*MAX(0,K379-K381)</f>
        <v>-0</v>
      </c>
      <c r="L382" s="8" t="n">
        <f aca="false">-CIT_Rate*MAX(0,L379-L381)</f>
        <v>-0</v>
      </c>
      <c r="M382" s="8" t="n">
        <f aca="false">-CIT_Rate*MAX(0,M379-M381)</f>
        <v>-0</v>
      </c>
      <c r="N382" s="8" t="n">
        <f aca="false">-CIT_Rate*MAX(0,N379-N381)</f>
        <v>-0</v>
      </c>
      <c r="O382" s="8" t="n">
        <f aca="false">-CIT_Rate*MAX(0,O379-O381)</f>
        <v>-263.087763657534</v>
      </c>
      <c r="P382" s="8" t="n">
        <f aca="false">-CIT_Rate*MAX(0,P379-P381)</f>
        <v>-1119.85675568753</v>
      </c>
      <c r="Q382" s="8" t="n">
        <f aca="false">-CIT_Rate*MAX(0,Q379-Q381)</f>
        <v>-1125.26840623463</v>
      </c>
      <c r="R382" s="8" t="n">
        <f aca="false">-CIT_Rate*MAX(0,R379-R381)</f>
        <v>-1130.54191245738</v>
      </c>
      <c r="S382" s="8" t="n">
        <f aca="false">-CIT_Rate*MAX(0,S379-S381)</f>
        <v>-1135.6721109415</v>
      </c>
      <c r="T382" s="8" t="n">
        <f aca="false">-CIT_Rate*MAX(0,T379-T381)</f>
        <v>-1140.65370002162</v>
      </c>
      <c r="U382" s="8" t="n">
        <f aca="false">-CIT_Rate*MAX(0,U379-U381)</f>
        <v>-1145.48123632611</v>
      </c>
      <c r="V382" s="8" t="n">
        <f aca="false">-CIT_Rate*MAX(0,V379-V381)</f>
        <v>-1150.14913123697</v>
      </c>
      <c r="W382" s="8" t="n">
        <f aca="false">-CIT_Rate*MAX(0,W379-W381)</f>
        <v>-1154.65164726256</v>
      </c>
      <c r="X382" s="8" t="n">
        <f aca="false">-CIT_Rate*MAX(0,X379-X381)</f>
        <v>-1158.98289432127</v>
      </c>
      <c r="Y382" s="8" t="n">
        <f aca="false">-CIT_Rate*MAX(0,Y379-Y381)</f>
        <v>-1163.13682593376</v>
      </c>
      <c r="Z382" s="8" t="n">
        <f aca="false">-CIT_Rate*MAX(0,Z379-Z381)</f>
        <v>-1167.10723532164</v>
      </c>
      <c r="AA382" s="8" t="n">
        <f aca="false">-CIT_Rate*MAX(0,AA379-AA381)</f>
        <v>-1170.88775141017</v>
      </c>
      <c r="AB382" s="8" t="n">
        <f aca="false">-CIT_Rate*MAX(0,AB379-AB381)</f>
        <v>-1174.47183473276</v>
      </c>
      <c r="AC382" s="8" t="n">
        <f aca="false">-CIT_Rate*MAX(0,AC379-AC381)</f>
        <v>-1177.85277323487</v>
      </c>
      <c r="AD382" s="8" t="n">
        <f aca="false">-CIT_Rate*MAX(0,AD379-AD381)</f>
        <v>-1181.02367797461</v>
      </c>
      <c r="AE382" s="8" t="n">
        <f aca="false">-CIT_Rate*MAX(0,AE379-AE381)</f>
        <v>-1183.97747871787</v>
      </c>
      <c r="AF382" s="8" t="n">
        <f aca="false">-CIT_Rate*MAX(0,AF379-AF381)</f>
        <v>-1186.70691942507</v>
      </c>
      <c r="AG382" s="8" t="n">
        <f aca="false">-CIT_Rate*MAX(0,AG379-AG381)</f>
        <v>-1189.20455362704</v>
      </c>
      <c r="AH382" s="8" t="n">
        <f aca="false">-CIT_Rate*MAX(0,AH379-AH381)</f>
        <v>-1191.46273968729</v>
      </c>
      <c r="AI382" s="8" t="n">
        <f aca="false">-CIT_Rate*MAX(0,AI379-AI381)</f>
        <v>-1775.67596129031</v>
      </c>
      <c r="AJ382" s="8" t="n">
        <f aca="false">-CIT_Rate*MAX(0,AJ379-AJ381)</f>
        <v>-1777.43152109832</v>
      </c>
      <c r="AK382" s="8" t="n">
        <f aca="false">-CIT_Rate*MAX(0,AK379-AK381)</f>
        <v>-1778.92348771039</v>
      </c>
      <c r="AL382" s="8" t="n">
        <f aca="false">-CIT_Rate*MAX(0,AL379-AL381)</f>
        <v>-1780.14338907184</v>
      </c>
      <c r="AM382" s="8" t="n">
        <f aca="false">-CIT_Rate*MAX(0,AM379-AM381)</f>
        <v>-1781.08253246756</v>
      </c>
      <c r="AN382" s="8" t="n">
        <f aca="false">-CIT_Rate*MAX(0,AN379-AN381)</f>
        <v>-1781.73199904163</v>
      </c>
      <c r="AO382" s="8" t="n">
        <f aca="false">-CIT_Rate*MAX(0,AO379-AO381)</f>
        <v>-1782.08263818214</v>
      </c>
      <c r="AP382" s="8" t="n">
        <f aca="false">-CIT_Rate*MAX(0,AP379-AP381)</f>
        <v>-1782.12506176819</v>
      </c>
      <c r="AQ382" s="8" t="n">
        <f aca="false">-CIT_Rate*MAX(0,AQ379-AQ381)</f>
        <v>-1781.84963827555</v>
      </c>
      <c r="AR382" s="8" t="n">
        <f aca="false">-CIT_Rate*MAX(0,AR379-AR381)</f>
        <v>-1781.24648673749</v>
      </c>
      <c r="AS382" s="8" t="n">
        <f aca="false">-CIT_Rate*MAX(0,AS379-AS381)</f>
        <v>-890.152735278678</v>
      </c>
    </row>
    <row r="383" customFormat="false" ht="14.25" hidden="false" customHeight="false" outlineLevel="1" collapsed="false">
      <c r="C383" s="1" t="s">
        <v>262</v>
      </c>
      <c r="D383" s="2" t="s">
        <v>84</v>
      </c>
      <c r="H383" s="34" t="n">
        <f aca="false">SUM(J383:AS383)</f>
        <v>232348.195861761</v>
      </c>
      <c r="J383" s="34" t="n">
        <f aca="false">J380+J382</f>
        <v>-657.123287671233</v>
      </c>
      <c r="K383" s="34" t="n">
        <f aca="false">K380+K382</f>
        <v>-3612.05479452055</v>
      </c>
      <c r="L383" s="34" t="n">
        <f aca="false">L380+L382</f>
        <v>-3359.81917808219</v>
      </c>
      <c r="M383" s="34" t="n">
        <f aca="false">M380+M382</f>
        <v>-17498.125</v>
      </c>
      <c r="N383" s="34" t="n">
        <f aca="false">N380+N382</f>
        <v>-34996.25</v>
      </c>
      <c r="O383" s="34" t="n">
        <f aca="false">O380+O382</f>
        <v>-14625.9455036575</v>
      </c>
      <c r="P383" s="34" t="n">
        <f aca="false">P380+P382</f>
        <v>10227.2037845125</v>
      </c>
      <c r="Q383" s="34" t="n">
        <f aca="false">Q380+Q382</f>
        <v>12752.3903522245</v>
      </c>
      <c r="R383" s="34" t="n">
        <f aca="false">R380+R382</f>
        <v>10287.7530062083</v>
      </c>
      <c r="S383" s="34" t="n">
        <f aca="false">S380+S382</f>
        <v>10316.8241309516</v>
      </c>
      <c r="T383" s="34" t="n">
        <f aca="false">T380+T382</f>
        <v>10345.0531357389</v>
      </c>
      <c r="U383" s="34" t="n">
        <f aca="false">U380+U382</f>
        <v>10372.4091747977</v>
      </c>
      <c r="V383" s="34" t="n">
        <f aca="false">V380+V382</f>
        <v>10398.8605792926</v>
      </c>
      <c r="W383" s="34" t="n">
        <f aca="false">W380+W382</f>
        <v>10424.3748367709</v>
      </c>
      <c r="X383" s="34" t="n">
        <f aca="false">X380+X382</f>
        <v>10448.9185701036</v>
      </c>
      <c r="Y383" s="34" t="n">
        <f aca="false">Y380+Y382</f>
        <v>10472.4575159078</v>
      </c>
      <c r="Z383" s="34" t="n">
        <f aca="false">Z380+Z382</f>
        <v>10494.9565024391</v>
      </c>
      <c r="AA383" s="34" t="n">
        <f aca="false">AA380+AA382</f>
        <v>10516.3794269407</v>
      </c>
      <c r="AB383" s="34" t="n">
        <f aca="false">AB380+AB382</f>
        <v>10536.6892324354</v>
      </c>
      <c r="AC383" s="34" t="n">
        <f aca="false">AC380+AC382</f>
        <v>10555.8478839473</v>
      </c>
      <c r="AD383" s="34" t="n">
        <f aca="false">AD380+AD382</f>
        <v>10573.8163441392</v>
      </c>
      <c r="AE383" s="34" t="n">
        <f aca="false">AE380+AE382</f>
        <v>10590.5545483511</v>
      </c>
      <c r="AF383" s="34" t="n">
        <f aca="false">AF380+AF382</f>
        <v>10606.0213790252</v>
      </c>
      <c r="AG383" s="34" t="n">
        <f aca="false">AG380+AG382</f>
        <v>10620.174639503</v>
      </c>
      <c r="AH383" s="34" t="n">
        <f aca="false">AH380+AH382</f>
        <v>10632.9710271777</v>
      </c>
      <c r="AI383" s="34" t="n">
        <f aca="false">AI380+AI382</f>
        <v>10062.1637806451</v>
      </c>
      <c r="AJ383" s="34" t="n">
        <f aca="false">AJ380+AJ382</f>
        <v>10072.1119528905</v>
      </c>
      <c r="AK383" s="34" t="n">
        <f aca="false">AK380+AK382</f>
        <v>10080.5664303589</v>
      </c>
      <c r="AL383" s="34" t="n">
        <f aca="false">AL380+AL382</f>
        <v>10087.4792047404</v>
      </c>
      <c r="AM383" s="34" t="n">
        <f aca="false">AM380+AM382</f>
        <v>10092.8010173162</v>
      </c>
      <c r="AN383" s="34" t="n">
        <f aca="false">AN380+AN382</f>
        <v>10096.4813279026</v>
      </c>
      <c r="AO383" s="34" t="n">
        <f aca="false">AO380+AO382</f>
        <v>10098.4682830321</v>
      </c>
      <c r="AP383" s="34" t="n">
        <f aca="false">AP380+AP382</f>
        <v>10098.7086833531</v>
      </c>
      <c r="AQ383" s="34" t="n">
        <f aca="false">AQ380+AQ382</f>
        <v>10097.1479502281</v>
      </c>
      <c r="AR383" s="34" t="n">
        <f aca="false">AR380+AR382</f>
        <v>10093.7300915124</v>
      </c>
      <c r="AS383" s="34" t="n">
        <f aca="false">AS380+AS382</f>
        <v>5044.19883324584</v>
      </c>
    </row>
    <row r="384" customFormat="false" ht="14.25" hidden="false" customHeight="false" outlineLevel="1" collapsed="false">
      <c r="C384" s="6" t="s">
        <v>263</v>
      </c>
      <c r="D384" s="2" t="s">
        <v>84</v>
      </c>
      <c r="H384" s="8" t="n">
        <f aca="false">SUM(J384:AS384)</f>
        <v>46576.1860273973</v>
      </c>
      <c r="J384" s="8" t="n">
        <f aca="false">Gearing*$G$93*J360</f>
        <v>0</v>
      </c>
      <c r="K384" s="8" t="n">
        <f aca="false">Gearing*$G$93*K360</f>
        <v>0</v>
      </c>
      <c r="L384" s="8" t="n">
        <f aca="false">Gearing*$G$93*L360</f>
        <v>0</v>
      </c>
      <c r="M384" s="8" t="n">
        <f aca="false">Gearing*$G$93*M360</f>
        <v>0</v>
      </c>
      <c r="N384" s="8" t="n">
        <f aca="false">Gearing*$G$93*N360</f>
        <v>0</v>
      </c>
      <c r="O384" s="8" t="n">
        <f aca="false">Gearing*$G$93*O360</f>
        <v>46576.1860273973</v>
      </c>
      <c r="P384" s="8" t="n">
        <f aca="false">Gearing*$G$93*P360</f>
        <v>0</v>
      </c>
      <c r="Q384" s="8" t="n">
        <f aca="false">Gearing*$G$93*Q360</f>
        <v>0</v>
      </c>
      <c r="R384" s="8" t="n">
        <f aca="false">Gearing*$G$93*R360</f>
        <v>0</v>
      </c>
      <c r="S384" s="8" t="n">
        <f aca="false">Gearing*$G$93*S360</f>
        <v>0</v>
      </c>
      <c r="T384" s="8" t="n">
        <f aca="false">Gearing*$G$93*T360</f>
        <v>0</v>
      </c>
      <c r="U384" s="8" t="n">
        <f aca="false">Gearing*$G$93*U360</f>
        <v>0</v>
      </c>
      <c r="V384" s="8" t="n">
        <f aca="false">Gearing*$G$93*V360</f>
        <v>0</v>
      </c>
      <c r="W384" s="8" t="n">
        <f aca="false">Gearing*$G$93*W360</f>
        <v>0</v>
      </c>
      <c r="X384" s="8" t="n">
        <f aca="false">Gearing*$G$93*X360</f>
        <v>0</v>
      </c>
      <c r="Y384" s="8" t="n">
        <f aca="false">Gearing*$G$93*Y360</f>
        <v>0</v>
      </c>
      <c r="Z384" s="8" t="n">
        <f aca="false">Gearing*$G$93*Z360</f>
        <v>0</v>
      </c>
      <c r="AA384" s="8" t="n">
        <f aca="false">Gearing*$G$93*AA360</f>
        <v>0</v>
      </c>
      <c r="AB384" s="8" t="n">
        <f aca="false">Gearing*$G$93*AB360</f>
        <v>0</v>
      </c>
      <c r="AC384" s="8" t="n">
        <f aca="false">Gearing*$G$93*AC360</f>
        <v>0</v>
      </c>
      <c r="AD384" s="8" t="n">
        <f aca="false">Gearing*$G$93*AD360</f>
        <v>0</v>
      </c>
      <c r="AE384" s="8" t="n">
        <f aca="false">Gearing*$G$93*AE360</f>
        <v>0</v>
      </c>
      <c r="AF384" s="8" t="n">
        <f aca="false">Gearing*$G$93*AF360</f>
        <v>0</v>
      </c>
      <c r="AG384" s="8" t="n">
        <f aca="false">Gearing*$G$93*AG360</f>
        <v>0</v>
      </c>
      <c r="AH384" s="8" t="n">
        <f aca="false">Gearing*$G$93*AH360</f>
        <v>0</v>
      </c>
      <c r="AI384" s="8" t="n">
        <f aca="false">Gearing*$G$93*AI360</f>
        <v>0</v>
      </c>
      <c r="AJ384" s="8" t="n">
        <f aca="false">Gearing*$G$93*AJ360</f>
        <v>0</v>
      </c>
      <c r="AK384" s="8" t="n">
        <f aca="false">Gearing*$G$93*AK360</f>
        <v>0</v>
      </c>
      <c r="AL384" s="8" t="n">
        <f aca="false">Gearing*$G$93*AL360</f>
        <v>0</v>
      </c>
      <c r="AM384" s="8" t="n">
        <f aca="false">Gearing*$G$93*AM360</f>
        <v>0</v>
      </c>
      <c r="AN384" s="8" t="n">
        <f aca="false">Gearing*$G$93*AN360</f>
        <v>0</v>
      </c>
      <c r="AO384" s="8" t="n">
        <f aca="false">Gearing*$G$93*AO360</f>
        <v>0</v>
      </c>
      <c r="AP384" s="8" t="n">
        <f aca="false">Gearing*$G$93*AP360</f>
        <v>0</v>
      </c>
      <c r="AQ384" s="8" t="n">
        <f aca="false">Gearing*$G$93*AQ360</f>
        <v>0</v>
      </c>
      <c r="AR384" s="8" t="n">
        <f aca="false">Gearing*$G$93*AR360</f>
        <v>0</v>
      </c>
      <c r="AS384" s="8" t="n">
        <f aca="false">Gearing*$G$93*AS360</f>
        <v>0</v>
      </c>
    </row>
    <row r="385" customFormat="false" ht="14.25" hidden="false" customHeight="false" outlineLevel="1" collapsed="false">
      <c r="C385" s="6" t="s">
        <v>264</v>
      </c>
      <c r="D385" s="2" t="s">
        <v>84</v>
      </c>
      <c r="G385" s="53" t="n">
        <f aca="false">Gearing*$G$93*Debt_Rate/(1-(1+Debt_Rate)^-Debt_Tenor)</f>
        <v>4487.25630999317</v>
      </c>
      <c r="H385" s="8" t="n">
        <f aca="false">SUM(J385:AS385)</f>
        <v>-67308.8446498976</v>
      </c>
      <c r="J385" s="8" t="n">
        <f aca="false">-$G385*(J355&gt;=1)*(J355&lt;=Debt_Tenor)</f>
        <v>-0</v>
      </c>
      <c r="K385" s="8" t="n">
        <f aca="false">-$G385*(K355&gt;=1)*(K355&lt;=Debt_Tenor)</f>
        <v>-0</v>
      </c>
      <c r="L385" s="8" t="n">
        <f aca="false">-$G385*(L355&gt;=1)*(L355&lt;=Debt_Tenor)</f>
        <v>-0</v>
      </c>
      <c r="M385" s="8" t="n">
        <f aca="false">-$G385*(M355&gt;=1)*(M355&lt;=Debt_Tenor)</f>
        <v>-0</v>
      </c>
      <c r="N385" s="8" t="n">
        <f aca="false">-$G385*(N355&gt;=1)*(N355&lt;=Debt_Tenor)</f>
        <v>-0</v>
      </c>
      <c r="O385" s="8" t="n">
        <f aca="false">-$G385*(O355&gt;=1)*(O355&lt;=Debt_Tenor)</f>
        <v>-0</v>
      </c>
      <c r="P385" s="8" t="n">
        <f aca="false">-$G385*(P355&gt;=1)*(P355&lt;=Debt_Tenor)</f>
        <v>-4487.25630999317</v>
      </c>
      <c r="Q385" s="8" t="n">
        <f aca="false">-$G385*(Q355&gt;=1)*(Q355&lt;=Debt_Tenor)</f>
        <v>-4487.25630999317</v>
      </c>
      <c r="R385" s="8" t="n">
        <f aca="false">-$G385*(R355&gt;=1)*(R355&lt;=Debt_Tenor)</f>
        <v>-4487.25630999317</v>
      </c>
      <c r="S385" s="8" t="n">
        <f aca="false">-$G385*(S355&gt;=1)*(S355&lt;=Debt_Tenor)</f>
        <v>-4487.25630999317</v>
      </c>
      <c r="T385" s="8" t="n">
        <f aca="false">-$G385*(T355&gt;=1)*(T355&lt;=Debt_Tenor)</f>
        <v>-4487.25630999317</v>
      </c>
      <c r="U385" s="8" t="n">
        <f aca="false">-$G385*(U355&gt;=1)*(U355&lt;=Debt_Tenor)</f>
        <v>-4487.25630999317</v>
      </c>
      <c r="V385" s="8" t="n">
        <f aca="false">-$G385*(V355&gt;=1)*(V355&lt;=Debt_Tenor)</f>
        <v>-4487.25630999317</v>
      </c>
      <c r="W385" s="8" t="n">
        <f aca="false">-$G385*(W355&gt;=1)*(W355&lt;=Debt_Tenor)</f>
        <v>-4487.25630999317</v>
      </c>
      <c r="X385" s="8" t="n">
        <f aca="false">-$G385*(X355&gt;=1)*(X355&lt;=Debt_Tenor)</f>
        <v>-4487.25630999317</v>
      </c>
      <c r="Y385" s="8" t="n">
        <f aca="false">-$G385*(Y355&gt;=1)*(Y355&lt;=Debt_Tenor)</f>
        <v>-4487.25630999317</v>
      </c>
      <c r="Z385" s="8" t="n">
        <f aca="false">-$G385*(Z355&gt;=1)*(Z355&lt;=Debt_Tenor)</f>
        <v>-4487.25630999317</v>
      </c>
      <c r="AA385" s="8" t="n">
        <f aca="false">-$G385*(AA355&gt;=1)*(AA355&lt;=Debt_Tenor)</f>
        <v>-4487.25630999317</v>
      </c>
      <c r="AB385" s="8" t="n">
        <f aca="false">-$G385*(AB355&gt;=1)*(AB355&lt;=Debt_Tenor)</f>
        <v>-4487.25630999317</v>
      </c>
      <c r="AC385" s="8" t="n">
        <f aca="false">-$G385*(AC355&gt;=1)*(AC355&lt;=Debt_Tenor)</f>
        <v>-4487.25630999317</v>
      </c>
      <c r="AD385" s="8" t="n">
        <f aca="false">-$G385*(AD355&gt;=1)*(AD355&lt;=Debt_Tenor)</f>
        <v>-4487.25630999317</v>
      </c>
      <c r="AE385" s="8" t="n">
        <f aca="false">-$G385*(AE355&gt;=1)*(AE355&lt;=Debt_Tenor)</f>
        <v>-0</v>
      </c>
      <c r="AF385" s="8" t="n">
        <f aca="false">-$G385*(AF355&gt;=1)*(AF355&lt;=Debt_Tenor)</f>
        <v>-0</v>
      </c>
      <c r="AG385" s="8" t="n">
        <f aca="false">-$G385*(AG355&gt;=1)*(AG355&lt;=Debt_Tenor)</f>
        <v>-0</v>
      </c>
      <c r="AH385" s="8" t="n">
        <f aca="false">-$G385*(AH355&gt;=1)*(AH355&lt;=Debt_Tenor)</f>
        <v>-0</v>
      </c>
      <c r="AI385" s="8" t="n">
        <f aca="false">-$G385*(AI355&gt;=1)*(AI355&lt;=Debt_Tenor)</f>
        <v>-0</v>
      </c>
      <c r="AJ385" s="8" t="n">
        <f aca="false">-$G385*(AJ355&gt;=1)*(AJ355&lt;=Debt_Tenor)</f>
        <v>-0</v>
      </c>
      <c r="AK385" s="8" t="n">
        <f aca="false">-$G385*(AK355&gt;=1)*(AK355&lt;=Debt_Tenor)</f>
        <v>-0</v>
      </c>
      <c r="AL385" s="8" t="n">
        <f aca="false">-$G385*(AL355&gt;=1)*(AL355&lt;=Debt_Tenor)</f>
        <v>-0</v>
      </c>
      <c r="AM385" s="8" t="n">
        <f aca="false">-$G385*(AM355&gt;=1)*(AM355&lt;=Debt_Tenor)</f>
        <v>-0</v>
      </c>
      <c r="AN385" s="8" t="n">
        <f aca="false">-$G385*(AN355&gt;=1)*(AN355&lt;=Debt_Tenor)</f>
        <v>-0</v>
      </c>
      <c r="AO385" s="8" t="n">
        <f aca="false">-$G385*(AO355&gt;=1)*(AO355&lt;=Debt_Tenor)</f>
        <v>-0</v>
      </c>
      <c r="AP385" s="8" t="n">
        <f aca="false">-$G385*(AP355&gt;=1)*(AP355&lt;=Debt_Tenor)</f>
        <v>-0</v>
      </c>
      <c r="AQ385" s="8" t="n">
        <f aca="false">-$G385*(AQ355&gt;=1)*(AQ355&lt;=Debt_Tenor)</f>
        <v>-0</v>
      </c>
      <c r="AR385" s="8" t="n">
        <f aca="false">-$G385*(AR355&gt;=1)*(AR355&lt;=Debt_Tenor)</f>
        <v>-0</v>
      </c>
      <c r="AS385" s="8" t="n">
        <f aca="false">-$G385*(AS355&gt;=1)*(AS355&lt;=Debt_Tenor)</f>
        <v>-0</v>
      </c>
    </row>
    <row r="386" customFormat="false" ht="14.25" hidden="false" customHeight="false" outlineLevel="1" collapsed="false">
      <c r="C386" s="6" t="s">
        <v>265</v>
      </c>
      <c r="D386" s="2" t="s">
        <v>84</v>
      </c>
      <c r="H386" s="8"/>
      <c r="J386" s="8" t="n">
        <f aca="false">I386*(1+Debt_Rate)+J384+J385</f>
        <v>0</v>
      </c>
      <c r="K386" s="8" t="n">
        <f aca="false">J386*(1+Debt_Rate)+K384+K385</f>
        <v>0</v>
      </c>
      <c r="L386" s="8" t="n">
        <f aca="false">K386*(1+Debt_Rate)+L384+L385</f>
        <v>0</v>
      </c>
      <c r="M386" s="8" t="n">
        <f aca="false">L386*(1+Debt_Rate)+M384+M385</f>
        <v>0</v>
      </c>
      <c r="N386" s="8" t="n">
        <f aca="false">M386*(1+Debt_Rate)+N384+N385</f>
        <v>0</v>
      </c>
      <c r="O386" s="8" t="n">
        <f aca="false">N386*(1+Debt_Rate)+O384+O385</f>
        <v>46576.1860273973</v>
      </c>
      <c r="P386" s="8" t="n">
        <f aca="false">O386*(1+Debt_Rate)+P384+P385</f>
        <v>44417.739018774</v>
      </c>
      <c r="Q386" s="8" t="n">
        <f aca="false">P386*(1+Debt_Rate)+Q384+Q385</f>
        <v>42151.3696597195</v>
      </c>
      <c r="R386" s="8" t="n">
        <f aca="false">Q386*(1+Debt_Rate)+R384+R385</f>
        <v>39771.6818327123</v>
      </c>
      <c r="S386" s="8" t="n">
        <f aca="false">R386*(1+Debt_Rate)+S384+S385</f>
        <v>37273.0096143547</v>
      </c>
      <c r="T386" s="8" t="n">
        <f aca="false">S386*(1+Debt_Rate)+T384+T385</f>
        <v>34649.4037850793</v>
      </c>
      <c r="U386" s="8" t="n">
        <f aca="false">T386*(1+Debt_Rate)+U384+U385</f>
        <v>31894.6176643401</v>
      </c>
      <c r="V386" s="8" t="n">
        <f aca="false">U386*(1+Debt_Rate)+V384+V385</f>
        <v>29002.0922375639</v>
      </c>
      <c r="W386" s="8" t="n">
        <f aca="false">V386*(1+Debt_Rate)+W384+W385</f>
        <v>25964.940539449</v>
      </c>
      <c r="X386" s="8" t="n">
        <f aca="false">W386*(1+Debt_Rate)+X384+X385</f>
        <v>22775.9312564282</v>
      </c>
      <c r="Y386" s="8" t="n">
        <f aca="false">X386*(1+Debt_Rate)+Y384+Y385</f>
        <v>19427.4715092565</v>
      </c>
      <c r="Z386" s="8" t="n">
        <f aca="false">Y386*(1+Debt_Rate)+Z384+Z385</f>
        <v>15911.5887747261</v>
      </c>
      <c r="AA386" s="8" t="n">
        <f aca="false">Z386*(1+Debt_Rate)+AA384+AA385</f>
        <v>12219.9119034692</v>
      </c>
      <c r="AB386" s="8" t="n">
        <f aca="false">AA386*(1+Debt_Rate)+AB384+AB385</f>
        <v>8343.65118864953</v>
      </c>
      <c r="AC386" s="8" t="n">
        <f aca="false">AB386*(1+Debt_Rate)+AC384+AC385</f>
        <v>4273.57743808883</v>
      </c>
      <c r="AD386" s="8" t="n">
        <f aca="false">AC386*(1+Debt_Rate)+AD384+AD385</f>
        <v>1.01863406598568E-010</v>
      </c>
      <c r="AE386" s="8" t="n">
        <f aca="false">AD386*(1+Debt_Rate)+AE384+AE385</f>
        <v>1.06956576928496E-010</v>
      </c>
      <c r="AF386" s="8" t="n">
        <f aca="false">AE386*(1+Debt_Rate)+AF384+AF385</f>
        <v>1.12304405774921E-010</v>
      </c>
      <c r="AG386" s="8" t="n">
        <f aca="false">AF386*(1+Debt_Rate)+AG384+AG385</f>
        <v>1.17919626063667E-010</v>
      </c>
      <c r="AH386" s="8" t="n">
        <f aca="false">AG386*(1+Debt_Rate)+AH384+AH385</f>
        <v>1.23815607366851E-010</v>
      </c>
      <c r="AI386" s="8" t="n">
        <f aca="false">AH386*(1+Debt_Rate)+AI384+AI385</f>
        <v>1.30006387735193E-010</v>
      </c>
      <c r="AJ386" s="8" t="n">
        <f aca="false">AI386*(1+Debt_Rate)+AJ384+AJ385</f>
        <v>1.36506707121953E-010</v>
      </c>
      <c r="AK386" s="8" t="n">
        <f aca="false">AJ386*(1+Debt_Rate)+AK384+AK385</f>
        <v>1.4333204247805E-010</v>
      </c>
      <c r="AL386" s="8" t="n">
        <f aca="false">AK386*(1+Debt_Rate)+AL384+AL385</f>
        <v>1.50498644601953E-010</v>
      </c>
      <c r="AM386" s="8" t="n">
        <f aca="false">AL386*(1+Debt_Rate)+AM384+AM385</f>
        <v>1.58023576832051E-010</v>
      </c>
      <c r="AN386" s="8" t="n">
        <f aca="false">AM386*(1+Debt_Rate)+AN384+AN385</f>
        <v>1.65924755673653E-010</v>
      </c>
      <c r="AO386" s="8" t="n">
        <f aca="false">AN386*(1+Debt_Rate)+AO384+AO385</f>
        <v>1.74220993457336E-010</v>
      </c>
      <c r="AP386" s="8" t="n">
        <f aca="false">AO386*(1+Debt_Rate)+AP384+AP385</f>
        <v>1.82932043130203E-010</v>
      </c>
      <c r="AQ386" s="8" t="n">
        <f aca="false">AP386*(1+Debt_Rate)+AQ384+AQ385</f>
        <v>1.92078645286713E-010</v>
      </c>
      <c r="AR386" s="8" t="n">
        <f aca="false">AQ386*(1+Debt_Rate)+AR384+AR385</f>
        <v>2.01682577551048E-010</v>
      </c>
      <c r="AS386" s="8" t="n">
        <f aca="false">AR386*(1+Debt_Rate)+AS384+AS385</f>
        <v>2.11766706428601E-010</v>
      </c>
    </row>
    <row r="387" customFormat="false" ht="14.25" hidden="false" customHeight="false" outlineLevel="1" collapsed="false">
      <c r="C387" s="1" t="s">
        <v>266</v>
      </c>
      <c r="D387" s="2" t="s">
        <v>84</v>
      </c>
      <c r="H387" s="34" t="n">
        <f aca="false">SUM(J387:AS387)</f>
        <v>211615.537239261</v>
      </c>
      <c r="J387" s="34" t="n">
        <f aca="false">J383+J384+J385</f>
        <v>-657.123287671233</v>
      </c>
      <c r="K387" s="34" t="n">
        <f aca="false">K383+K384+K385</f>
        <v>-3612.05479452055</v>
      </c>
      <c r="L387" s="34" t="n">
        <f aca="false">L383+L384+L385</f>
        <v>-3359.81917808219</v>
      </c>
      <c r="M387" s="34" t="n">
        <f aca="false">M383+M384+M385</f>
        <v>-17498.125</v>
      </c>
      <c r="N387" s="34" t="n">
        <f aca="false">N383+N384+N385</f>
        <v>-34996.25</v>
      </c>
      <c r="O387" s="34" t="n">
        <f aca="false">O383+O384+O385</f>
        <v>31950.2405237397</v>
      </c>
      <c r="P387" s="34" t="n">
        <f aca="false">P383+P384+P385</f>
        <v>5739.94747451929</v>
      </c>
      <c r="Q387" s="34" t="n">
        <f aca="false">Q383+Q384+Q385</f>
        <v>8265.13404223135</v>
      </c>
      <c r="R387" s="34" t="n">
        <f aca="false">R383+R384+R385</f>
        <v>5800.49669621511</v>
      </c>
      <c r="S387" s="34" t="n">
        <f aca="false">S383+S384+S385</f>
        <v>5829.56782095844</v>
      </c>
      <c r="T387" s="34" t="n">
        <f aca="false">T383+T384+T385</f>
        <v>5857.79682574577</v>
      </c>
      <c r="U387" s="34" t="n">
        <f aca="false">U383+U384+U385</f>
        <v>5885.15286480458</v>
      </c>
      <c r="V387" s="34" t="n">
        <f aca="false">V383+V384+V385</f>
        <v>5911.60426929942</v>
      </c>
      <c r="W387" s="34" t="n">
        <f aca="false">W383+W384+W385</f>
        <v>5937.11852677774</v>
      </c>
      <c r="X387" s="34" t="n">
        <f aca="false">X383+X384+X385</f>
        <v>5961.66226011043</v>
      </c>
      <c r="Y387" s="34" t="n">
        <f aca="false">Y383+Y384+Y385</f>
        <v>5985.2012059146</v>
      </c>
      <c r="Z387" s="34" t="n">
        <f aca="false">Z383+Z384+Z385</f>
        <v>6007.70019244592</v>
      </c>
      <c r="AA387" s="34" t="n">
        <f aca="false">AA383+AA384+AA385</f>
        <v>6029.12311694755</v>
      </c>
      <c r="AB387" s="34" t="n">
        <f aca="false">AB383+AB384+AB385</f>
        <v>6049.43292244226</v>
      </c>
      <c r="AC387" s="34" t="n">
        <f aca="false">AC383+AC384+AC385</f>
        <v>6068.59157395417</v>
      </c>
      <c r="AD387" s="34" t="n">
        <f aca="false">AD383+AD384+AD385</f>
        <v>6086.56003414605</v>
      </c>
      <c r="AE387" s="34" t="n">
        <f aca="false">AE383+AE384+AE385</f>
        <v>10590.5545483511</v>
      </c>
      <c r="AF387" s="34" t="n">
        <f aca="false">AF383+AF384+AF385</f>
        <v>10606.0213790252</v>
      </c>
      <c r="AG387" s="34" t="n">
        <f aca="false">AG383+AG384+AG385</f>
        <v>10620.174639503</v>
      </c>
      <c r="AH387" s="34" t="n">
        <f aca="false">AH383+AH384+AH385</f>
        <v>10632.9710271777</v>
      </c>
      <c r="AI387" s="34" t="n">
        <f aca="false">AI383+AI384+AI385</f>
        <v>10062.1637806451</v>
      </c>
      <c r="AJ387" s="34" t="n">
        <f aca="false">AJ383+AJ384+AJ385</f>
        <v>10072.1119528905</v>
      </c>
      <c r="AK387" s="34" t="n">
        <f aca="false">AK383+AK384+AK385</f>
        <v>10080.5664303589</v>
      </c>
      <c r="AL387" s="34" t="n">
        <f aca="false">AL383+AL384+AL385</f>
        <v>10087.4792047404</v>
      </c>
      <c r="AM387" s="34" t="n">
        <f aca="false">AM383+AM384+AM385</f>
        <v>10092.8010173162</v>
      </c>
      <c r="AN387" s="34" t="n">
        <f aca="false">AN383+AN384+AN385</f>
        <v>10096.4813279026</v>
      </c>
      <c r="AO387" s="34" t="n">
        <f aca="false">AO383+AO384+AO385</f>
        <v>10098.4682830321</v>
      </c>
      <c r="AP387" s="34" t="n">
        <f aca="false">AP383+AP384+AP385</f>
        <v>10098.7086833531</v>
      </c>
      <c r="AQ387" s="34" t="n">
        <f aca="false">AQ383+AQ384+AQ385</f>
        <v>10097.1479502281</v>
      </c>
      <c r="AR387" s="34" t="n">
        <f aca="false">AR383+AR384+AR385</f>
        <v>10093.7300915124</v>
      </c>
      <c r="AS387" s="34" t="n">
        <f aca="false">AS383+AS384+AS385</f>
        <v>5044.19883324584</v>
      </c>
    </row>
    <row r="388" customFormat="false" ht="14.25" hidden="false" customHeight="false" outlineLevel="1" collapsed="false">
      <c r="C388" s="6" t="s">
        <v>267</v>
      </c>
      <c r="D388" s="2" t="s">
        <v>3</v>
      </c>
      <c r="J388" s="49" t="str">
        <f aca="false">IF(J385&lt;0,(J379+J382)/-J385,"")</f>
        <v/>
      </c>
      <c r="K388" s="49" t="str">
        <f aca="false">IF(K385&lt;0,(K379+K382)/-K385,"")</f>
        <v/>
      </c>
      <c r="L388" s="49" t="str">
        <f aca="false">IF(L385&lt;0,(L379+L382)/-L385,"")</f>
        <v/>
      </c>
      <c r="M388" s="49" t="str">
        <f aca="false">IF(M385&lt;0,(M379+M382)/-M385,"")</f>
        <v/>
      </c>
      <c r="N388" s="49" t="str">
        <f aca="false">IF(N385&lt;0,(N379+N382)/-N385,"")</f>
        <v/>
      </c>
      <c r="O388" s="49" t="str">
        <f aca="false">IF(O385&lt;0,(O379+O382)/-O385,"")</f>
        <v/>
      </c>
      <c r="P388" s="49" t="n">
        <f aca="false">IF(P385&lt;0,(P379+P382)/-P385,"")</f>
        <v>2.27916639433686</v>
      </c>
      <c r="Q388" s="49" t="n">
        <f aca="false">IF(Q385&lt;0,(Q379+Q382)/-Q385,"")</f>
        <v>2.2860004188829</v>
      </c>
      <c r="R388" s="49" t="n">
        <f aca="false">IF(R385&lt;0,(R379+R382)/-R385,"")</f>
        <v>2.29265998986894</v>
      </c>
      <c r="S388" s="49" t="n">
        <f aca="false">IF(S385&lt;0,(S379+S382)/-S385,"")</f>
        <v>2.29913858675198</v>
      </c>
      <c r="T388" s="49" t="n">
        <f aca="false">IF(T385&lt;0,(T379+T382)/-T385,"")</f>
        <v>2.30542951440068</v>
      </c>
      <c r="U388" s="49" t="n">
        <f aca="false">IF(U385&lt;0,(U379+U382)/-U385,"")</f>
        <v>2.31152589873199</v>
      </c>
      <c r="V388" s="49" t="n">
        <f aca="false">IF(V385&lt;0,(V379+V382)/-V385,"")</f>
        <v>2.31742068224055</v>
      </c>
      <c r="W388" s="49" t="n">
        <f aca="false">IF(W385&lt;0,(W379+W382)/-W385,"")</f>
        <v>2.32310661941813</v>
      </c>
      <c r="X388" s="49" t="n">
        <f aca="false">IF(X385&lt;0,(X379+X382)/-X385,"")</f>
        <v>2.32857627206044</v>
      </c>
      <c r="Y388" s="49" t="n">
        <f aca="false">IF(Y385&lt;0,(Y379+Y382)/-Y385,"")</f>
        <v>2.3338220044586</v>
      </c>
      <c r="Z388" s="49" t="n">
        <f aca="false">IF(Z385&lt;0,(Z379+Z382)/-Z385,"")</f>
        <v>2.33883597847235</v>
      </c>
      <c r="AA388" s="49" t="n">
        <f aca="false">IF(AA385&lt;0,(AA379+AA382)/-AA385,"")</f>
        <v>2.34361014848218</v>
      </c>
      <c r="AB388" s="49" t="n">
        <f aca="false">IF(AB385&lt;0,(AB379+AB382)/-AB385,"")</f>
        <v>2.34813625621743</v>
      </c>
      <c r="AC388" s="49" t="n">
        <f aca="false">IF(AC385&lt;0,(AC379+AC382)/-AC385,"")</f>
        <v>2.35240582545716</v>
      </c>
      <c r="AD388" s="49" t="n">
        <f aca="false">IF(AD385&lt;0,(AD379+AD382)/-AD385,"")</f>
        <v>2.35641015660086</v>
      </c>
      <c r="AE388" s="49" t="str">
        <f aca="false">IF(AE385&lt;0,(AE379+AE382)/-AE385,"")</f>
        <v/>
      </c>
      <c r="AF388" s="49" t="str">
        <f aca="false">IF(AF385&lt;0,(AF379+AF382)/-AF385,"")</f>
        <v/>
      </c>
      <c r="AG388" s="49" t="str">
        <f aca="false">IF(AG385&lt;0,(AG379+AG382)/-AG385,"")</f>
        <v/>
      </c>
      <c r="AH388" s="49" t="str">
        <f aca="false">IF(AH385&lt;0,(AH379+AH382)/-AH385,"")</f>
        <v/>
      </c>
      <c r="AI388" s="49" t="str">
        <f aca="false">IF(AI385&lt;0,(AI379+AI382)/-AI385,"")</f>
        <v/>
      </c>
      <c r="AJ388" s="49" t="str">
        <f aca="false">IF(AJ385&lt;0,(AJ379+AJ382)/-AJ385,"")</f>
        <v/>
      </c>
      <c r="AK388" s="49" t="str">
        <f aca="false">IF(AK385&lt;0,(AK379+AK382)/-AK385,"")</f>
        <v/>
      </c>
      <c r="AL388" s="49" t="str">
        <f aca="false">IF(AL385&lt;0,(AL379+AL382)/-AL385,"")</f>
        <v/>
      </c>
      <c r="AM388" s="49" t="str">
        <f aca="false">IF(AM385&lt;0,(AM379+AM382)/-AM385,"")</f>
        <v/>
      </c>
      <c r="AN388" s="49" t="str">
        <f aca="false">IF(AN385&lt;0,(AN379+AN382)/-AN385,"")</f>
        <v/>
      </c>
      <c r="AO388" s="49" t="str">
        <f aca="false">IF(AO385&lt;0,(AO379+AO382)/-AO385,"")</f>
        <v/>
      </c>
      <c r="AP388" s="49" t="str">
        <f aca="false">IF(AP385&lt;0,(AP379+AP382)/-AP385,"")</f>
        <v/>
      </c>
      <c r="AQ388" s="49" t="str">
        <f aca="false">IF(AQ385&lt;0,(AQ379+AQ382)/-AQ385,"")</f>
        <v/>
      </c>
      <c r="AR388" s="49" t="str">
        <f aca="false">IF(AR385&lt;0,(AR379+AR382)/-AR385,"")</f>
        <v/>
      </c>
      <c r="AS388" s="49" t="str">
        <f aca="false">IF(AS385&lt;0,(AS379+AS382)/-AS385,"")</f>
        <v/>
      </c>
    </row>
    <row r="389" customFormat="false" ht="14.25" hidden="false" customHeight="false" outlineLevel="1" collapsed="false">
      <c r="C389" s="6" t="s">
        <v>268</v>
      </c>
      <c r="D389" s="2" t="s">
        <v>3</v>
      </c>
      <c r="J389" s="66" t="n">
        <f aca="false">(1+Discount_Rate)^((Inputs!$G$33-J$272)/Days_In_Year)</f>
        <v>1.41371255107938</v>
      </c>
      <c r="K389" s="66" t="n">
        <f aca="false">(1+Discount_Rate)^((Inputs!$G$33-K$272)/Days_In_Year)</f>
        <v>1.30899310285128</v>
      </c>
      <c r="L389" s="66" t="n">
        <f aca="false">(1+Discount_Rate)^((Inputs!$G$33-L$272)/Days_In_Year)</f>
        <v>1.21177511843915</v>
      </c>
      <c r="M389" s="66" t="n">
        <f aca="false">(1+Discount_Rate)^((Inputs!$G$33-M$272)/Days_In_Year)</f>
        <v>1.12201399855477</v>
      </c>
      <c r="N389" s="66" t="n">
        <f aca="false">(1+Discount_Rate)^((Inputs!$G$33-N$272)/Days_In_Year)</f>
        <v>1.03890185051367</v>
      </c>
      <c r="O389" s="66" t="n">
        <f aca="false">(1+Discount_Rate)^((Inputs!$G$33-O$272)/Days_In_Year)</f>
        <v>0.961946157883031</v>
      </c>
      <c r="P389" s="66" t="n">
        <f aca="false">(1+Discount_Rate)^((Inputs!$G$33-P$272)/Days_In_Year)</f>
        <v>0.890503102622714</v>
      </c>
      <c r="Q389" s="66" t="n">
        <f aca="false">(1+Discount_Rate)^((Inputs!$G$33-Q$272)/Days_In_Year)</f>
        <v>0.824539909835846</v>
      </c>
      <c r="R389" s="66" t="n">
        <f aca="false">(1+Discount_Rate)^((Inputs!$G$33-R$272)/Days_In_Year)</f>
        <v>0.763462879477635</v>
      </c>
      <c r="S389" s="66" t="n">
        <f aca="false">(1+Discount_Rate)^((Inputs!$G$33-S$272)/Days_In_Year)</f>
        <v>0.706910073590403</v>
      </c>
      <c r="T389" s="66" t="n">
        <f aca="false">(1+Discount_Rate)^((Inputs!$G$33-T$272)/Days_In_Year)</f>
        <v>0.654408366464987</v>
      </c>
      <c r="U389" s="66" t="n">
        <f aca="false">(1+Discount_Rate)^((Inputs!$G$33-U$272)/Days_In_Year)</f>
        <v>0.605933672652766</v>
      </c>
      <c r="V389" s="66" t="n">
        <f aca="false">(1+Discount_Rate)^((Inputs!$G$33-V$272)/Days_In_Year)</f>
        <v>0.561049696900709</v>
      </c>
      <c r="W389" s="66" t="n">
        <f aca="false">(1+Discount_Rate)^((Inputs!$G$33-W$272)/Days_In_Year)</f>
        <v>0.519490460093249</v>
      </c>
      <c r="X389" s="66" t="n">
        <f aca="false">(1+Discount_Rate)^((Inputs!$G$33-X$272)/Days_In_Year)</f>
        <v>0.480908274028566</v>
      </c>
      <c r="Y389" s="66" t="n">
        <f aca="false">(1+Discount_Rate)^((Inputs!$G$33-Y$272)/Days_In_Year)</f>
        <v>0.445285438915339</v>
      </c>
      <c r="Z389" s="66" t="n">
        <f aca="false">(1+Discount_Rate)^((Inputs!$G$33-Z$272)/Days_In_Year)</f>
        <v>0.412301332329018</v>
      </c>
      <c r="AA389" s="66" t="n">
        <f aca="false">(1+Discount_Rate)^((Inputs!$G$33-AA$272)/Days_In_Year)</f>
        <v>0.381760492897239</v>
      </c>
      <c r="AB389" s="66" t="n">
        <f aca="false">(1+Discount_Rate)^((Inputs!$G$33-AB$272)/Days_In_Year)</f>
        <v>0.353407413292154</v>
      </c>
      <c r="AC389" s="66" t="n">
        <f aca="false">(1+Discount_Rate)^((Inputs!$G$33-AC$272)/Days_In_Year)</f>
        <v>0.327229086381624</v>
      </c>
      <c r="AD389" s="66" t="n">
        <f aca="false">(1+Discount_Rate)^((Inputs!$G$33-AD$272)/Days_In_Year)</f>
        <v>0.3029898947978</v>
      </c>
      <c r="AE389" s="66" t="n">
        <f aca="false">(1+Discount_Rate)^((Inputs!$G$33-AE$272)/Days_In_Year)</f>
        <v>0.280546198886852</v>
      </c>
      <c r="AF389" s="66" t="n">
        <f aca="false">(1+Discount_Rate)^((Inputs!$G$33-AF$272)/Days_In_Year)</f>
        <v>0.259710232730228</v>
      </c>
      <c r="AG389" s="66" t="n">
        <f aca="false">(1+Discount_Rate)^((Inputs!$G$33-AG$272)/Days_In_Year)</f>
        <v>0.240472437713174</v>
      </c>
      <c r="AH389" s="66" t="n">
        <f aca="false">(1+Discount_Rate)^((Inputs!$G$33-AH$272)/Days_In_Year)</f>
        <v>0.222659664549235</v>
      </c>
      <c r="AI389" s="66" t="n">
        <f aca="false">(1+Discount_Rate)^((Inputs!$G$33-AI$272)/Days_In_Year)</f>
        <v>0.206166356064106</v>
      </c>
      <c r="AJ389" s="66" t="n">
        <f aca="false">(1+Discount_Rate)^((Inputs!$G$33-AJ$272)/Days_In_Year)</f>
        <v>0.190854527799705</v>
      </c>
      <c r="AK389" s="66" t="n">
        <f aca="false">(1+Discount_Rate)^((Inputs!$G$33-AK$272)/Days_In_Year)</f>
        <v>0.176717155370097</v>
      </c>
      <c r="AL389" s="66" t="n">
        <f aca="false">(1+Discount_Rate)^((Inputs!$G$33-AL$272)/Days_In_Year)</f>
        <v>0.163626995713053</v>
      </c>
      <c r="AM389" s="66" t="n">
        <f aca="false">(1+Discount_Rate)^((Inputs!$G$33-AM$272)/Days_In_Year)</f>
        <v>0.151506477512086</v>
      </c>
      <c r="AN389" s="66" t="n">
        <f aca="false">(1+Discount_Rate)^((Inputs!$G$33-AN$272)/Days_In_Year)</f>
        <v>0.140254199454224</v>
      </c>
      <c r="AO389" s="66" t="n">
        <f aca="false">(1+Discount_Rate)^((Inputs!$G$33-AO$272)/Days_In_Year)</f>
        <v>0.129864999494652</v>
      </c>
      <c r="AP389" s="66" t="n">
        <f aca="false">(1+Discount_Rate)^((Inputs!$G$33-AP$272)/Days_In_Year)</f>
        <v>0.120245369902455</v>
      </c>
      <c r="AQ389" s="66" t="n">
        <f aca="false">(1+Discount_Rate)^((Inputs!$G$33-AQ$272)/Days_In_Year)</f>
        <v>0.111338305465236</v>
      </c>
      <c r="AR389" s="66" t="n">
        <f aca="false">(1+Discount_Rate)^((Inputs!$G$33-AR$272)/Days_In_Year)</f>
        <v>0.103069288904634</v>
      </c>
      <c r="AS389" s="66" t="n">
        <f aca="false">(1+Discount_Rate)^((Inputs!$G$33-AS$272)/Days_In_Year)</f>
        <v>0.0954345267635496</v>
      </c>
    </row>
    <row r="390" customFormat="false" ht="14.25" hidden="false" customHeight="false" outlineLevel="1" collapsed="false">
      <c r="C390" s="6" t="s">
        <v>269</v>
      </c>
      <c r="D390" s="2" t="s">
        <v>84</v>
      </c>
      <c r="H390" s="8" t="n">
        <f aca="false">SUM(J390:AS390)</f>
        <v>130416.00131392</v>
      </c>
      <c r="J390" s="8" t="n">
        <f aca="false">J379*J389</f>
        <v>0</v>
      </c>
      <c r="K390" s="8" t="n">
        <f aca="false">K379*K389</f>
        <v>0</v>
      </c>
      <c r="L390" s="8" t="n">
        <f aca="false">L379*L389</f>
        <v>0</v>
      </c>
      <c r="M390" s="8" t="n">
        <f aca="false">M379*M389</f>
        <v>0</v>
      </c>
      <c r="N390" s="8" t="n">
        <f aca="false">N379*N389</f>
        <v>0</v>
      </c>
      <c r="O390" s="8" t="n">
        <f aca="false">O379*O389</f>
        <v>5420.82368940103</v>
      </c>
      <c r="P390" s="8" t="n">
        <f aca="false">P379*P389</f>
        <v>10104.5926166959</v>
      </c>
      <c r="Q390" s="8" t="n">
        <f aca="false">Q379*Q389</f>
        <v>9385.85175374614</v>
      </c>
      <c r="R390" s="8" t="n">
        <f aca="false">R379*R389</f>
        <v>8717.44431732934</v>
      </c>
      <c r="S390" s="8" t="n">
        <f aca="false">S379*S389</f>
        <v>8095.88496115048</v>
      </c>
      <c r="T390" s="8" t="n">
        <f aca="false">T379*T389</f>
        <v>7516.3426480858</v>
      </c>
      <c r="U390" s="8" t="n">
        <f aca="false">U379*U389</f>
        <v>6979.07763802436</v>
      </c>
      <c r="V390" s="8" t="n">
        <f aca="false">V379*V389</f>
        <v>6479.56839759595</v>
      </c>
      <c r="W390" s="8" t="n">
        <f aca="false">W379*W389</f>
        <v>6015.19379562246</v>
      </c>
      <c r="X390" s="8" t="n">
        <f aca="false">X379*X389</f>
        <v>5582.33585835024</v>
      </c>
      <c r="Y390" s="8" t="n">
        <f aca="false">Y379*Y389</f>
        <v>5181.16073354775</v>
      </c>
      <c r="Z390" s="8" t="n">
        <f aca="false">Z379*Z389</f>
        <v>4808.28441678468</v>
      </c>
      <c r="AA390" s="8" t="n">
        <f aca="false">AA379*AA389</f>
        <v>4461.73687862896</v>
      </c>
      <c r="AB390" s="8" t="n">
        <f aca="false">AB379*AB389</f>
        <v>4138.81113939569</v>
      </c>
      <c r="AC390" s="8" t="n">
        <f aca="false">AC379*AC389</f>
        <v>3839.60814592519</v>
      </c>
      <c r="AD390" s="8" t="n">
        <f aca="false">AD379*AD389</f>
        <v>3561.59774166524</v>
      </c>
      <c r="AE390" s="8" t="n">
        <f aca="false">AE379*AE389</f>
        <v>3303.30020386569</v>
      </c>
      <c r="AF390" s="8" t="n">
        <f aca="false">AF379*AF389</f>
        <v>3062.69221091486</v>
      </c>
      <c r="AG390" s="8" t="n">
        <f aca="false">AG379*AG389</f>
        <v>2839.83020245122</v>
      </c>
      <c r="AH390" s="8" t="n">
        <f aca="false">AH379*AH389</f>
        <v>2632.82445601481</v>
      </c>
      <c r="AI390" s="8" t="n">
        <f aca="false">AI379*AI389</f>
        <v>2440.56428326569</v>
      </c>
      <c r="AJ390" s="8" t="n">
        <f aca="false">AJ379*AJ389</f>
        <v>2261.5390243702</v>
      </c>
      <c r="AK390" s="8" t="n">
        <f aca="false">AK379*AK389</f>
        <v>2095.77532246155</v>
      </c>
      <c r="AL390" s="8" t="n">
        <f aca="false">AL379*AL389</f>
        <v>1941.86343128184</v>
      </c>
      <c r="AM390" s="8" t="n">
        <f aca="false">AM379*AM389</f>
        <v>1798.97027101644</v>
      </c>
      <c r="AN390" s="8" t="n">
        <f aca="false">AN379*AN389</f>
        <v>1665.96930111705</v>
      </c>
      <c r="AO390" s="8" t="n">
        <f aca="false">AO379*AO389</f>
        <v>1542.86773937967</v>
      </c>
      <c r="AP390" s="8" t="n">
        <f aca="false">AP379*AP389</f>
        <v>1428.61524843168</v>
      </c>
      <c r="AQ390" s="8" t="n">
        <f aca="false">AQ379*AQ389</f>
        <v>1322.58746212963</v>
      </c>
      <c r="AR390" s="8" t="n">
        <f aca="false">AR379*AR389</f>
        <v>1223.9453916794</v>
      </c>
      <c r="AS390" s="8" t="n">
        <f aca="false">AS379*AS389</f>
        <v>566.342033590665</v>
      </c>
    </row>
    <row r="391" customFormat="false" ht="14.25" hidden="false" customHeight="false" outlineLevel="1" collapsed="false">
      <c r="C391" s="6" t="s">
        <v>270</v>
      </c>
      <c r="D391" s="2" t="s">
        <v>84</v>
      </c>
      <c r="H391" s="8" t="n">
        <f aca="false">SUM(J391:AS391)</f>
        <v>0</v>
      </c>
      <c r="J391" s="8" t="n">
        <f aca="false">-($G$206+$G$193)*(J$271=YEAR(Sale_Date))</f>
        <v>-0</v>
      </c>
      <c r="K391" s="8" t="n">
        <f aca="false">-($G$206+$G$193)*(K$271=YEAR(Sale_Date))</f>
        <v>-0</v>
      </c>
      <c r="L391" s="8" t="n">
        <f aca="false">-($G$206+$G$193)*(L$271=YEAR(Sale_Date))</f>
        <v>-0</v>
      </c>
      <c r="M391" s="8" t="n">
        <f aca="false">-($G$206+$G$193)*(M$271=YEAR(Sale_Date))</f>
        <v>-0</v>
      </c>
      <c r="N391" s="8" t="n">
        <f aca="false">-($G$206+$G$193)*(N$271=YEAR(Sale_Date))</f>
        <v>-0</v>
      </c>
      <c r="O391" s="8" t="n">
        <f aca="false">-($G$206+$G$193)*(O$271=YEAR(Sale_Date))</f>
        <v>-0</v>
      </c>
      <c r="P391" s="8" t="n">
        <f aca="false">-($G$206+$G$193)*(P$271=YEAR(Sale_Date))</f>
        <v>-0</v>
      </c>
      <c r="Q391" s="8" t="n">
        <f aca="false">-($G$206+$G$193)*(Q$271=YEAR(Sale_Date))</f>
        <v>-0</v>
      </c>
      <c r="R391" s="8" t="n">
        <f aca="false">-($G$206+$G$193)*(R$271=YEAR(Sale_Date))</f>
        <v>-0</v>
      </c>
      <c r="S391" s="8" t="n">
        <f aca="false">-($G$206+$G$193)*(S$271=YEAR(Sale_Date))</f>
        <v>-0</v>
      </c>
      <c r="T391" s="8" t="n">
        <f aca="false">-($G$206+$G$193)*(T$271=YEAR(Sale_Date))</f>
        <v>-0</v>
      </c>
      <c r="U391" s="8" t="n">
        <f aca="false">-($G$206+$G$193)*(U$271=YEAR(Sale_Date))</f>
        <v>-0</v>
      </c>
      <c r="V391" s="8" t="n">
        <f aca="false">-($G$206+$G$193)*(V$271=YEAR(Sale_Date))</f>
        <v>-0</v>
      </c>
      <c r="W391" s="8" t="n">
        <f aca="false">-($G$206+$G$193)*(W$271=YEAR(Sale_Date))</f>
        <v>-0</v>
      </c>
      <c r="X391" s="8" t="n">
        <f aca="false">-($G$206+$G$193)*(X$271=YEAR(Sale_Date))</f>
        <v>-0</v>
      </c>
      <c r="Y391" s="8" t="n">
        <f aca="false">-($G$206+$G$193)*(Y$271=YEAR(Sale_Date))</f>
        <v>-0</v>
      </c>
      <c r="Z391" s="8" t="n">
        <f aca="false">-($G$206+$G$193)*(Z$271=YEAR(Sale_Date))</f>
        <v>-0</v>
      </c>
      <c r="AA391" s="8" t="n">
        <f aca="false">-($G$206+$G$193)*(AA$271=YEAR(Sale_Date))</f>
        <v>-0</v>
      </c>
      <c r="AB391" s="8" t="n">
        <f aca="false">-($G$206+$G$193)*(AB$271=YEAR(Sale_Date))</f>
        <v>-0</v>
      </c>
      <c r="AC391" s="8" t="n">
        <f aca="false">-($G$206+$G$193)*(AC$271=YEAR(Sale_Date))</f>
        <v>-0</v>
      </c>
      <c r="AD391" s="8" t="n">
        <f aca="false">-($G$206+$G$193)*(AD$271=YEAR(Sale_Date))</f>
        <v>-0</v>
      </c>
      <c r="AE391" s="8" t="n">
        <f aca="false">-($G$206+$G$193)*(AE$271=YEAR(Sale_Date))</f>
        <v>-0</v>
      </c>
      <c r="AF391" s="8" t="n">
        <f aca="false">-($G$206+$G$193)*(AF$271=YEAR(Sale_Date))</f>
        <v>-0</v>
      </c>
      <c r="AG391" s="8" t="n">
        <f aca="false">-($G$206+$G$193)*(AG$271=YEAR(Sale_Date))</f>
        <v>-0</v>
      </c>
      <c r="AH391" s="8" t="n">
        <f aca="false">-($G$206+$G$193)*(AH$271=YEAR(Sale_Date))</f>
        <v>-0</v>
      </c>
      <c r="AI391" s="8" t="n">
        <f aca="false">-($G$206+$G$193)*(AI$271=YEAR(Sale_Date))</f>
        <v>-0</v>
      </c>
      <c r="AJ391" s="8" t="n">
        <f aca="false">-($G$206+$G$193)*(AJ$271=YEAR(Sale_Date))</f>
        <v>-0</v>
      </c>
      <c r="AK391" s="8" t="n">
        <f aca="false">-($G$206+$G$193)*(AK$271=YEAR(Sale_Date))</f>
        <v>-0</v>
      </c>
      <c r="AL391" s="8" t="n">
        <f aca="false">-($G$206+$G$193)*(AL$271=YEAR(Sale_Date))</f>
        <v>-0</v>
      </c>
      <c r="AM391" s="8" t="n">
        <f aca="false">-($G$206+$G$193)*(AM$271=YEAR(Sale_Date))</f>
        <v>-0</v>
      </c>
      <c r="AN391" s="8" t="n">
        <f aca="false">-($G$206+$G$193)*(AN$271=YEAR(Sale_Date))</f>
        <v>-0</v>
      </c>
      <c r="AO391" s="8" t="n">
        <f aca="false">-($G$206+$G$193)*(AO$271=YEAR(Sale_Date))</f>
        <v>-0</v>
      </c>
      <c r="AP391" s="8" t="n">
        <f aca="false">-($G$206+$G$193)*(AP$271=YEAR(Sale_Date))</f>
        <v>-0</v>
      </c>
      <c r="AQ391" s="8" t="n">
        <f aca="false">-($G$206+$G$193)*(AQ$271=YEAR(Sale_Date))</f>
        <v>-0</v>
      </c>
      <c r="AR391" s="8" t="n">
        <f aca="false">-($G$206+$G$193)*(AR$271=YEAR(Sale_Date))</f>
        <v>-0</v>
      </c>
      <c r="AS391" s="8" t="n">
        <f aca="false">-($G$206+$G$193)*(AS$271=YEAR(Sale_Date))</f>
        <v>-0</v>
      </c>
    </row>
    <row r="392" customFormat="false" ht="14.25" hidden="false" customHeight="false" outlineLevel="1" collapsed="false">
      <c r="C392" s="1" t="s">
        <v>271</v>
      </c>
      <c r="D392" s="2" t="s">
        <v>84</v>
      </c>
      <c r="H392" s="34" t="n">
        <f aca="false">SUM(J392:AS392)</f>
        <v>52789.0246015908</v>
      </c>
      <c r="J392" s="34" t="n">
        <f aca="false">J365*(J355&lt;=0)+J360*($H390+$G$61+$G$62)+J391</f>
        <v>-657.123287671233</v>
      </c>
      <c r="K392" s="34" t="n">
        <f aca="false">K365*(K355&lt;=0)+K360*($H390+$G$61+$G$62)+K391</f>
        <v>-3612.05479452055</v>
      </c>
      <c r="L392" s="34" t="n">
        <f aca="false">L365*(L355&lt;=0)+L360*($H390+$G$61+$G$62)+L391</f>
        <v>-3359.81917808219</v>
      </c>
      <c r="M392" s="34" t="n">
        <f aca="false">M365*(M355&lt;=0)+M360*($H390+$G$61+$G$62)+M391</f>
        <v>-17498.125</v>
      </c>
      <c r="N392" s="34" t="n">
        <f aca="false">N365*(N355&lt;=0)+N360*($H390+$G$61+$G$62)+N391</f>
        <v>-34996.25</v>
      </c>
      <c r="O392" s="34" t="n">
        <f aca="false">O365*(O355&lt;=0)+O360*($H390+$G$61+$G$62)+O391</f>
        <v>112912.396861865</v>
      </c>
      <c r="P392" s="34" t="n">
        <f aca="false">P365*(P355&lt;=0)+P360*($H390+$G$61+$G$62)+P391</f>
        <v>0</v>
      </c>
      <c r="Q392" s="34" t="n">
        <f aca="false">Q365*(Q355&lt;=0)+Q360*($H390+$G$61+$G$62)+Q391</f>
        <v>0</v>
      </c>
      <c r="R392" s="34" t="n">
        <f aca="false">R365*(R355&lt;=0)+R360*($H390+$G$61+$G$62)+R391</f>
        <v>0</v>
      </c>
      <c r="S392" s="34" t="n">
        <f aca="false">S365*(S355&lt;=0)+S360*($H390+$G$61+$G$62)+S391</f>
        <v>0</v>
      </c>
      <c r="T392" s="34" t="n">
        <f aca="false">T365*(T355&lt;=0)+T360*($H390+$G$61+$G$62)+T391</f>
        <v>0</v>
      </c>
      <c r="U392" s="34" t="n">
        <f aca="false">U365*(U355&lt;=0)+U360*($H390+$G$61+$G$62)+U391</f>
        <v>0</v>
      </c>
      <c r="V392" s="34" t="n">
        <f aca="false">V365*(V355&lt;=0)+V360*($H390+$G$61+$G$62)+V391</f>
        <v>0</v>
      </c>
      <c r="W392" s="34" t="n">
        <f aca="false">W365*(W355&lt;=0)+W360*($H390+$G$61+$G$62)+W391</f>
        <v>0</v>
      </c>
      <c r="X392" s="34" t="n">
        <f aca="false">X365*(X355&lt;=0)+X360*($H390+$G$61+$G$62)+X391</f>
        <v>0</v>
      </c>
      <c r="Y392" s="34" t="n">
        <f aca="false">Y365*(Y355&lt;=0)+Y360*($H390+$G$61+$G$62)+Y391</f>
        <v>0</v>
      </c>
      <c r="Z392" s="34" t="n">
        <f aca="false">Z365*(Z355&lt;=0)+Z360*($H390+$G$61+$G$62)+Z391</f>
        <v>0</v>
      </c>
      <c r="AA392" s="34" t="n">
        <f aca="false">AA365*(AA355&lt;=0)+AA360*($H390+$G$61+$G$62)+AA391</f>
        <v>0</v>
      </c>
      <c r="AB392" s="34" t="n">
        <f aca="false">AB365*(AB355&lt;=0)+AB360*($H390+$G$61+$G$62)+AB391</f>
        <v>0</v>
      </c>
      <c r="AC392" s="34" t="n">
        <f aca="false">AC365*(AC355&lt;=0)+AC360*($H390+$G$61+$G$62)+AC391</f>
        <v>0</v>
      </c>
      <c r="AD392" s="34" t="n">
        <f aca="false">AD365*(AD355&lt;=0)+AD360*($H390+$G$61+$G$62)+AD391</f>
        <v>0</v>
      </c>
      <c r="AE392" s="34" t="n">
        <f aca="false">AE365*(AE355&lt;=0)+AE360*($H390+$G$61+$G$62)+AE391</f>
        <v>0</v>
      </c>
      <c r="AF392" s="34" t="n">
        <f aca="false">AF365*(AF355&lt;=0)+AF360*($H390+$G$61+$G$62)+AF391</f>
        <v>0</v>
      </c>
      <c r="AG392" s="34" t="n">
        <f aca="false">AG365*(AG355&lt;=0)+AG360*($H390+$G$61+$G$62)+AG391</f>
        <v>0</v>
      </c>
      <c r="AH392" s="34" t="n">
        <f aca="false">AH365*(AH355&lt;=0)+AH360*($H390+$G$61+$G$62)+AH391</f>
        <v>0</v>
      </c>
      <c r="AI392" s="34" t="n">
        <f aca="false">AI365*(AI355&lt;=0)+AI360*($H390+$G$61+$G$62)+AI391</f>
        <v>0</v>
      </c>
      <c r="AJ392" s="34" t="n">
        <f aca="false">AJ365*(AJ355&lt;=0)+AJ360*($H390+$G$61+$G$62)+AJ391</f>
        <v>0</v>
      </c>
      <c r="AK392" s="34" t="n">
        <f aca="false">AK365*(AK355&lt;=0)+AK360*($H390+$G$61+$G$62)+AK391</f>
        <v>0</v>
      </c>
      <c r="AL392" s="34" t="n">
        <f aca="false">AL365*(AL355&lt;=0)+AL360*($H390+$G$61+$G$62)+AL391</f>
        <v>0</v>
      </c>
      <c r="AM392" s="34" t="n">
        <f aca="false">AM365*(AM355&lt;=0)+AM360*($H390+$G$61+$G$62)+AM391</f>
        <v>0</v>
      </c>
      <c r="AN392" s="34" t="n">
        <f aca="false">AN365*(AN355&lt;=0)+AN360*($H390+$G$61+$G$62)+AN391</f>
        <v>0</v>
      </c>
      <c r="AO392" s="34" t="n">
        <f aca="false">AO365*(AO355&lt;=0)+AO360*($H390+$G$61+$G$62)+AO391</f>
        <v>0</v>
      </c>
      <c r="AP392" s="34" t="n">
        <f aca="false">AP365*(AP355&lt;=0)+AP360*($H390+$G$61+$G$62)+AP391</f>
        <v>0</v>
      </c>
      <c r="AQ392" s="34" t="n">
        <f aca="false">AQ365*(AQ355&lt;=0)+AQ360*($H390+$G$61+$G$62)+AQ391</f>
        <v>0</v>
      </c>
      <c r="AR392" s="34" t="n">
        <f aca="false">AR365*(AR355&lt;=0)+AR360*($H390+$G$61+$G$62)+AR391</f>
        <v>0</v>
      </c>
      <c r="AS392" s="34" t="n">
        <f aca="false">AS365*(AS355&lt;=0)+AS360*($H390+$G$61+$G$62)+AS391</f>
        <v>0</v>
      </c>
    </row>
    <row r="393" customFormat="false" ht="14.25" hidden="false" customHeight="false" outlineLevel="1" collapsed="false"/>
    <row r="394" customFormat="false" ht="14.25" hidden="false" customHeight="false" outlineLevel="1" collapsed="false">
      <c r="B394" s="4" t="s">
        <v>3</v>
      </c>
      <c r="C394" s="4" t="s">
        <v>274</v>
      </c>
      <c r="D394" s="4"/>
      <c r="E394" s="5" t="s">
        <v>5</v>
      </c>
      <c r="F394" s="5" t="s">
        <v>6</v>
      </c>
      <c r="G394" s="5" t="s">
        <v>7</v>
      </c>
      <c r="H394" s="5" t="s">
        <v>8</v>
      </c>
    </row>
    <row r="395" customFormat="false" ht="14.25" hidden="false" customHeight="false" outlineLevel="1" collapsed="false">
      <c r="C395" s="6" t="s">
        <v>275</v>
      </c>
      <c r="D395" s="2" t="s">
        <v>84</v>
      </c>
      <c r="E395" s="8" t="n">
        <f aca="false">-MAX(0,$H$312)*CIT_Rate*(1-Share_Exempt)</f>
        <v>-0</v>
      </c>
      <c r="F395" s="8" t="n">
        <f aca="false">-MAX(0,$H$352)*CIT_Rate*(1-Share_Exempt)</f>
        <v>-0</v>
      </c>
      <c r="G395" s="8" t="n">
        <f aca="false">-MAX(0,$H$392)*CIT_Rate*(1-Share_Exempt)</f>
        <v>-0</v>
      </c>
      <c r="H395" s="8" t="n">
        <f aca="false">SUM(E395:G395)</f>
        <v>0</v>
      </c>
    </row>
    <row r="396" customFormat="false" ht="14.25" hidden="false" customHeight="false" outlineLevel="1" collapsed="false">
      <c r="C396" s="1" t="s">
        <v>130</v>
      </c>
      <c r="D396" s="2" t="s">
        <v>84</v>
      </c>
      <c r="E396" s="15" t="n">
        <f aca="false">$H$312+E395</f>
        <v>34504.3688287974</v>
      </c>
      <c r="F396" s="15" t="n">
        <f aca="false">$H$352+F395</f>
        <v>52789.0246015908</v>
      </c>
      <c r="G396" s="15" t="n">
        <f aca="false">$H$392+G395</f>
        <v>52789.0246015908</v>
      </c>
      <c r="H396" s="15" t="n">
        <f aca="false">SUM(E396:G396)</f>
        <v>140082.418031979</v>
      </c>
    </row>
    <row r="397" customFormat="false" ht="14.25" hidden="false" customHeight="false" outlineLevel="1" collapsed="false"/>
    <row r="398" customFormat="false" ht="14.25" hidden="false" customHeight="false" outlineLevel="1" collapsed="false">
      <c r="B398" s="4" t="s">
        <v>3</v>
      </c>
      <c r="C398" s="4" t="s">
        <v>276</v>
      </c>
      <c r="D398" s="4"/>
      <c r="E398" s="5" t="s">
        <v>5</v>
      </c>
      <c r="F398" s="5" t="s">
        <v>6</v>
      </c>
      <c r="G398" s="5" t="s">
        <v>7</v>
      </c>
      <c r="H398" s="5" t="s">
        <v>8</v>
      </c>
    </row>
    <row r="399" customFormat="false" ht="14.25" hidden="false" customHeight="false" outlineLevel="1" collapsed="false">
      <c r="C399" s="6" t="s">
        <v>277</v>
      </c>
      <c r="D399" s="2" t="s">
        <v>2</v>
      </c>
      <c r="E399" s="65" t="n">
        <f aca="false">N(ABS(E198+E199+E203-E206-E217)&gt;Tolerance)</f>
        <v>0</v>
      </c>
      <c r="F399" s="65" t="n">
        <f aca="false">N(ABS(F198+F199+F203-F206-F217)&gt;Tolerance)</f>
        <v>0</v>
      </c>
      <c r="G399" s="65" t="n">
        <f aca="false">N(ABS(G198+G199+G203-G206-G217)&gt;Tolerance)</f>
        <v>0</v>
      </c>
      <c r="H399" s="65" t="n">
        <f aca="false">SUM(E399:G399)</f>
        <v>0</v>
      </c>
    </row>
    <row r="400" customFormat="false" ht="14.25" hidden="false" customHeight="false" outlineLevel="1" collapsed="false">
      <c r="C400" s="6" t="s">
        <v>278</v>
      </c>
      <c r="D400" s="2" t="s">
        <v>2</v>
      </c>
      <c r="E400" s="65" t="n">
        <f aca="false">SUMPRODUCT(--(YEAR(J210:J216)&gt;=YEAR(E172)))</f>
        <v>0</v>
      </c>
      <c r="F400" s="65" t="n">
        <f aca="false">SUMPRODUCT(--(YEAR(K210:K216)&gt;=YEAR(F172)))</f>
        <v>0</v>
      </c>
      <c r="G400" s="65" t="n">
        <f aca="false">SUMPRODUCT(--(YEAR(L210:L216)&gt;=YEAR(G172)))</f>
        <v>0</v>
      </c>
      <c r="H400" s="65" t="n">
        <f aca="false">SUM(E400:G400)</f>
        <v>0</v>
      </c>
    </row>
    <row r="401" customFormat="false" ht="14.25" hidden="false" customHeight="false" outlineLevel="1" collapsed="false">
      <c r="C401" s="6" t="s">
        <v>279</v>
      </c>
      <c r="D401" s="2" t="s">
        <v>2</v>
      </c>
      <c r="E401" s="65" t="n">
        <f aca="false">N(AND(E17&lt;&gt;"EU",E17&lt;&gt;"CN"))</f>
        <v>0</v>
      </c>
      <c r="F401" s="65" t="n">
        <f aca="false">N(AND(F17&lt;&gt;"EU",F17&lt;&gt;"CN"))</f>
        <v>0</v>
      </c>
      <c r="G401" s="65" t="n">
        <f aca="false">N(AND(G17&lt;&gt;"EU",G17&lt;&gt;"CN"))</f>
        <v>0</v>
      </c>
      <c r="H401" s="65" t="n">
        <f aca="false">SUM(E401:G401)</f>
        <v>0</v>
      </c>
    </row>
    <row r="402" customFormat="false" ht="14.25" hidden="false" customHeight="false" outlineLevel="1" collapsed="false">
      <c r="C402" s="6" t="s">
        <v>280</v>
      </c>
      <c r="D402" s="2" t="s">
        <v>2</v>
      </c>
      <c r="E402" s="65" t="n">
        <f aca="false">N(ABS(E104-E66)&gt;Tolerance)</f>
        <v>0</v>
      </c>
      <c r="F402" s="65" t="n">
        <f aca="false">N(ABS(F104-F66)&gt;Tolerance)</f>
        <v>0</v>
      </c>
      <c r="G402" s="65" t="n">
        <f aca="false">N(ABS(G104-G66)&gt;Tolerance)</f>
        <v>0</v>
      </c>
      <c r="H402" s="65" t="n">
        <f aca="false">SUM(E402:G402)</f>
        <v>0</v>
      </c>
    </row>
    <row r="403" customFormat="false" ht="14.25" hidden="false" customHeight="false" outlineLevel="1" collapsed="false">
      <c r="C403" s="6" t="s">
        <v>281</v>
      </c>
      <c r="D403" s="2" t="s">
        <v>2</v>
      </c>
      <c r="E403" s="65" t="n">
        <f aca="false">N(ABS(E89+$H$283)&gt;Tolerance)</f>
        <v>0</v>
      </c>
      <c r="F403" s="65" t="n">
        <f aca="false">N(ABS(F89+$H$323)&gt;Tolerance)</f>
        <v>0</v>
      </c>
      <c r="G403" s="65" t="n">
        <f aca="false">N(ABS(G89+$H$363)&gt;Tolerance)</f>
        <v>0</v>
      </c>
      <c r="H403" s="65" t="n">
        <f aca="false">SUM(E403:G403)</f>
        <v>0</v>
      </c>
    </row>
    <row r="404" customFormat="false" ht="14.25" hidden="false" customHeight="false" outlineLevel="1" collapsed="false">
      <c r="C404" s="6" t="s">
        <v>282</v>
      </c>
      <c r="D404" s="2" t="s">
        <v>2</v>
      </c>
      <c r="E404" s="65" t="n">
        <f aca="false">N(ABS(E93+$H$285)&gt;Tolerance)</f>
        <v>0</v>
      </c>
      <c r="F404" s="65" t="n">
        <f aca="false">N(ABS(F93+$H$325)&gt;Tolerance)</f>
        <v>0</v>
      </c>
      <c r="G404" s="65" t="n">
        <f aca="false">N(ABS(G93+$H$365)&gt;Tolerance)</f>
        <v>0</v>
      </c>
      <c r="H404" s="65" t="n">
        <f aca="false">SUM(E404:G404)</f>
        <v>0</v>
      </c>
    </row>
    <row r="405" customFormat="false" ht="14.25" hidden="false" customHeight="false" outlineLevel="1" collapsed="false">
      <c r="C405" s="6" t="s">
        <v>283</v>
      </c>
      <c r="D405" s="2" t="s">
        <v>2</v>
      </c>
      <c r="E405" s="65" t="n">
        <f aca="false">N(ABS($H$279-Life)&gt;Tolerance)</f>
        <v>0</v>
      </c>
      <c r="F405" s="65" t="n">
        <f aca="false">N(ABS($H$319-Life)&gt;Tolerance)</f>
        <v>0</v>
      </c>
      <c r="G405" s="65" t="n">
        <f aca="false">N(ABS($H$359-Life)&gt;Tolerance)</f>
        <v>0</v>
      </c>
      <c r="H405" s="65" t="n">
        <f aca="false">SUM(E405:G405)</f>
        <v>0</v>
      </c>
    </row>
    <row r="406" customFormat="false" ht="14.25" hidden="false" customHeight="false" outlineLevel="1" collapsed="false">
      <c r="C406" s="6" t="s">
        <v>284</v>
      </c>
      <c r="D406" s="2" t="s">
        <v>2</v>
      </c>
      <c r="E406" s="65" t="n">
        <f aca="false">N(Sale_Date_A&gt;=Inputs!E$30)</f>
        <v>0</v>
      </c>
      <c r="F406" s="65" t="n">
        <f aca="false">N(Sale_Date_A&gt;=Inputs!F$30)</f>
        <v>0</v>
      </c>
      <c r="G406" s="65" t="n">
        <f aca="false">N(Sale_Date_A&gt;=Inputs!G$30)</f>
        <v>0</v>
      </c>
      <c r="H406" s="65" t="n">
        <f aca="false">SUM(E406:G406)</f>
        <v>0</v>
      </c>
    </row>
    <row r="407" customFormat="false" ht="14.25" hidden="false" customHeight="false" outlineLevel="1" collapsed="false">
      <c r="C407" s="6" t="s">
        <v>285</v>
      </c>
      <c r="D407" s="2" t="s">
        <v>2</v>
      </c>
      <c r="E407" s="65" t="n">
        <f aca="false">N(ABS($AS$306)&gt;Tolerance)</f>
        <v>0</v>
      </c>
      <c r="F407" s="65" t="n">
        <f aca="false">N(ABS($AS$346)&gt;Tolerance)</f>
        <v>0</v>
      </c>
      <c r="G407" s="65" t="n">
        <f aca="false">N(ABS($AS$386)&gt;Tolerance)</f>
        <v>0</v>
      </c>
      <c r="H407" s="65" t="n">
        <f aca="false">SUM(E407:G407)</f>
        <v>0</v>
      </c>
    </row>
    <row r="408" customFormat="false" ht="14.25" hidden="false" customHeight="false" outlineLevel="1" collapsed="false">
      <c r="C408" s="6" t="s">
        <v>286</v>
      </c>
      <c r="D408" s="2" t="s">
        <v>2</v>
      </c>
      <c r="E408" s="65" t="n">
        <f aca="false">N(ABS(E246+E247+E251-E254-E262)&gt;Tolerance)</f>
        <v>0</v>
      </c>
      <c r="F408" s="65" t="n">
        <f aca="false">N(ABS(F246+F247+F251-F254-F262)&gt;Tolerance)</f>
        <v>0</v>
      </c>
      <c r="G408" s="65" t="n">
        <f aca="false">N(ABS(G246+G247+G251-G254-G262)&gt;Tolerance)</f>
        <v>0</v>
      </c>
      <c r="H408" s="65" t="n">
        <f aca="false">SUM(E408:G408)</f>
        <v>0</v>
      </c>
    </row>
    <row r="409" customFormat="false" ht="14.25" hidden="false" customHeight="false" outlineLevel="1" collapsed="false">
      <c r="C409" s="1" t="s">
        <v>287</v>
      </c>
      <c r="D409" s="2" t="s">
        <v>2</v>
      </c>
      <c r="H409" s="67" t="n">
        <f aca="false">SUM(H399:H408)</f>
        <v>0</v>
      </c>
    </row>
    <row r="410" customFormat="false" ht="14.25" hidden="false" customHeight="false" outlineLevel="1" collapsed="false"/>
    <row r="411" customFormat="false" ht="14.25" hidden="false" customHeight="false" outlineLevel="1" collapsed="false">
      <c r="C411" s="68" t="s">
        <v>288</v>
      </c>
    </row>
  </sheetData>
  <conditionalFormatting sqref="H3">
    <cfRule type="cellIs" priority="2" operator="equal" aboveAverage="0" equalAverage="0" bottom="0" percent="0" rank="0" text="" dxfId="0">
      <formula>0</formula>
    </cfRule>
    <cfRule type="cellIs" priority="3" operator="notEqual" aboveAverage="0" equalAverage="0" bottom="0" percent="0" rank="0" text="" dxfId="1">
      <formula>0</formula>
    </cfRule>
  </conditionalFormatting>
  <conditionalFormatting sqref="H409">
    <cfRule type="cellIs" priority="4" operator="notEqual" aboveAverage="0" equalAverage="0" bottom="0" percent="0" rank="0" text="" dxfId="2">
      <formula>0</formula>
    </cfRule>
  </conditionalFormatting>
  <dataValidations count="1">
    <dataValidation allowBlank="false" errorStyle="stop" operator="between" showDropDown="false" showErrorMessage="false" showInputMessage="false" sqref="H25" type="list">
      <formula1>"Base,Low,High"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23" activeCellId="0" sqref="E23"/>
    </sheetView>
  </sheetViews>
  <sheetFormatPr defaultColWidth="8.6796875" defaultRowHeight="14.25" zeroHeight="false" outlineLevelRow="1" outlineLevelCol="0"/>
  <cols>
    <col collapsed="false" customWidth="true" hidden="false" outlineLevel="0" max="2" min="1" style="0" width="2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50"/>
  </cols>
  <sheetData>
    <row r="2" customFormat="false" ht="14.25" hidden="false" customHeight="false" outlineLevel="0" collapsed="false">
      <c r="C2" s="1" t="s">
        <v>289</v>
      </c>
    </row>
    <row r="4" customFormat="false" ht="14.25" hidden="false" customHeight="false" outlineLevel="0" collapsed="false">
      <c r="B4" s="4" t="s">
        <v>3</v>
      </c>
      <c r="C4" s="4" t="s">
        <v>290</v>
      </c>
      <c r="D4" s="4"/>
      <c r="E4" s="5" t="s">
        <v>5</v>
      </c>
      <c r="F4" s="5" t="s">
        <v>6</v>
      </c>
      <c r="G4" s="5" t="s">
        <v>7</v>
      </c>
      <c r="H4" s="4" t="s">
        <v>291</v>
      </c>
    </row>
    <row r="5" customFormat="false" ht="14.25" hidden="false" customHeight="false" outlineLevel="0" collapsed="false">
      <c r="C5" s="44" t="s">
        <v>292</v>
      </c>
      <c r="D5" s="44"/>
      <c r="E5" s="45"/>
      <c r="F5" s="45"/>
      <c r="G5" s="45"/>
      <c r="H5" s="45"/>
    </row>
    <row r="6" customFormat="false" ht="14.25" hidden="false" customHeight="false" outlineLevel="0" collapsed="false">
      <c r="C6" s="6" t="s">
        <v>293</v>
      </c>
      <c r="D6" s="2" t="s">
        <v>294</v>
      </c>
      <c r="E6" s="7" t="n">
        <v>365</v>
      </c>
      <c r="H6" s="2" t="s">
        <v>295</v>
      </c>
    </row>
    <row r="7" customFormat="false" ht="14.25" hidden="false" customHeight="false" outlineLevel="0" collapsed="false">
      <c r="C7" s="6" t="s">
        <v>296</v>
      </c>
      <c r="D7" s="2" t="s">
        <v>297</v>
      </c>
      <c r="E7" s="7" t="n">
        <v>406000000</v>
      </c>
      <c r="H7" s="2" t="s">
        <v>298</v>
      </c>
    </row>
    <row r="8" customFormat="false" ht="14.25" hidden="false" customHeight="false" outlineLevel="0" collapsed="false">
      <c r="C8" s="6" t="s">
        <v>299</v>
      </c>
      <c r="D8" s="2" t="s">
        <v>300</v>
      </c>
      <c r="E8" s="7" t="n">
        <v>200000000</v>
      </c>
      <c r="H8" s="2" t="s">
        <v>301</v>
      </c>
    </row>
    <row r="9" customFormat="false" ht="14.25" hidden="false" customHeight="false" outlineLevel="0" collapsed="false">
      <c r="C9" s="6" t="s">
        <v>302</v>
      </c>
      <c r="D9" s="2" t="s">
        <v>12</v>
      </c>
      <c r="E9" s="9" t="n">
        <v>0.005</v>
      </c>
      <c r="H9" s="2" t="s">
        <v>303</v>
      </c>
    </row>
    <row r="10" customFormat="false" ht="14.25" hidden="false" customHeight="false" outlineLevel="0" collapsed="false">
      <c r="C10" s="6" t="s">
        <v>304</v>
      </c>
      <c r="D10" s="2" t="s">
        <v>12</v>
      </c>
      <c r="E10" s="9" t="n">
        <v>0.025</v>
      </c>
      <c r="H10" s="2" t="s">
        <v>305</v>
      </c>
    </row>
    <row r="11" customFormat="false" ht="14.25" hidden="false" customHeight="false" outlineLevel="0" collapsed="false">
      <c r="C11" s="6" t="s">
        <v>306</v>
      </c>
      <c r="D11" s="2" t="s">
        <v>74</v>
      </c>
      <c r="E11" s="7" t="n">
        <v>3000000</v>
      </c>
      <c r="H11" s="2" t="s">
        <v>307</v>
      </c>
    </row>
    <row r="12" customFormat="false" ht="14.25" hidden="false" customHeight="false" outlineLevel="0" collapsed="false">
      <c r="C12" s="6" t="s">
        <v>77</v>
      </c>
      <c r="D12" s="2" t="s">
        <v>308</v>
      </c>
      <c r="E12" s="7" t="n">
        <v>4500000</v>
      </c>
      <c r="H12" s="2" t="s">
        <v>309</v>
      </c>
    </row>
    <row r="13" customFormat="false" ht="14.25" hidden="false" customHeight="false" outlineLevel="0" collapsed="false">
      <c r="C13" s="44" t="s">
        <v>310</v>
      </c>
      <c r="D13" s="44"/>
      <c r="E13" s="45"/>
      <c r="F13" s="45"/>
      <c r="G13" s="45"/>
      <c r="H13" s="45"/>
    </row>
    <row r="14" customFormat="false" ht="14.25" hidden="false" customHeight="false" outlineLevel="0" collapsed="false">
      <c r="C14" s="6" t="s">
        <v>311</v>
      </c>
      <c r="D14" s="2" t="s">
        <v>308</v>
      </c>
      <c r="E14" s="7" t="n">
        <v>73071306</v>
      </c>
      <c r="F14" s="7" t="n">
        <v>19826680</v>
      </c>
      <c r="G14" s="7" t="n">
        <v>19826680</v>
      </c>
      <c r="H14" s="2" t="s">
        <v>312</v>
      </c>
    </row>
    <row r="15" customFormat="false" ht="14.25" hidden="false" customHeight="false" outlineLevel="0" collapsed="false">
      <c r="C15" s="6" t="s">
        <v>313</v>
      </c>
      <c r="D15" s="2" t="s">
        <v>74</v>
      </c>
      <c r="E15" s="7" t="n">
        <v>508345804</v>
      </c>
      <c r="F15" s="7" t="n">
        <v>460000000</v>
      </c>
      <c r="G15" s="7" t="n">
        <v>460000000</v>
      </c>
      <c r="H15" s="2" t="s">
        <v>314</v>
      </c>
    </row>
    <row r="16" customFormat="false" ht="14.25" hidden="false" customHeight="false" outlineLevel="0" collapsed="false">
      <c r="C16" s="6" t="s">
        <v>315</v>
      </c>
      <c r="D16" s="2" t="s">
        <v>316</v>
      </c>
      <c r="E16" s="11" t="n">
        <v>2</v>
      </c>
      <c r="F16" s="11" t="n">
        <v>1</v>
      </c>
      <c r="G16" s="11" t="n">
        <v>1</v>
      </c>
      <c r="H16" s="2" t="s">
        <v>317</v>
      </c>
    </row>
    <row r="17" customFormat="false" ht="14.25" hidden="false" customHeight="false" outlineLevel="0" collapsed="false">
      <c r="C17" s="6" t="s">
        <v>81</v>
      </c>
      <c r="D17" s="2" t="s">
        <v>84</v>
      </c>
      <c r="E17" s="7" t="n">
        <v>100</v>
      </c>
      <c r="F17" s="7" t="n">
        <v>150</v>
      </c>
      <c r="G17" s="7" t="n">
        <v>150</v>
      </c>
      <c r="H17" s="2" t="s">
        <v>318</v>
      </c>
    </row>
    <row r="18" customFormat="false" ht="14.25" hidden="false" customHeight="false" outlineLevel="0" collapsed="false">
      <c r="C18" s="6" t="s">
        <v>319</v>
      </c>
      <c r="D18" s="2" t="s">
        <v>84</v>
      </c>
      <c r="E18" s="10" t="n">
        <v>40.47</v>
      </c>
      <c r="F18" s="69" t="n">
        <f aca="false">$E18/SUM($E$18:$E$23)*F$24</f>
        <v>51.5889708975487</v>
      </c>
      <c r="G18" s="69" t="n">
        <f aca="false">$E18/SUM($E$18:$E$23)*G$24</f>
        <v>51.5889708975487</v>
      </c>
      <c r="H18" s="2" t="s">
        <v>320</v>
      </c>
    </row>
    <row r="19" customFormat="false" ht="14.25" hidden="false" customHeight="false" outlineLevel="0" collapsed="false">
      <c r="C19" s="6" t="s">
        <v>321</v>
      </c>
      <c r="D19" s="2" t="s">
        <v>84</v>
      </c>
      <c r="E19" s="10" t="n">
        <v>150.66</v>
      </c>
      <c r="F19" s="69" t="n">
        <f aca="false">$E19/SUM($E$18:$E$23)*F$24</f>
        <v>192.053233393246</v>
      </c>
      <c r="G19" s="69" t="n">
        <f aca="false">$E19/SUM($E$18:$E$23)*G$24</f>
        <v>192.053233393246</v>
      </c>
      <c r="H19" s="2" t="s">
        <v>320</v>
      </c>
    </row>
    <row r="20" customFormat="false" ht="14.25" hidden="false" customHeight="false" outlineLevel="0" collapsed="false">
      <c r="C20" s="6" t="s">
        <v>322</v>
      </c>
      <c r="D20" s="2" t="s">
        <v>84</v>
      </c>
      <c r="E20" s="10" t="n">
        <v>333.93</v>
      </c>
      <c r="F20" s="69" t="n">
        <f aca="false">$E20/SUM($E$18:$E$23)*F$24</f>
        <v>425.675934070137</v>
      </c>
      <c r="G20" s="69" t="n">
        <f aca="false">$E20/SUM($E$18:$E$23)*G$24</f>
        <v>425.675934070137</v>
      </c>
      <c r="H20" s="2" t="s">
        <v>320</v>
      </c>
    </row>
    <row r="21" customFormat="false" ht="14.25" hidden="false" customHeight="false" outlineLevel="0" collapsed="false">
      <c r="C21" s="6" t="s">
        <v>323</v>
      </c>
      <c r="D21" s="2" t="s">
        <v>84</v>
      </c>
      <c r="E21" s="10" t="n">
        <v>151.36</v>
      </c>
      <c r="F21" s="69" t="n">
        <f aca="false">$E21/SUM($E$18:$E$23)*F$24</f>
        <v>192.945555598047</v>
      </c>
      <c r="G21" s="69" t="n">
        <f aca="false">$E21/SUM($E$18:$E$23)*G$24</f>
        <v>192.945555598047</v>
      </c>
      <c r="H21" s="2" t="s">
        <v>320</v>
      </c>
    </row>
    <row r="22" customFormat="false" ht="14.25" hidden="false" customHeight="false" outlineLevel="0" collapsed="false">
      <c r="C22" s="6" t="s">
        <v>324</v>
      </c>
      <c r="D22" s="2" t="s">
        <v>84</v>
      </c>
      <c r="E22" s="10" t="n">
        <v>37.5</v>
      </c>
      <c r="F22" s="69" t="n">
        <f aca="false">$E22/SUM($E$18:$E$23)*F$24</f>
        <v>47.80297525718</v>
      </c>
      <c r="G22" s="69" t="n">
        <f aca="false">$E22/SUM($E$18:$E$23)*G$24</f>
        <v>47.80297525718</v>
      </c>
      <c r="H22" s="2" t="s">
        <v>320</v>
      </c>
    </row>
    <row r="23" customFormat="false" ht="14.25" hidden="false" customHeight="false" outlineLevel="0" collapsed="false">
      <c r="C23" s="6" t="s">
        <v>325</v>
      </c>
      <c r="D23" s="2" t="s">
        <v>84</v>
      </c>
      <c r="E23" s="10" t="n">
        <v>70.55</v>
      </c>
      <c r="F23" s="70" t="n">
        <f aca="false">$E23/SUM($E$18:$E$23)*F$24</f>
        <v>89.9333307838413</v>
      </c>
      <c r="G23" s="70" t="n">
        <f aca="false">$E23/SUM($E$18:$E$23)*G$24</f>
        <v>89.9333307838413</v>
      </c>
      <c r="H23" s="2" t="s">
        <v>320</v>
      </c>
    </row>
    <row r="24" customFormat="false" ht="14.25" hidden="false" customHeight="false" outlineLevel="0" collapsed="false">
      <c r="C24" s="6" t="s">
        <v>326</v>
      </c>
      <c r="D24" s="2" t="s">
        <v>84</v>
      </c>
      <c r="E24" s="10"/>
      <c r="F24" s="10" t="n">
        <v>1000</v>
      </c>
      <c r="G24" s="10" t="n">
        <v>1000</v>
      </c>
      <c r="H24" s="2" t="s">
        <v>327</v>
      </c>
    </row>
    <row r="25" customFormat="false" ht="14.25" hidden="false" customHeight="false" outlineLevel="0" collapsed="false">
      <c r="C25" s="6" t="s">
        <v>328</v>
      </c>
      <c r="D25" s="2" t="s">
        <v>2</v>
      </c>
      <c r="E25" s="11" t="n">
        <v>0</v>
      </c>
      <c r="F25" s="11" t="n">
        <v>0</v>
      </c>
      <c r="G25" s="11" t="n">
        <v>0</v>
      </c>
      <c r="H25" s="2" t="s">
        <v>329</v>
      </c>
    </row>
    <row r="26" customFormat="false" ht="14.25" hidden="false" customHeight="false" outlineLevel="0" collapsed="false">
      <c r="C26" s="6" t="s">
        <v>330</v>
      </c>
      <c r="D26" s="2" t="s">
        <v>161</v>
      </c>
      <c r="E26" s="71" t="n">
        <v>46234</v>
      </c>
      <c r="F26" s="71" t="n">
        <v>46234</v>
      </c>
      <c r="G26" s="71" t="n">
        <v>46234</v>
      </c>
      <c r="H26" s="2" t="s">
        <v>331</v>
      </c>
    </row>
    <row r="27" customFormat="false" ht="14.25" hidden="false" customHeight="false" outlineLevel="0" collapsed="false">
      <c r="C27" s="6" t="s">
        <v>332</v>
      </c>
      <c r="D27" s="2" t="s">
        <v>161</v>
      </c>
      <c r="E27" s="71" t="n">
        <v>46325</v>
      </c>
      <c r="F27" s="71" t="n">
        <v>46325</v>
      </c>
      <c r="G27" s="71" t="n">
        <v>46325</v>
      </c>
      <c r="H27" s="2" t="s">
        <v>333</v>
      </c>
    </row>
    <row r="28" customFormat="false" ht="14.25" hidden="false" customHeight="false" outlineLevel="0" collapsed="false">
      <c r="C28" s="6" t="s">
        <v>334</v>
      </c>
      <c r="D28" s="2" t="s">
        <v>161</v>
      </c>
      <c r="E28" s="71" t="n">
        <v>46402</v>
      </c>
      <c r="F28" s="71" t="n">
        <v>46402</v>
      </c>
      <c r="G28" s="71" t="n">
        <v>46402</v>
      </c>
      <c r="H28" s="2" t="s">
        <v>335</v>
      </c>
    </row>
    <row r="29" customFormat="false" ht="14.25" hidden="false" customHeight="false" outlineLevel="0" collapsed="false">
      <c r="C29" s="6" t="s">
        <v>336</v>
      </c>
      <c r="D29" s="2" t="s">
        <v>161</v>
      </c>
      <c r="E29" s="71" t="n">
        <v>46402</v>
      </c>
      <c r="F29" s="71" t="n">
        <v>46402</v>
      </c>
      <c r="G29" s="71" t="n">
        <v>46402</v>
      </c>
      <c r="H29" s="2" t="s">
        <v>337</v>
      </c>
    </row>
    <row r="30" customFormat="false" ht="14.25" hidden="false" customHeight="false" outlineLevel="0" collapsed="false">
      <c r="C30" s="6" t="s">
        <v>338</v>
      </c>
      <c r="D30" s="2" t="s">
        <v>161</v>
      </c>
      <c r="E30" s="71" t="n">
        <v>47027</v>
      </c>
      <c r="F30" s="71" t="n">
        <v>47027</v>
      </c>
      <c r="G30" s="71" t="n">
        <v>47027</v>
      </c>
      <c r="H30" s="2" t="s">
        <v>339</v>
      </c>
    </row>
    <row r="31" customFormat="false" ht="14.25" hidden="false" customHeight="false" outlineLevel="0" collapsed="false">
      <c r="C31" s="6" t="s">
        <v>340</v>
      </c>
      <c r="D31" s="2" t="s">
        <v>161</v>
      </c>
      <c r="E31" s="71" t="n">
        <v>46752</v>
      </c>
      <c r="F31" s="71" t="n">
        <v>46752</v>
      </c>
      <c r="G31" s="71" t="n">
        <v>46752</v>
      </c>
      <c r="H31" s="2" t="s">
        <v>341</v>
      </c>
    </row>
    <row r="32" customFormat="false" ht="14.25" hidden="false" customHeight="false" outlineLevel="0" collapsed="false">
      <c r="C32" s="6" t="s">
        <v>342</v>
      </c>
      <c r="D32" s="2" t="s">
        <v>161</v>
      </c>
      <c r="E32" s="71" t="n">
        <v>47299</v>
      </c>
      <c r="F32" s="71" t="n">
        <v>47299</v>
      </c>
      <c r="G32" s="71" t="n">
        <v>47299</v>
      </c>
      <c r="H32" s="2" t="s">
        <v>343</v>
      </c>
    </row>
    <row r="33" customFormat="false" ht="14.25" hidden="false" customHeight="false" outlineLevel="0" collapsed="false">
      <c r="C33" s="6" t="s">
        <v>344</v>
      </c>
      <c r="D33" s="2" t="s">
        <v>161</v>
      </c>
      <c r="E33" s="71" t="n">
        <v>48029</v>
      </c>
      <c r="F33" s="71" t="n">
        <v>48029</v>
      </c>
      <c r="G33" s="71" t="n">
        <v>48029</v>
      </c>
      <c r="H33" s="2" t="s">
        <v>345</v>
      </c>
    </row>
    <row r="34" customFormat="false" ht="14.25" hidden="false" customHeight="false" outlineLevel="0" collapsed="false">
      <c r="C34" s="6" t="s">
        <v>346</v>
      </c>
      <c r="D34" s="2" t="s">
        <v>161</v>
      </c>
      <c r="E34" s="71" t="n">
        <v>48669</v>
      </c>
      <c r="F34" s="71" t="n">
        <v>48669</v>
      </c>
      <c r="G34" s="71" t="n">
        <v>48669</v>
      </c>
      <c r="H34" s="2" t="s">
        <v>347</v>
      </c>
    </row>
    <row r="35" customFormat="false" ht="14.25" hidden="false" customHeight="false" outlineLevel="0" collapsed="false">
      <c r="C35" s="6" t="s">
        <v>348</v>
      </c>
      <c r="D35" s="2" t="s">
        <v>161</v>
      </c>
      <c r="E35" s="71" t="n">
        <v>46325</v>
      </c>
      <c r="F35" s="71" t="n">
        <v>46325</v>
      </c>
      <c r="G35" s="71" t="n">
        <v>46325</v>
      </c>
      <c r="H35" s="2" t="s">
        <v>349</v>
      </c>
    </row>
    <row r="36" customFormat="false" ht="14.25" hidden="false" customHeight="false" outlineLevel="0" collapsed="false">
      <c r="C36" s="44" t="s">
        <v>350</v>
      </c>
      <c r="D36" s="44"/>
      <c r="E36" s="45"/>
      <c r="F36" s="45"/>
      <c r="G36" s="45"/>
      <c r="H36" s="45"/>
    </row>
    <row r="37" customFormat="false" ht="14.25" hidden="false" customHeight="false" outlineLevel="0" collapsed="false">
      <c r="C37" s="6" t="s">
        <v>351</v>
      </c>
      <c r="D37" s="2" t="s">
        <v>12</v>
      </c>
      <c r="E37" s="9" t="n">
        <v>0.12</v>
      </c>
      <c r="H37" s="2" t="s">
        <v>352</v>
      </c>
    </row>
    <row r="38" customFormat="false" ht="14.25" hidden="false" customHeight="false" outlineLevel="0" collapsed="false">
      <c r="C38" s="6" t="s">
        <v>353</v>
      </c>
      <c r="D38" s="2" t="s">
        <v>12</v>
      </c>
      <c r="E38" s="9" t="n">
        <v>0.2</v>
      </c>
      <c r="H38" s="2" t="s">
        <v>354</v>
      </c>
    </row>
    <row r="39" customFormat="false" ht="14.25" hidden="false" customHeight="false" outlineLevel="0" collapsed="false">
      <c r="C39" s="6" t="s">
        <v>355</v>
      </c>
      <c r="D39" s="2" t="s">
        <v>3</v>
      </c>
      <c r="E39" s="12" t="n">
        <v>2</v>
      </c>
      <c r="H39" s="2" t="s">
        <v>356</v>
      </c>
    </row>
    <row r="40" customFormat="false" ht="14.25" hidden="false" customHeight="false" outlineLevel="0" collapsed="false">
      <c r="C40" s="6" t="s">
        <v>357</v>
      </c>
      <c r="D40" s="2" t="s">
        <v>161</v>
      </c>
      <c r="E40" s="71" t="n">
        <v>47299</v>
      </c>
      <c r="H40" s="2" t="s">
        <v>358</v>
      </c>
    </row>
    <row r="41" customFormat="false" ht="14.25" hidden="false" customHeight="false" outlineLevel="0" collapsed="false">
      <c r="C41" s="6" t="s">
        <v>359</v>
      </c>
      <c r="D41" s="2" t="s">
        <v>161</v>
      </c>
      <c r="E41" s="71" t="n">
        <v>47391</v>
      </c>
      <c r="H41" s="2" t="s">
        <v>360</v>
      </c>
    </row>
    <row r="42" customFormat="false" ht="14.25" hidden="false" customHeight="false" outlineLevel="0" collapsed="false">
      <c r="C42" s="6" t="s">
        <v>361</v>
      </c>
      <c r="D42" s="2" t="s">
        <v>161</v>
      </c>
      <c r="E42" s="71" t="n">
        <v>47026</v>
      </c>
      <c r="H42" s="2" t="s">
        <v>362</v>
      </c>
    </row>
    <row r="43" customFormat="false" ht="14.25" hidden="false" customHeight="false" outlineLevel="0" collapsed="false">
      <c r="C43" s="6" t="s">
        <v>363</v>
      </c>
      <c r="D43" s="2" t="s">
        <v>84</v>
      </c>
      <c r="E43" s="7" t="n">
        <v>250</v>
      </c>
      <c r="H43" s="2" t="s">
        <v>364</v>
      </c>
    </row>
    <row r="44" customFormat="false" ht="14.25" hidden="false" customHeight="false" outlineLevel="0" collapsed="false">
      <c r="C44" s="6" t="s">
        <v>365</v>
      </c>
      <c r="D44" s="2" t="s">
        <v>51</v>
      </c>
      <c r="E44" s="10" t="n">
        <v>2.5</v>
      </c>
      <c r="H44" s="2" t="s">
        <v>366</v>
      </c>
    </row>
    <row r="45" customFormat="false" ht="14.25" hidden="false" customHeight="false" outlineLevel="0" collapsed="false">
      <c r="C45" s="6" t="s">
        <v>367</v>
      </c>
      <c r="D45" s="2" t="s">
        <v>42</v>
      </c>
      <c r="E45" s="10" t="n">
        <v>10</v>
      </c>
      <c r="H45" s="2" t="s">
        <v>368</v>
      </c>
    </row>
    <row r="46" customFormat="false" ht="14.25" hidden="false" customHeight="false" outlineLevel="0" collapsed="false">
      <c r="C46" s="6" t="s">
        <v>369</v>
      </c>
      <c r="D46" s="2" t="s">
        <v>12</v>
      </c>
      <c r="E46" s="9" t="n">
        <v>0.15</v>
      </c>
      <c r="H46" s="2" t="s">
        <v>370</v>
      </c>
    </row>
    <row r="47" customFormat="false" ht="14.25" hidden="false" customHeight="false" outlineLevel="0" collapsed="false">
      <c r="C47" s="6" t="s">
        <v>371</v>
      </c>
      <c r="D47" s="2" t="s">
        <v>2</v>
      </c>
      <c r="E47" s="11" t="n">
        <v>1</v>
      </c>
      <c r="H47" s="2"/>
    </row>
    <row r="48" customFormat="false" ht="14.25" hidden="false" customHeight="false" outlineLevel="0" collapsed="false">
      <c r="C48" s="6" t="s">
        <v>372</v>
      </c>
      <c r="D48" s="2" t="s">
        <v>234</v>
      </c>
      <c r="E48" s="11" t="n">
        <v>20</v>
      </c>
      <c r="H48" s="2" t="s">
        <v>373</v>
      </c>
    </row>
    <row r="49" customFormat="false" ht="14.25" hidden="false" customHeight="false" outlineLevel="0" collapsed="false">
      <c r="C49" s="6" t="s">
        <v>374</v>
      </c>
      <c r="D49" s="2" t="s">
        <v>12</v>
      </c>
      <c r="E49" s="9" t="n">
        <v>0.6</v>
      </c>
      <c r="H49" s="2" t="s">
        <v>375</v>
      </c>
    </row>
    <row r="50" customFormat="false" ht="14.25" hidden="false" customHeight="false" outlineLevel="0" collapsed="false">
      <c r="C50" s="6" t="s">
        <v>376</v>
      </c>
      <c r="D50" s="2" t="s">
        <v>12</v>
      </c>
      <c r="E50" s="9" t="n">
        <v>0.05</v>
      </c>
      <c r="H50" s="2" t="s">
        <v>377</v>
      </c>
    </row>
    <row r="51" customFormat="false" ht="14.25" hidden="false" customHeight="false" outlineLevel="0" collapsed="false">
      <c r="C51" s="6" t="s">
        <v>378</v>
      </c>
      <c r="D51" s="2" t="s">
        <v>234</v>
      </c>
      <c r="E51" s="11" t="n">
        <v>15</v>
      </c>
      <c r="H51" s="2" t="s">
        <v>379</v>
      </c>
    </row>
    <row r="52" customFormat="false" ht="14.25" hidden="false" customHeight="false" outlineLevel="0" collapsed="false">
      <c r="C52" s="44" t="s">
        <v>380</v>
      </c>
      <c r="D52" s="44"/>
      <c r="E52" s="45"/>
      <c r="F52" s="45"/>
      <c r="G52" s="45"/>
      <c r="H52" s="45"/>
    </row>
    <row r="53" customFormat="false" ht="14.25" hidden="false" customHeight="false" outlineLevel="0" collapsed="false">
      <c r="C53" s="6" t="s">
        <v>381</v>
      </c>
      <c r="D53" s="2" t="s">
        <v>42</v>
      </c>
      <c r="E53" s="7" t="n">
        <v>80</v>
      </c>
      <c r="H53" s="2" t="s">
        <v>382</v>
      </c>
    </row>
    <row r="54" customFormat="false" ht="14.25" hidden="false" customHeight="false" outlineLevel="0" collapsed="false">
      <c r="C54" s="6" t="s">
        <v>101</v>
      </c>
      <c r="D54" s="2" t="s">
        <v>42</v>
      </c>
      <c r="E54" s="7" t="n">
        <v>90</v>
      </c>
      <c r="H54" s="2" t="s">
        <v>383</v>
      </c>
    </row>
    <row r="55" customFormat="false" ht="14.25" hidden="false" customHeight="false" outlineLevel="0" collapsed="false">
      <c r="C55" s="6" t="s">
        <v>102</v>
      </c>
      <c r="D55" s="2" t="s">
        <v>42</v>
      </c>
      <c r="E55" s="7" t="n">
        <v>70</v>
      </c>
      <c r="H55" s="2" t="s">
        <v>384</v>
      </c>
    </row>
    <row r="56" customFormat="false" ht="14.25" hidden="false" customHeight="false" outlineLevel="0" collapsed="false">
      <c r="C56" s="6" t="s">
        <v>103</v>
      </c>
      <c r="D56" s="2" t="s">
        <v>42</v>
      </c>
      <c r="E56" s="7" t="n">
        <v>60</v>
      </c>
      <c r="H56" s="2" t="s">
        <v>385</v>
      </c>
    </row>
    <row r="57" customFormat="false" ht="14.25" hidden="false" customHeight="false" outlineLevel="0" collapsed="false">
      <c r="C57" s="6" t="s">
        <v>104</v>
      </c>
      <c r="D57" s="2" t="s">
        <v>42</v>
      </c>
      <c r="E57" s="7" t="n">
        <v>40</v>
      </c>
      <c r="H57" s="2" t="s">
        <v>386</v>
      </c>
    </row>
    <row r="58" customFormat="false" ht="14.25" hidden="false" customHeight="false" outlineLevel="0" collapsed="false">
      <c r="C58" s="6" t="s">
        <v>105</v>
      </c>
      <c r="D58" s="2" t="s">
        <v>42</v>
      </c>
      <c r="E58" s="7" t="n">
        <v>15</v>
      </c>
      <c r="H58" s="2" t="s">
        <v>387</v>
      </c>
    </row>
    <row r="59" customFormat="false" ht="14.25" hidden="false" customHeight="false" outlineLevel="0" collapsed="false">
      <c r="C59" s="6" t="s">
        <v>388</v>
      </c>
      <c r="D59" s="2" t="s">
        <v>84</v>
      </c>
      <c r="E59" s="7" t="n">
        <v>12000</v>
      </c>
      <c r="H59" s="2" t="s">
        <v>389</v>
      </c>
    </row>
    <row r="60" customFormat="false" ht="14.25" hidden="false" customHeight="false" outlineLevel="0" collapsed="false">
      <c r="C60" s="6" t="s">
        <v>390</v>
      </c>
      <c r="D60" s="2" t="s">
        <v>10</v>
      </c>
      <c r="E60" s="7" t="n">
        <v>200</v>
      </c>
      <c r="H60" s="2" t="s">
        <v>391</v>
      </c>
    </row>
    <row r="61" customFormat="false" ht="14.25" hidden="false" customHeight="false" outlineLevel="0" collapsed="false">
      <c r="C61" s="6" t="s">
        <v>392</v>
      </c>
      <c r="D61" s="2" t="s">
        <v>12</v>
      </c>
      <c r="E61" s="9" t="n">
        <v>0.05</v>
      </c>
      <c r="H61" s="2" t="s">
        <v>393</v>
      </c>
    </row>
    <row r="62" customFormat="false" ht="14.25" hidden="false" customHeight="false" outlineLevel="0" collapsed="false">
      <c r="C62" s="6" t="s">
        <v>394</v>
      </c>
      <c r="D62" s="2" t="s">
        <v>395</v>
      </c>
      <c r="E62" s="7" t="n">
        <v>100</v>
      </c>
      <c r="H62" s="2" t="s">
        <v>396</v>
      </c>
    </row>
    <row r="63" customFormat="false" ht="14.25" hidden="false" customHeight="false" outlineLevel="0" collapsed="false">
      <c r="C63" s="44" t="s">
        <v>397</v>
      </c>
      <c r="D63" s="44"/>
      <c r="E63" s="45"/>
      <c r="F63" s="45"/>
      <c r="G63" s="45"/>
      <c r="H63" s="45"/>
    </row>
    <row r="64" customFormat="false" ht="14.25" hidden="false" customHeight="false" outlineLevel="0" collapsed="false">
      <c r="C64" s="6" t="s">
        <v>398</v>
      </c>
      <c r="D64" s="2" t="s">
        <v>12</v>
      </c>
      <c r="E64" s="9" t="n">
        <v>0.02</v>
      </c>
      <c r="H64" s="2" t="s">
        <v>399</v>
      </c>
    </row>
    <row r="65" customFormat="false" ht="14.25" hidden="false" customHeight="false" outlineLevel="0" collapsed="false">
      <c r="C65" s="6" t="s">
        <v>400</v>
      </c>
      <c r="D65" s="2" t="s">
        <v>12</v>
      </c>
      <c r="E65" s="9" t="n">
        <v>0.04</v>
      </c>
      <c r="H65" s="2" t="s">
        <v>401</v>
      </c>
    </row>
    <row r="66" customFormat="false" ht="14.25" hidden="false" customHeight="false" outlineLevel="0" collapsed="false">
      <c r="C66" s="6" t="s">
        <v>402</v>
      </c>
      <c r="D66" s="2" t="s">
        <v>403</v>
      </c>
      <c r="E66" s="9" t="n">
        <v>0.003</v>
      </c>
      <c r="H66" s="2" t="s">
        <v>404</v>
      </c>
    </row>
    <row r="67" customFormat="false" ht="14.25" hidden="false" customHeight="false" outlineLevel="0" collapsed="false">
      <c r="C67" s="6" t="s">
        <v>405</v>
      </c>
      <c r="D67" s="2" t="s">
        <v>403</v>
      </c>
      <c r="E67" s="9" t="n">
        <v>0.01</v>
      </c>
      <c r="H67" s="2" t="s">
        <v>406</v>
      </c>
    </row>
    <row r="68" customFormat="false" ht="14.25" hidden="false" customHeight="false" outlineLevel="0" collapsed="false">
      <c r="C68" s="44" t="s">
        <v>407</v>
      </c>
      <c r="D68" s="44"/>
      <c r="E68" s="45"/>
      <c r="F68" s="45"/>
      <c r="G68" s="45"/>
      <c r="H68" s="45"/>
    </row>
    <row r="69" customFormat="false" ht="14.25" hidden="false" customHeight="false" outlineLevel="0" collapsed="false">
      <c r="C69" s="6" t="s">
        <v>408</v>
      </c>
      <c r="D69" s="2" t="s">
        <v>51</v>
      </c>
      <c r="E69" s="10" t="n">
        <v>3</v>
      </c>
      <c r="H69" s="2" t="s">
        <v>409</v>
      </c>
    </row>
    <row r="70" customFormat="false" ht="14.25" hidden="false" customHeight="false" outlineLevel="0" collapsed="false">
      <c r="C70" s="6" t="s">
        <v>410</v>
      </c>
      <c r="D70" s="2" t="s">
        <v>51</v>
      </c>
      <c r="E70" s="10" t="n">
        <v>3</v>
      </c>
      <c r="H70" s="2" t="s">
        <v>411</v>
      </c>
    </row>
    <row r="71" customFormat="false" ht="14.25" hidden="false" customHeight="false" outlineLevel="0" collapsed="false">
      <c r="C71" s="6" t="s">
        <v>412</v>
      </c>
      <c r="D71" s="2" t="s">
        <v>51</v>
      </c>
      <c r="E71" s="10" t="n">
        <v>2.5</v>
      </c>
      <c r="H71" s="2" t="s">
        <v>413</v>
      </c>
    </row>
    <row r="72" customFormat="false" ht="14.25" hidden="false" customHeight="false" outlineLevel="0" collapsed="false">
      <c r="C72" s="6" t="s">
        <v>414</v>
      </c>
      <c r="D72" s="2" t="s">
        <v>51</v>
      </c>
      <c r="E72" s="10" t="n">
        <v>1.5</v>
      </c>
      <c r="H72" s="2" t="s">
        <v>415</v>
      </c>
    </row>
    <row r="73" customFormat="false" ht="14.25" hidden="false" customHeight="false" outlineLevel="0" collapsed="false">
      <c r="C73" s="6" t="s">
        <v>416</v>
      </c>
      <c r="D73" s="2" t="s">
        <v>51</v>
      </c>
      <c r="E73" s="10" t="n">
        <v>3</v>
      </c>
      <c r="H73" s="2" t="s">
        <v>417</v>
      </c>
    </row>
    <row r="74" customFormat="false" ht="14.25" hidden="false" customHeight="false" outlineLevel="0" collapsed="false">
      <c r="C74" s="6" t="s">
        <v>418</v>
      </c>
      <c r="D74" s="2" t="s">
        <v>419</v>
      </c>
      <c r="E74" s="7" t="n">
        <v>150</v>
      </c>
      <c r="H74" s="2" t="s">
        <v>420</v>
      </c>
    </row>
    <row r="75" customFormat="false" ht="14.25" hidden="false" customHeight="false" outlineLevel="0" collapsed="false">
      <c r="C75" s="6" t="s">
        <v>421</v>
      </c>
      <c r="D75" s="2" t="s">
        <v>20</v>
      </c>
      <c r="E75" s="10" t="n">
        <v>4</v>
      </c>
      <c r="H75" s="2" t="s">
        <v>422</v>
      </c>
    </row>
    <row r="76" customFormat="false" ht="14.25" hidden="false" customHeight="false" outlineLevel="0" collapsed="false">
      <c r="C76" s="6" t="s">
        <v>423</v>
      </c>
      <c r="D76" s="2" t="s">
        <v>20</v>
      </c>
      <c r="E76" s="10" t="n">
        <v>1</v>
      </c>
      <c r="H76" s="2" t="s">
        <v>424</v>
      </c>
    </row>
    <row r="77" customFormat="false" ht="14.25" hidden="false" customHeight="false" outlineLevel="0" collapsed="false">
      <c r="C77" s="6" t="s">
        <v>254</v>
      </c>
      <c r="D77" s="2" t="s">
        <v>425</v>
      </c>
      <c r="E77" s="9" t="n">
        <v>0.001</v>
      </c>
      <c r="H77" s="2" t="s">
        <v>426</v>
      </c>
    </row>
    <row r="78" customFormat="false" ht="14.25" hidden="false" customHeight="false" outlineLevel="0" collapsed="false">
      <c r="C78" s="6" t="s">
        <v>257</v>
      </c>
      <c r="D78" s="2" t="s">
        <v>425</v>
      </c>
      <c r="E78" s="9" t="n">
        <v>0.02</v>
      </c>
      <c r="H78" s="2" t="s">
        <v>427</v>
      </c>
    </row>
    <row r="79" customFormat="false" ht="14.25" hidden="false" customHeight="false" outlineLevel="0" collapsed="false">
      <c r="C79" s="6" t="s">
        <v>428</v>
      </c>
      <c r="D79" s="2" t="s">
        <v>12</v>
      </c>
      <c r="E79" s="9" t="n">
        <v>0.05</v>
      </c>
      <c r="H79" s="2" t="s">
        <v>429</v>
      </c>
    </row>
    <row r="80" customFormat="false" ht="14.25" hidden="false" customHeight="false" outlineLevel="0" collapsed="false">
      <c r="C80" s="6" t="s">
        <v>430</v>
      </c>
      <c r="D80" s="2" t="s">
        <v>403</v>
      </c>
      <c r="E80" s="9" t="n">
        <v>0.025</v>
      </c>
      <c r="H80" s="2" t="s">
        <v>431</v>
      </c>
    </row>
    <row r="81" customFormat="false" ht="14.25" hidden="false" customHeight="false" outlineLevel="0" collapsed="false">
      <c r="C81" s="44" t="s">
        <v>432</v>
      </c>
      <c r="D81" s="44"/>
      <c r="E81" s="45"/>
      <c r="F81" s="45"/>
      <c r="G81" s="45"/>
      <c r="H81" s="45"/>
    </row>
    <row r="82" customFormat="false" ht="14.25" hidden="false" customHeight="false" outlineLevel="0" collapsed="false">
      <c r="C82" s="6" t="s">
        <v>433</v>
      </c>
      <c r="D82" s="2" t="s">
        <v>234</v>
      </c>
      <c r="E82" s="11" t="n">
        <v>30</v>
      </c>
      <c r="H82" s="2" t="s">
        <v>434</v>
      </c>
    </row>
    <row r="83" customFormat="false" ht="14.25" hidden="false" customHeight="false" outlineLevel="0" collapsed="false">
      <c r="C83" s="6" t="s">
        <v>435</v>
      </c>
      <c r="D83" s="2" t="s">
        <v>12</v>
      </c>
      <c r="E83" s="9" t="n">
        <v>0.08</v>
      </c>
      <c r="H83" s="2" t="s">
        <v>436</v>
      </c>
    </row>
    <row r="84" customFormat="false" ht="14.25" hidden="false" customHeight="false" outlineLevel="0" collapsed="false">
      <c r="C84" s="6" t="s">
        <v>437</v>
      </c>
      <c r="D84" s="2" t="s">
        <v>151</v>
      </c>
      <c r="E84" s="11" t="n">
        <v>2026</v>
      </c>
      <c r="H84" s="2" t="s">
        <v>438</v>
      </c>
    </row>
    <row r="85" customFormat="false" ht="14.25" hidden="false" customHeight="false" outlineLevel="0" collapsed="false">
      <c r="C85" s="6" t="s">
        <v>439</v>
      </c>
      <c r="D85" s="2" t="s">
        <v>3</v>
      </c>
      <c r="E85" s="7" t="n">
        <v>1000</v>
      </c>
      <c r="H85" s="2" t="s">
        <v>440</v>
      </c>
    </row>
    <row r="86" customFormat="false" ht="14.25" hidden="false" customHeight="false" outlineLevel="0" collapsed="false">
      <c r="C86" s="6" t="s">
        <v>441</v>
      </c>
      <c r="D86" s="2" t="s">
        <v>165</v>
      </c>
      <c r="E86" s="11" t="n">
        <v>365</v>
      </c>
      <c r="H86" s="2" t="s">
        <v>440</v>
      </c>
    </row>
    <row r="87" customFormat="false" ht="14.25" hidden="false" customHeight="false" outlineLevel="0" collapsed="false">
      <c r="C87" s="6" t="s">
        <v>442</v>
      </c>
      <c r="D87" s="2" t="s">
        <v>236</v>
      </c>
      <c r="E87" s="11" t="n">
        <v>12</v>
      </c>
      <c r="H87" s="2" t="s">
        <v>440</v>
      </c>
    </row>
    <row r="88" customFormat="false" ht="14.25" hidden="false" customHeight="false" outlineLevel="0" collapsed="false">
      <c r="C88" s="6" t="s">
        <v>443</v>
      </c>
      <c r="D88" s="2" t="s">
        <v>84</v>
      </c>
      <c r="E88" s="72" t="n">
        <v>0.001</v>
      </c>
      <c r="H88" s="2" t="s">
        <v>440</v>
      </c>
    </row>
    <row r="90" customFormat="false" ht="14.25" hidden="false" customHeight="false" outlineLevel="0" collapsed="false">
      <c r="B90" s="4" t="s">
        <v>3</v>
      </c>
      <c r="C90" s="4" t="s">
        <v>444</v>
      </c>
      <c r="D90" s="4"/>
      <c r="E90" s="5" t="s">
        <v>445</v>
      </c>
      <c r="F90" s="5"/>
      <c r="G90" s="5"/>
      <c r="H90" s="5"/>
    </row>
    <row r="91" customFormat="false" ht="14.25" hidden="false" customHeight="false" outlineLevel="1" collapsed="false">
      <c r="C91" s="6" t="s">
        <v>446</v>
      </c>
      <c r="E91" s="13" t="n">
        <v>10</v>
      </c>
      <c r="F91" s="13" t="n">
        <v>15</v>
      </c>
      <c r="G91" s="13" t="n">
        <v>20</v>
      </c>
      <c r="H91" s="13" t="n">
        <v>25</v>
      </c>
      <c r="I91" s="13" t="n">
        <v>30</v>
      </c>
      <c r="J91" s="13" t="n">
        <v>35</v>
      </c>
      <c r="K91" s="13" t="n">
        <v>40</v>
      </c>
      <c r="L91" s="13" t="n">
        <v>45</v>
      </c>
      <c r="M91" s="13" t="n">
        <v>50</v>
      </c>
    </row>
    <row r="92" customFormat="false" ht="14.25" hidden="false" customHeight="false" outlineLevel="1" collapsed="false">
      <c r="C92" s="6" t="s">
        <v>447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1</v>
      </c>
    </row>
    <row r="93" customFormat="false" ht="14.25" hidden="false" customHeight="false" outlineLevel="1" collapsed="false">
      <c r="C93" s="6" t="s">
        <v>448</v>
      </c>
      <c r="E93" s="13" t="n">
        <v>0</v>
      </c>
      <c r="F93" s="13" t="n">
        <v>10</v>
      </c>
      <c r="G93" s="13" t="n">
        <v>20</v>
      </c>
      <c r="H93" s="13" t="n">
        <v>30</v>
      </c>
      <c r="I93" s="13" t="n">
        <v>40</v>
      </c>
      <c r="J93" s="13" t="n">
        <v>55</v>
      </c>
      <c r="K93" s="13" t="n">
        <v>70</v>
      </c>
      <c r="L93" s="13" t="n">
        <v>80</v>
      </c>
      <c r="M93" s="13" t="n">
        <v>90</v>
      </c>
      <c r="N93" s="13" t="n">
        <v>100</v>
      </c>
    </row>
    <row r="94" customFormat="false" ht="14.25" hidden="false" customHeight="false" outlineLevel="1" collapsed="false">
      <c r="C94" s="6" t="s">
        <v>449</v>
      </c>
      <c r="E94" s="13" t="n">
        <v>2</v>
      </c>
      <c r="F94" s="13" t="n">
        <v>2.1</v>
      </c>
      <c r="G94" s="13" t="n">
        <v>2.2</v>
      </c>
      <c r="H94" s="13" t="n">
        <v>2.3</v>
      </c>
      <c r="I94" s="13" t="n">
        <v>2.4</v>
      </c>
      <c r="J94" s="13" t="n">
        <v>2.5</v>
      </c>
      <c r="K94" s="13" t="n">
        <v>2.6</v>
      </c>
      <c r="L94" s="13" t="n">
        <v>2.7</v>
      </c>
      <c r="M94" s="13" t="n">
        <v>2.8</v>
      </c>
      <c r="N94" s="13" t="n">
        <v>2.9</v>
      </c>
      <c r="O94" s="13" t="n">
        <v>3</v>
      </c>
    </row>
    <row r="95" customFormat="false" ht="14.25" hidden="false" customHeight="false" outlineLevel="1" collapsed="false">
      <c r="C95" s="6" t="s">
        <v>450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1</v>
      </c>
    </row>
    <row r="96" customFormat="false" ht="14.25" hidden="false" customHeight="false" outlineLevel="1" collapsed="false">
      <c r="C96" s="6" t="s">
        <v>451</v>
      </c>
      <c r="E96" s="13" t="n">
        <v>0</v>
      </c>
      <c r="F96" s="13" t="n">
        <v>5</v>
      </c>
      <c r="G96" s="13" t="n">
        <v>10</v>
      </c>
      <c r="H96" s="13" t="n">
        <v>20</v>
      </c>
      <c r="I96" s="13" t="n">
        <v>30</v>
      </c>
      <c r="J96" s="13" t="n">
        <v>40</v>
      </c>
      <c r="K96" s="13" t="n">
        <v>50</v>
      </c>
      <c r="L96" s="13" t="n">
        <v>60</v>
      </c>
      <c r="M96" s="13" t="n">
        <v>70</v>
      </c>
      <c r="N96" s="13" t="n">
        <v>80</v>
      </c>
      <c r="O96" s="13" t="n">
        <v>90</v>
      </c>
      <c r="P96" s="13" t="n">
        <v>100</v>
      </c>
    </row>
    <row r="97" customFormat="false" ht="14.25" hidden="false" customHeight="false" outlineLevel="1" collapsed="false">
      <c r="C97" s="6" t="s">
        <v>452</v>
      </c>
      <c r="E97" s="13" t="n">
        <v>0.02</v>
      </c>
      <c r="F97" s="13" t="n">
        <v>0.05</v>
      </c>
      <c r="G97" s="13" t="n">
        <v>0.1</v>
      </c>
      <c r="H97" s="13" t="n">
        <v>0.15</v>
      </c>
      <c r="I97" s="13" t="n">
        <v>0.2</v>
      </c>
      <c r="J97" s="13" t="n">
        <v>0.25</v>
      </c>
      <c r="K97" s="13" t="n">
        <v>0.3</v>
      </c>
      <c r="L97" s="13" t="n">
        <v>0.35</v>
      </c>
      <c r="M97" s="13" t="n">
        <v>0.4</v>
      </c>
      <c r="N97" s="13" t="n">
        <v>0.5</v>
      </c>
    </row>
    <row r="98" customFormat="false" ht="14.25" hidden="false" customHeight="false" outlineLevel="1" collapsed="false">
      <c r="C98" s="6" t="s">
        <v>453</v>
      </c>
      <c r="E98" s="13" t="n">
        <v>0</v>
      </c>
      <c r="F98" s="13" t="n">
        <v>1</v>
      </c>
      <c r="G98" s="13" t="n">
        <v>1</v>
      </c>
      <c r="H98" s="13" t="n">
        <v>1</v>
      </c>
      <c r="I98" s="13" t="n">
        <v>1</v>
      </c>
      <c r="J98" s="13" t="n">
        <v>1</v>
      </c>
      <c r="K98" s="13" t="n">
        <v>1</v>
      </c>
      <c r="L98" s="13" t="n">
        <v>1</v>
      </c>
      <c r="M98" s="13" t="n">
        <v>1</v>
      </c>
      <c r="N98" s="13" t="n">
        <v>0</v>
      </c>
    </row>
    <row r="99" customFormat="false" ht="14.25" hidden="false" customHeight="false" outlineLevel="1" collapsed="false">
      <c r="C99" s="6" t="s">
        <v>454</v>
      </c>
      <c r="E99" s="13" t="n">
        <v>0</v>
      </c>
      <c r="F99" s="13" t="n">
        <v>10</v>
      </c>
      <c r="G99" s="13" t="n">
        <v>20</v>
      </c>
      <c r="H99" s="13" t="n">
        <v>30</v>
      </c>
      <c r="I99" s="13" t="n">
        <v>40</v>
      </c>
      <c r="J99" s="13" t="n">
        <v>50</v>
      </c>
      <c r="K99" s="13" t="n">
        <v>60</v>
      </c>
      <c r="L99" s="13" t="n">
        <v>70</v>
      </c>
      <c r="M99" s="13" t="n">
        <v>80</v>
      </c>
      <c r="N99" s="13" t="n">
        <v>90</v>
      </c>
      <c r="O99" s="13" t="n">
        <v>100</v>
      </c>
    </row>
    <row r="100" customFormat="false" ht="14.25" hidden="false" customHeight="false" outlineLevel="1" collapsed="false">
      <c r="C100" s="6" t="s">
        <v>455</v>
      </c>
      <c r="E100" s="13" t="n">
        <v>1</v>
      </c>
      <c r="F100" s="13" t="n">
        <v>1.2</v>
      </c>
      <c r="G100" s="13" t="n">
        <v>1.3</v>
      </c>
      <c r="H100" s="13" t="n">
        <v>1.4</v>
      </c>
      <c r="I100" s="13" t="n">
        <v>1.5</v>
      </c>
      <c r="J100" s="13" t="n">
        <v>1.6</v>
      </c>
      <c r="K100" s="13" t="n">
        <v>1.7</v>
      </c>
      <c r="L100" s="13" t="n">
        <v>1.8</v>
      </c>
      <c r="M100" s="13" t="n">
        <v>1.9</v>
      </c>
      <c r="N100" s="13" t="n">
        <v>2</v>
      </c>
    </row>
    <row r="101" customFormat="false" ht="14.25" hidden="false" customHeight="false" outlineLevel="1" collapsed="false">
      <c r="C101" s="6" t="s">
        <v>456</v>
      </c>
      <c r="E101" s="13" t="n">
        <v>0</v>
      </c>
      <c r="F101" s="13" t="n">
        <v>1</v>
      </c>
      <c r="G101" s="13" t="n">
        <v>1</v>
      </c>
      <c r="H101" s="13" t="n">
        <v>1</v>
      </c>
      <c r="I101" s="13" t="n">
        <v>1</v>
      </c>
      <c r="J101" s="13" t="n">
        <v>1</v>
      </c>
      <c r="K101" s="13" t="n">
        <v>1</v>
      </c>
      <c r="L101" s="13" t="n">
        <v>1</v>
      </c>
      <c r="M101" s="13" t="n">
        <v>1</v>
      </c>
      <c r="N101" s="13" t="n">
        <v>1</v>
      </c>
    </row>
    <row r="102" customFormat="false" ht="14.25" hidden="false" customHeight="false" outlineLevel="1" collapsed="false">
      <c r="C102" s="6" t="s">
        <v>457</v>
      </c>
      <c r="E102" s="13" t="n">
        <v>0</v>
      </c>
      <c r="F102" s="13" t="n">
        <v>10</v>
      </c>
      <c r="G102" s="13" t="n">
        <v>20</v>
      </c>
      <c r="H102" s="13" t="n">
        <v>30</v>
      </c>
      <c r="I102" s="13" t="n">
        <v>40</v>
      </c>
      <c r="J102" s="13" t="n">
        <v>50</v>
      </c>
      <c r="K102" s="13" t="n">
        <v>60</v>
      </c>
      <c r="L102" s="13" t="n">
        <v>70</v>
      </c>
      <c r="M102" s="13" t="n">
        <v>80</v>
      </c>
      <c r="N102" s="13" t="n">
        <v>90</v>
      </c>
      <c r="O102" s="13" t="n">
        <v>100</v>
      </c>
    </row>
    <row r="103" customFormat="false" ht="14.25" hidden="false" customHeight="false" outlineLevel="1" collapsed="false">
      <c r="C103" s="6" t="s">
        <v>458</v>
      </c>
      <c r="E103" s="13" t="n">
        <v>100</v>
      </c>
    </row>
    <row r="104" customFormat="false" ht="14.25" hidden="false" customHeight="false" outlineLevel="1" collapsed="false">
      <c r="C104" s="6" t="s">
        <v>459</v>
      </c>
      <c r="E104" s="13" t="n">
        <v>100</v>
      </c>
    </row>
    <row r="105" customFormat="false" ht="14.25" hidden="false" customHeight="false" outlineLevel="1" collapsed="false">
      <c r="C105" s="6" t="s">
        <v>460</v>
      </c>
      <c r="E105" s="13" t="n">
        <v>100</v>
      </c>
    </row>
    <row r="106" customFormat="false" ht="14.25" hidden="false" customHeight="false" outlineLevel="1" collapsed="false">
      <c r="C106" s="6" t="s">
        <v>461</v>
      </c>
      <c r="E106" s="13" t="n">
        <v>80</v>
      </c>
    </row>
    <row r="107" customFormat="false" ht="14.25" hidden="false" customHeight="false" outlineLevel="1" collapsed="false">
      <c r="C107" s="6" t="s">
        <v>462</v>
      </c>
      <c r="E107" s="13" t="n">
        <v>20</v>
      </c>
    </row>
    <row r="108" customFormat="false" ht="14.25" hidden="false" customHeight="false" outlineLevel="1" collapsed="false">
      <c r="C108" s="6" t="s">
        <v>463</v>
      </c>
      <c r="E108" s="13" t="n">
        <v>0.2</v>
      </c>
    </row>
    <row r="109" customFormat="false" ht="14.25" hidden="false" customHeight="false" outlineLevel="1" collapsed="false">
      <c r="C109" s="6" t="s">
        <v>464</v>
      </c>
      <c r="E109" s="13" t="n">
        <v>0.15</v>
      </c>
    </row>
    <row r="110" customFormat="false" ht="14.25" hidden="false" customHeight="false" outlineLevel="1" collapsed="false">
      <c r="C110" s="6" t="s">
        <v>465</v>
      </c>
      <c r="E110" s="13" t="n">
        <v>0.1</v>
      </c>
    </row>
    <row r="111" customFormat="false" ht="14.25" hidden="false" customHeight="false" outlineLevel="1" collapsed="false">
      <c r="C111" s="6" t="s">
        <v>466</v>
      </c>
      <c r="E111" s="13" t="n">
        <v>0.15</v>
      </c>
    </row>
    <row r="112" customFormat="false" ht="14.25" hidden="false" customHeight="false" outlineLevel="1" collapsed="false">
      <c r="C112" s="6" t="s">
        <v>467</v>
      </c>
      <c r="E112" s="13" t="n">
        <v>0.05</v>
      </c>
    </row>
    <row r="113" customFormat="false" ht="14.25" hidden="false" customHeight="false" outlineLevel="1" collapsed="false">
      <c r="C113" s="6" t="s">
        <v>468</v>
      </c>
      <c r="E113" s="13" t="n">
        <v>0.05</v>
      </c>
    </row>
    <row r="114" customFormat="false" ht="14.25" hidden="false" customHeight="false" outlineLevel="1" collapsed="false">
      <c r="C114" s="6" t="s">
        <v>469</v>
      </c>
      <c r="E114" s="13" t="n">
        <v>0.1</v>
      </c>
    </row>
    <row r="115" customFormat="false" ht="14.25" hidden="false" customHeight="false" outlineLevel="1" collapsed="false">
      <c r="C115" s="6" t="s">
        <v>470</v>
      </c>
      <c r="E115" s="13" t="n">
        <v>0.05</v>
      </c>
    </row>
    <row r="116" customFormat="false" ht="14.25" hidden="false" customHeight="false" outlineLevel="1" collapsed="false">
      <c r="C116" s="6" t="s">
        <v>471</v>
      </c>
      <c r="E116" s="13" t="n">
        <v>0.15</v>
      </c>
    </row>
    <row r="118" customFormat="false" ht="14.25" hidden="false" customHeight="false" outlineLevel="0" collapsed="false">
      <c r="C118" s="68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C80BA76C054AAAC0D3CDDFCEC309" ma:contentTypeVersion="14" ma:contentTypeDescription="Create a new document." ma:contentTypeScope="" ma:versionID="d968673a7c3a10ddeefea4f97a096cd1">
  <xsd:schema xmlns:xsd="http://www.w3.org/2001/XMLSchema" xmlns:xs="http://www.w3.org/2001/XMLSchema" xmlns:p="http://schemas.microsoft.com/office/2006/metadata/properties" xmlns:ns2="3ba8be79-126f-4ecc-b268-0e8a1c9d820a" xmlns:ns3="348e42aa-7502-48aa-9973-d5430de63b43" targetNamespace="http://schemas.microsoft.com/office/2006/metadata/properties" ma:root="true" ma:fieldsID="65bd50756c71f8c38774f3a5c983a670" ns2:_="" ns3:_="">
    <xsd:import namespace="3ba8be79-126f-4ecc-b268-0e8a1c9d820a"/>
    <xsd:import namespace="348e42aa-7502-48aa-9973-d5430de63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be79-126f-4ecc-b268-0e8a1c9d8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4c7780-c79f-4b81-a1cc-c56cb19b1b79}" ma:internalName="TaxCatchAll" ma:showField="CatchAllData" ma:web="3ba8be79-126f-4ecc-b268-0e8a1c9d8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42aa-7502-48aa-9973-d5430de6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080c10-e0a6-4b42-beda-2db26c8ff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e42aa-7502-48aa-9973-d5430de63b43">
      <Terms xmlns="http://schemas.microsoft.com/office/infopath/2007/PartnerControls"/>
    </lcf76f155ced4ddcb4097134ff3c332f>
    <TaxCatchAll xmlns="3ba8be79-126f-4ecc-b268-0e8a1c9d820a" xsi:nil="true"/>
  </documentManagement>
</p:properties>
</file>

<file path=customXml/itemProps1.xml><?xml version="1.0" encoding="utf-8"?>
<ds:datastoreItem xmlns:ds="http://schemas.openxmlformats.org/officeDocument/2006/customXml" ds:itemID="{9C9C9B8A-D976-47D5-B74F-5F75FDEC5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8be79-126f-4ecc-b268-0e8a1c9d820a"/>
    <ds:schemaRef ds:uri="348e42aa-7502-48aa-9973-d5430de63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623F0-E57A-43AF-8A8C-53C11C5244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DA6336-3ABB-4636-B282-3252113AC58A}">
  <ds:schemaRefs>
    <ds:schemaRef ds:uri="http://schemas.microsoft.com/office/2006/metadata/properties"/>
    <ds:schemaRef ds:uri="http://schemas.microsoft.com/office/infopath/2007/PartnerControls"/>
    <ds:schemaRef ds:uri="348e42aa-7502-48aa-9973-d5430de63b43"/>
    <ds:schemaRef ds:uri="3ba8be79-126f-4ecc-b268-0e8a1c9d820a"/>
  </ds:schemaRefs>
</ds:datastoreItem>
</file>

<file path=docMetadata/LabelInfo.xml><?xml version="1.0" encoding="utf-8"?>
<clbl:labelList xmlns:clbl="http://schemas.microsoft.com/office/2020/mipLabelMetadata">
  <clbl:label id="{42728984-5573-4501-93e1-26196c1472d0}" enabled="0" method="" siteId="{42728984-5573-4501-93e1-26196c1472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2026-10-27T15:34:29Z</dcterms:created>
  <dc:creator>openpyxl</dc:creator>
  <dc:description/>
  <dc:language>en-US</dc:language>
  <cp:lastModifiedBy/>
  <dcterms:modified xsi:type="dcterms:W3CDTF">2026-10-28T16:10:06Z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