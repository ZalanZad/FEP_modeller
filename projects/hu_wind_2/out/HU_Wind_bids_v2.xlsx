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ebextensions/taskpanes.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11/relationships/webextensiontaskpanes" Target="xl/webextensions/taskpanes.xml"/><Relationship Id="rId9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</sheets>
  <definedNames>
    <definedName function="false" hidden="false" name="Balancing" vbProcedure="false">Inputs!$E$64</definedName>
    <definedName function="false" hidden="false" name="Bench_BESS" vbProcedure="false">Inputs!$E$8</definedName>
    <definedName function="false" hidden="false" name="Bench_Wind" vbProcedure="false">Inputs!$E$7</definedName>
    <definedName function="false" hidden="false" name="BESS_Capex" vbProcedure="false">Inputs!$E$51</definedName>
    <definedName function="false" hidden="false" name="Bid_Sec_Rate" vbProcedure="false">Inputs!$E$9</definedName>
    <definedName function="false" hidden="false" name="Capex_Civil" vbProcedure="false">Inputs!$E$44</definedName>
    <definedName function="false" hidden="false" name="Capex_Cont" vbProcedure="false">Inputs!$E$50</definedName>
    <definedName function="false" hidden="false" name="Capex_Elec" vbProcedure="false">Inputs!$E$45</definedName>
    <definedName function="false" hidden="false" name="Capex_Fdn" vbProcedure="false">Inputs!$E$43</definedName>
    <definedName function="false" hidden="false" name="Capex_Install" vbProcedure="false">Inputs!$E$42</definedName>
    <definedName function="false" hidden="false" name="Capex_Land" vbProcedure="false">Inputs!$E$47</definedName>
    <definedName function="false" hidden="false" name="Capex_Owner" vbProcedure="false">Inputs!$E$46</definedName>
    <definedName function="false" hidden="false" name="Case_CN" vbProcedure="false">Dashboard!$H$27</definedName>
    <definedName function="false" hidden="false" name="Case_EU" vbProcedure="false">Dashboard!$H$26</definedName>
    <definedName function="false" hidden="false" name="Case_OM" vbProcedure="false">Dashboard!$H$30</definedName>
    <definedName function="false" hidden="false" name="Case_P50" vbProcedure="false">Dashboard!$H$29</definedName>
    <definedName function="false" hidden="false" name="Case_PPA" vbProcedure="false">Dashboard!$H$28</definedName>
    <definedName function="false" hidden="false" name="CIT_Rate" vbProcedure="false">Inputs!$E$39</definedName>
    <definedName function="false" hidden="false" name="Clipping" vbProcedure="false">Inputs!$E$54</definedName>
    <definedName function="false" hidden="false" name="Curtailment" vbProcedure="false">Inputs!$E$53</definedName>
    <definedName function="false" hidden="false" name="Dash_BESS_Share" vbProcedure="false">Dashboard!$E$8:$G$8</definedName>
    <definedName function="false" hidden="false" name="Dash_Brownfield" vbProcedure="false">Dashboard!$E$15:$G$15</definedName>
    <definedName function="false" hidden="false" name="Dash_Case" vbProcedure="false">Dashboard!$H$25</definedName>
    <definedName function="false" hidden="false" name="Dash_Case_CN" vbProcedure="false">Dashboard!$E$27:$G$27</definedName>
    <definedName function="false" hidden="false" name="Dash_Case_EU" vbProcedure="false">Dashboard!$E$26:$G$26</definedName>
    <definedName function="false" hidden="false" name="Dash_Case_OM" vbProcedure="false">Dashboard!$E$30:$G$30</definedName>
    <definedName function="false" hidden="false" name="Dash_Case_P50" vbProcedure="false">Dashboard!$E$29:$G$29</definedName>
    <definedName function="false" hidden="false" name="Dash_Case_PPA" vbProcedure="false">Dashboard!$E$28:$G$28</definedName>
    <definedName function="false" hidden="false" name="Dash_Community" vbProcedure="false">Dashboard!$E$12:$G$12</definedName>
    <definedName function="false" hidden="false" name="Dash_DSA" vbProcedure="false">Dashboard!$E$20:$G$20</definedName>
    <definedName function="false" hidden="false" name="Dash_FEP_Share" vbProcedure="false">Dashboard!$E$19:$G$19</definedName>
    <definedName function="false" hidden="false" name="Dash_Hours" vbProcedure="false">Dashboard!$E$9:$G$9</definedName>
    <definedName function="false" hidden="false" name="Dash_JV" vbProcedure="false">Dashboard!$E$21:$G$21</definedName>
    <definedName function="false" hidden="false" name="Dash_Municipal" vbProcedure="false">Dashboard!$E$11:$G$11</definedName>
    <definedName function="false" hidden="false" name="Dash_MVA" vbProcedure="false">Dashboard!$E$6:$G$6</definedName>
    <definedName function="false" hidden="false" name="Dash_Overbuild" vbProcedure="false">Dashboard!$E$7:$G$7</definedName>
    <definedName function="false" hidden="false" name="Dash_P50" vbProcedure="false">Dashboard!$E$22:$G$22</definedName>
    <definedName function="false" hidden="false" name="Dash_Partial" vbProcedure="false">Dashboard!$E$13:$G$13</definedName>
    <definedName function="false" hidden="false" name="Dash_PB_Mult" vbProcedure="false">Dashboard!$E$14:$G$14</definedName>
    <definedName function="false" hidden="false" name="Dash_Premium" vbProcedure="false">Dashboard!$E$18:$G$18</definedName>
    <definedName function="false" hidden="false" name="Dash_Shared" vbProcedure="false">Dashboard!$E$16:$G$16</definedName>
    <definedName function="false" hidden="false" name="Dash_Shortfall" vbProcedure="false">Dashboard!$E$10:$G$10</definedName>
    <definedName function="false" hidden="false" name="Dash_Turbine" vbProcedure="false">Dashboard!$E$17:$G$17</definedName>
    <definedName function="false" hidden="false" name="Days_In_Year" vbProcedure="false">Inputs!$E$75</definedName>
    <definedName function="false" hidden="false" name="Degradation" vbProcedure="false">Inputs!$E$55</definedName>
    <definedName function="false" hidden="false" name="Devex_Class" vbProcedure="false">Inputs!$G$80:$G$112</definedName>
    <definedName function="false" hidden="false" name="Devex_Date" vbProcedure="false">Inputs!$F$80:$F$112</definedName>
    <definedName function="false" hidden="false" name="Devex_Floor" vbProcedure="false">Inputs!$E$32</definedName>
    <definedName function="false" hidden="false" name="Devex_HUF" vbProcedure="false">Inputs!$E$80:$E$112</definedName>
    <definedName function="false" hidden="false" name="Discount_Rate" vbProcedure="false">Inputs!$E$72</definedName>
    <definedName function="false" hidden="false" name="DSA_Cap" vbProcedure="false">Inputs!$E$38</definedName>
    <definedName function="false" hidden="false" name="DSA_Rate" vbProcedure="false">Inputs!$E$37</definedName>
    <definedName function="false" hidden="false" name="First_Year" vbProcedure="false">Inputs!$E$73</definedName>
    <definedName function="false" hidden="false" name="Freeze_Date" vbProcedure="false">Inputs!$E$33</definedName>
    <definedName function="false" hidden="false" name="FX" vbProcedure="false">Inputs!$E$6</definedName>
    <definedName function="false" hidden="false" name="Grid_Charges" vbProcedure="false">Inputs!$E$65</definedName>
    <definedName function="false" hidden="false" name="HIPA_Rate" vbProcedure="false">Inputs!$E$67</definedName>
    <definedName function="false" hidden="false" name="Life" vbProcedure="false">Inputs!$E$71</definedName>
    <definedName function="false" hidden="false" name="Lump_Basis" vbProcedure="false">Inputs!$E$49</definedName>
    <definedName function="false" hidden="false" name="Master_Check" vbProcedure="false">Dashboard!$H$405</definedName>
    <definedName function="false" hidden="false" name="MEKH_Fee" vbProcedure="false">Inputs!$E$66</definedName>
    <definedName function="false" hidden="false" name="Months_In_Year" vbProcedure="false">Inputs!$E$76</definedName>
    <definedName function="false" hidden="false" name="Opex_Admin" vbProcedure="false">Inputs!$E$63</definedName>
    <definedName function="false" hidden="false" name="Opex_BoP" vbProcedure="false">Inputs!$E$58</definedName>
    <definedName function="false" hidden="false" name="Opex_Cont" vbProcedure="false">Inputs!$E$68</definedName>
    <definedName function="false" hidden="false" name="Opex_Esc" vbProcedure="false">Inputs!$E$69</definedName>
    <definedName function="false" hidden="false" name="Opex_Ins" vbProcedure="false">Inputs!$E$60</definedName>
    <definedName function="false" hidden="false" name="Opex_Lease" vbProcedure="false">Inputs!$E$59</definedName>
    <definedName function="false" hidden="false" name="Opex_Mgmt" vbProcedure="false">Inputs!$E$61</definedName>
    <definedName function="false" hidden="false" name="Opex_Per_MW" vbProcedure="false">Inputs!$E$58:$E$62</definedName>
    <definedName function="false" hidden="false" name="Opex_PropTax" vbProcedure="false">Inputs!$E$62</definedName>
    <definedName function="false" hidden="false" name="Osz1_Incl" vbProcedure="false">Inputs!$E$116:$M$116</definedName>
    <definedName function="false" hidden="false" name="Osz1_LB" vbProcedure="false">Inputs!$E$115:$M$115</definedName>
    <definedName function="false" hidden="false" name="Osz1_Pts" vbProcedure="false">Inputs!$E$117:$N$117</definedName>
    <definedName function="false" hidden="false" name="Osz1_W" vbProcedure="false">Inputs!$E$132</definedName>
    <definedName function="false" hidden="false" name="Osz2_Incl" vbProcedure="false">Inputs!$E$119:$O$119</definedName>
    <definedName function="false" hidden="false" name="Osz2_LB" vbProcedure="false">Inputs!$E$118:$O$118</definedName>
    <definedName function="false" hidden="false" name="Osz2_Pts" vbProcedure="false">Inputs!$E$120:$P$120</definedName>
    <definedName function="false" hidden="false" name="Osz2_W" vbProcedure="false">Inputs!$E$133</definedName>
    <definedName function="false" hidden="false" name="Osz3_Incl" vbProcedure="false">Inputs!$E$122:$N$122</definedName>
    <definedName function="false" hidden="false" name="Osz3_LB" vbProcedure="false">Inputs!$E$121:$N$121</definedName>
    <definedName function="false" hidden="false" name="Osz3_Pts" vbProcedure="false">Inputs!$E$123:$O$123</definedName>
    <definedName function="false" hidden="false" name="Osz3_W" vbProcedure="false">Inputs!$E$134</definedName>
    <definedName function="false" hidden="false" name="Osz4_W" vbProcedure="false">Inputs!$E$135</definedName>
    <definedName function="false" hidden="false" name="Osz5_Pts" vbProcedure="false">Inputs!$E$127</definedName>
    <definedName function="false" hidden="false" name="Osz5_W" vbProcedure="false">Inputs!$E$136</definedName>
    <definedName function="false" hidden="false" name="Osz6_Incl" vbProcedure="false">Inputs!$E$125:$N$125</definedName>
    <definedName function="false" hidden="false" name="Osz6_LB" vbProcedure="false">Inputs!$E$124:$N$124</definedName>
    <definedName function="false" hidden="false" name="Osz6_Pts" vbProcedure="false">Inputs!$E$126:$O$126</definedName>
    <definedName function="false" hidden="false" name="Osz6_W" vbProcedure="false">Inputs!$E$137</definedName>
    <definedName function="false" hidden="false" name="Osz7_Pts" vbProcedure="false">Inputs!$E$128</definedName>
    <definedName function="false" hidden="false" name="Osz7_W" vbProcedure="false">Inputs!$E$138</definedName>
    <definedName function="false" hidden="false" name="Osz8_Pts" vbProcedure="false">Inputs!$E$129</definedName>
    <definedName function="false" hidden="false" name="Osz8_W" vbProcedure="false">Inputs!$E$139</definedName>
    <definedName function="false" hidden="false" name="Osz9a_Pts" vbProcedure="false">Inputs!$E$130</definedName>
    <definedName function="false" hidden="false" name="Osz9b_Pts" vbProcedure="false">Inputs!$E$131</definedName>
    <definedName function="false" hidden="false" name="Osz9_W" vbProcedure="false">Inputs!$E$140</definedName>
    <definedName function="false" hidden="false" name="Part_Fee" vbProcedure="false">Inputs!$E$11</definedName>
    <definedName function="false" hidden="false" name="PB_Rate" vbProcedure="false">Inputs!$E$10</definedName>
    <definedName function="false" hidden="false" name="PPA_Esc" vbProcedure="false">Inputs!$E$56</definedName>
    <definedName function="false" hidden="false" name="Rate_Cash" vbProcedure="false">Inputs!$E$30</definedName>
    <definedName function="false" hidden="false" name="Rate_Devex" vbProcedure="false">Inputs!$E$31</definedName>
    <definedName function="false" hidden="false" name="Sale_Costs" vbProcedure="false">Inputs!$E$36</definedName>
    <definedName function="false" hidden="false" name="Sale_Date" vbProcedure="false">Inputs!$E$34</definedName>
    <definedName function="false" hidden="false" name="Sale_Date_A" vbProcedure="false">Inputs!$E$35</definedName>
    <definedName function="false" hidden="false" name="Share_Exempt" vbProcedure="false">Inputs!$E$40</definedName>
    <definedName function="false" hidden="false" name="Subs_Lump" vbProcedure="false">Inputs!$E$48</definedName>
    <definedName function="false" hidden="false" name="Thousand" vbProcedure="false">Inputs!$E$74</definedName>
    <definedName function="false" hidden="false" name="Tolerance" vbProcedure="false">Inputs!$E$77</definedName>
    <definedName function="false" hidden="false" name="TSO_Rate" vbProcedure="false">Inputs!$E$12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<sst xmlns="http://schemas.openxmlformats.org/spreadsheetml/2006/main" count="1223" uniqueCount="527">
  <si>
    <t xml:space="preserve">HU wind projects</t>
  </si>
  <si>
    <t xml:space="preserve">Master check (0 = OK; checks at the end of the detail)</t>
  </si>
  <si>
    <t xml:space="preserve">flag</t>
  </si>
  <si>
    <t xml:space="preserve">x</t>
  </si>
  <si>
    <t xml:space="preserve">Key inputs: the bids</t>
  </si>
  <si>
    <t xml:space="preserve">Bora</t>
  </si>
  <si>
    <t xml:space="preserve">Iváncsa</t>
  </si>
  <si>
    <t xml:space="preserve">Dunaújváros</t>
  </si>
  <si>
    <t xml:space="preserve">Total</t>
  </si>
  <si>
    <t xml:space="preserve">Net connection capacity</t>
  </si>
  <si>
    <t xml:space="preserve">MVA</t>
  </si>
  <si>
    <t xml:space="preserve">Overbuild (ÖSZ-3)</t>
  </si>
  <si>
    <t xml:space="preserve">%</t>
  </si>
  <si>
    <t xml:space="preserve">BESS power, share of MVA (ÖSZ-4)</t>
  </si>
  <si>
    <t xml:space="preserve">BESS duration</t>
  </si>
  <si>
    <t xml:space="preserve">h</t>
  </si>
  <si>
    <t xml:space="preserve">Wind built below the bid</t>
  </si>
  <si>
    <t xml:space="preserve">Municipal one-off (ÖSZ-1), at COD</t>
  </si>
  <si>
    <t xml:space="preserve">EUR k/MVA</t>
  </si>
  <si>
    <t xml:space="preserve">Community contribution (ÖSZ-2)</t>
  </si>
  <si>
    <t xml:space="preserve">EUR/MWh</t>
  </si>
  <si>
    <t xml:space="preserve">Partial award accepted (ÖSZ-5)</t>
  </si>
  <si>
    <t xml:space="preserve">Performance security multiple (ÖSZ-6)</t>
  </si>
  <si>
    <t xml:space="preserve">Brownfield site (ÖSZ-7)</t>
  </si>
  <si>
    <t xml:space="preserve">Shared connection (ÖSZ-8)</t>
  </si>
  <si>
    <t xml:space="preserve">Turbine route (EU or CN; EU scores ÖSZ-9)</t>
  </si>
  <si>
    <t xml:space="preserve">text</t>
  </si>
  <si>
    <t xml:space="preserve">CN</t>
  </si>
  <si>
    <t xml:space="preserve">RtB premium</t>
  </si>
  <si>
    <t xml:space="preserve">FEP share of distributable proceeds</t>
  </si>
  <si>
    <t xml:space="preserve">Developer success fee (DSA) on</t>
  </si>
  <si>
    <t xml:space="preserve">JV with a developer (1 = yes; claims and DSA apply)</t>
  </si>
  <si>
    <t xml:space="preserve">Net P50 hours (project wind study)</t>
  </si>
  <si>
    <t xml:space="preserve">h/yr</t>
  </si>
  <si>
    <t xml:space="preserve">Case: turbine price, PPA, yield, O&amp;M</t>
  </si>
  <si>
    <t xml:space="preserve">Base</t>
  </si>
  <si>
    <t xml:space="preserve">Low</t>
  </si>
  <si>
    <t xml:space="preserve">High</t>
  </si>
  <si>
    <t xml:space="preserve">Live</t>
  </si>
  <si>
    <t xml:space="preserve">Case selected (Base, Low or High)</t>
  </si>
  <si>
    <t xml:space="preserve">case</t>
  </si>
  <si>
    <t xml:space="preserve">Turbine supply incl. transport, EU route</t>
  </si>
  <si>
    <t xml:space="preserve">EUR k/MW</t>
  </si>
  <si>
    <t xml:space="preserve">Bora Dashboard H8 / Inputs G162</t>
  </si>
  <si>
    <t xml:space="preserve">Turbine supply incl. transport, CN route</t>
  </si>
  <si>
    <t xml:space="preserve">Bora Inputs H162</t>
  </si>
  <si>
    <t xml:space="preserve">PPA price in the COD year</t>
  </si>
  <si>
    <t xml:space="preserve">Bora Dashboard H9</t>
  </si>
  <si>
    <t xml:space="preserve">Net P50 hours (not used: project P50 in row 21)</t>
  </si>
  <si>
    <t xml:space="preserve">Bora Dashboard H10</t>
  </si>
  <si>
    <t xml:space="preserve">O&amp;M full-service contract</t>
  </si>
  <si>
    <t xml:space="preserve">EUR k/MW/yr</t>
  </si>
  <si>
    <t xml:space="preserve">Bora Dashboard H11</t>
  </si>
  <si>
    <t xml:space="preserve">Bid points and capacity</t>
  </si>
  <si>
    <t xml:space="preserve">Points – municipal one-off</t>
  </si>
  <si>
    <t xml:space="preserve">points</t>
  </si>
  <si>
    <t xml:space="preserve">Points – community contribution</t>
  </si>
  <si>
    <t xml:space="preserve">Points – overbuild</t>
  </si>
  <si>
    <t xml:space="preserve">Points – BESS</t>
  </si>
  <si>
    <t xml:space="preserve">Points – partial award</t>
  </si>
  <si>
    <t xml:space="preserve">Points – performance security</t>
  </si>
  <si>
    <t xml:space="preserve">Points – brownfield</t>
  </si>
  <si>
    <t xml:space="preserve">Points – shared connection</t>
  </si>
  <si>
    <t xml:space="preserve">Points – EU turbines</t>
  </si>
  <si>
    <t xml:space="preserve">Points – EU transformers</t>
  </si>
  <si>
    <t xml:space="preserve">Points total</t>
  </si>
  <si>
    <t xml:space="preserve">Wind committed in the bid</t>
  </si>
  <si>
    <t xml:space="preserve">MW</t>
  </si>
  <si>
    <t xml:space="preserve">BESS energy</t>
  </si>
  <si>
    <t xml:space="preserve">MWh</t>
  </si>
  <si>
    <t xml:space="preserve">Wind built (committed less the build shortfall)</t>
  </si>
  <si>
    <t xml:space="preserve">Guarantees, securities and connection fees, DEVEX (HUF)</t>
  </si>
  <si>
    <t xml:space="preserve">Date</t>
  </si>
  <si>
    <t xml:space="preserve">Participation fee</t>
  </si>
  <si>
    <t xml:space="preserve">HUF</t>
  </si>
  <si>
    <t xml:space="preserve">Bid security</t>
  </si>
  <si>
    <t xml:space="preserve">Performance security payable (bid security deducted)</t>
  </si>
  <si>
    <t xml:space="preserve">TSO connection-request security</t>
  </si>
  <si>
    <t xml:space="preserve">Direct connection fee (per point ÷ bids sharing it)</t>
  </si>
  <si>
    <t xml:space="preserve">Indirect connection fee, payable (TSO security deducted)</t>
  </si>
  <si>
    <t xml:space="preserve">DEVEX – development (devex items excl. land)</t>
  </si>
  <si>
    <t xml:space="preserve">DEVEX – land (reservation and purchase)</t>
  </si>
  <si>
    <t xml:space="preserve">Signing fee and DD</t>
  </si>
  <si>
    <t xml:space="preserve">Total cash to RtB (incl. signing and DD)</t>
  </si>
  <si>
    <t xml:space="preserve">Guarantees, securities and connection fees, DEVEX (EUR k)</t>
  </si>
  <si>
    <t xml:space="preserve">EUR k</t>
  </si>
  <si>
    <t xml:space="preserve">Cash to RtB by nature: sunk, returned, or borne by the buyer (EUR k)</t>
  </si>
  <si>
    <t xml:space="preserve">Who bears it</t>
  </si>
  <si>
    <t xml:space="preserve">Sunk fees and devex (signing and DD, participation fee, land, development devex)</t>
  </si>
  <si>
    <t xml:space="preserve">FEP – sunk; recovered only via the claims at the sale</t>
  </si>
  <si>
    <t xml:space="preserve">Securities, returned (bid, performance, TSO connection request)</t>
  </si>
  <si>
    <t xml:space="preserve">FEP – cash out, returned or reimbursed at the sale</t>
  </si>
  <si>
    <t xml:space="preserve">Grid connection fees (direct + indirect, payable at HCSSZ)</t>
  </si>
  <si>
    <t xml:space="preserve">Buyer at RtB; FEP pays only if no buyer is found</t>
  </si>
  <si>
    <t xml:space="preserve">Total cash to RtB (= total above)</t>
  </si>
  <si>
    <t xml:space="preserve">Case A: FEP pre-funds everything</t>
  </si>
  <si>
    <t xml:space="preserve">Grid connection fees, share of the total</t>
  </si>
  <si>
    <t xml:space="preserve">FEP exposure if the buyer pays the grid connection fees</t>
  </si>
  <si>
    <t xml:space="preserve">Case B: FEP funds sunk fees, devex and securities only</t>
  </si>
  <si>
    <t xml:space="preserve">Capex breakdown to COD</t>
  </si>
  <si>
    <t xml:space="preserve">Turbines (route price, live case)</t>
  </si>
  <si>
    <t xml:space="preserve">Installation and erection</t>
  </si>
  <si>
    <t xml:space="preserve">Foundations</t>
  </si>
  <si>
    <t xml:space="preserve">Balance of plant – civil</t>
  </si>
  <si>
    <t xml:space="preserve">Balance of plant – electrical</t>
  </si>
  <si>
    <t xml:space="preserve">Owner's costs, engineering, PM, construction insurance</t>
  </si>
  <si>
    <t xml:space="preserve">Land purchase and easements</t>
  </si>
  <si>
    <t xml:space="preserve">Substation and 132 kV bay (scaled by MVA)</t>
  </si>
  <si>
    <t xml:space="preserve">Contingency (not on BESS)</t>
  </si>
  <si>
    <t xml:space="preserve">BESS (on BESS energy)</t>
  </si>
  <si>
    <t xml:space="preserve">Construction capex</t>
  </si>
  <si>
    <t xml:space="preserve">Connection fees (TSO security, direct, indirect)</t>
  </si>
  <si>
    <t xml:space="preserve">Municipal one-off</t>
  </si>
  <si>
    <t xml:space="preserve">Land (devex land items)</t>
  </si>
  <si>
    <t xml:space="preserve">Development (devex excl. land, participation fee, signing and DD)</t>
  </si>
  <si>
    <t xml:space="preserve">All-in cost to COD (securities excluded: returned)</t>
  </si>
  <si>
    <t xml:space="preserve">All-in cost per MW built</t>
  </si>
  <si>
    <t xml:space="preserve">All-in cost per MVA</t>
  </si>
  <si>
    <t xml:space="preserve">Devex breakdown (BORA_Devex 02-Oct-26 items × the scale; tender fee and securities above)</t>
  </si>
  <si>
    <t xml:space="preserve">Land</t>
  </si>
  <si>
    <t xml:space="preserve">Development devex (incl. contingency)</t>
  </si>
  <si>
    <t xml:space="preserve">Devex total (= DEVEX lines above; devex items × scale)</t>
  </si>
  <si>
    <t xml:space="preserve">Returns RTB COD HTM</t>
  </si>
  <si>
    <t xml:space="preserve">RTB exit, Case A: buyer pays the grid connection fees (FEP does not pre-fund)</t>
  </si>
  <si>
    <t xml:space="preserve">Grid connection fees paid by the buyer (not FEP cash)</t>
  </si>
  <si>
    <t xml:space="preserve">Total FEP cash out to RtB (peak exposure)</t>
  </si>
  <si>
    <t xml:space="preserve">Total proceeds to FEP at the sale</t>
  </si>
  <si>
    <t xml:space="preserve">FEP profit, pre-tax</t>
  </si>
  <si>
    <t xml:space="preserve">FEP profit, post-tax</t>
  </si>
  <si>
    <t xml:space="preserve">MOIC, pre-tax</t>
  </si>
  <si>
    <t xml:space="preserve">IRR, pre-tax</t>
  </si>
  <si>
    <t xml:space="preserve">RTB exit, Case B: FEP pre-funds the grid connection fees, buyer reimburses them at the sale</t>
  </si>
  <si>
    <t xml:space="preserve">COD exit</t>
  </si>
  <si>
    <t xml:space="preserve">Connection fees (direct, indirect; the TSO security is credited against the indirect fee)</t>
  </si>
  <si>
    <t xml:space="preserve">Bid security: returned at COD (cash out and back; net 0)</t>
  </si>
  <si>
    <t xml:space="preserve">Performance security: returned at COD (cash out and back; net 0)</t>
  </si>
  <si>
    <t xml:space="preserve">RtB exit price forgone (150 k€/MVA × MVA, at the Case B sale date)</t>
  </si>
  <si>
    <t xml:space="preserve">Total costs to COD, incl. the RtB exit price forgone</t>
  </si>
  <si>
    <t xml:space="preserve">Sale price at COD</t>
  </si>
  <si>
    <t xml:space="preserve">Hold to maturity (EBITDA only, no debt, no tax)</t>
  </si>
  <si>
    <t xml:space="preserve">Total capex and costs to COD</t>
  </si>
  <si>
    <t xml:space="preserve">Total revenue over the life</t>
  </si>
  <si>
    <t xml:space="preserve">Total opex over the life</t>
  </si>
  <si>
    <t xml:space="preserve">Total EBITDA over the life</t>
  </si>
  <si>
    <t xml:space="preserve">Project IRR, pre-tax</t>
  </si>
  <si>
    <t xml:space="preserve">NPV at the discount rate, at the first year end</t>
  </si>
  <si>
    <t xml:space="preserve">Annual cash flow per project (EUR k)</t>
  </si>
  <si>
    <t xml:space="preserve">Year</t>
  </si>
  <si>
    <t xml:space="preserve">year</t>
  </si>
  <si>
    <t xml:space="preserve">Spending (capex, fees, securities, devex), net</t>
  </si>
  <si>
    <t xml:space="preserve">Revenue</t>
  </si>
  <si>
    <t xml:space="preserve">Opex</t>
  </si>
  <si>
    <t xml:space="preserve">EBITDA</t>
  </si>
  <si>
    <t xml:space="preserve">Net cash flow</t>
  </si>
  <si>
    <t xml:space="preserve">Cumulative net cash flow</t>
  </si>
  <si>
    <t xml:space="preserve">Detailed calculations: claims, waterfall, dated flows, timelines, checks – expand the group</t>
  </si>
  <si>
    <t xml:space="preserve">RtB exit, Case B: FEP claims at the sale (interest to the freeze, act/365, capitalised 31-Dec)</t>
  </si>
  <si>
    <t xml:space="preserve">Interest accrual end (earlier of freeze and sale)</t>
  </si>
  <si>
    <t xml:space="preserve">date</t>
  </si>
  <si>
    <t xml:space="preserve">Accrual factor in the end year, cash rate</t>
  </si>
  <si>
    <t xml:space="preserve">Accrual factor in the end year, devex rate</t>
  </si>
  <si>
    <t xml:space="preserve">Days to the first 31-Dec from bid submission</t>
  </si>
  <si>
    <t xml:space="preserve">days</t>
  </si>
  <si>
    <t xml:space="preserve">Accrual factor from bid submission</t>
  </si>
  <si>
    <t xml:space="preserve">Days to the first 31-Dec from performance security posting</t>
  </si>
  <si>
    <t xml:space="preserve">Accrual factor from performance security posting</t>
  </si>
  <si>
    <t xml:space="preserve">Days to the first 31-Dec from TSO security payment</t>
  </si>
  <si>
    <t xml:space="preserve">Accrual factor from TSO security payment</t>
  </si>
  <si>
    <t xml:space="preserve">Days to the first 31-Dec from connection agreement (HCSSZ)</t>
  </si>
  <si>
    <t xml:space="preserve">Accrual factor from connection agreement (HCSSZ)</t>
  </si>
  <si>
    <t xml:space="preserve">Days to the first 31-Dec from land payment (amount-weighted)</t>
  </si>
  <si>
    <t xml:space="preserve">Accrual factor from land payment (amount-weighted)</t>
  </si>
  <si>
    <t xml:space="preserve">Days to the first 31-Dec from development devex payment (amount-weighted)</t>
  </si>
  <si>
    <t xml:space="preserve">Accrual factor from development devex payment (amount-weighted)</t>
  </si>
  <si>
    <t xml:space="preserve">Claim on FEP's shareholder loan (JV only): participation fee (not reimbursed)</t>
  </si>
  <si>
    <t xml:space="preserve">Claim on FEP's shareholder loan (JV only): bid security (cash)</t>
  </si>
  <si>
    <t xml:space="preserve">Claim on FEP's shareholder loan (JV only): performance security payable (cash)</t>
  </si>
  <si>
    <t xml:space="preserve">Claim on FEP's shareholder loan (JV only): TSO connection-request security</t>
  </si>
  <si>
    <t xml:space="preserve">Claim on FEP's shareholder loan (JV only): direct connection fee</t>
  </si>
  <si>
    <t xml:space="preserve">Claim on FEP's shareholder loan (JV only): indirect connection fee, payable</t>
  </si>
  <si>
    <t xml:space="preserve">Claim on FEP's shareholder loan (JV only): land, MAX(20 % accrued, 1× principal)</t>
  </si>
  <si>
    <t xml:space="preserve">Claim on FEP's shareholder loan (JV only): development devex, MAX(20 % accrued, 1× principal)</t>
  </si>
  <si>
    <t xml:space="preserve">Total FEP claims on its shareholder loans (JV only)</t>
  </si>
  <si>
    <t xml:space="preserve">Developer success fee due (DSA, capped)</t>
  </si>
  <si>
    <t xml:space="preserve">RtB exit, Case B: waterfall at the sale</t>
  </si>
  <si>
    <t xml:space="preserve">Buyer reimburses securities and connection fees at cost</t>
  </si>
  <si>
    <t xml:space="preserve">Total proceeds</t>
  </si>
  <si>
    <t xml:space="preserve">Less sale costs</t>
  </si>
  <si>
    <t xml:space="preserve">Less securities and fees repaid to FEP</t>
  </si>
  <si>
    <t xml:space="preserve">Less FEP claims at 12 % on FEP's shareholder loan (JV only)</t>
  </si>
  <si>
    <t xml:space="preserve">Less FEP land and devex return on FEP's shareholder loan (JV only)</t>
  </si>
  <si>
    <t xml:space="preserve">Less developer success fee (DSA)</t>
  </si>
  <si>
    <t xml:space="preserve">Distributable proceeds</t>
  </si>
  <si>
    <t xml:space="preserve">FEP share of distributable</t>
  </si>
  <si>
    <t xml:space="preserve">Developer share of distributable</t>
  </si>
  <si>
    <t xml:space="preserve">FEP cash flows, dated, Case B (outlays, then receipts at the sale)</t>
  </si>
  <si>
    <t xml:space="preserve">Date: Bora</t>
  </si>
  <si>
    <t xml:space="preserve">Performance security payable</t>
  </si>
  <si>
    <t xml:space="preserve">Direct connection fee</t>
  </si>
  <si>
    <t xml:space="preserve">Indirect connection fee, payable</t>
  </si>
  <si>
    <t xml:space="preserve">Development devex</t>
  </si>
  <si>
    <t xml:space="preserve">FEP receipts at the sale (repaid, claims, share)</t>
  </si>
  <si>
    <t xml:space="preserve">CIT: exempt (participation exemption, total)</t>
  </si>
  <si>
    <t xml:space="preserve">RtB exit, Case A: buyer pays the grid connection fees directly (FEP does not pre-fund them)</t>
  </si>
  <si>
    <t xml:space="preserve">Grid connection fees paid by the buyer at HCSSZ (direct + indirect, payable)</t>
  </si>
  <si>
    <t xml:space="preserve">Case A devex – land: items paid by sale A (devex file, unscaled)</t>
  </si>
  <si>
    <t xml:space="preserve">Case A devex – land: amount-weighted payment date</t>
  </si>
  <si>
    <t xml:space="preserve">Case A devex – land (× scale)</t>
  </si>
  <si>
    <t xml:space="preserve">Case A devex – development: items paid by sale A (devex file, unscaled)</t>
  </si>
  <si>
    <t xml:space="preserve">Case A devex – development: amount-weighted payment date</t>
  </si>
  <si>
    <t xml:space="preserve">Case A devex – development (× scale)</t>
  </si>
  <si>
    <t xml:space="preserve">FEP cash out to RtB, Case A (peak exposure)</t>
  </si>
  <si>
    <t xml:space="preserve">Case A: interest accrual end (earlier of freeze and sale A)</t>
  </si>
  <si>
    <t xml:space="preserve">Case A: start of the accrual end year</t>
  </si>
  <si>
    <t xml:space="preserve">Case A, from bid submission: factor in the payment year (if before the end year)</t>
  </si>
  <si>
    <t xml:space="preserve">Case A, from bid submission: factor in the end year (to the accrual end)</t>
  </si>
  <si>
    <t xml:space="preserve">Case A, from bid submission: accrual factor</t>
  </si>
  <si>
    <t xml:space="preserve">Case A, from performance security posting: factor in the payment year (if before the end year)</t>
  </si>
  <si>
    <t xml:space="preserve">Case A, from performance security posting: factor in the end year (to the accrual end)</t>
  </si>
  <si>
    <t xml:space="preserve">Case A, from performance security posting: accrual factor</t>
  </si>
  <si>
    <t xml:space="preserve">Case A, from TSO security payment: factor in the payment year (if before the end year)</t>
  </si>
  <si>
    <t xml:space="preserve">Case A, from TSO security payment: factor in the end year (to the accrual end)</t>
  </si>
  <si>
    <t xml:space="preserve">Case A, from TSO security payment: accrual factor</t>
  </si>
  <si>
    <t xml:space="preserve">Case A, from land payment (amount-weighted): factor in the payment year (if before the end year)</t>
  </si>
  <si>
    <t xml:space="preserve">Case A, from land payment (amount-weighted): factor in the end year (to the accrual end)</t>
  </si>
  <si>
    <t xml:space="preserve">Case A, from land payment (amount-weighted): accrual factor</t>
  </si>
  <si>
    <t xml:space="preserve">Case A, from development devex payment (amount-weighted): factor in the payment year (if before the end year)</t>
  </si>
  <si>
    <t xml:space="preserve">Case A, from development devex payment (amount-weighted): factor in the end year (to the accrual end)</t>
  </si>
  <si>
    <t xml:space="preserve">Case A, from development devex payment (amount-weighted): accrual factor</t>
  </si>
  <si>
    <t xml:space="preserve">Case A: claim on FEP's shareholder loan (JV only): participation fee (not reimbursed)</t>
  </si>
  <si>
    <t xml:space="preserve">Case A: claim on FEP's shareholder loan (JV only): bid security (cash)</t>
  </si>
  <si>
    <t xml:space="preserve">Case A: claim on FEP's shareholder loan (JV only): performance security payable (cash)</t>
  </si>
  <si>
    <t xml:space="preserve">Case A: claim on FEP's shareholder loan (JV only): TSO connection-request security</t>
  </si>
  <si>
    <t xml:space="preserve">Case A: claim on FEP's shareholder loan (JV only): land, MAX(20 % accrued, 1× principal)</t>
  </si>
  <si>
    <t xml:space="preserve">Case A: claim on FEP's shareholder loan (JV only): development devex, MAX(20 % accrued, 1× principal)</t>
  </si>
  <si>
    <t xml:space="preserve">Case A: developer success fee due (DSA to sale A, capped)</t>
  </si>
  <si>
    <t xml:space="preserve">Total FEP claims on its shareholder loans, Case A (JV only; no connection-fee claims)</t>
  </si>
  <si>
    <t xml:space="preserve">Waterfall at the sale, Case A</t>
  </si>
  <si>
    <t xml:space="preserve">Buyer reimburses securities at cost (no connection fees to reimburse)</t>
  </si>
  <si>
    <t xml:space="preserve">Less securities repaid to FEP</t>
  </si>
  <si>
    <t xml:space="preserve">FEP cash flows, dated, Case A (no connection-fee outlays; sale A)</t>
  </si>
  <si>
    <t xml:space="preserve">Memo: pre-tax profit vs Case B (connection-fee claims no longer earned, FEP share)</t>
  </si>
  <si>
    <t xml:space="preserve">Annual timeline</t>
  </si>
  <si>
    <t xml:space="preserve">Year end</t>
  </si>
  <si>
    <t xml:space="preserve">Bora: annual cash flow (EUR k)</t>
  </si>
  <si>
    <t xml:space="preserve">Value</t>
  </si>
  <si>
    <t xml:space="preserve">Years from the COD year</t>
  </si>
  <si>
    <t xml:space="preserve">years</t>
  </si>
  <si>
    <t xml:space="preserve">Construction months by year end (value: construction period)</t>
  </si>
  <si>
    <t xml:space="preserve">months</t>
  </si>
  <si>
    <t xml:space="preserve">Construction share of the year (NTP to COD)</t>
  </si>
  <si>
    <t xml:space="preserve">Months operated by year end (value: operating life)</t>
  </si>
  <si>
    <t xml:space="preserve">Operating share of the year (COD to end of life)</t>
  </si>
  <si>
    <t xml:space="preserve">COD year flag</t>
  </si>
  <si>
    <t xml:space="preserve">FEP outlays at their dates (signing, fee, securities, fees, devex)</t>
  </si>
  <si>
    <t xml:space="preserve">Performance security released (bid security included)</t>
  </si>
  <si>
    <t xml:space="preserve">Construction capex (straight-line NTP to COD)</t>
  </si>
  <si>
    <t xml:space="preserve">Municipal one-off at COD</t>
  </si>
  <si>
    <t xml:space="preserve">Investment cash flow</t>
  </si>
  <si>
    <t xml:space="preserve">Degradation factor (from the first full year)</t>
  </si>
  <si>
    <t xml:space="preserve">Net generation</t>
  </si>
  <si>
    <t xml:space="preserve">GWh</t>
  </si>
  <si>
    <t xml:space="preserve">PPA price</t>
  </si>
  <si>
    <t xml:space="preserve">Opex index (COD year = 1)</t>
  </si>
  <si>
    <t xml:space="preserve">O&amp;M, BoP, lease, insurance, management, property tax</t>
  </si>
  <si>
    <t xml:space="preserve">Administration, audit, compliance</t>
  </si>
  <si>
    <t xml:space="preserve">Balancing and grid charges</t>
  </si>
  <si>
    <t xml:space="preserve">MEKH supervisory fee</t>
  </si>
  <si>
    <t xml:space="preserve">Opex contingency</t>
  </si>
  <si>
    <t xml:space="preserve">Community contribution</t>
  </si>
  <si>
    <t xml:space="preserve">HIPA local business tax</t>
  </si>
  <si>
    <t xml:space="preserve">Total opex</t>
  </si>
  <si>
    <t xml:space="preserve">Unlevered pre-tax cash flow</t>
  </si>
  <si>
    <t xml:space="preserve">Discount factor to COD (buyer's rate)</t>
  </si>
  <si>
    <t xml:space="preserve">EBITDA valued at COD (total = COD price)</t>
  </si>
  <si>
    <t xml:space="preserve">RtB exit price forgone (premium × MVA, at the Case B sale; replaces the JV buy-out)</t>
  </si>
  <si>
    <t xml:space="preserve">COD exit: FEP cash flow (to COD, price and securities at COD)</t>
  </si>
  <si>
    <t xml:space="preserve">Iváncsa: annual cash flow (EUR k)</t>
  </si>
  <si>
    <t xml:space="preserve">Dunaújváros: annual cash flow (EUR k)</t>
  </si>
  <si>
    <t xml:space="preserve">COD exit: tax on the gain (price and profit: totals of the cash-flow blocks above)</t>
  </si>
  <si>
    <t xml:space="preserve">Checks (0 = OK)</t>
  </si>
  <si>
    <t xml:space="preserve">Case B waterfall closes (proceeds = all amounts paid out)</t>
  </si>
  <si>
    <t xml:space="preserve">Claim lines paid before the accrual end year</t>
  </si>
  <si>
    <t xml:space="preserve">Turbine route is EU or CN</t>
  </si>
  <si>
    <t xml:space="preserve">Devex items × scale = project devex (land + development)</t>
  </si>
  <si>
    <t xml:space="preserve">Construction capex spread in full (timeline = capex)</t>
  </si>
  <si>
    <t xml:space="preserve">Investment cash flows = all-in cost to COD</t>
  </si>
  <si>
    <t xml:space="preserve">Operating life inside the timeline</t>
  </si>
  <si>
    <t xml:space="preserve">Sale date A before the HCSSZ date (Case A exits before the connection fees)</t>
  </si>
  <si>
    <t xml:space="preserve">COD cost stack = timeline flows (investment flows + RtB price forgone)</t>
  </si>
  <si>
    <t xml:space="preserve">Case A waterfall closes (proceeds = all amounts paid out)</t>
  </si>
  <si>
    <t xml:space="preserve">Master check</t>
  </si>
  <si>
    <t xml:space="preserve">***END***</t>
  </si>
  <si>
    <t xml:space="preserve">HU wind bids – other inputs (blue) with sources</t>
  </si>
  <si>
    <t xml:space="preserve">Inputs</t>
  </si>
  <si>
    <t xml:space="preserve">Source</t>
  </si>
  <si>
    <t xml:space="preserve">Tender and grid (all projects; value in column E)</t>
  </si>
  <si>
    <t xml:space="preserve">FX rate</t>
  </si>
  <si>
    <t xml:space="preserve">HUF/EUR</t>
  </si>
  <si>
    <t xml:space="preserve">Bora Inputs E11; Bid_Cash E45</t>
  </si>
  <si>
    <t xml:space="preserve">Security base: benchmark investment, wind</t>
  </si>
  <si>
    <t xml:space="preserve">HUF/MW</t>
  </si>
  <si>
    <t xml:space="preserve">Bora Inputs E75; Bid_Cash E46</t>
  </si>
  <si>
    <t xml:space="preserve">Security base: benchmark investment, BESS</t>
  </si>
  <si>
    <t xml:space="preserve">HUF/MWh</t>
  </si>
  <si>
    <t xml:space="preserve">Bora Inputs E89; Bid_Cash E47</t>
  </si>
  <si>
    <t xml:space="preserve">Bid security, share of base</t>
  </si>
  <si>
    <t xml:space="preserve">Bora Inputs E76; Bid_Cash E49</t>
  </si>
  <si>
    <t xml:space="preserve">Performance security, minimum share of base</t>
  </si>
  <si>
    <t xml:space="preserve">Bora Inputs E77; Bid_Cash E50</t>
  </si>
  <si>
    <t xml:space="preserve">Participation fee per bid</t>
  </si>
  <si>
    <t xml:space="preserve">Bora Inputs E81; Bid_Cash E48</t>
  </si>
  <si>
    <t xml:space="preserve">HUF/MVA</t>
  </si>
  <si>
    <t xml:space="preserve">Bora Inputs E83; Bid_Cash E51</t>
  </si>
  <si>
    <t xml:space="preserve">Per project: fees, devex, dates</t>
  </si>
  <si>
    <t xml:space="preserve">Indirect connection fee</t>
  </si>
  <si>
    <t xml:space="preserve">Bora Inputs G290; Bid_Cash E52</t>
  </si>
  <si>
    <t xml:space="preserve">Direct connection fee per connection point</t>
  </si>
  <si>
    <t xml:space="preserve">Bora Inputs G291; Bid_Cash E53</t>
  </si>
  <si>
    <t xml:space="preserve">Bids sharing the connection point</t>
  </si>
  <si>
    <t xml:space="preserve">count</t>
  </si>
  <si>
    <t xml:space="preserve">Bora: 2 bids per point (SPEC §22.2)</t>
  </si>
  <si>
    <t xml:space="preserve">Bora E24+E25: 400 × 50/200; Bid_Cash E55</t>
  </si>
  <si>
    <t xml:space="preserve">Devex scale (bid MVA ÷ 200 MVA of the devex file)</t>
  </si>
  <si>
    <t xml:space="preserve">SPEC §26.2: 50/200; 1 = the full devex file</t>
  </si>
  <si>
    <t xml:space="preserve">EU transformers ≥ 80 % (ÖSZ-9)</t>
  </si>
  <si>
    <t xml:space="preserve">Bid_Cash E16; SPEC §23.1</t>
  </si>
  <si>
    <t xml:space="preserve">Signing fee and DD paid</t>
  </si>
  <si>
    <t xml:space="preserve">Bora Inputs E27; Bid_Cash E34</t>
  </si>
  <si>
    <t xml:space="preserve">Bid submission: fee paid, bid security posted</t>
  </si>
  <si>
    <t xml:space="preserve">Bora Inputs E95; Bid_Cash E35</t>
  </si>
  <si>
    <t xml:space="preserve">Performance security posted</t>
  </si>
  <si>
    <t xml:space="preserve">Bora Deposits K10 (E96 + 17 d); Bid_Cash E36</t>
  </si>
  <si>
    <t xml:space="preserve">TSO security paid</t>
  </si>
  <si>
    <t xml:space="preserve">Bora Inputs E97; Bid_Cash E37</t>
  </si>
  <si>
    <t xml:space="preserve">Connection agreement (HCSSZ): fees paid</t>
  </si>
  <si>
    <t xml:space="preserve">Bora Inputs E99; Bid_Cash E39</t>
  </si>
  <si>
    <t xml:space="preserve">Notice to proceed</t>
  </si>
  <si>
    <t xml:space="preserve">Bora Inputs E154; Bid_Cash E40</t>
  </si>
  <si>
    <t xml:space="preserve">COD</t>
  </si>
  <si>
    <t xml:space="preserve">Bora Inputs E155; Bid_Cash E41</t>
  </si>
  <si>
    <t xml:space="preserve">Performance security released</t>
  </si>
  <si>
    <t xml:space="preserve">Bid_Cash E42 (Kiírás XII.13, estimate)</t>
  </si>
  <si>
    <t xml:space="preserve">DSA accrual start</t>
  </si>
  <si>
    <t xml:space="preserve">Bora Inputs E70; others: signing (DSA off)</t>
  </si>
  <si>
    <t xml:space="preserve">RtB exit terms (all projects; value in column E)</t>
  </si>
  <si>
    <t xml:space="preserve">Claim rate, cash lines (incl. cash-posted securities)</t>
  </si>
  <si>
    <t xml:space="preserve">Devex file V18; SPEC §21.1</t>
  </si>
  <si>
    <t xml:space="preserve">Claim rate, devex</t>
  </si>
  <si>
    <t xml:space="preserve">Devex file V19</t>
  </si>
  <si>
    <t xml:space="preserve">Devex minimum return multiple</t>
  </si>
  <si>
    <t xml:space="preserve">Devex file V20</t>
  </si>
  <si>
    <t xml:space="preserve">Interest freeze date</t>
  </si>
  <si>
    <t xml:space="preserve">Devex file V24</t>
  </si>
  <si>
    <t xml:space="preserve">Sale date, Case B (RtB exit after HCSSZ)</t>
  </si>
  <si>
    <t xml:space="preserve">Bora Inputs E58; SPEC §21.1</t>
  </si>
  <si>
    <t xml:space="preserve">Sale date, Case A (before HCSSZ)</t>
  </si>
  <si>
    <t xml:space="preserve">SPEC §25.2 (user, 28-Oct-2026)</t>
  </si>
  <si>
    <t xml:space="preserve">Sale costs per project</t>
  </si>
  <si>
    <t xml:space="preserve">SPEC §21.1</t>
  </si>
  <si>
    <t xml:space="preserve">Developer success fee (on committed MW, 30/360)</t>
  </si>
  <si>
    <t xml:space="preserve">Bora Inputs E36</t>
  </si>
  <si>
    <t xml:space="preserve">Developer success fee cap</t>
  </si>
  <si>
    <t xml:space="preserve">Bora Inputs E37</t>
  </si>
  <si>
    <t xml:space="preserve">Corporate income tax on exit gains</t>
  </si>
  <si>
    <t xml:space="preserve">SPEC §22.2 (exit gains only)</t>
  </si>
  <si>
    <t xml:space="preserve">Share deal, participation exemption on the share gain (1 = on); claims taxed as interest</t>
  </si>
  <si>
    <t xml:space="preserve">Capex (per MW of wind built unless stated; turbines: case table on the Dashboard)</t>
  </si>
  <si>
    <t xml:space="preserve">Turbine installation and erection</t>
  </si>
  <si>
    <t xml:space="preserve">Bora Inputs G163</t>
  </si>
  <si>
    <t xml:space="preserve">Bora Inputs G164</t>
  </si>
  <si>
    <t xml:space="preserve">Bora Inputs G165</t>
  </si>
  <si>
    <t xml:space="preserve">Bora Inputs G166</t>
  </si>
  <si>
    <t xml:space="preserve">Bora Inputs G169</t>
  </si>
  <si>
    <t xml:space="preserve">Bora Inputs G170</t>
  </si>
  <si>
    <t xml:space="preserve">On-site substation and 132 kV bay (lump sum)</t>
  </si>
  <si>
    <t xml:space="preserve">Bora Inputs G167</t>
  </si>
  <si>
    <t xml:space="preserve">Source basis of the lump sums</t>
  </si>
  <si>
    <t xml:space="preserve">Bora Inputs E305</t>
  </si>
  <si>
    <t xml:space="preserve">Capex contingency (not on BESS)</t>
  </si>
  <si>
    <t xml:space="preserve">Bora Inputs G173</t>
  </si>
  <si>
    <t xml:space="preserve">BESS capex</t>
  </si>
  <si>
    <t xml:space="preserve">EUR k/MWh</t>
  </si>
  <si>
    <t xml:space="preserve">CLAUDE.md standing assumption, 15-Oct-26</t>
  </si>
  <si>
    <t xml:space="preserve">Generation (hours and PPA price: case table on the Dashboard)</t>
  </si>
  <si>
    <t xml:space="preserve">Curtailment</t>
  </si>
  <si>
    <t xml:space="preserve">Bora Inputs G183</t>
  </si>
  <si>
    <t xml:space="preserve">Clipping</t>
  </si>
  <si>
    <t xml:space="preserve">Bora Dash_Clip_Override (user, 26-Oct-26)</t>
  </si>
  <si>
    <t xml:space="preserve">Degradation</t>
  </si>
  <si>
    <t xml:space="preserve">% p.a.</t>
  </si>
  <si>
    <t xml:space="preserve">Bora Inputs G184</t>
  </si>
  <si>
    <t xml:space="preserve">PPA escalation</t>
  </si>
  <si>
    <t xml:space="preserve">Bora Inputs G194</t>
  </si>
  <si>
    <t xml:space="preserve">Opex (COD-year prices; O&amp;M contract: case table on the Dashboard)</t>
  </si>
  <si>
    <t xml:space="preserve">Balance of plant maintenance</t>
  </si>
  <si>
    <t xml:space="preserve">Bora Inputs G204</t>
  </si>
  <si>
    <t xml:space="preserve">Land lease</t>
  </si>
  <si>
    <t xml:space="preserve">Bora Inputs G205</t>
  </si>
  <si>
    <t xml:space="preserve">Operational insurance</t>
  </si>
  <si>
    <t xml:space="preserve">Bora Inputs G206</t>
  </si>
  <si>
    <t xml:space="preserve">Asset and commercial management</t>
  </si>
  <si>
    <t xml:space="preserve">Bora Inputs G207</t>
  </si>
  <si>
    <t xml:space="preserve">Property tax</t>
  </si>
  <si>
    <t xml:space="preserve">Bora Inputs G208</t>
  </si>
  <si>
    <t xml:space="preserve">Administration, audit, compliance (at the source basis)</t>
  </si>
  <si>
    <t xml:space="preserve">EUR k/yr</t>
  </si>
  <si>
    <t xml:space="preserve">Bora Inputs G209</t>
  </si>
  <si>
    <t xml:space="preserve">Balancing cost</t>
  </si>
  <si>
    <t xml:space="preserve">Bora Inputs G196</t>
  </si>
  <si>
    <t xml:space="preserve">Grid use-of-system charges</t>
  </si>
  <si>
    <t xml:space="preserve">Bora Inputs G197</t>
  </si>
  <si>
    <t xml:space="preserve">% of rev.</t>
  </si>
  <si>
    <t xml:space="preserve">Bora Inputs G198</t>
  </si>
  <si>
    <t xml:space="preserve">Bora Inputs G212</t>
  </si>
  <si>
    <t xml:space="preserve">Opex contingency (not on community, HIPA)</t>
  </si>
  <si>
    <t xml:space="preserve">Bora Inputs G210</t>
  </si>
  <si>
    <t xml:space="preserve">Opex escalation</t>
  </si>
  <si>
    <t xml:space="preserve">Bora Inputs G211</t>
  </si>
  <si>
    <t xml:space="preserve">Valuation, timeline and constants</t>
  </si>
  <si>
    <t xml:space="preserve">Operating life from COD</t>
  </si>
  <si>
    <t xml:space="preserve">Bora Inputs G157</t>
  </si>
  <si>
    <t xml:space="preserve">Discount rate (buyer's pre-tax return at COD)</t>
  </si>
  <si>
    <t xml:space="preserve">Bora Inputs G226</t>
  </si>
  <si>
    <t xml:space="preserve">First year of the annual timeline</t>
  </si>
  <si>
    <t xml:space="preserve">Year of the first signing</t>
  </si>
  <si>
    <t xml:space="preserve">Thousand</t>
  </si>
  <si>
    <t xml:space="preserve">Constant</t>
  </si>
  <si>
    <t xml:space="preserve">Days in a year (act/365)</t>
  </si>
  <si>
    <t xml:space="preserve">Months in a year</t>
  </si>
  <si>
    <t xml:space="preserve">Check tolerance</t>
  </si>
  <si>
    <t xml:space="preserve">Devex items (BORA_Devex 02-Oct-26; all projects × the scale): HUF | date | class</t>
  </si>
  <si>
    <t xml:space="preserve">Capacity allocation process - Awarding – Land reservation fee</t>
  </si>
  <si>
    <t xml:space="preserve">BORA_Devex 02-Oct-26 row 14</t>
  </si>
  <si>
    <t xml:space="preserve">Capacity allocation process - Awarding – Land purchase price</t>
  </si>
  <si>
    <t xml:space="preserve">BORA_Devex 02-Oct-26 row 15</t>
  </si>
  <si>
    <t xml:space="preserve">Grid connection plan – Design fee</t>
  </si>
  <si>
    <t xml:space="preserve">Devex</t>
  </si>
  <si>
    <t xml:space="preserve">BORA_Devex 02-Oct-26 row 16</t>
  </si>
  <si>
    <t xml:space="preserve">Grid connection plan – Administrative fee</t>
  </si>
  <si>
    <t xml:space="preserve">BORA_Devex 02-Oct-26 row 17</t>
  </si>
  <si>
    <t xml:space="preserve">Land contracting (additional land) – Legal fee, agent fee</t>
  </si>
  <si>
    <t xml:space="preserve">BORA_Devex 02-Oct-26 row 20</t>
  </si>
  <si>
    <t xml:space="preserve">Wind measurement – Met Masts</t>
  </si>
  <si>
    <t xml:space="preserve">BORA_Devex 02-Oct-26 row 21</t>
  </si>
  <si>
    <t xml:space="preserve">Wind measurement – Design fee</t>
  </si>
  <si>
    <t xml:space="preserve">BORA_Devex 02-Oct-26 row 22</t>
  </si>
  <si>
    <t xml:space="preserve">Wind measurement – EYA</t>
  </si>
  <si>
    <t xml:space="preserve">BORA_Devex 02-Oct-26 row 23</t>
  </si>
  <si>
    <t xml:space="preserve">Land reclassification – Administrative fee</t>
  </si>
  <si>
    <t xml:space="preserve">BORA_Devex 02-Oct-26 row 24</t>
  </si>
  <si>
    <t xml:space="preserve">Land reclassification – Report fee</t>
  </si>
  <si>
    <t xml:space="preserve">BORA_Devex 02-Oct-26 row 25</t>
  </si>
  <si>
    <t xml:space="preserve">Zoning plan modification – Design fee</t>
  </si>
  <si>
    <t xml:space="preserve">BORA_Devex 02-Oct-26 row 26</t>
  </si>
  <si>
    <t xml:space="preserve">Municipality donation – Donation</t>
  </si>
  <si>
    <t xml:space="preserve">BORA_Devex 02-Oct-26 row 27</t>
  </si>
  <si>
    <t xml:space="preserve">Environmental assessment – Bird-bat monitoring</t>
  </si>
  <si>
    <t xml:space="preserve">BORA_Devex 02-Oct-26 row 28</t>
  </si>
  <si>
    <t xml:space="preserve">Environmental assessment – Administrative fee</t>
  </si>
  <si>
    <t xml:space="preserve">BORA_Devex 02-Oct-26 row 29</t>
  </si>
  <si>
    <t xml:space="preserve">Environmental assessment – Assessment fee</t>
  </si>
  <si>
    <t xml:space="preserve">BORA_Devex 02-Oct-26 row 30</t>
  </si>
  <si>
    <t xml:space="preserve">Other project development – Geotechnical assessment fee</t>
  </si>
  <si>
    <t xml:space="preserve">BORA_Devex 02-Oct-26 row 31</t>
  </si>
  <si>
    <t xml:space="preserve">Other project development – Archaeological</t>
  </si>
  <si>
    <t xml:space="preserve">BORA_Devex 02-Oct-26 row 32</t>
  </si>
  <si>
    <t xml:space="preserve">Other project development – Topography</t>
  </si>
  <si>
    <t xml:space="preserve">BORA_Devex 02-Oct-26 row 33</t>
  </si>
  <si>
    <t xml:space="preserve">Building permit - Turbines – Administrative fee</t>
  </si>
  <si>
    <t xml:space="preserve">BORA_Devex 02-Oct-26 row 34</t>
  </si>
  <si>
    <t xml:space="preserve">Building permit - Turbines – Design fee</t>
  </si>
  <si>
    <t xml:space="preserve">BORA_Devex 02-Oct-26 row 35</t>
  </si>
  <si>
    <t xml:space="preserve">Cable right – Administrative fee</t>
  </si>
  <si>
    <t xml:space="preserve">BORA_Devex 02-Oct-26 row 36</t>
  </si>
  <si>
    <t xml:space="preserve">Cable right – Design fee</t>
  </si>
  <si>
    <t xml:space="preserve">BORA_Devex 02-Oct-26 row 37</t>
  </si>
  <si>
    <t xml:space="preserve">Cable right – Compensation</t>
  </si>
  <si>
    <t xml:space="preserve">BORA_Devex 02-Oct-26 row 38</t>
  </si>
  <si>
    <t xml:space="preserve">Building permit - Substation, switching station – Administrative fee</t>
  </si>
  <si>
    <t xml:space="preserve">BORA_Devex 02-Oct-26 row 39</t>
  </si>
  <si>
    <t xml:space="preserve">Building permit - Substation, switching station – Design fee</t>
  </si>
  <si>
    <t xml:space="preserve">BORA_Devex 02-Oct-26 row 40</t>
  </si>
  <si>
    <t xml:space="preserve">Building permit - BESS – Administrative fee</t>
  </si>
  <si>
    <t xml:space="preserve">BORA_Devex 02-Oct-26 row 41</t>
  </si>
  <si>
    <t xml:space="preserve">Building permit - BESS – Design fee</t>
  </si>
  <si>
    <t xml:space="preserve">BORA_Devex 02-Oct-26 row 42</t>
  </si>
  <si>
    <t xml:space="preserve">HEPURA permit – Administrative fee</t>
  </si>
  <si>
    <t xml:space="preserve">BORA_Devex 02-Oct-26 row 43</t>
  </si>
  <si>
    <t xml:space="preserve">HEPURA permit – Report fee</t>
  </si>
  <si>
    <t xml:space="preserve">BORA_Devex 02-Oct-26 row 44</t>
  </si>
  <si>
    <t xml:space="preserve">Legal costs – Legal costs</t>
  </si>
  <si>
    <t xml:space="preserve">BORA_Devex 02-Oct-26 row 45; continuous: 31-Dec-27</t>
  </si>
  <si>
    <t xml:space="preserve">Financial costs – Financial costs</t>
  </si>
  <si>
    <t xml:space="preserve">BORA_Devex 02-Oct-26 row 46; continuous: 31-Dec-27</t>
  </si>
  <si>
    <t xml:space="preserve">RtB – Land purchase price</t>
  </si>
  <si>
    <t xml:space="preserve">BORA_Devex 02-Oct-26 row 47</t>
  </si>
  <si>
    <t xml:space="preserve">Contingency – Contingency</t>
  </si>
  <si>
    <t xml:space="preserve">BORA_Devex 02-Oct-26 row 48; continuous: 31-Dec-27</t>
  </si>
  <si>
    <t xml:space="preserve">Band tables for the points (ÖSZ, Kiírás Annex 4) – expand the group</t>
  </si>
  <si>
    <t xml:space="preserve">Values →</t>
  </si>
  <si>
    <t xml:space="preserve">Osz1_LB</t>
  </si>
  <si>
    <t xml:space="preserve">Osz1_Incl</t>
  </si>
  <si>
    <t xml:space="preserve">Osz1_Pts</t>
  </si>
  <si>
    <t xml:space="preserve">Osz2_LB</t>
  </si>
  <si>
    <t xml:space="preserve">Osz2_Incl</t>
  </si>
  <si>
    <t xml:space="preserve">Osz2_Pts</t>
  </si>
  <si>
    <t xml:space="preserve">Osz3_LB</t>
  </si>
  <si>
    <t xml:space="preserve">Osz3_Incl</t>
  </si>
  <si>
    <t xml:space="preserve">Osz3_Pts</t>
  </si>
  <si>
    <t xml:space="preserve">Osz6_LB</t>
  </si>
  <si>
    <t xml:space="preserve">Osz6_Incl</t>
  </si>
  <si>
    <t xml:space="preserve">Osz6_Pts</t>
  </si>
  <si>
    <t xml:space="preserve">Osz5_Pts</t>
  </si>
  <si>
    <t xml:space="preserve">Osz7_Pts</t>
  </si>
  <si>
    <t xml:space="preserve">Osz8_Pts</t>
  </si>
  <si>
    <t xml:space="preserve">Osz9a_Pts</t>
  </si>
  <si>
    <t xml:space="preserve">Osz9b_Pts</t>
  </si>
  <si>
    <t xml:space="preserve">Osz1_W</t>
  </si>
  <si>
    <t xml:space="preserve">Osz2_W</t>
  </si>
  <si>
    <t xml:space="preserve">Osz3_W</t>
  </si>
  <si>
    <t xml:space="preserve">Osz4_W</t>
  </si>
  <si>
    <t xml:space="preserve">Osz5_W</t>
  </si>
  <si>
    <t xml:space="preserve">Osz6_W</t>
  </si>
  <si>
    <t xml:space="preserve">Osz7_W</t>
  </si>
  <si>
    <t xml:space="preserve">Osz8_W</t>
  </si>
  <si>
    <t xml:space="preserve">Osz9_W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</si>
</sst>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&quot;CHECK &quot;0;&quot;CHECK -&quot;0;&quot;OK&quot;"/>
    <numFmt numFmtId="166" formatCode="#,##0;\(#,##0\);\–"/>
    <numFmt numFmtId="167" formatCode="0.0%;\(0.0%\);\–"/>
    <numFmt numFmtId="168" formatCode="#,##0.0;\(#,##0.0\);\–"/>
    <numFmt numFmtId="169" formatCode="0"/>
    <numFmt numFmtId="170" formatCode="0.00\x"/>
    <numFmt numFmtId="171" formatCode="#,##0"/>
    <numFmt numFmtId="172" formatCode="d\-mmm\-yy"/>
    <numFmt numFmtId="173" formatCode="0.0%"/>
    <numFmt numFmtId="174" formatCode="0.0000"/>
    <numFmt numFmtId="175" formatCode="#,##0.00;\(#,##0.00\);\–"/>
    <numFmt numFmtId="176" formatCode="0;\-0;\–"/>
    <numFmt numFmtId="177" formatCode="0.000;\(0.000\);\–"/>
    <numFmt numFmtId="178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ptos Narrow"/>
      <family val="0"/>
      <charset val="1"/>
    </font>
    <font>
      <i val="true"/>
      <sz val="10"/>
      <color rgb="FF80808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000000"/>
      <name val="Aptos Narrow"/>
      <family val="0"/>
      <charset val="1"/>
    </font>
    <font>
      <sz val="10"/>
      <color rgb="FF0000FF"/>
      <name val="Aptos Narrow"/>
      <family val="0"/>
      <charset val="1"/>
    </font>
    <font>
      <b val="true"/>
      <sz val="10"/>
      <color rgb="FF000000"/>
      <name val="Aptos Narrow"/>
      <family val="2"/>
      <charset val="1"/>
    </font>
    <font>
      <b val="true"/>
      <i val="true"/>
      <sz val="10"/>
      <color rgb="FF808080"/>
      <name val="Aptos Narrow"/>
      <family val="2"/>
      <charset val="1"/>
    </font>
    <font>
      <i val="true"/>
      <sz val="10"/>
      <color rgb="FF808080"/>
      <name val="Aptos Narrow"/>
      <family val="2"/>
      <charset val="1"/>
    </font>
    <font>
      <b val="true"/>
      <sz val="11"/>
      <color theme="1"/>
      <name val="Calibri"/>
      <family val="2"/>
      <charset val="238"/>
    </font>
    <font>
      <b val="true"/>
      <sz val="10"/>
      <color rgb="FFFFFFFF"/>
      <name val="Aptos Narrow"/>
      <family val="2"/>
      <charset val="1"/>
    </font>
    <font>
      <b val="true"/>
      <sz val="10"/>
      <color rgb="FFFFFFFF"/>
      <name val="Aptos Narrow"/>
      <family val="2"/>
      <charset val="238"/>
    </font>
    <font>
      <b val="true"/>
      <sz val="10"/>
      <color rgb="FF3C3C3B"/>
      <name val="Aptos Narrow"/>
      <family val="2"/>
      <charset val="1"/>
    </font>
    <font>
      <b val="true"/>
      <sz val="10"/>
      <color rgb="FF3C3C3B"/>
      <name val="Aptos Narrow"/>
      <family val="0"/>
      <charset val="1"/>
    </font>
    <font>
      <b val="true"/>
      <i val="true"/>
      <sz val="10"/>
      <color rgb="FF808080"/>
      <name val="Aptos Narrow"/>
      <family val="0"/>
      <charset val="1"/>
    </font>
    <font>
      <i val="true"/>
      <sz val="10"/>
      <color rgb="FF000000"/>
      <name val="Aptos Narrow"/>
      <family val="2"/>
      <charset val="1"/>
    </font>
    <font>
      <b val="true"/>
      <sz val="10"/>
      <color rgb="FF808080"/>
      <name val="Aptos Narro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563C"/>
        <bgColor rgb="FF003300"/>
      </patternFill>
    </fill>
    <fill>
      <patternFill patternType="solid">
        <fgColor rgb="FFFFF2CC"/>
        <bgColor rgb="FFFDEADA"/>
      </patternFill>
    </fill>
    <fill>
      <patternFill patternType="solid">
        <fgColor theme="0"/>
        <bgColor rgb="FFE6F4EC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FDE9D9"/>
      </patternFill>
    </fill>
    <fill>
      <patternFill patternType="solid">
        <fgColor rgb="FFFDE9D9"/>
        <bgColor rgb="FFFDEADA"/>
      </patternFill>
    </fill>
    <fill>
      <patternFill patternType="solid">
        <fgColor rgb="FFE6F4EC"/>
        <bgColor rgb="FFFDEA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B050"/>
      </font>
    </dxf>
    <dxf>
      <font>
        <b val="1"/>
        <color rgb="FFFF0000"/>
      </font>
    </dxf>
    <dxf>
      <font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6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99CCFF"/>
      <rgbColor rgb="FFFF99CC"/>
      <rgbColor rgb="FFCC99FF"/>
      <rgbColor rgb="FFFDE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63C"/>
      <rgbColor rgb="FF00B050"/>
      <rgbColor rgb="FF003300"/>
      <rgbColor rgb="FF333300"/>
      <rgbColor rgb="FF993300"/>
      <rgbColor rgb="FF993366"/>
      <rgbColor rgb="FF333399"/>
      <rgbColor rgb="FF3C3C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S40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F12" activeCellId="0" sqref="F12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6"/>
    <col collapsed="false" customWidth="true" hidden="false" outlineLevel="0" max="4" min="4" style="0" width="10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2"/>
    <col collapsed="false" customWidth="true" hidden="false" outlineLevel="0" max="45" min="10" style="0" width="10"/>
  </cols>
  <sheetData>
    <row r="2" customFormat="false" ht="14.25" hidden="false" customHeight="false" outlineLevel="0" collapsed="false">
      <c r="C2" s="1" t="s">
        <v>0</v>
      </c>
    </row>
    <row r="3" customFormat="false" ht="14.25" hidden="false" customHeight="false" outlineLevel="0" collapsed="false">
      <c r="C3" s="1" t="s">
        <v>1</v>
      </c>
      <c r="D3" s="2" t="s">
        <v>2</v>
      </c>
      <c r="H3" s="3" t="n">
        <f aca="false">Master_Check</f>
        <v>0</v>
      </c>
    </row>
    <row r="5" customFormat="false" ht="14.25" hidden="false" customHeight="false" outlineLevel="0" collapsed="false">
      <c r="B5" s="4" t="s">
        <v>3</v>
      </c>
      <c r="C5" s="4" t="s">
        <v>4</v>
      </c>
      <c r="D5" s="4"/>
      <c r="E5" s="5" t="s">
        <v>5</v>
      </c>
      <c r="F5" s="5" t="s">
        <v>6</v>
      </c>
      <c r="G5" s="5" t="s">
        <v>7</v>
      </c>
      <c r="H5" s="5" t="s">
        <v>8</v>
      </c>
    </row>
    <row r="6" customFormat="false" ht="14.25" hidden="false" customHeight="false" outlineLevel="0" collapsed="false">
      <c r="C6" s="6" t="s">
        <v>9</v>
      </c>
      <c r="D6" s="2" t="s">
        <v>10</v>
      </c>
      <c r="E6" s="7" t="n">
        <v>50</v>
      </c>
      <c r="F6" s="7" t="n">
        <v>50</v>
      </c>
      <c r="G6" s="7" t="n">
        <v>50</v>
      </c>
      <c r="H6" s="8" t="n">
        <f aca="false">SUM(E6:G6)</f>
        <v>150</v>
      </c>
    </row>
    <row r="7" customFormat="false" ht="14.25" hidden="false" customHeight="false" outlineLevel="0" collapsed="false">
      <c r="C7" s="6" t="s">
        <v>11</v>
      </c>
      <c r="D7" s="2" t="s">
        <v>12</v>
      </c>
      <c r="E7" s="9" t="n">
        <v>0</v>
      </c>
      <c r="F7" s="9" t="n">
        <v>0.4</v>
      </c>
      <c r="G7" s="9" t="n">
        <v>0.4</v>
      </c>
    </row>
    <row r="8" customFormat="false" ht="14.25" hidden="false" customHeight="false" outlineLevel="0" collapsed="false">
      <c r="C8" s="6" t="s">
        <v>13</v>
      </c>
      <c r="D8" s="2" t="s">
        <v>12</v>
      </c>
      <c r="E8" s="9" t="n">
        <v>0</v>
      </c>
      <c r="F8" s="9" t="n">
        <v>0.2</v>
      </c>
      <c r="G8" s="9" t="n">
        <v>0.2</v>
      </c>
    </row>
    <row r="9" customFormat="false" ht="14.25" hidden="false" customHeight="false" outlineLevel="0" collapsed="false">
      <c r="C9" s="6" t="s">
        <v>14</v>
      </c>
      <c r="D9" s="2" t="s">
        <v>15</v>
      </c>
      <c r="E9" s="7" t="n">
        <v>4</v>
      </c>
      <c r="F9" s="7" t="n">
        <v>4</v>
      </c>
      <c r="G9" s="7" t="n">
        <v>4</v>
      </c>
    </row>
    <row r="10" customFormat="false" ht="14.25" hidden="false" customHeight="false" outlineLevel="0" collapsed="false">
      <c r="C10" s="6" t="s">
        <v>16</v>
      </c>
      <c r="D10" s="2" t="s">
        <v>12</v>
      </c>
      <c r="E10" s="9" t="n">
        <v>0</v>
      </c>
      <c r="F10" s="9" t="n">
        <v>0</v>
      </c>
      <c r="G10" s="9" t="n">
        <v>0</v>
      </c>
    </row>
    <row r="11" customFormat="false" ht="14.25" hidden="false" customHeight="false" outlineLevel="0" collapsed="false">
      <c r="C11" s="6" t="s">
        <v>17</v>
      </c>
      <c r="D11" s="2" t="s">
        <v>18</v>
      </c>
      <c r="E11" s="7" t="n">
        <v>20</v>
      </c>
      <c r="F11" s="7" t="n">
        <v>50</v>
      </c>
      <c r="G11" s="7" t="n">
        <v>50</v>
      </c>
    </row>
    <row r="12" customFormat="false" ht="14.25" hidden="false" customHeight="false" outlineLevel="0" collapsed="false">
      <c r="C12" s="6" t="s">
        <v>19</v>
      </c>
      <c r="D12" s="2" t="s">
        <v>20</v>
      </c>
      <c r="E12" s="10" t="n">
        <v>0</v>
      </c>
      <c r="F12" s="10" t="n">
        <v>3</v>
      </c>
      <c r="G12" s="10" t="n">
        <v>3</v>
      </c>
    </row>
    <row r="13" customFormat="false" ht="14.25" hidden="false" customHeight="false" outlineLevel="0" collapsed="false">
      <c r="C13" s="6" t="s">
        <v>21</v>
      </c>
      <c r="D13" s="2" t="s">
        <v>2</v>
      </c>
      <c r="E13" s="11" t="n">
        <v>1</v>
      </c>
      <c r="F13" s="11" t="n">
        <v>1</v>
      </c>
      <c r="G13" s="11" t="n">
        <v>1</v>
      </c>
    </row>
    <row r="14" customFormat="false" ht="14.25" hidden="false" customHeight="false" outlineLevel="0" collapsed="false">
      <c r="C14" s="6" t="s">
        <v>22</v>
      </c>
      <c r="D14" s="2" t="s">
        <v>3</v>
      </c>
      <c r="E14" s="12" t="n">
        <v>1</v>
      </c>
      <c r="F14" s="12" t="n">
        <v>1</v>
      </c>
      <c r="G14" s="12" t="n">
        <v>1</v>
      </c>
    </row>
    <row r="15" customFormat="false" ht="14.25" hidden="false" customHeight="false" outlineLevel="0" collapsed="false">
      <c r="C15" s="6" t="s">
        <v>23</v>
      </c>
      <c r="D15" s="2" t="s">
        <v>2</v>
      </c>
      <c r="E15" s="11" t="n">
        <v>0</v>
      </c>
      <c r="F15" s="11" t="n">
        <v>0</v>
      </c>
      <c r="G15" s="11" t="n">
        <v>0</v>
      </c>
    </row>
    <row r="16" customFormat="false" ht="14.25" hidden="false" customHeight="false" outlineLevel="0" collapsed="false">
      <c r="C16" s="6" t="s">
        <v>24</v>
      </c>
      <c r="D16" s="2" t="s">
        <v>2</v>
      </c>
      <c r="E16" s="11" t="n">
        <v>1</v>
      </c>
      <c r="F16" s="11" t="n">
        <v>1</v>
      </c>
      <c r="G16" s="11" t="n">
        <v>1</v>
      </c>
    </row>
    <row r="17" customFormat="false" ht="14.25" hidden="false" customHeight="false" outlineLevel="0" collapsed="false">
      <c r="C17" s="6" t="s">
        <v>25</v>
      </c>
      <c r="D17" s="2" t="s">
        <v>26</v>
      </c>
      <c r="E17" s="13" t="s">
        <v>27</v>
      </c>
      <c r="F17" s="13" t="s">
        <v>27</v>
      </c>
      <c r="G17" s="13" t="s">
        <v>27</v>
      </c>
    </row>
    <row r="18" customFormat="false" ht="14.25" hidden="false" customHeight="false" outlineLevel="0" collapsed="false">
      <c r="C18" s="6" t="s">
        <v>28</v>
      </c>
      <c r="D18" s="2" t="s">
        <v>18</v>
      </c>
      <c r="E18" s="7" t="n">
        <v>150</v>
      </c>
      <c r="F18" s="7" t="n">
        <v>150</v>
      </c>
      <c r="G18" s="7" t="n">
        <v>150</v>
      </c>
    </row>
    <row r="19" customFormat="false" ht="14.25" hidden="false" customHeight="false" outlineLevel="0" collapsed="false">
      <c r="C19" s="6" t="s">
        <v>29</v>
      </c>
      <c r="D19" s="2" t="s">
        <v>12</v>
      </c>
      <c r="E19" s="9" t="n">
        <v>0.7</v>
      </c>
      <c r="F19" s="9" t="n">
        <v>1</v>
      </c>
      <c r="G19" s="9" t="n">
        <v>1</v>
      </c>
    </row>
    <row r="20" customFormat="false" ht="14.25" hidden="false" customHeight="false" outlineLevel="0" collapsed="false">
      <c r="C20" s="6" t="s">
        <v>30</v>
      </c>
      <c r="D20" s="2" t="s">
        <v>2</v>
      </c>
      <c r="E20" s="11" t="n">
        <v>1</v>
      </c>
      <c r="F20" s="11" t="n">
        <v>0</v>
      </c>
      <c r="G20" s="11" t="n">
        <v>0</v>
      </c>
    </row>
    <row r="21" customFormat="false" ht="14.25" hidden="false" customHeight="false" outlineLevel="0" collapsed="false">
      <c r="C21" s="6" t="s">
        <v>31</v>
      </c>
      <c r="D21" s="2" t="s">
        <v>2</v>
      </c>
      <c r="E21" s="11" t="n">
        <v>1</v>
      </c>
      <c r="F21" s="11" t="n">
        <v>0</v>
      </c>
      <c r="G21" s="11" t="n">
        <v>0</v>
      </c>
    </row>
    <row r="22" customFormat="false" ht="14.25" hidden="false" customHeight="false" outlineLevel="0" collapsed="false">
      <c r="C22" s="6" t="s">
        <v>32</v>
      </c>
      <c r="D22" s="2" t="s">
        <v>33</v>
      </c>
      <c r="E22" s="14" t="n">
        <v>2500</v>
      </c>
      <c r="F22" s="14" t="n">
        <v>2500</v>
      </c>
      <c r="G22" s="14" t="n">
        <v>2500</v>
      </c>
    </row>
    <row r="24" customFormat="false" ht="14.25" hidden="false" customHeight="false" outlineLevel="0" collapsed="false">
      <c r="B24" s="4" t="s">
        <v>3</v>
      </c>
      <c r="C24" s="4" t="s">
        <v>34</v>
      </c>
      <c r="D24" s="4"/>
      <c r="E24" s="5" t="s">
        <v>35</v>
      </c>
      <c r="F24" s="5" t="s">
        <v>36</v>
      </c>
      <c r="G24" s="5" t="s">
        <v>37</v>
      </c>
      <c r="H24" s="5" t="s">
        <v>38</v>
      </c>
    </row>
    <row r="25" customFormat="false" ht="14.25" hidden="false" customHeight="false" outlineLevel="0" collapsed="false">
      <c r="C25" s="1" t="s">
        <v>39</v>
      </c>
      <c r="D25" s="2" t="s">
        <v>40</v>
      </c>
      <c r="H25" s="13" t="s">
        <v>35</v>
      </c>
    </row>
    <row r="26" customFormat="false" ht="14.25" hidden="false" customHeight="false" outlineLevel="0" collapsed="false">
      <c r="C26" s="6" t="s">
        <v>41</v>
      </c>
      <c r="D26" s="2" t="s">
        <v>42</v>
      </c>
      <c r="E26" s="7" t="n">
        <v>850</v>
      </c>
      <c r="F26" s="7" t="n">
        <v>950</v>
      </c>
      <c r="G26" s="7" t="n">
        <v>800</v>
      </c>
      <c r="H26" s="15" t="n">
        <f aca="false">INDEX(E26:G26,MATCH(Dash_Case,$E$24:$G$24,0))</f>
        <v>850</v>
      </c>
      <c r="J26" s="2" t="s">
        <v>43</v>
      </c>
    </row>
    <row r="27" customFormat="false" ht="14.25" hidden="false" customHeight="false" outlineLevel="0" collapsed="false">
      <c r="C27" s="6" t="s">
        <v>44</v>
      </c>
      <c r="D27" s="2" t="s">
        <v>42</v>
      </c>
      <c r="E27" s="7" t="n">
        <v>500</v>
      </c>
      <c r="F27" s="7" t="n">
        <v>600</v>
      </c>
      <c r="G27" s="7" t="n">
        <v>480</v>
      </c>
      <c r="H27" s="15" t="n">
        <f aca="false">INDEX(E27:G27,MATCH(Dash_Case,$E$24:$G$24,0))</f>
        <v>500</v>
      </c>
      <c r="J27" s="2" t="s">
        <v>45</v>
      </c>
    </row>
    <row r="28" customFormat="false" ht="14.25" hidden="false" customHeight="false" outlineLevel="0" collapsed="false">
      <c r="C28" s="6" t="s">
        <v>46</v>
      </c>
      <c r="D28" s="2" t="s">
        <v>20</v>
      </c>
      <c r="E28" s="10" t="n">
        <v>90</v>
      </c>
      <c r="F28" s="10" t="n">
        <v>90</v>
      </c>
      <c r="G28" s="10" t="n">
        <v>100</v>
      </c>
      <c r="H28" s="16" t="n">
        <f aca="false">INDEX(E28:G28,MATCH(Dash_Case,$E$24:$G$24,0))</f>
        <v>90</v>
      </c>
      <c r="J28" s="2" t="s">
        <v>47</v>
      </c>
    </row>
    <row r="29" customFormat="false" ht="14.25" hidden="false" customHeight="false" outlineLevel="0" collapsed="false">
      <c r="C29" s="6" t="s">
        <v>48</v>
      </c>
      <c r="D29" s="2" t="s">
        <v>33</v>
      </c>
      <c r="E29" s="7" t="n">
        <v>2500</v>
      </c>
      <c r="F29" s="7" t="n">
        <v>2460</v>
      </c>
      <c r="G29" s="7" t="n">
        <v>2600</v>
      </c>
      <c r="H29" s="15" t="n">
        <f aca="false">INDEX(E29:G29,MATCH(Dash_Case,$E$24:$G$24,0))</f>
        <v>2500</v>
      </c>
      <c r="J29" s="2" t="s">
        <v>49</v>
      </c>
    </row>
    <row r="30" customFormat="false" ht="14.25" hidden="false" customHeight="false" outlineLevel="0" collapsed="false">
      <c r="C30" s="6" t="s">
        <v>50</v>
      </c>
      <c r="D30" s="2" t="s">
        <v>51</v>
      </c>
      <c r="E30" s="10" t="n">
        <v>12</v>
      </c>
      <c r="F30" s="10" t="n">
        <v>12</v>
      </c>
      <c r="G30" s="10" t="n">
        <v>10</v>
      </c>
      <c r="H30" s="16" t="n">
        <f aca="false">INDEX(E30:G30,MATCH(Dash_Case,$E$24:$G$24,0))</f>
        <v>12</v>
      </c>
      <c r="J30" s="2" t="s">
        <v>52</v>
      </c>
    </row>
    <row r="32" customFormat="false" ht="14.25" hidden="false" customHeight="false" outlineLevel="0" collapsed="false">
      <c r="B32" s="4" t="s">
        <v>3</v>
      </c>
      <c r="C32" s="4" t="s">
        <v>53</v>
      </c>
      <c r="D32" s="4"/>
      <c r="E32" s="5" t="s">
        <v>5</v>
      </c>
      <c r="F32" s="5" t="s">
        <v>6</v>
      </c>
      <c r="G32" s="5" t="s">
        <v>7</v>
      </c>
      <c r="H32" s="5" t="s">
        <v>8</v>
      </c>
    </row>
    <row r="33" customFormat="false" ht="14.25" hidden="false" customHeight="false" outlineLevel="0" collapsed="false">
      <c r="C33" s="6" t="s">
        <v>54</v>
      </c>
      <c r="D33" s="2" t="s">
        <v>55</v>
      </c>
      <c r="E33" s="17" t="n">
        <f aca="false">INDEX(Osz1_Pts,1+SUMPRODUCT((Osz1_LB&lt;E11)+(Osz1_LB=E11)*Osz1_Incl))*Osz1_W</f>
        <v>4</v>
      </c>
      <c r="F33" s="17" t="n">
        <f aca="false">INDEX(Osz1_Pts,1+SUMPRODUCT((Osz1_LB&lt;F11)+(Osz1_LB=F11)*Osz1_Incl))*Osz1_W</f>
        <v>20</v>
      </c>
      <c r="G33" s="17" t="n">
        <f aca="false">INDEX(Osz1_Pts,1+SUMPRODUCT((Osz1_LB&lt;G11)+(Osz1_LB=G11)*Osz1_Incl))*Osz1_W</f>
        <v>20</v>
      </c>
    </row>
    <row r="34" customFormat="false" ht="14.25" hidden="false" customHeight="false" outlineLevel="0" collapsed="false">
      <c r="C34" s="6" t="s">
        <v>56</v>
      </c>
      <c r="D34" s="2" t="s">
        <v>55</v>
      </c>
      <c r="E34" s="17" t="n">
        <f aca="false">INDEX(Osz2_Pts,1+SUMPRODUCT((Osz2_LB&lt;E12)+(Osz2_LB=E12)*Osz2_Incl))*Osz2_W</f>
        <v>0</v>
      </c>
      <c r="F34" s="18" t="n">
        <f aca="false">INDEX(Osz2_Pts,1+SUMPRODUCT((Osz2_LB&lt;F12)+(Osz2_LB=F12)*Osz2_Incl))*Osz2_W</f>
        <v>15</v>
      </c>
      <c r="G34" s="17" t="n">
        <f aca="false">INDEX(Osz2_Pts,1+SUMPRODUCT((Osz2_LB&lt;G12)+(Osz2_LB=G12)*Osz2_Incl))*Osz2_W</f>
        <v>15</v>
      </c>
    </row>
    <row r="35" customFormat="false" ht="14.25" hidden="false" customHeight="false" outlineLevel="0" collapsed="false">
      <c r="C35" s="6" t="s">
        <v>57</v>
      </c>
      <c r="D35" s="2" t="s">
        <v>55</v>
      </c>
      <c r="E35" s="18" t="n">
        <f aca="false">INDEX(Osz3_Pts,1+SUMPRODUCT((Osz3_LB&lt;E7)+(Osz3_LB=E7)*Osz3_Incl))*Osz3_W</f>
        <v>0</v>
      </c>
      <c r="F35" s="17" t="n">
        <f aca="false">INDEX(Osz3_Pts,1+SUMPRODUCT((Osz3_LB&lt;F7)+(Osz3_LB=F7)*Osz3_Incl))*Osz3_W</f>
        <v>9</v>
      </c>
      <c r="G35" s="17" t="n">
        <f aca="false">INDEX(Osz3_Pts,1+SUMPRODUCT((Osz3_LB&lt;G7)+(Osz3_LB=G7)*Osz3_Incl))*Osz3_W</f>
        <v>9</v>
      </c>
    </row>
    <row r="36" customFormat="false" ht="14.25" hidden="false" customHeight="false" outlineLevel="0" collapsed="false">
      <c r="C36" s="6" t="s">
        <v>58</v>
      </c>
      <c r="D36" s="2" t="s">
        <v>55</v>
      </c>
      <c r="E36" s="17" t="n">
        <f aca="false">INDEX(Osz3_Pts,1+SUMPRODUCT((Osz3_LB&lt;E8)+(Osz3_LB=E8)*Osz3_Incl))*Osz4_W</f>
        <v>0</v>
      </c>
      <c r="F36" s="17" t="n">
        <f aca="false">INDEX(Osz3_Pts,1+SUMPRODUCT((Osz3_LB&lt;F8)+(Osz3_LB=F8)*Osz3_Incl))*Osz4_W</f>
        <v>7.5</v>
      </c>
      <c r="G36" s="17" t="n">
        <f aca="false">INDEX(Osz3_Pts,1+SUMPRODUCT((Osz3_LB&lt;G8)+(Osz3_LB=G8)*Osz3_Incl))*Osz4_W</f>
        <v>7.5</v>
      </c>
    </row>
    <row r="37" customFormat="false" ht="14.25" hidden="false" customHeight="false" outlineLevel="0" collapsed="false">
      <c r="C37" s="6" t="s">
        <v>59</v>
      </c>
      <c r="D37" s="2" t="s">
        <v>55</v>
      </c>
      <c r="E37" s="17" t="n">
        <f aca="false">E13*Osz5_Pts*Osz5_W</f>
        <v>5</v>
      </c>
      <c r="F37" s="17" t="n">
        <f aca="false">F13*Osz5_Pts*Osz5_W</f>
        <v>5</v>
      </c>
      <c r="G37" s="17" t="n">
        <f aca="false">G13*Osz5_Pts*Osz5_W</f>
        <v>5</v>
      </c>
    </row>
    <row r="38" customFormat="false" ht="14.25" hidden="false" customHeight="false" outlineLevel="0" collapsed="false">
      <c r="C38" s="6" t="s">
        <v>60</v>
      </c>
      <c r="D38" s="2" t="s">
        <v>55</v>
      </c>
      <c r="E38" s="17" t="n">
        <f aca="false">INDEX(Osz6_Pts,1+SUMPRODUCT((Osz6_LB&lt;E14)+(Osz6_LB=E14)*Osz6_Incl))*Osz6_W</f>
        <v>0</v>
      </c>
      <c r="F38" s="17" t="n">
        <f aca="false">INDEX(Osz6_Pts,1+SUMPRODUCT((Osz6_LB&lt;F14)+(Osz6_LB=F14)*Osz6_Incl))*Osz6_W</f>
        <v>0</v>
      </c>
      <c r="G38" s="17" t="n">
        <f aca="false">INDEX(Osz6_Pts,1+SUMPRODUCT((Osz6_LB&lt;G14)+(Osz6_LB=G14)*Osz6_Incl))*Osz6_W</f>
        <v>0</v>
      </c>
    </row>
    <row r="39" customFormat="false" ht="14.25" hidden="false" customHeight="false" outlineLevel="0" collapsed="false">
      <c r="C39" s="6" t="s">
        <v>61</v>
      </c>
      <c r="D39" s="2" t="s">
        <v>55</v>
      </c>
      <c r="E39" s="17" t="n">
        <f aca="false">E15*Osz7_Pts*Osz7_W</f>
        <v>0</v>
      </c>
      <c r="F39" s="17" t="n">
        <f aca="false">F15*Osz7_Pts*Osz7_W</f>
        <v>0</v>
      </c>
      <c r="G39" s="17" t="n">
        <f aca="false">G15*Osz7_Pts*Osz7_W</f>
        <v>0</v>
      </c>
    </row>
    <row r="40" customFormat="false" ht="14.25" hidden="false" customHeight="false" outlineLevel="0" collapsed="false">
      <c r="C40" s="6" t="s">
        <v>62</v>
      </c>
      <c r="D40" s="2" t="s">
        <v>55</v>
      </c>
      <c r="E40" s="17" t="n">
        <f aca="false">E16*Osz8_Pts*Osz8_W</f>
        <v>5</v>
      </c>
      <c r="F40" s="17" t="n">
        <f aca="false">F16*Osz8_Pts*Osz8_W</f>
        <v>5</v>
      </c>
      <c r="G40" s="17" t="n">
        <f aca="false">G16*Osz8_Pts*Osz8_W</f>
        <v>5</v>
      </c>
    </row>
    <row r="41" customFormat="false" ht="14.25" hidden="false" customHeight="false" outlineLevel="0" collapsed="false">
      <c r="C41" s="6" t="s">
        <v>63</v>
      </c>
      <c r="D41" s="2" t="s">
        <v>55</v>
      </c>
      <c r="E41" s="17" t="n">
        <f aca="false">N(E17="EU")*Osz9a_Pts*Osz9_W</f>
        <v>0</v>
      </c>
      <c r="F41" s="18" t="n">
        <f aca="false">N(F17="EU")*Osz9a_Pts*Osz9_W</f>
        <v>0</v>
      </c>
      <c r="G41" s="17" t="n">
        <f aca="false">N(G17="EU")*Osz9a_Pts*Osz9_W</f>
        <v>0</v>
      </c>
    </row>
    <row r="42" customFormat="false" ht="14.25" hidden="false" customHeight="false" outlineLevel="0" collapsed="false">
      <c r="C42" s="6" t="s">
        <v>64</v>
      </c>
      <c r="D42" s="2" t="s">
        <v>55</v>
      </c>
      <c r="E42" s="17" t="n">
        <f aca="false">Inputs!E$19*Osz9b_Pts*Osz9_W</f>
        <v>0</v>
      </c>
      <c r="F42" s="17" t="n">
        <f aca="false">Inputs!F$19*Osz9b_Pts*Osz9_W</f>
        <v>0</v>
      </c>
      <c r="G42" s="17" t="n">
        <f aca="false">Inputs!G$19*Osz9b_Pts*Osz9_W</f>
        <v>0</v>
      </c>
    </row>
    <row r="43" customFormat="false" ht="14.25" hidden="false" customHeight="false" outlineLevel="0" collapsed="false">
      <c r="C43" s="1" t="s">
        <v>65</v>
      </c>
      <c r="D43" s="2" t="s">
        <v>55</v>
      </c>
      <c r="E43" s="19" t="n">
        <f aca="false">SUM(E33:E42)</f>
        <v>14</v>
      </c>
      <c r="F43" s="19" t="n">
        <f aca="false">SUM(F33:F42)</f>
        <v>61.5</v>
      </c>
      <c r="G43" s="19" t="n">
        <f aca="false">SUM(G33:G42)</f>
        <v>61.5</v>
      </c>
    </row>
    <row r="44" customFormat="false" ht="14.25" hidden="false" customHeight="false" outlineLevel="0" collapsed="false">
      <c r="C44" s="6" t="s">
        <v>66</v>
      </c>
      <c r="D44" s="2" t="s">
        <v>67</v>
      </c>
      <c r="E44" s="18" t="n">
        <f aca="false">E6*(1+E7)</f>
        <v>50</v>
      </c>
      <c r="F44" s="17" t="n">
        <f aca="false">F6*(1+F7)</f>
        <v>70</v>
      </c>
      <c r="G44" s="17" t="n">
        <f aca="false">G6*(1+G7)</f>
        <v>70</v>
      </c>
      <c r="H44" s="17" t="n">
        <f aca="false">SUM(E44:G44)</f>
        <v>190</v>
      </c>
    </row>
    <row r="45" customFormat="false" ht="14.25" hidden="false" customHeight="false" outlineLevel="0" collapsed="false">
      <c r="C45" s="6" t="s">
        <v>68</v>
      </c>
      <c r="D45" s="2" t="s">
        <v>69</v>
      </c>
      <c r="E45" s="18" t="n">
        <f aca="false">E6*E8*E9</f>
        <v>0</v>
      </c>
      <c r="F45" s="17" t="n">
        <f aca="false">F6*F8*F9</f>
        <v>40</v>
      </c>
      <c r="G45" s="17" t="n">
        <f aca="false">G6*G8*G9</f>
        <v>40</v>
      </c>
      <c r="H45" s="17" t="n">
        <f aca="false">SUM(E45:G45)</f>
        <v>80</v>
      </c>
    </row>
    <row r="46" customFormat="false" ht="14.25" hidden="false" customHeight="false" outlineLevel="0" collapsed="false">
      <c r="C46" s="6" t="s">
        <v>70</v>
      </c>
      <c r="D46" s="2" t="s">
        <v>67</v>
      </c>
      <c r="E46" s="17" t="n">
        <f aca="false">E44*(1-E10)</f>
        <v>50</v>
      </c>
      <c r="F46" s="18" t="n">
        <f aca="false">F44*(1-F10)</f>
        <v>70</v>
      </c>
      <c r="G46" s="17" t="n">
        <f aca="false">G44*(1-G10)</f>
        <v>70</v>
      </c>
      <c r="H46" s="17" t="n">
        <f aca="false">SUM(E46:G46)</f>
        <v>190</v>
      </c>
    </row>
    <row r="47" customFormat="false" ht="14.25" hidden="false" customHeight="false" outlineLevel="0" collapsed="false">
      <c r="K47" s="20"/>
      <c r="L47" s="20"/>
      <c r="M47" s="20"/>
    </row>
    <row r="48" customFormat="false" ht="14.25" hidden="false" customHeight="false" outlineLevel="0" collapsed="false">
      <c r="B48" s="4" t="s">
        <v>3</v>
      </c>
      <c r="C48" s="4" t="s">
        <v>71</v>
      </c>
      <c r="D48" s="4"/>
      <c r="E48" s="5" t="s">
        <v>5</v>
      </c>
      <c r="F48" s="5" t="s">
        <v>6</v>
      </c>
      <c r="G48" s="5" t="s">
        <v>7</v>
      </c>
      <c r="H48" s="5" t="s">
        <v>8</v>
      </c>
      <c r="J48" s="5" t="s">
        <v>72</v>
      </c>
      <c r="K48" s="21"/>
      <c r="L48" s="21"/>
      <c r="M48" s="20"/>
    </row>
    <row r="49" customFormat="false" ht="14.25" hidden="false" customHeight="false" outlineLevel="0" collapsed="false">
      <c r="C49" s="22" t="s">
        <v>73</v>
      </c>
      <c r="D49" s="23" t="s">
        <v>74</v>
      </c>
      <c r="E49" s="24" t="n">
        <f aca="false">Part_Fee</f>
        <v>3000000</v>
      </c>
      <c r="F49" s="24" t="n">
        <f aca="false">Part_Fee</f>
        <v>3000000</v>
      </c>
      <c r="G49" s="24" t="n">
        <f aca="false">Part_Fee</f>
        <v>3000000</v>
      </c>
      <c r="H49" s="24" t="n">
        <f aca="false">SUM(E49:G49)</f>
        <v>9000000</v>
      </c>
      <c r="J49" s="25" t="n">
        <f aca="false">Inputs!E$21</f>
        <v>46325</v>
      </c>
      <c r="K49" s="26"/>
      <c r="L49" s="26"/>
      <c r="M49" s="20"/>
    </row>
    <row r="50" customFormat="false" ht="14.25" hidden="false" customHeight="false" outlineLevel="0" collapsed="false">
      <c r="C50" s="22" t="s">
        <v>75</v>
      </c>
      <c r="D50" s="23" t="s">
        <v>74</v>
      </c>
      <c r="E50" s="24" t="n">
        <f aca="false">Bid_Sec_Rate*(E44*Bench_Wind+E45*Bench_BESS)</f>
        <v>101500000</v>
      </c>
      <c r="F50" s="24" t="n">
        <f aca="false">Bid_Sec_Rate*(F44*Bench_Wind+F45*Bench_BESS)</f>
        <v>182100000</v>
      </c>
      <c r="G50" s="24" t="n">
        <f aca="false">Bid_Sec_Rate*(G44*Bench_Wind+G45*Bench_BESS)</f>
        <v>182100000</v>
      </c>
      <c r="H50" s="24" t="n">
        <f aca="false">SUM(E50:G50)</f>
        <v>465700000</v>
      </c>
      <c r="J50" s="25" t="n">
        <f aca="false">Inputs!E$21</f>
        <v>46325</v>
      </c>
      <c r="K50" s="26"/>
      <c r="L50" s="26"/>
      <c r="M50" s="20"/>
    </row>
    <row r="51" customFormat="false" ht="14.25" hidden="false" customHeight="false" outlineLevel="0" collapsed="false">
      <c r="C51" s="22" t="s">
        <v>76</v>
      </c>
      <c r="D51" s="23" t="s">
        <v>74</v>
      </c>
      <c r="E51" s="24" t="n">
        <f aca="false">PB_Rate*E14*(E44*Bench_Wind+E45*Bench_BESS)-E50</f>
        <v>406000000</v>
      </c>
      <c r="F51" s="24" t="n">
        <f aca="false">PB_Rate*F14*(F44*Bench_Wind+F45*Bench_BESS)-F50</f>
        <v>728400000</v>
      </c>
      <c r="G51" s="24" t="n">
        <f aca="false">PB_Rate*G14*(G44*Bench_Wind+G45*Bench_BESS)-G50</f>
        <v>728400000</v>
      </c>
      <c r="H51" s="24" t="n">
        <f aca="false">SUM(E51:G51)</f>
        <v>1862800000</v>
      </c>
      <c r="J51" s="25" t="n">
        <f aca="false">Inputs!E$22</f>
        <v>46402</v>
      </c>
      <c r="K51" s="26"/>
      <c r="L51" s="26"/>
      <c r="M51" s="20"/>
    </row>
    <row r="52" customFormat="false" ht="14.25" hidden="false" customHeight="false" outlineLevel="0" collapsed="false">
      <c r="C52" s="27" t="s">
        <v>77</v>
      </c>
      <c r="D52" s="28" t="s">
        <v>74</v>
      </c>
      <c r="E52" s="29" t="n">
        <f aca="false">TSO_Rate*E6</f>
        <v>225000000</v>
      </c>
      <c r="F52" s="29" t="n">
        <f aca="false">TSO_Rate*F6</f>
        <v>225000000</v>
      </c>
      <c r="G52" s="29" t="n">
        <f aca="false">TSO_Rate*G6</f>
        <v>225000000</v>
      </c>
      <c r="H52" s="29" t="n">
        <f aca="false">SUM(E52:G52)</f>
        <v>675000000</v>
      </c>
      <c r="J52" s="25" t="n">
        <f aca="false">Inputs!E$23</f>
        <v>46402</v>
      </c>
      <c r="K52" s="26"/>
      <c r="L52" s="26"/>
      <c r="M52" s="20"/>
    </row>
    <row r="53" customFormat="false" ht="14.25" hidden="false" customHeight="false" outlineLevel="0" collapsed="false">
      <c r="C53" s="30" t="s">
        <v>78</v>
      </c>
      <c r="D53" s="31" t="s">
        <v>74</v>
      </c>
      <c r="E53" s="32" t="n">
        <f aca="false">Inputs!E$15/Inputs!E$16</f>
        <v>254172902</v>
      </c>
      <c r="F53" s="32" t="n">
        <f aca="false">Inputs!F$15/Inputs!F$16</f>
        <v>460000000</v>
      </c>
      <c r="G53" s="32" t="n">
        <f aca="false">Inputs!G$15/Inputs!G$16</f>
        <v>460000000</v>
      </c>
      <c r="H53" s="32" t="n">
        <f aca="false">SUM(E53:G53)</f>
        <v>1174172902</v>
      </c>
      <c r="J53" s="25" t="n">
        <f aca="false">Inputs!E$24</f>
        <v>47027</v>
      </c>
      <c r="K53" s="26"/>
      <c r="L53" s="26"/>
      <c r="M53" s="20"/>
    </row>
    <row r="54" customFormat="false" ht="14.25" hidden="false" customHeight="false" outlineLevel="0" collapsed="false">
      <c r="C54" s="30" t="s">
        <v>79</v>
      </c>
      <c r="D54" s="31" t="s">
        <v>74</v>
      </c>
      <c r="E54" s="32" t="n">
        <f aca="false">Inputs!E$14*E6-E52</f>
        <v>3428565300</v>
      </c>
      <c r="F54" s="32" t="n">
        <f aca="false">Inputs!F$14*F6-F52</f>
        <v>766334000</v>
      </c>
      <c r="G54" s="32" t="n">
        <f aca="false">Inputs!G$14*G6-G52</f>
        <v>766334000</v>
      </c>
      <c r="H54" s="32" t="n">
        <f aca="false">SUM(E54:G54)</f>
        <v>4961233300</v>
      </c>
      <c r="J54" s="25" t="n">
        <f aca="false">Inputs!E$24</f>
        <v>47027</v>
      </c>
      <c r="K54" s="26"/>
      <c r="L54" s="26"/>
      <c r="M54" s="20"/>
    </row>
    <row r="55" customFormat="false" ht="14.25" hidden="false" customHeight="false" outlineLevel="0" collapsed="false">
      <c r="C55" s="6" t="s">
        <v>80</v>
      </c>
      <c r="D55" s="2" t="s">
        <v>74</v>
      </c>
      <c r="E55" s="33" t="n">
        <f aca="false">SUMIF(Devex_Class,"Devex",Devex_HUF)*Inputs!E$18</f>
        <v>255901067.967347</v>
      </c>
      <c r="F55" s="8" t="n">
        <f aca="false">SUMIF(Devex_Class,"Devex",Devex_HUF)*Inputs!F$18</f>
        <v>255901067.967347</v>
      </c>
      <c r="G55" s="8" t="n">
        <f aca="false">SUMIF(Devex_Class,"Devex",Devex_HUF)*Inputs!G$18</f>
        <v>255901067.967347</v>
      </c>
      <c r="H55" s="8" t="n">
        <f aca="false">SUM(E55:G55)</f>
        <v>767703203.902041</v>
      </c>
      <c r="J55" s="25" t="n">
        <f aca="false">SUMPRODUCT((Devex_Class="Devex")*Devex_HUF,Devex_Date)/SUMIF(Devex_Class,"Devex",Devex_HUF)</f>
        <v>46714.1242758881</v>
      </c>
      <c r="K55" s="26"/>
      <c r="L55" s="26"/>
      <c r="M55" s="20"/>
    </row>
    <row r="56" customFormat="false" ht="14.25" hidden="false" customHeight="false" outlineLevel="0" collapsed="false">
      <c r="C56" s="6" t="s">
        <v>81</v>
      </c>
      <c r="D56" s="2" t="s">
        <v>74</v>
      </c>
      <c r="E56" s="33" t="n">
        <f aca="false">SUMIF(Devex_Class,"Land",Devex_HUF)*Inputs!E$18</f>
        <v>39347625</v>
      </c>
      <c r="F56" s="8" t="n">
        <f aca="false">SUMIF(Devex_Class,"Land",Devex_HUF)*Inputs!F$18</f>
        <v>39347625</v>
      </c>
      <c r="G56" s="8" t="n">
        <f aca="false">SUMIF(Devex_Class,"Land",Devex_HUF)*Inputs!G$18</f>
        <v>39347625</v>
      </c>
      <c r="H56" s="8" t="n">
        <f aca="false">SUM(E56:G56)</f>
        <v>118042875</v>
      </c>
      <c r="J56" s="25" t="n">
        <f aca="false">SUMPRODUCT((Devex_Class="Land")*Devex_HUF,Devex_Date)/SUMIF(Devex_Class,"Land",Devex_HUF)</f>
        <v>46877.176865821</v>
      </c>
      <c r="K56" s="26"/>
      <c r="L56" s="26"/>
      <c r="M56" s="20"/>
    </row>
    <row r="57" customFormat="false" ht="14.25" hidden="false" customHeight="false" outlineLevel="0" collapsed="false">
      <c r="C57" s="6" t="s">
        <v>82</v>
      </c>
      <c r="D57" s="2" t="s">
        <v>74</v>
      </c>
      <c r="E57" s="8" t="n">
        <f aca="false">Inputs!E$17*FX*Thousand</f>
        <v>36500000</v>
      </c>
      <c r="F57" s="8" t="n">
        <f aca="false">Inputs!F$17*FX*Thousand</f>
        <v>54750000</v>
      </c>
      <c r="G57" s="8" t="n">
        <f aca="false">Inputs!G$17*FX*Thousand</f>
        <v>54750000</v>
      </c>
      <c r="H57" s="8" t="n">
        <f aca="false">SUM(E57:G57)</f>
        <v>146000000</v>
      </c>
      <c r="J57" s="25" t="n">
        <f aca="false">Inputs!E$20</f>
        <v>46234</v>
      </c>
      <c r="K57" s="26"/>
      <c r="L57" s="26"/>
      <c r="M57" s="20"/>
    </row>
    <row r="58" customFormat="false" ht="14.25" hidden="false" customHeight="false" outlineLevel="0" collapsed="false">
      <c r="C58" s="1" t="s">
        <v>83</v>
      </c>
      <c r="D58" s="2" t="s">
        <v>74</v>
      </c>
      <c r="E58" s="34" t="n">
        <f aca="false">SUM(E49:E57)</f>
        <v>4749986894.96735</v>
      </c>
      <c r="F58" s="34" t="n">
        <f aca="false">SUM(F49:F57)</f>
        <v>2714832692.96735</v>
      </c>
      <c r="G58" s="34" t="n">
        <f aca="false">SUM(G49:G57)</f>
        <v>2714832692.96735</v>
      </c>
      <c r="H58" s="34" t="n">
        <f aca="false">SUM(E58:G58)</f>
        <v>10179652280.902</v>
      </c>
      <c r="K58" s="20"/>
      <c r="L58" s="20"/>
      <c r="M58" s="20"/>
    </row>
    <row r="59" customFormat="false" ht="14.25" hidden="false" customHeight="false" outlineLevel="0" collapsed="false">
      <c r="K59" s="20"/>
      <c r="L59" s="20"/>
      <c r="M59" s="20"/>
    </row>
    <row r="60" customFormat="false" ht="14.25" hidden="false" customHeight="false" outlineLevel="0" collapsed="false">
      <c r="B60" s="4" t="s">
        <v>3</v>
      </c>
      <c r="C60" s="4" t="s">
        <v>84</v>
      </c>
      <c r="D60" s="4"/>
      <c r="E60" s="5" t="s">
        <v>5</v>
      </c>
      <c r="F60" s="5" t="s">
        <v>6</v>
      </c>
      <c r="G60" s="5" t="s">
        <v>7</v>
      </c>
      <c r="H60" s="5" t="s">
        <v>8</v>
      </c>
      <c r="J60" s="5" t="s">
        <v>72</v>
      </c>
      <c r="K60" s="21"/>
      <c r="L60" s="21"/>
      <c r="M60" s="20"/>
    </row>
    <row r="61" customFormat="false" ht="14.25" hidden="false" customHeight="false" outlineLevel="0" collapsed="false">
      <c r="C61" s="22" t="s">
        <v>73</v>
      </c>
      <c r="D61" s="23" t="s">
        <v>85</v>
      </c>
      <c r="E61" s="35" t="n">
        <f aca="false">E49/FX/Thousand</f>
        <v>8.21917808219178</v>
      </c>
      <c r="F61" s="35" t="n">
        <f aca="false">F49/FX/Thousand</f>
        <v>8.21917808219178</v>
      </c>
      <c r="G61" s="35" t="n">
        <f aca="false">G49/FX/Thousand</f>
        <v>8.21917808219178</v>
      </c>
      <c r="H61" s="35" t="n">
        <f aca="false">SUM(E61:G61)</f>
        <v>24.6575342465753</v>
      </c>
      <c r="J61" s="25" t="n">
        <f aca="false">Inputs!E$21</f>
        <v>46325</v>
      </c>
      <c r="K61" s="26"/>
      <c r="L61" s="26"/>
      <c r="M61" s="20"/>
    </row>
    <row r="62" customFormat="false" ht="14.25" hidden="false" customHeight="false" outlineLevel="0" collapsed="false">
      <c r="C62" s="22" t="s">
        <v>75</v>
      </c>
      <c r="D62" s="23" t="s">
        <v>85</v>
      </c>
      <c r="E62" s="24" t="n">
        <f aca="false">E50/FX/Thousand</f>
        <v>278.082191780822</v>
      </c>
      <c r="F62" s="24" t="n">
        <f aca="false">F50/FX/Thousand</f>
        <v>498.904109589041</v>
      </c>
      <c r="G62" s="24" t="n">
        <f aca="false">G50/FX/Thousand</f>
        <v>498.904109589041</v>
      </c>
      <c r="H62" s="24" t="n">
        <f aca="false">SUM(E62:G62)</f>
        <v>1275.8904109589</v>
      </c>
      <c r="J62" s="25" t="n">
        <f aca="false">Inputs!E$21</f>
        <v>46325</v>
      </c>
      <c r="K62" s="26"/>
      <c r="L62" s="26"/>
      <c r="M62" s="20"/>
    </row>
    <row r="63" customFormat="false" ht="14.25" hidden="false" customHeight="false" outlineLevel="0" collapsed="false">
      <c r="C63" s="22" t="s">
        <v>76</v>
      </c>
      <c r="D63" s="23" t="s">
        <v>85</v>
      </c>
      <c r="E63" s="24" t="n">
        <f aca="false">E51/FX/Thousand</f>
        <v>1112.32876712329</v>
      </c>
      <c r="F63" s="24" t="n">
        <f aca="false">F51/FX/Thousand</f>
        <v>1995.61643835616</v>
      </c>
      <c r="G63" s="24" t="n">
        <f aca="false">G51/FX/Thousand</f>
        <v>1995.61643835616</v>
      </c>
      <c r="H63" s="24" t="n">
        <f aca="false">SUM(E63:G63)</f>
        <v>5103.56164383562</v>
      </c>
      <c r="J63" s="25" t="n">
        <f aca="false">Inputs!E$22</f>
        <v>46402</v>
      </c>
      <c r="K63" s="26"/>
      <c r="L63" s="26"/>
      <c r="M63" s="20"/>
    </row>
    <row r="64" customFormat="false" ht="14.25" hidden="false" customHeight="false" outlineLevel="0" collapsed="false">
      <c r="C64" s="27" t="s">
        <v>77</v>
      </c>
      <c r="D64" s="28" t="s">
        <v>85</v>
      </c>
      <c r="E64" s="29" t="n">
        <f aca="false">E52/FX/Thousand</f>
        <v>616.438356164384</v>
      </c>
      <c r="F64" s="29" t="n">
        <f aca="false">F52/FX/Thousand</f>
        <v>616.438356164384</v>
      </c>
      <c r="G64" s="29" t="n">
        <f aca="false">G52/FX/Thousand</f>
        <v>616.438356164384</v>
      </c>
      <c r="H64" s="29" t="n">
        <f aca="false">SUM(E64:G64)</f>
        <v>1849.31506849315</v>
      </c>
      <c r="J64" s="25" t="n">
        <f aca="false">Inputs!E$23</f>
        <v>46402</v>
      </c>
      <c r="K64" s="25"/>
      <c r="L64" s="25"/>
    </row>
    <row r="65" customFormat="false" ht="14.25" hidden="false" customHeight="false" outlineLevel="0" collapsed="false">
      <c r="C65" s="30" t="s">
        <v>78</v>
      </c>
      <c r="D65" s="31" t="s">
        <v>85</v>
      </c>
      <c r="E65" s="32" t="n">
        <f aca="false">E53/FX/Thousand</f>
        <v>696.364115068493</v>
      </c>
      <c r="F65" s="32" t="n">
        <f aca="false">F53/FX/Thousand</f>
        <v>1260.27397260274</v>
      </c>
      <c r="G65" s="32" t="n">
        <f aca="false">G53/FX/Thousand</f>
        <v>1260.27397260274</v>
      </c>
      <c r="H65" s="32" t="n">
        <f aca="false">SUM(E65:G65)</f>
        <v>3216.91206027397</v>
      </c>
      <c r="J65" s="25" t="n">
        <f aca="false">Inputs!E$24</f>
        <v>47027</v>
      </c>
      <c r="K65" s="25"/>
      <c r="L65" s="25"/>
    </row>
    <row r="66" customFormat="false" ht="14.25" hidden="false" customHeight="false" outlineLevel="0" collapsed="false">
      <c r="C66" s="30" t="s">
        <v>79</v>
      </c>
      <c r="D66" s="31" t="s">
        <v>85</v>
      </c>
      <c r="E66" s="32" t="n">
        <f aca="false">E54/FX/Thousand</f>
        <v>9393.3295890411</v>
      </c>
      <c r="F66" s="32" t="n">
        <f aca="false">F54/FX/Thousand</f>
        <v>2099.54520547945</v>
      </c>
      <c r="G66" s="32" t="n">
        <f aca="false">G54/FX/Thousand</f>
        <v>2099.54520547945</v>
      </c>
      <c r="H66" s="32" t="n">
        <f aca="false">SUM(E66:G66)</f>
        <v>13592.42</v>
      </c>
      <c r="J66" s="25" t="n">
        <f aca="false">Inputs!E$24</f>
        <v>47027</v>
      </c>
      <c r="K66" s="25"/>
      <c r="L66" s="25"/>
    </row>
    <row r="67" customFormat="false" ht="14.25" hidden="false" customHeight="false" outlineLevel="0" collapsed="false">
      <c r="C67" s="6" t="s">
        <v>80</v>
      </c>
      <c r="D67" s="2" t="s">
        <v>85</v>
      </c>
      <c r="E67" s="8" t="n">
        <f aca="false">E55/FX/Thousand</f>
        <v>701.098816348896</v>
      </c>
      <c r="F67" s="8" t="n">
        <f aca="false">F55/FX/Thousand</f>
        <v>701.098816348896</v>
      </c>
      <c r="G67" s="8" t="n">
        <f aca="false">G55/FX/Thousand</f>
        <v>701.098816348896</v>
      </c>
      <c r="H67" s="8" t="n">
        <f aca="false">SUM(E67:G67)</f>
        <v>2103.29644904669</v>
      </c>
      <c r="J67" s="25" t="n">
        <f aca="false">J55</f>
        <v>46714.1242758881</v>
      </c>
      <c r="K67" s="25"/>
      <c r="L67" s="25"/>
    </row>
    <row r="68" customFormat="false" ht="14.25" hidden="false" customHeight="false" outlineLevel="0" collapsed="false">
      <c r="C68" s="6" t="s">
        <v>81</v>
      </c>
      <c r="D68" s="2" t="s">
        <v>85</v>
      </c>
      <c r="E68" s="8" t="n">
        <f aca="false">E56/FX/Thousand</f>
        <v>107.801712328767</v>
      </c>
      <c r="F68" s="8" t="n">
        <f aca="false">F56/FX/Thousand</f>
        <v>107.801712328767</v>
      </c>
      <c r="G68" s="8" t="n">
        <f aca="false">G56/FX/Thousand</f>
        <v>107.801712328767</v>
      </c>
      <c r="H68" s="8" t="n">
        <f aca="false">SUM(E68:G68)</f>
        <v>323.405136986301</v>
      </c>
      <c r="J68" s="25" t="n">
        <f aca="false">J56</f>
        <v>46877.176865821</v>
      </c>
      <c r="K68" s="25"/>
      <c r="L68" s="25"/>
    </row>
    <row r="69" customFormat="false" ht="14.25" hidden="false" customHeight="false" outlineLevel="0" collapsed="false">
      <c r="C69" s="6" t="s">
        <v>82</v>
      </c>
      <c r="D69" s="2" t="s">
        <v>85</v>
      </c>
      <c r="E69" s="8" t="n">
        <f aca="false">Inputs!E$17</f>
        <v>100</v>
      </c>
      <c r="F69" s="8" t="n">
        <f aca="false">Inputs!F$17</f>
        <v>150</v>
      </c>
      <c r="G69" s="8" t="n">
        <f aca="false">Inputs!G$17</f>
        <v>150</v>
      </c>
      <c r="H69" s="8" t="n">
        <f aca="false">SUM(E69:G69)</f>
        <v>400</v>
      </c>
      <c r="J69" s="25" t="n">
        <f aca="false">Inputs!E$20</f>
        <v>46234</v>
      </c>
      <c r="K69" s="25"/>
      <c r="L69" s="25"/>
    </row>
    <row r="70" customFormat="false" ht="14.25" hidden="false" customHeight="false" outlineLevel="0" collapsed="false">
      <c r="C70" s="1" t="s">
        <v>83</v>
      </c>
      <c r="D70" s="2" t="s">
        <v>85</v>
      </c>
      <c r="E70" s="34" t="n">
        <f aca="false">SUM(E61:E69)</f>
        <v>13013.6627259379</v>
      </c>
      <c r="F70" s="34" t="n">
        <f aca="false">SUM(F61:F69)</f>
        <v>7437.89778895163</v>
      </c>
      <c r="G70" s="34" t="n">
        <f aca="false">SUM(G61:G69)</f>
        <v>7437.89778895163</v>
      </c>
      <c r="H70" s="34" t="n">
        <f aca="false">SUM(E70:G70)</f>
        <v>27889.4583038412</v>
      </c>
    </row>
    <row r="72" customFormat="false" ht="14.25" hidden="false" customHeight="false" outlineLevel="0" collapsed="false">
      <c r="B72" s="4" t="s">
        <v>3</v>
      </c>
      <c r="C72" s="4" t="s">
        <v>86</v>
      </c>
      <c r="D72" s="4"/>
      <c r="E72" s="5" t="s">
        <v>5</v>
      </c>
      <c r="F72" s="5" t="s">
        <v>6</v>
      </c>
      <c r="G72" s="5" t="s">
        <v>7</v>
      </c>
      <c r="H72" s="5" t="s">
        <v>8</v>
      </c>
      <c r="J72" s="5" t="s">
        <v>87</v>
      </c>
    </row>
    <row r="73" customFormat="false" ht="14.25" hidden="false" customHeight="false" outlineLevel="0" collapsed="false">
      <c r="C73" s="6" t="s">
        <v>88</v>
      </c>
      <c r="D73" s="2" t="s">
        <v>85</v>
      </c>
      <c r="E73" s="8" t="n">
        <f aca="false">E61+SUM(E67:E69)</f>
        <v>917.119706759855</v>
      </c>
      <c r="F73" s="8" t="n">
        <f aca="false">F61+SUM(F67:F69)</f>
        <v>967.119706759855</v>
      </c>
      <c r="G73" s="8" t="n">
        <f aca="false">G61+SUM(G67:G69)</f>
        <v>967.119706759855</v>
      </c>
      <c r="H73" s="8" t="n">
        <f aca="false">SUM(E73:G73)</f>
        <v>2851.35912027956</v>
      </c>
      <c r="J73" s="36" t="s">
        <v>89</v>
      </c>
    </row>
    <row r="74" customFormat="false" ht="14.25" hidden="false" customHeight="false" outlineLevel="0" collapsed="false">
      <c r="C74" s="6" t="s">
        <v>90</v>
      </c>
      <c r="D74" s="2" t="s">
        <v>85</v>
      </c>
      <c r="E74" s="8" t="n">
        <f aca="false">SUM(E62:E64)</f>
        <v>2006.84931506849</v>
      </c>
      <c r="F74" s="8" t="n">
        <f aca="false">SUM(F62:F64)</f>
        <v>3110.95890410959</v>
      </c>
      <c r="G74" s="8" t="n">
        <f aca="false">SUM(G62:G64)</f>
        <v>3110.95890410959</v>
      </c>
      <c r="H74" s="8" t="n">
        <f aca="false">SUM(E74:G74)</f>
        <v>8228.76712328767</v>
      </c>
      <c r="J74" s="36" t="s">
        <v>91</v>
      </c>
    </row>
    <row r="75" customFormat="false" ht="14.25" hidden="false" customHeight="false" outlineLevel="0" collapsed="false">
      <c r="C75" s="6" t="s">
        <v>92</v>
      </c>
      <c r="D75" s="2" t="s">
        <v>85</v>
      </c>
      <c r="E75" s="37" t="n">
        <f aca="false">E65+E66</f>
        <v>10089.6937041096</v>
      </c>
      <c r="F75" s="37" t="n">
        <f aca="false">F65+F66</f>
        <v>3359.81917808219</v>
      </c>
      <c r="G75" s="37" t="n">
        <f aca="false">G65+G66</f>
        <v>3359.81917808219</v>
      </c>
      <c r="H75" s="37" t="n">
        <f aca="false">SUM(E75:G75)</f>
        <v>16809.332060274</v>
      </c>
      <c r="J75" s="36" t="s">
        <v>93</v>
      </c>
    </row>
    <row r="76" customFormat="false" ht="14.25" hidden="false" customHeight="false" outlineLevel="0" collapsed="false">
      <c r="C76" s="1" t="s">
        <v>94</v>
      </c>
      <c r="D76" s="2" t="s">
        <v>85</v>
      </c>
      <c r="E76" s="15" t="n">
        <f aca="false">SUM(E73:E75)</f>
        <v>13013.6627259379</v>
      </c>
      <c r="F76" s="15" t="n">
        <f aca="false">SUM(F73:F75)</f>
        <v>7437.89778895164</v>
      </c>
      <c r="G76" s="15" t="n">
        <f aca="false">SUM(G73:G75)</f>
        <v>7437.89778895164</v>
      </c>
      <c r="H76" s="15" t="n">
        <f aca="false">SUM(E76:G76)</f>
        <v>27889.4583038412</v>
      </c>
      <c r="J76" s="36" t="s">
        <v>95</v>
      </c>
    </row>
    <row r="77" customFormat="false" ht="14.25" hidden="false" customHeight="false" outlineLevel="0" collapsed="false">
      <c r="C77" s="0" t="s">
        <v>96</v>
      </c>
      <c r="D77" s="0" t="s">
        <v>12</v>
      </c>
      <c r="E77" s="38" t="n">
        <f aca="false">E75/E76</f>
        <v>0.775315444744046</v>
      </c>
      <c r="F77" s="38" t="n">
        <f aca="false">F75/F76</f>
        <v>0.451716233997315</v>
      </c>
      <c r="G77" s="38" t="n">
        <f aca="false">G75/G76</f>
        <v>0.451716233997315</v>
      </c>
      <c r="H77" s="38" t="n">
        <f aca="false">H75/H76</f>
        <v>0.602712748205612</v>
      </c>
      <c r="J77" s="36"/>
    </row>
    <row r="78" customFormat="false" ht="14.25" hidden="false" customHeight="false" outlineLevel="0" collapsed="false">
      <c r="C78" s="1" t="s">
        <v>97</v>
      </c>
      <c r="D78" s="2" t="s">
        <v>85</v>
      </c>
      <c r="E78" s="34" t="n">
        <f aca="false">E76-E75</f>
        <v>2923.96902182835</v>
      </c>
      <c r="F78" s="34" t="n">
        <f aca="false">F76-F75</f>
        <v>4078.07861086944</v>
      </c>
      <c r="G78" s="34" t="n">
        <f aca="false">G76-G75</f>
        <v>4078.07861086944</v>
      </c>
      <c r="H78" s="34" t="n">
        <f aca="false">SUM(E78:G78)</f>
        <v>11080.1262435672</v>
      </c>
      <c r="J78" s="36" t="s">
        <v>98</v>
      </c>
    </row>
    <row r="80" customFormat="false" ht="14.25" hidden="false" customHeight="false" outlineLevel="0" collapsed="false">
      <c r="B80" s="4" t="s">
        <v>3</v>
      </c>
      <c r="C80" s="4" t="s">
        <v>99</v>
      </c>
      <c r="D80" s="4"/>
      <c r="E80" s="5" t="s">
        <v>5</v>
      </c>
      <c r="F80" s="5" t="s">
        <v>6</v>
      </c>
      <c r="G80" s="5" t="s">
        <v>7</v>
      </c>
      <c r="H80" s="5" t="s">
        <v>8</v>
      </c>
    </row>
    <row r="81" customFormat="false" ht="14.25" hidden="false" customHeight="false" outlineLevel="0" collapsed="false">
      <c r="C81" s="6" t="s">
        <v>100</v>
      </c>
      <c r="D81" s="2" t="s">
        <v>85</v>
      </c>
      <c r="E81" s="8" t="n">
        <f aca="false">IF(E17="EU",Case_EU,Case_CN)*E46</f>
        <v>25000</v>
      </c>
      <c r="F81" s="8" t="n">
        <f aca="false">IF(F17="EU",Case_EU,Case_CN)*F46</f>
        <v>35000</v>
      </c>
      <c r="G81" s="8" t="n">
        <f aca="false">IF(G17="EU",Case_EU,Case_CN)*G46</f>
        <v>35000</v>
      </c>
      <c r="H81" s="8" t="n">
        <f aca="false">SUM(E81:G81)</f>
        <v>95000</v>
      </c>
    </row>
    <row r="82" customFormat="false" ht="14.25" hidden="false" customHeight="false" outlineLevel="0" collapsed="false">
      <c r="C82" s="6" t="s">
        <v>101</v>
      </c>
      <c r="D82" s="2" t="s">
        <v>85</v>
      </c>
      <c r="E82" s="8" t="n">
        <f aca="false">Capex_Install*E46</f>
        <v>4000</v>
      </c>
      <c r="F82" s="8" t="n">
        <f aca="false">Capex_Install*F46</f>
        <v>5600</v>
      </c>
      <c r="G82" s="8" t="n">
        <f aca="false">Capex_Install*G46</f>
        <v>5600</v>
      </c>
      <c r="H82" s="8" t="n">
        <f aca="false">SUM(E82:G82)</f>
        <v>15200</v>
      </c>
    </row>
    <row r="83" customFormat="false" ht="14.25" hidden="false" customHeight="false" outlineLevel="0" collapsed="false">
      <c r="C83" s="6" t="s">
        <v>102</v>
      </c>
      <c r="D83" s="2" t="s">
        <v>85</v>
      </c>
      <c r="E83" s="8" t="n">
        <f aca="false">Capex_Fdn*E46</f>
        <v>4500</v>
      </c>
      <c r="F83" s="8" t="n">
        <f aca="false">Capex_Fdn*F46</f>
        <v>6300</v>
      </c>
      <c r="G83" s="8" t="n">
        <f aca="false">Capex_Fdn*G46</f>
        <v>6300</v>
      </c>
      <c r="H83" s="8" t="n">
        <f aca="false">SUM(E83:G83)</f>
        <v>17100</v>
      </c>
    </row>
    <row r="84" customFormat="false" ht="14.25" hidden="false" customHeight="false" outlineLevel="0" collapsed="false">
      <c r="C84" s="6" t="s">
        <v>103</v>
      </c>
      <c r="D84" s="2" t="s">
        <v>85</v>
      </c>
      <c r="E84" s="8" t="n">
        <f aca="false">Capex_Civil*E46</f>
        <v>3500</v>
      </c>
      <c r="F84" s="8" t="n">
        <f aca="false">Capex_Civil*F46</f>
        <v>4900</v>
      </c>
      <c r="G84" s="8" t="n">
        <f aca="false">Capex_Civil*G46</f>
        <v>4900</v>
      </c>
      <c r="H84" s="8" t="n">
        <f aca="false">SUM(E84:G84)</f>
        <v>13300</v>
      </c>
    </row>
    <row r="85" customFormat="false" ht="14.25" hidden="false" customHeight="false" outlineLevel="0" collapsed="false">
      <c r="C85" s="6" t="s">
        <v>104</v>
      </c>
      <c r="D85" s="2" t="s">
        <v>85</v>
      </c>
      <c r="E85" s="8" t="n">
        <f aca="false">Capex_Elec*E46</f>
        <v>3000</v>
      </c>
      <c r="F85" s="8" t="n">
        <f aca="false">Capex_Elec*F46</f>
        <v>4200</v>
      </c>
      <c r="G85" s="8" t="n">
        <f aca="false">Capex_Elec*G46</f>
        <v>4200</v>
      </c>
      <c r="H85" s="8" t="n">
        <f aca="false">SUM(E85:G85)</f>
        <v>11400</v>
      </c>
    </row>
    <row r="86" customFormat="false" ht="14.25" hidden="false" customHeight="false" outlineLevel="0" collapsed="false">
      <c r="C86" s="6" t="s">
        <v>105</v>
      </c>
      <c r="D86" s="2" t="s">
        <v>85</v>
      </c>
      <c r="E86" s="8" t="n">
        <f aca="false">Capex_Owner*E46</f>
        <v>2000</v>
      </c>
      <c r="F86" s="8" t="n">
        <f aca="false">Capex_Owner*F46</f>
        <v>2800</v>
      </c>
      <c r="G86" s="8" t="n">
        <f aca="false">Capex_Owner*G46</f>
        <v>2800</v>
      </c>
      <c r="H86" s="8" t="n">
        <f aca="false">SUM(E86:G86)</f>
        <v>7600</v>
      </c>
    </row>
    <row r="87" customFormat="false" ht="14.25" hidden="false" customHeight="false" outlineLevel="0" collapsed="false">
      <c r="C87" s="6" t="s">
        <v>106</v>
      </c>
      <c r="D87" s="2" t="s">
        <v>85</v>
      </c>
      <c r="E87" s="8" t="n">
        <f aca="false">Capex_Land*E46</f>
        <v>750</v>
      </c>
      <c r="F87" s="8" t="n">
        <f aca="false">Capex_Land*F46</f>
        <v>1050</v>
      </c>
      <c r="G87" s="8" t="n">
        <f aca="false">Capex_Land*G46</f>
        <v>1050</v>
      </c>
      <c r="H87" s="8" t="n">
        <f aca="false">SUM(E87:G87)</f>
        <v>2850</v>
      </c>
    </row>
    <row r="88" customFormat="false" ht="14.25" hidden="false" customHeight="false" outlineLevel="0" collapsed="false">
      <c r="C88" s="6" t="s">
        <v>107</v>
      </c>
      <c r="D88" s="2" t="s">
        <v>85</v>
      </c>
      <c r="E88" s="8" t="n">
        <f aca="false">Subs_Lump*E6/Lump_Basis</f>
        <v>3000</v>
      </c>
      <c r="F88" s="8" t="n">
        <f aca="false">Subs_Lump*F6/Lump_Basis</f>
        <v>3000</v>
      </c>
      <c r="G88" s="8" t="n">
        <f aca="false">Subs_Lump*G6/Lump_Basis</f>
        <v>3000</v>
      </c>
      <c r="H88" s="8" t="n">
        <f aca="false">SUM(E88:G88)</f>
        <v>9000</v>
      </c>
    </row>
    <row r="89" customFormat="false" ht="14.25" hidden="false" customHeight="false" outlineLevel="0" collapsed="false">
      <c r="C89" s="6" t="s">
        <v>108</v>
      </c>
      <c r="D89" s="2" t="s">
        <v>85</v>
      </c>
      <c r="E89" s="8" t="n">
        <f aca="false">SUM(E81:E88)*Capex_Cont</f>
        <v>2287.5</v>
      </c>
      <c r="F89" s="8" t="n">
        <f aca="false">SUM(F81:F88)*Capex_Cont</f>
        <v>3142.5</v>
      </c>
      <c r="G89" s="8" t="n">
        <f aca="false">SUM(G81:G88)*Capex_Cont</f>
        <v>3142.5</v>
      </c>
      <c r="H89" s="8" t="n">
        <f aca="false">SUM(E89:G89)</f>
        <v>8572.5</v>
      </c>
    </row>
    <row r="90" customFormat="false" ht="14.25" hidden="false" customHeight="false" outlineLevel="0" collapsed="false">
      <c r="C90" s="6" t="s">
        <v>109</v>
      </c>
      <c r="D90" s="2" t="s">
        <v>85</v>
      </c>
      <c r="E90" s="8" t="n">
        <f aca="false">BESS_Capex*E45</f>
        <v>0</v>
      </c>
      <c r="F90" s="8" t="n">
        <f aca="false">BESS_Capex*F45</f>
        <v>4000</v>
      </c>
      <c r="G90" s="8" t="n">
        <f aca="false">BESS_Capex*G45</f>
        <v>4000</v>
      </c>
      <c r="H90" s="8" t="n">
        <f aca="false">SUM(E90:G90)</f>
        <v>8000</v>
      </c>
    </row>
    <row r="91" customFormat="false" ht="14.25" hidden="false" customHeight="false" outlineLevel="0" collapsed="false">
      <c r="C91" s="1" t="s">
        <v>110</v>
      </c>
      <c r="D91" s="2" t="s">
        <v>85</v>
      </c>
      <c r="E91" s="34" t="n">
        <f aca="false">SUM(E81:E90)</f>
        <v>48037.5</v>
      </c>
      <c r="F91" s="34" t="n">
        <f aca="false">SUM(F81:F90)</f>
        <v>69992.5</v>
      </c>
      <c r="G91" s="34" t="n">
        <f aca="false">SUM(G81:G90)</f>
        <v>69992.5</v>
      </c>
      <c r="H91" s="34" t="n">
        <f aca="false">SUM(E91:G91)</f>
        <v>188022.5</v>
      </c>
    </row>
    <row r="92" customFormat="false" ht="14.25" hidden="false" customHeight="false" outlineLevel="0" collapsed="false">
      <c r="C92" s="30" t="s">
        <v>111</v>
      </c>
      <c r="D92" s="31" t="s">
        <v>85</v>
      </c>
      <c r="E92" s="32" t="n">
        <f aca="false">E64+E65+E66</f>
        <v>10706.132060274</v>
      </c>
      <c r="F92" s="32" t="n">
        <f aca="false">F64+F65+F66</f>
        <v>3976.25753424658</v>
      </c>
      <c r="G92" s="32" t="n">
        <f aca="false">G64+G65+G66</f>
        <v>3976.25753424658</v>
      </c>
      <c r="H92" s="32" t="n">
        <f aca="false">SUM(E92:G92)</f>
        <v>18658.6471287671</v>
      </c>
    </row>
    <row r="93" customFormat="false" ht="14.25" hidden="false" customHeight="false" outlineLevel="0" collapsed="false">
      <c r="C93" s="6" t="s">
        <v>112</v>
      </c>
      <c r="D93" s="2" t="s">
        <v>85</v>
      </c>
      <c r="E93" s="8" t="n">
        <f aca="false">E11*E6</f>
        <v>1000</v>
      </c>
      <c r="F93" s="8" t="n">
        <f aca="false">F11*F6</f>
        <v>2500</v>
      </c>
      <c r="G93" s="8" t="n">
        <f aca="false">G11*G6</f>
        <v>2500</v>
      </c>
      <c r="H93" s="8" t="n">
        <f aca="false">SUM(E93:G93)</f>
        <v>6000</v>
      </c>
    </row>
    <row r="94" customFormat="false" ht="14.25" hidden="false" customHeight="false" outlineLevel="0" collapsed="false">
      <c r="C94" s="6" t="s">
        <v>113</v>
      </c>
      <c r="D94" s="2" t="s">
        <v>85</v>
      </c>
      <c r="E94" s="8" t="n">
        <f aca="false">E68</f>
        <v>107.801712328767</v>
      </c>
      <c r="F94" s="8" t="n">
        <f aca="false">F68</f>
        <v>107.801712328767</v>
      </c>
      <c r="G94" s="8" t="n">
        <f aca="false">G68</f>
        <v>107.801712328767</v>
      </c>
      <c r="H94" s="8" t="n">
        <f aca="false">SUM(E94:G94)</f>
        <v>323.405136986301</v>
      </c>
    </row>
    <row r="95" customFormat="false" ht="14.25" hidden="false" customHeight="false" outlineLevel="0" collapsed="false">
      <c r="C95" s="6" t="s">
        <v>114</v>
      </c>
      <c r="D95" s="2" t="s">
        <v>85</v>
      </c>
      <c r="E95" s="8" t="n">
        <f aca="false">E61+E67+E69</f>
        <v>809.317994431087</v>
      </c>
      <c r="F95" s="8" t="n">
        <f aca="false">F61+F67+F69</f>
        <v>859.317994431087</v>
      </c>
      <c r="G95" s="8" t="n">
        <f aca="false">G61+G67+G69</f>
        <v>859.317994431087</v>
      </c>
      <c r="H95" s="8" t="n">
        <f aca="false">SUM(E95:G95)</f>
        <v>2527.95398329326</v>
      </c>
    </row>
    <row r="96" customFormat="false" ht="14.25" hidden="false" customHeight="false" outlineLevel="0" collapsed="false">
      <c r="C96" s="1" t="s">
        <v>115</v>
      </c>
      <c r="D96" s="2" t="s">
        <v>85</v>
      </c>
      <c r="E96" s="34" t="n">
        <f aca="false">E91+SUM(E92:E95)</f>
        <v>60660.7517670338</v>
      </c>
      <c r="F96" s="34" t="n">
        <f aca="false">F91+SUM(F92:F95)</f>
        <v>77435.8772410064</v>
      </c>
      <c r="G96" s="34" t="n">
        <f aca="false">G91+SUM(G92:G95)</f>
        <v>77435.8772410064</v>
      </c>
      <c r="H96" s="34" t="n">
        <f aca="false">SUM(E96:G96)</f>
        <v>215532.506249047</v>
      </c>
    </row>
    <row r="97" customFormat="false" ht="14.25" hidden="false" customHeight="false" outlineLevel="0" collapsed="false">
      <c r="C97" s="6" t="s">
        <v>116</v>
      </c>
      <c r="D97" s="2" t="s">
        <v>42</v>
      </c>
      <c r="E97" s="17" t="n">
        <f aca="false">E96/E46</f>
        <v>1213.21503534068</v>
      </c>
      <c r="F97" s="17" t="n">
        <f aca="false">F96/F46</f>
        <v>1106.22681772866</v>
      </c>
      <c r="G97" s="17" t="n">
        <f aca="false">G96/G46</f>
        <v>1106.22681772866</v>
      </c>
      <c r="H97" s="17" t="n">
        <f aca="false">H96/H46</f>
        <v>1134.38161183709</v>
      </c>
    </row>
    <row r="98" s="39" customFormat="true" ht="14.25" hidden="false" customHeight="false" outlineLevel="0" collapsed="false">
      <c r="A98" s="0"/>
      <c r="B98" s="0"/>
      <c r="C98" s="6" t="s">
        <v>117</v>
      </c>
      <c r="D98" s="2" t="s">
        <v>18</v>
      </c>
      <c r="E98" s="17" t="n">
        <f aca="false">E96/E6</f>
        <v>1213.21503534068</v>
      </c>
      <c r="F98" s="17" t="n">
        <f aca="false">F96/F6</f>
        <v>1548.71754482013</v>
      </c>
      <c r="G98" s="17" t="n">
        <f aca="false">G96/G6</f>
        <v>1548.71754482013</v>
      </c>
      <c r="H98" s="17" t="n">
        <f aca="false">H96/H6</f>
        <v>1436.88337499364</v>
      </c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</row>
    <row r="100" customFormat="false" ht="14.25" hidden="false" customHeight="false" outlineLevel="0" collapsed="false">
      <c r="B100" s="4" t="s">
        <v>3</v>
      </c>
      <c r="C100" s="4" t="s">
        <v>118</v>
      </c>
      <c r="D100" s="4"/>
      <c r="E100" s="5" t="s">
        <v>5</v>
      </c>
      <c r="F100" s="5" t="s">
        <v>6</v>
      </c>
      <c r="G100" s="5" t="s">
        <v>7</v>
      </c>
      <c r="H100" s="5" t="s">
        <v>8</v>
      </c>
    </row>
    <row r="101" customFormat="false" ht="14.25" hidden="false" customHeight="false" outlineLevel="0" collapsed="false">
      <c r="C101" s="6" t="s">
        <v>119</v>
      </c>
      <c r="D101" s="2" t="s">
        <v>85</v>
      </c>
      <c r="E101" s="17" t="n">
        <f aca="false">E68</f>
        <v>107.801712328767</v>
      </c>
      <c r="F101" s="17" t="n">
        <f aca="false">F68</f>
        <v>107.801712328767</v>
      </c>
      <c r="G101" s="17" t="n">
        <f aca="false">G68</f>
        <v>107.801712328767</v>
      </c>
      <c r="H101" s="17" t="n">
        <f aca="false">SUM(E101:G101)</f>
        <v>323.405136986301</v>
      </c>
    </row>
    <row r="102" customFormat="false" ht="14.25" hidden="false" customHeight="false" outlineLevel="0" collapsed="false">
      <c r="C102" s="6" t="s">
        <v>120</v>
      </c>
      <c r="D102" s="2" t="s">
        <v>85</v>
      </c>
      <c r="E102" s="17" t="n">
        <f aca="false">E67</f>
        <v>701.098816348896</v>
      </c>
      <c r="F102" s="17" t="n">
        <f aca="false">F67</f>
        <v>701.098816348896</v>
      </c>
      <c r="G102" s="17" t="n">
        <f aca="false">G67</f>
        <v>701.098816348896</v>
      </c>
      <c r="H102" s="17" t="n">
        <f aca="false">SUM(E102:G102)</f>
        <v>2103.29644904669</v>
      </c>
    </row>
    <row r="103" customFormat="false" ht="14.25" hidden="false" customHeight="false" outlineLevel="0" collapsed="false">
      <c r="C103" s="1" t="s">
        <v>121</v>
      </c>
      <c r="D103" s="2" t="s">
        <v>85</v>
      </c>
      <c r="E103" s="19" t="n">
        <f aca="false">SUM(E101:E102)</f>
        <v>808.900528677663</v>
      </c>
      <c r="F103" s="19" t="n">
        <f aca="false">SUM(F101:F102)</f>
        <v>808.900528677663</v>
      </c>
      <c r="G103" s="19" t="n">
        <f aca="false">SUM(G101:G102)</f>
        <v>808.900528677663</v>
      </c>
      <c r="H103" s="19" t="n">
        <f aca="false">SUM(E103:G103)</f>
        <v>2426.70158603299</v>
      </c>
    </row>
    <row r="105" customFormat="false" ht="14.25" hidden="false" customHeight="false" outlineLevel="0" collapsed="false">
      <c r="A105" s="39"/>
      <c r="B105" s="40" t="s">
        <v>3</v>
      </c>
      <c r="C105" s="41" t="s">
        <v>122</v>
      </c>
      <c r="D105" s="40"/>
      <c r="E105" s="42" t="s">
        <v>5</v>
      </c>
      <c r="F105" s="42" t="s">
        <v>6</v>
      </c>
      <c r="G105" s="42" t="s">
        <v>7</v>
      </c>
      <c r="H105" s="42" t="s">
        <v>8</v>
      </c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</row>
    <row r="106" customFormat="false" ht="14.25" hidden="false" customHeight="false" outlineLevel="0" collapsed="false">
      <c r="C106" s="43" t="s">
        <v>123</v>
      </c>
      <c r="D106" s="44"/>
      <c r="E106" s="45"/>
      <c r="F106" s="45"/>
      <c r="G106" s="45"/>
      <c r="H106" s="45"/>
    </row>
    <row r="107" customFormat="false" ht="14.25" hidden="false" customHeight="false" outlineLevel="0" collapsed="false">
      <c r="C107" s="6" t="s">
        <v>124</v>
      </c>
      <c r="D107" s="2" t="s">
        <v>85</v>
      </c>
      <c r="E107" s="33" t="n">
        <f aca="false">E229</f>
        <v>10089.6937041096</v>
      </c>
      <c r="F107" s="8" t="n">
        <f aca="false">F229</f>
        <v>3359.81917808219</v>
      </c>
      <c r="G107" s="8" t="n">
        <f aca="false">G229</f>
        <v>3359.81917808219</v>
      </c>
      <c r="H107" s="8" t="n">
        <f aca="false">SUM(E107:G107)</f>
        <v>16809.332060274</v>
      </c>
    </row>
    <row r="108" customFormat="false" ht="14.25" hidden="false" customHeight="false" outlineLevel="0" collapsed="false">
      <c r="C108" s="46" t="s">
        <v>125</v>
      </c>
      <c r="D108" s="47" t="s">
        <v>85</v>
      </c>
      <c r="E108" s="48" t="n">
        <f aca="false">E236</f>
        <v>2839.58546018451</v>
      </c>
      <c r="F108" s="48" t="n">
        <f aca="false">F236</f>
        <v>3993.69504922561</v>
      </c>
      <c r="G108" s="48" t="n">
        <f aca="false">G236</f>
        <v>3993.69504922561</v>
      </c>
      <c r="H108" s="48" t="n">
        <f aca="false">SUM(E108:G108)</f>
        <v>10826.9755586357</v>
      </c>
    </row>
    <row r="109" customFormat="false" ht="14.25" hidden="false" customHeight="false" outlineLevel="0" collapsed="false">
      <c r="C109" s="6" t="s">
        <v>126</v>
      </c>
      <c r="D109" s="2" t="s">
        <v>85</v>
      </c>
      <c r="E109" s="8" t="n">
        <f aca="false">E282</f>
        <v>7264.5996566333</v>
      </c>
      <c r="F109" s="8" t="n">
        <f aca="false">F282</f>
        <v>10360.9589041096</v>
      </c>
      <c r="G109" s="8" t="n">
        <f aca="false">G282</f>
        <v>10360.9589041096</v>
      </c>
      <c r="H109" s="8" t="n">
        <f aca="false">SUM(E109:G109)</f>
        <v>27986.5174648525</v>
      </c>
    </row>
    <row r="110" customFormat="false" ht="14.25" hidden="false" customHeight="false" outlineLevel="0" collapsed="false">
      <c r="C110" s="6" t="s">
        <v>127</v>
      </c>
      <c r="D110" s="2" t="s">
        <v>85</v>
      </c>
      <c r="E110" s="8" t="n">
        <f aca="false">E283</f>
        <v>4425.01419644878</v>
      </c>
      <c r="F110" s="8" t="n">
        <f aca="false">F283</f>
        <v>6367.26385488398</v>
      </c>
      <c r="G110" s="8" t="n">
        <f aca="false">G283</f>
        <v>6367.26385488398</v>
      </c>
      <c r="H110" s="8" t="n">
        <f aca="false">SUM(E110:G110)</f>
        <v>17159.5419062168</v>
      </c>
    </row>
    <row r="111" customFormat="false" ht="14.25" hidden="false" customHeight="false" outlineLevel="0" collapsed="false">
      <c r="C111" s="46" t="s">
        <v>128</v>
      </c>
      <c r="D111" s="47" t="s">
        <v>85</v>
      </c>
      <c r="E111" s="48" t="n">
        <f aca="false">E285</f>
        <v>4425.01419644878</v>
      </c>
      <c r="F111" s="48" t="n">
        <f aca="false">F285</f>
        <v>6367.26385488398</v>
      </c>
      <c r="G111" s="48" t="n">
        <f aca="false">G285</f>
        <v>6367.26385488398</v>
      </c>
      <c r="H111" s="48" t="n">
        <f aca="false">SUM(E111:G111)</f>
        <v>17159.5419062168</v>
      </c>
    </row>
    <row r="112" customFormat="false" ht="14.25" hidden="false" customHeight="false" outlineLevel="0" collapsed="false">
      <c r="C112" s="6" t="s">
        <v>129</v>
      </c>
      <c r="D112" s="2" t="s">
        <v>3</v>
      </c>
      <c r="E112" s="49" t="n">
        <f aca="false">E286</f>
        <v>2.55833105166036</v>
      </c>
      <c r="F112" s="49" t="n">
        <f aca="false">F286</f>
        <v>2.59432900519498</v>
      </c>
      <c r="G112" s="49" t="n">
        <f aca="false">G286</f>
        <v>2.59432900519498</v>
      </c>
      <c r="H112" s="49" t="n">
        <f aca="false">H286</f>
        <v>2.58488783994068</v>
      </c>
    </row>
    <row r="113" customFormat="false" ht="14.25" hidden="false" customHeight="false" outlineLevel="0" collapsed="false">
      <c r="C113" s="6" t="s">
        <v>130</v>
      </c>
      <c r="D113" s="2" t="s">
        <v>12</v>
      </c>
      <c r="E113" s="50" t="n">
        <f aca="false">E287</f>
        <v>0.805289929233246</v>
      </c>
      <c r="F113" s="50" t="n">
        <f aca="false">F287</f>
        <v>0.785257971985715</v>
      </c>
      <c r="G113" s="50" t="n">
        <f aca="false">G287</f>
        <v>0.785257971985715</v>
      </c>
    </row>
    <row r="114" customFormat="false" ht="14.25" hidden="false" customHeight="false" outlineLevel="0" collapsed="false">
      <c r="C114" s="43" t="s">
        <v>131</v>
      </c>
      <c r="D114" s="44"/>
      <c r="E114" s="45"/>
      <c r="F114" s="45"/>
      <c r="G114" s="45"/>
      <c r="H114" s="45"/>
    </row>
    <row r="115" customFormat="false" ht="14.25" hidden="false" customHeight="false" outlineLevel="0" collapsed="false">
      <c r="C115" s="46" t="s">
        <v>125</v>
      </c>
      <c r="D115" s="47" t="s">
        <v>85</v>
      </c>
      <c r="E115" s="48" t="n">
        <f aca="false">E70</f>
        <v>13013.6627259379</v>
      </c>
      <c r="F115" s="48" t="n">
        <f aca="false">F70</f>
        <v>7437.89778895163</v>
      </c>
      <c r="G115" s="48" t="n">
        <f aca="false">G70</f>
        <v>7437.89778895163</v>
      </c>
      <c r="H115" s="48" t="n">
        <f aca="false">SUM(E115:G115)</f>
        <v>27889.4583038412</v>
      </c>
    </row>
    <row r="116" customFormat="false" ht="14.25" hidden="false" customHeight="false" outlineLevel="0" collapsed="false">
      <c r="C116" s="6" t="s">
        <v>126</v>
      </c>
      <c r="D116" s="2" t="s">
        <v>85</v>
      </c>
      <c r="E116" s="8" t="n">
        <f aca="false">E223</f>
        <v>17634.5746698208</v>
      </c>
      <c r="F116" s="8" t="n">
        <f aca="false">F223</f>
        <v>13720.7780821918</v>
      </c>
      <c r="G116" s="8" t="n">
        <f aca="false">G223</f>
        <v>13720.7780821918</v>
      </c>
      <c r="H116" s="8" t="n">
        <f aca="false">SUM(E116:G116)</f>
        <v>45076.1308342044</v>
      </c>
    </row>
    <row r="117" customFormat="false" ht="14.25" hidden="false" customHeight="false" outlineLevel="0" collapsed="false">
      <c r="C117" s="6" t="s">
        <v>127</v>
      </c>
      <c r="D117" s="2" t="s">
        <v>85</v>
      </c>
      <c r="E117" s="8" t="n">
        <f aca="false">E224</f>
        <v>4620.91194388288</v>
      </c>
      <c r="F117" s="8" t="n">
        <f aca="false">F224</f>
        <v>6282.88029324015</v>
      </c>
      <c r="G117" s="8" t="n">
        <f aca="false">G224</f>
        <v>6282.88029324015</v>
      </c>
      <c r="H117" s="8" t="n">
        <f aca="false">SUM(E117:G117)</f>
        <v>17186.6725303632</v>
      </c>
    </row>
    <row r="118" customFormat="false" ht="14.25" hidden="false" customHeight="false" outlineLevel="0" collapsed="false">
      <c r="C118" s="46" t="s">
        <v>128</v>
      </c>
      <c r="D118" s="47" t="s">
        <v>85</v>
      </c>
      <c r="E118" s="48" t="n">
        <f aca="false">E226</f>
        <v>4620.91194388288</v>
      </c>
      <c r="F118" s="51" t="n">
        <f aca="false">F226</f>
        <v>6282.88029324015</v>
      </c>
      <c r="G118" s="48" t="n">
        <f aca="false">G226</f>
        <v>6282.88029324015</v>
      </c>
      <c r="H118" s="15" t="n">
        <f aca="false">SUM(E118:G118)</f>
        <v>17186.6725303632</v>
      </c>
    </row>
    <row r="119" customFormat="false" ht="14.25" hidden="false" customHeight="false" outlineLevel="0" collapsed="false">
      <c r="C119" s="6" t="s">
        <v>129</v>
      </c>
      <c r="D119" s="2" t="s">
        <v>3</v>
      </c>
      <c r="E119" s="49" t="n">
        <f aca="false">SUMIF(E214:E223,"&gt;0")/-SUMIF(E214:E223,"&lt;0")</f>
        <v>1.35508158165747</v>
      </c>
      <c r="F119" s="49" t="n">
        <f aca="false">SUMIF(F214:F223,"&gt;0")/-SUMIF(F214:F223,"&lt;0")</f>
        <v>1.84471183545609</v>
      </c>
      <c r="G119" s="49" t="n">
        <f aca="false">SUMIF(G214:G223,"&gt;0")/-SUMIF(G214:G223,"&lt;0")</f>
        <v>1.84471183545609</v>
      </c>
      <c r="H119" s="49" t="n">
        <f aca="false">SUMIF(H214:H223,"&gt;0")/-SUMIF(H214:H223,"&lt;0")</f>
        <v>1.61624260834052</v>
      </c>
    </row>
    <row r="120" customFormat="false" ht="14.25" hidden="false" customHeight="false" outlineLevel="0" collapsed="false">
      <c r="C120" s="6" t="s">
        <v>130</v>
      </c>
      <c r="D120" s="2" t="s">
        <v>12</v>
      </c>
      <c r="E120" s="50" t="n">
        <f aca="false">XIRR(E214:E223,J214:J223)</f>
        <v>0.245357076363263</v>
      </c>
      <c r="F120" s="52" t="n">
        <f aca="false">XIRR(F214:F223,K214:K223)</f>
        <v>0.364670367044555</v>
      </c>
      <c r="G120" s="50" t="n">
        <f aca="false">XIRR(G214:G223,L214:L223)</f>
        <v>0.364670367044555</v>
      </c>
    </row>
    <row r="121" customFormat="false" ht="14.25" hidden="false" customHeight="false" outlineLevel="0" collapsed="false">
      <c r="C121" s="43" t="s">
        <v>132</v>
      </c>
      <c r="D121" s="44"/>
      <c r="E121" s="45"/>
      <c r="F121" s="45"/>
      <c r="G121" s="45"/>
      <c r="H121" s="45"/>
    </row>
    <row r="122" customFormat="false" ht="14.25" hidden="false" customHeight="false" outlineLevel="0" collapsed="false">
      <c r="C122" s="6" t="s">
        <v>110</v>
      </c>
      <c r="D122" s="2" t="s">
        <v>85</v>
      </c>
      <c r="E122" s="8" t="n">
        <f aca="false">E91</f>
        <v>48037.5</v>
      </c>
      <c r="F122" s="8" t="n">
        <f aca="false">F91</f>
        <v>69992.5</v>
      </c>
      <c r="G122" s="8" t="n">
        <f aca="false">G91</f>
        <v>69992.5</v>
      </c>
      <c r="H122" s="8" t="n">
        <f aca="false">SUM(E122:G122)</f>
        <v>188022.5</v>
      </c>
    </row>
    <row r="123" customFormat="false" ht="14.25" hidden="false" customHeight="false" outlineLevel="0" collapsed="false">
      <c r="C123" s="6" t="s">
        <v>133</v>
      </c>
      <c r="D123" s="2" t="s">
        <v>85</v>
      </c>
      <c r="E123" s="8" t="n">
        <f aca="false">E92</f>
        <v>10706.132060274</v>
      </c>
      <c r="F123" s="8" t="n">
        <f aca="false">F92</f>
        <v>3976.25753424658</v>
      </c>
      <c r="G123" s="8" t="n">
        <f aca="false">G92</f>
        <v>3976.25753424658</v>
      </c>
      <c r="H123" s="8" t="n">
        <f aca="false">SUM(E123:G123)</f>
        <v>18658.6471287671</v>
      </c>
    </row>
    <row r="124" customFormat="false" ht="14.25" hidden="false" customHeight="false" outlineLevel="0" collapsed="false">
      <c r="C124" s="6" t="s">
        <v>112</v>
      </c>
      <c r="D124" s="2" t="s">
        <v>85</v>
      </c>
      <c r="E124" s="8" t="n">
        <f aca="false">E93</f>
        <v>1000</v>
      </c>
      <c r="F124" s="8" t="n">
        <f aca="false">F93</f>
        <v>2500</v>
      </c>
      <c r="G124" s="8" t="n">
        <f aca="false">G93</f>
        <v>2500</v>
      </c>
      <c r="H124" s="8" t="n">
        <f aca="false">SUM(E124:G124)</f>
        <v>6000</v>
      </c>
    </row>
    <row r="125" customFormat="false" ht="14.25" hidden="false" customHeight="false" outlineLevel="0" collapsed="false">
      <c r="C125" s="6" t="s">
        <v>119</v>
      </c>
      <c r="D125" s="2" t="s">
        <v>85</v>
      </c>
      <c r="E125" s="8" t="n">
        <f aca="false">E68</f>
        <v>107.801712328767</v>
      </c>
      <c r="F125" s="8" t="n">
        <f aca="false">F68</f>
        <v>107.801712328767</v>
      </c>
      <c r="G125" s="8" t="n">
        <f aca="false">G68</f>
        <v>107.801712328767</v>
      </c>
      <c r="H125" s="8" t="n">
        <f aca="false">SUM(E125:G125)</f>
        <v>323.405136986301</v>
      </c>
    </row>
    <row r="126" customFormat="false" ht="14.25" hidden="false" customHeight="false" outlineLevel="0" collapsed="false">
      <c r="C126" s="6" t="s">
        <v>114</v>
      </c>
      <c r="D126" s="2" t="s">
        <v>85</v>
      </c>
      <c r="E126" s="8" t="n">
        <f aca="false">E95</f>
        <v>809.317994431087</v>
      </c>
      <c r="F126" s="8" t="n">
        <f aca="false">F95</f>
        <v>859.317994431087</v>
      </c>
      <c r="G126" s="8" t="n">
        <f aca="false">G95</f>
        <v>859.317994431087</v>
      </c>
      <c r="H126" s="8" t="n">
        <f aca="false">SUM(E126:G126)</f>
        <v>2527.95398329326</v>
      </c>
    </row>
    <row r="127" customFormat="false" ht="14.25" hidden="false" customHeight="false" outlineLevel="0" collapsed="false">
      <c r="C127" s="6" t="s">
        <v>134</v>
      </c>
      <c r="D127" s="2" t="s">
        <v>85</v>
      </c>
      <c r="E127" s="8" t="n">
        <f aca="false">0</f>
        <v>0</v>
      </c>
      <c r="F127" s="8" t="n">
        <f aca="false">0</f>
        <v>0</v>
      </c>
      <c r="G127" s="8" t="n">
        <f aca="false">0</f>
        <v>0</v>
      </c>
      <c r="H127" s="8" t="n">
        <f aca="false">SUM(E127:G127)</f>
        <v>0</v>
      </c>
    </row>
    <row r="128" customFormat="false" ht="14.25" hidden="false" customHeight="false" outlineLevel="0" collapsed="false">
      <c r="C128" s="6" t="s">
        <v>135</v>
      </c>
      <c r="D128" s="2" t="s">
        <v>85</v>
      </c>
      <c r="E128" s="8" t="n">
        <f aca="false">0</f>
        <v>0</v>
      </c>
      <c r="F128" s="8" t="n">
        <f aca="false">0</f>
        <v>0</v>
      </c>
      <c r="G128" s="8" t="n">
        <f aca="false">0</f>
        <v>0</v>
      </c>
      <c r="H128" s="8" t="n">
        <f aca="false">SUM(E128:G128)</f>
        <v>0</v>
      </c>
    </row>
    <row r="129" customFormat="false" ht="14.25" hidden="false" customHeight="false" outlineLevel="0" collapsed="false">
      <c r="C129" s="6" t="s">
        <v>136</v>
      </c>
      <c r="D129" s="2" t="s">
        <v>85</v>
      </c>
      <c r="E129" s="8" t="n">
        <f aca="false">-$H$323</f>
        <v>7500</v>
      </c>
      <c r="F129" s="8" t="n">
        <f aca="false">-$H$355</f>
        <v>7500</v>
      </c>
      <c r="G129" s="8" t="n">
        <f aca="false">-$H$387</f>
        <v>7500</v>
      </c>
      <c r="H129" s="8" t="n">
        <f aca="false">SUM(E129:G129)</f>
        <v>22500</v>
      </c>
    </row>
    <row r="130" customFormat="false" ht="14.25" hidden="false" customHeight="false" outlineLevel="0" collapsed="false">
      <c r="C130" s="1" t="s">
        <v>137</v>
      </c>
      <c r="D130" s="53" t="s">
        <v>85</v>
      </c>
      <c r="E130" s="15" t="n">
        <f aca="false">SUM(E122:E129)</f>
        <v>68160.7517670338</v>
      </c>
      <c r="F130" s="15" t="n">
        <f aca="false">SUM(F122:F129)</f>
        <v>84935.8772410064</v>
      </c>
      <c r="G130" s="15" t="n">
        <f aca="false">SUM(G122:G129)</f>
        <v>84935.8772410064</v>
      </c>
      <c r="H130" s="15" t="n">
        <f aca="false">SUM(E130:G130)</f>
        <v>238032.506249047</v>
      </c>
    </row>
    <row r="131" customFormat="false" ht="14.25" hidden="false" customHeight="false" outlineLevel="0" collapsed="false">
      <c r="C131" s="6" t="s">
        <v>138</v>
      </c>
      <c r="D131" s="2" t="s">
        <v>85</v>
      </c>
      <c r="E131" s="8" t="n">
        <f aca="false">$H$322</f>
        <v>96859.9875751141</v>
      </c>
      <c r="F131" s="8" t="n">
        <f aca="false">$H$354</f>
        <v>130416.00131392</v>
      </c>
      <c r="G131" s="8" t="n">
        <f aca="false">$H$386</f>
        <v>130416.00131392</v>
      </c>
      <c r="H131" s="8" t="n">
        <f aca="false">SUM(E131:G131)</f>
        <v>357691.990202953</v>
      </c>
    </row>
    <row r="132" customFormat="false" ht="14.25" hidden="false" customHeight="false" outlineLevel="0" collapsed="false">
      <c r="C132" s="6" t="s">
        <v>127</v>
      </c>
      <c r="D132" s="2" t="s">
        <v>85</v>
      </c>
      <c r="E132" s="8" t="n">
        <f aca="false">$H$324</f>
        <v>28699.2358080803</v>
      </c>
      <c r="F132" s="8" t="n">
        <f aca="false">$H$356</f>
        <v>45480.1240729131</v>
      </c>
      <c r="G132" s="8" t="n">
        <f aca="false">$H$388</f>
        <v>45480.1240729131</v>
      </c>
      <c r="H132" s="8" t="n">
        <f aca="false">SUM(E132:G132)</f>
        <v>119659.483953906</v>
      </c>
      <c r="J132" s="54"/>
    </row>
    <row r="133" customFormat="false" ht="14.25" hidden="false" customHeight="false" outlineLevel="0" collapsed="false">
      <c r="C133" s="1" t="s">
        <v>128</v>
      </c>
      <c r="D133" s="2" t="s">
        <v>85</v>
      </c>
      <c r="E133" s="15" t="n">
        <f aca="false">E392</f>
        <v>28699.2358080803</v>
      </c>
      <c r="F133" s="15" t="n">
        <f aca="false">F392</f>
        <v>45480.1240729131</v>
      </c>
      <c r="G133" s="15" t="n">
        <f aca="false">G392</f>
        <v>45480.1240729131</v>
      </c>
      <c r="H133" s="15" t="n">
        <f aca="false">SUM(E133:G133)</f>
        <v>119659.483953906</v>
      </c>
    </row>
    <row r="134" customFormat="false" ht="14.25" hidden="false" customHeight="false" outlineLevel="0" collapsed="false">
      <c r="C134" s="6" t="s">
        <v>129</v>
      </c>
      <c r="D134" s="2" t="s">
        <v>3</v>
      </c>
      <c r="E134" s="49" t="n">
        <f aca="false">SUMIF($J$324:$AS$324,"&gt;0")/-SUMIF($J$324:$AS$324,"&lt;0")</f>
        <v>1.5075756703553</v>
      </c>
      <c r="F134" s="49" t="n">
        <f aca="false">SUMIF($J$356:$AS$356,"&gt;0")/-SUMIF($J$356:$AS$356,"&lt;0")</f>
        <v>1.67445634251801</v>
      </c>
      <c r="G134" s="49" t="n">
        <f aca="false">SUMIF($J$388:$AS$388,"&gt;0")/-SUMIF($J$388:$AS$388,"&lt;0")</f>
        <v>1.67445634251801</v>
      </c>
    </row>
    <row r="135" customFormat="false" ht="14.25" hidden="false" customHeight="false" outlineLevel="0" collapsed="false">
      <c r="C135" s="6" t="s">
        <v>130</v>
      </c>
      <c r="D135" s="2" t="s">
        <v>12</v>
      </c>
      <c r="E135" s="50" t="n">
        <f aca="false">XIRR($J$324:$AS$324,$J$292:$AS$292)</f>
        <v>0.233917827888654</v>
      </c>
      <c r="F135" s="50" t="n">
        <f aca="false">XIRR($J$356:$AS$356,$J$292:$AS$292)</f>
        <v>0.335425342636051</v>
      </c>
      <c r="G135" s="50" t="n">
        <f aca="false">XIRR($J$388:$AS$388,$J$292:$AS$292)</f>
        <v>0.335425342636051</v>
      </c>
    </row>
    <row r="136" customFormat="false" ht="14.25" hidden="false" customHeight="false" outlineLevel="0" collapsed="false">
      <c r="C136" s="43" t="s">
        <v>139</v>
      </c>
      <c r="D136" s="44"/>
      <c r="E136" s="45"/>
      <c r="F136" s="45"/>
      <c r="G136" s="45"/>
      <c r="H136" s="45"/>
    </row>
    <row r="137" customFormat="false" ht="14.25" hidden="false" customHeight="false" outlineLevel="0" collapsed="false">
      <c r="C137" s="6" t="s">
        <v>140</v>
      </c>
      <c r="D137" s="2" t="s">
        <v>85</v>
      </c>
      <c r="E137" s="8" t="n">
        <f aca="false">E96</f>
        <v>60660.7517670338</v>
      </c>
      <c r="F137" s="8" t="n">
        <f aca="false">F96</f>
        <v>77435.8772410064</v>
      </c>
      <c r="G137" s="8" t="n">
        <f aca="false">G96</f>
        <v>77435.8772410064</v>
      </c>
      <c r="H137" s="8" t="n">
        <f aca="false">SUM(E137:G137)</f>
        <v>215532.506249047</v>
      </c>
    </row>
    <row r="138" customFormat="false" ht="14.25" hidden="false" customHeight="false" outlineLevel="0" collapsed="false">
      <c r="C138" s="6" t="s">
        <v>141</v>
      </c>
      <c r="D138" s="2" t="s">
        <v>85</v>
      </c>
      <c r="E138" s="8" t="n">
        <f aca="false">$H$309</f>
        <v>354071.972801154</v>
      </c>
      <c r="F138" s="8" t="n">
        <f aca="false">$H$341</f>
        <v>495700.761921616</v>
      </c>
      <c r="G138" s="8" t="n">
        <f aca="false">$H$373</f>
        <v>495700.761921616</v>
      </c>
      <c r="H138" s="8" t="n">
        <f aca="false">SUM(E138:G138)</f>
        <v>1345473.49664439</v>
      </c>
    </row>
    <row r="139" customFormat="false" ht="14.25" hidden="false" customHeight="false" outlineLevel="0" collapsed="false">
      <c r="C139" s="6" t="s">
        <v>142</v>
      </c>
      <c r="D139" s="2" t="s">
        <v>85</v>
      </c>
      <c r="E139" s="8" t="n">
        <f aca="false">$H$318</f>
        <v>-93722.6771745354</v>
      </c>
      <c r="F139" s="8" t="n">
        <f aca="false">$H$350</f>
        <v>-144722.966548392</v>
      </c>
      <c r="G139" s="8" t="n">
        <f aca="false">$H$382</f>
        <v>-144722.966548392</v>
      </c>
      <c r="H139" s="8" t="n">
        <f aca="false">SUM(E139:G139)</f>
        <v>-383168.610271319</v>
      </c>
    </row>
    <row r="140" customFormat="false" ht="14.25" hidden="false" customHeight="false" outlineLevel="0" collapsed="false">
      <c r="C140" s="6" t="s">
        <v>143</v>
      </c>
      <c r="D140" s="2" t="s">
        <v>85</v>
      </c>
      <c r="E140" s="8" t="n">
        <f aca="false">$H$319</f>
        <v>260349.295626619</v>
      </c>
      <c r="F140" s="8" t="n">
        <f aca="false">$H$351</f>
        <v>350977.795373224</v>
      </c>
      <c r="G140" s="8" t="n">
        <f aca="false">$H$383</f>
        <v>350977.795373224</v>
      </c>
      <c r="H140" s="8" t="n">
        <f aca="false">SUM(E140:G140)</f>
        <v>962304.886373067</v>
      </c>
    </row>
    <row r="141" customFormat="false" ht="14.25" hidden="false" customHeight="false" outlineLevel="0" collapsed="false">
      <c r="C141" s="1" t="s">
        <v>144</v>
      </c>
      <c r="D141" s="2" t="s">
        <v>12</v>
      </c>
      <c r="E141" s="55" t="n">
        <f aca="false">XIRR($J$320:$AS$320,$J$292:$AS$292)</f>
        <v>0.120760181319516</v>
      </c>
      <c r="F141" s="55" t="n">
        <f aca="false">XIRR($J$352:$AS$352,$J$292:$AS$292)</f>
        <v>0.130598824951277</v>
      </c>
      <c r="G141" s="55" t="n">
        <f aca="false">XIRR($J$384:$AS$384,$J$292:$AS$292)</f>
        <v>0.130598824951277</v>
      </c>
    </row>
    <row r="142" customFormat="false" ht="14.25" hidden="false" customHeight="false" outlineLevel="0" collapsed="false">
      <c r="C142" s="6" t="s">
        <v>145</v>
      </c>
      <c r="D142" s="2" t="s">
        <v>85</v>
      </c>
      <c r="E142" s="8" t="n">
        <f aca="false">XNPV(Discount_Rate,$J$320:$AS$320,$J$292:$AS$292)</f>
        <v>21914.2426284411</v>
      </c>
      <c r="F142" s="8" t="n">
        <f aca="false">XNPV(Discount_Rate,$J$352:$AS$352,$J$292:$AS$292)</f>
        <v>33795.4473504044</v>
      </c>
      <c r="G142" s="8" t="n">
        <f aca="false">XNPV(Discount_Rate,$J$384:$AS$384,$J$292:$AS$292)</f>
        <v>33795.4473504044</v>
      </c>
      <c r="H142" s="8" t="n">
        <f aca="false">SUM(E142:G142)</f>
        <v>89505.1373292499</v>
      </c>
    </row>
    <row r="144" customFormat="false" ht="14.25" hidden="false" customHeight="false" outlineLevel="0" collapsed="false">
      <c r="B144" s="4" t="s">
        <v>3</v>
      </c>
      <c r="C144" s="4" t="s">
        <v>146</v>
      </c>
      <c r="D144" s="4"/>
      <c r="E144" s="5"/>
      <c r="F144" s="5"/>
      <c r="G144" s="5"/>
      <c r="H144" s="5" t="s">
        <v>8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</row>
    <row r="145" customFormat="false" ht="14.25" hidden="false" customHeight="false" outlineLevel="0" collapsed="false">
      <c r="C145" s="6" t="s">
        <v>147</v>
      </c>
      <c r="D145" s="2" t="s">
        <v>148</v>
      </c>
      <c r="J145" s="56" t="n">
        <f aca="false">J291</f>
        <v>2026</v>
      </c>
      <c r="K145" s="56" t="n">
        <f aca="false">K291</f>
        <v>2027</v>
      </c>
      <c r="L145" s="56" t="n">
        <f aca="false">L291</f>
        <v>2028</v>
      </c>
      <c r="M145" s="56" t="n">
        <f aca="false">M291</f>
        <v>2029</v>
      </c>
      <c r="N145" s="56" t="n">
        <f aca="false">N291</f>
        <v>2030</v>
      </c>
      <c r="O145" s="56" t="n">
        <f aca="false">O291</f>
        <v>2031</v>
      </c>
      <c r="P145" s="56" t="n">
        <f aca="false">P291</f>
        <v>2032</v>
      </c>
      <c r="Q145" s="56" t="n">
        <f aca="false">Q291</f>
        <v>2033</v>
      </c>
      <c r="R145" s="56" t="n">
        <f aca="false">R291</f>
        <v>2034</v>
      </c>
      <c r="S145" s="56" t="n">
        <f aca="false">S291</f>
        <v>2035</v>
      </c>
      <c r="T145" s="56" t="n">
        <f aca="false">T291</f>
        <v>2036</v>
      </c>
      <c r="U145" s="56" t="n">
        <f aca="false">U291</f>
        <v>2037</v>
      </c>
      <c r="V145" s="56" t="n">
        <f aca="false">V291</f>
        <v>2038</v>
      </c>
      <c r="W145" s="56" t="n">
        <f aca="false">W291</f>
        <v>2039</v>
      </c>
      <c r="X145" s="56" t="n">
        <f aca="false">X291</f>
        <v>2040</v>
      </c>
      <c r="Y145" s="56" t="n">
        <f aca="false">Y291</f>
        <v>2041</v>
      </c>
      <c r="Z145" s="56" t="n">
        <f aca="false">Z291</f>
        <v>2042</v>
      </c>
      <c r="AA145" s="56" t="n">
        <f aca="false">AA291</f>
        <v>2043</v>
      </c>
      <c r="AB145" s="56" t="n">
        <f aca="false">AB291</f>
        <v>2044</v>
      </c>
      <c r="AC145" s="56" t="n">
        <f aca="false">AC291</f>
        <v>2045</v>
      </c>
      <c r="AD145" s="56" t="n">
        <f aca="false">AD291</f>
        <v>2046</v>
      </c>
      <c r="AE145" s="56" t="n">
        <f aca="false">AE291</f>
        <v>2047</v>
      </c>
      <c r="AF145" s="56" t="n">
        <f aca="false">AF291</f>
        <v>2048</v>
      </c>
      <c r="AG145" s="56" t="n">
        <f aca="false">AG291</f>
        <v>2049</v>
      </c>
      <c r="AH145" s="56" t="n">
        <f aca="false">AH291</f>
        <v>2050</v>
      </c>
      <c r="AI145" s="56" t="n">
        <f aca="false">AI291</f>
        <v>2051</v>
      </c>
      <c r="AJ145" s="56" t="n">
        <f aca="false">AJ291</f>
        <v>2052</v>
      </c>
      <c r="AK145" s="56" t="n">
        <f aca="false">AK291</f>
        <v>2053</v>
      </c>
      <c r="AL145" s="56" t="n">
        <f aca="false">AL291</f>
        <v>2054</v>
      </c>
      <c r="AM145" s="56" t="n">
        <f aca="false">AM291</f>
        <v>2055</v>
      </c>
      <c r="AN145" s="56" t="n">
        <f aca="false">AN291</f>
        <v>2056</v>
      </c>
      <c r="AO145" s="56" t="n">
        <f aca="false">AO291</f>
        <v>2057</v>
      </c>
      <c r="AP145" s="56" t="n">
        <f aca="false">AP291</f>
        <v>2058</v>
      </c>
      <c r="AQ145" s="56" t="n">
        <f aca="false">AQ291</f>
        <v>2059</v>
      </c>
      <c r="AR145" s="56" t="n">
        <f aca="false">AR291</f>
        <v>2060</v>
      </c>
      <c r="AS145" s="56" t="n">
        <f aca="false">AS291</f>
        <v>2061</v>
      </c>
    </row>
    <row r="147" customFormat="false" ht="14.25" hidden="false" customHeight="false" outlineLevel="0" collapsed="false">
      <c r="C147" s="44" t="s">
        <v>5</v>
      </c>
      <c r="D147" s="44"/>
      <c r="E147" s="45"/>
      <c r="F147" s="45"/>
      <c r="G147" s="45"/>
      <c r="H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</row>
    <row r="148" customFormat="false" ht="14.25" hidden="false" customHeight="false" outlineLevel="0" collapsed="false">
      <c r="C148" s="6" t="s">
        <v>149</v>
      </c>
      <c r="D148" s="2" t="s">
        <v>85</v>
      </c>
      <c r="H148" s="8" t="n">
        <f aca="false">SUM(J148:AS148)</f>
        <v>-60660.7517670338</v>
      </c>
      <c r="J148" s="8" t="n">
        <f aca="false">J305</f>
        <v>-386.301369863014</v>
      </c>
      <c r="K148" s="33" t="n">
        <f aca="false">K305</f>
        <v>-2429.86593963657</v>
      </c>
      <c r="L148" s="8" t="n">
        <f aca="false">L305</f>
        <v>-10197.4954164384</v>
      </c>
      <c r="M148" s="8" t="n">
        <f aca="false">M305</f>
        <v>-12009.375</v>
      </c>
      <c r="N148" s="8" t="n">
        <f aca="false">N305</f>
        <v>-24018.75</v>
      </c>
      <c r="O148" s="8" t="n">
        <f aca="false">O305</f>
        <v>-13009.375</v>
      </c>
      <c r="P148" s="8" t="n">
        <f aca="false">P305</f>
        <v>0</v>
      </c>
      <c r="Q148" s="8" t="n">
        <f aca="false">Q305</f>
        <v>1390.41095890411</v>
      </c>
      <c r="R148" s="8" t="n">
        <f aca="false">R305</f>
        <v>0</v>
      </c>
      <c r="S148" s="8" t="n">
        <f aca="false">S305</f>
        <v>0</v>
      </c>
      <c r="T148" s="8" t="n">
        <f aca="false">T305</f>
        <v>0</v>
      </c>
      <c r="U148" s="8" t="n">
        <f aca="false">U305</f>
        <v>0</v>
      </c>
      <c r="V148" s="8" t="n">
        <f aca="false">V305</f>
        <v>0</v>
      </c>
      <c r="W148" s="8" t="n">
        <f aca="false">W305</f>
        <v>0</v>
      </c>
      <c r="X148" s="8" t="n">
        <f aca="false">X305</f>
        <v>0</v>
      </c>
      <c r="Y148" s="8" t="n">
        <f aca="false">Y305</f>
        <v>0</v>
      </c>
      <c r="Z148" s="8" t="n">
        <f aca="false">Z305</f>
        <v>0</v>
      </c>
      <c r="AA148" s="8" t="n">
        <f aca="false">AA305</f>
        <v>0</v>
      </c>
      <c r="AB148" s="8" t="n">
        <f aca="false">AB305</f>
        <v>0</v>
      </c>
      <c r="AC148" s="8" t="n">
        <f aca="false">AC305</f>
        <v>0</v>
      </c>
      <c r="AD148" s="8" t="n">
        <f aca="false">AD305</f>
        <v>0</v>
      </c>
      <c r="AE148" s="8" t="n">
        <f aca="false">AE305</f>
        <v>0</v>
      </c>
      <c r="AF148" s="8" t="n">
        <f aca="false">AF305</f>
        <v>0</v>
      </c>
      <c r="AG148" s="8" t="n">
        <f aca="false">AG305</f>
        <v>0</v>
      </c>
      <c r="AH148" s="8" t="n">
        <f aca="false">AH305</f>
        <v>0</v>
      </c>
      <c r="AI148" s="8" t="n">
        <f aca="false">AI305</f>
        <v>0</v>
      </c>
      <c r="AJ148" s="8" t="n">
        <f aca="false">AJ305</f>
        <v>0</v>
      </c>
      <c r="AK148" s="8" t="n">
        <f aca="false">AK305</f>
        <v>0</v>
      </c>
      <c r="AL148" s="8" t="n">
        <f aca="false">AL305</f>
        <v>0</v>
      </c>
      <c r="AM148" s="8" t="n">
        <f aca="false">AM305</f>
        <v>0</v>
      </c>
      <c r="AN148" s="8" t="n">
        <f aca="false">AN305</f>
        <v>0</v>
      </c>
      <c r="AO148" s="8" t="n">
        <f aca="false">AO305</f>
        <v>0</v>
      </c>
      <c r="AP148" s="8" t="n">
        <f aca="false">AP305</f>
        <v>0</v>
      </c>
      <c r="AQ148" s="8" t="n">
        <f aca="false">AQ305</f>
        <v>0</v>
      </c>
      <c r="AR148" s="8" t="n">
        <f aca="false">AR305</f>
        <v>0</v>
      </c>
      <c r="AS148" s="8" t="n">
        <f aca="false">AS305</f>
        <v>0</v>
      </c>
    </row>
    <row r="149" customFormat="false" ht="14.25" hidden="false" customHeight="false" outlineLevel="0" collapsed="false">
      <c r="C149" s="6" t="s">
        <v>150</v>
      </c>
      <c r="D149" s="2" t="s">
        <v>85</v>
      </c>
      <c r="H149" s="8" t="n">
        <f aca="false">SUM(J149:AS149)</f>
        <v>354071.972801154</v>
      </c>
      <c r="J149" s="8" t="n">
        <f aca="false">J309</f>
        <v>0</v>
      </c>
      <c r="K149" s="8" t="n">
        <f aca="false">K309</f>
        <v>0</v>
      </c>
      <c r="L149" s="8" t="n">
        <f aca="false">L309</f>
        <v>0</v>
      </c>
      <c r="M149" s="8" t="n">
        <f aca="false">M309</f>
        <v>0</v>
      </c>
      <c r="N149" s="8" t="n">
        <f aca="false">N309</f>
        <v>0</v>
      </c>
      <c r="O149" s="8" t="n">
        <f aca="false">O309</f>
        <v>5292</v>
      </c>
      <c r="P149" s="8" t="n">
        <f aca="false">P309</f>
        <v>10689.84</v>
      </c>
      <c r="Q149" s="8" t="n">
        <f aca="false">Q309</f>
        <v>10764.3481848</v>
      </c>
      <c r="R149" s="8" t="n">
        <f aca="false">R309</f>
        <v>10839.3756916481</v>
      </c>
      <c r="S149" s="8" t="n">
        <f aca="false">S309</f>
        <v>10914.9261402188</v>
      </c>
      <c r="T149" s="8" t="n">
        <f aca="false">T309</f>
        <v>10991.0031754162</v>
      </c>
      <c r="U149" s="8" t="n">
        <f aca="false">U309</f>
        <v>11067.6104675488</v>
      </c>
      <c r="V149" s="8" t="n">
        <f aca="false">V309</f>
        <v>11144.7517125076</v>
      </c>
      <c r="W149" s="8" t="n">
        <f aca="false">W309</f>
        <v>11222.4306319438</v>
      </c>
      <c r="X149" s="8" t="n">
        <f aca="false">X309</f>
        <v>11300.6509734485</v>
      </c>
      <c r="Y149" s="8" t="n">
        <f aca="false">Y309</f>
        <v>11379.4165107334</v>
      </c>
      <c r="Z149" s="8" t="n">
        <f aca="false">Z309</f>
        <v>11458.7310438132</v>
      </c>
      <c r="AA149" s="8" t="n">
        <f aca="false">AA309</f>
        <v>11538.5983991886</v>
      </c>
      <c r="AB149" s="8" t="n">
        <f aca="false">AB309</f>
        <v>11619.0224300309</v>
      </c>
      <c r="AC149" s="8" t="n">
        <f aca="false">AC309</f>
        <v>11700.0070163682</v>
      </c>
      <c r="AD149" s="8" t="n">
        <f aca="false">AD309</f>
        <v>11781.5560652723</v>
      </c>
      <c r="AE149" s="8" t="n">
        <f aca="false">AE309</f>
        <v>11863.6735110473</v>
      </c>
      <c r="AF149" s="8" t="n">
        <f aca="false">AF309</f>
        <v>11946.3633154193</v>
      </c>
      <c r="AG149" s="8" t="n">
        <f aca="false">AG309</f>
        <v>12029.6294677278</v>
      </c>
      <c r="AH149" s="8" t="n">
        <f aca="false">AH309</f>
        <v>12113.4759851178</v>
      </c>
      <c r="AI149" s="8" t="n">
        <f aca="false">AI309</f>
        <v>12197.9069127341</v>
      </c>
      <c r="AJ149" s="8" t="n">
        <f aca="false">AJ309</f>
        <v>12282.9263239158</v>
      </c>
      <c r="AK149" s="8" t="n">
        <f aca="false">AK309</f>
        <v>12368.5383203935</v>
      </c>
      <c r="AL149" s="8" t="n">
        <f aca="false">AL309</f>
        <v>12454.7470324867</v>
      </c>
      <c r="AM149" s="8" t="n">
        <f aca="false">AM309</f>
        <v>12541.5566193031</v>
      </c>
      <c r="AN149" s="8" t="n">
        <f aca="false">AN309</f>
        <v>12628.9712689397</v>
      </c>
      <c r="AO149" s="8" t="n">
        <f aca="false">AO309</f>
        <v>12716.9951986842</v>
      </c>
      <c r="AP149" s="8" t="n">
        <f aca="false">AP309</f>
        <v>12805.632655219</v>
      </c>
      <c r="AQ149" s="8" t="n">
        <f aca="false">AQ309</f>
        <v>12894.8879148259</v>
      </c>
      <c r="AR149" s="8" t="n">
        <f aca="false">AR309</f>
        <v>12984.7652835922</v>
      </c>
      <c r="AS149" s="8" t="n">
        <f aca="false">AS309</f>
        <v>6537.63454880942</v>
      </c>
    </row>
    <row r="150" customFormat="false" ht="14.25" hidden="false" customHeight="false" outlineLevel="0" collapsed="false">
      <c r="C150" s="6" t="s">
        <v>151</v>
      </c>
      <c r="D150" s="2" t="s">
        <v>85</v>
      </c>
      <c r="H150" s="8" t="n">
        <f aca="false">SUM(J150:AS150)</f>
        <v>-93722.6771745354</v>
      </c>
      <c r="J150" s="8" t="n">
        <f aca="false">J318</f>
        <v>0</v>
      </c>
      <c r="K150" s="8" t="n">
        <f aca="false">K318</f>
        <v>0</v>
      </c>
      <c r="L150" s="8" t="n">
        <f aca="false">L318</f>
        <v>0</v>
      </c>
      <c r="M150" s="8" t="n">
        <f aca="false">M318</f>
        <v>0</v>
      </c>
      <c r="N150" s="8" t="n">
        <f aca="false">N318</f>
        <v>0</v>
      </c>
      <c r="O150" s="8" t="n">
        <f aca="false">O318</f>
        <v>-1096.0341</v>
      </c>
      <c r="P150" s="8" t="n">
        <f aca="false">P318</f>
        <v>-2243.528007</v>
      </c>
      <c r="Q150" s="8" t="n">
        <f aca="false">Q318</f>
        <v>-2293.61310854004</v>
      </c>
      <c r="R150" s="8" t="n">
        <f aca="false">R318</f>
        <v>-2344.87939407526</v>
      </c>
      <c r="S150" s="8" t="n">
        <f aca="false">S318</f>
        <v>-2397.35526066889</v>
      </c>
      <c r="T150" s="8" t="n">
        <f aca="false">T318</f>
        <v>-2451.06979342747</v>
      </c>
      <c r="U150" s="8" t="n">
        <f aca="false">U318</f>
        <v>-2506.05278224273</v>
      </c>
      <c r="V150" s="8" t="n">
        <f aca="false">V318</f>
        <v>-2562.33473894201</v>
      </c>
      <c r="W150" s="8" t="n">
        <f aca="false">W318</f>
        <v>-2619.94691485736</v>
      </c>
      <c r="X150" s="8" t="n">
        <f aca="false">X318</f>
        <v>-2678.92131882348</v>
      </c>
      <c r="Y150" s="8" t="n">
        <f aca="false">Y318</f>
        <v>-2739.29073561501</v>
      </c>
      <c r="Z150" s="8" t="n">
        <f aca="false">Z318</f>
        <v>-2801.08874483394</v>
      </c>
      <c r="AA150" s="8" t="n">
        <f aca="false">AA318</f>
        <v>-2864.34974025816</v>
      </c>
      <c r="AB150" s="8" t="n">
        <f aca="false">AB318</f>
        <v>-2929.10894966239</v>
      </c>
      <c r="AC150" s="8" t="n">
        <f aca="false">AC318</f>
        <v>-2995.40245512313</v>
      </c>
      <c r="AD150" s="8" t="n">
        <f aca="false">AD318</f>
        <v>-3063.26721381944</v>
      </c>
      <c r="AE150" s="8" t="n">
        <f aca="false">AE318</f>
        <v>-3132.7410793416</v>
      </c>
      <c r="AF150" s="8" t="n">
        <f aca="false">AF318</f>
        <v>-3203.86282352027</v>
      </c>
      <c r="AG150" s="8" t="n">
        <f aca="false">AG318</f>
        <v>-3276.67215878875</v>
      </c>
      <c r="AH150" s="8" t="n">
        <f aca="false">AH318</f>
        <v>-3351.20976109145</v>
      </c>
      <c r="AI150" s="8" t="n">
        <f aca="false">AI318</f>
        <v>-3427.51729335186</v>
      </c>
      <c r="AJ150" s="8" t="n">
        <f aca="false">AJ318</f>
        <v>-3505.63742951389</v>
      </c>
      <c r="AK150" s="8" t="n">
        <f aca="false">AK318</f>
        <v>-3585.61387917048</v>
      </c>
      <c r="AL150" s="8" t="n">
        <f aca="false">AL318</f>
        <v>-3667.49141279384</v>
      </c>
      <c r="AM150" s="8" t="n">
        <f aca="false">AM318</f>
        <v>-3751.31588758224</v>
      </c>
      <c r="AN150" s="8" t="n">
        <f aca="false">AN318</f>
        <v>-3837.13427393821</v>
      </c>
      <c r="AO150" s="8" t="n">
        <f aca="false">AO318</f>
        <v>-3924.99468259377</v>
      </c>
      <c r="AP150" s="8" t="n">
        <f aca="false">AP318</f>
        <v>-4014.94639239857</v>
      </c>
      <c r="AQ150" s="8" t="n">
        <f aca="false">AQ318</f>
        <v>-4107.039878787</v>
      </c>
      <c r="AR150" s="8" t="n">
        <f aca="false">AR318</f>
        <v>-4201.32684294109</v>
      </c>
      <c r="AS150" s="8" t="n">
        <f aca="false">AS318</f>
        <v>-2148.93012083305</v>
      </c>
    </row>
    <row r="151" customFormat="false" ht="14.25" hidden="false" customHeight="false" outlineLevel="0" collapsed="false">
      <c r="C151" s="6" t="s">
        <v>152</v>
      </c>
      <c r="D151" s="2" t="s">
        <v>85</v>
      </c>
      <c r="H151" s="8" t="n">
        <f aca="false">SUM(J151:AS151)</f>
        <v>260349.295626619</v>
      </c>
      <c r="J151" s="8" t="n">
        <f aca="false">J319</f>
        <v>0</v>
      </c>
      <c r="K151" s="8" t="n">
        <f aca="false">K319</f>
        <v>0</v>
      </c>
      <c r="L151" s="8" t="n">
        <f aca="false">L319</f>
        <v>0</v>
      </c>
      <c r="M151" s="8" t="n">
        <f aca="false">M319</f>
        <v>0</v>
      </c>
      <c r="N151" s="8" t="n">
        <f aca="false">N319</f>
        <v>0</v>
      </c>
      <c r="O151" s="8" t="n">
        <f aca="false">O319</f>
        <v>4195.9659</v>
      </c>
      <c r="P151" s="8" t="n">
        <f aca="false">P319</f>
        <v>8446.311993</v>
      </c>
      <c r="Q151" s="8" t="n">
        <f aca="false">Q319</f>
        <v>8470.73507625996</v>
      </c>
      <c r="R151" s="8" t="n">
        <f aca="false">R319</f>
        <v>8494.4962975728</v>
      </c>
      <c r="S151" s="8" t="n">
        <f aca="false">S319</f>
        <v>8517.57087954995</v>
      </c>
      <c r="T151" s="8" t="n">
        <f aca="false">T319</f>
        <v>8539.9333819887</v>
      </c>
      <c r="U151" s="8" t="n">
        <f aca="false">U319</f>
        <v>8561.55768530609</v>
      </c>
      <c r="V151" s="8" t="n">
        <f aca="false">V319</f>
        <v>8582.41697356563</v>
      </c>
      <c r="W151" s="8" t="n">
        <f aca="false">W319</f>
        <v>8602.48371708645</v>
      </c>
      <c r="X151" s="8" t="n">
        <f aca="false">X319</f>
        <v>8621.72965462498</v>
      </c>
      <c r="Y151" s="8" t="n">
        <f aca="false">Y319</f>
        <v>8640.12577511838</v>
      </c>
      <c r="Z151" s="8" t="n">
        <f aca="false">Z319</f>
        <v>8657.64229897927</v>
      </c>
      <c r="AA151" s="8" t="n">
        <f aca="false">AA319</f>
        <v>8674.24865893043</v>
      </c>
      <c r="AB151" s="8" t="n">
        <f aca="false">AB319</f>
        <v>8689.91348036855</v>
      </c>
      <c r="AC151" s="8" t="n">
        <f aca="false">AC319</f>
        <v>8704.60456124511</v>
      </c>
      <c r="AD151" s="8" t="n">
        <f aca="false">AD319</f>
        <v>8718.28885145289</v>
      </c>
      <c r="AE151" s="8" t="n">
        <f aca="false">AE319</f>
        <v>8730.93243170569</v>
      </c>
      <c r="AF151" s="8" t="n">
        <f aca="false">AF319</f>
        <v>8742.50049189901</v>
      </c>
      <c r="AG151" s="8" t="n">
        <f aca="false">AG319</f>
        <v>8752.957308939</v>
      </c>
      <c r="AH151" s="8" t="n">
        <f aca="false">AH319</f>
        <v>8762.26622402637</v>
      </c>
      <c r="AI151" s="8" t="n">
        <f aca="false">AI319</f>
        <v>8770.38961938223</v>
      </c>
      <c r="AJ151" s="8" t="n">
        <f aca="false">AJ319</f>
        <v>8777.28889440195</v>
      </c>
      <c r="AK151" s="8" t="n">
        <f aca="false">AK319</f>
        <v>8782.92444122306</v>
      </c>
      <c r="AL151" s="8" t="n">
        <f aca="false">AL319</f>
        <v>8787.25561969284</v>
      </c>
      <c r="AM151" s="8" t="n">
        <f aca="false">AM319</f>
        <v>8790.24073172087</v>
      </c>
      <c r="AN151" s="8" t="n">
        <f aca="false">AN319</f>
        <v>8791.83699500145</v>
      </c>
      <c r="AO151" s="8" t="n">
        <f aca="false">AO319</f>
        <v>8792.0005160904</v>
      </c>
      <c r="AP151" s="8" t="n">
        <f aca="false">AP319</f>
        <v>8790.68626282043</v>
      </c>
      <c r="AQ151" s="8" t="n">
        <f aca="false">AQ319</f>
        <v>8787.84803603887</v>
      </c>
      <c r="AR151" s="8" t="n">
        <f aca="false">AR319</f>
        <v>8783.43844065112</v>
      </c>
      <c r="AS151" s="8" t="n">
        <f aca="false">AS319</f>
        <v>4388.70442797637</v>
      </c>
    </row>
    <row r="152" customFormat="false" ht="14.25" hidden="false" customHeight="false" outlineLevel="0" collapsed="false">
      <c r="C152" s="1" t="s">
        <v>153</v>
      </c>
      <c r="D152" s="2" t="s">
        <v>85</v>
      </c>
      <c r="H152" s="15" t="n">
        <f aca="false">SUM(J152:AS152)</f>
        <v>199688.543859585</v>
      </c>
      <c r="J152" s="15" t="n">
        <f aca="false">J320</f>
        <v>-386.301369863014</v>
      </c>
      <c r="K152" s="15" t="n">
        <f aca="false">K320</f>
        <v>-2429.86593963657</v>
      </c>
      <c r="L152" s="15" t="n">
        <f aca="false">L320</f>
        <v>-10197.4954164384</v>
      </c>
      <c r="M152" s="15" t="n">
        <f aca="false">M320</f>
        <v>-12009.375</v>
      </c>
      <c r="N152" s="15" t="n">
        <f aca="false">N320</f>
        <v>-24018.75</v>
      </c>
      <c r="O152" s="15" t="n">
        <f aca="false">O320</f>
        <v>-8813.4091</v>
      </c>
      <c r="P152" s="15" t="n">
        <f aca="false">P320</f>
        <v>8446.311993</v>
      </c>
      <c r="Q152" s="15" t="n">
        <f aca="false">Q320</f>
        <v>9861.14603516407</v>
      </c>
      <c r="R152" s="15" t="n">
        <f aca="false">R320</f>
        <v>8494.4962975728</v>
      </c>
      <c r="S152" s="15" t="n">
        <f aca="false">S320</f>
        <v>8517.57087954995</v>
      </c>
      <c r="T152" s="15" t="n">
        <f aca="false">T320</f>
        <v>8539.9333819887</v>
      </c>
      <c r="U152" s="15" t="n">
        <f aca="false">U320</f>
        <v>8561.55768530609</v>
      </c>
      <c r="V152" s="15" t="n">
        <f aca="false">V320</f>
        <v>8582.41697356563</v>
      </c>
      <c r="W152" s="15" t="n">
        <f aca="false">W320</f>
        <v>8602.48371708645</v>
      </c>
      <c r="X152" s="15" t="n">
        <f aca="false">X320</f>
        <v>8621.72965462498</v>
      </c>
      <c r="Y152" s="15" t="n">
        <f aca="false">Y320</f>
        <v>8640.12577511838</v>
      </c>
      <c r="Z152" s="15" t="n">
        <f aca="false">Z320</f>
        <v>8657.64229897927</v>
      </c>
      <c r="AA152" s="15" t="n">
        <f aca="false">AA320</f>
        <v>8674.24865893043</v>
      </c>
      <c r="AB152" s="15" t="n">
        <f aca="false">AB320</f>
        <v>8689.91348036855</v>
      </c>
      <c r="AC152" s="15" t="n">
        <f aca="false">AC320</f>
        <v>8704.60456124511</v>
      </c>
      <c r="AD152" s="15" t="n">
        <f aca="false">AD320</f>
        <v>8718.28885145289</v>
      </c>
      <c r="AE152" s="15" t="n">
        <f aca="false">AE320</f>
        <v>8730.93243170569</v>
      </c>
      <c r="AF152" s="15" t="n">
        <f aca="false">AF320</f>
        <v>8742.50049189901</v>
      </c>
      <c r="AG152" s="15" t="n">
        <f aca="false">AG320</f>
        <v>8752.957308939</v>
      </c>
      <c r="AH152" s="15" t="n">
        <f aca="false">AH320</f>
        <v>8762.26622402637</v>
      </c>
      <c r="AI152" s="15" t="n">
        <f aca="false">AI320</f>
        <v>8770.38961938223</v>
      </c>
      <c r="AJ152" s="15" t="n">
        <f aca="false">AJ320</f>
        <v>8777.28889440195</v>
      </c>
      <c r="AK152" s="15" t="n">
        <f aca="false">AK320</f>
        <v>8782.92444122306</v>
      </c>
      <c r="AL152" s="15" t="n">
        <f aca="false">AL320</f>
        <v>8787.25561969284</v>
      </c>
      <c r="AM152" s="15" t="n">
        <f aca="false">AM320</f>
        <v>8790.24073172087</v>
      </c>
      <c r="AN152" s="15" t="n">
        <f aca="false">AN320</f>
        <v>8791.83699500145</v>
      </c>
      <c r="AO152" s="15" t="n">
        <f aca="false">AO320</f>
        <v>8792.0005160904</v>
      </c>
      <c r="AP152" s="15" t="n">
        <f aca="false">AP320</f>
        <v>8790.68626282043</v>
      </c>
      <c r="AQ152" s="15" t="n">
        <f aca="false">AQ320</f>
        <v>8787.84803603887</v>
      </c>
      <c r="AR152" s="15" t="n">
        <f aca="false">AR320</f>
        <v>8783.43844065112</v>
      </c>
      <c r="AS152" s="15" t="n">
        <f aca="false">AS320</f>
        <v>4388.70442797637</v>
      </c>
    </row>
    <row r="153" customFormat="false" ht="14.25" hidden="false" customHeight="false" outlineLevel="0" collapsed="false">
      <c r="C153" s="6" t="s">
        <v>154</v>
      </c>
      <c r="D153" s="2" t="s">
        <v>85</v>
      </c>
      <c r="J153" s="8" t="n">
        <f aca="false">SUM($J152:J152)</f>
        <v>-386.301369863014</v>
      </c>
      <c r="K153" s="8" t="n">
        <f aca="false">SUM($J152:K152)</f>
        <v>-2816.16730949958</v>
      </c>
      <c r="L153" s="8" t="n">
        <f aca="false">SUM($J152:L152)</f>
        <v>-13013.6627259379</v>
      </c>
      <c r="M153" s="8" t="n">
        <f aca="false">SUM($J152:M152)</f>
        <v>-25023.0377259379</v>
      </c>
      <c r="N153" s="8" t="n">
        <f aca="false">SUM($J152:N152)</f>
        <v>-49041.7877259379</v>
      </c>
      <c r="O153" s="8" t="n">
        <f aca="false">SUM($J152:O152)</f>
        <v>-57855.1968259379</v>
      </c>
      <c r="P153" s="8" t="n">
        <f aca="false">SUM($J152:P152)</f>
        <v>-49408.8848329379</v>
      </c>
      <c r="Q153" s="8" t="n">
        <f aca="false">SUM($J152:Q152)</f>
        <v>-39547.7387977739</v>
      </c>
      <c r="R153" s="8" t="n">
        <f aca="false">SUM($J152:R152)</f>
        <v>-31053.2425002011</v>
      </c>
      <c r="S153" s="8" t="n">
        <f aca="false">SUM($J152:S152)</f>
        <v>-22535.6716206511</v>
      </c>
      <c r="T153" s="8" t="n">
        <f aca="false">SUM($J152:T152)</f>
        <v>-13995.7382386624</v>
      </c>
      <c r="U153" s="8" t="n">
        <f aca="false">SUM($J152:U152)</f>
        <v>-5434.18055335633</v>
      </c>
      <c r="V153" s="8" t="n">
        <f aca="false">SUM($J152:V152)</f>
        <v>3148.2364202093</v>
      </c>
      <c r="W153" s="8" t="n">
        <f aca="false">SUM($J152:W152)</f>
        <v>11750.7201372958</v>
      </c>
      <c r="X153" s="8" t="n">
        <f aca="false">SUM($J152:X152)</f>
        <v>20372.4497919207</v>
      </c>
      <c r="Y153" s="8" t="n">
        <f aca="false">SUM($J152:Y152)</f>
        <v>29012.5755670391</v>
      </c>
      <c r="Z153" s="8" t="n">
        <f aca="false">SUM($J152:Z152)</f>
        <v>37670.2178660184</v>
      </c>
      <c r="AA153" s="8" t="n">
        <f aca="false">SUM($J152:AA152)</f>
        <v>46344.4665249488</v>
      </c>
      <c r="AB153" s="8" t="n">
        <f aca="false">SUM($J152:AB152)</f>
        <v>55034.3800053174</v>
      </c>
      <c r="AC153" s="8" t="n">
        <f aca="false">SUM($J152:AC152)</f>
        <v>63738.9845665625</v>
      </c>
      <c r="AD153" s="8" t="n">
        <f aca="false">SUM($J152:AD152)</f>
        <v>72457.2734180154</v>
      </c>
      <c r="AE153" s="8" t="n">
        <f aca="false">SUM($J152:AE152)</f>
        <v>81188.2058497211</v>
      </c>
      <c r="AF153" s="8" t="n">
        <f aca="false">SUM($J152:AF152)</f>
        <v>89930.7063416201</v>
      </c>
      <c r="AG153" s="8" t="n">
        <f aca="false">SUM($J152:AG152)</f>
        <v>98683.6636505591</v>
      </c>
      <c r="AH153" s="8" t="n">
        <f aca="false">SUM($J152:AH152)</f>
        <v>107445.929874585</v>
      </c>
      <c r="AI153" s="8" t="n">
        <f aca="false">SUM($J152:AI152)</f>
        <v>116216.319493968</v>
      </c>
      <c r="AJ153" s="8" t="n">
        <f aca="false">SUM($J152:AJ152)</f>
        <v>124993.60838837</v>
      </c>
      <c r="AK153" s="8" t="n">
        <f aca="false">SUM($J152:AK152)</f>
        <v>133776.532829593</v>
      </c>
      <c r="AL153" s="8" t="n">
        <f aca="false">SUM($J152:AL152)</f>
        <v>142563.788449286</v>
      </c>
      <c r="AM153" s="8" t="n">
        <f aca="false">SUM($J152:AM152)</f>
        <v>151354.029181006</v>
      </c>
      <c r="AN153" s="8" t="n">
        <f aca="false">SUM($J152:AN152)</f>
        <v>160145.866176008</v>
      </c>
      <c r="AO153" s="8" t="n">
        <f aca="false">SUM($J152:AO152)</f>
        <v>168937.866692098</v>
      </c>
      <c r="AP153" s="8" t="n">
        <f aca="false">SUM($J152:AP152)</f>
        <v>177728.552954919</v>
      </c>
      <c r="AQ153" s="8" t="n">
        <f aca="false">SUM($J152:AQ152)</f>
        <v>186516.400990958</v>
      </c>
      <c r="AR153" s="8" t="n">
        <f aca="false">SUM($J152:AR152)</f>
        <v>195299.839431609</v>
      </c>
      <c r="AS153" s="8" t="n">
        <f aca="false">SUM($J152:AS152)</f>
        <v>199688.543859585</v>
      </c>
    </row>
    <row r="155" customFormat="false" ht="14.25" hidden="false" customHeight="false" outlineLevel="0" collapsed="false">
      <c r="C155" s="44" t="s">
        <v>6</v>
      </c>
      <c r="D155" s="44"/>
      <c r="E155" s="45"/>
      <c r="F155" s="45"/>
      <c r="G155" s="45"/>
      <c r="H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</row>
    <row r="156" customFormat="false" ht="14.25" hidden="false" customHeight="false" outlineLevel="0" collapsed="false">
      <c r="C156" s="6" t="s">
        <v>149</v>
      </c>
      <c r="D156" s="2" t="s">
        <v>85</v>
      </c>
      <c r="H156" s="8" t="n">
        <f aca="false">SUM(J156:AS156)</f>
        <v>-77435.8772410064</v>
      </c>
      <c r="J156" s="8" t="n">
        <f aca="false">J337</f>
        <v>-657.123287671233</v>
      </c>
      <c r="K156" s="8" t="n">
        <f aca="false">K337</f>
        <v>-3313.15361086944</v>
      </c>
      <c r="L156" s="8" t="n">
        <f aca="false">L337</f>
        <v>-3467.62089041096</v>
      </c>
      <c r="M156" s="8" t="n">
        <f aca="false">M337</f>
        <v>-17498.125</v>
      </c>
      <c r="N156" s="8" t="n">
        <f aca="false">N337</f>
        <v>-34996.25</v>
      </c>
      <c r="O156" s="8" t="n">
        <f aca="false">O337</f>
        <v>-19998.125</v>
      </c>
      <c r="P156" s="8" t="n">
        <f aca="false">P337</f>
        <v>0</v>
      </c>
      <c r="Q156" s="8" t="n">
        <f aca="false">Q337</f>
        <v>2494.52054794521</v>
      </c>
      <c r="R156" s="8" t="n">
        <f aca="false">R337</f>
        <v>0</v>
      </c>
      <c r="S156" s="8" t="n">
        <f aca="false">S337</f>
        <v>0</v>
      </c>
      <c r="T156" s="8" t="n">
        <f aca="false">T337</f>
        <v>0</v>
      </c>
      <c r="U156" s="8" t="n">
        <f aca="false">U337</f>
        <v>0</v>
      </c>
      <c r="V156" s="8" t="n">
        <f aca="false">V337</f>
        <v>0</v>
      </c>
      <c r="W156" s="8" t="n">
        <f aca="false">W337</f>
        <v>0</v>
      </c>
      <c r="X156" s="8" t="n">
        <f aca="false">X337</f>
        <v>0</v>
      </c>
      <c r="Y156" s="8" t="n">
        <f aca="false">Y337</f>
        <v>0</v>
      </c>
      <c r="Z156" s="8" t="n">
        <f aca="false">Z337</f>
        <v>0</v>
      </c>
      <c r="AA156" s="8" t="n">
        <f aca="false">AA337</f>
        <v>0</v>
      </c>
      <c r="AB156" s="8" t="n">
        <f aca="false">AB337</f>
        <v>0</v>
      </c>
      <c r="AC156" s="8" t="n">
        <f aca="false">AC337</f>
        <v>0</v>
      </c>
      <c r="AD156" s="8" t="n">
        <f aca="false">AD337</f>
        <v>0</v>
      </c>
      <c r="AE156" s="8" t="n">
        <f aca="false">AE337</f>
        <v>0</v>
      </c>
      <c r="AF156" s="8" t="n">
        <f aca="false">AF337</f>
        <v>0</v>
      </c>
      <c r="AG156" s="8" t="n">
        <f aca="false">AG337</f>
        <v>0</v>
      </c>
      <c r="AH156" s="8" t="n">
        <f aca="false">AH337</f>
        <v>0</v>
      </c>
      <c r="AI156" s="8" t="n">
        <f aca="false">AI337</f>
        <v>0</v>
      </c>
      <c r="AJ156" s="8" t="n">
        <f aca="false">AJ337</f>
        <v>0</v>
      </c>
      <c r="AK156" s="8" t="n">
        <f aca="false">AK337</f>
        <v>0</v>
      </c>
      <c r="AL156" s="8" t="n">
        <f aca="false">AL337</f>
        <v>0</v>
      </c>
      <c r="AM156" s="8" t="n">
        <f aca="false">AM337</f>
        <v>0</v>
      </c>
      <c r="AN156" s="8" t="n">
        <f aca="false">AN337</f>
        <v>0</v>
      </c>
      <c r="AO156" s="8" t="n">
        <f aca="false">AO337</f>
        <v>0</v>
      </c>
      <c r="AP156" s="8" t="n">
        <f aca="false">AP337</f>
        <v>0</v>
      </c>
      <c r="AQ156" s="8" t="n">
        <f aca="false">AQ337</f>
        <v>0</v>
      </c>
      <c r="AR156" s="8" t="n">
        <f aca="false">AR337</f>
        <v>0</v>
      </c>
      <c r="AS156" s="8" t="n">
        <f aca="false">AS337</f>
        <v>0</v>
      </c>
    </row>
    <row r="157" customFormat="false" ht="14.25" hidden="false" customHeight="false" outlineLevel="0" collapsed="false">
      <c r="C157" s="6" t="s">
        <v>150</v>
      </c>
      <c r="D157" s="2" t="s">
        <v>85</v>
      </c>
      <c r="H157" s="8" t="n">
        <f aca="false">SUM(J157:AS157)</f>
        <v>495700.761921616</v>
      </c>
      <c r="J157" s="8" t="n">
        <f aca="false">J341</f>
        <v>0</v>
      </c>
      <c r="K157" s="8" t="n">
        <f aca="false">K341</f>
        <v>0</v>
      </c>
      <c r="L157" s="8" t="n">
        <f aca="false">L341</f>
        <v>0</v>
      </c>
      <c r="M157" s="8" t="n">
        <f aca="false">M341</f>
        <v>0</v>
      </c>
      <c r="N157" s="8" t="n">
        <f aca="false">N341</f>
        <v>0</v>
      </c>
      <c r="O157" s="8" t="n">
        <f aca="false">O341</f>
        <v>7408.8</v>
      </c>
      <c r="P157" s="8" t="n">
        <f aca="false">P341</f>
        <v>14965.776</v>
      </c>
      <c r="Q157" s="8" t="n">
        <f aca="false">Q341</f>
        <v>15070.08745872</v>
      </c>
      <c r="R157" s="8" t="n">
        <f aca="false">R341</f>
        <v>15175.1259683073</v>
      </c>
      <c r="S157" s="8" t="n">
        <f aca="false">S341</f>
        <v>15280.8965963064</v>
      </c>
      <c r="T157" s="8" t="n">
        <f aca="false">T341</f>
        <v>15387.4044455826</v>
      </c>
      <c r="U157" s="8" t="n">
        <f aca="false">U341</f>
        <v>15494.6546545683</v>
      </c>
      <c r="V157" s="8" t="n">
        <f aca="false">V341</f>
        <v>15602.6523975107</v>
      </c>
      <c r="W157" s="8" t="n">
        <f aca="false">W341</f>
        <v>15711.4028847213</v>
      </c>
      <c r="X157" s="8" t="n">
        <f aca="false">X341</f>
        <v>15820.9113628278</v>
      </c>
      <c r="Y157" s="8" t="n">
        <f aca="false">Y341</f>
        <v>15931.1831150268</v>
      </c>
      <c r="Z157" s="8" t="n">
        <f aca="false">Z341</f>
        <v>16042.2234613385</v>
      </c>
      <c r="AA157" s="8" t="n">
        <f aca="false">AA341</f>
        <v>16154.037758864</v>
      </c>
      <c r="AB157" s="8" t="n">
        <f aca="false">AB341</f>
        <v>16266.6314020433</v>
      </c>
      <c r="AC157" s="8" t="n">
        <f aca="false">AC341</f>
        <v>16380.0098229155</v>
      </c>
      <c r="AD157" s="8" t="n">
        <f aca="false">AD341</f>
        <v>16494.1784913813</v>
      </c>
      <c r="AE157" s="8" t="n">
        <f aca="false">AE341</f>
        <v>16609.1429154662</v>
      </c>
      <c r="AF157" s="8" t="n">
        <f aca="false">AF341</f>
        <v>16724.908641587</v>
      </c>
      <c r="AG157" s="8" t="n">
        <f aca="false">AG341</f>
        <v>16841.4812548189</v>
      </c>
      <c r="AH157" s="8" t="n">
        <f aca="false">AH341</f>
        <v>16958.8663791649</v>
      </c>
      <c r="AI157" s="8" t="n">
        <f aca="false">AI341</f>
        <v>17077.0696778277</v>
      </c>
      <c r="AJ157" s="8" t="n">
        <f aca="false">AJ341</f>
        <v>17196.0968534822</v>
      </c>
      <c r="AK157" s="8" t="n">
        <f aca="false">AK341</f>
        <v>17315.953648551</v>
      </c>
      <c r="AL157" s="8" t="n">
        <f aca="false">AL341</f>
        <v>17436.6458454814</v>
      </c>
      <c r="AM157" s="8" t="n">
        <f aca="false">AM341</f>
        <v>17558.1792670244</v>
      </c>
      <c r="AN157" s="8" t="n">
        <f aca="false">AN341</f>
        <v>17680.5597765155</v>
      </c>
      <c r="AO157" s="8" t="n">
        <f aca="false">AO341</f>
        <v>17803.7932781578</v>
      </c>
      <c r="AP157" s="8" t="n">
        <f aca="false">AP341</f>
        <v>17927.8857173066</v>
      </c>
      <c r="AQ157" s="8" t="n">
        <f aca="false">AQ341</f>
        <v>18052.8430807562</v>
      </c>
      <c r="AR157" s="8" t="n">
        <f aca="false">AR341</f>
        <v>18178.6713970291</v>
      </c>
      <c r="AS157" s="8" t="n">
        <f aca="false">AS341</f>
        <v>9152.68836833319</v>
      </c>
    </row>
    <row r="158" customFormat="false" ht="14.25" hidden="false" customHeight="false" outlineLevel="0" collapsed="false">
      <c r="C158" s="6" t="s">
        <v>151</v>
      </c>
      <c r="D158" s="2" t="s">
        <v>85</v>
      </c>
      <c r="H158" s="8" t="n">
        <f aca="false">SUM(J158:AS158)</f>
        <v>-144722.966548392</v>
      </c>
      <c r="J158" s="8" t="n">
        <f aca="false">J350</f>
        <v>0</v>
      </c>
      <c r="K158" s="8" t="n">
        <f aca="false">K350</f>
        <v>0</v>
      </c>
      <c r="L158" s="8" t="n">
        <f aca="false">L350</f>
        <v>0</v>
      </c>
      <c r="M158" s="8" t="n">
        <f aca="false">M350</f>
        <v>0</v>
      </c>
      <c r="N158" s="8" t="n">
        <f aca="false">N350</f>
        <v>0</v>
      </c>
      <c r="O158" s="8" t="n">
        <f aca="false">O350</f>
        <v>-1773.53274</v>
      </c>
      <c r="P158" s="8" t="n">
        <f aca="false">P350</f>
        <v>-3618.7154598</v>
      </c>
      <c r="Q158" s="8" t="n">
        <f aca="false">Q350</f>
        <v>-3686.94924820606</v>
      </c>
      <c r="R158" s="8" t="n">
        <f aca="false">R350</f>
        <v>-3756.83104964162</v>
      </c>
      <c r="S158" s="8" t="n">
        <f aca="false">S350</f>
        <v>-3828.40035441326</v>
      </c>
      <c r="T158" s="8" t="n">
        <f aca="false">T350</f>
        <v>-3901.69760982208</v>
      </c>
      <c r="U158" s="8" t="n">
        <f aca="false">U350</f>
        <v>-3976.76424344449</v>
      </c>
      <c r="V158" s="8" t="n">
        <f aca="false">V350</f>
        <v>-4053.64268698113</v>
      </c>
      <c r="W158" s="8" t="n">
        <f aca="false">W350</f>
        <v>-4132.37640068787</v>
      </c>
      <c r="X158" s="8" t="n">
        <f aca="false">X350</f>
        <v>-4213.00989840297</v>
      </c>
      <c r="Y158" s="8" t="n">
        <f aca="false">Y350</f>
        <v>-4295.58877318522</v>
      </c>
      <c r="Z158" s="8" t="n">
        <f aca="false">Z350</f>
        <v>-4380.15972357776</v>
      </c>
      <c r="AA158" s="8" t="n">
        <f aca="false">AA350</f>
        <v>-4466.77058051314</v>
      </c>
      <c r="AB158" s="8" t="n">
        <f aca="false">AB350</f>
        <v>-4555.47033487511</v>
      </c>
      <c r="AC158" s="8" t="n">
        <f aca="false">AC350</f>
        <v>-4646.30916573333</v>
      </c>
      <c r="AD158" s="8" t="n">
        <f aca="false">AD350</f>
        <v>-4739.33846926743</v>
      </c>
      <c r="AE158" s="8" t="n">
        <f aca="false">AE350</f>
        <v>-4834.61088839726</v>
      </c>
      <c r="AF158" s="8" t="n">
        <f aca="false">AF350</f>
        <v>-4932.18034313673</v>
      </c>
      <c r="AG158" s="8" t="n">
        <f aca="false">AG350</f>
        <v>-5032.10206168881</v>
      </c>
      <c r="AH158" s="8" t="n">
        <f aca="false">AH350</f>
        <v>-5134.43261229992</v>
      </c>
      <c r="AI158" s="8" t="n">
        <f aca="false">AI350</f>
        <v>-5239.22993589231</v>
      </c>
      <c r="AJ158" s="8" t="n">
        <f aca="false">AJ350</f>
        <v>-5346.55337949339</v>
      </c>
      <c r="AK158" s="8" t="n">
        <f aca="false">AK350</f>
        <v>-5456.46373048167</v>
      </c>
      <c r="AL158" s="8" t="n">
        <f aca="false">AL350</f>
        <v>-5569.02325166912</v>
      </c>
      <c r="AM158" s="8" t="n">
        <f aca="false">AM350</f>
        <v>-5684.29571724061</v>
      </c>
      <c r="AN158" s="8" t="n">
        <f aca="false">AN350</f>
        <v>-5802.34644957131</v>
      </c>
      <c r="AO158" s="8" t="n">
        <f aca="false">AO350</f>
        <v>-5923.24235694357</v>
      </c>
      <c r="AP158" s="8" t="n">
        <f aca="false">AP350</f>
        <v>-6047.05197218531</v>
      </c>
      <c r="AQ158" s="8" t="n">
        <f aca="false">AQ350</f>
        <v>-6173.84549225257</v>
      </c>
      <c r="AR158" s="8" t="n">
        <f aca="false">AR350</f>
        <v>-6303.69481877916</v>
      </c>
      <c r="AS158" s="8" t="n">
        <f aca="false">AS350</f>
        <v>-3218.33679980867</v>
      </c>
    </row>
    <row r="159" customFormat="false" ht="14.25" hidden="false" customHeight="false" outlineLevel="0" collapsed="false">
      <c r="C159" s="6" t="s">
        <v>152</v>
      </c>
      <c r="D159" s="2" t="s">
        <v>85</v>
      </c>
      <c r="H159" s="8" t="n">
        <f aca="false">SUM(J159:AS159)</f>
        <v>350977.795373224</v>
      </c>
      <c r="J159" s="8" t="n">
        <f aca="false">J351</f>
        <v>0</v>
      </c>
      <c r="K159" s="8" t="n">
        <f aca="false">K351</f>
        <v>0</v>
      </c>
      <c r="L159" s="8" t="n">
        <f aca="false">L351</f>
        <v>0</v>
      </c>
      <c r="M159" s="8" t="n">
        <f aca="false">M351</f>
        <v>0</v>
      </c>
      <c r="N159" s="8" t="n">
        <f aca="false">N351</f>
        <v>0</v>
      </c>
      <c r="O159" s="8" t="n">
        <f aca="false">O351</f>
        <v>5635.26726</v>
      </c>
      <c r="P159" s="8" t="n">
        <f aca="false">P351</f>
        <v>11347.0605402</v>
      </c>
      <c r="Q159" s="8" t="n">
        <f aca="false">Q351</f>
        <v>11383.1382105139</v>
      </c>
      <c r="R159" s="8" t="n">
        <f aca="false">R351</f>
        <v>11418.2949186657</v>
      </c>
      <c r="S159" s="8" t="n">
        <f aca="false">S351</f>
        <v>11452.4962418931</v>
      </c>
      <c r="T159" s="8" t="n">
        <f aca="false">T351</f>
        <v>11485.7068357606</v>
      </c>
      <c r="U159" s="8" t="n">
        <f aca="false">U351</f>
        <v>11517.8904111239</v>
      </c>
      <c r="V159" s="8" t="n">
        <f aca="false">V351</f>
        <v>11549.0097105296</v>
      </c>
      <c r="W159" s="8" t="n">
        <f aca="false">W351</f>
        <v>11579.0264840335</v>
      </c>
      <c r="X159" s="8" t="n">
        <f aca="false">X351</f>
        <v>11607.9014644249</v>
      </c>
      <c r="Y159" s="8" t="n">
        <f aca="false">Y351</f>
        <v>11635.5943418415</v>
      </c>
      <c r="Z159" s="8" t="n">
        <f aca="false">Z351</f>
        <v>11662.0637377607</v>
      </c>
      <c r="AA159" s="8" t="n">
        <f aca="false">AA351</f>
        <v>11687.2671783509</v>
      </c>
      <c r="AB159" s="8" t="n">
        <f aca="false">AB351</f>
        <v>11711.1610671682</v>
      </c>
      <c r="AC159" s="8" t="n">
        <f aca="false">AC351</f>
        <v>11733.7006571822</v>
      </c>
      <c r="AD159" s="8" t="n">
        <f aca="false">AD351</f>
        <v>11754.8400221138</v>
      </c>
      <c r="AE159" s="8" t="n">
        <f aca="false">AE351</f>
        <v>11774.5320270689</v>
      </c>
      <c r="AF159" s="8" t="n">
        <f aca="false">AF351</f>
        <v>11792.7282984503</v>
      </c>
      <c r="AG159" s="8" t="n">
        <f aca="false">AG351</f>
        <v>11809.37919313</v>
      </c>
      <c r="AH159" s="8" t="n">
        <f aca="false">AH351</f>
        <v>11824.433766865</v>
      </c>
      <c r="AI159" s="8" t="n">
        <f aca="false">AI351</f>
        <v>11837.8397419354</v>
      </c>
      <c r="AJ159" s="8" t="n">
        <f aca="false">AJ351</f>
        <v>11849.5434739888</v>
      </c>
      <c r="AK159" s="8" t="n">
        <f aca="false">AK351</f>
        <v>11859.4899180693</v>
      </c>
      <c r="AL159" s="8" t="n">
        <f aca="false">AL351</f>
        <v>11867.6225938122</v>
      </c>
      <c r="AM159" s="8" t="n">
        <f aca="false">AM351</f>
        <v>11873.8835497838</v>
      </c>
      <c r="AN159" s="8" t="n">
        <f aca="false">AN351</f>
        <v>11878.2133269442</v>
      </c>
      <c r="AO159" s="8" t="n">
        <f aca="false">AO351</f>
        <v>11880.5509212143</v>
      </c>
      <c r="AP159" s="8" t="n">
        <f aca="false">AP351</f>
        <v>11880.8337451213</v>
      </c>
      <c r="AQ159" s="8" t="n">
        <f aca="false">AQ351</f>
        <v>11878.9975885037</v>
      </c>
      <c r="AR159" s="8" t="n">
        <f aca="false">AR351</f>
        <v>11874.9765782499</v>
      </c>
      <c r="AS159" s="8" t="n">
        <f aca="false">AS351</f>
        <v>5934.35156852452</v>
      </c>
    </row>
    <row r="160" customFormat="false" ht="14.25" hidden="false" customHeight="false" outlineLevel="0" collapsed="false">
      <c r="C160" s="1" t="s">
        <v>153</v>
      </c>
      <c r="D160" s="2" t="s">
        <v>85</v>
      </c>
      <c r="H160" s="15" t="n">
        <f aca="false">SUM(J160:AS160)</f>
        <v>273541.918132218</v>
      </c>
      <c r="J160" s="15" t="n">
        <f aca="false">J352</f>
        <v>-657.123287671233</v>
      </c>
      <c r="K160" s="15" t="n">
        <f aca="false">K352</f>
        <v>-3313.15361086944</v>
      </c>
      <c r="L160" s="15" t="n">
        <f aca="false">L352</f>
        <v>-3467.62089041096</v>
      </c>
      <c r="M160" s="15" t="n">
        <f aca="false">M352</f>
        <v>-17498.125</v>
      </c>
      <c r="N160" s="15" t="n">
        <f aca="false">N352</f>
        <v>-34996.25</v>
      </c>
      <c r="O160" s="15" t="n">
        <f aca="false">O352</f>
        <v>-14362.85774</v>
      </c>
      <c r="P160" s="15" t="n">
        <f aca="false">P352</f>
        <v>11347.0605402</v>
      </c>
      <c r="Q160" s="15" t="n">
        <f aca="false">Q352</f>
        <v>13877.6587584591</v>
      </c>
      <c r="R160" s="15" t="n">
        <f aca="false">R352</f>
        <v>11418.2949186657</v>
      </c>
      <c r="S160" s="15" t="n">
        <f aca="false">S352</f>
        <v>11452.4962418931</v>
      </c>
      <c r="T160" s="15" t="n">
        <f aca="false">T352</f>
        <v>11485.7068357606</v>
      </c>
      <c r="U160" s="15" t="n">
        <f aca="false">U352</f>
        <v>11517.8904111239</v>
      </c>
      <c r="V160" s="15" t="n">
        <f aca="false">V352</f>
        <v>11549.0097105296</v>
      </c>
      <c r="W160" s="15" t="n">
        <f aca="false">W352</f>
        <v>11579.0264840335</v>
      </c>
      <c r="X160" s="15" t="n">
        <f aca="false">X352</f>
        <v>11607.9014644249</v>
      </c>
      <c r="Y160" s="15" t="n">
        <f aca="false">Y352</f>
        <v>11635.5943418415</v>
      </c>
      <c r="Z160" s="15" t="n">
        <f aca="false">Z352</f>
        <v>11662.0637377607</v>
      </c>
      <c r="AA160" s="15" t="n">
        <f aca="false">AA352</f>
        <v>11687.2671783509</v>
      </c>
      <c r="AB160" s="15" t="n">
        <f aca="false">AB352</f>
        <v>11711.1610671682</v>
      </c>
      <c r="AC160" s="15" t="n">
        <f aca="false">AC352</f>
        <v>11733.7006571822</v>
      </c>
      <c r="AD160" s="15" t="n">
        <f aca="false">AD352</f>
        <v>11754.8400221138</v>
      </c>
      <c r="AE160" s="15" t="n">
        <f aca="false">AE352</f>
        <v>11774.5320270689</v>
      </c>
      <c r="AF160" s="15" t="n">
        <f aca="false">AF352</f>
        <v>11792.7282984503</v>
      </c>
      <c r="AG160" s="15" t="n">
        <f aca="false">AG352</f>
        <v>11809.37919313</v>
      </c>
      <c r="AH160" s="15" t="n">
        <f aca="false">AH352</f>
        <v>11824.433766865</v>
      </c>
      <c r="AI160" s="15" t="n">
        <f aca="false">AI352</f>
        <v>11837.8397419354</v>
      </c>
      <c r="AJ160" s="15" t="n">
        <f aca="false">AJ352</f>
        <v>11849.5434739888</v>
      </c>
      <c r="AK160" s="15" t="n">
        <f aca="false">AK352</f>
        <v>11859.4899180693</v>
      </c>
      <c r="AL160" s="15" t="n">
        <f aca="false">AL352</f>
        <v>11867.6225938122</v>
      </c>
      <c r="AM160" s="15" t="n">
        <f aca="false">AM352</f>
        <v>11873.8835497838</v>
      </c>
      <c r="AN160" s="15" t="n">
        <f aca="false">AN352</f>
        <v>11878.2133269442</v>
      </c>
      <c r="AO160" s="15" t="n">
        <f aca="false">AO352</f>
        <v>11880.5509212143</v>
      </c>
      <c r="AP160" s="15" t="n">
        <f aca="false">AP352</f>
        <v>11880.8337451213</v>
      </c>
      <c r="AQ160" s="15" t="n">
        <f aca="false">AQ352</f>
        <v>11878.9975885037</v>
      </c>
      <c r="AR160" s="15" t="n">
        <f aca="false">AR352</f>
        <v>11874.9765782499</v>
      </c>
      <c r="AS160" s="15" t="n">
        <f aca="false">AS352</f>
        <v>5934.35156852452</v>
      </c>
    </row>
    <row r="161" customFormat="false" ht="14.25" hidden="false" customHeight="false" outlineLevel="0" collapsed="false">
      <c r="C161" s="6" t="s">
        <v>154</v>
      </c>
      <c r="D161" s="2" t="s">
        <v>85</v>
      </c>
      <c r="J161" s="8" t="n">
        <f aca="false">SUM($J160:J160)</f>
        <v>-657.123287671233</v>
      </c>
      <c r="K161" s="8" t="n">
        <f aca="false">SUM($J160:K160)</f>
        <v>-3970.27689854068</v>
      </c>
      <c r="L161" s="8" t="n">
        <f aca="false">SUM($J160:L160)</f>
        <v>-7437.89778895164</v>
      </c>
      <c r="M161" s="8" t="n">
        <f aca="false">SUM($J160:M160)</f>
        <v>-24936.0227889516</v>
      </c>
      <c r="N161" s="8" t="n">
        <f aca="false">SUM($J160:N160)</f>
        <v>-59932.2727889516</v>
      </c>
      <c r="O161" s="8" t="n">
        <f aca="false">SUM($J160:O160)</f>
        <v>-74295.1305289516</v>
      </c>
      <c r="P161" s="8" t="n">
        <f aca="false">SUM($J160:P160)</f>
        <v>-62948.0699887516</v>
      </c>
      <c r="Q161" s="8" t="n">
        <f aca="false">SUM($J160:Q160)</f>
        <v>-49070.4112302925</v>
      </c>
      <c r="R161" s="8" t="n">
        <f aca="false">SUM($J160:R160)</f>
        <v>-37652.1163116268</v>
      </c>
      <c r="S161" s="8" t="n">
        <f aca="false">SUM($J160:S160)</f>
        <v>-26199.6200697337</v>
      </c>
      <c r="T161" s="8" t="n">
        <f aca="false">SUM($J160:T160)</f>
        <v>-14713.9132339731</v>
      </c>
      <c r="U161" s="8" t="n">
        <f aca="false">SUM($J160:U160)</f>
        <v>-3196.02282284929</v>
      </c>
      <c r="V161" s="8" t="n">
        <f aca="false">SUM($J160:V160)</f>
        <v>8352.98688768027</v>
      </c>
      <c r="W161" s="8" t="n">
        <f aca="false">SUM($J160:W160)</f>
        <v>19932.0133717137</v>
      </c>
      <c r="X161" s="8" t="n">
        <f aca="false">SUM($J160:X160)</f>
        <v>31539.9148361386</v>
      </c>
      <c r="Y161" s="8" t="n">
        <f aca="false">SUM($J160:Y160)</f>
        <v>43175.5091779802</v>
      </c>
      <c r="Z161" s="8" t="n">
        <f aca="false">SUM($J160:Z160)</f>
        <v>54837.5729157409</v>
      </c>
      <c r="AA161" s="8" t="n">
        <f aca="false">SUM($J160:AA160)</f>
        <v>66524.8400940918</v>
      </c>
      <c r="AB161" s="8" t="n">
        <f aca="false">SUM($J160:AB160)</f>
        <v>78236.00116126</v>
      </c>
      <c r="AC161" s="8" t="n">
        <f aca="false">SUM($J160:AC160)</f>
        <v>89969.7018184422</v>
      </c>
      <c r="AD161" s="8" t="n">
        <f aca="false">SUM($J160:AD160)</f>
        <v>101724.541840556</v>
      </c>
      <c r="AE161" s="8" t="n">
        <f aca="false">SUM($J160:AE160)</f>
        <v>113499.073867625</v>
      </c>
      <c r="AF161" s="8" t="n">
        <f aca="false">SUM($J160:AF160)</f>
        <v>125291.802166075</v>
      </c>
      <c r="AG161" s="8" t="n">
        <f aca="false">SUM($J160:AG160)</f>
        <v>137101.181359205</v>
      </c>
      <c r="AH161" s="8" t="n">
        <f aca="false">SUM($J160:AH160)</f>
        <v>148925.61512607</v>
      </c>
      <c r="AI161" s="8" t="n">
        <f aca="false">SUM($J160:AI160)</f>
        <v>160763.454868006</v>
      </c>
      <c r="AJ161" s="8" t="n">
        <f aca="false">SUM($J160:AJ160)</f>
        <v>172612.998341995</v>
      </c>
      <c r="AK161" s="8" t="n">
        <f aca="false">SUM($J160:AK160)</f>
        <v>184472.488260064</v>
      </c>
      <c r="AL161" s="8" t="n">
        <f aca="false">SUM($J160:AL160)</f>
        <v>196340.110853876</v>
      </c>
      <c r="AM161" s="8" t="n">
        <f aca="false">SUM($J160:AM160)</f>
        <v>208213.99440366</v>
      </c>
      <c r="AN161" s="8" t="n">
        <f aca="false">SUM($J160:AN160)</f>
        <v>220092.207730604</v>
      </c>
      <c r="AO161" s="8" t="n">
        <f aca="false">SUM($J160:AO160)</f>
        <v>231972.758651818</v>
      </c>
      <c r="AP161" s="8" t="n">
        <f aca="false">SUM($J160:AP160)</f>
        <v>243853.59239694</v>
      </c>
      <c r="AQ161" s="8" t="n">
        <f aca="false">SUM($J160:AQ160)</f>
        <v>255732.589985443</v>
      </c>
      <c r="AR161" s="8" t="n">
        <f aca="false">SUM($J160:AR160)</f>
        <v>267607.566563693</v>
      </c>
      <c r="AS161" s="8" t="n">
        <f aca="false">SUM($J160:AS160)</f>
        <v>273541.918132218</v>
      </c>
    </row>
    <row r="163" customFormat="false" ht="14.25" hidden="false" customHeight="false" outlineLevel="0" collapsed="false">
      <c r="C163" s="44" t="s">
        <v>7</v>
      </c>
      <c r="D163" s="44"/>
      <c r="E163" s="45"/>
      <c r="F163" s="45"/>
      <c r="G163" s="45"/>
      <c r="H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</row>
    <row r="164" customFormat="false" ht="14.25" hidden="false" customHeight="false" outlineLevel="0" collapsed="false">
      <c r="C164" s="6" t="s">
        <v>149</v>
      </c>
      <c r="D164" s="2" t="s">
        <v>85</v>
      </c>
      <c r="H164" s="8" t="n">
        <f aca="false">SUM(J164:AS164)</f>
        <v>-77435.8772410064</v>
      </c>
      <c r="J164" s="33" t="n">
        <f aca="false">J369</f>
        <v>-657.123287671233</v>
      </c>
      <c r="K164" s="8" t="n">
        <f aca="false">K369</f>
        <v>-3313.15361086944</v>
      </c>
      <c r="L164" s="8" t="n">
        <f aca="false">L369</f>
        <v>-3467.62089041096</v>
      </c>
      <c r="M164" s="8" t="n">
        <f aca="false">M369</f>
        <v>-17498.125</v>
      </c>
      <c r="N164" s="8" t="n">
        <f aca="false">N369</f>
        <v>-34996.25</v>
      </c>
      <c r="O164" s="8" t="n">
        <f aca="false">O369</f>
        <v>-19998.125</v>
      </c>
      <c r="P164" s="8" t="n">
        <f aca="false">P369</f>
        <v>0</v>
      </c>
      <c r="Q164" s="8" t="n">
        <f aca="false">Q369</f>
        <v>2494.52054794521</v>
      </c>
      <c r="R164" s="8" t="n">
        <f aca="false">R369</f>
        <v>0</v>
      </c>
      <c r="S164" s="8" t="n">
        <f aca="false">S369</f>
        <v>0</v>
      </c>
      <c r="T164" s="8" t="n">
        <f aca="false">T369</f>
        <v>0</v>
      </c>
      <c r="U164" s="8" t="n">
        <f aca="false">U369</f>
        <v>0</v>
      </c>
      <c r="V164" s="8" t="n">
        <f aca="false">V369</f>
        <v>0</v>
      </c>
      <c r="W164" s="8" t="n">
        <f aca="false">W369</f>
        <v>0</v>
      </c>
      <c r="X164" s="8" t="n">
        <f aca="false">X369</f>
        <v>0</v>
      </c>
      <c r="Y164" s="8" t="n">
        <f aca="false">Y369</f>
        <v>0</v>
      </c>
      <c r="Z164" s="8" t="n">
        <f aca="false">Z369</f>
        <v>0</v>
      </c>
      <c r="AA164" s="8" t="n">
        <f aca="false">AA369</f>
        <v>0</v>
      </c>
      <c r="AB164" s="8" t="n">
        <f aca="false">AB369</f>
        <v>0</v>
      </c>
      <c r="AC164" s="8" t="n">
        <f aca="false">AC369</f>
        <v>0</v>
      </c>
      <c r="AD164" s="8" t="n">
        <f aca="false">AD369</f>
        <v>0</v>
      </c>
      <c r="AE164" s="8" t="n">
        <f aca="false">AE369</f>
        <v>0</v>
      </c>
      <c r="AF164" s="8" t="n">
        <f aca="false">AF369</f>
        <v>0</v>
      </c>
      <c r="AG164" s="8" t="n">
        <f aca="false">AG369</f>
        <v>0</v>
      </c>
      <c r="AH164" s="8" t="n">
        <f aca="false">AH369</f>
        <v>0</v>
      </c>
      <c r="AI164" s="8" t="n">
        <f aca="false">AI369</f>
        <v>0</v>
      </c>
      <c r="AJ164" s="8" t="n">
        <f aca="false">AJ369</f>
        <v>0</v>
      </c>
      <c r="AK164" s="8" t="n">
        <f aca="false">AK369</f>
        <v>0</v>
      </c>
      <c r="AL164" s="8" t="n">
        <f aca="false">AL369</f>
        <v>0</v>
      </c>
      <c r="AM164" s="8" t="n">
        <f aca="false">AM369</f>
        <v>0</v>
      </c>
      <c r="AN164" s="8" t="n">
        <f aca="false">AN369</f>
        <v>0</v>
      </c>
      <c r="AO164" s="8" t="n">
        <f aca="false">AO369</f>
        <v>0</v>
      </c>
      <c r="AP164" s="8" t="n">
        <f aca="false">AP369</f>
        <v>0</v>
      </c>
      <c r="AQ164" s="8" t="n">
        <f aca="false">AQ369</f>
        <v>0</v>
      </c>
      <c r="AR164" s="8" t="n">
        <f aca="false">AR369</f>
        <v>0</v>
      </c>
      <c r="AS164" s="8" t="n">
        <f aca="false">AS369</f>
        <v>0</v>
      </c>
    </row>
    <row r="165" customFormat="false" ht="14.25" hidden="false" customHeight="false" outlineLevel="0" collapsed="false">
      <c r="C165" s="6" t="s">
        <v>150</v>
      </c>
      <c r="D165" s="2" t="s">
        <v>85</v>
      </c>
      <c r="H165" s="8" t="n">
        <f aca="false">SUM(J165:AS165)</f>
        <v>495700.761921616</v>
      </c>
      <c r="J165" s="8" t="n">
        <f aca="false">J373</f>
        <v>0</v>
      </c>
      <c r="K165" s="8" t="n">
        <f aca="false">K373</f>
        <v>0</v>
      </c>
      <c r="L165" s="8" t="n">
        <f aca="false">L373</f>
        <v>0</v>
      </c>
      <c r="M165" s="8" t="n">
        <f aca="false">M373</f>
        <v>0</v>
      </c>
      <c r="N165" s="8" t="n">
        <f aca="false">N373</f>
        <v>0</v>
      </c>
      <c r="O165" s="8" t="n">
        <f aca="false">O373</f>
        <v>7408.8</v>
      </c>
      <c r="P165" s="8" t="n">
        <f aca="false">P373</f>
        <v>14965.776</v>
      </c>
      <c r="Q165" s="8" t="n">
        <f aca="false">Q373</f>
        <v>15070.08745872</v>
      </c>
      <c r="R165" s="8" t="n">
        <f aca="false">R373</f>
        <v>15175.1259683073</v>
      </c>
      <c r="S165" s="8" t="n">
        <f aca="false">S373</f>
        <v>15280.8965963064</v>
      </c>
      <c r="T165" s="8" t="n">
        <f aca="false">T373</f>
        <v>15387.4044455826</v>
      </c>
      <c r="U165" s="8" t="n">
        <f aca="false">U373</f>
        <v>15494.6546545683</v>
      </c>
      <c r="V165" s="8" t="n">
        <f aca="false">V373</f>
        <v>15602.6523975107</v>
      </c>
      <c r="W165" s="8" t="n">
        <f aca="false">W373</f>
        <v>15711.4028847213</v>
      </c>
      <c r="X165" s="8" t="n">
        <f aca="false">X373</f>
        <v>15820.9113628278</v>
      </c>
      <c r="Y165" s="8" t="n">
        <f aca="false">Y373</f>
        <v>15931.1831150268</v>
      </c>
      <c r="Z165" s="8" t="n">
        <f aca="false">Z373</f>
        <v>16042.2234613385</v>
      </c>
      <c r="AA165" s="8" t="n">
        <f aca="false">AA373</f>
        <v>16154.037758864</v>
      </c>
      <c r="AB165" s="8" t="n">
        <f aca="false">AB373</f>
        <v>16266.6314020433</v>
      </c>
      <c r="AC165" s="8" t="n">
        <f aca="false">AC373</f>
        <v>16380.0098229155</v>
      </c>
      <c r="AD165" s="8" t="n">
        <f aca="false">AD373</f>
        <v>16494.1784913813</v>
      </c>
      <c r="AE165" s="8" t="n">
        <f aca="false">AE373</f>
        <v>16609.1429154662</v>
      </c>
      <c r="AF165" s="8" t="n">
        <f aca="false">AF373</f>
        <v>16724.908641587</v>
      </c>
      <c r="AG165" s="8" t="n">
        <f aca="false">AG373</f>
        <v>16841.4812548189</v>
      </c>
      <c r="AH165" s="8" t="n">
        <f aca="false">AH373</f>
        <v>16958.8663791649</v>
      </c>
      <c r="AI165" s="8" t="n">
        <f aca="false">AI373</f>
        <v>17077.0696778277</v>
      </c>
      <c r="AJ165" s="8" t="n">
        <f aca="false">AJ373</f>
        <v>17196.0968534822</v>
      </c>
      <c r="AK165" s="8" t="n">
        <f aca="false">AK373</f>
        <v>17315.953648551</v>
      </c>
      <c r="AL165" s="8" t="n">
        <f aca="false">AL373</f>
        <v>17436.6458454814</v>
      </c>
      <c r="AM165" s="8" t="n">
        <f aca="false">AM373</f>
        <v>17558.1792670244</v>
      </c>
      <c r="AN165" s="8" t="n">
        <f aca="false">AN373</f>
        <v>17680.5597765155</v>
      </c>
      <c r="AO165" s="8" t="n">
        <f aca="false">AO373</f>
        <v>17803.7932781578</v>
      </c>
      <c r="AP165" s="8" t="n">
        <f aca="false">AP373</f>
        <v>17927.8857173066</v>
      </c>
      <c r="AQ165" s="8" t="n">
        <f aca="false">AQ373</f>
        <v>18052.8430807562</v>
      </c>
      <c r="AR165" s="8" t="n">
        <f aca="false">AR373</f>
        <v>18178.6713970291</v>
      </c>
      <c r="AS165" s="8" t="n">
        <f aca="false">AS373</f>
        <v>9152.68836833319</v>
      </c>
    </row>
    <row r="166" customFormat="false" ht="14.25" hidden="false" customHeight="false" outlineLevel="0" collapsed="false">
      <c r="C166" s="6" t="s">
        <v>151</v>
      </c>
      <c r="D166" s="2" t="s">
        <v>85</v>
      </c>
      <c r="H166" s="8" t="n">
        <f aca="false">SUM(J166:AS166)</f>
        <v>-144722.966548392</v>
      </c>
      <c r="J166" s="8" t="n">
        <f aca="false">J382</f>
        <v>0</v>
      </c>
      <c r="K166" s="8" t="n">
        <f aca="false">K382</f>
        <v>0</v>
      </c>
      <c r="L166" s="8" t="n">
        <f aca="false">L382</f>
        <v>0</v>
      </c>
      <c r="M166" s="8" t="n">
        <f aca="false">M382</f>
        <v>0</v>
      </c>
      <c r="N166" s="8" t="n">
        <f aca="false">N382</f>
        <v>0</v>
      </c>
      <c r="O166" s="8" t="n">
        <f aca="false">O382</f>
        <v>-1773.53274</v>
      </c>
      <c r="P166" s="8" t="n">
        <f aca="false">P382</f>
        <v>-3618.7154598</v>
      </c>
      <c r="Q166" s="8" t="n">
        <f aca="false">Q382</f>
        <v>-3686.94924820606</v>
      </c>
      <c r="R166" s="8" t="n">
        <f aca="false">R382</f>
        <v>-3756.83104964162</v>
      </c>
      <c r="S166" s="8" t="n">
        <f aca="false">S382</f>
        <v>-3828.40035441326</v>
      </c>
      <c r="T166" s="8" t="n">
        <f aca="false">T382</f>
        <v>-3901.69760982208</v>
      </c>
      <c r="U166" s="8" t="n">
        <f aca="false">U382</f>
        <v>-3976.76424344449</v>
      </c>
      <c r="V166" s="8" t="n">
        <f aca="false">V382</f>
        <v>-4053.64268698113</v>
      </c>
      <c r="W166" s="8" t="n">
        <f aca="false">W382</f>
        <v>-4132.37640068787</v>
      </c>
      <c r="X166" s="8" t="n">
        <f aca="false">X382</f>
        <v>-4213.00989840297</v>
      </c>
      <c r="Y166" s="8" t="n">
        <f aca="false">Y382</f>
        <v>-4295.58877318522</v>
      </c>
      <c r="Z166" s="8" t="n">
        <f aca="false">Z382</f>
        <v>-4380.15972357776</v>
      </c>
      <c r="AA166" s="8" t="n">
        <f aca="false">AA382</f>
        <v>-4466.77058051314</v>
      </c>
      <c r="AB166" s="8" t="n">
        <f aca="false">AB382</f>
        <v>-4555.47033487511</v>
      </c>
      <c r="AC166" s="8" t="n">
        <f aca="false">AC382</f>
        <v>-4646.30916573333</v>
      </c>
      <c r="AD166" s="8" t="n">
        <f aca="false">AD382</f>
        <v>-4739.33846926743</v>
      </c>
      <c r="AE166" s="8" t="n">
        <f aca="false">AE382</f>
        <v>-4834.61088839726</v>
      </c>
      <c r="AF166" s="8" t="n">
        <f aca="false">AF382</f>
        <v>-4932.18034313673</v>
      </c>
      <c r="AG166" s="8" t="n">
        <f aca="false">AG382</f>
        <v>-5032.10206168881</v>
      </c>
      <c r="AH166" s="8" t="n">
        <f aca="false">AH382</f>
        <v>-5134.43261229992</v>
      </c>
      <c r="AI166" s="8" t="n">
        <f aca="false">AI382</f>
        <v>-5239.22993589231</v>
      </c>
      <c r="AJ166" s="8" t="n">
        <f aca="false">AJ382</f>
        <v>-5346.55337949339</v>
      </c>
      <c r="AK166" s="8" t="n">
        <f aca="false">AK382</f>
        <v>-5456.46373048167</v>
      </c>
      <c r="AL166" s="8" t="n">
        <f aca="false">AL382</f>
        <v>-5569.02325166912</v>
      </c>
      <c r="AM166" s="8" t="n">
        <f aca="false">AM382</f>
        <v>-5684.29571724061</v>
      </c>
      <c r="AN166" s="8" t="n">
        <f aca="false">AN382</f>
        <v>-5802.34644957131</v>
      </c>
      <c r="AO166" s="8" t="n">
        <f aca="false">AO382</f>
        <v>-5923.24235694357</v>
      </c>
      <c r="AP166" s="8" t="n">
        <f aca="false">AP382</f>
        <v>-6047.05197218531</v>
      </c>
      <c r="AQ166" s="8" t="n">
        <f aca="false">AQ382</f>
        <v>-6173.84549225257</v>
      </c>
      <c r="AR166" s="8" t="n">
        <f aca="false">AR382</f>
        <v>-6303.69481877916</v>
      </c>
      <c r="AS166" s="8" t="n">
        <f aca="false">AS382</f>
        <v>-3218.33679980867</v>
      </c>
    </row>
    <row r="167" customFormat="false" ht="14.25" hidden="false" customHeight="false" outlineLevel="0" collapsed="false">
      <c r="C167" s="6" t="s">
        <v>152</v>
      </c>
      <c r="D167" s="2" t="s">
        <v>85</v>
      </c>
      <c r="H167" s="8" t="n">
        <f aca="false">SUM(J167:AS167)</f>
        <v>350977.795373224</v>
      </c>
      <c r="J167" s="8" t="n">
        <f aca="false">J383</f>
        <v>0</v>
      </c>
      <c r="K167" s="8" t="n">
        <f aca="false">K383</f>
        <v>0</v>
      </c>
      <c r="L167" s="8" t="n">
        <f aca="false">L383</f>
        <v>0</v>
      </c>
      <c r="M167" s="8" t="n">
        <f aca="false">M383</f>
        <v>0</v>
      </c>
      <c r="N167" s="8" t="n">
        <f aca="false">N383</f>
        <v>0</v>
      </c>
      <c r="O167" s="8" t="n">
        <f aca="false">O383</f>
        <v>5635.26726</v>
      </c>
      <c r="P167" s="8" t="n">
        <f aca="false">P383</f>
        <v>11347.0605402</v>
      </c>
      <c r="Q167" s="8" t="n">
        <f aca="false">Q383</f>
        <v>11383.1382105139</v>
      </c>
      <c r="R167" s="8" t="n">
        <f aca="false">R383</f>
        <v>11418.2949186657</v>
      </c>
      <c r="S167" s="8" t="n">
        <f aca="false">S383</f>
        <v>11452.4962418931</v>
      </c>
      <c r="T167" s="8" t="n">
        <f aca="false">T383</f>
        <v>11485.7068357606</v>
      </c>
      <c r="U167" s="8" t="n">
        <f aca="false">U383</f>
        <v>11517.8904111239</v>
      </c>
      <c r="V167" s="8" t="n">
        <f aca="false">V383</f>
        <v>11549.0097105296</v>
      </c>
      <c r="W167" s="8" t="n">
        <f aca="false">W383</f>
        <v>11579.0264840335</v>
      </c>
      <c r="X167" s="8" t="n">
        <f aca="false">X383</f>
        <v>11607.9014644249</v>
      </c>
      <c r="Y167" s="8" t="n">
        <f aca="false">Y383</f>
        <v>11635.5943418415</v>
      </c>
      <c r="Z167" s="8" t="n">
        <f aca="false">Z383</f>
        <v>11662.0637377607</v>
      </c>
      <c r="AA167" s="8" t="n">
        <f aca="false">AA383</f>
        <v>11687.2671783509</v>
      </c>
      <c r="AB167" s="8" t="n">
        <f aca="false">AB383</f>
        <v>11711.1610671682</v>
      </c>
      <c r="AC167" s="8" t="n">
        <f aca="false">AC383</f>
        <v>11733.7006571822</v>
      </c>
      <c r="AD167" s="8" t="n">
        <f aca="false">AD383</f>
        <v>11754.8400221138</v>
      </c>
      <c r="AE167" s="8" t="n">
        <f aca="false">AE383</f>
        <v>11774.5320270689</v>
      </c>
      <c r="AF167" s="8" t="n">
        <f aca="false">AF383</f>
        <v>11792.7282984503</v>
      </c>
      <c r="AG167" s="8" t="n">
        <f aca="false">AG383</f>
        <v>11809.37919313</v>
      </c>
      <c r="AH167" s="8" t="n">
        <f aca="false">AH383</f>
        <v>11824.433766865</v>
      </c>
      <c r="AI167" s="8" t="n">
        <f aca="false">AI383</f>
        <v>11837.8397419354</v>
      </c>
      <c r="AJ167" s="8" t="n">
        <f aca="false">AJ383</f>
        <v>11849.5434739888</v>
      </c>
      <c r="AK167" s="8" t="n">
        <f aca="false">AK383</f>
        <v>11859.4899180693</v>
      </c>
      <c r="AL167" s="8" t="n">
        <f aca="false">AL383</f>
        <v>11867.6225938122</v>
      </c>
      <c r="AM167" s="8" t="n">
        <f aca="false">AM383</f>
        <v>11873.8835497838</v>
      </c>
      <c r="AN167" s="8" t="n">
        <f aca="false">AN383</f>
        <v>11878.2133269442</v>
      </c>
      <c r="AO167" s="8" t="n">
        <f aca="false">AO383</f>
        <v>11880.5509212143</v>
      </c>
      <c r="AP167" s="8" t="n">
        <f aca="false">AP383</f>
        <v>11880.8337451213</v>
      </c>
      <c r="AQ167" s="8" t="n">
        <f aca="false">AQ383</f>
        <v>11878.9975885037</v>
      </c>
      <c r="AR167" s="8" t="n">
        <f aca="false">AR383</f>
        <v>11874.9765782499</v>
      </c>
      <c r="AS167" s="8" t="n">
        <f aca="false">AS383</f>
        <v>5934.35156852452</v>
      </c>
    </row>
    <row r="168" customFormat="false" ht="14.25" hidden="false" customHeight="false" outlineLevel="0" collapsed="false">
      <c r="C168" s="1" t="s">
        <v>153</v>
      </c>
      <c r="D168" s="2" t="s">
        <v>85</v>
      </c>
      <c r="H168" s="15" t="n">
        <f aca="false">SUM(J168:AS168)</f>
        <v>273541.918132218</v>
      </c>
      <c r="J168" s="15" t="n">
        <f aca="false">J384</f>
        <v>-657.123287671233</v>
      </c>
      <c r="K168" s="15" t="n">
        <f aca="false">K384</f>
        <v>-3313.15361086944</v>
      </c>
      <c r="L168" s="15" t="n">
        <f aca="false">L384</f>
        <v>-3467.62089041096</v>
      </c>
      <c r="M168" s="15" t="n">
        <f aca="false">M384</f>
        <v>-17498.125</v>
      </c>
      <c r="N168" s="15" t="n">
        <f aca="false">N384</f>
        <v>-34996.25</v>
      </c>
      <c r="O168" s="15" t="n">
        <f aca="false">O384</f>
        <v>-14362.85774</v>
      </c>
      <c r="P168" s="15" t="n">
        <f aca="false">P384</f>
        <v>11347.0605402</v>
      </c>
      <c r="Q168" s="15" t="n">
        <f aca="false">Q384</f>
        <v>13877.6587584591</v>
      </c>
      <c r="R168" s="15" t="n">
        <f aca="false">R384</f>
        <v>11418.2949186657</v>
      </c>
      <c r="S168" s="15" t="n">
        <f aca="false">S384</f>
        <v>11452.4962418931</v>
      </c>
      <c r="T168" s="15" t="n">
        <f aca="false">T384</f>
        <v>11485.7068357606</v>
      </c>
      <c r="U168" s="15" t="n">
        <f aca="false">U384</f>
        <v>11517.8904111239</v>
      </c>
      <c r="V168" s="15" t="n">
        <f aca="false">V384</f>
        <v>11549.0097105296</v>
      </c>
      <c r="W168" s="15" t="n">
        <f aca="false">W384</f>
        <v>11579.0264840335</v>
      </c>
      <c r="X168" s="15" t="n">
        <f aca="false">X384</f>
        <v>11607.9014644249</v>
      </c>
      <c r="Y168" s="15" t="n">
        <f aca="false">Y384</f>
        <v>11635.5943418415</v>
      </c>
      <c r="Z168" s="15" t="n">
        <f aca="false">Z384</f>
        <v>11662.0637377607</v>
      </c>
      <c r="AA168" s="15" t="n">
        <f aca="false">AA384</f>
        <v>11687.2671783509</v>
      </c>
      <c r="AB168" s="15" t="n">
        <f aca="false">AB384</f>
        <v>11711.1610671682</v>
      </c>
      <c r="AC168" s="15" t="n">
        <f aca="false">AC384</f>
        <v>11733.7006571822</v>
      </c>
      <c r="AD168" s="15" t="n">
        <f aca="false">AD384</f>
        <v>11754.8400221138</v>
      </c>
      <c r="AE168" s="15" t="n">
        <f aca="false">AE384</f>
        <v>11774.5320270689</v>
      </c>
      <c r="AF168" s="15" t="n">
        <f aca="false">AF384</f>
        <v>11792.7282984503</v>
      </c>
      <c r="AG168" s="15" t="n">
        <f aca="false">AG384</f>
        <v>11809.37919313</v>
      </c>
      <c r="AH168" s="15" t="n">
        <f aca="false">AH384</f>
        <v>11824.433766865</v>
      </c>
      <c r="AI168" s="15" t="n">
        <f aca="false">AI384</f>
        <v>11837.8397419354</v>
      </c>
      <c r="AJ168" s="15" t="n">
        <f aca="false">AJ384</f>
        <v>11849.5434739888</v>
      </c>
      <c r="AK168" s="15" t="n">
        <f aca="false">AK384</f>
        <v>11859.4899180693</v>
      </c>
      <c r="AL168" s="15" t="n">
        <f aca="false">AL384</f>
        <v>11867.6225938122</v>
      </c>
      <c r="AM168" s="15" t="n">
        <f aca="false">AM384</f>
        <v>11873.8835497838</v>
      </c>
      <c r="AN168" s="15" t="n">
        <f aca="false">AN384</f>
        <v>11878.2133269442</v>
      </c>
      <c r="AO168" s="15" t="n">
        <f aca="false">AO384</f>
        <v>11880.5509212143</v>
      </c>
      <c r="AP168" s="15" t="n">
        <f aca="false">AP384</f>
        <v>11880.8337451213</v>
      </c>
      <c r="AQ168" s="15" t="n">
        <f aca="false">AQ384</f>
        <v>11878.9975885037</v>
      </c>
      <c r="AR168" s="15" t="n">
        <f aca="false">AR384</f>
        <v>11874.9765782499</v>
      </c>
      <c r="AS168" s="15" t="n">
        <f aca="false">AS384</f>
        <v>5934.35156852452</v>
      </c>
    </row>
    <row r="169" customFormat="false" ht="14.25" hidden="false" customHeight="false" outlineLevel="0" collapsed="false">
      <c r="C169" s="6" t="s">
        <v>154</v>
      </c>
      <c r="D169" s="2" t="s">
        <v>85</v>
      </c>
      <c r="J169" s="8" t="n">
        <f aca="false">SUM($J168:J168)</f>
        <v>-657.123287671233</v>
      </c>
      <c r="K169" s="8" t="n">
        <f aca="false">SUM($J168:K168)</f>
        <v>-3970.27689854068</v>
      </c>
      <c r="L169" s="8" t="n">
        <f aca="false">SUM($J168:L168)</f>
        <v>-7437.89778895164</v>
      </c>
      <c r="M169" s="8" t="n">
        <f aca="false">SUM($J168:M168)</f>
        <v>-24936.0227889516</v>
      </c>
      <c r="N169" s="8" t="n">
        <f aca="false">SUM($J168:N168)</f>
        <v>-59932.2727889516</v>
      </c>
      <c r="O169" s="8" t="n">
        <f aca="false">SUM($J168:O168)</f>
        <v>-74295.1305289516</v>
      </c>
      <c r="P169" s="8" t="n">
        <f aca="false">SUM($J168:P168)</f>
        <v>-62948.0699887516</v>
      </c>
      <c r="Q169" s="8" t="n">
        <f aca="false">SUM($J168:Q168)</f>
        <v>-49070.4112302925</v>
      </c>
      <c r="R169" s="8" t="n">
        <f aca="false">SUM($J168:R168)</f>
        <v>-37652.1163116268</v>
      </c>
      <c r="S169" s="8" t="n">
        <f aca="false">SUM($J168:S168)</f>
        <v>-26199.6200697337</v>
      </c>
      <c r="T169" s="8" t="n">
        <f aca="false">SUM($J168:T168)</f>
        <v>-14713.9132339731</v>
      </c>
      <c r="U169" s="8" t="n">
        <f aca="false">SUM($J168:U168)</f>
        <v>-3196.02282284929</v>
      </c>
      <c r="V169" s="8" t="n">
        <f aca="false">SUM($J168:V168)</f>
        <v>8352.98688768027</v>
      </c>
      <c r="W169" s="8" t="n">
        <f aca="false">SUM($J168:W168)</f>
        <v>19932.0133717137</v>
      </c>
      <c r="X169" s="8" t="n">
        <f aca="false">SUM($J168:X168)</f>
        <v>31539.9148361386</v>
      </c>
      <c r="Y169" s="8" t="n">
        <f aca="false">SUM($J168:Y168)</f>
        <v>43175.5091779802</v>
      </c>
      <c r="Z169" s="8" t="n">
        <f aca="false">SUM($J168:Z168)</f>
        <v>54837.5729157409</v>
      </c>
      <c r="AA169" s="8" t="n">
        <f aca="false">SUM($J168:AA168)</f>
        <v>66524.8400940918</v>
      </c>
      <c r="AB169" s="8" t="n">
        <f aca="false">SUM($J168:AB168)</f>
        <v>78236.00116126</v>
      </c>
      <c r="AC169" s="8" t="n">
        <f aca="false">SUM($J168:AC168)</f>
        <v>89969.7018184422</v>
      </c>
      <c r="AD169" s="8" t="n">
        <f aca="false">SUM($J168:AD168)</f>
        <v>101724.541840556</v>
      </c>
      <c r="AE169" s="8" t="n">
        <f aca="false">SUM($J168:AE168)</f>
        <v>113499.073867625</v>
      </c>
      <c r="AF169" s="8" t="n">
        <f aca="false">SUM($J168:AF168)</f>
        <v>125291.802166075</v>
      </c>
      <c r="AG169" s="8" t="n">
        <f aca="false">SUM($J168:AG168)</f>
        <v>137101.181359205</v>
      </c>
      <c r="AH169" s="8" t="n">
        <f aca="false">SUM($J168:AH168)</f>
        <v>148925.61512607</v>
      </c>
      <c r="AI169" s="8" t="n">
        <f aca="false">SUM($J168:AI168)</f>
        <v>160763.454868006</v>
      </c>
      <c r="AJ169" s="8" t="n">
        <f aca="false">SUM($J168:AJ168)</f>
        <v>172612.998341995</v>
      </c>
      <c r="AK169" s="8" t="n">
        <f aca="false">SUM($J168:AK168)</f>
        <v>184472.488260064</v>
      </c>
      <c r="AL169" s="8" t="n">
        <f aca="false">SUM($J168:AL168)</f>
        <v>196340.110853876</v>
      </c>
      <c r="AM169" s="8" t="n">
        <f aca="false">SUM($J168:AM168)</f>
        <v>208213.99440366</v>
      </c>
      <c r="AN169" s="8" t="n">
        <f aca="false">SUM($J168:AN168)</f>
        <v>220092.207730604</v>
      </c>
      <c r="AO169" s="8" t="n">
        <f aca="false">SUM($J168:AO168)</f>
        <v>231972.758651818</v>
      </c>
      <c r="AP169" s="8" t="n">
        <f aca="false">SUM($J168:AP168)</f>
        <v>243853.59239694</v>
      </c>
      <c r="AQ169" s="8" t="n">
        <f aca="false">SUM($J168:AQ168)</f>
        <v>255732.589985443</v>
      </c>
      <c r="AR169" s="8" t="n">
        <f aca="false">SUM($J168:AR168)</f>
        <v>267607.566563693</v>
      </c>
      <c r="AS169" s="8" t="n">
        <f aca="false">SUM($J168:AS168)</f>
        <v>273541.918132218</v>
      </c>
    </row>
    <row r="171" customFormat="false" ht="14.25" hidden="false" customHeight="false" outlineLevel="0" collapsed="false">
      <c r="B171" s="4" t="s">
        <v>3</v>
      </c>
      <c r="C171" s="4" t="s">
        <v>155</v>
      </c>
      <c r="D171" s="4"/>
      <c r="E171" s="5" t="s">
        <v>5</v>
      </c>
      <c r="F171" s="5" t="s">
        <v>6</v>
      </c>
      <c r="G171" s="5" t="s">
        <v>7</v>
      </c>
      <c r="H171" s="5" t="s">
        <v>8</v>
      </c>
    </row>
    <row r="173" customFormat="false" ht="14.25" hidden="false" customHeight="false" outlineLevel="0" collapsed="false">
      <c r="B173" s="4" t="s">
        <v>3</v>
      </c>
      <c r="C173" s="4" t="s">
        <v>156</v>
      </c>
      <c r="D173" s="4"/>
      <c r="E173" s="5" t="s">
        <v>5</v>
      </c>
      <c r="F173" s="5" t="s">
        <v>6</v>
      </c>
      <c r="G173" s="5" t="s">
        <v>7</v>
      </c>
      <c r="H173" s="5" t="s">
        <v>8</v>
      </c>
    </row>
    <row r="174" customFormat="false" ht="14.25" hidden="false" customHeight="false" outlineLevel="0" collapsed="false">
      <c r="C174" s="6" t="s">
        <v>157</v>
      </c>
      <c r="D174" s="2" t="s">
        <v>158</v>
      </c>
      <c r="E174" s="25" t="n">
        <f aca="false">MIN(Freeze_Date,Sale_Date)</f>
        <v>47299</v>
      </c>
      <c r="F174" s="25" t="n">
        <f aca="false">MIN(Freeze_Date,Sale_Date)</f>
        <v>47299</v>
      </c>
      <c r="G174" s="25" t="n">
        <f aca="false">MIN(Freeze_Date,Sale_Date)</f>
        <v>47299</v>
      </c>
    </row>
    <row r="175" customFormat="false" ht="14.25" hidden="false" customHeight="false" outlineLevel="0" collapsed="false">
      <c r="C175" s="6" t="s">
        <v>159</v>
      </c>
      <c r="D175" s="2" t="s">
        <v>3</v>
      </c>
      <c r="E175" s="57" t="n">
        <f aca="false">1+Rate_Cash*(E174-DATE(YEAR(E174),1,1)+1)/Days_In_Year</f>
        <v>1.05950684931507</v>
      </c>
      <c r="F175" s="57" t="n">
        <f aca="false">1+Rate_Cash*(F174-DATE(YEAR(F174),1,1)+1)/Days_In_Year</f>
        <v>1.05950684931507</v>
      </c>
      <c r="G175" s="57" t="n">
        <f aca="false">1+Rate_Cash*(G174-DATE(YEAR(G174),1,1)+1)/Days_In_Year</f>
        <v>1.05950684931507</v>
      </c>
    </row>
    <row r="176" customFormat="false" ht="14.25" hidden="false" customHeight="false" outlineLevel="0" collapsed="false">
      <c r="C176" s="6" t="s">
        <v>160</v>
      </c>
      <c r="D176" s="2" t="s">
        <v>3</v>
      </c>
      <c r="E176" s="57" t="n">
        <f aca="false">1+Rate_Devex*(E174-DATE(YEAR(E174),1,1)+1)/Days_In_Year</f>
        <v>1.09917808219178</v>
      </c>
      <c r="F176" s="57" t="n">
        <f aca="false">1+Rate_Devex*(F174-DATE(YEAR(F174),1,1)+1)/Days_In_Year</f>
        <v>1.09917808219178</v>
      </c>
      <c r="G176" s="57" t="n">
        <f aca="false">1+Rate_Devex*(G174-DATE(YEAR(G174),1,1)+1)/Days_In_Year</f>
        <v>1.09917808219178</v>
      </c>
    </row>
    <row r="177" customFormat="false" ht="14.25" hidden="false" customHeight="false" outlineLevel="0" collapsed="false">
      <c r="C177" s="6" t="s">
        <v>161</v>
      </c>
      <c r="D177" s="2" t="s">
        <v>162</v>
      </c>
      <c r="E177" s="58" t="n">
        <f aca="false">DATE(YEAR(Inputs!E$21)+1,1,1)-Inputs!E$21</f>
        <v>63</v>
      </c>
      <c r="F177" s="58" t="n">
        <f aca="false">DATE(YEAR(Inputs!F$21)+1,1,1)-Inputs!F$21</f>
        <v>63</v>
      </c>
      <c r="G177" s="58" t="n">
        <f aca="false">DATE(YEAR(Inputs!G$21)+1,1,1)-Inputs!G$21</f>
        <v>63</v>
      </c>
    </row>
    <row r="178" customFormat="false" ht="14.25" hidden="false" customHeight="false" outlineLevel="0" collapsed="false">
      <c r="C178" s="6" t="s">
        <v>163</v>
      </c>
      <c r="D178" s="2" t="s">
        <v>3</v>
      </c>
      <c r="E178" s="57" t="n">
        <f aca="false">(1+Rate_Cash*E177/Days_In_Year)*(1+Rate_Cash)^(YEAR(E174)-YEAR(Inputs!E$21)-1)*E175</f>
        <v>1.35657301688182</v>
      </c>
      <c r="F178" s="57" t="n">
        <f aca="false">(1+Rate_Cash*F177/Days_In_Year)*(1+Rate_Cash)^(YEAR(F174)-YEAR(Inputs!F$21)-1)*F175</f>
        <v>1.35657301688182</v>
      </c>
      <c r="G178" s="57" t="n">
        <f aca="false">(1+Rate_Cash*G177/Days_In_Year)*(1+Rate_Cash)^(YEAR(G174)-YEAR(Inputs!G$21)-1)*G175</f>
        <v>1.35657301688182</v>
      </c>
    </row>
    <row r="179" customFormat="false" ht="14.25" hidden="false" customHeight="false" outlineLevel="0" collapsed="false">
      <c r="C179" s="6" t="s">
        <v>164</v>
      </c>
      <c r="D179" s="2" t="s">
        <v>162</v>
      </c>
      <c r="E179" s="58" t="n">
        <f aca="false">DATE(YEAR(Inputs!E$22)+1,1,1)-Inputs!E$22</f>
        <v>351</v>
      </c>
      <c r="F179" s="58" t="n">
        <f aca="false">DATE(YEAR(Inputs!F$22)+1,1,1)-Inputs!F$22</f>
        <v>351</v>
      </c>
      <c r="G179" s="58" t="n">
        <f aca="false">DATE(YEAR(Inputs!G$22)+1,1,1)-Inputs!G$22</f>
        <v>351</v>
      </c>
    </row>
    <row r="180" customFormat="false" ht="14.25" hidden="false" customHeight="false" outlineLevel="0" collapsed="false">
      <c r="C180" s="6" t="s">
        <v>165</v>
      </c>
      <c r="D180" s="2" t="s">
        <v>3</v>
      </c>
      <c r="E180" s="57" t="n">
        <f aca="false">(1+Rate_Cash*E179/Days_In_Year)*(1+Rate_Cash)^(YEAR(E174)-YEAR(Inputs!E$22)-1)*E175</f>
        <v>1.32358356140364</v>
      </c>
      <c r="F180" s="57" t="n">
        <f aca="false">(1+Rate_Cash*F179/Days_In_Year)*(1+Rate_Cash)^(YEAR(F174)-YEAR(Inputs!F$22)-1)*F175</f>
        <v>1.32358356140364</v>
      </c>
      <c r="G180" s="57" t="n">
        <f aca="false">(1+Rate_Cash*G179/Days_In_Year)*(1+Rate_Cash)^(YEAR(G174)-YEAR(Inputs!G$22)-1)*G175</f>
        <v>1.32358356140364</v>
      </c>
    </row>
    <row r="181" customFormat="false" ht="14.25" hidden="false" customHeight="false" outlineLevel="0" collapsed="false">
      <c r="C181" s="6" t="s">
        <v>166</v>
      </c>
      <c r="D181" s="2" t="s">
        <v>162</v>
      </c>
      <c r="E181" s="58" t="n">
        <f aca="false">DATE(YEAR(Inputs!E$23)+1,1,1)-Inputs!E$23</f>
        <v>351</v>
      </c>
      <c r="F181" s="58" t="n">
        <f aca="false">DATE(YEAR(Inputs!F$23)+1,1,1)-Inputs!F$23</f>
        <v>351</v>
      </c>
      <c r="G181" s="58" t="n">
        <f aca="false">DATE(YEAR(Inputs!G$23)+1,1,1)-Inputs!G$23</f>
        <v>351</v>
      </c>
    </row>
    <row r="182" customFormat="false" ht="14.25" hidden="false" customHeight="false" outlineLevel="0" collapsed="false">
      <c r="C182" s="6" t="s">
        <v>167</v>
      </c>
      <c r="D182" s="2" t="s">
        <v>3</v>
      </c>
      <c r="E182" s="57" t="n">
        <f aca="false">(1+Rate_Cash*E181/Days_In_Year)*(1+Rate_Cash)^(YEAR(E174)-YEAR(Inputs!E$23)-1)*E175</f>
        <v>1.32358356140364</v>
      </c>
      <c r="F182" s="57" t="n">
        <f aca="false">(1+Rate_Cash*F181/Days_In_Year)*(1+Rate_Cash)^(YEAR(F174)-YEAR(Inputs!F$23)-1)*F175</f>
        <v>1.32358356140364</v>
      </c>
      <c r="G182" s="57" t="n">
        <f aca="false">(1+Rate_Cash*G181/Days_In_Year)*(1+Rate_Cash)^(YEAR(G174)-YEAR(Inputs!G$23)-1)*G175</f>
        <v>1.32358356140364</v>
      </c>
    </row>
    <row r="183" customFormat="false" ht="14.25" hidden="false" customHeight="false" outlineLevel="0" collapsed="false">
      <c r="C183" s="6" t="s">
        <v>168</v>
      </c>
      <c r="D183" s="2" t="s">
        <v>162</v>
      </c>
      <c r="E183" s="58" t="n">
        <f aca="false">DATE(YEAR(Inputs!E$24)+1,1,1)-Inputs!E$24</f>
        <v>92</v>
      </c>
      <c r="F183" s="58" t="n">
        <f aca="false">DATE(YEAR(Inputs!F$24)+1,1,1)-Inputs!F$24</f>
        <v>92</v>
      </c>
      <c r="G183" s="58" t="n">
        <f aca="false">DATE(YEAR(Inputs!G$24)+1,1,1)-Inputs!G$24</f>
        <v>92</v>
      </c>
    </row>
    <row r="184" customFormat="false" ht="14.25" hidden="false" customHeight="false" outlineLevel="0" collapsed="false">
      <c r="C184" s="6" t="s">
        <v>169</v>
      </c>
      <c r="D184" s="2" t="s">
        <v>3</v>
      </c>
      <c r="E184" s="57" t="n">
        <f aca="false">(1+Rate_Cash*E183/Days_In_Year)*(1+Rate_Cash)^(YEAR(E174)-YEAR(Inputs!E$24)-1)*E175</f>
        <v>1.09155330305874</v>
      </c>
      <c r="F184" s="57" t="n">
        <f aca="false">(1+Rate_Cash*F183/Days_In_Year)*(1+Rate_Cash)^(YEAR(F174)-YEAR(Inputs!F$24)-1)*F175</f>
        <v>1.09155330305874</v>
      </c>
      <c r="G184" s="57" t="n">
        <f aca="false">(1+Rate_Cash*G183/Days_In_Year)*(1+Rate_Cash)^(YEAR(G174)-YEAR(Inputs!G$24)-1)*G175</f>
        <v>1.09155330305874</v>
      </c>
    </row>
    <row r="185" customFormat="false" ht="14.25" hidden="false" customHeight="false" outlineLevel="0" collapsed="false">
      <c r="C185" s="6" t="s">
        <v>170</v>
      </c>
      <c r="D185" s="2" t="s">
        <v>162</v>
      </c>
      <c r="E185" s="58" t="n">
        <f aca="false">DATE(YEAR($J$56)+1,1,1)-$J$56</f>
        <v>241.823134179002</v>
      </c>
      <c r="F185" s="58" t="n">
        <f aca="false">DATE(YEAR($J$56)+1,1,1)-$J$56</f>
        <v>241.823134179002</v>
      </c>
      <c r="G185" s="58" t="n">
        <f aca="false">DATE(YEAR($J$56)+1,1,1)-$J$56</f>
        <v>241.823134179002</v>
      </c>
    </row>
    <row r="186" customFormat="false" ht="14.25" hidden="false" customHeight="false" outlineLevel="0" collapsed="false">
      <c r="C186" s="6" t="s">
        <v>171</v>
      </c>
      <c r="D186" s="2" t="s">
        <v>3</v>
      </c>
      <c r="E186" s="57" t="n">
        <f aca="false">(1+Rate_Devex*E185/Days_In_Year)*(1+Rate_Devex)^(YEAR(E174)-YEAR($J$56)-1)*E176</f>
        <v>1.24482558293506</v>
      </c>
      <c r="F186" s="57" t="n">
        <f aca="false">(1+Rate_Devex*F185/Days_In_Year)*(1+Rate_Devex)^(YEAR(F174)-YEAR($J$56)-1)*F176</f>
        <v>1.24482558293506</v>
      </c>
      <c r="G186" s="57" t="n">
        <f aca="false">(1+Rate_Devex*G185/Days_In_Year)*(1+Rate_Devex)^(YEAR(G174)-YEAR($J$56)-1)*G176</f>
        <v>1.24482558293506</v>
      </c>
    </row>
    <row r="187" customFormat="false" ht="14.25" hidden="false" customHeight="false" outlineLevel="0" collapsed="false">
      <c r="C187" s="6" t="s">
        <v>172</v>
      </c>
      <c r="D187" s="2" t="s">
        <v>162</v>
      </c>
      <c r="E187" s="58" t="n">
        <f aca="false">DATE(YEAR($J$55)+1,1,1)-$J$55</f>
        <v>38.8757241119529</v>
      </c>
      <c r="F187" s="58" t="n">
        <f aca="false">DATE(YEAR($J$55)+1,1,1)-$J$55</f>
        <v>38.8757241119529</v>
      </c>
      <c r="G187" s="58" t="n">
        <f aca="false">DATE(YEAR($J$55)+1,1,1)-$J$55</f>
        <v>38.8757241119529</v>
      </c>
    </row>
    <row r="188" customFormat="false" ht="14.25" hidden="false" customHeight="false" outlineLevel="0" collapsed="false">
      <c r="C188" s="6" t="s">
        <v>173</v>
      </c>
      <c r="D188" s="2" t="s">
        <v>3</v>
      </c>
      <c r="E188" s="57" t="n">
        <f aca="false">(1+Rate_Devex*E187/Days_In_Year)*(1+Rate_Devex)^(YEAR(E174)-YEAR($J$55)-1)*E176</f>
        <v>1.34711102062895</v>
      </c>
      <c r="F188" s="57" t="n">
        <f aca="false">(1+Rate_Devex*F187/Days_In_Year)*(1+Rate_Devex)^(YEAR(F174)-YEAR($J$55)-1)*F176</f>
        <v>1.34711102062895</v>
      </c>
      <c r="G188" s="57" t="n">
        <f aca="false">(1+Rate_Devex*G187/Days_In_Year)*(1+Rate_Devex)^(YEAR(G174)-YEAR($J$55)-1)*G176</f>
        <v>1.34711102062895</v>
      </c>
    </row>
    <row r="189" customFormat="false" ht="14.25" hidden="false" customHeight="false" outlineLevel="0" collapsed="false">
      <c r="C189" s="6" t="s">
        <v>174</v>
      </c>
      <c r="D189" s="2" t="s">
        <v>85</v>
      </c>
      <c r="E189" s="17" t="n">
        <f aca="false">E$21*E61*(E178-1)</f>
        <v>2.93073712505603</v>
      </c>
      <c r="F189" s="17" t="n">
        <f aca="false">F$21*F61*(F178-1)</f>
        <v>0</v>
      </c>
      <c r="G189" s="17" t="n">
        <f aca="false">G$21*G61*(G178-1)</f>
        <v>0</v>
      </c>
      <c r="H189" s="17" t="n">
        <f aca="false">SUM(E189:G189)</f>
        <v>2.93073712505603</v>
      </c>
    </row>
    <row r="190" customFormat="false" ht="14.25" hidden="false" customHeight="false" outlineLevel="0" collapsed="false">
      <c r="C190" s="6" t="s">
        <v>175</v>
      </c>
      <c r="D190" s="2" t="s">
        <v>85</v>
      </c>
      <c r="E190" s="8" t="n">
        <f aca="false">E$21*E62*(E178-1)</f>
        <v>99.1566060643957</v>
      </c>
      <c r="F190" s="8" t="n">
        <f aca="false">F$21*F62*(F178-1)</f>
        <v>0</v>
      </c>
      <c r="G190" s="8" t="n">
        <f aca="false">G$21*G62*(G178-1)</f>
        <v>0</v>
      </c>
      <c r="H190" s="8" t="n">
        <f aca="false">SUM(E190:G190)</f>
        <v>99.1566060643957</v>
      </c>
    </row>
    <row r="191" customFormat="false" ht="14.25" hidden="false" customHeight="false" outlineLevel="0" collapsed="false">
      <c r="C191" s="6" t="s">
        <v>176</v>
      </c>
      <c r="D191" s="2" t="s">
        <v>85</v>
      </c>
      <c r="E191" s="8" t="n">
        <f aca="false">E$21*E63*(E180-1)</f>
        <v>359.931303917474</v>
      </c>
      <c r="F191" s="8" t="n">
        <f aca="false">F$21*F63*(F180-1)</f>
        <v>0</v>
      </c>
      <c r="G191" s="8" t="n">
        <f aca="false">G$21*G63*(G180-1)</f>
        <v>0</v>
      </c>
      <c r="H191" s="8" t="n">
        <f aca="false">SUM(E191:G191)</f>
        <v>359.931303917474</v>
      </c>
    </row>
    <row r="192" customFormat="false" ht="14.25" hidden="false" customHeight="false" outlineLevel="0" collapsed="false">
      <c r="C192" s="6" t="s">
        <v>177</v>
      </c>
      <c r="D192" s="2" t="s">
        <v>85</v>
      </c>
      <c r="E192" s="8" t="n">
        <f aca="false">E$21*E64*(E182-1)</f>
        <v>199.469318673477</v>
      </c>
      <c r="F192" s="8" t="n">
        <f aca="false">F$21*F64*(F182-1)</f>
        <v>0</v>
      </c>
      <c r="G192" s="8" t="n">
        <f aca="false">G$21*G64*(G182-1)</f>
        <v>0</v>
      </c>
      <c r="H192" s="8" t="n">
        <f aca="false">SUM(E192:G192)</f>
        <v>199.469318673477</v>
      </c>
    </row>
    <row r="193" customFormat="false" ht="14.25" hidden="false" customHeight="false" outlineLevel="0" collapsed="false">
      <c r="C193" s="6" t="s">
        <v>178</v>
      </c>
      <c r="D193" s="2" t="s">
        <v>85</v>
      </c>
      <c r="E193" s="8" t="n">
        <f aca="false">E$21*E65*(E184-1)</f>
        <v>63.7544348660937</v>
      </c>
      <c r="F193" s="8" t="n">
        <f aca="false">F$21*F65*(F184-1)</f>
        <v>0</v>
      </c>
      <c r="G193" s="8" t="n">
        <f aca="false">G$21*G65*(G184-1)</f>
        <v>0</v>
      </c>
      <c r="H193" s="8" t="n">
        <f aca="false">SUM(E193:G193)</f>
        <v>63.7544348660937</v>
      </c>
    </row>
    <row r="194" customFormat="false" ht="14.25" hidden="false" customHeight="false" outlineLevel="0" collapsed="false">
      <c r="C194" s="6" t="s">
        <v>179</v>
      </c>
      <c r="D194" s="2" t="s">
        <v>85</v>
      </c>
      <c r="E194" s="8" t="n">
        <f aca="false">E$21*E66*(E184-1)</f>
        <v>859.990350596064</v>
      </c>
      <c r="F194" s="8" t="n">
        <f aca="false">F$21*F66*(F184-1)</f>
        <v>0</v>
      </c>
      <c r="G194" s="8" t="n">
        <f aca="false">G$21*G66*(G184-1)</f>
        <v>0</v>
      </c>
      <c r="H194" s="8" t="n">
        <f aca="false">SUM(E194:G194)</f>
        <v>859.990350596064</v>
      </c>
    </row>
    <row r="195" customFormat="false" ht="14.25" hidden="false" customHeight="false" outlineLevel="0" collapsed="false">
      <c r="C195" s="6" t="s">
        <v>180</v>
      </c>
      <c r="D195" s="2" t="s">
        <v>85</v>
      </c>
      <c r="E195" s="8" t="n">
        <f aca="false">E$21*E68*MAX(E186-1,Devex_Floor-1)</f>
        <v>107.801712328767</v>
      </c>
      <c r="F195" s="8" t="n">
        <f aca="false">F$21*F68*MAX(F186-1,Devex_Floor-1)</f>
        <v>0</v>
      </c>
      <c r="G195" s="8" t="n">
        <f aca="false">G$21*G68*MAX(G186-1,Devex_Floor-1)</f>
        <v>0</v>
      </c>
      <c r="H195" s="8" t="n">
        <f aca="false">SUM(E195:G195)</f>
        <v>107.801712328767</v>
      </c>
    </row>
    <row r="196" customFormat="false" ht="14.25" hidden="false" customHeight="false" outlineLevel="0" collapsed="false">
      <c r="C196" s="6" t="s">
        <v>181</v>
      </c>
      <c r="D196" s="2" t="s">
        <v>85</v>
      </c>
      <c r="E196" s="8" t="n">
        <f aca="false">E$21*E67*MAX(E188-1,Devex_Floor-1)</f>
        <v>701.098816348896</v>
      </c>
      <c r="F196" s="8" t="n">
        <f aca="false">F$21*F67*MAX(F188-1,Devex_Floor-1)</f>
        <v>0</v>
      </c>
      <c r="G196" s="8" t="n">
        <f aca="false">G$21*G67*MAX(G188-1,Devex_Floor-1)</f>
        <v>0</v>
      </c>
      <c r="H196" s="8" t="n">
        <f aca="false">SUM(E196:G196)</f>
        <v>701.098816348896</v>
      </c>
    </row>
    <row r="197" customFormat="false" ht="14.25" hidden="false" customHeight="false" outlineLevel="0" collapsed="false">
      <c r="C197" s="1" t="s">
        <v>182</v>
      </c>
      <c r="D197" s="2" t="s">
        <v>85</v>
      </c>
      <c r="E197" s="34" t="n">
        <f aca="false">SUM(E189:E196)</f>
        <v>2394.13327992022</v>
      </c>
      <c r="F197" s="34" t="n">
        <f aca="false">SUM(F189:F196)</f>
        <v>0</v>
      </c>
      <c r="G197" s="34" t="n">
        <f aca="false">SUM(G189:G196)</f>
        <v>0</v>
      </c>
      <c r="H197" s="34" t="n">
        <f aca="false">SUM(E197:G197)</f>
        <v>2394.13327992022</v>
      </c>
    </row>
    <row r="198" customFormat="false" ht="14.25" hidden="false" customHeight="false" outlineLevel="0" collapsed="false">
      <c r="C198" s="6" t="s">
        <v>183</v>
      </c>
      <c r="D198" s="2" t="s">
        <v>85</v>
      </c>
      <c r="E198" s="8" t="n">
        <f aca="false">E20*MIN(DSA_Rate*YEARFRAC(Inputs!E$28,Sale_Date),DSA_Cap)*E44</f>
        <v>364.583333333333</v>
      </c>
      <c r="F198" s="8" t="n">
        <f aca="false">F20*MIN(DSA_Rate*YEARFRAC(Inputs!F$28,Sale_Date),DSA_Cap)*F44</f>
        <v>0</v>
      </c>
      <c r="G198" s="8" t="n">
        <f aca="false">G20*MIN(DSA_Rate*YEARFRAC(Inputs!G$28,Sale_Date),DSA_Cap)*G44</f>
        <v>0</v>
      </c>
      <c r="H198" s="8" t="n">
        <f aca="false">SUM(E198:G198)</f>
        <v>364.583333333333</v>
      </c>
    </row>
    <row r="200" customFormat="false" ht="14.25" hidden="false" customHeight="false" outlineLevel="0" collapsed="false">
      <c r="B200" s="4" t="s">
        <v>3</v>
      </c>
      <c r="C200" s="4" t="s">
        <v>184</v>
      </c>
      <c r="D200" s="4"/>
      <c r="E200" s="5" t="s">
        <v>5</v>
      </c>
      <c r="F200" s="5" t="s">
        <v>6</v>
      </c>
      <c r="G200" s="5" t="s">
        <v>7</v>
      </c>
      <c r="H200" s="5" t="s">
        <v>8</v>
      </c>
    </row>
    <row r="201" customFormat="false" ht="14.25" hidden="false" customHeight="false" outlineLevel="0" collapsed="false">
      <c r="C201" s="6" t="s">
        <v>28</v>
      </c>
      <c r="D201" s="2" t="s">
        <v>85</v>
      </c>
      <c r="E201" s="8" t="n">
        <f aca="false">E18*E6</f>
        <v>7500</v>
      </c>
      <c r="F201" s="8" t="n">
        <f aca="false">F18*F6</f>
        <v>7500</v>
      </c>
      <c r="G201" s="8" t="n">
        <f aca="false">G18*G6</f>
        <v>7500</v>
      </c>
      <c r="H201" s="8" t="n">
        <f aca="false">SUM(E201:G201)</f>
        <v>22500</v>
      </c>
    </row>
    <row r="202" customFormat="false" ht="14.25" hidden="false" customHeight="false" outlineLevel="0" collapsed="false">
      <c r="C202" s="6" t="s">
        <v>185</v>
      </c>
      <c r="D202" s="2" t="s">
        <v>85</v>
      </c>
      <c r="E202" s="8" t="n">
        <f aca="false">SUM(E62:E66)</f>
        <v>12096.5430191781</v>
      </c>
      <c r="F202" s="8" t="n">
        <f aca="false">SUM(F62:F66)</f>
        <v>6470.77808219178</v>
      </c>
      <c r="G202" s="8" t="n">
        <f aca="false">SUM(G62:G66)</f>
        <v>6470.77808219178</v>
      </c>
      <c r="H202" s="8" t="n">
        <f aca="false">SUM(E202:G202)</f>
        <v>25038.0991835616</v>
      </c>
    </row>
    <row r="203" customFormat="false" ht="14.25" hidden="false" customHeight="false" outlineLevel="0" collapsed="false">
      <c r="C203" s="1" t="s">
        <v>186</v>
      </c>
      <c r="D203" s="2" t="s">
        <v>85</v>
      </c>
      <c r="E203" s="15" t="n">
        <f aca="false">E201+E202</f>
        <v>19596.5430191781</v>
      </c>
      <c r="F203" s="15" t="n">
        <f aca="false">F201+F202</f>
        <v>13970.7780821918</v>
      </c>
      <c r="G203" s="15" t="n">
        <f aca="false">G201+G202</f>
        <v>13970.7780821918</v>
      </c>
      <c r="H203" s="15" t="n">
        <f aca="false">SUM(E203:G203)</f>
        <v>47538.0991835616</v>
      </c>
    </row>
    <row r="204" customFormat="false" ht="14.25" hidden="false" customHeight="false" outlineLevel="0" collapsed="false">
      <c r="C204" s="6" t="s">
        <v>187</v>
      </c>
      <c r="D204" s="2" t="s">
        <v>85</v>
      </c>
      <c r="E204" s="8" t="n">
        <f aca="false">-MIN(E203,Sale_Costs)</f>
        <v>-250</v>
      </c>
      <c r="F204" s="8" t="n">
        <f aca="false">-MIN(F203,Sale_Costs)</f>
        <v>-250</v>
      </c>
      <c r="G204" s="8" t="n">
        <f aca="false">-MIN(G203,Sale_Costs)</f>
        <v>-250</v>
      </c>
      <c r="H204" s="8" t="n">
        <f aca="false">SUM(E204:G204)</f>
        <v>-750</v>
      </c>
    </row>
    <row r="205" customFormat="false" ht="14.25" hidden="false" customHeight="false" outlineLevel="0" collapsed="false">
      <c r="C205" s="6" t="s">
        <v>188</v>
      </c>
      <c r="D205" s="2" t="s">
        <v>85</v>
      </c>
      <c r="E205" s="8" t="n">
        <f aca="false">-MIN(SUM(E203:E204),E202)</f>
        <v>-12096.5430191781</v>
      </c>
      <c r="F205" s="8" t="n">
        <f aca="false">-MIN(SUM(F203:F204),F202)</f>
        <v>-6470.77808219178</v>
      </c>
      <c r="G205" s="8" t="n">
        <f aca="false">-MIN(SUM(G203:G204),G202)</f>
        <v>-6470.77808219178</v>
      </c>
      <c r="H205" s="8" t="n">
        <f aca="false">SUM(E205:G205)</f>
        <v>-25038.0991835616</v>
      </c>
    </row>
    <row r="206" customFormat="false" ht="14.25" hidden="false" customHeight="false" outlineLevel="0" collapsed="false">
      <c r="C206" s="6" t="s">
        <v>189</v>
      </c>
      <c r="D206" s="2" t="s">
        <v>85</v>
      </c>
      <c r="E206" s="8" t="n">
        <f aca="false">-MIN(SUM(E203:E205),SUM(E189:E194))</f>
        <v>-1585.23275124256</v>
      </c>
      <c r="F206" s="33" t="n">
        <f aca="false">-MIN(SUM(F203:F205),SUM(F189:F194))</f>
        <v>-0</v>
      </c>
      <c r="G206" s="8" t="n">
        <f aca="false">-MIN(SUM(G203:G205),SUM(G189:G194))</f>
        <v>-0</v>
      </c>
      <c r="H206" s="8" t="n">
        <f aca="false">SUM(E206:G206)</f>
        <v>-1585.23275124256</v>
      </c>
    </row>
    <row r="207" customFormat="false" ht="14.25" hidden="false" customHeight="false" outlineLevel="0" collapsed="false">
      <c r="C207" s="6" t="s">
        <v>190</v>
      </c>
      <c r="D207" s="2" t="s">
        <v>85</v>
      </c>
      <c r="E207" s="8" t="n">
        <f aca="false">-MIN(SUM(E203:E206),SUM(E195:E196))</f>
        <v>-808.900528677663</v>
      </c>
      <c r="F207" s="33" t="n">
        <f aca="false">-MIN(SUM(F203:F206),SUM(F195:F196))</f>
        <v>-0</v>
      </c>
      <c r="G207" s="8" t="n">
        <f aca="false">-MIN(SUM(G203:G206),SUM(G195:G196))</f>
        <v>-0</v>
      </c>
      <c r="H207" s="8" t="n">
        <f aca="false">SUM(E207:G207)</f>
        <v>-808.900528677663</v>
      </c>
    </row>
    <row r="208" customFormat="false" ht="14.25" hidden="false" customHeight="false" outlineLevel="0" collapsed="false">
      <c r="C208" s="6" t="s">
        <v>191</v>
      </c>
      <c r="D208" s="2" t="s">
        <v>85</v>
      </c>
      <c r="E208" s="8" t="n">
        <f aca="false">-MIN(SUM(E203:E207),E198)</f>
        <v>-364.583333333333</v>
      </c>
      <c r="F208" s="8" t="n">
        <f aca="false">-MIN(SUM(F203:F207),F198)</f>
        <v>-0</v>
      </c>
      <c r="G208" s="8" t="n">
        <f aca="false">-MIN(SUM(G203:G207),G198)</f>
        <v>-0</v>
      </c>
      <c r="H208" s="8" t="n">
        <f aca="false">SUM(E208:G208)</f>
        <v>-364.583333333333</v>
      </c>
    </row>
    <row r="209" customFormat="false" ht="14.25" hidden="false" customHeight="false" outlineLevel="0" collapsed="false">
      <c r="C209" s="1" t="s">
        <v>192</v>
      </c>
      <c r="D209" s="2" t="s">
        <v>85</v>
      </c>
      <c r="E209" s="34" t="n">
        <f aca="false">SUM(E203:E208)</f>
        <v>4491.28338674645</v>
      </c>
      <c r="F209" s="34" t="n">
        <f aca="false">SUM(F203:F208)</f>
        <v>7250</v>
      </c>
      <c r="G209" s="34" t="n">
        <f aca="false">SUM(G203:G208)</f>
        <v>7250</v>
      </c>
      <c r="H209" s="34" t="n">
        <f aca="false">SUM(E209:G209)</f>
        <v>18991.2833867464</v>
      </c>
    </row>
    <row r="210" customFormat="false" ht="14.25" hidden="false" customHeight="false" outlineLevel="0" collapsed="false">
      <c r="C210" s="6" t="s">
        <v>193</v>
      </c>
      <c r="D210" s="2" t="s">
        <v>85</v>
      </c>
      <c r="E210" s="8" t="n">
        <f aca="false">E209*E19</f>
        <v>3143.89837072251</v>
      </c>
      <c r="F210" s="8" t="n">
        <f aca="false">F209*F19</f>
        <v>7250</v>
      </c>
      <c r="G210" s="8" t="n">
        <f aca="false">G209*G19</f>
        <v>7250</v>
      </c>
      <c r="H210" s="8" t="n">
        <f aca="false">SUM(E210:G210)</f>
        <v>17643.8983707225</v>
      </c>
    </row>
    <row r="211" customFormat="false" ht="14.25" hidden="false" customHeight="false" outlineLevel="0" collapsed="false">
      <c r="C211" s="6" t="s">
        <v>194</v>
      </c>
      <c r="D211" s="2" t="s">
        <v>85</v>
      </c>
      <c r="E211" s="8" t="n">
        <f aca="false">E209-E210</f>
        <v>1347.38501602393</v>
      </c>
      <c r="F211" s="8" t="n">
        <f aca="false">F209-F210</f>
        <v>0</v>
      </c>
      <c r="G211" s="8" t="n">
        <f aca="false">G209-G210</f>
        <v>0</v>
      </c>
      <c r="H211" s="8" t="n">
        <f aca="false">SUM(E211:G211)</f>
        <v>1347.38501602393</v>
      </c>
    </row>
    <row r="213" customFormat="false" ht="14.25" hidden="false" customHeight="false" outlineLevel="0" collapsed="false">
      <c r="C213" s="44" t="s">
        <v>195</v>
      </c>
      <c r="D213" s="44"/>
      <c r="E213" s="45" t="s">
        <v>5</v>
      </c>
      <c r="F213" s="45" t="s">
        <v>6</v>
      </c>
      <c r="G213" s="45" t="s">
        <v>7</v>
      </c>
      <c r="H213" s="45" t="s">
        <v>8</v>
      </c>
      <c r="J213" s="45" t="s">
        <v>196</v>
      </c>
      <c r="K213" s="45" t="s">
        <v>6</v>
      </c>
      <c r="L213" s="45" t="s">
        <v>7</v>
      </c>
    </row>
    <row r="214" customFormat="false" ht="14.25" hidden="false" customHeight="false" outlineLevel="0" collapsed="false">
      <c r="C214" s="6" t="s">
        <v>82</v>
      </c>
      <c r="D214" s="2" t="s">
        <v>85</v>
      </c>
      <c r="E214" s="8" t="n">
        <f aca="false">-E69</f>
        <v>-100</v>
      </c>
      <c r="F214" s="33" t="n">
        <f aca="false">-F69</f>
        <v>-150</v>
      </c>
      <c r="G214" s="8" t="n">
        <f aca="false">-G69</f>
        <v>-150</v>
      </c>
      <c r="H214" s="8" t="n">
        <f aca="false">SUM(E214:G214)</f>
        <v>-400</v>
      </c>
      <c r="J214" s="25" t="n">
        <f aca="false">Inputs!E$20</f>
        <v>46234</v>
      </c>
      <c r="K214" s="59" t="n">
        <f aca="false">Inputs!F$20</f>
        <v>46234</v>
      </c>
      <c r="L214" s="25" t="n">
        <f aca="false">Inputs!G$20</f>
        <v>46234</v>
      </c>
    </row>
    <row r="215" customFormat="false" ht="14.25" hidden="false" customHeight="false" outlineLevel="0" collapsed="false">
      <c r="C215" s="6" t="s">
        <v>73</v>
      </c>
      <c r="D215" s="2" t="s">
        <v>85</v>
      </c>
      <c r="E215" s="17" t="n">
        <f aca="false">-E61</f>
        <v>-8.21917808219178</v>
      </c>
      <c r="F215" s="18" t="n">
        <f aca="false">-F61</f>
        <v>-8.21917808219178</v>
      </c>
      <c r="G215" s="17" t="n">
        <f aca="false">-G61</f>
        <v>-8.21917808219178</v>
      </c>
      <c r="H215" s="17" t="n">
        <f aca="false">SUM(E215:G215)</f>
        <v>-24.6575342465753</v>
      </c>
      <c r="J215" s="25" t="n">
        <f aca="false">Inputs!E$21</f>
        <v>46325</v>
      </c>
      <c r="K215" s="59" t="n">
        <f aca="false">Inputs!F$21</f>
        <v>46325</v>
      </c>
      <c r="L215" s="25" t="n">
        <f aca="false">Inputs!G$21</f>
        <v>46325</v>
      </c>
    </row>
    <row r="216" customFormat="false" ht="14.25" hidden="false" customHeight="false" outlineLevel="0" collapsed="false">
      <c r="C216" s="6" t="s">
        <v>75</v>
      </c>
      <c r="D216" s="2" t="s">
        <v>85</v>
      </c>
      <c r="E216" s="8" t="n">
        <f aca="false">-E62</f>
        <v>-278.082191780822</v>
      </c>
      <c r="F216" s="33" t="n">
        <f aca="false">-F62</f>
        <v>-498.904109589041</v>
      </c>
      <c r="G216" s="8" t="n">
        <f aca="false">-G62</f>
        <v>-498.904109589041</v>
      </c>
      <c r="H216" s="8" t="n">
        <f aca="false">SUM(E216:G216)</f>
        <v>-1275.8904109589</v>
      </c>
      <c r="J216" s="25" t="n">
        <f aca="false">Inputs!E$21</f>
        <v>46325</v>
      </c>
      <c r="K216" s="59" t="n">
        <f aca="false">Inputs!F$21</f>
        <v>46325</v>
      </c>
      <c r="L216" s="25" t="n">
        <f aca="false">Inputs!G$21</f>
        <v>46325</v>
      </c>
    </row>
    <row r="217" customFormat="false" ht="14.25" hidden="false" customHeight="false" outlineLevel="0" collapsed="false">
      <c r="C217" s="6" t="s">
        <v>197</v>
      </c>
      <c r="D217" s="2" t="s">
        <v>85</v>
      </c>
      <c r="E217" s="8" t="n">
        <f aca="false">-E63</f>
        <v>-1112.32876712329</v>
      </c>
      <c r="F217" s="33" t="n">
        <f aca="false">-F63</f>
        <v>-1995.61643835616</v>
      </c>
      <c r="G217" s="8" t="n">
        <f aca="false">-G63</f>
        <v>-1995.61643835616</v>
      </c>
      <c r="H217" s="8" t="n">
        <f aca="false">SUM(E217:G217)</f>
        <v>-5103.56164383562</v>
      </c>
      <c r="J217" s="25" t="n">
        <f aca="false">Inputs!E$22</f>
        <v>46402</v>
      </c>
      <c r="K217" s="59" t="n">
        <f aca="false">Inputs!F$22</f>
        <v>46402</v>
      </c>
      <c r="L217" s="25" t="n">
        <f aca="false">Inputs!G$22</f>
        <v>46402</v>
      </c>
    </row>
    <row r="218" customFormat="false" ht="14.25" hidden="false" customHeight="false" outlineLevel="0" collapsed="false">
      <c r="C218" s="6" t="s">
        <v>77</v>
      </c>
      <c r="D218" s="2" t="s">
        <v>85</v>
      </c>
      <c r="E218" s="8" t="n">
        <f aca="false">-E64</f>
        <v>-616.438356164384</v>
      </c>
      <c r="F218" s="33" t="n">
        <f aca="false">-F64</f>
        <v>-616.438356164384</v>
      </c>
      <c r="G218" s="8" t="n">
        <f aca="false">-G64</f>
        <v>-616.438356164384</v>
      </c>
      <c r="H218" s="8" t="n">
        <f aca="false">SUM(E218:G218)</f>
        <v>-1849.31506849315</v>
      </c>
      <c r="J218" s="25" t="n">
        <f aca="false">Inputs!E$23</f>
        <v>46402</v>
      </c>
      <c r="K218" s="59" t="n">
        <f aca="false">Inputs!F$23</f>
        <v>46402</v>
      </c>
      <c r="L218" s="25" t="n">
        <f aca="false">Inputs!G$23</f>
        <v>46402</v>
      </c>
    </row>
    <row r="219" customFormat="false" ht="14.25" hidden="false" customHeight="false" outlineLevel="0" collapsed="false">
      <c r="C219" s="6" t="s">
        <v>198</v>
      </c>
      <c r="D219" s="2" t="s">
        <v>85</v>
      </c>
      <c r="E219" s="8" t="n">
        <f aca="false">-E65</f>
        <v>-696.364115068493</v>
      </c>
      <c r="F219" s="33" t="n">
        <f aca="false">-F65</f>
        <v>-1260.27397260274</v>
      </c>
      <c r="G219" s="8" t="n">
        <f aca="false">-G65</f>
        <v>-1260.27397260274</v>
      </c>
      <c r="H219" s="8" t="n">
        <f aca="false">SUM(E219:G219)</f>
        <v>-3216.91206027397</v>
      </c>
      <c r="J219" s="25" t="n">
        <f aca="false">Inputs!E$24</f>
        <v>47027</v>
      </c>
      <c r="K219" s="59" t="n">
        <f aca="false">Inputs!F$24</f>
        <v>47027</v>
      </c>
      <c r="L219" s="25" t="n">
        <f aca="false">Inputs!G$24</f>
        <v>47027</v>
      </c>
    </row>
    <row r="220" customFormat="false" ht="14.25" hidden="false" customHeight="false" outlineLevel="0" collapsed="false">
      <c r="C220" s="6" t="s">
        <v>199</v>
      </c>
      <c r="D220" s="2" t="s">
        <v>85</v>
      </c>
      <c r="E220" s="8" t="n">
        <f aca="false">-E66</f>
        <v>-9393.3295890411</v>
      </c>
      <c r="F220" s="33" t="n">
        <f aca="false">-F66</f>
        <v>-2099.54520547945</v>
      </c>
      <c r="G220" s="8" t="n">
        <f aca="false">-G66</f>
        <v>-2099.54520547945</v>
      </c>
      <c r="H220" s="8" t="n">
        <f aca="false">SUM(E220:G220)</f>
        <v>-13592.42</v>
      </c>
      <c r="J220" s="25" t="n">
        <f aca="false">Inputs!E$24</f>
        <v>47027</v>
      </c>
      <c r="K220" s="59" t="n">
        <f aca="false">Inputs!F$24</f>
        <v>47027</v>
      </c>
      <c r="L220" s="25" t="n">
        <f aca="false">Inputs!G$24</f>
        <v>47027</v>
      </c>
    </row>
    <row r="221" customFormat="false" ht="14.25" hidden="false" customHeight="false" outlineLevel="0" collapsed="false">
      <c r="C221" s="6" t="s">
        <v>119</v>
      </c>
      <c r="D221" s="2" t="s">
        <v>85</v>
      </c>
      <c r="E221" s="8" t="n">
        <f aca="false">-E68</f>
        <v>-107.801712328767</v>
      </c>
      <c r="F221" s="33" t="n">
        <f aca="false">-F68</f>
        <v>-107.801712328767</v>
      </c>
      <c r="G221" s="8" t="n">
        <f aca="false">-G68</f>
        <v>-107.801712328767</v>
      </c>
      <c r="H221" s="8" t="n">
        <f aca="false">SUM(E221:G221)</f>
        <v>-323.405136986301</v>
      </c>
      <c r="J221" s="25" t="n">
        <f aca="false">$J$56</f>
        <v>46877.176865821</v>
      </c>
      <c r="K221" s="59" t="n">
        <f aca="false">$J$56</f>
        <v>46877.176865821</v>
      </c>
      <c r="L221" s="25" t="n">
        <f aca="false">$J$56</f>
        <v>46877.176865821</v>
      </c>
    </row>
    <row r="222" customFormat="false" ht="14.25" hidden="false" customHeight="false" outlineLevel="0" collapsed="false">
      <c r="C222" s="6" t="s">
        <v>200</v>
      </c>
      <c r="D222" s="2" t="s">
        <v>85</v>
      </c>
      <c r="E222" s="8" t="n">
        <f aca="false">-E67</f>
        <v>-701.098816348896</v>
      </c>
      <c r="F222" s="33" t="n">
        <f aca="false">-F67</f>
        <v>-701.098816348896</v>
      </c>
      <c r="G222" s="8" t="n">
        <f aca="false">-G67</f>
        <v>-701.098816348896</v>
      </c>
      <c r="H222" s="8" t="n">
        <f aca="false">SUM(E222:G222)</f>
        <v>-2103.29644904669</v>
      </c>
      <c r="J222" s="25" t="n">
        <f aca="false">$J$55</f>
        <v>46714.1242758881</v>
      </c>
      <c r="K222" s="59" t="n">
        <f aca="false">$J$55</f>
        <v>46714.1242758881</v>
      </c>
      <c r="L222" s="25" t="n">
        <f aca="false">$J$55</f>
        <v>46714.1242758881</v>
      </c>
    </row>
    <row r="223" customFormat="false" ht="14.25" hidden="false" customHeight="false" outlineLevel="0" collapsed="false">
      <c r="C223" s="1" t="s">
        <v>201</v>
      </c>
      <c r="D223" s="2" t="s">
        <v>85</v>
      </c>
      <c r="E223" s="15" t="n">
        <f aca="false">E210-SUM(E205:E207)</f>
        <v>17634.5746698208</v>
      </c>
      <c r="F223" s="60" t="n">
        <f aca="false">F210-SUM(F205:F207)</f>
        <v>13720.7780821918</v>
      </c>
      <c r="G223" s="15" t="n">
        <f aca="false">G210-SUM(G205:G207)</f>
        <v>13720.7780821918</v>
      </c>
      <c r="H223" s="15" t="n">
        <f aca="false">SUM(E223:G223)</f>
        <v>45076.1308342044</v>
      </c>
      <c r="J223" s="25" t="n">
        <f aca="false">Sale_Date</f>
        <v>47391</v>
      </c>
      <c r="K223" s="59" t="n">
        <f aca="false">Sale_Date</f>
        <v>47391</v>
      </c>
      <c r="L223" s="25" t="n">
        <f aca="false">Sale_Date</f>
        <v>47391</v>
      </c>
    </row>
    <row r="224" customFormat="false" ht="14.25" hidden="false" customHeight="false" outlineLevel="0" collapsed="false">
      <c r="C224" s="1" t="s">
        <v>127</v>
      </c>
      <c r="D224" s="2" t="s">
        <v>85</v>
      </c>
      <c r="E224" s="61" t="n">
        <f aca="false">SUM(E214:E223)</f>
        <v>4620.91194388288</v>
      </c>
      <c r="F224" s="61" t="n">
        <f aca="false">SUM(F214:F223)</f>
        <v>6282.88029324015</v>
      </c>
      <c r="G224" s="34" t="n">
        <f aca="false">SUM(G214:G223)</f>
        <v>6282.88029324015</v>
      </c>
      <c r="H224" s="34" t="n">
        <f aca="false">SUM(E224:G224)</f>
        <v>17186.6725303632</v>
      </c>
    </row>
    <row r="225" customFormat="false" ht="14.25" hidden="false" customHeight="false" outlineLevel="0" collapsed="false">
      <c r="C225" s="6" t="s">
        <v>202</v>
      </c>
      <c r="D225" s="2" t="s">
        <v>85</v>
      </c>
      <c r="E225" s="8" t="n">
        <f aca="false">0</f>
        <v>0</v>
      </c>
      <c r="F225" s="33" t="n">
        <f aca="false">0</f>
        <v>0</v>
      </c>
      <c r="G225" s="8" t="n">
        <f aca="false">0</f>
        <v>0</v>
      </c>
      <c r="H225" s="8" t="n">
        <f aca="false">SUM(E225:G225)</f>
        <v>0</v>
      </c>
    </row>
    <row r="226" customFormat="false" ht="14.25" hidden="false" customHeight="false" outlineLevel="0" collapsed="false">
      <c r="C226" s="1" t="s">
        <v>128</v>
      </c>
      <c r="D226" s="2" t="s">
        <v>85</v>
      </c>
      <c r="E226" s="15" t="n">
        <f aca="false">E224+E225</f>
        <v>4620.91194388288</v>
      </c>
      <c r="F226" s="60" t="n">
        <f aca="false">F224+F225</f>
        <v>6282.88029324015</v>
      </c>
      <c r="G226" s="15" t="n">
        <f aca="false">G224+G225</f>
        <v>6282.88029324015</v>
      </c>
      <c r="H226" s="15" t="n">
        <f aca="false">SUM(E226:G226)</f>
        <v>17186.6725303632</v>
      </c>
    </row>
    <row r="228" customFormat="false" ht="14.25" hidden="false" customHeight="false" outlineLevel="0" collapsed="false">
      <c r="B228" s="4" t="s">
        <v>3</v>
      </c>
      <c r="C228" s="4" t="s">
        <v>203</v>
      </c>
      <c r="D228" s="4"/>
      <c r="E228" s="5" t="s">
        <v>5</v>
      </c>
      <c r="F228" s="5" t="s">
        <v>6</v>
      </c>
      <c r="G228" s="5" t="s">
        <v>7</v>
      </c>
      <c r="H228" s="5" t="s">
        <v>8</v>
      </c>
    </row>
    <row r="229" customFormat="false" ht="14.25" hidden="false" customHeight="false" outlineLevel="0" collapsed="false">
      <c r="C229" s="6" t="s">
        <v>204</v>
      </c>
      <c r="D229" s="2" t="s">
        <v>85</v>
      </c>
      <c r="E229" s="33" t="n">
        <f aca="false">E65+E66</f>
        <v>10089.6937041096</v>
      </c>
      <c r="F229" s="8" t="n">
        <f aca="false">F65+F66</f>
        <v>3359.81917808219</v>
      </c>
      <c r="G229" s="8" t="n">
        <f aca="false">G65+G66</f>
        <v>3359.81917808219</v>
      </c>
      <c r="H229" s="8" t="n">
        <f aca="false">SUM(E229:G229)</f>
        <v>16809.332060274</v>
      </c>
    </row>
    <row r="230" customFormat="false" ht="14.25" hidden="false" customHeight="false" outlineLevel="0" collapsed="false">
      <c r="C230" s="6" t="s">
        <v>205</v>
      </c>
      <c r="D230" s="2" t="s">
        <v>74</v>
      </c>
      <c r="E230" s="33" t="n">
        <f aca="false">SUMIFS(Devex_HUF,Devex_Class,"Land",Devex_Date,"&lt;="&amp;Sale_Date_A)</f>
        <v>66190500</v>
      </c>
      <c r="F230" s="8" t="n">
        <f aca="false">SUMIFS(Devex_HUF,Devex_Class,"Land",Devex_Date,"&lt;="&amp;Sale_Date_A)</f>
        <v>66190500</v>
      </c>
      <c r="G230" s="8" t="n">
        <f aca="false">SUMIFS(Devex_HUF,Devex_Class,"Land",Devex_Date,"&lt;="&amp;Sale_Date_A)</f>
        <v>66190500</v>
      </c>
      <c r="H230" s="8"/>
    </row>
    <row r="231" customFormat="false" ht="14.25" hidden="false" customHeight="false" outlineLevel="0" collapsed="false">
      <c r="C231" s="6" t="s">
        <v>206</v>
      </c>
      <c r="D231" s="2" t="s">
        <v>158</v>
      </c>
      <c r="E231" s="25" t="n">
        <f aca="false">SUMPRODUCT((Devex_Class="Land")*(Devex_Date&lt;=Sale_Date_A)*Devex_HUF,Devex_Date)/E230</f>
        <v>46431</v>
      </c>
      <c r="F231" s="25" t="n">
        <f aca="false">SUMPRODUCT((Devex_Class="Land")*(Devex_Date&lt;=Sale_Date_A)*Devex_HUF,Devex_Date)/F230</f>
        <v>46431</v>
      </c>
      <c r="G231" s="25" t="n">
        <f aca="false">SUMPRODUCT((Devex_Class="Land")*(Devex_Date&lt;=Sale_Date_A)*Devex_HUF,Devex_Date)/G230</f>
        <v>46431</v>
      </c>
    </row>
    <row r="232" customFormat="false" ht="14.25" hidden="false" customHeight="false" outlineLevel="0" collapsed="false">
      <c r="C232" s="6" t="s">
        <v>207</v>
      </c>
      <c r="D232" s="2" t="s">
        <v>85</v>
      </c>
      <c r="E232" s="8" t="n">
        <f aca="false">E230/FX/Thousand*Inputs!E$18</f>
        <v>45.3359589041096</v>
      </c>
      <c r="F232" s="8" t="n">
        <f aca="false">F230/FX/Thousand*Inputs!F$18</f>
        <v>45.3359589041096</v>
      </c>
      <c r="G232" s="8" t="n">
        <f aca="false">G230/FX/Thousand*Inputs!G$18</f>
        <v>45.3359589041096</v>
      </c>
      <c r="H232" s="8" t="n">
        <f aca="false">SUM(E232:G232)</f>
        <v>136.007876712329</v>
      </c>
    </row>
    <row r="233" customFormat="false" ht="14.25" hidden="false" customHeight="false" outlineLevel="0" collapsed="false">
      <c r="C233" s="6" t="s">
        <v>208</v>
      </c>
      <c r="D233" s="2" t="s">
        <v>74</v>
      </c>
      <c r="E233" s="33" t="n">
        <f aca="false">SUMIFS(Devex_HUF,Devex_Class,"Devex",Devex_Date,"&lt;="&amp;Sale_Date_A)</f>
        <v>991604271.869388</v>
      </c>
      <c r="F233" s="8" t="n">
        <f aca="false">SUMIFS(Devex_HUF,Devex_Class,"Devex",Devex_Date,"&lt;="&amp;Sale_Date_A)</f>
        <v>991604271.869388</v>
      </c>
      <c r="G233" s="8" t="n">
        <f aca="false">SUMIFS(Devex_HUF,Devex_Class,"Devex",Devex_Date,"&lt;="&amp;Sale_Date_A)</f>
        <v>991604271.869388</v>
      </c>
      <c r="H233" s="8"/>
    </row>
    <row r="234" customFormat="false" ht="14.25" hidden="false" customHeight="false" outlineLevel="0" collapsed="false">
      <c r="C234" s="6" t="s">
        <v>209</v>
      </c>
      <c r="D234" s="2" t="s">
        <v>158</v>
      </c>
      <c r="E234" s="25" t="n">
        <f aca="false">SUMPRODUCT((Devex_Class="Devex")*(Devex_Date&lt;=Sale_Date_A)*Devex_HUF,Devex_Date)/E233</f>
        <v>46701.5587560279</v>
      </c>
      <c r="F234" s="25" t="n">
        <f aca="false">SUMPRODUCT((Devex_Class="Devex")*(Devex_Date&lt;=Sale_Date_A)*Devex_HUF,Devex_Date)/F233</f>
        <v>46701.5587560279</v>
      </c>
      <c r="G234" s="25" t="n">
        <f aca="false">SUMPRODUCT((Devex_Class="Devex")*(Devex_Date&lt;=Sale_Date_A)*Devex_HUF,Devex_Date)/G233</f>
        <v>46701.5587560279</v>
      </c>
    </row>
    <row r="235" customFormat="false" ht="14.25" hidden="false" customHeight="false" outlineLevel="0" collapsed="false">
      <c r="C235" s="6" t="s">
        <v>210</v>
      </c>
      <c r="D235" s="2" t="s">
        <v>85</v>
      </c>
      <c r="E235" s="8" t="n">
        <f aca="false">E233/FX/Thousand*Inputs!E$18</f>
        <v>679.181008129717</v>
      </c>
      <c r="F235" s="8" t="n">
        <f aca="false">F233/FX/Thousand*Inputs!F$18</f>
        <v>679.181008129717</v>
      </c>
      <c r="G235" s="8" t="n">
        <f aca="false">G233/FX/Thousand*Inputs!G$18</f>
        <v>679.181008129717</v>
      </c>
      <c r="H235" s="8" t="n">
        <f aca="false">SUM(E235:G235)</f>
        <v>2037.54302438915</v>
      </c>
    </row>
    <row r="236" customFormat="false" ht="14.25" hidden="false" customHeight="false" outlineLevel="0" collapsed="false">
      <c r="C236" s="6" t="s">
        <v>211</v>
      </c>
      <c r="D236" s="2" t="s">
        <v>85</v>
      </c>
      <c r="E236" s="8" t="n">
        <f aca="false">E61+SUM(E62:E64)+E232+E235+E69</f>
        <v>2839.58546018451</v>
      </c>
      <c r="F236" s="8" t="n">
        <f aca="false">F61+SUM(F62:F64)+F232+F235+F69</f>
        <v>3993.69504922561</v>
      </c>
      <c r="G236" s="8" t="n">
        <f aca="false">G61+SUM(G62:G64)+G232+G235+G69</f>
        <v>3993.69504922561</v>
      </c>
      <c r="H236" s="8" t="n">
        <f aca="false">SUM(E236:G236)</f>
        <v>10826.9755586357</v>
      </c>
    </row>
    <row r="237" customFormat="false" ht="14.25" hidden="false" customHeight="false" outlineLevel="0" collapsed="false">
      <c r="C237" s="6" t="s">
        <v>212</v>
      </c>
      <c r="D237" s="2" t="s">
        <v>158</v>
      </c>
      <c r="E237" s="25" t="n">
        <f aca="false">MIN(Freeze_Date,Sale_Date_A)</f>
        <v>47026</v>
      </c>
      <c r="F237" s="25" t="n">
        <f aca="false">MIN(Freeze_Date,Sale_Date_A)</f>
        <v>47026</v>
      </c>
      <c r="G237" s="25" t="n">
        <f aca="false">MIN(Freeze_Date,Sale_Date_A)</f>
        <v>47026</v>
      </c>
    </row>
    <row r="238" customFormat="false" ht="14.25" hidden="false" customHeight="false" outlineLevel="0" collapsed="false">
      <c r="C238" s="6" t="s">
        <v>213</v>
      </c>
      <c r="D238" s="2" t="s">
        <v>158</v>
      </c>
      <c r="E238" s="25" t="n">
        <f aca="false">DATE(YEAR(E237),1,1)</f>
        <v>46753</v>
      </c>
      <c r="F238" s="25" t="n">
        <f aca="false">DATE(YEAR(F237),1,1)</f>
        <v>46753</v>
      </c>
      <c r="G238" s="25" t="n">
        <f aca="false">DATE(YEAR(G237),1,1)</f>
        <v>46753</v>
      </c>
    </row>
    <row r="239" customFormat="false" ht="14.25" hidden="false" customHeight="false" outlineLevel="0" collapsed="false">
      <c r="C239" s="6" t="s">
        <v>214</v>
      </c>
      <c r="D239" s="2" t="s">
        <v>3</v>
      </c>
      <c r="E239" s="57" t="n">
        <f aca="false">1+Rate_Cash*(DATE(YEAR(Inputs!E$21)+1,1,1)-Inputs!E$21)*(Inputs!E$21&lt;E238)/Days_In_Year</f>
        <v>1.02071232876712</v>
      </c>
      <c r="F239" s="57" t="n">
        <f aca="false">1+Rate_Cash*(DATE(YEAR(Inputs!F$21)+1,1,1)-Inputs!F$21)*(Inputs!F$21&lt;F238)/Days_In_Year</f>
        <v>1.02071232876712</v>
      </c>
      <c r="G239" s="57" t="n">
        <f aca="false">1+Rate_Cash*(DATE(YEAR(Inputs!G$21)+1,1,1)-Inputs!G$21)*(Inputs!G$21&lt;G238)/Days_In_Year</f>
        <v>1.02071232876712</v>
      </c>
    </row>
    <row r="240" customFormat="false" ht="14.25" hidden="false" customHeight="false" outlineLevel="0" collapsed="false">
      <c r="C240" s="6" t="s">
        <v>215</v>
      </c>
      <c r="D240" s="2" t="s">
        <v>3</v>
      </c>
      <c r="E240" s="57" t="n">
        <f aca="false">1+Rate_Cash*MAX(0,E237-MAX(Inputs!E$21,E238)+1)/Days_In_Year</f>
        <v>1.09008219178082</v>
      </c>
      <c r="F240" s="57" t="n">
        <f aca="false">1+Rate_Cash*MAX(0,F237-MAX(Inputs!F$21,F238)+1)/Days_In_Year</f>
        <v>1.09008219178082</v>
      </c>
      <c r="G240" s="57" t="n">
        <f aca="false">1+Rate_Cash*MAX(0,G237-MAX(Inputs!G$21,G238)+1)/Days_In_Year</f>
        <v>1.09008219178082</v>
      </c>
    </row>
    <row r="241" customFormat="false" ht="14.25" hidden="false" customHeight="false" outlineLevel="0" collapsed="false">
      <c r="C241" s="6" t="s">
        <v>216</v>
      </c>
      <c r="D241" s="2" t="s">
        <v>3</v>
      </c>
      <c r="E241" s="57" t="n">
        <f aca="false">E239*(1+Rate_Cash)^MAX(0,YEAR(E238)-YEAR(Inputs!E$21)-1)*E240</f>
        <v>1.24617957242259</v>
      </c>
      <c r="F241" s="57" t="n">
        <f aca="false">F239*(1+Rate_Cash)^MAX(0,YEAR(F238)-YEAR(Inputs!F$21)-1)*F240</f>
        <v>1.24617957242259</v>
      </c>
      <c r="G241" s="57" t="n">
        <f aca="false">G239*(1+Rate_Cash)^MAX(0,YEAR(G238)-YEAR(Inputs!G$21)-1)*G240</f>
        <v>1.24617957242259</v>
      </c>
    </row>
    <row r="242" customFormat="false" ht="14.25" hidden="false" customHeight="false" outlineLevel="0" collapsed="false">
      <c r="C242" s="6" t="s">
        <v>217</v>
      </c>
      <c r="D242" s="2" t="s">
        <v>3</v>
      </c>
      <c r="E242" s="57" t="n">
        <f aca="false">1+Rate_Cash*(DATE(YEAR(Inputs!E$22)+1,1,1)-Inputs!E$22)*(Inputs!E$22&lt;E238)/Days_In_Year</f>
        <v>1.11539726027397</v>
      </c>
      <c r="F242" s="57" t="n">
        <f aca="false">1+Rate_Cash*(DATE(YEAR(Inputs!F$22)+1,1,1)-Inputs!F$22)*(Inputs!F$22&lt;F238)/Days_In_Year</f>
        <v>1.11539726027397</v>
      </c>
      <c r="G242" s="57" t="n">
        <f aca="false">1+Rate_Cash*(DATE(YEAR(Inputs!G$22)+1,1,1)-Inputs!G$22)*(Inputs!G$22&lt;G238)/Days_In_Year</f>
        <v>1.11539726027397</v>
      </c>
    </row>
    <row r="243" customFormat="false" ht="14.25" hidden="false" customHeight="false" outlineLevel="0" collapsed="false">
      <c r="C243" s="6" t="s">
        <v>218</v>
      </c>
      <c r="D243" s="2" t="s">
        <v>3</v>
      </c>
      <c r="E243" s="57" t="n">
        <f aca="false">1+Rate_Cash*MAX(0,E237-MAX(Inputs!E$22,E238)+1)/Days_In_Year</f>
        <v>1.09008219178082</v>
      </c>
      <c r="F243" s="57" t="n">
        <f aca="false">1+Rate_Cash*MAX(0,F237-MAX(Inputs!F$22,F238)+1)/Days_In_Year</f>
        <v>1.09008219178082</v>
      </c>
      <c r="G243" s="57" t="n">
        <f aca="false">1+Rate_Cash*MAX(0,G237-MAX(Inputs!G$22,G238)+1)/Days_In_Year</f>
        <v>1.09008219178082</v>
      </c>
    </row>
    <row r="244" customFormat="false" ht="14.25" hidden="false" customHeight="false" outlineLevel="0" collapsed="false">
      <c r="C244" s="6" t="s">
        <v>219</v>
      </c>
      <c r="D244" s="2" t="s">
        <v>3</v>
      </c>
      <c r="E244" s="57" t="n">
        <f aca="false">E242*(1+Rate_Cash)^MAX(0,YEAR(E238)-YEAR(Inputs!E$22)-1)*E243</f>
        <v>1.21587469018578</v>
      </c>
      <c r="F244" s="57" t="n">
        <f aca="false">F242*(1+Rate_Cash)^MAX(0,YEAR(F238)-YEAR(Inputs!F$22)-1)*F243</f>
        <v>1.21587469018578</v>
      </c>
      <c r="G244" s="57" t="n">
        <f aca="false">G242*(1+Rate_Cash)^MAX(0,YEAR(G238)-YEAR(Inputs!G$22)-1)*G243</f>
        <v>1.21587469018578</v>
      </c>
    </row>
    <row r="245" customFormat="false" ht="14.25" hidden="false" customHeight="false" outlineLevel="0" collapsed="false">
      <c r="C245" s="6" t="s">
        <v>220</v>
      </c>
      <c r="D245" s="2" t="s">
        <v>3</v>
      </c>
      <c r="E245" s="57" t="n">
        <f aca="false">1+Rate_Cash*(DATE(YEAR(Inputs!E$23)+1,1,1)-Inputs!E$23)*(Inputs!E$23&lt;E238)/Days_In_Year</f>
        <v>1.11539726027397</v>
      </c>
      <c r="F245" s="57" t="n">
        <f aca="false">1+Rate_Cash*(DATE(YEAR(Inputs!F$23)+1,1,1)-Inputs!F$23)*(Inputs!F$23&lt;F238)/Days_In_Year</f>
        <v>1.11539726027397</v>
      </c>
      <c r="G245" s="57" t="n">
        <f aca="false">1+Rate_Cash*(DATE(YEAR(Inputs!G$23)+1,1,1)-Inputs!G$23)*(Inputs!G$23&lt;G238)/Days_In_Year</f>
        <v>1.11539726027397</v>
      </c>
    </row>
    <row r="246" customFormat="false" ht="14.25" hidden="false" customHeight="false" outlineLevel="0" collapsed="false">
      <c r="C246" s="6" t="s">
        <v>221</v>
      </c>
      <c r="D246" s="2" t="s">
        <v>3</v>
      </c>
      <c r="E246" s="57" t="n">
        <f aca="false">1+Rate_Cash*MAX(0,E237-MAX(Inputs!E$23,E238)+1)/Days_In_Year</f>
        <v>1.09008219178082</v>
      </c>
      <c r="F246" s="57" t="n">
        <f aca="false">1+Rate_Cash*MAX(0,F237-MAX(Inputs!F$23,F238)+1)/Days_In_Year</f>
        <v>1.09008219178082</v>
      </c>
      <c r="G246" s="57" t="n">
        <f aca="false">1+Rate_Cash*MAX(0,G237-MAX(Inputs!G$23,G238)+1)/Days_In_Year</f>
        <v>1.09008219178082</v>
      </c>
    </row>
    <row r="247" customFormat="false" ht="14.25" hidden="false" customHeight="false" outlineLevel="0" collapsed="false">
      <c r="C247" s="6" t="s">
        <v>222</v>
      </c>
      <c r="D247" s="2" t="s">
        <v>3</v>
      </c>
      <c r="E247" s="57" t="n">
        <f aca="false">E245*(1+Rate_Cash)^MAX(0,YEAR(E238)-YEAR(Inputs!E$23)-1)*E246</f>
        <v>1.21587469018578</v>
      </c>
      <c r="F247" s="57" t="n">
        <f aca="false">F245*(1+Rate_Cash)^MAX(0,YEAR(F238)-YEAR(Inputs!F$23)-1)*F246</f>
        <v>1.21587469018578</v>
      </c>
      <c r="G247" s="57" t="n">
        <f aca="false">G245*(1+Rate_Cash)^MAX(0,YEAR(G238)-YEAR(Inputs!G$23)-1)*G246</f>
        <v>1.21587469018578</v>
      </c>
    </row>
    <row r="248" customFormat="false" ht="14.25" hidden="false" customHeight="false" outlineLevel="0" collapsed="false">
      <c r="C248" s="6" t="s">
        <v>223</v>
      </c>
      <c r="D248" s="2" t="s">
        <v>3</v>
      </c>
      <c r="E248" s="57" t="n">
        <f aca="false">1+Rate_Devex*(DATE(YEAR(E231)+1,1,1)-E231)*(E231&lt;E238)/Days_In_Year</f>
        <v>1.17643835616438</v>
      </c>
      <c r="F248" s="57" t="n">
        <f aca="false">1+Rate_Devex*(DATE(YEAR(F231)+1,1,1)-F231)*(F231&lt;F238)/Days_In_Year</f>
        <v>1.17643835616438</v>
      </c>
      <c r="G248" s="57" t="n">
        <f aca="false">1+Rate_Devex*(DATE(YEAR(G231)+1,1,1)-G231)*(G231&lt;G238)/Days_In_Year</f>
        <v>1.17643835616438</v>
      </c>
    </row>
    <row r="249" customFormat="false" ht="14.25" hidden="false" customHeight="false" outlineLevel="0" collapsed="false">
      <c r="C249" s="6" t="s">
        <v>224</v>
      </c>
      <c r="D249" s="2" t="s">
        <v>3</v>
      </c>
      <c r="E249" s="57" t="n">
        <f aca="false">1+Rate_Devex*MAX(0,E237-MAX(E231,E238)+1)/Days_In_Year</f>
        <v>1.15013698630137</v>
      </c>
      <c r="F249" s="57" t="n">
        <f aca="false">1+Rate_Devex*MAX(0,F237-MAX(F231,F238)+1)/Days_In_Year</f>
        <v>1.15013698630137</v>
      </c>
      <c r="G249" s="57" t="n">
        <f aca="false">1+Rate_Devex*MAX(0,G237-MAX(G231,G238)+1)/Days_In_Year</f>
        <v>1.15013698630137</v>
      </c>
    </row>
    <row r="250" customFormat="false" ht="14.25" hidden="false" customHeight="false" outlineLevel="0" collapsed="false">
      <c r="C250" s="6" t="s">
        <v>225</v>
      </c>
      <c r="D250" s="2" t="s">
        <v>3</v>
      </c>
      <c r="E250" s="57" t="n">
        <f aca="false">E248*(1+Rate_Devex)^MAX(0,YEAR(E238)-YEAR(E231)-1)*E249</f>
        <v>1.35306526552824</v>
      </c>
      <c r="F250" s="57" t="n">
        <f aca="false">F248*(1+Rate_Devex)^MAX(0,YEAR(F238)-YEAR(F231)-1)*F249</f>
        <v>1.35306526552824</v>
      </c>
      <c r="G250" s="57" t="n">
        <f aca="false">G248*(1+Rate_Devex)^MAX(0,YEAR(G238)-YEAR(G231)-1)*G249</f>
        <v>1.35306526552824</v>
      </c>
    </row>
    <row r="251" customFormat="false" ht="14.25" hidden="false" customHeight="false" outlineLevel="0" collapsed="false">
      <c r="C251" s="6" t="s">
        <v>226</v>
      </c>
      <c r="D251" s="2" t="s">
        <v>3</v>
      </c>
      <c r="E251" s="57" t="n">
        <f aca="false">1+Rate_Devex*(DATE(YEAR(E234)+1,1,1)-E234)*(E234&lt;E238)/Days_In_Year</f>
        <v>1.02818698299841</v>
      </c>
      <c r="F251" s="57" t="n">
        <f aca="false">1+Rate_Devex*(DATE(YEAR(F234)+1,1,1)-F234)*(F234&lt;F238)/Days_In_Year</f>
        <v>1.02818698299841</v>
      </c>
      <c r="G251" s="57" t="n">
        <f aca="false">1+Rate_Devex*(DATE(YEAR(G234)+1,1,1)-G234)*(G234&lt;G238)/Days_In_Year</f>
        <v>1.02818698299841</v>
      </c>
    </row>
    <row r="252" customFormat="false" ht="14.25" hidden="false" customHeight="false" outlineLevel="0" collapsed="false">
      <c r="C252" s="6" t="s">
        <v>227</v>
      </c>
      <c r="D252" s="2" t="s">
        <v>3</v>
      </c>
      <c r="E252" s="57" t="n">
        <f aca="false">1+Rate_Devex*MAX(0,E237-MAX(E234,E238)+1)/Days_In_Year</f>
        <v>1.15013698630137</v>
      </c>
      <c r="F252" s="57" t="n">
        <f aca="false">1+Rate_Devex*MAX(0,F237-MAX(F234,F238)+1)/Days_In_Year</f>
        <v>1.15013698630137</v>
      </c>
      <c r="G252" s="57" t="n">
        <f aca="false">1+Rate_Devex*MAX(0,G237-MAX(G234,G238)+1)/Days_In_Year</f>
        <v>1.15013698630137</v>
      </c>
    </row>
    <row r="253" customFormat="false" ht="14.25" hidden="false" customHeight="false" outlineLevel="0" collapsed="false">
      <c r="C253" s="6" t="s">
        <v>228</v>
      </c>
      <c r="D253" s="2" t="s">
        <v>3</v>
      </c>
      <c r="E253" s="57" t="n">
        <f aca="false">E251*(1+Rate_Devex)^MAX(0,YEAR(E238)-YEAR(E234)-1)*E252</f>
        <v>1.18255587798009</v>
      </c>
      <c r="F253" s="57" t="n">
        <f aca="false">F251*(1+Rate_Devex)^MAX(0,YEAR(F238)-YEAR(F234)-1)*F252</f>
        <v>1.18255587798009</v>
      </c>
      <c r="G253" s="57" t="n">
        <f aca="false">G251*(1+Rate_Devex)^MAX(0,YEAR(G238)-YEAR(G234)-1)*G252</f>
        <v>1.18255587798009</v>
      </c>
    </row>
    <row r="254" customFormat="false" ht="14.25" hidden="false" customHeight="false" outlineLevel="0" collapsed="false">
      <c r="C254" s="6" t="s">
        <v>229</v>
      </c>
      <c r="D254" s="2" t="s">
        <v>85</v>
      </c>
      <c r="E254" s="17" t="n">
        <f aca="false">E$21*E61*(E241-1)</f>
        <v>2.02339374593912</v>
      </c>
      <c r="F254" s="17" t="n">
        <f aca="false">F$21*F61*(F241-1)</f>
        <v>0</v>
      </c>
      <c r="G254" s="17" t="n">
        <f aca="false">G$21*G61*(G241-1)</f>
        <v>0</v>
      </c>
      <c r="H254" s="17" t="n">
        <f aca="false">SUM(E254:G254)</f>
        <v>2.02339374593912</v>
      </c>
    </row>
    <row r="255" customFormat="false" ht="14.25" hidden="false" customHeight="false" outlineLevel="0" collapsed="false">
      <c r="C255" s="6" t="s">
        <v>230</v>
      </c>
      <c r="D255" s="2" t="s">
        <v>85</v>
      </c>
      <c r="E255" s="17" t="n">
        <f aca="false">E$21*E62*(E241-1)</f>
        <v>68.4581550709404</v>
      </c>
      <c r="F255" s="17" t="n">
        <f aca="false">F$21*F62*(F241-1)</f>
        <v>0</v>
      </c>
      <c r="G255" s="17" t="n">
        <f aca="false">G$21*G62*(G241-1)</f>
        <v>0</v>
      </c>
      <c r="H255" s="17" t="n">
        <f aca="false">SUM(E255:G255)</f>
        <v>68.4581550709404</v>
      </c>
    </row>
    <row r="256" customFormat="false" ht="14.25" hidden="false" customHeight="false" outlineLevel="0" collapsed="false">
      <c r="C256" s="6" t="s">
        <v>231</v>
      </c>
      <c r="D256" s="2" t="s">
        <v>85</v>
      </c>
      <c r="E256" s="17" t="n">
        <f aca="false">E$21*E63*(E244-1)</f>
        <v>240.123627987466</v>
      </c>
      <c r="F256" s="17" t="n">
        <f aca="false">F$21*F63*(F244-1)</f>
        <v>0</v>
      </c>
      <c r="G256" s="17" t="n">
        <f aca="false">G$21*G63*(G244-1)</f>
        <v>0</v>
      </c>
      <c r="H256" s="17" t="n">
        <f aca="false">SUM(E256:G256)</f>
        <v>240.123627987466</v>
      </c>
    </row>
    <row r="257" customFormat="false" ht="14.25" hidden="false" customHeight="false" outlineLevel="0" collapsed="false">
      <c r="C257" s="6" t="s">
        <v>232</v>
      </c>
      <c r="D257" s="2" t="s">
        <v>85</v>
      </c>
      <c r="E257" s="17" t="n">
        <f aca="false">E$21*E64*(E247-1)</f>
        <v>133.073439155615</v>
      </c>
      <c r="F257" s="17" t="n">
        <f aca="false">F$21*F64*(F247-1)</f>
        <v>0</v>
      </c>
      <c r="G257" s="17" t="n">
        <f aca="false">G$21*G64*(G247-1)</f>
        <v>0</v>
      </c>
      <c r="H257" s="17" t="n">
        <f aca="false">SUM(E257:G257)</f>
        <v>133.073439155615</v>
      </c>
    </row>
    <row r="258" customFormat="false" ht="14.25" hidden="false" customHeight="false" outlineLevel="0" collapsed="false">
      <c r="C258" s="6" t="s">
        <v>233</v>
      </c>
      <c r="D258" s="2" t="s">
        <v>85</v>
      </c>
      <c r="E258" s="17" t="n">
        <f aca="false">E$21*E232*MAX(E250-1,Devex_Floor-1)</f>
        <v>45.3359589041096</v>
      </c>
      <c r="F258" s="17" t="n">
        <f aca="false">F$21*F232*MAX(F250-1,Devex_Floor-1)</f>
        <v>0</v>
      </c>
      <c r="G258" s="17" t="n">
        <f aca="false">G$21*G232*MAX(G250-1,Devex_Floor-1)</f>
        <v>0</v>
      </c>
      <c r="H258" s="17" t="n">
        <f aca="false">SUM(E258:G258)</f>
        <v>45.3359589041096</v>
      </c>
    </row>
    <row r="259" customFormat="false" ht="14.25" hidden="false" customHeight="false" outlineLevel="0" collapsed="false">
      <c r="C259" s="6" t="s">
        <v>234</v>
      </c>
      <c r="D259" s="2" t="s">
        <v>85</v>
      </c>
      <c r="E259" s="17" t="n">
        <f aca="false">E$21*E235*MAX(E253-1,Devex_Floor-1)</f>
        <v>679.181008129717</v>
      </c>
      <c r="F259" s="17" t="n">
        <f aca="false">F$21*F235*MAX(F253-1,Devex_Floor-1)</f>
        <v>0</v>
      </c>
      <c r="G259" s="17" t="n">
        <f aca="false">G$21*G235*MAX(G253-1,Devex_Floor-1)</f>
        <v>0</v>
      </c>
      <c r="H259" s="17" t="n">
        <f aca="false">SUM(E259:G259)</f>
        <v>679.181008129717</v>
      </c>
    </row>
    <row r="260" customFormat="false" ht="14.25" hidden="false" customHeight="false" outlineLevel="0" collapsed="false">
      <c r="C260" s="6" t="s">
        <v>235</v>
      </c>
      <c r="D260" s="2" t="s">
        <v>85</v>
      </c>
      <c r="E260" s="17" t="n">
        <f aca="false">E20*MIN(DSA_Rate*YEARFRAC(Inputs!E$28,Sale_Date_A),DSA_Cap)*E44</f>
        <v>239.583333333333</v>
      </c>
      <c r="F260" s="17" t="n">
        <f aca="false">F20*MIN(DSA_Rate*YEARFRAC(Inputs!F$28,Sale_Date_A),DSA_Cap)*F44</f>
        <v>0</v>
      </c>
      <c r="G260" s="17" t="n">
        <f aca="false">G20*MIN(DSA_Rate*YEARFRAC(Inputs!G$28,Sale_Date_A),DSA_Cap)*G44</f>
        <v>0</v>
      </c>
      <c r="H260" s="17" t="n">
        <f aca="false">SUM(E260:G260)</f>
        <v>239.583333333333</v>
      </c>
    </row>
    <row r="261" customFormat="false" ht="14.25" hidden="false" customHeight="false" outlineLevel="0" collapsed="false">
      <c r="C261" s="6" t="s">
        <v>236</v>
      </c>
      <c r="D261" s="2" t="s">
        <v>85</v>
      </c>
      <c r="E261" s="8" t="n">
        <f aca="false">SUM(E254:E259)</f>
        <v>1168.19558299379</v>
      </c>
      <c r="F261" s="8" t="n">
        <f aca="false">SUM(F254:F259)</f>
        <v>0</v>
      </c>
      <c r="G261" s="8" t="n">
        <f aca="false">SUM(G254:G259)</f>
        <v>0</v>
      </c>
      <c r="H261" s="8" t="n">
        <f aca="false">SUM(E261:G261)</f>
        <v>1168.19558299379</v>
      </c>
    </row>
    <row r="262" customFormat="false" ht="14.25" hidden="false" customHeight="false" outlineLevel="0" collapsed="false">
      <c r="C262" s="43" t="s">
        <v>237</v>
      </c>
      <c r="D262" s="44"/>
      <c r="E262" s="45"/>
      <c r="F262" s="45"/>
      <c r="G262" s="45"/>
      <c r="H262" s="45"/>
    </row>
    <row r="263" customFormat="false" ht="14.25" hidden="false" customHeight="false" outlineLevel="0" collapsed="false">
      <c r="C263" s="6" t="s">
        <v>28</v>
      </c>
      <c r="D263" s="2" t="s">
        <v>85</v>
      </c>
      <c r="E263" s="8" t="n">
        <f aca="false">E201</f>
        <v>7500</v>
      </c>
      <c r="F263" s="8" t="n">
        <f aca="false">F201</f>
        <v>7500</v>
      </c>
      <c r="G263" s="8" t="n">
        <f aca="false">G201</f>
        <v>7500</v>
      </c>
      <c r="H263" s="8" t="n">
        <f aca="false">SUM(E263:G263)</f>
        <v>22500</v>
      </c>
    </row>
    <row r="264" customFormat="false" ht="14.25" hidden="false" customHeight="false" outlineLevel="0" collapsed="false">
      <c r="C264" s="6" t="s">
        <v>238</v>
      </c>
      <c r="D264" s="2" t="s">
        <v>85</v>
      </c>
      <c r="E264" s="8" t="n">
        <f aca="false">SUM(E62:E64)</f>
        <v>2006.84931506849</v>
      </c>
      <c r="F264" s="8" t="n">
        <f aca="false">SUM(F62:F64)</f>
        <v>3110.95890410959</v>
      </c>
      <c r="G264" s="8" t="n">
        <f aca="false">SUM(G62:G64)</f>
        <v>3110.95890410959</v>
      </c>
      <c r="H264" s="8" t="n">
        <f aca="false">SUM(E264:G264)</f>
        <v>8228.76712328767</v>
      </c>
    </row>
    <row r="265" customFormat="false" ht="14.25" hidden="false" customHeight="false" outlineLevel="0" collapsed="false">
      <c r="C265" s="6" t="s">
        <v>186</v>
      </c>
      <c r="D265" s="2" t="s">
        <v>85</v>
      </c>
      <c r="E265" s="8" t="n">
        <f aca="false">E263+E264</f>
        <v>9506.84931506849</v>
      </c>
      <c r="F265" s="8" t="n">
        <f aca="false">F263+F264</f>
        <v>10610.9589041096</v>
      </c>
      <c r="G265" s="8" t="n">
        <f aca="false">G263+G264</f>
        <v>10610.9589041096</v>
      </c>
      <c r="H265" s="8" t="n">
        <f aca="false">SUM(E265:G265)</f>
        <v>30728.7671232877</v>
      </c>
    </row>
    <row r="266" customFormat="false" ht="14.25" hidden="false" customHeight="false" outlineLevel="0" collapsed="false">
      <c r="C266" s="6" t="s">
        <v>187</v>
      </c>
      <c r="D266" s="2" t="s">
        <v>85</v>
      </c>
      <c r="E266" s="8" t="n">
        <f aca="false">-MIN(E265,Sale_Costs)</f>
        <v>-250</v>
      </c>
      <c r="F266" s="8" t="n">
        <f aca="false">-MIN(F265,Sale_Costs)</f>
        <v>-250</v>
      </c>
      <c r="G266" s="8" t="n">
        <f aca="false">-MIN(G265,Sale_Costs)</f>
        <v>-250</v>
      </c>
      <c r="H266" s="8" t="n">
        <f aca="false">SUM(E266:G266)</f>
        <v>-750</v>
      </c>
    </row>
    <row r="267" customFormat="false" ht="14.25" hidden="false" customHeight="false" outlineLevel="0" collapsed="false">
      <c r="C267" s="6" t="s">
        <v>239</v>
      </c>
      <c r="D267" s="2" t="s">
        <v>85</v>
      </c>
      <c r="E267" s="8" t="n">
        <f aca="false">-MIN(SUM(E265:E266),E264)</f>
        <v>-2006.84931506849</v>
      </c>
      <c r="F267" s="8" t="n">
        <f aca="false">-MIN(SUM(F265:F266),F264)</f>
        <v>-3110.95890410959</v>
      </c>
      <c r="G267" s="8" t="n">
        <f aca="false">-MIN(SUM(G265:G266),G264)</f>
        <v>-3110.95890410959</v>
      </c>
      <c r="H267" s="8" t="n">
        <f aca="false">SUM(E267:G267)</f>
        <v>-8228.76712328767</v>
      </c>
    </row>
    <row r="268" customFormat="false" ht="14.25" hidden="false" customHeight="false" outlineLevel="0" collapsed="false">
      <c r="C268" s="6" t="s">
        <v>189</v>
      </c>
      <c r="D268" s="2" t="s">
        <v>85</v>
      </c>
      <c r="E268" s="8" t="n">
        <f aca="false">-MIN(SUM(E265:E267),SUM(E254:E257))</f>
        <v>-443.67861595996</v>
      </c>
      <c r="F268" s="8" t="n">
        <f aca="false">-MIN(SUM(F265:F267),SUM(F254:F257))</f>
        <v>-0</v>
      </c>
      <c r="G268" s="8" t="n">
        <f aca="false">-MIN(SUM(G265:G267),SUM(G254:G257))</f>
        <v>-0</v>
      </c>
      <c r="H268" s="8" t="n">
        <f aca="false">SUM(E268:G268)</f>
        <v>-443.67861595996</v>
      </c>
    </row>
    <row r="269" customFormat="false" ht="14.25" hidden="false" customHeight="false" outlineLevel="0" collapsed="false">
      <c r="C269" s="6" t="s">
        <v>190</v>
      </c>
      <c r="D269" s="2" t="s">
        <v>85</v>
      </c>
      <c r="E269" s="8" t="n">
        <f aca="false">-MIN(SUM(E265:E268),SUM(E258:E259))</f>
        <v>-724.516967033827</v>
      </c>
      <c r="F269" s="8" t="n">
        <f aca="false">-MIN(SUM(F265:F268),SUM(F258:F259))</f>
        <v>-0</v>
      </c>
      <c r="G269" s="8" t="n">
        <f aca="false">-MIN(SUM(G265:G268),SUM(G258:G259))</f>
        <v>-0</v>
      </c>
      <c r="H269" s="8" t="n">
        <f aca="false">SUM(E269:G269)</f>
        <v>-724.516967033827</v>
      </c>
    </row>
    <row r="270" customFormat="false" ht="14.25" hidden="false" customHeight="false" outlineLevel="0" collapsed="false">
      <c r="C270" s="6" t="s">
        <v>191</v>
      </c>
      <c r="D270" s="2" t="s">
        <v>85</v>
      </c>
      <c r="E270" s="8" t="n">
        <f aca="false">-MIN(SUM(E265:E269),E260)</f>
        <v>-239.583333333333</v>
      </c>
      <c r="F270" s="8" t="n">
        <f aca="false">-MIN(SUM(F265:F269),F260)</f>
        <v>-0</v>
      </c>
      <c r="G270" s="8" t="n">
        <f aca="false">-MIN(SUM(G265:G269),G260)</f>
        <v>-0</v>
      </c>
      <c r="H270" s="8" t="n">
        <f aca="false">SUM(E270:G270)</f>
        <v>-239.583333333333</v>
      </c>
    </row>
    <row r="271" customFormat="false" ht="14.25" hidden="false" customHeight="false" outlineLevel="0" collapsed="false">
      <c r="C271" s="6" t="s">
        <v>192</v>
      </c>
      <c r="D271" s="2" t="s">
        <v>85</v>
      </c>
      <c r="E271" s="8" t="n">
        <f aca="false">SUM(E265:E270)</f>
        <v>5842.22108367288</v>
      </c>
      <c r="F271" s="8" t="n">
        <f aca="false">SUM(F265:F270)</f>
        <v>7250</v>
      </c>
      <c r="G271" s="8" t="n">
        <f aca="false">SUM(G265:G270)</f>
        <v>7250</v>
      </c>
      <c r="H271" s="8" t="n">
        <f aca="false">SUM(E271:G271)</f>
        <v>20342.2210836729</v>
      </c>
    </row>
    <row r="272" customFormat="false" ht="14.25" hidden="false" customHeight="false" outlineLevel="0" collapsed="false">
      <c r="C272" s="6" t="s">
        <v>193</v>
      </c>
      <c r="D272" s="2" t="s">
        <v>85</v>
      </c>
      <c r="E272" s="8" t="n">
        <f aca="false">E271*E19</f>
        <v>4089.55475857102</v>
      </c>
      <c r="F272" s="8" t="n">
        <f aca="false">F271*F19</f>
        <v>7250</v>
      </c>
      <c r="G272" s="8" t="n">
        <f aca="false">G271*G19</f>
        <v>7250</v>
      </c>
      <c r="H272" s="8" t="n">
        <f aca="false">SUM(E272:G272)</f>
        <v>18589.554758571</v>
      </c>
    </row>
    <row r="273" customFormat="false" ht="14.25" hidden="false" customHeight="false" outlineLevel="0" collapsed="false">
      <c r="C273" s="6" t="s">
        <v>194</v>
      </c>
      <c r="D273" s="2" t="s">
        <v>85</v>
      </c>
      <c r="E273" s="8" t="n">
        <f aca="false">E271-E272</f>
        <v>1752.66632510186</v>
      </c>
      <c r="F273" s="8" t="n">
        <f aca="false">F271-F272</f>
        <v>0</v>
      </c>
      <c r="G273" s="8" t="n">
        <f aca="false">G271-G272</f>
        <v>0</v>
      </c>
      <c r="H273" s="8" t="n">
        <f aca="false">SUM(E273:G273)</f>
        <v>1752.66632510186</v>
      </c>
    </row>
    <row r="274" customFormat="false" ht="14.25" hidden="false" customHeight="false" outlineLevel="0" collapsed="false">
      <c r="C274" s="44" t="s">
        <v>240</v>
      </c>
      <c r="D274" s="44"/>
      <c r="E274" s="45" t="s">
        <v>5</v>
      </c>
      <c r="F274" s="45" t="s">
        <v>6</v>
      </c>
      <c r="G274" s="45" t="s">
        <v>7</v>
      </c>
      <c r="H274" s="45" t="s">
        <v>8</v>
      </c>
      <c r="J274" s="45" t="s">
        <v>196</v>
      </c>
      <c r="K274" s="45" t="s">
        <v>6</v>
      </c>
      <c r="L274" s="45" t="s">
        <v>7</v>
      </c>
    </row>
    <row r="275" customFormat="false" ht="14.25" hidden="false" customHeight="false" outlineLevel="0" collapsed="false">
      <c r="C275" s="6" t="s">
        <v>82</v>
      </c>
      <c r="D275" s="2" t="s">
        <v>85</v>
      </c>
      <c r="E275" s="8" t="n">
        <f aca="false">-E69</f>
        <v>-100</v>
      </c>
      <c r="F275" s="8" t="n">
        <f aca="false">-F69</f>
        <v>-150</v>
      </c>
      <c r="G275" s="8" t="n">
        <f aca="false">-G69</f>
        <v>-150</v>
      </c>
      <c r="H275" s="8" t="n">
        <f aca="false">SUM(E275:G275)</f>
        <v>-400</v>
      </c>
      <c r="J275" s="25" t="n">
        <f aca="false">Inputs!E$20</f>
        <v>46234</v>
      </c>
      <c r="K275" s="25" t="n">
        <f aca="false">Inputs!F$20</f>
        <v>46234</v>
      </c>
      <c r="L275" s="25" t="n">
        <f aca="false">Inputs!G$20</f>
        <v>46234</v>
      </c>
    </row>
    <row r="276" customFormat="false" ht="14.25" hidden="false" customHeight="false" outlineLevel="0" collapsed="false">
      <c r="C276" s="6" t="s">
        <v>73</v>
      </c>
      <c r="D276" s="2" t="s">
        <v>85</v>
      </c>
      <c r="E276" s="8" t="n">
        <f aca="false">-E61</f>
        <v>-8.21917808219178</v>
      </c>
      <c r="F276" s="8" t="n">
        <f aca="false">-F61</f>
        <v>-8.21917808219178</v>
      </c>
      <c r="G276" s="8" t="n">
        <f aca="false">-G61</f>
        <v>-8.21917808219178</v>
      </c>
      <c r="H276" s="8" t="n">
        <f aca="false">SUM(E276:G276)</f>
        <v>-24.6575342465753</v>
      </c>
      <c r="J276" s="25" t="n">
        <f aca="false">Inputs!E$21</f>
        <v>46325</v>
      </c>
      <c r="K276" s="25" t="n">
        <f aca="false">Inputs!F$21</f>
        <v>46325</v>
      </c>
      <c r="L276" s="25" t="n">
        <f aca="false">Inputs!G$21</f>
        <v>46325</v>
      </c>
    </row>
    <row r="277" customFormat="false" ht="14.25" hidden="false" customHeight="false" outlineLevel="0" collapsed="false">
      <c r="C277" s="6" t="s">
        <v>75</v>
      </c>
      <c r="D277" s="2" t="s">
        <v>85</v>
      </c>
      <c r="E277" s="8" t="n">
        <f aca="false">-E62</f>
        <v>-278.082191780822</v>
      </c>
      <c r="F277" s="8" t="n">
        <f aca="false">-F62</f>
        <v>-498.904109589041</v>
      </c>
      <c r="G277" s="8" t="n">
        <f aca="false">-G62</f>
        <v>-498.904109589041</v>
      </c>
      <c r="H277" s="8" t="n">
        <f aca="false">SUM(E277:G277)</f>
        <v>-1275.8904109589</v>
      </c>
      <c r="J277" s="25" t="n">
        <f aca="false">Inputs!E$21</f>
        <v>46325</v>
      </c>
      <c r="K277" s="25" t="n">
        <f aca="false">Inputs!F$21</f>
        <v>46325</v>
      </c>
      <c r="L277" s="25" t="n">
        <f aca="false">Inputs!G$21</f>
        <v>46325</v>
      </c>
    </row>
    <row r="278" customFormat="false" ht="14.25" hidden="false" customHeight="false" outlineLevel="0" collapsed="false">
      <c r="C278" s="6" t="s">
        <v>197</v>
      </c>
      <c r="D278" s="2" t="s">
        <v>85</v>
      </c>
      <c r="E278" s="8" t="n">
        <f aca="false">-E63</f>
        <v>-1112.32876712329</v>
      </c>
      <c r="F278" s="8" t="n">
        <f aca="false">-F63</f>
        <v>-1995.61643835616</v>
      </c>
      <c r="G278" s="8" t="n">
        <f aca="false">-G63</f>
        <v>-1995.61643835616</v>
      </c>
      <c r="H278" s="8" t="n">
        <f aca="false">SUM(E278:G278)</f>
        <v>-5103.56164383562</v>
      </c>
      <c r="J278" s="25" t="n">
        <f aca="false">Inputs!E$22</f>
        <v>46402</v>
      </c>
      <c r="K278" s="25" t="n">
        <f aca="false">Inputs!F$22</f>
        <v>46402</v>
      </c>
      <c r="L278" s="25" t="n">
        <f aca="false">Inputs!G$22</f>
        <v>46402</v>
      </c>
    </row>
    <row r="279" customFormat="false" ht="14.25" hidden="false" customHeight="false" outlineLevel="0" collapsed="false">
      <c r="C279" s="6" t="s">
        <v>77</v>
      </c>
      <c r="D279" s="2" t="s">
        <v>85</v>
      </c>
      <c r="E279" s="8" t="n">
        <f aca="false">-E64</f>
        <v>-616.438356164384</v>
      </c>
      <c r="F279" s="8" t="n">
        <f aca="false">-F64</f>
        <v>-616.438356164384</v>
      </c>
      <c r="G279" s="8" t="n">
        <f aca="false">-G64</f>
        <v>-616.438356164384</v>
      </c>
      <c r="H279" s="8" t="n">
        <f aca="false">SUM(E279:G279)</f>
        <v>-1849.31506849315</v>
      </c>
      <c r="J279" s="25" t="n">
        <f aca="false">Inputs!E$23</f>
        <v>46402</v>
      </c>
      <c r="K279" s="25" t="n">
        <f aca="false">Inputs!F$23</f>
        <v>46402</v>
      </c>
      <c r="L279" s="25" t="n">
        <f aca="false">Inputs!G$23</f>
        <v>46402</v>
      </c>
    </row>
    <row r="280" customFormat="false" ht="14.25" hidden="false" customHeight="false" outlineLevel="0" collapsed="false">
      <c r="C280" s="6" t="s">
        <v>119</v>
      </c>
      <c r="D280" s="2" t="s">
        <v>85</v>
      </c>
      <c r="E280" s="8" t="n">
        <f aca="false">-E232</f>
        <v>-45.3359589041096</v>
      </c>
      <c r="F280" s="8" t="n">
        <f aca="false">-F232</f>
        <v>-45.3359589041096</v>
      </c>
      <c r="G280" s="8" t="n">
        <f aca="false">-G232</f>
        <v>-45.3359589041096</v>
      </c>
      <c r="H280" s="8" t="n">
        <f aca="false">SUM(E280:G280)</f>
        <v>-136.007876712329</v>
      </c>
      <c r="J280" s="25" t="n">
        <f aca="false">E231</f>
        <v>46431</v>
      </c>
      <c r="K280" s="25" t="n">
        <f aca="false">F231</f>
        <v>46431</v>
      </c>
      <c r="L280" s="25" t="n">
        <f aca="false">G231</f>
        <v>46431</v>
      </c>
    </row>
    <row r="281" customFormat="false" ht="14.25" hidden="false" customHeight="false" outlineLevel="0" collapsed="false">
      <c r="C281" s="6" t="s">
        <v>200</v>
      </c>
      <c r="D281" s="2" t="s">
        <v>85</v>
      </c>
      <c r="E281" s="8" t="n">
        <f aca="false">-E235</f>
        <v>-679.181008129717</v>
      </c>
      <c r="F281" s="8" t="n">
        <f aca="false">-F235</f>
        <v>-679.181008129717</v>
      </c>
      <c r="G281" s="8" t="n">
        <f aca="false">-G235</f>
        <v>-679.181008129717</v>
      </c>
      <c r="H281" s="8" t="n">
        <f aca="false">SUM(E281:G281)</f>
        <v>-2037.54302438915</v>
      </c>
      <c r="J281" s="25" t="n">
        <f aca="false">E234</f>
        <v>46701.5587560279</v>
      </c>
      <c r="K281" s="25" t="n">
        <f aca="false">F234</f>
        <v>46701.5587560279</v>
      </c>
      <c r="L281" s="25" t="n">
        <f aca="false">G234</f>
        <v>46701.5587560279</v>
      </c>
    </row>
    <row r="282" customFormat="false" ht="14.25" hidden="false" customHeight="false" outlineLevel="0" collapsed="false">
      <c r="C282" s="6" t="s">
        <v>201</v>
      </c>
      <c r="D282" s="2" t="s">
        <v>85</v>
      </c>
      <c r="E282" s="8" t="n">
        <f aca="false">E272-SUM(E267:E269)</f>
        <v>7264.5996566333</v>
      </c>
      <c r="F282" s="8" t="n">
        <f aca="false">F272-SUM(F267:F269)</f>
        <v>10360.9589041096</v>
      </c>
      <c r="G282" s="8" t="n">
        <f aca="false">G272-SUM(G267:G269)</f>
        <v>10360.9589041096</v>
      </c>
      <c r="H282" s="8" t="n">
        <f aca="false">SUM(E282:G282)</f>
        <v>27986.5174648525</v>
      </c>
      <c r="J282" s="25" t="n">
        <f aca="false">Sale_Date_A</f>
        <v>47026</v>
      </c>
      <c r="K282" s="25" t="n">
        <f aca="false">Sale_Date_A</f>
        <v>47026</v>
      </c>
      <c r="L282" s="25" t="n">
        <f aca="false">Sale_Date_A</f>
        <v>47026</v>
      </c>
    </row>
    <row r="283" customFormat="false" ht="14.25" hidden="false" customHeight="false" outlineLevel="0" collapsed="false">
      <c r="C283" s="46" t="s">
        <v>127</v>
      </c>
      <c r="D283" s="47" t="s">
        <v>85</v>
      </c>
      <c r="E283" s="62" t="n">
        <f aca="false">SUM(E275:E282)</f>
        <v>4425.01419644878</v>
      </c>
      <c r="F283" s="63" t="n">
        <f aca="false">SUM(F275:F282)</f>
        <v>6367.26385488398</v>
      </c>
      <c r="G283" s="63" t="n">
        <f aca="false">SUM(G275:G282)</f>
        <v>6367.26385488398</v>
      </c>
      <c r="H283" s="63" t="n">
        <f aca="false">SUM(E283:G283)</f>
        <v>17159.5419062168</v>
      </c>
    </row>
    <row r="284" customFormat="false" ht="14.25" hidden="false" customHeight="false" outlineLevel="0" collapsed="false">
      <c r="C284" s="1" t="s">
        <v>202</v>
      </c>
      <c r="D284" s="2" t="s">
        <v>85</v>
      </c>
      <c r="E284" s="34" t="n">
        <f aca="false">0</f>
        <v>0</v>
      </c>
      <c r="F284" s="34" t="n">
        <f aca="false">0</f>
        <v>0</v>
      </c>
      <c r="G284" s="34" t="n">
        <f aca="false">0</f>
        <v>0</v>
      </c>
      <c r="H284" s="34" t="n">
        <f aca="false">SUM(E284:G284)</f>
        <v>0</v>
      </c>
    </row>
    <row r="285" customFormat="false" ht="14.25" hidden="false" customHeight="false" outlineLevel="0" collapsed="false">
      <c r="C285" s="46" t="s">
        <v>128</v>
      </c>
      <c r="D285" s="47" t="s">
        <v>85</v>
      </c>
      <c r="E285" s="63" t="n">
        <f aca="false">E283+E284</f>
        <v>4425.01419644878</v>
      </c>
      <c r="F285" s="63" t="n">
        <f aca="false">F283+F284</f>
        <v>6367.26385488398</v>
      </c>
      <c r="G285" s="63" t="n">
        <f aca="false">G283+G284</f>
        <v>6367.26385488398</v>
      </c>
      <c r="H285" s="63" t="n">
        <f aca="false">SUM(E285:G285)</f>
        <v>17159.5419062168</v>
      </c>
    </row>
    <row r="286" customFormat="false" ht="14.25" hidden="false" customHeight="false" outlineLevel="0" collapsed="false">
      <c r="C286" s="6" t="s">
        <v>129</v>
      </c>
      <c r="D286" s="2" t="s">
        <v>3</v>
      </c>
      <c r="E286" s="49" t="n">
        <f aca="false">SUMIF(E275:E282,"&gt;0")/-SUMIF(E275:E282,"&lt;0")</f>
        <v>2.55833105166036</v>
      </c>
      <c r="F286" s="49" t="n">
        <f aca="false">SUMIF(F275:F282,"&gt;0")/-SUMIF(F275:F282,"&lt;0")</f>
        <v>2.59432900519498</v>
      </c>
      <c r="G286" s="49" t="n">
        <f aca="false">SUMIF(G275:G282,"&gt;0")/-SUMIF(G275:G282,"&lt;0")</f>
        <v>2.59432900519498</v>
      </c>
      <c r="H286" s="49" t="n">
        <f aca="false">SUMIF(H275:H282,"&gt;0")/-SUMIF(H275:H282,"&lt;0")</f>
        <v>2.58488783994068</v>
      </c>
    </row>
    <row r="287" customFormat="false" ht="14.25" hidden="false" customHeight="false" outlineLevel="0" collapsed="false">
      <c r="C287" s="6" t="s">
        <v>130</v>
      </c>
      <c r="D287" s="2" t="s">
        <v>12</v>
      </c>
      <c r="E287" s="50" t="n">
        <f aca="false">XIRR(E275:E282,J275:J282)</f>
        <v>0.805289929233246</v>
      </c>
      <c r="F287" s="50" t="n">
        <f aca="false">XIRR(F275:F282,K275:K282)</f>
        <v>0.785257971985715</v>
      </c>
      <c r="G287" s="50" t="n">
        <f aca="false">XIRR(G275:G282,L275:L282)</f>
        <v>0.785257971985715</v>
      </c>
    </row>
    <row r="288" customFormat="false" ht="14.25" hidden="false" customHeight="false" outlineLevel="0" collapsed="false">
      <c r="C288" s="64" t="s">
        <v>241</v>
      </c>
      <c r="D288" s="36" t="s">
        <v>85</v>
      </c>
      <c r="E288" s="33" t="n">
        <f aca="false">E283-E224</f>
        <v>-195.897747434096</v>
      </c>
      <c r="F288" s="8" t="n">
        <f aca="false">F283-F224</f>
        <v>84.3835616438364</v>
      </c>
      <c r="G288" s="8" t="n">
        <f aca="false">G283-G224</f>
        <v>84.3835616438364</v>
      </c>
      <c r="H288" s="8" t="n">
        <f aca="false">SUM(E288:G288)</f>
        <v>-27.1306241464235</v>
      </c>
    </row>
    <row r="290" customFormat="false" ht="14.25" hidden="false" customHeight="false" outlineLevel="0" collapsed="false">
      <c r="B290" s="4" t="s">
        <v>3</v>
      </c>
      <c r="C290" s="4" t="s">
        <v>242</v>
      </c>
      <c r="D290" s="4"/>
      <c r="E290" s="5"/>
      <c r="F290" s="5"/>
      <c r="G290" s="5"/>
      <c r="H290" s="5" t="s">
        <v>8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</row>
    <row r="291" customFormat="false" ht="14.25" hidden="false" customHeight="false" outlineLevel="0" collapsed="false">
      <c r="C291" s="6" t="s">
        <v>147</v>
      </c>
      <c r="D291" s="2" t="s">
        <v>148</v>
      </c>
      <c r="J291" s="58" t="n">
        <f aca="false">First_Year+COLUMN()-COLUMN($J$1)</f>
        <v>2026</v>
      </c>
      <c r="K291" s="58" t="n">
        <f aca="false">First_Year+COLUMN()-COLUMN($J$1)</f>
        <v>2027</v>
      </c>
      <c r="L291" s="58" t="n">
        <f aca="false">First_Year+COLUMN()-COLUMN($J$1)</f>
        <v>2028</v>
      </c>
      <c r="M291" s="58" t="n">
        <f aca="false">First_Year+COLUMN()-COLUMN($J$1)</f>
        <v>2029</v>
      </c>
      <c r="N291" s="58" t="n">
        <f aca="false">First_Year+COLUMN()-COLUMN($J$1)</f>
        <v>2030</v>
      </c>
      <c r="O291" s="58" t="n">
        <f aca="false">First_Year+COLUMN()-COLUMN($J$1)</f>
        <v>2031</v>
      </c>
      <c r="P291" s="58" t="n">
        <f aca="false">First_Year+COLUMN()-COLUMN($J$1)</f>
        <v>2032</v>
      </c>
      <c r="Q291" s="58" t="n">
        <f aca="false">First_Year+COLUMN()-COLUMN($J$1)</f>
        <v>2033</v>
      </c>
      <c r="R291" s="58" t="n">
        <f aca="false">First_Year+COLUMN()-COLUMN($J$1)</f>
        <v>2034</v>
      </c>
      <c r="S291" s="58" t="n">
        <f aca="false">First_Year+COLUMN()-COLUMN($J$1)</f>
        <v>2035</v>
      </c>
      <c r="T291" s="58" t="n">
        <f aca="false">First_Year+COLUMN()-COLUMN($J$1)</f>
        <v>2036</v>
      </c>
      <c r="U291" s="58" t="n">
        <f aca="false">First_Year+COLUMN()-COLUMN($J$1)</f>
        <v>2037</v>
      </c>
      <c r="V291" s="58" t="n">
        <f aca="false">First_Year+COLUMN()-COLUMN($J$1)</f>
        <v>2038</v>
      </c>
      <c r="W291" s="58" t="n">
        <f aca="false">First_Year+COLUMN()-COLUMN($J$1)</f>
        <v>2039</v>
      </c>
      <c r="X291" s="58" t="n">
        <f aca="false">First_Year+COLUMN()-COLUMN($J$1)</f>
        <v>2040</v>
      </c>
      <c r="Y291" s="58" t="n">
        <f aca="false">First_Year+COLUMN()-COLUMN($J$1)</f>
        <v>2041</v>
      </c>
      <c r="Z291" s="58" t="n">
        <f aca="false">First_Year+COLUMN()-COLUMN($J$1)</f>
        <v>2042</v>
      </c>
      <c r="AA291" s="58" t="n">
        <f aca="false">First_Year+COLUMN()-COLUMN($J$1)</f>
        <v>2043</v>
      </c>
      <c r="AB291" s="58" t="n">
        <f aca="false">First_Year+COLUMN()-COLUMN($J$1)</f>
        <v>2044</v>
      </c>
      <c r="AC291" s="58" t="n">
        <f aca="false">First_Year+COLUMN()-COLUMN($J$1)</f>
        <v>2045</v>
      </c>
      <c r="AD291" s="58" t="n">
        <f aca="false">First_Year+COLUMN()-COLUMN($J$1)</f>
        <v>2046</v>
      </c>
      <c r="AE291" s="58" t="n">
        <f aca="false">First_Year+COLUMN()-COLUMN($J$1)</f>
        <v>2047</v>
      </c>
      <c r="AF291" s="58" t="n">
        <f aca="false">First_Year+COLUMN()-COLUMN($J$1)</f>
        <v>2048</v>
      </c>
      <c r="AG291" s="58" t="n">
        <f aca="false">First_Year+COLUMN()-COLUMN($J$1)</f>
        <v>2049</v>
      </c>
      <c r="AH291" s="58" t="n">
        <f aca="false">First_Year+COLUMN()-COLUMN($J$1)</f>
        <v>2050</v>
      </c>
      <c r="AI291" s="58" t="n">
        <f aca="false">First_Year+COLUMN()-COLUMN($J$1)</f>
        <v>2051</v>
      </c>
      <c r="AJ291" s="58" t="n">
        <f aca="false">First_Year+COLUMN()-COLUMN($J$1)</f>
        <v>2052</v>
      </c>
      <c r="AK291" s="58" t="n">
        <f aca="false">First_Year+COLUMN()-COLUMN($J$1)</f>
        <v>2053</v>
      </c>
      <c r="AL291" s="58" t="n">
        <f aca="false">First_Year+COLUMN()-COLUMN($J$1)</f>
        <v>2054</v>
      </c>
      <c r="AM291" s="58" t="n">
        <f aca="false">First_Year+COLUMN()-COLUMN($J$1)</f>
        <v>2055</v>
      </c>
      <c r="AN291" s="58" t="n">
        <f aca="false">First_Year+COLUMN()-COLUMN($J$1)</f>
        <v>2056</v>
      </c>
      <c r="AO291" s="58" t="n">
        <f aca="false">First_Year+COLUMN()-COLUMN($J$1)</f>
        <v>2057</v>
      </c>
      <c r="AP291" s="58" t="n">
        <f aca="false">First_Year+COLUMN()-COLUMN($J$1)</f>
        <v>2058</v>
      </c>
      <c r="AQ291" s="58" t="n">
        <f aca="false">First_Year+COLUMN()-COLUMN($J$1)</f>
        <v>2059</v>
      </c>
      <c r="AR291" s="58" t="n">
        <f aca="false">First_Year+COLUMN()-COLUMN($J$1)</f>
        <v>2060</v>
      </c>
      <c r="AS291" s="58" t="n">
        <f aca="false">First_Year+COLUMN()-COLUMN($J$1)</f>
        <v>2061</v>
      </c>
    </row>
    <row r="292" customFormat="false" ht="14.25" hidden="false" customHeight="false" outlineLevel="0" collapsed="false">
      <c r="C292" s="6" t="s">
        <v>243</v>
      </c>
      <c r="D292" s="2" t="s">
        <v>158</v>
      </c>
      <c r="J292" s="25" t="n">
        <f aca="false">DATE(J291+1,1,1)-1</f>
        <v>46387</v>
      </c>
      <c r="K292" s="25" t="n">
        <f aca="false">DATE(K291+1,1,1)-1</f>
        <v>46752</v>
      </c>
      <c r="L292" s="25" t="n">
        <f aca="false">DATE(L291+1,1,1)-1</f>
        <v>47118</v>
      </c>
      <c r="M292" s="25" t="n">
        <f aca="false">DATE(M291+1,1,1)-1</f>
        <v>47483</v>
      </c>
      <c r="N292" s="25" t="n">
        <f aca="false">DATE(N291+1,1,1)-1</f>
        <v>47848</v>
      </c>
      <c r="O292" s="25" t="n">
        <f aca="false">DATE(O291+1,1,1)-1</f>
        <v>48213</v>
      </c>
      <c r="P292" s="25" t="n">
        <f aca="false">DATE(P291+1,1,1)-1</f>
        <v>48579</v>
      </c>
      <c r="Q292" s="25" t="n">
        <f aca="false">DATE(Q291+1,1,1)-1</f>
        <v>48944</v>
      </c>
      <c r="R292" s="25" t="n">
        <f aca="false">DATE(R291+1,1,1)-1</f>
        <v>49309</v>
      </c>
      <c r="S292" s="25" t="n">
        <f aca="false">DATE(S291+1,1,1)-1</f>
        <v>49674</v>
      </c>
      <c r="T292" s="25" t="n">
        <f aca="false">DATE(T291+1,1,1)-1</f>
        <v>50040</v>
      </c>
      <c r="U292" s="25" t="n">
        <f aca="false">DATE(U291+1,1,1)-1</f>
        <v>50405</v>
      </c>
      <c r="V292" s="25" t="n">
        <f aca="false">DATE(V291+1,1,1)-1</f>
        <v>50770</v>
      </c>
      <c r="W292" s="25" t="n">
        <f aca="false">DATE(W291+1,1,1)-1</f>
        <v>51135</v>
      </c>
      <c r="X292" s="25" t="n">
        <f aca="false">DATE(X291+1,1,1)-1</f>
        <v>51501</v>
      </c>
      <c r="Y292" s="25" t="n">
        <f aca="false">DATE(Y291+1,1,1)-1</f>
        <v>51866</v>
      </c>
      <c r="Z292" s="25" t="n">
        <f aca="false">DATE(Z291+1,1,1)-1</f>
        <v>52231</v>
      </c>
      <c r="AA292" s="25" t="n">
        <f aca="false">DATE(AA291+1,1,1)-1</f>
        <v>52596</v>
      </c>
      <c r="AB292" s="25" t="n">
        <f aca="false">DATE(AB291+1,1,1)-1</f>
        <v>52962</v>
      </c>
      <c r="AC292" s="25" t="n">
        <f aca="false">DATE(AC291+1,1,1)-1</f>
        <v>53327</v>
      </c>
      <c r="AD292" s="25" t="n">
        <f aca="false">DATE(AD291+1,1,1)-1</f>
        <v>53692</v>
      </c>
      <c r="AE292" s="25" t="n">
        <f aca="false">DATE(AE291+1,1,1)-1</f>
        <v>54057</v>
      </c>
      <c r="AF292" s="25" t="n">
        <f aca="false">DATE(AF291+1,1,1)-1</f>
        <v>54423</v>
      </c>
      <c r="AG292" s="25" t="n">
        <f aca="false">DATE(AG291+1,1,1)-1</f>
        <v>54788</v>
      </c>
      <c r="AH292" s="25" t="n">
        <f aca="false">DATE(AH291+1,1,1)-1</f>
        <v>55153</v>
      </c>
      <c r="AI292" s="25" t="n">
        <f aca="false">DATE(AI291+1,1,1)-1</f>
        <v>55518</v>
      </c>
      <c r="AJ292" s="25" t="n">
        <f aca="false">DATE(AJ291+1,1,1)-1</f>
        <v>55884</v>
      </c>
      <c r="AK292" s="25" t="n">
        <f aca="false">DATE(AK291+1,1,1)-1</f>
        <v>56249</v>
      </c>
      <c r="AL292" s="25" t="n">
        <f aca="false">DATE(AL291+1,1,1)-1</f>
        <v>56614</v>
      </c>
      <c r="AM292" s="25" t="n">
        <f aca="false">DATE(AM291+1,1,1)-1</f>
        <v>56979</v>
      </c>
      <c r="AN292" s="25" t="n">
        <f aca="false">DATE(AN291+1,1,1)-1</f>
        <v>57345</v>
      </c>
      <c r="AO292" s="25" t="n">
        <f aca="false">DATE(AO291+1,1,1)-1</f>
        <v>57710</v>
      </c>
      <c r="AP292" s="25" t="n">
        <f aca="false">DATE(AP291+1,1,1)-1</f>
        <v>58075</v>
      </c>
      <c r="AQ292" s="25" t="n">
        <f aca="false">DATE(AQ291+1,1,1)-1</f>
        <v>58440</v>
      </c>
      <c r="AR292" s="25" t="n">
        <f aca="false">DATE(AR291+1,1,1)-1</f>
        <v>58806</v>
      </c>
      <c r="AS292" s="25" t="n">
        <f aca="false">DATE(AS291+1,1,1)-1</f>
        <v>59171</v>
      </c>
    </row>
    <row r="294" customFormat="false" ht="14.25" hidden="false" customHeight="false" outlineLevel="0" collapsed="false">
      <c r="B294" s="4" t="s">
        <v>3</v>
      </c>
      <c r="C294" s="4" t="s">
        <v>244</v>
      </c>
      <c r="D294" s="4"/>
      <c r="E294" s="5" t="s">
        <v>245</v>
      </c>
      <c r="F294" s="5"/>
      <c r="G294" s="5"/>
      <c r="H294" s="5" t="s">
        <v>8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</row>
    <row r="295" customFormat="false" ht="14.25" hidden="false" customHeight="false" outlineLevel="0" collapsed="false">
      <c r="C295" s="6" t="s">
        <v>246</v>
      </c>
      <c r="D295" s="2" t="s">
        <v>247</v>
      </c>
      <c r="J295" s="58" t="n">
        <f aca="false">J$291-YEAR(Inputs!$E$26)</f>
        <v>-5</v>
      </c>
      <c r="K295" s="58" t="n">
        <f aca="false">K$291-YEAR(Inputs!$E$26)</f>
        <v>-4</v>
      </c>
      <c r="L295" s="58" t="n">
        <f aca="false">L$291-YEAR(Inputs!$E$26)</f>
        <v>-3</v>
      </c>
      <c r="M295" s="58" t="n">
        <f aca="false">M$291-YEAR(Inputs!$E$26)</f>
        <v>-2</v>
      </c>
      <c r="N295" s="58" t="n">
        <f aca="false">N$291-YEAR(Inputs!$E$26)</f>
        <v>-1</v>
      </c>
      <c r="O295" s="58" t="n">
        <f aca="false">O$291-YEAR(Inputs!$E$26)</f>
        <v>0</v>
      </c>
      <c r="P295" s="58" t="n">
        <f aca="false">P$291-YEAR(Inputs!$E$26)</f>
        <v>1</v>
      </c>
      <c r="Q295" s="58" t="n">
        <f aca="false">Q$291-YEAR(Inputs!$E$26)</f>
        <v>2</v>
      </c>
      <c r="R295" s="58" t="n">
        <f aca="false">R$291-YEAR(Inputs!$E$26)</f>
        <v>3</v>
      </c>
      <c r="S295" s="58" t="n">
        <f aca="false">S$291-YEAR(Inputs!$E$26)</f>
        <v>4</v>
      </c>
      <c r="T295" s="58" t="n">
        <f aca="false">T$291-YEAR(Inputs!$E$26)</f>
        <v>5</v>
      </c>
      <c r="U295" s="58" t="n">
        <f aca="false">U$291-YEAR(Inputs!$E$26)</f>
        <v>6</v>
      </c>
      <c r="V295" s="58" t="n">
        <f aca="false">V$291-YEAR(Inputs!$E$26)</f>
        <v>7</v>
      </c>
      <c r="W295" s="58" t="n">
        <f aca="false">W$291-YEAR(Inputs!$E$26)</f>
        <v>8</v>
      </c>
      <c r="X295" s="58" t="n">
        <f aca="false">X$291-YEAR(Inputs!$E$26)</f>
        <v>9</v>
      </c>
      <c r="Y295" s="58" t="n">
        <f aca="false">Y$291-YEAR(Inputs!$E$26)</f>
        <v>10</v>
      </c>
      <c r="Z295" s="58" t="n">
        <f aca="false">Z$291-YEAR(Inputs!$E$26)</f>
        <v>11</v>
      </c>
      <c r="AA295" s="58" t="n">
        <f aca="false">AA$291-YEAR(Inputs!$E$26)</f>
        <v>12</v>
      </c>
      <c r="AB295" s="58" t="n">
        <f aca="false">AB$291-YEAR(Inputs!$E$26)</f>
        <v>13</v>
      </c>
      <c r="AC295" s="58" t="n">
        <f aca="false">AC$291-YEAR(Inputs!$E$26)</f>
        <v>14</v>
      </c>
      <c r="AD295" s="58" t="n">
        <f aca="false">AD$291-YEAR(Inputs!$E$26)</f>
        <v>15</v>
      </c>
      <c r="AE295" s="58" t="n">
        <f aca="false">AE$291-YEAR(Inputs!$E$26)</f>
        <v>16</v>
      </c>
      <c r="AF295" s="58" t="n">
        <f aca="false">AF$291-YEAR(Inputs!$E$26)</f>
        <v>17</v>
      </c>
      <c r="AG295" s="58" t="n">
        <f aca="false">AG$291-YEAR(Inputs!$E$26)</f>
        <v>18</v>
      </c>
      <c r="AH295" s="58" t="n">
        <f aca="false">AH$291-YEAR(Inputs!$E$26)</f>
        <v>19</v>
      </c>
      <c r="AI295" s="58" t="n">
        <f aca="false">AI$291-YEAR(Inputs!$E$26)</f>
        <v>20</v>
      </c>
      <c r="AJ295" s="58" t="n">
        <f aca="false">AJ$291-YEAR(Inputs!$E$26)</f>
        <v>21</v>
      </c>
      <c r="AK295" s="58" t="n">
        <f aca="false">AK$291-YEAR(Inputs!$E$26)</f>
        <v>22</v>
      </c>
      <c r="AL295" s="58" t="n">
        <f aca="false">AL$291-YEAR(Inputs!$E$26)</f>
        <v>23</v>
      </c>
      <c r="AM295" s="58" t="n">
        <f aca="false">AM$291-YEAR(Inputs!$E$26)</f>
        <v>24</v>
      </c>
      <c r="AN295" s="58" t="n">
        <f aca="false">AN$291-YEAR(Inputs!$E$26)</f>
        <v>25</v>
      </c>
      <c r="AO295" s="58" t="n">
        <f aca="false">AO$291-YEAR(Inputs!$E$26)</f>
        <v>26</v>
      </c>
      <c r="AP295" s="58" t="n">
        <f aca="false">AP$291-YEAR(Inputs!$E$26)</f>
        <v>27</v>
      </c>
      <c r="AQ295" s="58" t="n">
        <f aca="false">AQ$291-YEAR(Inputs!$E$26)</f>
        <v>28</v>
      </c>
      <c r="AR295" s="58" t="n">
        <f aca="false">AR$291-YEAR(Inputs!$E$26)</f>
        <v>29</v>
      </c>
      <c r="AS295" s="58" t="n">
        <f aca="false">AS$291-YEAR(Inputs!$E$26)</f>
        <v>30</v>
      </c>
    </row>
    <row r="296" customFormat="false" ht="14.25" hidden="false" customHeight="false" outlineLevel="0" collapsed="false">
      <c r="C296" s="6" t="s">
        <v>248</v>
      </c>
      <c r="D296" s="2" t="s">
        <v>249</v>
      </c>
      <c r="E296" s="58" t="n">
        <f aca="false">DATEDIF(Inputs!$E$25,Inputs!$E$26,"m")</f>
        <v>24</v>
      </c>
      <c r="J296" s="58" t="n">
        <f aca="false">(J$291+1-YEAR(Inputs!$E$25))*Months_In_Year-MONTH(Inputs!$E$25)</f>
        <v>-30</v>
      </c>
      <c r="K296" s="58" t="n">
        <f aca="false">(K$291+1-YEAR(Inputs!$E$25))*Months_In_Year-MONTH(Inputs!$E$25)</f>
        <v>-18</v>
      </c>
      <c r="L296" s="58" t="n">
        <f aca="false">(L$291+1-YEAR(Inputs!$E$25))*Months_In_Year-MONTH(Inputs!$E$25)</f>
        <v>-6</v>
      </c>
      <c r="M296" s="58" t="n">
        <f aca="false">(M$291+1-YEAR(Inputs!$E$25))*Months_In_Year-MONTH(Inputs!$E$25)</f>
        <v>6</v>
      </c>
      <c r="N296" s="58" t="n">
        <f aca="false">(N$291+1-YEAR(Inputs!$E$25))*Months_In_Year-MONTH(Inputs!$E$25)</f>
        <v>18</v>
      </c>
      <c r="O296" s="58" t="n">
        <f aca="false">(O$291+1-YEAR(Inputs!$E$25))*Months_In_Year-MONTH(Inputs!$E$25)</f>
        <v>30</v>
      </c>
      <c r="P296" s="58" t="n">
        <f aca="false">(P$291+1-YEAR(Inputs!$E$25))*Months_In_Year-MONTH(Inputs!$E$25)</f>
        <v>42</v>
      </c>
      <c r="Q296" s="58" t="n">
        <f aca="false">(Q$291+1-YEAR(Inputs!$E$25))*Months_In_Year-MONTH(Inputs!$E$25)</f>
        <v>54</v>
      </c>
      <c r="R296" s="58" t="n">
        <f aca="false">(R$291+1-YEAR(Inputs!$E$25))*Months_In_Year-MONTH(Inputs!$E$25)</f>
        <v>66</v>
      </c>
      <c r="S296" s="58" t="n">
        <f aca="false">(S$291+1-YEAR(Inputs!$E$25))*Months_In_Year-MONTH(Inputs!$E$25)</f>
        <v>78</v>
      </c>
      <c r="T296" s="58" t="n">
        <f aca="false">(T$291+1-YEAR(Inputs!$E$25))*Months_In_Year-MONTH(Inputs!$E$25)</f>
        <v>90</v>
      </c>
      <c r="U296" s="58" t="n">
        <f aca="false">(U$291+1-YEAR(Inputs!$E$25))*Months_In_Year-MONTH(Inputs!$E$25)</f>
        <v>102</v>
      </c>
      <c r="V296" s="58" t="n">
        <f aca="false">(V$291+1-YEAR(Inputs!$E$25))*Months_In_Year-MONTH(Inputs!$E$25)</f>
        <v>114</v>
      </c>
      <c r="W296" s="58" t="n">
        <f aca="false">(W$291+1-YEAR(Inputs!$E$25))*Months_In_Year-MONTH(Inputs!$E$25)</f>
        <v>126</v>
      </c>
      <c r="X296" s="58" t="n">
        <f aca="false">(X$291+1-YEAR(Inputs!$E$25))*Months_In_Year-MONTH(Inputs!$E$25)</f>
        <v>138</v>
      </c>
      <c r="Y296" s="58" t="n">
        <f aca="false">(Y$291+1-YEAR(Inputs!$E$25))*Months_In_Year-MONTH(Inputs!$E$25)</f>
        <v>150</v>
      </c>
      <c r="Z296" s="58" t="n">
        <f aca="false">(Z$291+1-YEAR(Inputs!$E$25))*Months_In_Year-MONTH(Inputs!$E$25)</f>
        <v>162</v>
      </c>
      <c r="AA296" s="58" t="n">
        <f aca="false">(AA$291+1-YEAR(Inputs!$E$25))*Months_In_Year-MONTH(Inputs!$E$25)</f>
        <v>174</v>
      </c>
      <c r="AB296" s="58" t="n">
        <f aca="false">(AB$291+1-YEAR(Inputs!$E$25))*Months_In_Year-MONTH(Inputs!$E$25)</f>
        <v>186</v>
      </c>
      <c r="AC296" s="58" t="n">
        <f aca="false">(AC$291+1-YEAR(Inputs!$E$25))*Months_In_Year-MONTH(Inputs!$E$25)</f>
        <v>198</v>
      </c>
      <c r="AD296" s="58" t="n">
        <f aca="false">(AD$291+1-YEAR(Inputs!$E$25))*Months_In_Year-MONTH(Inputs!$E$25)</f>
        <v>210</v>
      </c>
      <c r="AE296" s="58" t="n">
        <f aca="false">(AE$291+1-YEAR(Inputs!$E$25))*Months_In_Year-MONTH(Inputs!$E$25)</f>
        <v>222</v>
      </c>
      <c r="AF296" s="58" t="n">
        <f aca="false">(AF$291+1-YEAR(Inputs!$E$25))*Months_In_Year-MONTH(Inputs!$E$25)</f>
        <v>234</v>
      </c>
      <c r="AG296" s="58" t="n">
        <f aca="false">(AG$291+1-YEAR(Inputs!$E$25))*Months_In_Year-MONTH(Inputs!$E$25)</f>
        <v>246</v>
      </c>
      <c r="AH296" s="58" t="n">
        <f aca="false">(AH$291+1-YEAR(Inputs!$E$25))*Months_In_Year-MONTH(Inputs!$E$25)</f>
        <v>258</v>
      </c>
      <c r="AI296" s="58" t="n">
        <f aca="false">(AI$291+1-YEAR(Inputs!$E$25))*Months_In_Year-MONTH(Inputs!$E$25)</f>
        <v>270</v>
      </c>
      <c r="AJ296" s="58" t="n">
        <f aca="false">(AJ$291+1-YEAR(Inputs!$E$25))*Months_In_Year-MONTH(Inputs!$E$25)</f>
        <v>282</v>
      </c>
      <c r="AK296" s="58" t="n">
        <f aca="false">(AK$291+1-YEAR(Inputs!$E$25))*Months_In_Year-MONTH(Inputs!$E$25)</f>
        <v>294</v>
      </c>
      <c r="AL296" s="58" t="n">
        <f aca="false">(AL$291+1-YEAR(Inputs!$E$25))*Months_In_Year-MONTH(Inputs!$E$25)</f>
        <v>306</v>
      </c>
      <c r="AM296" s="58" t="n">
        <f aca="false">(AM$291+1-YEAR(Inputs!$E$25))*Months_In_Year-MONTH(Inputs!$E$25)</f>
        <v>318</v>
      </c>
      <c r="AN296" s="58" t="n">
        <f aca="false">(AN$291+1-YEAR(Inputs!$E$25))*Months_In_Year-MONTH(Inputs!$E$25)</f>
        <v>330</v>
      </c>
      <c r="AO296" s="58" t="n">
        <f aca="false">(AO$291+1-YEAR(Inputs!$E$25))*Months_In_Year-MONTH(Inputs!$E$25)</f>
        <v>342</v>
      </c>
      <c r="AP296" s="58" t="n">
        <f aca="false">(AP$291+1-YEAR(Inputs!$E$25))*Months_In_Year-MONTH(Inputs!$E$25)</f>
        <v>354</v>
      </c>
      <c r="AQ296" s="58" t="n">
        <f aca="false">(AQ$291+1-YEAR(Inputs!$E$25))*Months_In_Year-MONTH(Inputs!$E$25)</f>
        <v>366</v>
      </c>
      <c r="AR296" s="58" t="n">
        <f aca="false">(AR$291+1-YEAR(Inputs!$E$25))*Months_In_Year-MONTH(Inputs!$E$25)</f>
        <v>378</v>
      </c>
      <c r="AS296" s="58" t="n">
        <f aca="false">(AS$291+1-YEAR(Inputs!$E$25))*Months_In_Year-MONTH(Inputs!$E$25)</f>
        <v>390</v>
      </c>
    </row>
    <row r="297" customFormat="false" ht="14.25" hidden="false" customHeight="false" outlineLevel="0" collapsed="false">
      <c r="C297" s="6" t="s">
        <v>250</v>
      </c>
      <c r="D297" s="2" t="s">
        <v>12</v>
      </c>
      <c r="H297" s="65" t="n">
        <f aca="false">SUM(J297:AS297)</f>
        <v>1</v>
      </c>
      <c r="J297" s="50" t="n">
        <f aca="false">MAX(0,MIN(J296,$E296)-MAX(J296-Months_In_Year,0))/$E296</f>
        <v>0</v>
      </c>
      <c r="K297" s="50" t="n">
        <f aca="false">MAX(0,MIN(K296,$E296)-MAX(K296-Months_In_Year,0))/$E296</f>
        <v>0</v>
      </c>
      <c r="L297" s="50" t="n">
        <f aca="false">MAX(0,MIN(L296,$E296)-MAX(L296-Months_In_Year,0))/$E296</f>
        <v>0</v>
      </c>
      <c r="M297" s="50" t="n">
        <f aca="false">MAX(0,MIN(M296,$E296)-MAX(M296-Months_In_Year,0))/$E296</f>
        <v>0.25</v>
      </c>
      <c r="N297" s="50" t="n">
        <f aca="false">MAX(0,MIN(N296,$E296)-MAX(N296-Months_In_Year,0))/$E296</f>
        <v>0.5</v>
      </c>
      <c r="O297" s="50" t="n">
        <f aca="false">MAX(0,MIN(O296,$E296)-MAX(O296-Months_In_Year,0))/$E296</f>
        <v>0.25</v>
      </c>
      <c r="P297" s="50" t="n">
        <f aca="false">MAX(0,MIN(P296,$E296)-MAX(P296-Months_In_Year,0))/$E296</f>
        <v>0</v>
      </c>
      <c r="Q297" s="50" t="n">
        <f aca="false">MAX(0,MIN(Q296,$E296)-MAX(Q296-Months_In_Year,0))/$E296</f>
        <v>0</v>
      </c>
      <c r="R297" s="50" t="n">
        <f aca="false">MAX(0,MIN(R296,$E296)-MAX(R296-Months_In_Year,0))/$E296</f>
        <v>0</v>
      </c>
      <c r="S297" s="50" t="n">
        <f aca="false">MAX(0,MIN(S296,$E296)-MAX(S296-Months_In_Year,0))/$E296</f>
        <v>0</v>
      </c>
      <c r="T297" s="50" t="n">
        <f aca="false">MAX(0,MIN(T296,$E296)-MAX(T296-Months_In_Year,0))/$E296</f>
        <v>0</v>
      </c>
      <c r="U297" s="50" t="n">
        <f aca="false">MAX(0,MIN(U296,$E296)-MAX(U296-Months_In_Year,0))/$E296</f>
        <v>0</v>
      </c>
      <c r="V297" s="50" t="n">
        <f aca="false">MAX(0,MIN(V296,$E296)-MAX(V296-Months_In_Year,0))/$E296</f>
        <v>0</v>
      </c>
      <c r="W297" s="50" t="n">
        <f aca="false">MAX(0,MIN(W296,$E296)-MAX(W296-Months_In_Year,0))/$E296</f>
        <v>0</v>
      </c>
      <c r="X297" s="50" t="n">
        <f aca="false">MAX(0,MIN(X296,$E296)-MAX(X296-Months_In_Year,0))/$E296</f>
        <v>0</v>
      </c>
      <c r="Y297" s="50" t="n">
        <f aca="false">MAX(0,MIN(Y296,$E296)-MAX(Y296-Months_In_Year,0))/$E296</f>
        <v>0</v>
      </c>
      <c r="Z297" s="50" t="n">
        <f aca="false">MAX(0,MIN(Z296,$E296)-MAX(Z296-Months_In_Year,0))/$E296</f>
        <v>0</v>
      </c>
      <c r="AA297" s="50" t="n">
        <f aca="false">MAX(0,MIN(AA296,$E296)-MAX(AA296-Months_In_Year,0))/$E296</f>
        <v>0</v>
      </c>
      <c r="AB297" s="50" t="n">
        <f aca="false">MAX(0,MIN(AB296,$E296)-MAX(AB296-Months_In_Year,0))/$E296</f>
        <v>0</v>
      </c>
      <c r="AC297" s="50" t="n">
        <f aca="false">MAX(0,MIN(AC296,$E296)-MAX(AC296-Months_In_Year,0))/$E296</f>
        <v>0</v>
      </c>
      <c r="AD297" s="50" t="n">
        <f aca="false">MAX(0,MIN(AD296,$E296)-MAX(AD296-Months_In_Year,0))/$E296</f>
        <v>0</v>
      </c>
      <c r="AE297" s="50" t="n">
        <f aca="false">MAX(0,MIN(AE296,$E296)-MAX(AE296-Months_In_Year,0))/$E296</f>
        <v>0</v>
      </c>
      <c r="AF297" s="50" t="n">
        <f aca="false">MAX(0,MIN(AF296,$E296)-MAX(AF296-Months_In_Year,0))/$E296</f>
        <v>0</v>
      </c>
      <c r="AG297" s="50" t="n">
        <f aca="false">MAX(0,MIN(AG296,$E296)-MAX(AG296-Months_In_Year,0))/$E296</f>
        <v>0</v>
      </c>
      <c r="AH297" s="50" t="n">
        <f aca="false">MAX(0,MIN(AH296,$E296)-MAX(AH296-Months_In_Year,0))/$E296</f>
        <v>0</v>
      </c>
      <c r="AI297" s="50" t="n">
        <f aca="false">MAX(0,MIN(AI296,$E296)-MAX(AI296-Months_In_Year,0))/$E296</f>
        <v>0</v>
      </c>
      <c r="AJ297" s="50" t="n">
        <f aca="false">MAX(0,MIN(AJ296,$E296)-MAX(AJ296-Months_In_Year,0))/$E296</f>
        <v>0</v>
      </c>
      <c r="AK297" s="50" t="n">
        <f aca="false">MAX(0,MIN(AK296,$E296)-MAX(AK296-Months_In_Year,0))/$E296</f>
        <v>0</v>
      </c>
      <c r="AL297" s="50" t="n">
        <f aca="false">MAX(0,MIN(AL296,$E296)-MAX(AL296-Months_In_Year,0))/$E296</f>
        <v>0</v>
      </c>
      <c r="AM297" s="50" t="n">
        <f aca="false">MAX(0,MIN(AM296,$E296)-MAX(AM296-Months_In_Year,0))/$E296</f>
        <v>0</v>
      </c>
      <c r="AN297" s="50" t="n">
        <f aca="false">MAX(0,MIN(AN296,$E296)-MAX(AN296-Months_In_Year,0))/$E296</f>
        <v>0</v>
      </c>
      <c r="AO297" s="50" t="n">
        <f aca="false">MAX(0,MIN(AO296,$E296)-MAX(AO296-Months_In_Year,0))/$E296</f>
        <v>0</v>
      </c>
      <c r="AP297" s="50" t="n">
        <f aca="false">MAX(0,MIN(AP296,$E296)-MAX(AP296-Months_In_Year,0))/$E296</f>
        <v>0</v>
      </c>
      <c r="AQ297" s="50" t="n">
        <f aca="false">MAX(0,MIN(AQ296,$E296)-MAX(AQ296-Months_In_Year,0))/$E296</f>
        <v>0</v>
      </c>
      <c r="AR297" s="50" t="n">
        <f aca="false">MAX(0,MIN(AR296,$E296)-MAX(AR296-Months_In_Year,0))/$E296</f>
        <v>0</v>
      </c>
      <c r="AS297" s="50" t="n">
        <f aca="false">MAX(0,MIN(AS296,$E296)-MAX(AS296-Months_In_Year,0))/$E296</f>
        <v>0</v>
      </c>
    </row>
    <row r="298" customFormat="false" ht="14.25" hidden="false" customHeight="false" outlineLevel="0" collapsed="false">
      <c r="C298" s="6" t="s">
        <v>251</v>
      </c>
      <c r="D298" s="2" t="s">
        <v>249</v>
      </c>
      <c r="E298" s="58" t="n">
        <f aca="false">Life*Months_In_Year</f>
        <v>360</v>
      </c>
      <c r="J298" s="58" t="n">
        <f aca="false">(J$291+1-YEAR(Inputs!$E$26))*Months_In_Year-MONTH(Inputs!$E$26)</f>
        <v>-54</v>
      </c>
      <c r="K298" s="58" t="n">
        <f aca="false">(K$291+1-YEAR(Inputs!$E$26))*Months_In_Year-MONTH(Inputs!$E$26)</f>
        <v>-42</v>
      </c>
      <c r="L298" s="58" t="n">
        <f aca="false">(L$291+1-YEAR(Inputs!$E$26))*Months_In_Year-MONTH(Inputs!$E$26)</f>
        <v>-30</v>
      </c>
      <c r="M298" s="58" t="n">
        <f aca="false">(M$291+1-YEAR(Inputs!$E$26))*Months_In_Year-MONTH(Inputs!$E$26)</f>
        <v>-18</v>
      </c>
      <c r="N298" s="58" t="n">
        <f aca="false">(N$291+1-YEAR(Inputs!$E$26))*Months_In_Year-MONTH(Inputs!$E$26)</f>
        <v>-6</v>
      </c>
      <c r="O298" s="58" t="n">
        <f aca="false">(O$291+1-YEAR(Inputs!$E$26))*Months_In_Year-MONTH(Inputs!$E$26)</f>
        <v>6</v>
      </c>
      <c r="P298" s="58" t="n">
        <f aca="false">(P$291+1-YEAR(Inputs!$E$26))*Months_In_Year-MONTH(Inputs!$E$26)</f>
        <v>18</v>
      </c>
      <c r="Q298" s="58" t="n">
        <f aca="false">(Q$291+1-YEAR(Inputs!$E$26))*Months_In_Year-MONTH(Inputs!$E$26)</f>
        <v>30</v>
      </c>
      <c r="R298" s="58" t="n">
        <f aca="false">(R$291+1-YEAR(Inputs!$E$26))*Months_In_Year-MONTH(Inputs!$E$26)</f>
        <v>42</v>
      </c>
      <c r="S298" s="58" t="n">
        <f aca="false">(S$291+1-YEAR(Inputs!$E$26))*Months_In_Year-MONTH(Inputs!$E$26)</f>
        <v>54</v>
      </c>
      <c r="T298" s="58" t="n">
        <f aca="false">(T$291+1-YEAR(Inputs!$E$26))*Months_In_Year-MONTH(Inputs!$E$26)</f>
        <v>66</v>
      </c>
      <c r="U298" s="58" t="n">
        <f aca="false">(U$291+1-YEAR(Inputs!$E$26))*Months_In_Year-MONTH(Inputs!$E$26)</f>
        <v>78</v>
      </c>
      <c r="V298" s="58" t="n">
        <f aca="false">(V$291+1-YEAR(Inputs!$E$26))*Months_In_Year-MONTH(Inputs!$E$26)</f>
        <v>90</v>
      </c>
      <c r="W298" s="58" t="n">
        <f aca="false">(W$291+1-YEAR(Inputs!$E$26))*Months_In_Year-MONTH(Inputs!$E$26)</f>
        <v>102</v>
      </c>
      <c r="X298" s="58" t="n">
        <f aca="false">(X$291+1-YEAR(Inputs!$E$26))*Months_In_Year-MONTH(Inputs!$E$26)</f>
        <v>114</v>
      </c>
      <c r="Y298" s="58" t="n">
        <f aca="false">(Y$291+1-YEAR(Inputs!$E$26))*Months_In_Year-MONTH(Inputs!$E$26)</f>
        <v>126</v>
      </c>
      <c r="Z298" s="58" t="n">
        <f aca="false">(Z$291+1-YEAR(Inputs!$E$26))*Months_In_Year-MONTH(Inputs!$E$26)</f>
        <v>138</v>
      </c>
      <c r="AA298" s="58" t="n">
        <f aca="false">(AA$291+1-YEAR(Inputs!$E$26))*Months_In_Year-MONTH(Inputs!$E$26)</f>
        <v>150</v>
      </c>
      <c r="AB298" s="58" t="n">
        <f aca="false">(AB$291+1-YEAR(Inputs!$E$26))*Months_In_Year-MONTH(Inputs!$E$26)</f>
        <v>162</v>
      </c>
      <c r="AC298" s="58" t="n">
        <f aca="false">(AC$291+1-YEAR(Inputs!$E$26))*Months_In_Year-MONTH(Inputs!$E$26)</f>
        <v>174</v>
      </c>
      <c r="AD298" s="58" t="n">
        <f aca="false">(AD$291+1-YEAR(Inputs!$E$26))*Months_In_Year-MONTH(Inputs!$E$26)</f>
        <v>186</v>
      </c>
      <c r="AE298" s="58" t="n">
        <f aca="false">(AE$291+1-YEAR(Inputs!$E$26))*Months_In_Year-MONTH(Inputs!$E$26)</f>
        <v>198</v>
      </c>
      <c r="AF298" s="58" t="n">
        <f aca="false">(AF$291+1-YEAR(Inputs!$E$26))*Months_In_Year-MONTH(Inputs!$E$26)</f>
        <v>210</v>
      </c>
      <c r="AG298" s="58" t="n">
        <f aca="false">(AG$291+1-YEAR(Inputs!$E$26))*Months_In_Year-MONTH(Inputs!$E$26)</f>
        <v>222</v>
      </c>
      <c r="AH298" s="58" t="n">
        <f aca="false">(AH$291+1-YEAR(Inputs!$E$26))*Months_In_Year-MONTH(Inputs!$E$26)</f>
        <v>234</v>
      </c>
      <c r="AI298" s="58" t="n">
        <f aca="false">(AI$291+1-YEAR(Inputs!$E$26))*Months_In_Year-MONTH(Inputs!$E$26)</f>
        <v>246</v>
      </c>
      <c r="AJ298" s="58" t="n">
        <f aca="false">(AJ$291+1-YEAR(Inputs!$E$26))*Months_In_Year-MONTH(Inputs!$E$26)</f>
        <v>258</v>
      </c>
      <c r="AK298" s="58" t="n">
        <f aca="false">(AK$291+1-YEAR(Inputs!$E$26))*Months_In_Year-MONTH(Inputs!$E$26)</f>
        <v>270</v>
      </c>
      <c r="AL298" s="58" t="n">
        <f aca="false">(AL$291+1-YEAR(Inputs!$E$26))*Months_In_Year-MONTH(Inputs!$E$26)</f>
        <v>282</v>
      </c>
      <c r="AM298" s="58" t="n">
        <f aca="false">(AM$291+1-YEAR(Inputs!$E$26))*Months_In_Year-MONTH(Inputs!$E$26)</f>
        <v>294</v>
      </c>
      <c r="AN298" s="58" t="n">
        <f aca="false">(AN$291+1-YEAR(Inputs!$E$26))*Months_In_Year-MONTH(Inputs!$E$26)</f>
        <v>306</v>
      </c>
      <c r="AO298" s="58" t="n">
        <f aca="false">(AO$291+1-YEAR(Inputs!$E$26))*Months_In_Year-MONTH(Inputs!$E$26)</f>
        <v>318</v>
      </c>
      <c r="AP298" s="58" t="n">
        <f aca="false">(AP$291+1-YEAR(Inputs!$E$26))*Months_In_Year-MONTH(Inputs!$E$26)</f>
        <v>330</v>
      </c>
      <c r="AQ298" s="58" t="n">
        <f aca="false">(AQ$291+1-YEAR(Inputs!$E$26))*Months_In_Year-MONTH(Inputs!$E$26)</f>
        <v>342</v>
      </c>
      <c r="AR298" s="58" t="n">
        <f aca="false">(AR$291+1-YEAR(Inputs!$E$26))*Months_In_Year-MONTH(Inputs!$E$26)</f>
        <v>354</v>
      </c>
      <c r="AS298" s="58" t="n">
        <f aca="false">(AS$291+1-YEAR(Inputs!$E$26))*Months_In_Year-MONTH(Inputs!$E$26)</f>
        <v>366</v>
      </c>
    </row>
    <row r="299" customFormat="false" ht="14.25" hidden="false" customHeight="false" outlineLevel="0" collapsed="false">
      <c r="C299" s="6" t="s">
        <v>252</v>
      </c>
      <c r="D299" s="2" t="s">
        <v>12</v>
      </c>
      <c r="H299" s="65" t="n">
        <f aca="false">SUM(J299:AS299)</f>
        <v>30</v>
      </c>
      <c r="J299" s="50" t="n">
        <f aca="false">MAX(0,MIN(J298,$E298)-MAX(J298-Months_In_Year,0))/Months_In_Year</f>
        <v>0</v>
      </c>
      <c r="K299" s="50" t="n">
        <f aca="false">MAX(0,MIN(K298,$E298)-MAX(K298-Months_In_Year,0))/Months_In_Year</f>
        <v>0</v>
      </c>
      <c r="L299" s="50" t="n">
        <f aca="false">MAX(0,MIN(L298,$E298)-MAX(L298-Months_In_Year,0))/Months_In_Year</f>
        <v>0</v>
      </c>
      <c r="M299" s="50" t="n">
        <f aca="false">MAX(0,MIN(M298,$E298)-MAX(M298-Months_In_Year,0))/Months_In_Year</f>
        <v>0</v>
      </c>
      <c r="N299" s="50" t="n">
        <f aca="false">MAX(0,MIN(N298,$E298)-MAX(N298-Months_In_Year,0))/Months_In_Year</f>
        <v>0</v>
      </c>
      <c r="O299" s="50" t="n">
        <f aca="false">MAX(0,MIN(O298,$E298)-MAX(O298-Months_In_Year,0))/Months_In_Year</f>
        <v>0.5</v>
      </c>
      <c r="P299" s="50" t="n">
        <f aca="false">MAX(0,MIN(P298,$E298)-MAX(P298-Months_In_Year,0))/Months_In_Year</f>
        <v>1</v>
      </c>
      <c r="Q299" s="50" t="n">
        <f aca="false">MAX(0,MIN(Q298,$E298)-MAX(Q298-Months_In_Year,0))/Months_In_Year</f>
        <v>1</v>
      </c>
      <c r="R299" s="50" t="n">
        <f aca="false">MAX(0,MIN(R298,$E298)-MAX(R298-Months_In_Year,0))/Months_In_Year</f>
        <v>1</v>
      </c>
      <c r="S299" s="50" t="n">
        <f aca="false">MAX(0,MIN(S298,$E298)-MAX(S298-Months_In_Year,0))/Months_In_Year</f>
        <v>1</v>
      </c>
      <c r="T299" s="50" t="n">
        <f aca="false">MAX(0,MIN(T298,$E298)-MAX(T298-Months_In_Year,0))/Months_In_Year</f>
        <v>1</v>
      </c>
      <c r="U299" s="50" t="n">
        <f aca="false">MAX(0,MIN(U298,$E298)-MAX(U298-Months_In_Year,0))/Months_In_Year</f>
        <v>1</v>
      </c>
      <c r="V299" s="50" t="n">
        <f aca="false">MAX(0,MIN(V298,$E298)-MAX(V298-Months_In_Year,0))/Months_In_Year</f>
        <v>1</v>
      </c>
      <c r="W299" s="50" t="n">
        <f aca="false">MAX(0,MIN(W298,$E298)-MAX(W298-Months_In_Year,0))/Months_In_Year</f>
        <v>1</v>
      </c>
      <c r="X299" s="50" t="n">
        <f aca="false">MAX(0,MIN(X298,$E298)-MAX(X298-Months_In_Year,0))/Months_In_Year</f>
        <v>1</v>
      </c>
      <c r="Y299" s="50" t="n">
        <f aca="false">MAX(0,MIN(Y298,$E298)-MAX(Y298-Months_In_Year,0))/Months_In_Year</f>
        <v>1</v>
      </c>
      <c r="Z299" s="50" t="n">
        <f aca="false">MAX(0,MIN(Z298,$E298)-MAX(Z298-Months_In_Year,0))/Months_In_Year</f>
        <v>1</v>
      </c>
      <c r="AA299" s="50" t="n">
        <f aca="false">MAX(0,MIN(AA298,$E298)-MAX(AA298-Months_In_Year,0))/Months_In_Year</f>
        <v>1</v>
      </c>
      <c r="AB299" s="50" t="n">
        <f aca="false">MAX(0,MIN(AB298,$E298)-MAX(AB298-Months_In_Year,0))/Months_In_Year</f>
        <v>1</v>
      </c>
      <c r="AC299" s="50" t="n">
        <f aca="false">MAX(0,MIN(AC298,$E298)-MAX(AC298-Months_In_Year,0))/Months_In_Year</f>
        <v>1</v>
      </c>
      <c r="AD299" s="50" t="n">
        <f aca="false">MAX(0,MIN(AD298,$E298)-MAX(AD298-Months_In_Year,0))/Months_In_Year</f>
        <v>1</v>
      </c>
      <c r="AE299" s="50" t="n">
        <f aca="false">MAX(0,MIN(AE298,$E298)-MAX(AE298-Months_In_Year,0))/Months_In_Year</f>
        <v>1</v>
      </c>
      <c r="AF299" s="50" t="n">
        <f aca="false">MAX(0,MIN(AF298,$E298)-MAX(AF298-Months_In_Year,0))/Months_In_Year</f>
        <v>1</v>
      </c>
      <c r="AG299" s="50" t="n">
        <f aca="false">MAX(0,MIN(AG298,$E298)-MAX(AG298-Months_In_Year,0))/Months_In_Year</f>
        <v>1</v>
      </c>
      <c r="AH299" s="50" t="n">
        <f aca="false">MAX(0,MIN(AH298,$E298)-MAX(AH298-Months_In_Year,0))/Months_In_Year</f>
        <v>1</v>
      </c>
      <c r="AI299" s="50" t="n">
        <f aca="false">MAX(0,MIN(AI298,$E298)-MAX(AI298-Months_In_Year,0))/Months_In_Year</f>
        <v>1</v>
      </c>
      <c r="AJ299" s="50" t="n">
        <f aca="false">MAX(0,MIN(AJ298,$E298)-MAX(AJ298-Months_In_Year,0))/Months_In_Year</f>
        <v>1</v>
      </c>
      <c r="AK299" s="50" t="n">
        <f aca="false">MAX(0,MIN(AK298,$E298)-MAX(AK298-Months_In_Year,0))/Months_In_Year</f>
        <v>1</v>
      </c>
      <c r="AL299" s="50" t="n">
        <f aca="false">MAX(0,MIN(AL298,$E298)-MAX(AL298-Months_In_Year,0))/Months_In_Year</f>
        <v>1</v>
      </c>
      <c r="AM299" s="50" t="n">
        <f aca="false">MAX(0,MIN(AM298,$E298)-MAX(AM298-Months_In_Year,0))/Months_In_Year</f>
        <v>1</v>
      </c>
      <c r="AN299" s="50" t="n">
        <f aca="false">MAX(0,MIN(AN298,$E298)-MAX(AN298-Months_In_Year,0))/Months_In_Year</f>
        <v>1</v>
      </c>
      <c r="AO299" s="50" t="n">
        <f aca="false">MAX(0,MIN(AO298,$E298)-MAX(AO298-Months_In_Year,0))/Months_In_Year</f>
        <v>1</v>
      </c>
      <c r="AP299" s="50" t="n">
        <f aca="false">MAX(0,MIN(AP298,$E298)-MAX(AP298-Months_In_Year,0))/Months_In_Year</f>
        <v>1</v>
      </c>
      <c r="AQ299" s="50" t="n">
        <f aca="false">MAX(0,MIN(AQ298,$E298)-MAX(AQ298-Months_In_Year,0))/Months_In_Year</f>
        <v>1</v>
      </c>
      <c r="AR299" s="50" t="n">
        <f aca="false">MAX(0,MIN(AR298,$E298)-MAX(AR298-Months_In_Year,0))/Months_In_Year</f>
        <v>1</v>
      </c>
      <c r="AS299" s="50" t="n">
        <f aca="false">MAX(0,MIN(AS298,$E298)-MAX(AS298-Months_In_Year,0))/Months_In_Year</f>
        <v>0.5</v>
      </c>
    </row>
    <row r="300" customFormat="false" ht="14.25" hidden="false" customHeight="false" outlineLevel="0" collapsed="false">
      <c r="C300" s="6" t="s">
        <v>253</v>
      </c>
      <c r="D300" s="2" t="s">
        <v>2</v>
      </c>
      <c r="J300" s="66" t="n">
        <f aca="false">N(J295=0)</f>
        <v>0</v>
      </c>
      <c r="K300" s="66" t="n">
        <f aca="false">N(K295=0)</f>
        <v>0</v>
      </c>
      <c r="L300" s="66" t="n">
        <f aca="false">N(L295=0)</f>
        <v>0</v>
      </c>
      <c r="M300" s="66" t="n">
        <f aca="false">N(M295=0)</f>
        <v>0</v>
      </c>
      <c r="N300" s="66" t="n">
        <f aca="false">N(N295=0)</f>
        <v>0</v>
      </c>
      <c r="O300" s="66" t="n">
        <f aca="false">N(O295=0)</f>
        <v>1</v>
      </c>
      <c r="P300" s="66" t="n">
        <f aca="false">N(P295=0)</f>
        <v>0</v>
      </c>
      <c r="Q300" s="66" t="n">
        <f aca="false">N(Q295=0)</f>
        <v>0</v>
      </c>
      <c r="R300" s="66" t="n">
        <f aca="false">N(R295=0)</f>
        <v>0</v>
      </c>
      <c r="S300" s="66" t="n">
        <f aca="false">N(S295=0)</f>
        <v>0</v>
      </c>
      <c r="T300" s="66" t="n">
        <f aca="false">N(T295=0)</f>
        <v>0</v>
      </c>
      <c r="U300" s="66" t="n">
        <f aca="false">N(U295=0)</f>
        <v>0</v>
      </c>
      <c r="V300" s="66" t="n">
        <f aca="false">N(V295=0)</f>
        <v>0</v>
      </c>
      <c r="W300" s="66" t="n">
        <f aca="false">N(W295=0)</f>
        <v>0</v>
      </c>
      <c r="X300" s="66" t="n">
        <f aca="false">N(X295=0)</f>
        <v>0</v>
      </c>
      <c r="Y300" s="66" t="n">
        <f aca="false">N(Y295=0)</f>
        <v>0</v>
      </c>
      <c r="Z300" s="66" t="n">
        <f aca="false">N(Z295=0)</f>
        <v>0</v>
      </c>
      <c r="AA300" s="66" t="n">
        <f aca="false">N(AA295=0)</f>
        <v>0</v>
      </c>
      <c r="AB300" s="66" t="n">
        <f aca="false">N(AB295=0)</f>
        <v>0</v>
      </c>
      <c r="AC300" s="66" t="n">
        <f aca="false">N(AC295=0)</f>
        <v>0</v>
      </c>
      <c r="AD300" s="66" t="n">
        <f aca="false">N(AD295=0)</f>
        <v>0</v>
      </c>
      <c r="AE300" s="66" t="n">
        <f aca="false">N(AE295=0)</f>
        <v>0</v>
      </c>
      <c r="AF300" s="66" t="n">
        <f aca="false">N(AF295=0)</f>
        <v>0</v>
      </c>
      <c r="AG300" s="66" t="n">
        <f aca="false">N(AG295=0)</f>
        <v>0</v>
      </c>
      <c r="AH300" s="66" t="n">
        <f aca="false">N(AH295=0)</f>
        <v>0</v>
      </c>
      <c r="AI300" s="66" t="n">
        <f aca="false">N(AI295=0)</f>
        <v>0</v>
      </c>
      <c r="AJ300" s="66" t="n">
        <f aca="false">N(AJ295=0)</f>
        <v>0</v>
      </c>
      <c r="AK300" s="66" t="n">
        <f aca="false">N(AK295=0)</f>
        <v>0</v>
      </c>
      <c r="AL300" s="66" t="n">
        <f aca="false">N(AL295=0)</f>
        <v>0</v>
      </c>
      <c r="AM300" s="66" t="n">
        <f aca="false">N(AM295=0)</f>
        <v>0</v>
      </c>
      <c r="AN300" s="66" t="n">
        <f aca="false">N(AN295=0)</f>
        <v>0</v>
      </c>
      <c r="AO300" s="66" t="n">
        <f aca="false">N(AO295=0)</f>
        <v>0</v>
      </c>
      <c r="AP300" s="66" t="n">
        <f aca="false">N(AP295=0)</f>
        <v>0</v>
      </c>
      <c r="AQ300" s="66" t="n">
        <f aca="false">N(AQ295=0)</f>
        <v>0</v>
      </c>
      <c r="AR300" s="66" t="n">
        <f aca="false">N(AR295=0)</f>
        <v>0</v>
      </c>
      <c r="AS300" s="66" t="n">
        <f aca="false">N(AS295=0)</f>
        <v>0</v>
      </c>
    </row>
    <row r="301" customFormat="false" ht="14.25" hidden="false" customHeight="false" outlineLevel="0" collapsed="false">
      <c r="C301" s="6" t="s">
        <v>254</v>
      </c>
      <c r="D301" s="2" t="s">
        <v>85</v>
      </c>
      <c r="H301" s="8" t="n">
        <f aca="false">SUM(J301:AS301)</f>
        <v>-13013.6627259379</v>
      </c>
      <c r="J301" s="8" t="n">
        <f aca="false">SUMPRODUCT((YEAR($J$214:$J$222)=J$291)*$E$214:$E$222)</f>
        <v>-386.301369863014</v>
      </c>
      <c r="K301" s="8" t="n">
        <f aca="false">SUMPRODUCT((YEAR($J$214:$J$222)=K$291)*$E$214:$E$222)</f>
        <v>-2429.86593963657</v>
      </c>
      <c r="L301" s="8" t="n">
        <f aca="false">SUMPRODUCT((YEAR($J$214:$J$222)=L$291)*$E$214:$E$222)</f>
        <v>-10197.4954164384</v>
      </c>
      <c r="M301" s="8" t="n">
        <f aca="false">SUMPRODUCT((YEAR($J$214:$J$222)=M$291)*$E$214:$E$222)</f>
        <v>0</v>
      </c>
      <c r="N301" s="8" t="n">
        <f aca="false">SUMPRODUCT((YEAR($J$214:$J$222)=N$291)*$E$214:$E$222)</f>
        <v>0</v>
      </c>
      <c r="O301" s="8" t="n">
        <f aca="false">SUMPRODUCT((YEAR($J$214:$J$222)=O$291)*$E$214:$E$222)</f>
        <v>0</v>
      </c>
      <c r="P301" s="8" t="n">
        <f aca="false">SUMPRODUCT((YEAR($J$214:$J$222)=P$291)*$E$214:$E$222)</f>
        <v>0</v>
      </c>
      <c r="Q301" s="8" t="n">
        <f aca="false">SUMPRODUCT((YEAR($J$214:$J$222)=Q$291)*$E$214:$E$222)</f>
        <v>0</v>
      </c>
      <c r="R301" s="8" t="n">
        <f aca="false">SUMPRODUCT((YEAR($J$214:$J$222)=R$291)*$E$214:$E$222)</f>
        <v>0</v>
      </c>
      <c r="S301" s="8" t="n">
        <f aca="false">SUMPRODUCT((YEAR($J$214:$J$222)=S$291)*$E$214:$E$222)</f>
        <v>0</v>
      </c>
      <c r="T301" s="8" t="n">
        <f aca="false">SUMPRODUCT((YEAR($J$214:$J$222)=T$291)*$E$214:$E$222)</f>
        <v>0</v>
      </c>
      <c r="U301" s="8" t="n">
        <f aca="false">SUMPRODUCT((YEAR($J$214:$J$222)=U$291)*$E$214:$E$222)</f>
        <v>0</v>
      </c>
      <c r="V301" s="8" t="n">
        <f aca="false">SUMPRODUCT((YEAR($J$214:$J$222)=V$291)*$E$214:$E$222)</f>
        <v>0</v>
      </c>
      <c r="W301" s="8" t="n">
        <f aca="false">SUMPRODUCT((YEAR($J$214:$J$222)=W$291)*$E$214:$E$222)</f>
        <v>0</v>
      </c>
      <c r="X301" s="8" t="n">
        <f aca="false">SUMPRODUCT((YEAR($J$214:$J$222)=X$291)*$E$214:$E$222)</f>
        <v>0</v>
      </c>
      <c r="Y301" s="8" t="n">
        <f aca="false">SUMPRODUCT((YEAR($J$214:$J$222)=Y$291)*$E$214:$E$222)</f>
        <v>0</v>
      </c>
      <c r="Z301" s="8" t="n">
        <f aca="false">SUMPRODUCT((YEAR($J$214:$J$222)=Z$291)*$E$214:$E$222)</f>
        <v>0</v>
      </c>
      <c r="AA301" s="8" t="n">
        <f aca="false">SUMPRODUCT((YEAR($J$214:$J$222)=AA$291)*$E$214:$E$222)</f>
        <v>0</v>
      </c>
      <c r="AB301" s="8" t="n">
        <f aca="false">SUMPRODUCT((YEAR($J$214:$J$222)=AB$291)*$E$214:$E$222)</f>
        <v>0</v>
      </c>
      <c r="AC301" s="8" t="n">
        <f aca="false">SUMPRODUCT((YEAR($J$214:$J$222)=AC$291)*$E$214:$E$222)</f>
        <v>0</v>
      </c>
      <c r="AD301" s="8" t="n">
        <f aca="false">SUMPRODUCT((YEAR($J$214:$J$222)=AD$291)*$E$214:$E$222)</f>
        <v>0</v>
      </c>
      <c r="AE301" s="8" t="n">
        <f aca="false">SUMPRODUCT((YEAR($J$214:$J$222)=AE$291)*$E$214:$E$222)</f>
        <v>0</v>
      </c>
      <c r="AF301" s="8" t="n">
        <f aca="false">SUMPRODUCT((YEAR($J$214:$J$222)=AF$291)*$E$214:$E$222)</f>
        <v>0</v>
      </c>
      <c r="AG301" s="8" t="n">
        <f aca="false">SUMPRODUCT((YEAR($J$214:$J$222)=AG$291)*$E$214:$E$222)</f>
        <v>0</v>
      </c>
      <c r="AH301" s="8" t="n">
        <f aca="false">SUMPRODUCT((YEAR($J$214:$J$222)=AH$291)*$E$214:$E$222)</f>
        <v>0</v>
      </c>
      <c r="AI301" s="8" t="n">
        <f aca="false">SUMPRODUCT((YEAR($J$214:$J$222)=AI$291)*$E$214:$E$222)</f>
        <v>0</v>
      </c>
      <c r="AJ301" s="8" t="n">
        <f aca="false">SUMPRODUCT((YEAR($J$214:$J$222)=AJ$291)*$E$214:$E$222)</f>
        <v>0</v>
      </c>
      <c r="AK301" s="8" t="n">
        <f aca="false">SUMPRODUCT((YEAR($J$214:$J$222)=AK$291)*$E$214:$E$222)</f>
        <v>0</v>
      </c>
      <c r="AL301" s="8" t="n">
        <f aca="false">SUMPRODUCT((YEAR($J$214:$J$222)=AL$291)*$E$214:$E$222)</f>
        <v>0</v>
      </c>
      <c r="AM301" s="8" t="n">
        <f aca="false">SUMPRODUCT((YEAR($J$214:$J$222)=AM$291)*$E$214:$E$222)</f>
        <v>0</v>
      </c>
      <c r="AN301" s="8" t="n">
        <f aca="false">SUMPRODUCT((YEAR($J$214:$J$222)=AN$291)*$E$214:$E$222)</f>
        <v>0</v>
      </c>
      <c r="AO301" s="8" t="n">
        <f aca="false">SUMPRODUCT((YEAR($J$214:$J$222)=AO$291)*$E$214:$E$222)</f>
        <v>0</v>
      </c>
      <c r="AP301" s="8" t="n">
        <f aca="false">SUMPRODUCT((YEAR($J$214:$J$222)=AP$291)*$E$214:$E$222)</f>
        <v>0</v>
      </c>
      <c r="AQ301" s="8" t="n">
        <f aca="false">SUMPRODUCT((YEAR($J$214:$J$222)=AQ$291)*$E$214:$E$222)</f>
        <v>0</v>
      </c>
      <c r="AR301" s="8" t="n">
        <f aca="false">SUMPRODUCT((YEAR($J$214:$J$222)=AR$291)*$E$214:$E$222)</f>
        <v>0</v>
      </c>
      <c r="AS301" s="8" t="n">
        <f aca="false">SUMPRODUCT((YEAR($J$214:$J$222)=AS$291)*$E$214:$E$222)</f>
        <v>0</v>
      </c>
    </row>
    <row r="302" customFormat="false" ht="14.25" hidden="false" customHeight="false" outlineLevel="0" collapsed="false">
      <c r="C302" s="6" t="s">
        <v>255</v>
      </c>
      <c r="D302" s="2" t="s">
        <v>85</v>
      </c>
      <c r="H302" s="8" t="n">
        <f aca="false">SUM(J302:AS302)</f>
        <v>1390.41095890411</v>
      </c>
      <c r="J302" s="8" t="n">
        <f aca="false">($E$62+$E$63)*(J$291=YEAR(Inputs!$E$27))</f>
        <v>0</v>
      </c>
      <c r="K302" s="8" t="n">
        <f aca="false">($E$62+$E$63)*(K$291=YEAR(Inputs!$E$27))</f>
        <v>0</v>
      </c>
      <c r="L302" s="8" t="n">
        <f aca="false">($E$62+$E$63)*(L$291=YEAR(Inputs!$E$27))</f>
        <v>0</v>
      </c>
      <c r="M302" s="8" t="n">
        <f aca="false">($E$62+$E$63)*(M$291=YEAR(Inputs!$E$27))</f>
        <v>0</v>
      </c>
      <c r="N302" s="8" t="n">
        <f aca="false">($E$62+$E$63)*(N$291=YEAR(Inputs!$E$27))</f>
        <v>0</v>
      </c>
      <c r="O302" s="8" t="n">
        <f aca="false">($E$62+$E$63)*(O$291=YEAR(Inputs!$E$27))</f>
        <v>0</v>
      </c>
      <c r="P302" s="8" t="n">
        <f aca="false">($E$62+$E$63)*(P$291=YEAR(Inputs!$E$27))</f>
        <v>0</v>
      </c>
      <c r="Q302" s="8" t="n">
        <f aca="false">($E$62+$E$63)*(Q$291=YEAR(Inputs!$E$27))</f>
        <v>1390.41095890411</v>
      </c>
      <c r="R302" s="8" t="n">
        <f aca="false">($E$62+$E$63)*(R$291=YEAR(Inputs!$E$27))</f>
        <v>0</v>
      </c>
      <c r="S302" s="8" t="n">
        <f aca="false">($E$62+$E$63)*(S$291=YEAR(Inputs!$E$27))</f>
        <v>0</v>
      </c>
      <c r="T302" s="8" t="n">
        <f aca="false">($E$62+$E$63)*(T$291=YEAR(Inputs!$E$27))</f>
        <v>0</v>
      </c>
      <c r="U302" s="8" t="n">
        <f aca="false">($E$62+$E$63)*(U$291=YEAR(Inputs!$E$27))</f>
        <v>0</v>
      </c>
      <c r="V302" s="8" t="n">
        <f aca="false">($E$62+$E$63)*(V$291=YEAR(Inputs!$E$27))</f>
        <v>0</v>
      </c>
      <c r="W302" s="8" t="n">
        <f aca="false">($E$62+$E$63)*(W$291=YEAR(Inputs!$E$27))</f>
        <v>0</v>
      </c>
      <c r="X302" s="8" t="n">
        <f aca="false">($E$62+$E$63)*(X$291=YEAR(Inputs!$E$27))</f>
        <v>0</v>
      </c>
      <c r="Y302" s="8" t="n">
        <f aca="false">($E$62+$E$63)*(Y$291=YEAR(Inputs!$E$27))</f>
        <v>0</v>
      </c>
      <c r="Z302" s="8" t="n">
        <f aca="false">($E$62+$E$63)*(Z$291=YEAR(Inputs!$E$27))</f>
        <v>0</v>
      </c>
      <c r="AA302" s="8" t="n">
        <f aca="false">($E$62+$E$63)*(AA$291=YEAR(Inputs!$E$27))</f>
        <v>0</v>
      </c>
      <c r="AB302" s="8" t="n">
        <f aca="false">($E$62+$E$63)*(AB$291=YEAR(Inputs!$E$27))</f>
        <v>0</v>
      </c>
      <c r="AC302" s="8" t="n">
        <f aca="false">($E$62+$E$63)*(AC$291=YEAR(Inputs!$E$27))</f>
        <v>0</v>
      </c>
      <c r="AD302" s="8" t="n">
        <f aca="false">($E$62+$E$63)*(AD$291=YEAR(Inputs!$E$27))</f>
        <v>0</v>
      </c>
      <c r="AE302" s="8" t="n">
        <f aca="false">($E$62+$E$63)*(AE$291=YEAR(Inputs!$E$27))</f>
        <v>0</v>
      </c>
      <c r="AF302" s="8" t="n">
        <f aca="false">($E$62+$E$63)*(AF$291=YEAR(Inputs!$E$27))</f>
        <v>0</v>
      </c>
      <c r="AG302" s="8" t="n">
        <f aca="false">($E$62+$E$63)*(AG$291=YEAR(Inputs!$E$27))</f>
        <v>0</v>
      </c>
      <c r="AH302" s="8" t="n">
        <f aca="false">($E$62+$E$63)*(AH$291=YEAR(Inputs!$E$27))</f>
        <v>0</v>
      </c>
      <c r="AI302" s="8" t="n">
        <f aca="false">($E$62+$E$63)*(AI$291=YEAR(Inputs!$E$27))</f>
        <v>0</v>
      </c>
      <c r="AJ302" s="8" t="n">
        <f aca="false">($E$62+$E$63)*(AJ$291=YEAR(Inputs!$E$27))</f>
        <v>0</v>
      </c>
      <c r="AK302" s="8" t="n">
        <f aca="false">($E$62+$E$63)*(AK$291=YEAR(Inputs!$E$27))</f>
        <v>0</v>
      </c>
      <c r="AL302" s="8" t="n">
        <f aca="false">($E$62+$E$63)*(AL$291=YEAR(Inputs!$E$27))</f>
        <v>0</v>
      </c>
      <c r="AM302" s="8" t="n">
        <f aca="false">($E$62+$E$63)*(AM$291=YEAR(Inputs!$E$27))</f>
        <v>0</v>
      </c>
      <c r="AN302" s="8" t="n">
        <f aca="false">($E$62+$E$63)*(AN$291=YEAR(Inputs!$E$27))</f>
        <v>0</v>
      </c>
      <c r="AO302" s="8" t="n">
        <f aca="false">($E$62+$E$63)*(AO$291=YEAR(Inputs!$E$27))</f>
        <v>0</v>
      </c>
      <c r="AP302" s="8" t="n">
        <f aca="false">($E$62+$E$63)*(AP$291=YEAR(Inputs!$E$27))</f>
        <v>0</v>
      </c>
      <c r="AQ302" s="8" t="n">
        <f aca="false">($E$62+$E$63)*(AQ$291=YEAR(Inputs!$E$27))</f>
        <v>0</v>
      </c>
      <c r="AR302" s="8" t="n">
        <f aca="false">($E$62+$E$63)*(AR$291=YEAR(Inputs!$E$27))</f>
        <v>0</v>
      </c>
      <c r="AS302" s="8" t="n">
        <f aca="false">($E$62+$E$63)*(AS$291=YEAR(Inputs!$E$27))</f>
        <v>0</v>
      </c>
    </row>
    <row r="303" customFormat="false" ht="14.25" hidden="false" customHeight="false" outlineLevel="0" collapsed="false">
      <c r="C303" s="6" t="s">
        <v>256</v>
      </c>
      <c r="D303" s="2" t="s">
        <v>85</v>
      </c>
      <c r="H303" s="8" t="n">
        <f aca="false">SUM(J303:AS303)</f>
        <v>-48037.5</v>
      </c>
      <c r="J303" s="8" t="n">
        <f aca="false">-$E$91*J297</f>
        <v>-0</v>
      </c>
      <c r="K303" s="8" t="n">
        <f aca="false">-$E$91*K297</f>
        <v>-0</v>
      </c>
      <c r="L303" s="8" t="n">
        <f aca="false">-$E$91*L297</f>
        <v>-0</v>
      </c>
      <c r="M303" s="8" t="n">
        <f aca="false">-$E$91*M297</f>
        <v>-12009.375</v>
      </c>
      <c r="N303" s="8" t="n">
        <f aca="false">-$E$91*N297</f>
        <v>-24018.75</v>
      </c>
      <c r="O303" s="8" t="n">
        <f aca="false">-$E$91*O297</f>
        <v>-12009.375</v>
      </c>
      <c r="P303" s="8" t="n">
        <f aca="false">-$E$91*P297</f>
        <v>-0</v>
      </c>
      <c r="Q303" s="8" t="n">
        <f aca="false">-$E$91*Q297</f>
        <v>-0</v>
      </c>
      <c r="R303" s="8" t="n">
        <f aca="false">-$E$91*R297</f>
        <v>-0</v>
      </c>
      <c r="S303" s="8" t="n">
        <f aca="false">-$E$91*S297</f>
        <v>-0</v>
      </c>
      <c r="T303" s="8" t="n">
        <f aca="false">-$E$91*T297</f>
        <v>-0</v>
      </c>
      <c r="U303" s="8" t="n">
        <f aca="false">-$E$91*U297</f>
        <v>-0</v>
      </c>
      <c r="V303" s="8" t="n">
        <f aca="false">-$E$91*V297</f>
        <v>-0</v>
      </c>
      <c r="W303" s="8" t="n">
        <f aca="false">-$E$91*W297</f>
        <v>-0</v>
      </c>
      <c r="X303" s="8" t="n">
        <f aca="false">-$E$91*X297</f>
        <v>-0</v>
      </c>
      <c r="Y303" s="8" t="n">
        <f aca="false">-$E$91*Y297</f>
        <v>-0</v>
      </c>
      <c r="Z303" s="8" t="n">
        <f aca="false">-$E$91*Z297</f>
        <v>-0</v>
      </c>
      <c r="AA303" s="8" t="n">
        <f aca="false">-$E$91*AA297</f>
        <v>-0</v>
      </c>
      <c r="AB303" s="8" t="n">
        <f aca="false">-$E$91*AB297</f>
        <v>-0</v>
      </c>
      <c r="AC303" s="8" t="n">
        <f aca="false">-$E$91*AC297</f>
        <v>-0</v>
      </c>
      <c r="AD303" s="8" t="n">
        <f aca="false">-$E$91*AD297</f>
        <v>-0</v>
      </c>
      <c r="AE303" s="8" t="n">
        <f aca="false">-$E$91*AE297</f>
        <v>-0</v>
      </c>
      <c r="AF303" s="8" t="n">
        <f aca="false">-$E$91*AF297</f>
        <v>-0</v>
      </c>
      <c r="AG303" s="8" t="n">
        <f aca="false">-$E$91*AG297</f>
        <v>-0</v>
      </c>
      <c r="AH303" s="8" t="n">
        <f aca="false">-$E$91*AH297</f>
        <v>-0</v>
      </c>
      <c r="AI303" s="8" t="n">
        <f aca="false">-$E$91*AI297</f>
        <v>-0</v>
      </c>
      <c r="AJ303" s="8" t="n">
        <f aca="false">-$E$91*AJ297</f>
        <v>-0</v>
      </c>
      <c r="AK303" s="8" t="n">
        <f aca="false">-$E$91*AK297</f>
        <v>-0</v>
      </c>
      <c r="AL303" s="8" t="n">
        <f aca="false">-$E$91*AL297</f>
        <v>-0</v>
      </c>
      <c r="AM303" s="8" t="n">
        <f aca="false">-$E$91*AM297</f>
        <v>-0</v>
      </c>
      <c r="AN303" s="8" t="n">
        <f aca="false">-$E$91*AN297</f>
        <v>-0</v>
      </c>
      <c r="AO303" s="8" t="n">
        <f aca="false">-$E$91*AO297</f>
        <v>-0</v>
      </c>
      <c r="AP303" s="8" t="n">
        <f aca="false">-$E$91*AP297</f>
        <v>-0</v>
      </c>
      <c r="AQ303" s="8" t="n">
        <f aca="false">-$E$91*AQ297</f>
        <v>-0</v>
      </c>
      <c r="AR303" s="8" t="n">
        <f aca="false">-$E$91*AR297</f>
        <v>-0</v>
      </c>
      <c r="AS303" s="8" t="n">
        <f aca="false">-$E$91*AS297</f>
        <v>-0</v>
      </c>
    </row>
    <row r="304" customFormat="false" ht="14.25" hidden="false" customHeight="false" outlineLevel="0" collapsed="false">
      <c r="C304" s="6" t="s">
        <v>257</v>
      </c>
      <c r="D304" s="2" t="s">
        <v>85</v>
      </c>
      <c r="H304" s="8" t="n">
        <f aca="false">SUM(J304:AS304)</f>
        <v>-1000</v>
      </c>
      <c r="J304" s="8" t="n">
        <f aca="false">-$E$93*J300</f>
        <v>-0</v>
      </c>
      <c r="K304" s="8" t="n">
        <f aca="false">-$E$93*K300</f>
        <v>-0</v>
      </c>
      <c r="L304" s="8" t="n">
        <f aca="false">-$E$93*L300</f>
        <v>-0</v>
      </c>
      <c r="M304" s="8" t="n">
        <f aca="false">-$E$93*M300</f>
        <v>-0</v>
      </c>
      <c r="N304" s="8" t="n">
        <f aca="false">-$E$93*N300</f>
        <v>-0</v>
      </c>
      <c r="O304" s="8" t="n">
        <f aca="false">-$E$93*O300</f>
        <v>-1000</v>
      </c>
      <c r="P304" s="8" t="n">
        <f aca="false">-$E$93*P300</f>
        <v>-0</v>
      </c>
      <c r="Q304" s="8" t="n">
        <f aca="false">-$E$93*Q300</f>
        <v>-0</v>
      </c>
      <c r="R304" s="8" t="n">
        <f aca="false">-$E$93*R300</f>
        <v>-0</v>
      </c>
      <c r="S304" s="8" t="n">
        <f aca="false">-$E$93*S300</f>
        <v>-0</v>
      </c>
      <c r="T304" s="8" t="n">
        <f aca="false">-$E$93*T300</f>
        <v>-0</v>
      </c>
      <c r="U304" s="8" t="n">
        <f aca="false">-$E$93*U300</f>
        <v>-0</v>
      </c>
      <c r="V304" s="8" t="n">
        <f aca="false">-$E$93*V300</f>
        <v>-0</v>
      </c>
      <c r="W304" s="8" t="n">
        <f aca="false">-$E$93*W300</f>
        <v>-0</v>
      </c>
      <c r="X304" s="8" t="n">
        <f aca="false">-$E$93*X300</f>
        <v>-0</v>
      </c>
      <c r="Y304" s="8" t="n">
        <f aca="false">-$E$93*Y300</f>
        <v>-0</v>
      </c>
      <c r="Z304" s="8" t="n">
        <f aca="false">-$E$93*Z300</f>
        <v>-0</v>
      </c>
      <c r="AA304" s="8" t="n">
        <f aca="false">-$E$93*AA300</f>
        <v>-0</v>
      </c>
      <c r="AB304" s="8" t="n">
        <f aca="false">-$E$93*AB300</f>
        <v>-0</v>
      </c>
      <c r="AC304" s="8" t="n">
        <f aca="false">-$E$93*AC300</f>
        <v>-0</v>
      </c>
      <c r="AD304" s="8" t="n">
        <f aca="false">-$E$93*AD300</f>
        <v>-0</v>
      </c>
      <c r="AE304" s="8" t="n">
        <f aca="false">-$E$93*AE300</f>
        <v>-0</v>
      </c>
      <c r="AF304" s="8" t="n">
        <f aca="false">-$E$93*AF300</f>
        <v>-0</v>
      </c>
      <c r="AG304" s="8" t="n">
        <f aca="false">-$E$93*AG300</f>
        <v>-0</v>
      </c>
      <c r="AH304" s="8" t="n">
        <f aca="false">-$E$93*AH300</f>
        <v>-0</v>
      </c>
      <c r="AI304" s="8" t="n">
        <f aca="false">-$E$93*AI300</f>
        <v>-0</v>
      </c>
      <c r="AJ304" s="8" t="n">
        <f aca="false">-$E$93*AJ300</f>
        <v>-0</v>
      </c>
      <c r="AK304" s="8" t="n">
        <f aca="false">-$E$93*AK300</f>
        <v>-0</v>
      </c>
      <c r="AL304" s="8" t="n">
        <f aca="false">-$E$93*AL300</f>
        <v>-0</v>
      </c>
      <c r="AM304" s="8" t="n">
        <f aca="false">-$E$93*AM300</f>
        <v>-0</v>
      </c>
      <c r="AN304" s="8" t="n">
        <f aca="false">-$E$93*AN300</f>
        <v>-0</v>
      </c>
      <c r="AO304" s="8" t="n">
        <f aca="false">-$E$93*AO300</f>
        <v>-0</v>
      </c>
      <c r="AP304" s="8" t="n">
        <f aca="false">-$E$93*AP300</f>
        <v>-0</v>
      </c>
      <c r="AQ304" s="8" t="n">
        <f aca="false">-$E$93*AQ300</f>
        <v>-0</v>
      </c>
      <c r="AR304" s="8" t="n">
        <f aca="false">-$E$93*AR300</f>
        <v>-0</v>
      </c>
      <c r="AS304" s="8" t="n">
        <f aca="false">-$E$93*AS300</f>
        <v>-0</v>
      </c>
    </row>
    <row r="305" customFormat="false" ht="14.25" hidden="false" customHeight="false" outlineLevel="0" collapsed="false">
      <c r="C305" s="1" t="s">
        <v>258</v>
      </c>
      <c r="D305" s="2" t="s">
        <v>85</v>
      </c>
      <c r="H305" s="15" t="n">
        <f aca="false">SUM(J305:AS305)</f>
        <v>-60660.7517670338</v>
      </c>
      <c r="J305" s="15" t="n">
        <f aca="false">SUM(J301:J304)</f>
        <v>-386.301369863014</v>
      </c>
      <c r="K305" s="60" t="n">
        <f aca="false">SUM(K301:K304)</f>
        <v>-2429.86593963657</v>
      </c>
      <c r="L305" s="15" t="n">
        <f aca="false">SUM(L301:L304)</f>
        <v>-10197.4954164384</v>
      </c>
      <c r="M305" s="15" t="n">
        <f aca="false">SUM(M301:M304)</f>
        <v>-12009.375</v>
      </c>
      <c r="N305" s="15" t="n">
        <f aca="false">SUM(N301:N304)</f>
        <v>-24018.75</v>
      </c>
      <c r="O305" s="15" t="n">
        <f aca="false">SUM(O301:O304)</f>
        <v>-13009.375</v>
      </c>
      <c r="P305" s="15" t="n">
        <f aca="false">SUM(P301:P304)</f>
        <v>0</v>
      </c>
      <c r="Q305" s="15" t="n">
        <f aca="false">SUM(Q301:Q304)</f>
        <v>1390.41095890411</v>
      </c>
      <c r="R305" s="15" t="n">
        <f aca="false">SUM(R301:R304)</f>
        <v>0</v>
      </c>
      <c r="S305" s="15" t="n">
        <f aca="false">SUM(S301:S304)</f>
        <v>0</v>
      </c>
      <c r="T305" s="15" t="n">
        <f aca="false">SUM(T301:T304)</f>
        <v>0</v>
      </c>
      <c r="U305" s="15" t="n">
        <f aca="false">SUM(U301:U304)</f>
        <v>0</v>
      </c>
      <c r="V305" s="15" t="n">
        <f aca="false">SUM(V301:V304)</f>
        <v>0</v>
      </c>
      <c r="W305" s="15" t="n">
        <f aca="false">SUM(W301:W304)</f>
        <v>0</v>
      </c>
      <c r="X305" s="15" t="n">
        <f aca="false">SUM(X301:X304)</f>
        <v>0</v>
      </c>
      <c r="Y305" s="15" t="n">
        <f aca="false">SUM(Y301:Y304)</f>
        <v>0</v>
      </c>
      <c r="Z305" s="15" t="n">
        <f aca="false">SUM(Z301:Z304)</f>
        <v>0</v>
      </c>
      <c r="AA305" s="15" t="n">
        <f aca="false">SUM(AA301:AA304)</f>
        <v>0</v>
      </c>
      <c r="AB305" s="15" t="n">
        <f aca="false">SUM(AB301:AB304)</f>
        <v>0</v>
      </c>
      <c r="AC305" s="15" t="n">
        <f aca="false">SUM(AC301:AC304)</f>
        <v>0</v>
      </c>
      <c r="AD305" s="15" t="n">
        <f aca="false">SUM(AD301:AD304)</f>
        <v>0</v>
      </c>
      <c r="AE305" s="15" t="n">
        <f aca="false">SUM(AE301:AE304)</f>
        <v>0</v>
      </c>
      <c r="AF305" s="15" t="n">
        <f aca="false">SUM(AF301:AF304)</f>
        <v>0</v>
      </c>
      <c r="AG305" s="15" t="n">
        <f aca="false">SUM(AG301:AG304)</f>
        <v>0</v>
      </c>
      <c r="AH305" s="15" t="n">
        <f aca="false">SUM(AH301:AH304)</f>
        <v>0</v>
      </c>
      <c r="AI305" s="15" t="n">
        <f aca="false">SUM(AI301:AI304)</f>
        <v>0</v>
      </c>
      <c r="AJ305" s="15" t="n">
        <f aca="false">SUM(AJ301:AJ304)</f>
        <v>0</v>
      </c>
      <c r="AK305" s="15" t="n">
        <f aca="false">SUM(AK301:AK304)</f>
        <v>0</v>
      </c>
      <c r="AL305" s="15" t="n">
        <f aca="false">SUM(AL301:AL304)</f>
        <v>0</v>
      </c>
      <c r="AM305" s="15" t="n">
        <f aca="false">SUM(AM301:AM304)</f>
        <v>0</v>
      </c>
      <c r="AN305" s="15" t="n">
        <f aca="false">SUM(AN301:AN304)</f>
        <v>0</v>
      </c>
      <c r="AO305" s="15" t="n">
        <f aca="false">SUM(AO301:AO304)</f>
        <v>0</v>
      </c>
      <c r="AP305" s="15" t="n">
        <f aca="false">SUM(AP301:AP304)</f>
        <v>0</v>
      </c>
      <c r="AQ305" s="15" t="n">
        <f aca="false">SUM(AQ301:AQ304)</f>
        <v>0</v>
      </c>
      <c r="AR305" s="15" t="n">
        <f aca="false">SUM(AR301:AR304)</f>
        <v>0</v>
      </c>
      <c r="AS305" s="15" t="n">
        <f aca="false">SUM(AS301:AS304)</f>
        <v>0</v>
      </c>
    </row>
    <row r="306" customFormat="false" ht="14.25" hidden="false" customHeight="false" outlineLevel="0" collapsed="false">
      <c r="C306" s="6" t="s">
        <v>259</v>
      </c>
      <c r="D306" s="2" t="s">
        <v>3</v>
      </c>
      <c r="J306" s="67" t="n">
        <f aca="false">(1-Degradation)^MAX(J295-1,0)</f>
        <v>1</v>
      </c>
      <c r="K306" s="67" t="n">
        <f aca="false">(1-Degradation)^MAX(K295-1,0)</f>
        <v>1</v>
      </c>
      <c r="L306" s="67" t="n">
        <f aca="false">(1-Degradation)^MAX(L295-1,0)</f>
        <v>1</v>
      </c>
      <c r="M306" s="67" t="n">
        <f aca="false">(1-Degradation)^MAX(M295-1,0)</f>
        <v>1</v>
      </c>
      <c r="N306" s="67" t="n">
        <f aca="false">(1-Degradation)^MAX(N295-1,0)</f>
        <v>1</v>
      </c>
      <c r="O306" s="67" t="n">
        <f aca="false">(1-Degradation)^MAX(O295-1,0)</f>
        <v>1</v>
      </c>
      <c r="P306" s="67" t="n">
        <f aca="false">(1-Degradation)^MAX(P295-1,0)</f>
        <v>1</v>
      </c>
      <c r="Q306" s="67" t="n">
        <f aca="false">(1-Degradation)^MAX(Q295-1,0)</f>
        <v>0.997</v>
      </c>
      <c r="R306" s="67" t="n">
        <f aca="false">(1-Degradation)^MAX(R295-1,0)</f>
        <v>0.994009</v>
      </c>
      <c r="S306" s="67" t="n">
        <f aca="false">(1-Degradation)^MAX(S295-1,0)</f>
        <v>0.991026973</v>
      </c>
      <c r="T306" s="67" t="n">
        <f aca="false">(1-Degradation)^MAX(T295-1,0)</f>
        <v>0.988053892081</v>
      </c>
      <c r="U306" s="67" t="n">
        <f aca="false">(1-Degradation)^MAX(U295-1,0)</f>
        <v>0.985089730404757</v>
      </c>
      <c r="V306" s="67" t="n">
        <f aca="false">(1-Degradation)^MAX(V295-1,0)</f>
        <v>0.982134461213543</v>
      </c>
      <c r="W306" s="67" t="n">
        <f aca="false">(1-Degradation)^MAX(W295-1,0)</f>
        <v>0.979188057829902</v>
      </c>
      <c r="X306" s="67" t="n">
        <f aca="false">(1-Degradation)^MAX(X295-1,0)</f>
        <v>0.976250493656412</v>
      </c>
      <c r="Y306" s="67" t="n">
        <f aca="false">(1-Degradation)^MAX(Y295-1,0)</f>
        <v>0.973321742175443</v>
      </c>
      <c r="Z306" s="67" t="n">
        <f aca="false">(1-Degradation)^MAX(Z295-1,0)</f>
        <v>0.970401776948917</v>
      </c>
      <c r="AA306" s="67" t="n">
        <f aca="false">(1-Degradation)^MAX(AA295-1,0)</f>
        <v>0.96749057161807</v>
      </c>
      <c r="AB306" s="67" t="n">
        <f aca="false">(1-Degradation)^MAX(AB295-1,0)</f>
        <v>0.964588099903216</v>
      </c>
      <c r="AC306" s="67" t="n">
        <f aca="false">(1-Degradation)^MAX(AC295-1,0)</f>
        <v>0.961694335603506</v>
      </c>
      <c r="AD306" s="67" t="n">
        <f aca="false">(1-Degradation)^MAX(AD295-1,0)</f>
        <v>0.958809252596696</v>
      </c>
      <c r="AE306" s="67" t="n">
        <f aca="false">(1-Degradation)^MAX(AE295-1,0)</f>
        <v>0.955932824838906</v>
      </c>
      <c r="AF306" s="67" t="n">
        <f aca="false">(1-Degradation)^MAX(AF295-1,0)</f>
        <v>0.953065026364389</v>
      </c>
      <c r="AG306" s="67" t="n">
        <f aca="false">(1-Degradation)^MAX(AG295-1,0)</f>
        <v>0.950205831285296</v>
      </c>
      <c r="AH306" s="67" t="n">
        <f aca="false">(1-Degradation)^MAX(AH295-1,0)</f>
        <v>0.94735521379144</v>
      </c>
      <c r="AI306" s="67" t="n">
        <f aca="false">(1-Degradation)^MAX(AI295-1,0)</f>
        <v>0.944513148150066</v>
      </c>
      <c r="AJ306" s="67" t="n">
        <f aca="false">(1-Degradation)^MAX(AJ295-1,0)</f>
        <v>0.941679608705615</v>
      </c>
      <c r="AK306" s="67" t="n">
        <f aca="false">(1-Degradation)^MAX(AK295-1,0)</f>
        <v>0.938854569879498</v>
      </c>
      <c r="AL306" s="67" t="n">
        <f aca="false">(1-Degradation)^MAX(AL295-1,0)</f>
        <v>0.93603800616986</v>
      </c>
      <c r="AM306" s="67" t="n">
        <f aca="false">(1-Degradation)^MAX(AM295-1,0)</f>
        <v>0.93322989215135</v>
      </c>
      <c r="AN306" s="67" t="n">
        <f aca="false">(1-Degradation)^MAX(AN295-1,0)</f>
        <v>0.930430202474896</v>
      </c>
      <c r="AO306" s="67" t="n">
        <f aca="false">(1-Degradation)^MAX(AO295-1,0)</f>
        <v>0.927638911867472</v>
      </c>
      <c r="AP306" s="67" t="n">
        <f aca="false">(1-Degradation)^MAX(AP295-1,0)</f>
        <v>0.924855995131869</v>
      </c>
      <c r="AQ306" s="67" t="n">
        <f aca="false">(1-Degradation)^MAX(AQ295-1,0)</f>
        <v>0.922081427146474</v>
      </c>
      <c r="AR306" s="67" t="n">
        <f aca="false">(1-Degradation)^MAX(AR295-1,0)</f>
        <v>0.919315182865034</v>
      </c>
      <c r="AS306" s="67" t="n">
        <f aca="false">(1-Degradation)^MAX(AS295-1,0)</f>
        <v>0.916557237316439</v>
      </c>
    </row>
    <row r="307" customFormat="false" ht="14.25" hidden="false" customHeight="false" outlineLevel="0" collapsed="false">
      <c r="C307" s="6" t="s">
        <v>260</v>
      </c>
      <c r="D307" s="2" t="s">
        <v>261</v>
      </c>
      <c r="H307" s="17" t="n">
        <f aca="false">SUM(J307:AS307)</f>
        <v>3383.64986274979</v>
      </c>
      <c r="J307" s="17" t="n">
        <f aca="false">$E$46*$E$22*(1-Curtailment)*(1-Clipping)*J299*J306/Thousand</f>
        <v>0</v>
      </c>
      <c r="K307" s="17" t="n">
        <f aca="false">$E$46*$E$22*(1-Curtailment)*(1-Clipping)*K299*K306/Thousand</f>
        <v>0</v>
      </c>
      <c r="L307" s="17" t="n">
        <f aca="false">$E$46*$E$22*(1-Curtailment)*(1-Clipping)*L299*L306/Thousand</f>
        <v>0</v>
      </c>
      <c r="M307" s="17" t="n">
        <f aca="false">$E$46*$E$22*(1-Curtailment)*(1-Clipping)*M299*M306/Thousand</f>
        <v>0</v>
      </c>
      <c r="N307" s="17" t="n">
        <f aca="false">$E$46*$E$22*(1-Curtailment)*(1-Clipping)*N299*N306/Thousand</f>
        <v>0</v>
      </c>
      <c r="O307" s="17" t="n">
        <f aca="false">$E$46*$E$22*(1-Curtailment)*(1-Clipping)*O299*O306/Thousand</f>
        <v>58.8</v>
      </c>
      <c r="P307" s="17" t="n">
        <f aca="false">$E$46*$E$22*(1-Curtailment)*(1-Clipping)*P299*P306/Thousand</f>
        <v>117.6</v>
      </c>
      <c r="Q307" s="17" t="n">
        <f aca="false">$E$46*$E$22*(1-Curtailment)*(1-Clipping)*Q299*Q306/Thousand</f>
        <v>117.2472</v>
      </c>
      <c r="R307" s="17" t="n">
        <f aca="false">$E$46*$E$22*(1-Curtailment)*(1-Clipping)*R299*R306/Thousand</f>
        <v>116.8954584</v>
      </c>
      <c r="S307" s="17" t="n">
        <f aca="false">$E$46*$E$22*(1-Curtailment)*(1-Clipping)*S299*S306/Thousand</f>
        <v>116.5447720248</v>
      </c>
      <c r="T307" s="17" t="n">
        <f aca="false">$E$46*$E$22*(1-Curtailment)*(1-Clipping)*T299*T306/Thousand</f>
        <v>116.195137708726</v>
      </c>
      <c r="U307" s="17" t="n">
        <f aca="false">$E$46*$E$22*(1-Curtailment)*(1-Clipping)*U299*U306/Thousand</f>
        <v>115.846552295599</v>
      </c>
      <c r="V307" s="17" t="n">
        <f aca="false">$E$46*$E$22*(1-Curtailment)*(1-Clipping)*V299*V306/Thousand</f>
        <v>115.499012638713</v>
      </c>
      <c r="W307" s="17" t="n">
        <f aca="false">$E$46*$E$22*(1-Curtailment)*(1-Clipping)*W299*W306/Thousand</f>
        <v>115.152515600796</v>
      </c>
      <c r="X307" s="17" t="n">
        <f aca="false">$E$46*$E$22*(1-Curtailment)*(1-Clipping)*X299*X306/Thousand</f>
        <v>114.807058053994</v>
      </c>
      <c r="Y307" s="17" t="n">
        <f aca="false">$E$46*$E$22*(1-Curtailment)*(1-Clipping)*Y299*Y306/Thousand</f>
        <v>114.462636879832</v>
      </c>
      <c r="Z307" s="17" t="n">
        <f aca="false">$E$46*$E$22*(1-Curtailment)*(1-Clipping)*Z299*Z306/Thousand</f>
        <v>114.119248969193</v>
      </c>
      <c r="AA307" s="17" t="n">
        <f aca="false">$E$46*$E$22*(1-Curtailment)*(1-Clipping)*AA299*AA306/Thousand</f>
        <v>113.776891222285</v>
      </c>
      <c r="AB307" s="17" t="n">
        <f aca="false">$E$46*$E$22*(1-Curtailment)*(1-Clipping)*AB299*AB306/Thousand</f>
        <v>113.435560548618</v>
      </c>
      <c r="AC307" s="17" t="n">
        <f aca="false">$E$46*$E$22*(1-Curtailment)*(1-Clipping)*AC299*AC306/Thousand</f>
        <v>113.095253866972</v>
      </c>
      <c r="AD307" s="17" t="n">
        <f aca="false">$E$46*$E$22*(1-Curtailment)*(1-Clipping)*AD299*AD306/Thousand</f>
        <v>112.755968105371</v>
      </c>
      <c r="AE307" s="17" t="n">
        <f aca="false">$E$46*$E$22*(1-Curtailment)*(1-Clipping)*AE299*AE306/Thousand</f>
        <v>112.417700201055</v>
      </c>
      <c r="AF307" s="17" t="n">
        <f aca="false">$E$46*$E$22*(1-Curtailment)*(1-Clipping)*AF299*AF306/Thousand</f>
        <v>112.080447100452</v>
      </c>
      <c r="AG307" s="17" t="n">
        <f aca="false">$E$46*$E$22*(1-Curtailment)*(1-Clipping)*AG299*AG306/Thousand</f>
        <v>111.744205759151</v>
      </c>
      <c r="AH307" s="17" t="n">
        <f aca="false">$E$46*$E$22*(1-Curtailment)*(1-Clipping)*AH299*AH306/Thousand</f>
        <v>111.408973141873</v>
      </c>
      <c r="AI307" s="17" t="n">
        <f aca="false">$E$46*$E$22*(1-Curtailment)*(1-Clipping)*AI299*AI306/Thousand</f>
        <v>111.074746222448</v>
      </c>
      <c r="AJ307" s="17" t="n">
        <f aca="false">$E$46*$E$22*(1-Curtailment)*(1-Clipping)*AJ299*AJ306/Thousand</f>
        <v>110.74152198378</v>
      </c>
      <c r="AK307" s="17" t="n">
        <f aca="false">$E$46*$E$22*(1-Curtailment)*(1-Clipping)*AK299*AK306/Thousand</f>
        <v>110.409297417829</v>
      </c>
      <c r="AL307" s="17" t="n">
        <f aca="false">$E$46*$E$22*(1-Curtailment)*(1-Clipping)*AL299*AL306/Thousand</f>
        <v>110.078069525576</v>
      </c>
      <c r="AM307" s="17" t="n">
        <f aca="false">$E$46*$E$22*(1-Curtailment)*(1-Clipping)*AM299*AM306/Thousand</f>
        <v>109.747835316999</v>
      </c>
      <c r="AN307" s="17" t="n">
        <f aca="false">$E$46*$E$22*(1-Curtailment)*(1-Clipping)*AN299*AN306/Thousand</f>
        <v>109.418591811048</v>
      </c>
      <c r="AO307" s="17" t="n">
        <f aca="false">$E$46*$E$22*(1-Curtailment)*(1-Clipping)*AO299*AO306/Thousand</f>
        <v>109.090336035615</v>
      </c>
      <c r="AP307" s="17" t="n">
        <f aca="false">$E$46*$E$22*(1-Curtailment)*(1-Clipping)*AP299*AP306/Thousand</f>
        <v>108.763065027508</v>
      </c>
      <c r="AQ307" s="17" t="n">
        <f aca="false">$E$46*$E$22*(1-Curtailment)*(1-Clipping)*AQ299*AQ306/Thousand</f>
        <v>108.436775832425</v>
      </c>
      <c r="AR307" s="17" t="n">
        <f aca="false">$E$46*$E$22*(1-Curtailment)*(1-Clipping)*AR299*AR306/Thousand</f>
        <v>108.111465504928</v>
      </c>
      <c r="AS307" s="17" t="n">
        <f aca="false">$E$46*$E$22*(1-Curtailment)*(1-Clipping)*AS299*AS306/Thousand</f>
        <v>53.8935655542066</v>
      </c>
    </row>
    <row r="308" customFormat="false" ht="14.25" hidden="false" customHeight="false" outlineLevel="0" collapsed="false">
      <c r="C308" s="6" t="s">
        <v>262</v>
      </c>
      <c r="D308" s="2" t="s">
        <v>20</v>
      </c>
      <c r="J308" s="17" t="n">
        <f aca="false">Case_PPA*(1+PPA_Esc)^J295*(J299&gt;0)</f>
        <v>0</v>
      </c>
      <c r="K308" s="17" t="n">
        <f aca="false">Case_PPA*(1+PPA_Esc)^K295*(K299&gt;0)</f>
        <v>0</v>
      </c>
      <c r="L308" s="17" t="n">
        <f aca="false">Case_PPA*(1+PPA_Esc)^L295*(L299&gt;0)</f>
        <v>0</v>
      </c>
      <c r="M308" s="17" t="n">
        <f aca="false">Case_PPA*(1+PPA_Esc)^M295*(M299&gt;0)</f>
        <v>0</v>
      </c>
      <c r="N308" s="17" t="n">
        <f aca="false">Case_PPA*(1+PPA_Esc)^N295*(N299&gt;0)</f>
        <v>0</v>
      </c>
      <c r="O308" s="17" t="n">
        <f aca="false">Case_PPA*(1+PPA_Esc)^O295*(O299&gt;0)</f>
        <v>90</v>
      </c>
      <c r="P308" s="17" t="n">
        <f aca="false">Case_PPA*(1+PPA_Esc)^P295*(P299&gt;0)</f>
        <v>90.9</v>
      </c>
      <c r="Q308" s="17" t="n">
        <f aca="false">Case_PPA*(1+PPA_Esc)^Q295*(Q299&gt;0)</f>
        <v>91.809</v>
      </c>
      <c r="R308" s="17" t="n">
        <f aca="false">Case_PPA*(1+PPA_Esc)^R295*(R299&gt;0)</f>
        <v>92.72709</v>
      </c>
      <c r="S308" s="17" t="n">
        <f aca="false">Case_PPA*(1+PPA_Esc)^S295*(S299&gt;0)</f>
        <v>93.6543609</v>
      </c>
      <c r="T308" s="17" t="n">
        <f aca="false">Case_PPA*(1+PPA_Esc)^T295*(T299&gt;0)</f>
        <v>94.590904509</v>
      </c>
      <c r="U308" s="17" t="n">
        <f aca="false">Case_PPA*(1+PPA_Esc)^U295*(U299&gt;0)</f>
        <v>95.53681355409</v>
      </c>
      <c r="V308" s="17" t="n">
        <f aca="false">Case_PPA*(1+PPA_Esc)^V295*(V299&gt;0)</f>
        <v>96.4921816896309</v>
      </c>
      <c r="W308" s="17" t="n">
        <f aca="false">Case_PPA*(1+PPA_Esc)^W295*(W299&gt;0)</f>
        <v>97.4571035065272</v>
      </c>
      <c r="X308" s="17" t="n">
        <f aca="false">Case_PPA*(1+PPA_Esc)^X295*(X299&gt;0)</f>
        <v>98.4316745415925</v>
      </c>
      <c r="Y308" s="17" t="n">
        <f aca="false">Case_PPA*(1+PPA_Esc)^Y295*(Y299&gt;0)</f>
        <v>99.4159912870084</v>
      </c>
      <c r="Z308" s="17" t="n">
        <f aca="false">Case_PPA*(1+PPA_Esc)^Z295*(Z299&gt;0)</f>
        <v>100.410151199878</v>
      </c>
      <c r="AA308" s="17" t="n">
        <f aca="false">Case_PPA*(1+PPA_Esc)^AA295*(AA299&gt;0)</f>
        <v>101.414252711877</v>
      </c>
      <c r="AB308" s="17" t="n">
        <f aca="false">Case_PPA*(1+PPA_Esc)^AB295*(AB299&gt;0)</f>
        <v>102.428395238996</v>
      </c>
      <c r="AC308" s="17" t="n">
        <f aca="false">Case_PPA*(1+PPA_Esc)^AC295*(AC299&gt;0)</f>
        <v>103.452679191386</v>
      </c>
      <c r="AD308" s="17" t="n">
        <f aca="false">Case_PPA*(1+PPA_Esc)^AD295*(AD299&gt;0)</f>
        <v>104.4872059833</v>
      </c>
      <c r="AE308" s="17" t="n">
        <f aca="false">Case_PPA*(1+PPA_Esc)^AE295*(AE299&gt;0)</f>
        <v>105.532078043133</v>
      </c>
      <c r="AF308" s="17" t="n">
        <f aca="false">Case_PPA*(1+PPA_Esc)^AF295*(AF299&gt;0)</f>
        <v>106.587398823564</v>
      </c>
      <c r="AG308" s="17" t="n">
        <f aca="false">Case_PPA*(1+PPA_Esc)^AG295*(AG299&gt;0)</f>
        <v>107.6532728118</v>
      </c>
      <c r="AH308" s="17" t="n">
        <f aca="false">Case_PPA*(1+PPA_Esc)^AH295*(AH299&gt;0)</f>
        <v>108.729805539918</v>
      </c>
      <c r="AI308" s="17" t="n">
        <f aca="false">Case_PPA*(1+PPA_Esc)^AI295*(AI299&gt;0)</f>
        <v>109.817103595317</v>
      </c>
      <c r="AJ308" s="17" t="n">
        <f aca="false">Case_PPA*(1+PPA_Esc)^AJ295*(AJ299&gt;0)</f>
        <v>110.91527463127</v>
      </c>
      <c r="AK308" s="17" t="n">
        <f aca="false">Case_PPA*(1+PPA_Esc)^AK295*(AK299&gt;0)</f>
        <v>112.024427377583</v>
      </c>
      <c r="AL308" s="17" t="n">
        <f aca="false">Case_PPA*(1+PPA_Esc)^AL295*(AL299&gt;0)</f>
        <v>113.144671651359</v>
      </c>
      <c r="AM308" s="17" t="n">
        <f aca="false">Case_PPA*(1+PPA_Esc)^AM295*(AM299&gt;0)</f>
        <v>114.276118367872</v>
      </c>
      <c r="AN308" s="17" t="n">
        <f aca="false">Case_PPA*(1+PPA_Esc)^AN295*(AN299&gt;0)</f>
        <v>115.418879551551</v>
      </c>
      <c r="AO308" s="17" t="n">
        <f aca="false">Case_PPA*(1+PPA_Esc)^AO295*(AO299&gt;0)</f>
        <v>116.573068347067</v>
      </c>
      <c r="AP308" s="17" t="n">
        <f aca="false">Case_PPA*(1+PPA_Esc)^AP295*(AP299&gt;0)</f>
        <v>117.738799030537</v>
      </c>
      <c r="AQ308" s="17" t="n">
        <f aca="false">Case_PPA*(1+PPA_Esc)^AQ295*(AQ299&gt;0)</f>
        <v>118.916187020843</v>
      </c>
      <c r="AR308" s="17" t="n">
        <f aca="false">Case_PPA*(1+PPA_Esc)^AR295*(AR299&gt;0)</f>
        <v>120.105348891051</v>
      </c>
      <c r="AS308" s="17" t="n">
        <f aca="false">Case_PPA*(1+PPA_Esc)^AS295*(AS299&gt;0)</f>
        <v>121.306402379962</v>
      </c>
    </row>
    <row r="309" customFormat="false" ht="14.25" hidden="false" customHeight="false" outlineLevel="0" collapsed="false">
      <c r="C309" s="1" t="s">
        <v>150</v>
      </c>
      <c r="D309" s="2" t="s">
        <v>85</v>
      </c>
      <c r="H309" s="34" t="n">
        <f aca="false">SUM(J309:AS309)</f>
        <v>354071.972801154</v>
      </c>
      <c r="J309" s="34" t="n">
        <f aca="false">J307*J308</f>
        <v>0</v>
      </c>
      <c r="K309" s="34" t="n">
        <f aca="false">K307*K308</f>
        <v>0</v>
      </c>
      <c r="L309" s="34" t="n">
        <f aca="false">L307*L308</f>
        <v>0</v>
      </c>
      <c r="M309" s="34" t="n">
        <f aca="false">M307*M308</f>
        <v>0</v>
      </c>
      <c r="N309" s="34" t="n">
        <f aca="false">N307*N308</f>
        <v>0</v>
      </c>
      <c r="O309" s="34" t="n">
        <f aca="false">O307*O308</f>
        <v>5292</v>
      </c>
      <c r="P309" s="34" t="n">
        <f aca="false">P307*P308</f>
        <v>10689.84</v>
      </c>
      <c r="Q309" s="34" t="n">
        <f aca="false">Q307*Q308</f>
        <v>10764.3481848</v>
      </c>
      <c r="R309" s="34" t="n">
        <f aca="false">R307*R308</f>
        <v>10839.3756916481</v>
      </c>
      <c r="S309" s="34" t="n">
        <f aca="false">S307*S308</f>
        <v>10914.9261402188</v>
      </c>
      <c r="T309" s="34" t="n">
        <f aca="false">T307*T308</f>
        <v>10991.0031754162</v>
      </c>
      <c r="U309" s="34" t="n">
        <f aca="false">U307*U308</f>
        <v>11067.6104675488</v>
      </c>
      <c r="V309" s="34" t="n">
        <f aca="false">V307*V308</f>
        <v>11144.7517125076</v>
      </c>
      <c r="W309" s="34" t="n">
        <f aca="false">W307*W308</f>
        <v>11222.4306319438</v>
      </c>
      <c r="X309" s="34" t="n">
        <f aca="false">X307*X308</f>
        <v>11300.6509734485</v>
      </c>
      <c r="Y309" s="34" t="n">
        <f aca="false">Y307*Y308</f>
        <v>11379.4165107334</v>
      </c>
      <c r="Z309" s="34" t="n">
        <f aca="false">Z307*Z308</f>
        <v>11458.7310438132</v>
      </c>
      <c r="AA309" s="34" t="n">
        <f aca="false">AA307*AA308</f>
        <v>11538.5983991886</v>
      </c>
      <c r="AB309" s="34" t="n">
        <f aca="false">AB307*AB308</f>
        <v>11619.0224300309</v>
      </c>
      <c r="AC309" s="34" t="n">
        <f aca="false">AC307*AC308</f>
        <v>11700.0070163682</v>
      </c>
      <c r="AD309" s="34" t="n">
        <f aca="false">AD307*AD308</f>
        <v>11781.5560652723</v>
      </c>
      <c r="AE309" s="34" t="n">
        <f aca="false">AE307*AE308</f>
        <v>11863.6735110473</v>
      </c>
      <c r="AF309" s="34" t="n">
        <f aca="false">AF307*AF308</f>
        <v>11946.3633154193</v>
      </c>
      <c r="AG309" s="34" t="n">
        <f aca="false">AG307*AG308</f>
        <v>12029.6294677278</v>
      </c>
      <c r="AH309" s="34" t="n">
        <f aca="false">AH307*AH308</f>
        <v>12113.4759851178</v>
      </c>
      <c r="AI309" s="34" t="n">
        <f aca="false">AI307*AI308</f>
        <v>12197.9069127341</v>
      </c>
      <c r="AJ309" s="34" t="n">
        <f aca="false">AJ307*AJ308</f>
        <v>12282.9263239158</v>
      </c>
      <c r="AK309" s="34" t="n">
        <f aca="false">AK307*AK308</f>
        <v>12368.5383203935</v>
      </c>
      <c r="AL309" s="34" t="n">
        <f aca="false">AL307*AL308</f>
        <v>12454.7470324867</v>
      </c>
      <c r="AM309" s="34" t="n">
        <f aca="false">AM307*AM308</f>
        <v>12541.5566193031</v>
      </c>
      <c r="AN309" s="34" t="n">
        <f aca="false">AN307*AN308</f>
        <v>12628.9712689397</v>
      </c>
      <c r="AO309" s="34" t="n">
        <f aca="false">AO307*AO308</f>
        <v>12716.9951986842</v>
      </c>
      <c r="AP309" s="34" t="n">
        <f aca="false">AP307*AP308</f>
        <v>12805.632655219</v>
      </c>
      <c r="AQ309" s="34" t="n">
        <f aca="false">AQ307*AQ308</f>
        <v>12894.8879148259</v>
      </c>
      <c r="AR309" s="34" t="n">
        <f aca="false">AR307*AR308</f>
        <v>12984.7652835922</v>
      </c>
      <c r="AS309" s="34" t="n">
        <f aca="false">AS307*AS308</f>
        <v>6537.63454880942</v>
      </c>
    </row>
    <row r="310" customFormat="false" ht="14.25" hidden="false" customHeight="false" outlineLevel="0" collapsed="false">
      <c r="C310" s="6" t="s">
        <v>263</v>
      </c>
      <c r="D310" s="2" t="s">
        <v>3</v>
      </c>
      <c r="J310" s="67" t="n">
        <f aca="false">(1+Opex_Esc)^J295</f>
        <v>0.883854287609517</v>
      </c>
      <c r="K310" s="67" t="n">
        <f aca="false">(1+Opex_Esc)^K295</f>
        <v>0.905950644799755</v>
      </c>
      <c r="L310" s="67" t="n">
        <f aca="false">(1+Opex_Esc)^L295</f>
        <v>0.928599410919749</v>
      </c>
      <c r="M310" s="67" t="n">
        <f aca="false">(1+Opex_Esc)^M295</f>
        <v>0.951814396192743</v>
      </c>
      <c r="N310" s="67" t="n">
        <f aca="false">(1+Opex_Esc)^N295</f>
        <v>0.975609756097561</v>
      </c>
      <c r="O310" s="67" t="n">
        <f aca="false">(1+Opex_Esc)^O295</f>
        <v>1</v>
      </c>
      <c r="P310" s="67" t="n">
        <f aca="false">(1+Opex_Esc)^P295</f>
        <v>1.025</v>
      </c>
      <c r="Q310" s="67" t="n">
        <f aca="false">(1+Opex_Esc)^Q295</f>
        <v>1.050625</v>
      </c>
      <c r="R310" s="67" t="n">
        <f aca="false">(1+Opex_Esc)^R295</f>
        <v>1.076890625</v>
      </c>
      <c r="S310" s="67" t="n">
        <f aca="false">(1+Opex_Esc)^S295</f>
        <v>1.103812890625</v>
      </c>
      <c r="T310" s="67" t="n">
        <f aca="false">(1+Opex_Esc)^T295</f>
        <v>1.13140821289062</v>
      </c>
      <c r="U310" s="67" t="n">
        <f aca="false">(1+Opex_Esc)^U295</f>
        <v>1.15969341821289</v>
      </c>
      <c r="V310" s="67" t="n">
        <f aca="false">(1+Opex_Esc)^V295</f>
        <v>1.18868575366821</v>
      </c>
      <c r="W310" s="67" t="n">
        <f aca="false">(1+Opex_Esc)^W295</f>
        <v>1.21840289750992</v>
      </c>
      <c r="X310" s="67" t="n">
        <f aca="false">(1+Opex_Esc)^X295</f>
        <v>1.24886296994767</v>
      </c>
      <c r="Y310" s="67" t="n">
        <f aca="false">(1+Opex_Esc)^Y295</f>
        <v>1.28008454419636</v>
      </c>
      <c r="Z310" s="67" t="n">
        <f aca="false">(1+Opex_Esc)^Z295</f>
        <v>1.31208665780127</v>
      </c>
      <c r="AA310" s="67" t="n">
        <f aca="false">(1+Opex_Esc)^AA295</f>
        <v>1.3448888242463</v>
      </c>
      <c r="AB310" s="67" t="n">
        <f aca="false">(1+Opex_Esc)^AB295</f>
        <v>1.37851104485245</v>
      </c>
      <c r="AC310" s="67" t="n">
        <f aca="false">(1+Opex_Esc)^AC295</f>
        <v>1.41297382097377</v>
      </c>
      <c r="AD310" s="67" t="n">
        <f aca="false">(1+Opex_Esc)^AD295</f>
        <v>1.44829816649811</v>
      </c>
      <c r="AE310" s="67" t="n">
        <f aca="false">(1+Opex_Esc)^AE295</f>
        <v>1.48450562066056</v>
      </c>
      <c r="AF310" s="67" t="n">
        <f aca="false">(1+Opex_Esc)^AF295</f>
        <v>1.52161826117708</v>
      </c>
      <c r="AG310" s="67" t="n">
        <f aca="false">(1+Opex_Esc)^AG295</f>
        <v>1.5596587177065</v>
      </c>
      <c r="AH310" s="67" t="n">
        <f aca="false">(1+Opex_Esc)^AH295</f>
        <v>1.59865018564917</v>
      </c>
      <c r="AI310" s="67" t="n">
        <f aca="false">(1+Opex_Esc)^AI295</f>
        <v>1.63861644029039</v>
      </c>
      <c r="AJ310" s="67" t="n">
        <f aca="false">(1+Opex_Esc)^AJ295</f>
        <v>1.67958185129765</v>
      </c>
      <c r="AK310" s="67" t="n">
        <f aca="false">(1+Opex_Esc)^AK295</f>
        <v>1.7215713975801</v>
      </c>
      <c r="AL310" s="67" t="n">
        <f aca="false">(1+Opex_Esc)^AL295</f>
        <v>1.7646106825196</v>
      </c>
      <c r="AM310" s="67" t="n">
        <f aca="false">(1+Opex_Esc)^AM295</f>
        <v>1.80872594958259</v>
      </c>
      <c r="AN310" s="67" t="n">
        <f aca="false">(1+Opex_Esc)^AN295</f>
        <v>1.85394409832215</v>
      </c>
      <c r="AO310" s="67" t="n">
        <f aca="false">(1+Opex_Esc)^AO295</f>
        <v>1.90029270078021</v>
      </c>
      <c r="AP310" s="67" t="n">
        <f aca="false">(1+Opex_Esc)^AP295</f>
        <v>1.94780001829971</v>
      </c>
      <c r="AQ310" s="67" t="n">
        <f aca="false">(1+Opex_Esc)^AQ295</f>
        <v>1.9964950187572</v>
      </c>
      <c r="AR310" s="67" t="n">
        <f aca="false">(1+Opex_Esc)^AR295</f>
        <v>2.04640739422613</v>
      </c>
      <c r="AS310" s="67" t="n">
        <f aca="false">(1+Opex_Esc)^AS295</f>
        <v>2.09756757908179</v>
      </c>
    </row>
    <row r="311" customFormat="false" ht="14.25" hidden="false" customHeight="false" outlineLevel="0" collapsed="false">
      <c r="C311" s="6" t="s">
        <v>264</v>
      </c>
      <c r="D311" s="2" t="s">
        <v>85</v>
      </c>
      <c r="H311" s="8" t="n">
        <f aca="false">SUM(J311:AS311)</f>
        <v>-55564.3586910156</v>
      </c>
      <c r="J311" s="8" t="n">
        <f aca="false">-(Case_OM+SUM(Opex_Per_MW))*$E$46*J310*J299</f>
        <v>-0</v>
      </c>
      <c r="K311" s="8" t="n">
        <f aca="false">-(Case_OM+SUM(Opex_Per_MW))*$E$46*K310*K299</f>
        <v>-0</v>
      </c>
      <c r="L311" s="8" t="n">
        <f aca="false">-(Case_OM+SUM(Opex_Per_MW))*$E$46*L310*L299</f>
        <v>-0</v>
      </c>
      <c r="M311" s="8" t="n">
        <f aca="false">-(Case_OM+SUM(Opex_Per_MW))*$E$46*M310*M299</f>
        <v>-0</v>
      </c>
      <c r="N311" s="8" t="n">
        <f aca="false">-(Case_OM+SUM(Opex_Per_MW))*$E$46*N310*N299</f>
        <v>-0</v>
      </c>
      <c r="O311" s="8" t="n">
        <f aca="false">-(Case_OM+SUM(Opex_Per_MW))*$E$46*O310*O299</f>
        <v>-625</v>
      </c>
      <c r="P311" s="8" t="n">
        <f aca="false">-(Case_OM+SUM(Opex_Per_MW))*$E$46*P310*P299</f>
        <v>-1281.25</v>
      </c>
      <c r="Q311" s="8" t="n">
        <f aca="false">-(Case_OM+SUM(Opex_Per_MW))*$E$46*Q310*Q299</f>
        <v>-1313.28125</v>
      </c>
      <c r="R311" s="8" t="n">
        <f aca="false">-(Case_OM+SUM(Opex_Per_MW))*$E$46*R310*R299</f>
        <v>-1346.11328125</v>
      </c>
      <c r="S311" s="8" t="n">
        <f aca="false">-(Case_OM+SUM(Opex_Per_MW))*$E$46*S310*S299</f>
        <v>-1379.76611328125</v>
      </c>
      <c r="T311" s="8" t="n">
        <f aca="false">-(Case_OM+SUM(Opex_Per_MW))*$E$46*T310*T299</f>
        <v>-1414.26026611328</v>
      </c>
      <c r="U311" s="8" t="n">
        <f aca="false">-(Case_OM+SUM(Opex_Per_MW))*$E$46*U310*U299</f>
        <v>-1449.61677276611</v>
      </c>
      <c r="V311" s="8" t="n">
        <f aca="false">-(Case_OM+SUM(Opex_Per_MW))*$E$46*V310*V299</f>
        <v>-1485.85719208527</v>
      </c>
      <c r="W311" s="8" t="n">
        <f aca="false">-(Case_OM+SUM(Opex_Per_MW))*$E$46*W310*W299</f>
        <v>-1523.0036218874</v>
      </c>
      <c r="X311" s="8" t="n">
        <f aca="false">-(Case_OM+SUM(Opex_Per_MW))*$E$46*X310*X299</f>
        <v>-1561.07871243458</v>
      </c>
      <c r="Y311" s="8" t="n">
        <f aca="false">-(Case_OM+SUM(Opex_Per_MW))*$E$46*Y310*Y299</f>
        <v>-1600.10568024545</v>
      </c>
      <c r="Z311" s="8" t="n">
        <f aca="false">-(Case_OM+SUM(Opex_Per_MW))*$E$46*Z310*Z299</f>
        <v>-1640.10832225158</v>
      </c>
      <c r="AA311" s="8" t="n">
        <f aca="false">-(Case_OM+SUM(Opex_Per_MW))*$E$46*AA310*AA299</f>
        <v>-1681.11103030787</v>
      </c>
      <c r="AB311" s="8" t="n">
        <f aca="false">-(Case_OM+SUM(Opex_Per_MW))*$E$46*AB310*AB299</f>
        <v>-1723.13880606557</v>
      </c>
      <c r="AC311" s="8" t="n">
        <f aca="false">-(Case_OM+SUM(Opex_Per_MW))*$E$46*AC310*AC299</f>
        <v>-1766.21727621721</v>
      </c>
      <c r="AD311" s="8" t="n">
        <f aca="false">-(Case_OM+SUM(Opex_Per_MW))*$E$46*AD310*AD299</f>
        <v>-1810.37270812264</v>
      </c>
      <c r="AE311" s="8" t="n">
        <f aca="false">-(Case_OM+SUM(Opex_Per_MW))*$E$46*AE310*AE299</f>
        <v>-1855.6320258257</v>
      </c>
      <c r="AF311" s="8" t="n">
        <f aca="false">-(Case_OM+SUM(Opex_Per_MW))*$E$46*AF310*AF299</f>
        <v>-1902.02282647135</v>
      </c>
      <c r="AG311" s="8" t="n">
        <f aca="false">-(Case_OM+SUM(Opex_Per_MW))*$E$46*AG310*AG299</f>
        <v>-1949.57339713313</v>
      </c>
      <c r="AH311" s="8" t="n">
        <f aca="false">-(Case_OM+SUM(Opex_Per_MW))*$E$46*AH310*AH299</f>
        <v>-1998.31273206146</v>
      </c>
      <c r="AI311" s="8" t="n">
        <f aca="false">-(Case_OM+SUM(Opex_Per_MW))*$E$46*AI310*AI299</f>
        <v>-2048.27055036299</v>
      </c>
      <c r="AJ311" s="8" t="n">
        <f aca="false">-(Case_OM+SUM(Opex_Per_MW))*$E$46*AJ310*AJ299</f>
        <v>-2099.47731412207</v>
      </c>
      <c r="AK311" s="8" t="n">
        <f aca="false">-(Case_OM+SUM(Opex_Per_MW))*$E$46*AK310*AK299</f>
        <v>-2151.96424697512</v>
      </c>
      <c r="AL311" s="8" t="n">
        <f aca="false">-(Case_OM+SUM(Opex_Per_MW))*$E$46*AL310*AL299</f>
        <v>-2205.7633531495</v>
      </c>
      <c r="AM311" s="8" t="n">
        <f aca="false">-(Case_OM+SUM(Opex_Per_MW))*$E$46*AM310*AM299</f>
        <v>-2260.90743697823</v>
      </c>
      <c r="AN311" s="8" t="n">
        <f aca="false">-(Case_OM+SUM(Opex_Per_MW))*$E$46*AN310*AN299</f>
        <v>-2317.43012290269</v>
      </c>
      <c r="AO311" s="8" t="n">
        <f aca="false">-(Case_OM+SUM(Opex_Per_MW))*$E$46*AO310*AO299</f>
        <v>-2375.36587597526</v>
      </c>
      <c r="AP311" s="8" t="n">
        <f aca="false">-(Case_OM+SUM(Opex_Per_MW))*$E$46*AP310*AP299</f>
        <v>-2434.75002287464</v>
      </c>
      <c r="AQ311" s="8" t="n">
        <f aca="false">-(Case_OM+SUM(Opex_Per_MW))*$E$46*AQ310*AQ299</f>
        <v>-2495.6187734465</v>
      </c>
      <c r="AR311" s="8" t="n">
        <f aca="false">-(Case_OM+SUM(Opex_Per_MW))*$E$46*AR310*AR299</f>
        <v>-2558.00924278267</v>
      </c>
      <c r="AS311" s="8" t="n">
        <f aca="false">-(Case_OM+SUM(Opex_Per_MW))*$E$46*AS310*AS299</f>
        <v>-1310.97973692612</v>
      </c>
    </row>
    <row r="312" customFormat="false" ht="14.25" hidden="false" customHeight="false" outlineLevel="0" collapsed="false">
      <c r="C312" s="6" t="s">
        <v>265</v>
      </c>
      <c r="D312" s="2" t="s">
        <v>85</v>
      </c>
      <c r="H312" s="8" t="n">
        <f aca="false">SUM(J312:AS312)</f>
        <v>-1666.93076073047</v>
      </c>
      <c r="J312" s="8" t="n">
        <f aca="false">-Opex_Admin*$E$6/Lump_Basis*J310*J299</f>
        <v>-0</v>
      </c>
      <c r="K312" s="8" t="n">
        <f aca="false">-Opex_Admin*$E$6/Lump_Basis*K310*K299</f>
        <v>-0</v>
      </c>
      <c r="L312" s="8" t="n">
        <f aca="false">-Opex_Admin*$E$6/Lump_Basis*L310*L299</f>
        <v>-0</v>
      </c>
      <c r="M312" s="8" t="n">
        <f aca="false">-Opex_Admin*$E$6/Lump_Basis*M310*M299</f>
        <v>-0</v>
      </c>
      <c r="N312" s="8" t="n">
        <f aca="false">-Opex_Admin*$E$6/Lump_Basis*N310*N299</f>
        <v>-0</v>
      </c>
      <c r="O312" s="8" t="n">
        <f aca="false">-Opex_Admin*$E$6/Lump_Basis*O310*O299</f>
        <v>-18.75</v>
      </c>
      <c r="P312" s="8" t="n">
        <f aca="false">-Opex_Admin*$E$6/Lump_Basis*P310*P299</f>
        <v>-38.4375</v>
      </c>
      <c r="Q312" s="8" t="n">
        <f aca="false">-Opex_Admin*$E$6/Lump_Basis*Q310*Q299</f>
        <v>-39.3984375</v>
      </c>
      <c r="R312" s="8" t="n">
        <f aca="false">-Opex_Admin*$E$6/Lump_Basis*R310*R299</f>
        <v>-40.3833984375</v>
      </c>
      <c r="S312" s="8" t="n">
        <f aca="false">-Opex_Admin*$E$6/Lump_Basis*S310*S299</f>
        <v>-41.3929833984375</v>
      </c>
      <c r="T312" s="8" t="n">
        <f aca="false">-Opex_Admin*$E$6/Lump_Basis*T310*T299</f>
        <v>-42.4278079833984</v>
      </c>
      <c r="U312" s="8" t="n">
        <f aca="false">-Opex_Admin*$E$6/Lump_Basis*U310*U299</f>
        <v>-43.4885031829834</v>
      </c>
      <c r="V312" s="8" t="n">
        <f aca="false">-Opex_Admin*$E$6/Lump_Basis*V310*V299</f>
        <v>-44.575715762558</v>
      </c>
      <c r="W312" s="8" t="n">
        <f aca="false">-Opex_Admin*$E$6/Lump_Basis*W310*W299</f>
        <v>-45.6901086566219</v>
      </c>
      <c r="X312" s="8" t="n">
        <f aca="false">-Opex_Admin*$E$6/Lump_Basis*X310*X299</f>
        <v>-46.8323613730374</v>
      </c>
      <c r="Y312" s="8" t="n">
        <f aca="false">-Opex_Admin*$E$6/Lump_Basis*Y310*Y299</f>
        <v>-48.0031704073634</v>
      </c>
      <c r="Z312" s="8" t="n">
        <f aca="false">-Opex_Admin*$E$6/Lump_Basis*Z310*Z299</f>
        <v>-49.2032496675475</v>
      </c>
      <c r="AA312" s="8" t="n">
        <f aca="false">-Opex_Admin*$E$6/Lump_Basis*AA310*AA299</f>
        <v>-50.4333309092361</v>
      </c>
      <c r="AB312" s="8" t="n">
        <f aca="false">-Opex_Admin*$E$6/Lump_Basis*AB310*AB299</f>
        <v>-51.694164181967</v>
      </c>
      <c r="AC312" s="8" t="n">
        <f aca="false">-Opex_Admin*$E$6/Lump_Basis*AC310*AC299</f>
        <v>-52.9865182865162</v>
      </c>
      <c r="AD312" s="8" t="n">
        <f aca="false">-Opex_Admin*$E$6/Lump_Basis*AD310*AD299</f>
        <v>-54.3111812436791</v>
      </c>
      <c r="AE312" s="8" t="n">
        <f aca="false">-Opex_Admin*$E$6/Lump_Basis*AE310*AE299</f>
        <v>-55.6689607747711</v>
      </c>
      <c r="AF312" s="8" t="n">
        <f aca="false">-Opex_Admin*$E$6/Lump_Basis*AF310*AF299</f>
        <v>-57.0606847941404</v>
      </c>
      <c r="AG312" s="8" t="n">
        <f aca="false">-Opex_Admin*$E$6/Lump_Basis*AG310*AG299</f>
        <v>-58.4872019139939</v>
      </c>
      <c r="AH312" s="8" t="n">
        <f aca="false">-Opex_Admin*$E$6/Lump_Basis*AH310*AH299</f>
        <v>-59.9493819618437</v>
      </c>
      <c r="AI312" s="8" t="n">
        <f aca="false">-Opex_Admin*$E$6/Lump_Basis*AI310*AI299</f>
        <v>-61.4481165108898</v>
      </c>
      <c r="AJ312" s="8" t="n">
        <f aca="false">-Opex_Admin*$E$6/Lump_Basis*AJ310*AJ299</f>
        <v>-62.984319423662</v>
      </c>
      <c r="AK312" s="8" t="n">
        <f aca="false">-Opex_Admin*$E$6/Lump_Basis*AK310*AK299</f>
        <v>-64.5589274092536</v>
      </c>
      <c r="AL312" s="8" t="n">
        <f aca="false">-Opex_Admin*$E$6/Lump_Basis*AL310*AL299</f>
        <v>-66.1729005944849</v>
      </c>
      <c r="AM312" s="8" t="n">
        <f aca="false">-Opex_Admin*$E$6/Lump_Basis*AM310*AM299</f>
        <v>-67.827223109347</v>
      </c>
      <c r="AN312" s="8" t="n">
        <f aca="false">-Opex_Admin*$E$6/Lump_Basis*AN310*AN299</f>
        <v>-69.5229036870807</v>
      </c>
      <c r="AO312" s="8" t="n">
        <f aca="false">-Opex_Admin*$E$6/Lump_Basis*AO310*AO299</f>
        <v>-71.2609762792577</v>
      </c>
      <c r="AP312" s="8" t="n">
        <f aca="false">-Opex_Admin*$E$6/Lump_Basis*AP310*AP299</f>
        <v>-73.0425006862391</v>
      </c>
      <c r="AQ312" s="8" t="n">
        <f aca="false">-Opex_Admin*$E$6/Lump_Basis*AQ310*AQ299</f>
        <v>-74.8685632033951</v>
      </c>
      <c r="AR312" s="8" t="n">
        <f aca="false">-Opex_Admin*$E$6/Lump_Basis*AR310*AR299</f>
        <v>-76.74027728348</v>
      </c>
      <c r="AS312" s="8" t="n">
        <f aca="false">-Opex_Admin*$E$6/Lump_Basis*AS310*AS299</f>
        <v>-39.3293921077835</v>
      </c>
    </row>
    <row r="313" customFormat="false" ht="14.25" hidden="false" customHeight="false" outlineLevel="0" collapsed="false">
      <c r="C313" s="6" t="s">
        <v>266</v>
      </c>
      <c r="D313" s="2" t="s">
        <v>85</v>
      </c>
      <c r="H313" s="8" t="n">
        <f aca="false">SUM(J313:AS313)</f>
        <v>-24930.103069274</v>
      </c>
      <c r="J313" s="8" t="n">
        <f aca="false">-J307*(Balancing+Grid_Charges)*J310</f>
        <v>-0</v>
      </c>
      <c r="K313" s="8" t="n">
        <f aca="false">-K307*(Balancing+Grid_Charges)*K310</f>
        <v>-0</v>
      </c>
      <c r="L313" s="8" t="n">
        <f aca="false">-L307*(Balancing+Grid_Charges)*L310</f>
        <v>-0</v>
      </c>
      <c r="M313" s="8" t="n">
        <f aca="false">-M307*(Balancing+Grid_Charges)*M310</f>
        <v>-0</v>
      </c>
      <c r="N313" s="8" t="n">
        <f aca="false">-N307*(Balancing+Grid_Charges)*N310</f>
        <v>-0</v>
      </c>
      <c r="O313" s="8" t="n">
        <f aca="false">-O307*(Balancing+Grid_Charges)*O310</f>
        <v>-294</v>
      </c>
      <c r="P313" s="8" t="n">
        <f aca="false">-P307*(Balancing+Grid_Charges)*P310</f>
        <v>-602.7</v>
      </c>
      <c r="Q313" s="8" t="n">
        <f aca="false">-Q307*(Balancing+Grid_Charges)*Q310</f>
        <v>-615.9141975</v>
      </c>
      <c r="R313" s="8" t="n">
        <f aca="false">-R307*(Balancing+Grid_Charges)*R310</f>
        <v>-629.418116280187</v>
      </c>
      <c r="S313" s="8" t="n">
        <f aca="false">-S307*(Balancing+Grid_Charges)*S310</f>
        <v>-643.21810847963</v>
      </c>
      <c r="T313" s="8" t="n">
        <f aca="false">-T307*(Balancing+Grid_Charges)*T310</f>
        <v>-657.320665508046</v>
      </c>
      <c r="U313" s="8" t="n">
        <f aca="false">-U307*(Balancing+Grid_Charges)*U310</f>
        <v>-671.73242109931</v>
      </c>
      <c r="V313" s="8" t="n">
        <f aca="false">-V307*(Balancing+Grid_Charges)*V310</f>
        <v>-686.460154431913</v>
      </c>
      <c r="W313" s="8" t="n">
        <f aca="false">-W307*(Balancing+Grid_Charges)*W310</f>
        <v>-701.510793317832</v>
      </c>
      <c r="X313" s="8" t="n">
        <f aca="false">-X307*(Balancing+Grid_Charges)*X310</f>
        <v>-716.891417461325</v>
      </c>
      <c r="Y313" s="8" t="n">
        <f aca="false">-Y307*(Balancing+Grid_Charges)*Y310</f>
        <v>-732.609261789165</v>
      </c>
      <c r="Z313" s="8" t="n">
        <f aca="false">-Z307*(Balancing+Grid_Charges)*Z310</f>
        <v>-748.671719853892</v>
      </c>
      <c r="AA313" s="8" t="n">
        <f aca="false">-AA307*(Balancing+Grid_Charges)*AA310</f>
        <v>-765.086347311689</v>
      </c>
      <c r="AB313" s="8" t="n">
        <f aca="false">-AB307*(Balancing+Grid_Charges)*AB310</f>
        <v>-781.860865476497</v>
      </c>
      <c r="AC313" s="8" t="n">
        <f aca="false">-AC307*(Balancing+Grid_Charges)*AC310</f>
        <v>-799.00316495207</v>
      </c>
      <c r="AD313" s="8" t="n">
        <f aca="false">-AD307*(Balancing+Grid_Charges)*AD310</f>
        <v>-816.521309343644</v>
      </c>
      <c r="AE313" s="8" t="n">
        <f aca="false">-AE307*(Balancing+Grid_Charges)*AE310</f>
        <v>-834.423539051003</v>
      </c>
      <c r="AF313" s="8" t="n">
        <f aca="false">-AF307*(Balancing+Grid_Charges)*AF310</f>
        <v>-852.718275144696</v>
      </c>
      <c r="AG313" s="8" t="n">
        <f aca="false">-AG307*(Balancing+Grid_Charges)*AG310</f>
        <v>-871.414123327244</v>
      </c>
      <c r="AH313" s="8" t="n">
        <f aca="false">-AH307*(Balancing+Grid_Charges)*AH310</f>
        <v>-890.519877981193</v>
      </c>
      <c r="AI313" s="8" t="n">
        <f aca="false">-AI307*(Balancing+Grid_Charges)*AI310</f>
        <v>-910.044526305931</v>
      </c>
      <c r="AJ313" s="8" t="n">
        <f aca="false">-AJ307*(Balancing+Grid_Charges)*AJ310</f>
        <v>-929.997252545188</v>
      </c>
      <c r="AK313" s="8" t="n">
        <f aca="false">-AK307*(Balancing+Grid_Charges)*AK310</f>
        <v>-950.387442307242</v>
      </c>
      <c r="AL313" s="8" t="n">
        <f aca="false">-AL307*(Balancing+Grid_Charges)*AL310</f>
        <v>-971.224686979828</v>
      </c>
      <c r="AM313" s="8" t="n">
        <f aca="false">-AM307*(Balancing+Grid_Charges)*AM310</f>
        <v>-992.51878824186</v>
      </c>
      <c r="AN313" s="8" t="n">
        <f aca="false">-AN307*(Balancing+Grid_Charges)*AN310</f>
        <v>-1014.27976267406</v>
      </c>
      <c r="AO313" s="8" t="n">
        <f aca="false">-AO307*(Balancing+Grid_Charges)*AO310</f>
        <v>-1036.51784647069</v>
      </c>
      <c r="AP313" s="8" t="n">
        <f aca="false">-AP307*(Balancing+Grid_Charges)*AP310</f>
        <v>-1059.24350025456</v>
      </c>
      <c r="AQ313" s="8" t="n">
        <f aca="false">-AQ307*(Balancing+Grid_Charges)*AQ310</f>
        <v>-1082.46741399764</v>
      </c>
      <c r="AR313" s="8" t="n">
        <f aca="false">-AR307*(Balancing+Grid_Charges)*AR310</f>
        <v>-1106.20051204954</v>
      </c>
      <c r="AS313" s="8" t="n">
        <f aca="false">-AS307*(Balancing+Grid_Charges)*AS310</f>
        <v>-565.226979138113</v>
      </c>
    </row>
    <row r="314" customFormat="false" ht="14.25" hidden="false" customHeight="false" outlineLevel="0" collapsed="false">
      <c r="C314" s="6" t="s">
        <v>267</v>
      </c>
      <c r="D314" s="2" t="s">
        <v>85</v>
      </c>
      <c r="H314" s="8" t="n">
        <f aca="false">SUM(J314:AS314)</f>
        <v>-354.071972801154</v>
      </c>
      <c r="J314" s="8" t="n">
        <f aca="false">-J309*MEKH_Fee</f>
        <v>-0</v>
      </c>
      <c r="K314" s="8" t="n">
        <f aca="false">-K309*MEKH_Fee</f>
        <v>-0</v>
      </c>
      <c r="L314" s="8" t="n">
        <f aca="false">-L309*MEKH_Fee</f>
        <v>-0</v>
      </c>
      <c r="M314" s="8" t="n">
        <f aca="false">-M309*MEKH_Fee</f>
        <v>-0</v>
      </c>
      <c r="N314" s="8" t="n">
        <f aca="false">-N309*MEKH_Fee</f>
        <v>-0</v>
      </c>
      <c r="O314" s="8" t="n">
        <f aca="false">-O309*MEKH_Fee</f>
        <v>-5.292</v>
      </c>
      <c r="P314" s="8" t="n">
        <f aca="false">-P309*MEKH_Fee</f>
        <v>-10.68984</v>
      </c>
      <c r="Q314" s="8" t="n">
        <f aca="false">-Q309*MEKH_Fee</f>
        <v>-10.7643481848</v>
      </c>
      <c r="R314" s="8" t="n">
        <f aca="false">-R309*MEKH_Fee</f>
        <v>-10.8393756916481</v>
      </c>
      <c r="S314" s="8" t="n">
        <f aca="false">-S309*MEKH_Fee</f>
        <v>-10.9149261402188</v>
      </c>
      <c r="T314" s="8" t="n">
        <f aca="false">-T309*MEKH_Fee</f>
        <v>-10.9910031754162</v>
      </c>
      <c r="U314" s="8" t="n">
        <f aca="false">-U309*MEKH_Fee</f>
        <v>-11.0676104675488</v>
      </c>
      <c r="V314" s="8" t="n">
        <f aca="false">-V309*MEKH_Fee</f>
        <v>-11.1447517125076</v>
      </c>
      <c r="W314" s="8" t="n">
        <f aca="false">-W309*MEKH_Fee</f>
        <v>-11.2224306319438</v>
      </c>
      <c r="X314" s="8" t="n">
        <f aca="false">-X309*MEKH_Fee</f>
        <v>-11.3006509734485</v>
      </c>
      <c r="Y314" s="8" t="n">
        <f aca="false">-Y309*MEKH_Fee</f>
        <v>-11.3794165107334</v>
      </c>
      <c r="Z314" s="8" t="n">
        <f aca="false">-Z309*MEKH_Fee</f>
        <v>-11.4587310438132</v>
      </c>
      <c r="AA314" s="8" t="n">
        <f aca="false">-AA309*MEKH_Fee</f>
        <v>-11.5385983991886</v>
      </c>
      <c r="AB314" s="8" t="n">
        <f aca="false">-AB309*MEKH_Fee</f>
        <v>-11.6190224300309</v>
      </c>
      <c r="AC314" s="8" t="n">
        <f aca="false">-AC309*MEKH_Fee</f>
        <v>-11.7000070163682</v>
      </c>
      <c r="AD314" s="8" t="n">
        <f aca="false">-AD309*MEKH_Fee</f>
        <v>-11.7815560652723</v>
      </c>
      <c r="AE314" s="8" t="n">
        <f aca="false">-AE309*MEKH_Fee</f>
        <v>-11.8636735110473</v>
      </c>
      <c r="AF314" s="8" t="n">
        <f aca="false">-AF309*MEKH_Fee</f>
        <v>-11.9463633154193</v>
      </c>
      <c r="AG314" s="8" t="n">
        <f aca="false">-AG309*MEKH_Fee</f>
        <v>-12.0296294677278</v>
      </c>
      <c r="AH314" s="8" t="n">
        <f aca="false">-AH309*MEKH_Fee</f>
        <v>-12.1134759851178</v>
      </c>
      <c r="AI314" s="8" t="n">
        <f aca="false">-AI309*MEKH_Fee</f>
        <v>-12.1979069127341</v>
      </c>
      <c r="AJ314" s="8" t="n">
        <f aca="false">-AJ309*MEKH_Fee</f>
        <v>-12.2829263239158</v>
      </c>
      <c r="AK314" s="8" t="n">
        <f aca="false">-AK309*MEKH_Fee</f>
        <v>-12.3685383203935</v>
      </c>
      <c r="AL314" s="8" t="n">
        <f aca="false">-AL309*MEKH_Fee</f>
        <v>-12.4547470324867</v>
      </c>
      <c r="AM314" s="8" t="n">
        <f aca="false">-AM309*MEKH_Fee</f>
        <v>-12.5415566193031</v>
      </c>
      <c r="AN314" s="8" t="n">
        <f aca="false">-AN309*MEKH_Fee</f>
        <v>-12.6289712689397</v>
      </c>
      <c r="AO314" s="8" t="n">
        <f aca="false">-AO309*MEKH_Fee</f>
        <v>-12.7169951986842</v>
      </c>
      <c r="AP314" s="8" t="n">
        <f aca="false">-AP309*MEKH_Fee</f>
        <v>-12.805632655219</v>
      </c>
      <c r="AQ314" s="8" t="n">
        <f aca="false">-AQ309*MEKH_Fee</f>
        <v>-12.8948879148259</v>
      </c>
      <c r="AR314" s="8" t="n">
        <f aca="false">-AR309*MEKH_Fee</f>
        <v>-12.9847652835922</v>
      </c>
      <c r="AS314" s="8" t="n">
        <f aca="false">-AS309*MEKH_Fee</f>
        <v>-6.53763454880942</v>
      </c>
    </row>
    <row r="315" customFormat="false" ht="14.25" hidden="false" customHeight="false" outlineLevel="0" collapsed="false">
      <c r="C315" s="6" t="s">
        <v>268</v>
      </c>
      <c r="D315" s="2" t="s">
        <v>85</v>
      </c>
      <c r="H315" s="8" t="n">
        <f aca="false">SUM(J315:AS315)</f>
        <v>-4125.77322469106</v>
      </c>
      <c r="J315" s="8" t="n">
        <f aca="false">SUM(J311:J314)*Opex_Cont</f>
        <v>0</v>
      </c>
      <c r="K315" s="8" t="n">
        <f aca="false">SUM(K311:K314)*Opex_Cont</f>
        <v>0</v>
      </c>
      <c r="L315" s="8" t="n">
        <f aca="false">SUM(L311:L314)*Opex_Cont</f>
        <v>0</v>
      </c>
      <c r="M315" s="8" t="n">
        <f aca="false">SUM(M311:M314)*Opex_Cont</f>
        <v>0</v>
      </c>
      <c r="N315" s="8" t="n">
        <f aca="false">SUM(N311:N314)*Opex_Cont</f>
        <v>0</v>
      </c>
      <c r="O315" s="8" t="n">
        <f aca="false">SUM(O311:O314)*Opex_Cont</f>
        <v>-47.1521</v>
      </c>
      <c r="P315" s="8" t="n">
        <f aca="false">SUM(P311:P314)*Opex_Cont</f>
        <v>-96.653867</v>
      </c>
      <c r="Q315" s="8" t="n">
        <f aca="false">SUM(Q311:Q314)*Opex_Cont</f>
        <v>-98.96791165924</v>
      </c>
      <c r="R315" s="8" t="n">
        <f aca="false">SUM(R311:R314)*Opex_Cont</f>
        <v>-101.337708582967</v>
      </c>
      <c r="S315" s="8" t="n">
        <f aca="false">SUM(S311:S314)*Opex_Cont</f>
        <v>-103.764606564977</v>
      </c>
      <c r="T315" s="8" t="n">
        <f aca="false">SUM(T311:T314)*Opex_Cont</f>
        <v>-106.249987139007</v>
      </c>
      <c r="U315" s="8" t="n">
        <f aca="false">SUM(U311:U314)*Opex_Cont</f>
        <v>-108.795265375798</v>
      </c>
      <c r="V315" s="8" t="n">
        <f aca="false">SUM(V311:V314)*Opex_Cont</f>
        <v>-111.401890699612</v>
      </c>
      <c r="W315" s="8" t="n">
        <f aca="false">SUM(W311:W314)*Opex_Cont</f>
        <v>-114.07134772469</v>
      </c>
      <c r="X315" s="8" t="n">
        <f aca="false">SUM(X311:X314)*Opex_Cont</f>
        <v>-116.80515711212</v>
      </c>
      <c r="Y315" s="8" t="n">
        <f aca="false">SUM(Y311:Y314)*Opex_Cont</f>
        <v>-119.604876447635</v>
      </c>
      <c r="Z315" s="8" t="n">
        <f aca="false">SUM(Z311:Z314)*Opex_Cont</f>
        <v>-122.472101140842</v>
      </c>
      <c r="AA315" s="8" t="n">
        <f aca="false">SUM(AA311:AA314)*Opex_Cont</f>
        <v>-125.408465346399</v>
      </c>
      <c r="AB315" s="8" t="n">
        <f aca="false">SUM(AB311:AB314)*Opex_Cont</f>
        <v>-128.415642907703</v>
      </c>
      <c r="AC315" s="8" t="n">
        <f aca="false">SUM(AC311:AC314)*Opex_Cont</f>
        <v>-131.495348323608</v>
      </c>
      <c r="AD315" s="8" t="n">
        <f aca="false">SUM(AD311:AD314)*Opex_Cont</f>
        <v>-134.649337738762</v>
      </c>
      <c r="AE315" s="8" t="n">
        <f aca="false">SUM(AE311:AE314)*Opex_Cont</f>
        <v>-137.879409958126</v>
      </c>
      <c r="AF315" s="8" t="n">
        <f aca="false">SUM(AF311:AF314)*Opex_Cont</f>
        <v>-141.18740748628</v>
      </c>
      <c r="AG315" s="8" t="n">
        <f aca="false">SUM(AG311:AG314)*Opex_Cont</f>
        <v>-144.575217592105</v>
      </c>
      <c r="AH315" s="8" t="n">
        <f aca="false">SUM(AH311:AH314)*Opex_Cont</f>
        <v>-148.044773399481</v>
      </c>
      <c r="AI315" s="8" t="n">
        <f aca="false">SUM(AI311:AI314)*Opex_Cont</f>
        <v>-151.598055004627</v>
      </c>
      <c r="AJ315" s="8" t="n">
        <f aca="false">SUM(AJ311:AJ314)*Opex_Cont</f>
        <v>-155.237090620742</v>
      </c>
      <c r="AK315" s="8" t="n">
        <f aca="false">SUM(AK311:AK314)*Opex_Cont</f>
        <v>-158.9639577506</v>
      </c>
      <c r="AL315" s="8" t="n">
        <f aca="false">SUM(AL311:AL314)*Opex_Cont</f>
        <v>-162.780784387815</v>
      </c>
      <c r="AM315" s="8" t="n">
        <f aca="false">SUM(AM311:AM314)*Opex_Cont</f>
        <v>-166.689750247437</v>
      </c>
      <c r="AN315" s="8" t="n">
        <f aca="false">SUM(AN311:AN314)*Opex_Cont</f>
        <v>-170.693088026639</v>
      </c>
      <c r="AO315" s="8" t="n">
        <f aca="false">SUM(AO311:AO314)*Opex_Cont</f>
        <v>-174.793084696195</v>
      </c>
      <c r="AP315" s="8" t="n">
        <f aca="false">SUM(AP311:AP314)*Opex_Cont</f>
        <v>-178.992082823533</v>
      </c>
      <c r="AQ315" s="8" t="n">
        <f aca="false">SUM(AQ311:AQ314)*Opex_Cont</f>
        <v>-183.292481928118</v>
      </c>
      <c r="AR315" s="8" t="n">
        <f aca="false">SUM(AR311:AR314)*Opex_Cont</f>
        <v>-187.696739869964</v>
      </c>
      <c r="AS315" s="8" t="n">
        <f aca="false">SUM(AS311:AS314)*Opex_Cont</f>
        <v>-96.1036871360411</v>
      </c>
    </row>
    <row r="316" customFormat="false" ht="14.25" hidden="false" customHeight="false" outlineLevel="0" collapsed="false">
      <c r="C316" s="6" t="s">
        <v>269</v>
      </c>
      <c r="D316" s="2" t="s">
        <v>85</v>
      </c>
      <c r="H316" s="8" t="n">
        <f aca="false">SUM(J316:AS316)</f>
        <v>0</v>
      </c>
      <c r="J316" s="8" t="n">
        <f aca="false">-J307*$E$12</f>
        <v>-0</v>
      </c>
      <c r="K316" s="8" t="n">
        <f aca="false">-K307*$E$12</f>
        <v>-0</v>
      </c>
      <c r="L316" s="8" t="n">
        <f aca="false">-L307*$E$12</f>
        <v>-0</v>
      </c>
      <c r="M316" s="8" t="n">
        <f aca="false">-M307*$E$12</f>
        <v>-0</v>
      </c>
      <c r="N316" s="8" t="n">
        <f aca="false">-N307*$E$12</f>
        <v>-0</v>
      </c>
      <c r="O316" s="8" t="n">
        <f aca="false">-O307*$E$12</f>
        <v>-0</v>
      </c>
      <c r="P316" s="8" t="n">
        <f aca="false">-P307*$E$12</f>
        <v>-0</v>
      </c>
      <c r="Q316" s="8" t="n">
        <f aca="false">-Q307*$E$12</f>
        <v>-0</v>
      </c>
      <c r="R316" s="8" t="n">
        <f aca="false">-R307*$E$12</f>
        <v>-0</v>
      </c>
      <c r="S316" s="8" t="n">
        <f aca="false">-S307*$E$12</f>
        <v>-0</v>
      </c>
      <c r="T316" s="8" t="n">
        <f aca="false">-T307*$E$12</f>
        <v>-0</v>
      </c>
      <c r="U316" s="8" t="n">
        <f aca="false">-U307*$E$12</f>
        <v>-0</v>
      </c>
      <c r="V316" s="8" t="n">
        <f aca="false">-V307*$E$12</f>
        <v>-0</v>
      </c>
      <c r="W316" s="8" t="n">
        <f aca="false">-W307*$E$12</f>
        <v>-0</v>
      </c>
      <c r="X316" s="8" t="n">
        <f aca="false">-X307*$E$12</f>
        <v>-0</v>
      </c>
      <c r="Y316" s="8" t="n">
        <f aca="false">-Y307*$E$12</f>
        <v>-0</v>
      </c>
      <c r="Z316" s="8" t="n">
        <f aca="false">-Z307*$E$12</f>
        <v>-0</v>
      </c>
      <c r="AA316" s="8" t="n">
        <f aca="false">-AA307*$E$12</f>
        <v>-0</v>
      </c>
      <c r="AB316" s="8" t="n">
        <f aca="false">-AB307*$E$12</f>
        <v>-0</v>
      </c>
      <c r="AC316" s="8" t="n">
        <f aca="false">-AC307*$E$12</f>
        <v>-0</v>
      </c>
      <c r="AD316" s="8" t="n">
        <f aca="false">-AD307*$E$12</f>
        <v>-0</v>
      </c>
      <c r="AE316" s="8" t="n">
        <f aca="false">-AE307*$E$12</f>
        <v>-0</v>
      </c>
      <c r="AF316" s="8" t="n">
        <f aca="false">-AF307*$E$12</f>
        <v>-0</v>
      </c>
      <c r="AG316" s="8" t="n">
        <f aca="false">-AG307*$E$12</f>
        <v>-0</v>
      </c>
      <c r="AH316" s="8" t="n">
        <f aca="false">-AH307*$E$12</f>
        <v>-0</v>
      </c>
      <c r="AI316" s="8" t="n">
        <f aca="false">-AI307*$E$12</f>
        <v>-0</v>
      </c>
      <c r="AJ316" s="8" t="n">
        <f aca="false">-AJ307*$E$12</f>
        <v>-0</v>
      </c>
      <c r="AK316" s="8" t="n">
        <f aca="false">-AK307*$E$12</f>
        <v>-0</v>
      </c>
      <c r="AL316" s="8" t="n">
        <f aca="false">-AL307*$E$12</f>
        <v>-0</v>
      </c>
      <c r="AM316" s="8" t="n">
        <f aca="false">-AM307*$E$12</f>
        <v>-0</v>
      </c>
      <c r="AN316" s="8" t="n">
        <f aca="false">-AN307*$E$12</f>
        <v>-0</v>
      </c>
      <c r="AO316" s="8" t="n">
        <f aca="false">-AO307*$E$12</f>
        <v>-0</v>
      </c>
      <c r="AP316" s="8" t="n">
        <f aca="false">-AP307*$E$12</f>
        <v>-0</v>
      </c>
      <c r="AQ316" s="8" t="n">
        <f aca="false">-AQ307*$E$12</f>
        <v>-0</v>
      </c>
      <c r="AR316" s="8" t="n">
        <f aca="false">-AR307*$E$12</f>
        <v>-0</v>
      </c>
      <c r="AS316" s="8" t="n">
        <f aca="false">-AS307*$E$12</f>
        <v>-0</v>
      </c>
    </row>
    <row r="317" customFormat="false" ht="14.25" hidden="false" customHeight="false" outlineLevel="0" collapsed="false">
      <c r="C317" s="6" t="s">
        <v>270</v>
      </c>
      <c r="D317" s="2" t="s">
        <v>85</v>
      </c>
      <c r="H317" s="8" t="n">
        <f aca="false">SUM(J317:AS317)</f>
        <v>-7081.43945602309</v>
      </c>
      <c r="J317" s="8" t="n">
        <f aca="false">-J309*HIPA_Rate</f>
        <v>-0</v>
      </c>
      <c r="K317" s="8" t="n">
        <f aca="false">-K309*HIPA_Rate</f>
        <v>-0</v>
      </c>
      <c r="L317" s="8" t="n">
        <f aca="false">-L309*HIPA_Rate</f>
        <v>-0</v>
      </c>
      <c r="M317" s="8" t="n">
        <f aca="false">-M309*HIPA_Rate</f>
        <v>-0</v>
      </c>
      <c r="N317" s="8" t="n">
        <f aca="false">-N309*HIPA_Rate</f>
        <v>-0</v>
      </c>
      <c r="O317" s="8" t="n">
        <f aca="false">-O309*HIPA_Rate</f>
        <v>-105.84</v>
      </c>
      <c r="P317" s="8" t="n">
        <f aca="false">-P309*HIPA_Rate</f>
        <v>-213.7968</v>
      </c>
      <c r="Q317" s="8" t="n">
        <f aca="false">-Q309*HIPA_Rate</f>
        <v>-215.286963696</v>
      </c>
      <c r="R317" s="8" t="n">
        <f aca="false">-R309*HIPA_Rate</f>
        <v>-216.787513832961</v>
      </c>
      <c r="S317" s="8" t="n">
        <f aca="false">-S309*HIPA_Rate</f>
        <v>-218.298522804377</v>
      </c>
      <c r="T317" s="8" t="n">
        <f aca="false">-T309*HIPA_Rate</f>
        <v>-219.820063508323</v>
      </c>
      <c r="U317" s="8" t="n">
        <f aca="false">-U309*HIPA_Rate</f>
        <v>-221.352209350976</v>
      </c>
      <c r="V317" s="8" t="n">
        <f aca="false">-V309*HIPA_Rate</f>
        <v>-222.895034250153</v>
      </c>
      <c r="W317" s="8" t="n">
        <f aca="false">-W309*HIPA_Rate</f>
        <v>-224.448612638876</v>
      </c>
      <c r="X317" s="8" t="n">
        <f aca="false">-X309*HIPA_Rate</f>
        <v>-226.013019468969</v>
      </c>
      <c r="Y317" s="8" t="n">
        <f aca="false">-Y309*HIPA_Rate</f>
        <v>-227.588330214668</v>
      </c>
      <c r="Z317" s="8" t="n">
        <f aca="false">-Z309*HIPA_Rate</f>
        <v>-229.174620876264</v>
      </c>
      <c r="AA317" s="8" t="n">
        <f aca="false">-AA309*HIPA_Rate</f>
        <v>-230.771967983772</v>
      </c>
      <c r="AB317" s="8" t="n">
        <f aca="false">-AB309*HIPA_Rate</f>
        <v>-232.380448600619</v>
      </c>
      <c r="AC317" s="8" t="n">
        <f aca="false">-AC309*HIPA_Rate</f>
        <v>-234.000140327365</v>
      </c>
      <c r="AD317" s="8" t="n">
        <f aca="false">-AD309*HIPA_Rate</f>
        <v>-235.631121305447</v>
      </c>
      <c r="AE317" s="8" t="n">
        <f aca="false">-AE309*HIPA_Rate</f>
        <v>-237.273470220946</v>
      </c>
      <c r="AF317" s="8" t="n">
        <f aca="false">-AF309*HIPA_Rate</f>
        <v>-238.927266308386</v>
      </c>
      <c r="AG317" s="8" t="n">
        <f aca="false">-AG309*HIPA_Rate</f>
        <v>-240.592589354555</v>
      </c>
      <c r="AH317" s="8" t="n">
        <f aca="false">-AH309*HIPA_Rate</f>
        <v>-242.269519702356</v>
      </c>
      <c r="AI317" s="8" t="n">
        <f aca="false">-AI309*HIPA_Rate</f>
        <v>-243.958138254682</v>
      </c>
      <c r="AJ317" s="8" t="n">
        <f aca="false">-AJ309*HIPA_Rate</f>
        <v>-245.658526478317</v>
      </c>
      <c r="AK317" s="8" t="n">
        <f aca="false">-AK309*HIPA_Rate</f>
        <v>-247.370766407871</v>
      </c>
      <c r="AL317" s="8" t="n">
        <f aca="false">-AL309*HIPA_Rate</f>
        <v>-249.094940649734</v>
      </c>
      <c r="AM317" s="8" t="n">
        <f aca="false">-AM309*HIPA_Rate</f>
        <v>-250.831132386062</v>
      </c>
      <c r="AN317" s="8" t="n">
        <f aca="false">-AN309*HIPA_Rate</f>
        <v>-252.579425378793</v>
      </c>
      <c r="AO317" s="8" t="n">
        <f aca="false">-AO309*HIPA_Rate</f>
        <v>-254.339903973683</v>
      </c>
      <c r="AP317" s="8" t="n">
        <f aca="false">-AP309*HIPA_Rate</f>
        <v>-256.11265310438</v>
      </c>
      <c r="AQ317" s="8" t="n">
        <f aca="false">-AQ309*HIPA_Rate</f>
        <v>-257.897758296517</v>
      </c>
      <c r="AR317" s="8" t="n">
        <f aca="false">-AR309*HIPA_Rate</f>
        <v>-259.695305671844</v>
      </c>
      <c r="AS317" s="8" t="n">
        <f aca="false">-AS309*HIPA_Rate</f>
        <v>-130.752690976188</v>
      </c>
    </row>
    <row r="318" customFormat="false" ht="14.25" hidden="false" customHeight="false" outlineLevel="0" collapsed="false">
      <c r="C318" s="1" t="s">
        <v>271</v>
      </c>
      <c r="D318" s="2" t="s">
        <v>85</v>
      </c>
      <c r="H318" s="34" t="n">
        <f aca="false">SUM(J318:AS318)</f>
        <v>-93722.6771745354</v>
      </c>
      <c r="J318" s="34" t="n">
        <f aca="false">SUM(J311:J317)</f>
        <v>0</v>
      </c>
      <c r="K318" s="34" t="n">
        <f aca="false">SUM(K311:K317)</f>
        <v>0</v>
      </c>
      <c r="L318" s="34" t="n">
        <f aca="false">SUM(L311:L317)</f>
        <v>0</v>
      </c>
      <c r="M318" s="34" t="n">
        <f aca="false">SUM(M311:M317)</f>
        <v>0</v>
      </c>
      <c r="N318" s="34" t="n">
        <f aca="false">SUM(N311:N317)</f>
        <v>0</v>
      </c>
      <c r="O318" s="34" t="n">
        <f aca="false">SUM(O311:O317)</f>
        <v>-1096.0341</v>
      </c>
      <c r="P318" s="34" t="n">
        <f aca="false">SUM(P311:P317)</f>
        <v>-2243.528007</v>
      </c>
      <c r="Q318" s="34" t="n">
        <f aca="false">SUM(Q311:Q317)</f>
        <v>-2293.61310854004</v>
      </c>
      <c r="R318" s="34" t="n">
        <f aca="false">SUM(R311:R317)</f>
        <v>-2344.87939407526</v>
      </c>
      <c r="S318" s="34" t="n">
        <f aca="false">SUM(S311:S317)</f>
        <v>-2397.35526066889</v>
      </c>
      <c r="T318" s="34" t="n">
        <f aca="false">SUM(T311:T317)</f>
        <v>-2451.06979342747</v>
      </c>
      <c r="U318" s="34" t="n">
        <f aca="false">SUM(U311:U317)</f>
        <v>-2506.05278224273</v>
      </c>
      <c r="V318" s="34" t="n">
        <f aca="false">SUM(V311:V317)</f>
        <v>-2562.33473894201</v>
      </c>
      <c r="W318" s="34" t="n">
        <f aca="false">SUM(W311:W317)</f>
        <v>-2619.94691485736</v>
      </c>
      <c r="X318" s="34" t="n">
        <f aca="false">SUM(X311:X317)</f>
        <v>-2678.92131882348</v>
      </c>
      <c r="Y318" s="34" t="n">
        <f aca="false">SUM(Y311:Y317)</f>
        <v>-2739.29073561501</v>
      </c>
      <c r="Z318" s="34" t="n">
        <f aca="false">SUM(Z311:Z317)</f>
        <v>-2801.08874483394</v>
      </c>
      <c r="AA318" s="34" t="n">
        <f aca="false">SUM(AA311:AA317)</f>
        <v>-2864.34974025816</v>
      </c>
      <c r="AB318" s="34" t="n">
        <f aca="false">SUM(AB311:AB317)</f>
        <v>-2929.10894966239</v>
      </c>
      <c r="AC318" s="34" t="n">
        <f aca="false">SUM(AC311:AC317)</f>
        <v>-2995.40245512313</v>
      </c>
      <c r="AD318" s="34" t="n">
        <f aca="false">SUM(AD311:AD317)</f>
        <v>-3063.26721381944</v>
      </c>
      <c r="AE318" s="34" t="n">
        <f aca="false">SUM(AE311:AE317)</f>
        <v>-3132.7410793416</v>
      </c>
      <c r="AF318" s="34" t="n">
        <f aca="false">SUM(AF311:AF317)</f>
        <v>-3203.86282352027</v>
      </c>
      <c r="AG318" s="34" t="n">
        <f aca="false">SUM(AG311:AG317)</f>
        <v>-3276.67215878875</v>
      </c>
      <c r="AH318" s="34" t="n">
        <f aca="false">SUM(AH311:AH317)</f>
        <v>-3351.20976109145</v>
      </c>
      <c r="AI318" s="34" t="n">
        <f aca="false">SUM(AI311:AI317)</f>
        <v>-3427.51729335186</v>
      </c>
      <c r="AJ318" s="34" t="n">
        <f aca="false">SUM(AJ311:AJ317)</f>
        <v>-3505.63742951389</v>
      </c>
      <c r="AK318" s="34" t="n">
        <f aca="false">SUM(AK311:AK317)</f>
        <v>-3585.61387917048</v>
      </c>
      <c r="AL318" s="34" t="n">
        <f aca="false">SUM(AL311:AL317)</f>
        <v>-3667.49141279384</v>
      </c>
      <c r="AM318" s="34" t="n">
        <f aca="false">SUM(AM311:AM317)</f>
        <v>-3751.31588758224</v>
      </c>
      <c r="AN318" s="34" t="n">
        <f aca="false">SUM(AN311:AN317)</f>
        <v>-3837.13427393821</v>
      </c>
      <c r="AO318" s="34" t="n">
        <f aca="false">SUM(AO311:AO317)</f>
        <v>-3924.99468259377</v>
      </c>
      <c r="AP318" s="34" t="n">
        <f aca="false">SUM(AP311:AP317)</f>
        <v>-4014.94639239857</v>
      </c>
      <c r="AQ318" s="34" t="n">
        <f aca="false">SUM(AQ311:AQ317)</f>
        <v>-4107.039878787</v>
      </c>
      <c r="AR318" s="34" t="n">
        <f aca="false">SUM(AR311:AR317)</f>
        <v>-4201.32684294109</v>
      </c>
      <c r="AS318" s="34" t="n">
        <f aca="false">SUM(AS311:AS317)</f>
        <v>-2148.93012083305</v>
      </c>
    </row>
    <row r="319" customFormat="false" ht="14.25" hidden="false" customHeight="false" outlineLevel="0" collapsed="false">
      <c r="C319" s="1" t="s">
        <v>152</v>
      </c>
      <c r="D319" s="2" t="s">
        <v>85</v>
      </c>
      <c r="H319" s="15" t="n">
        <f aca="false">SUM(J319:AS319)</f>
        <v>260349.295626619</v>
      </c>
      <c r="J319" s="15" t="n">
        <f aca="false">J309+J318</f>
        <v>0</v>
      </c>
      <c r="K319" s="15" t="n">
        <f aca="false">K309+K318</f>
        <v>0</v>
      </c>
      <c r="L319" s="15" t="n">
        <f aca="false">L309+L318</f>
        <v>0</v>
      </c>
      <c r="M319" s="15" t="n">
        <f aca="false">M309+M318</f>
        <v>0</v>
      </c>
      <c r="N319" s="15" t="n">
        <f aca="false">N309+N318</f>
        <v>0</v>
      </c>
      <c r="O319" s="15" t="n">
        <f aca="false">O309+O318</f>
        <v>4195.9659</v>
      </c>
      <c r="P319" s="15" t="n">
        <f aca="false">P309+P318</f>
        <v>8446.311993</v>
      </c>
      <c r="Q319" s="15" t="n">
        <f aca="false">Q309+Q318</f>
        <v>8470.73507625996</v>
      </c>
      <c r="R319" s="15" t="n">
        <f aca="false">R309+R318</f>
        <v>8494.4962975728</v>
      </c>
      <c r="S319" s="15" t="n">
        <f aca="false">S309+S318</f>
        <v>8517.57087954995</v>
      </c>
      <c r="T319" s="15" t="n">
        <f aca="false">T309+T318</f>
        <v>8539.9333819887</v>
      </c>
      <c r="U319" s="15" t="n">
        <f aca="false">U309+U318</f>
        <v>8561.55768530609</v>
      </c>
      <c r="V319" s="15" t="n">
        <f aca="false">V309+V318</f>
        <v>8582.41697356563</v>
      </c>
      <c r="W319" s="15" t="n">
        <f aca="false">W309+W318</f>
        <v>8602.48371708645</v>
      </c>
      <c r="X319" s="15" t="n">
        <f aca="false">X309+X318</f>
        <v>8621.72965462498</v>
      </c>
      <c r="Y319" s="15" t="n">
        <f aca="false">Y309+Y318</f>
        <v>8640.12577511838</v>
      </c>
      <c r="Z319" s="15" t="n">
        <f aca="false">Z309+Z318</f>
        <v>8657.64229897927</v>
      </c>
      <c r="AA319" s="15" t="n">
        <f aca="false">AA309+AA318</f>
        <v>8674.24865893043</v>
      </c>
      <c r="AB319" s="15" t="n">
        <f aca="false">AB309+AB318</f>
        <v>8689.91348036855</v>
      </c>
      <c r="AC319" s="15" t="n">
        <f aca="false">AC309+AC318</f>
        <v>8704.60456124511</v>
      </c>
      <c r="AD319" s="15" t="n">
        <f aca="false">AD309+AD318</f>
        <v>8718.28885145289</v>
      </c>
      <c r="AE319" s="15" t="n">
        <f aca="false">AE309+AE318</f>
        <v>8730.93243170569</v>
      </c>
      <c r="AF319" s="15" t="n">
        <f aca="false">AF309+AF318</f>
        <v>8742.50049189901</v>
      </c>
      <c r="AG319" s="15" t="n">
        <f aca="false">AG309+AG318</f>
        <v>8752.957308939</v>
      </c>
      <c r="AH319" s="15" t="n">
        <f aca="false">AH309+AH318</f>
        <v>8762.26622402637</v>
      </c>
      <c r="AI319" s="15" t="n">
        <f aca="false">AI309+AI318</f>
        <v>8770.38961938223</v>
      </c>
      <c r="AJ319" s="15" t="n">
        <f aca="false">AJ309+AJ318</f>
        <v>8777.28889440195</v>
      </c>
      <c r="AK319" s="15" t="n">
        <f aca="false">AK309+AK318</f>
        <v>8782.92444122306</v>
      </c>
      <c r="AL319" s="15" t="n">
        <f aca="false">AL309+AL318</f>
        <v>8787.25561969284</v>
      </c>
      <c r="AM319" s="15" t="n">
        <f aca="false">AM309+AM318</f>
        <v>8790.24073172087</v>
      </c>
      <c r="AN319" s="15" t="n">
        <f aca="false">AN309+AN318</f>
        <v>8791.83699500145</v>
      </c>
      <c r="AO319" s="15" t="n">
        <f aca="false">AO309+AO318</f>
        <v>8792.0005160904</v>
      </c>
      <c r="AP319" s="15" t="n">
        <f aca="false">AP309+AP318</f>
        <v>8790.68626282043</v>
      </c>
      <c r="AQ319" s="15" t="n">
        <f aca="false">AQ309+AQ318</f>
        <v>8787.84803603887</v>
      </c>
      <c r="AR319" s="15" t="n">
        <f aca="false">AR309+AR318</f>
        <v>8783.43844065112</v>
      </c>
      <c r="AS319" s="15" t="n">
        <f aca="false">AS309+AS318</f>
        <v>4388.70442797637</v>
      </c>
    </row>
    <row r="320" customFormat="false" ht="14.25" hidden="false" customHeight="false" outlineLevel="0" collapsed="false">
      <c r="C320" s="1" t="s">
        <v>272</v>
      </c>
      <c r="D320" s="2" t="s">
        <v>85</v>
      </c>
      <c r="H320" s="34" t="n">
        <f aca="false">SUM(J320:AS320)</f>
        <v>199688.543859585</v>
      </c>
      <c r="J320" s="34" t="n">
        <f aca="false">J305+J319</f>
        <v>-386.301369863014</v>
      </c>
      <c r="K320" s="34" t="n">
        <f aca="false">K305+K319</f>
        <v>-2429.86593963657</v>
      </c>
      <c r="L320" s="34" t="n">
        <f aca="false">L305+L319</f>
        <v>-10197.4954164384</v>
      </c>
      <c r="M320" s="34" t="n">
        <f aca="false">M305+M319</f>
        <v>-12009.375</v>
      </c>
      <c r="N320" s="34" t="n">
        <f aca="false">N305+N319</f>
        <v>-24018.75</v>
      </c>
      <c r="O320" s="34" t="n">
        <f aca="false">O305+O319</f>
        <v>-8813.4091</v>
      </c>
      <c r="P320" s="34" t="n">
        <f aca="false">P305+P319</f>
        <v>8446.311993</v>
      </c>
      <c r="Q320" s="34" t="n">
        <f aca="false">Q305+Q319</f>
        <v>9861.14603516407</v>
      </c>
      <c r="R320" s="34" t="n">
        <f aca="false">R305+R319</f>
        <v>8494.4962975728</v>
      </c>
      <c r="S320" s="34" t="n">
        <f aca="false">S305+S319</f>
        <v>8517.57087954995</v>
      </c>
      <c r="T320" s="34" t="n">
        <f aca="false">T305+T319</f>
        <v>8539.9333819887</v>
      </c>
      <c r="U320" s="34" t="n">
        <f aca="false">U305+U319</f>
        <v>8561.55768530609</v>
      </c>
      <c r="V320" s="34" t="n">
        <f aca="false">V305+V319</f>
        <v>8582.41697356563</v>
      </c>
      <c r="W320" s="34" t="n">
        <f aca="false">W305+W319</f>
        <v>8602.48371708645</v>
      </c>
      <c r="X320" s="34" t="n">
        <f aca="false">X305+X319</f>
        <v>8621.72965462498</v>
      </c>
      <c r="Y320" s="34" t="n">
        <f aca="false">Y305+Y319</f>
        <v>8640.12577511838</v>
      </c>
      <c r="Z320" s="34" t="n">
        <f aca="false">Z305+Z319</f>
        <v>8657.64229897927</v>
      </c>
      <c r="AA320" s="34" t="n">
        <f aca="false">AA305+AA319</f>
        <v>8674.24865893043</v>
      </c>
      <c r="AB320" s="34" t="n">
        <f aca="false">AB305+AB319</f>
        <v>8689.91348036855</v>
      </c>
      <c r="AC320" s="34" t="n">
        <f aca="false">AC305+AC319</f>
        <v>8704.60456124511</v>
      </c>
      <c r="AD320" s="34" t="n">
        <f aca="false">AD305+AD319</f>
        <v>8718.28885145289</v>
      </c>
      <c r="AE320" s="34" t="n">
        <f aca="false">AE305+AE319</f>
        <v>8730.93243170569</v>
      </c>
      <c r="AF320" s="34" t="n">
        <f aca="false">AF305+AF319</f>
        <v>8742.50049189901</v>
      </c>
      <c r="AG320" s="34" t="n">
        <f aca="false">AG305+AG319</f>
        <v>8752.957308939</v>
      </c>
      <c r="AH320" s="34" t="n">
        <f aca="false">AH305+AH319</f>
        <v>8762.26622402637</v>
      </c>
      <c r="AI320" s="34" t="n">
        <f aca="false">AI305+AI319</f>
        <v>8770.38961938223</v>
      </c>
      <c r="AJ320" s="34" t="n">
        <f aca="false">AJ305+AJ319</f>
        <v>8777.28889440195</v>
      </c>
      <c r="AK320" s="34" t="n">
        <f aca="false">AK305+AK319</f>
        <v>8782.92444122306</v>
      </c>
      <c r="AL320" s="34" t="n">
        <f aca="false">AL305+AL319</f>
        <v>8787.25561969284</v>
      </c>
      <c r="AM320" s="34" t="n">
        <f aca="false">AM305+AM319</f>
        <v>8790.24073172087</v>
      </c>
      <c r="AN320" s="34" t="n">
        <f aca="false">AN305+AN319</f>
        <v>8791.83699500145</v>
      </c>
      <c r="AO320" s="34" t="n">
        <f aca="false">AO305+AO319</f>
        <v>8792.0005160904</v>
      </c>
      <c r="AP320" s="34" t="n">
        <f aca="false">AP305+AP319</f>
        <v>8790.68626282043</v>
      </c>
      <c r="AQ320" s="34" t="n">
        <f aca="false">AQ305+AQ319</f>
        <v>8787.84803603887</v>
      </c>
      <c r="AR320" s="34" t="n">
        <f aca="false">AR305+AR319</f>
        <v>8783.43844065112</v>
      </c>
      <c r="AS320" s="34" t="n">
        <f aca="false">AS305+AS319</f>
        <v>4388.70442797637</v>
      </c>
    </row>
    <row r="321" customFormat="false" ht="14.25" hidden="false" customHeight="false" outlineLevel="0" collapsed="false">
      <c r="C321" s="6" t="s">
        <v>273</v>
      </c>
      <c r="D321" s="2" t="s">
        <v>3</v>
      </c>
      <c r="J321" s="67" t="n">
        <f aca="false">(1+Discount_Rate)^((Inputs!$E$26-J$292)/Days_In_Year)</f>
        <v>1.41371255107938</v>
      </c>
      <c r="K321" s="67" t="n">
        <f aca="false">(1+Discount_Rate)^((Inputs!$E$26-K$292)/Days_In_Year)</f>
        <v>1.30899310285128</v>
      </c>
      <c r="L321" s="67" t="n">
        <f aca="false">(1+Discount_Rate)^((Inputs!$E$26-L$292)/Days_In_Year)</f>
        <v>1.21177511843915</v>
      </c>
      <c r="M321" s="67" t="n">
        <f aca="false">(1+Discount_Rate)^((Inputs!$E$26-M$292)/Days_In_Year)</f>
        <v>1.12201399855477</v>
      </c>
      <c r="N321" s="67" t="n">
        <f aca="false">(1+Discount_Rate)^((Inputs!$E$26-N$292)/Days_In_Year)</f>
        <v>1.03890185051367</v>
      </c>
      <c r="O321" s="67" t="n">
        <f aca="false">(1+Discount_Rate)^((Inputs!$E$26-O$292)/Days_In_Year)</f>
        <v>0.961946157883031</v>
      </c>
      <c r="P321" s="67" t="n">
        <f aca="false">(1+Discount_Rate)^((Inputs!$E$26-P$292)/Days_In_Year)</f>
        <v>0.890503102622714</v>
      </c>
      <c r="Q321" s="67" t="n">
        <f aca="false">(1+Discount_Rate)^((Inputs!$E$26-Q$292)/Days_In_Year)</f>
        <v>0.824539909835846</v>
      </c>
      <c r="R321" s="67" t="n">
        <f aca="false">(1+Discount_Rate)^((Inputs!$E$26-R$292)/Days_In_Year)</f>
        <v>0.763462879477635</v>
      </c>
      <c r="S321" s="67" t="n">
        <f aca="false">(1+Discount_Rate)^((Inputs!$E$26-S$292)/Days_In_Year)</f>
        <v>0.706910073590403</v>
      </c>
      <c r="T321" s="67" t="n">
        <f aca="false">(1+Discount_Rate)^((Inputs!$E$26-T$292)/Days_In_Year)</f>
        <v>0.654408366464987</v>
      </c>
      <c r="U321" s="67" t="n">
        <f aca="false">(1+Discount_Rate)^((Inputs!$E$26-U$292)/Days_In_Year)</f>
        <v>0.605933672652766</v>
      </c>
      <c r="V321" s="67" t="n">
        <f aca="false">(1+Discount_Rate)^((Inputs!$E$26-V$292)/Days_In_Year)</f>
        <v>0.561049696900709</v>
      </c>
      <c r="W321" s="67" t="n">
        <f aca="false">(1+Discount_Rate)^((Inputs!$E$26-W$292)/Days_In_Year)</f>
        <v>0.519490460093249</v>
      </c>
      <c r="X321" s="67" t="n">
        <f aca="false">(1+Discount_Rate)^((Inputs!$E$26-X$292)/Days_In_Year)</f>
        <v>0.480908274028566</v>
      </c>
      <c r="Y321" s="67" t="n">
        <f aca="false">(1+Discount_Rate)^((Inputs!$E$26-Y$292)/Days_In_Year)</f>
        <v>0.445285438915339</v>
      </c>
      <c r="Z321" s="67" t="n">
        <f aca="false">(1+Discount_Rate)^((Inputs!$E$26-Z$292)/Days_In_Year)</f>
        <v>0.412301332329018</v>
      </c>
      <c r="AA321" s="67" t="n">
        <f aca="false">(1+Discount_Rate)^((Inputs!$E$26-AA$292)/Days_In_Year)</f>
        <v>0.381760492897239</v>
      </c>
      <c r="AB321" s="67" t="n">
        <f aca="false">(1+Discount_Rate)^((Inputs!$E$26-AB$292)/Days_In_Year)</f>
        <v>0.353407413292154</v>
      </c>
      <c r="AC321" s="67" t="n">
        <f aca="false">(1+Discount_Rate)^((Inputs!$E$26-AC$292)/Days_In_Year)</f>
        <v>0.327229086381624</v>
      </c>
      <c r="AD321" s="67" t="n">
        <f aca="false">(1+Discount_Rate)^((Inputs!$E$26-AD$292)/Days_In_Year)</f>
        <v>0.3029898947978</v>
      </c>
      <c r="AE321" s="67" t="n">
        <f aca="false">(1+Discount_Rate)^((Inputs!$E$26-AE$292)/Days_In_Year)</f>
        <v>0.280546198886852</v>
      </c>
      <c r="AF321" s="67" t="n">
        <f aca="false">(1+Discount_Rate)^((Inputs!$E$26-AF$292)/Days_In_Year)</f>
        <v>0.259710232730228</v>
      </c>
      <c r="AG321" s="67" t="n">
        <f aca="false">(1+Discount_Rate)^((Inputs!$E$26-AG$292)/Days_In_Year)</f>
        <v>0.240472437713174</v>
      </c>
      <c r="AH321" s="67" t="n">
        <f aca="false">(1+Discount_Rate)^((Inputs!$E$26-AH$292)/Days_In_Year)</f>
        <v>0.222659664549235</v>
      </c>
      <c r="AI321" s="67" t="n">
        <f aca="false">(1+Discount_Rate)^((Inputs!$E$26-AI$292)/Days_In_Year)</f>
        <v>0.206166356064106</v>
      </c>
      <c r="AJ321" s="67" t="n">
        <f aca="false">(1+Discount_Rate)^((Inputs!$E$26-AJ$292)/Days_In_Year)</f>
        <v>0.190854527799705</v>
      </c>
      <c r="AK321" s="67" t="n">
        <f aca="false">(1+Discount_Rate)^((Inputs!$E$26-AK$292)/Days_In_Year)</f>
        <v>0.176717155370097</v>
      </c>
      <c r="AL321" s="67" t="n">
        <f aca="false">(1+Discount_Rate)^((Inputs!$E$26-AL$292)/Days_In_Year)</f>
        <v>0.163626995713053</v>
      </c>
      <c r="AM321" s="67" t="n">
        <f aca="false">(1+Discount_Rate)^((Inputs!$E$26-AM$292)/Days_In_Year)</f>
        <v>0.151506477512086</v>
      </c>
      <c r="AN321" s="67" t="n">
        <f aca="false">(1+Discount_Rate)^((Inputs!$E$26-AN$292)/Days_In_Year)</f>
        <v>0.140254199454224</v>
      </c>
      <c r="AO321" s="67" t="n">
        <f aca="false">(1+Discount_Rate)^((Inputs!$E$26-AO$292)/Days_In_Year)</f>
        <v>0.129864999494652</v>
      </c>
      <c r="AP321" s="67" t="n">
        <f aca="false">(1+Discount_Rate)^((Inputs!$E$26-AP$292)/Days_In_Year)</f>
        <v>0.120245369902455</v>
      </c>
      <c r="AQ321" s="67" t="n">
        <f aca="false">(1+Discount_Rate)^((Inputs!$E$26-AQ$292)/Days_In_Year)</f>
        <v>0.111338305465236</v>
      </c>
      <c r="AR321" s="67" t="n">
        <f aca="false">(1+Discount_Rate)^((Inputs!$E$26-AR$292)/Days_In_Year)</f>
        <v>0.103069288904634</v>
      </c>
      <c r="AS321" s="67" t="n">
        <f aca="false">(1+Discount_Rate)^((Inputs!$E$26-AS$292)/Days_In_Year)</f>
        <v>0.0954345267635496</v>
      </c>
    </row>
    <row r="322" customFormat="false" ht="14.25" hidden="false" customHeight="false" outlineLevel="0" collapsed="false">
      <c r="C322" s="6" t="s">
        <v>274</v>
      </c>
      <c r="D322" s="2" t="s">
        <v>85</v>
      </c>
      <c r="H322" s="8" t="n">
        <f aca="false">SUM(J322:AS322)</f>
        <v>96859.9875751141</v>
      </c>
      <c r="J322" s="8" t="n">
        <f aca="false">J319*J321</f>
        <v>0</v>
      </c>
      <c r="K322" s="8" t="n">
        <f aca="false">K319*K321</f>
        <v>0</v>
      </c>
      <c r="L322" s="8" t="n">
        <f aca="false">L319*L321</f>
        <v>0</v>
      </c>
      <c r="M322" s="8" t="n">
        <f aca="false">M319*M321</f>
        <v>0</v>
      </c>
      <c r="N322" s="8" t="n">
        <f aca="false">N319*N321</f>
        <v>0</v>
      </c>
      <c r="O322" s="8" t="n">
        <f aca="false">O319*O321</f>
        <v>4036.29327611321</v>
      </c>
      <c r="P322" s="8" t="n">
        <f aca="false">P319*P321</f>
        <v>7521.46703548594</v>
      </c>
      <c r="Q322" s="8" t="n">
        <f aca="false">Q319*Q321</f>
        <v>6984.45913602273</v>
      </c>
      <c r="R322" s="8" t="n">
        <f aca="false">R319*R321</f>
        <v>6485.23260305704</v>
      </c>
      <c r="S322" s="8" t="n">
        <f aca="false">S319*S321</f>
        <v>6021.15665727413</v>
      </c>
      <c r="T322" s="8" t="n">
        <f aca="false">T319*T321</f>
        <v>5588.60385422703</v>
      </c>
      <c r="U322" s="8" t="n">
        <f aca="false">U319*U321</f>
        <v>5187.73609188603</v>
      </c>
      <c r="V322" s="8" t="n">
        <f aca="false">V319*V321</f>
        <v>4815.16244169449</v>
      </c>
      <c r="W322" s="8" t="n">
        <f aca="false">W319*W321</f>
        <v>4468.90822413392</v>
      </c>
      <c r="X322" s="8" t="n">
        <f aca="false">X319*X321</f>
        <v>4146.26112734661</v>
      </c>
      <c r="Y322" s="8" t="n">
        <f aca="false">Y319*Y321</f>
        <v>3847.32219805733</v>
      </c>
      <c r="Z322" s="8" t="n">
        <f aca="false">Z319*Z321</f>
        <v>3569.55745469721</v>
      </c>
      <c r="AA322" s="8" t="n">
        <f aca="false">AA319*AA321</f>
        <v>3311.48544354649</v>
      </c>
      <c r="AB322" s="8" t="n">
        <f aca="false">AB319*AB321</f>
        <v>3071.07984482966</v>
      </c>
      <c r="AC322" s="8" t="n">
        <f aca="false">AC319*AC321</f>
        <v>2848.39979788955</v>
      </c>
      <c r="AD322" s="8" t="n">
        <f aca="false">AD319*AD321</f>
        <v>2641.55342191854</v>
      </c>
      <c r="AE322" s="8" t="n">
        <f aca="false">AE319*AE321</f>
        <v>2449.42990645297</v>
      </c>
      <c r="AF322" s="8" t="n">
        <f aca="false">AF319*AF321</f>
        <v>2270.51683739522</v>
      </c>
      <c r="AG322" s="8" t="n">
        <f aca="false">AG319*AG321</f>
        <v>2104.8449812799</v>
      </c>
      <c r="AH322" s="8" t="n">
        <f aca="false">AH319*AH321</f>
        <v>1951.0032581328</v>
      </c>
      <c r="AI322" s="8" t="n">
        <f aca="false">AI319*AI321</f>
        <v>1808.1592690905</v>
      </c>
      <c r="AJ322" s="8" t="n">
        <f aca="false">AJ319*AJ321</f>
        <v>1675.18532730268</v>
      </c>
      <c r="AK322" s="8" t="n">
        <f aca="false">AK319*AK321</f>
        <v>1552.09342308344</v>
      </c>
      <c r="AL322" s="8" t="n">
        <f aca="false">AL319*AL321</f>
        <v>1437.83223761298</v>
      </c>
      <c r="AM322" s="8" t="n">
        <f aca="false">AM319*AM321</f>
        <v>1331.77840974629</v>
      </c>
      <c r="AN322" s="8" t="n">
        <f aca="false">AN319*AN321</f>
        <v>1233.09205946596</v>
      </c>
      <c r="AO322" s="8" t="n">
        <f aca="false">AO319*AO321</f>
        <v>1141.77314257906</v>
      </c>
      <c r="AP322" s="8" t="n">
        <f aca="false">AP319*AP321</f>
        <v>1057.03932136927</v>
      </c>
      <c r="AQ322" s="8" t="n">
        <f aca="false">AQ319*AQ321</f>
        <v>978.424109018572</v>
      </c>
      <c r="AR322" s="8" t="n">
        <f aca="false">AR319*AR321</f>
        <v>905.302754215534</v>
      </c>
      <c r="AS322" s="8" t="n">
        <f aca="false">AS319*AS321</f>
        <v>418.833930189019</v>
      </c>
    </row>
    <row r="323" customFormat="false" ht="14.25" hidden="false" customHeight="false" outlineLevel="0" collapsed="false">
      <c r="C323" s="6" t="s">
        <v>275</v>
      </c>
      <c r="D323" s="2" t="s">
        <v>85</v>
      </c>
      <c r="H323" s="8" t="n">
        <f aca="false">SUM(J323:AS323)</f>
        <v>-7500</v>
      </c>
      <c r="J323" s="8" t="n">
        <f aca="false">-$E$18*$E$6*(J$291=YEAR(Sale_Date))</f>
        <v>-0</v>
      </c>
      <c r="K323" s="8" t="n">
        <f aca="false">-$E$18*$E$6*(K$291=YEAR(Sale_Date))</f>
        <v>-0</v>
      </c>
      <c r="L323" s="8" t="n">
        <f aca="false">-$E$18*$E$6*(L$291=YEAR(Sale_Date))</f>
        <v>-0</v>
      </c>
      <c r="M323" s="8" t="n">
        <f aca="false">-$E$18*$E$6*(M$291=YEAR(Sale_Date))</f>
        <v>-7500</v>
      </c>
      <c r="N323" s="8" t="n">
        <f aca="false">-$E$18*$E$6*(N$291=YEAR(Sale_Date))</f>
        <v>-0</v>
      </c>
      <c r="O323" s="8" t="n">
        <f aca="false">-$E$18*$E$6*(O$291=YEAR(Sale_Date))</f>
        <v>-0</v>
      </c>
      <c r="P323" s="8" t="n">
        <f aca="false">-$E$18*$E$6*(P$291=YEAR(Sale_Date))</f>
        <v>-0</v>
      </c>
      <c r="Q323" s="8" t="n">
        <f aca="false">-$E$18*$E$6*(Q$291=YEAR(Sale_Date))</f>
        <v>-0</v>
      </c>
      <c r="R323" s="8" t="n">
        <f aca="false">-$E$18*$E$6*(R$291=YEAR(Sale_Date))</f>
        <v>-0</v>
      </c>
      <c r="S323" s="8" t="n">
        <f aca="false">-$E$18*$E$6*(S$291=YEAR(Sale_Date))</f>
        <v>-0</v>
      </c>
      <c r="T323" s="8" t="n">
        <f aca="false">-$E$18*$E$6*(T$291=YEAR(Sale_Date))</f>
        <v>-0</v>
      </c>
      <c r="U323" s="8" t="n">
        <f aca="false">-$E$18*$E$6*(U$291=YEAR(Sale_Date))</f>
        <v>-0</v>
      </c>
      <c r="V323" s="8" t="n">
        <f aca="false">-$E$18*$E$6*(V$291=YEAR(Sale_Date))</f>
        <v>-0</v>
      </c>
      <c r="W323" s="8" t="n">
        <f aca="false">-$E$18*$E$6*(W$291=YEAR(Sale_Date))</f>
        <v>-0</v>
      </c>
      <c r="X323" s="8" t="n">
        <f aca="false">-$E$18*$E$6*(X$291=YEAR(Sale_Date))</f>
        <v>-0</v>
      </c>
      <c r="Y323" s="8" t="n">
        <f aca="false">-$E$18*$E$6*(Y$291=YEAR(Sale_Date))</f>
        <v>-0</v>
      </c>
      <c r="Z323" s="8" t="n">
        <f aca="false">-$E$18*$E$6*(Z$291=YEAR(Sale_Date))</f>
        <v>-0</v>
      </c>
      <c r="AA323" s="8" t="n">
        <f aca="false">-$E$18*$E$6*(AA$291=YEAR(Sale_Date))</f>
        <v>-0</v>
      </c>
      <c r="AB323" s="8" t="n">
        <f aca="false">-$E$18*$E$6*(AB$291=YEAR(Sale_Date))</f>
        <v>-0</v>
      </c>
      <c r="AC323" s="8" t="n">
        <f aca="false">-$E$18*$E$6*(AC$291=YEAR(Sale_Date))</f>
        <v>-0</v>
      </c>
      <c r="AD323" s="8" t="n">
        <f aca="false">-$E$18*$E$6*(AD$291=YEAR(Sale_Date))</f>
        <v>-0</v>
      </c>
      <c r="AE323" s="8" t="n">
        <f aca="false">-$E$18*$E$6*(AE$291=YEAR(Sale_Date))</f>
        <v>-0</v>
      </c>
      <c r="AF323" s="8" t="n">
        <f aca="false">-$E$18*$E$6*(AF$291=YEAR(Sale_Date))</f>
        <v>-0</v>
      </c>
      <c r="AG323" s="8" t="n">
        <f aca="false">-$E$18*$E$6*(AG$291=YEAR(Sale_Date))</f>
        <v>-0</v>
      </c>
      <c r="AH323" s="8" t="n">
        <f aca="false">-$E$18*$E$6*(AH$291=YEAR(Sale_Date))</f>
        <v>-0</v>
      </c>
      <c r="AI323" s="8" t="n">
        <f aca="false">-$E$18*$E$6*(AI$291=YEAR(Sale_Date))</f>
        <v>-0</v>
      </c>
      <c r="AJ323" s="8" t="n">
        <f aca="false">-$E$18*$E$6*(AJ$291=YEAR(Sale_Date))</f>
        <v>-0</v>
      </c>
      <c r="AK323" s="8" t="n">
        <f aca="false">-$E$18*$E$6*(AK$291=YEAR(Sale_Date))</f>
        <v>-0</v>
      </c>
      <c r="AL323" s="8" t="n">
        <f aca="false">-$E$18*$E$6*(AL$291=YEAR(Sale_Date))</f>
        <v>-0</v>
      </c>
      <c r="AM323" s="8" t="n">
        <f aca="false">-$E$18*$E$6*(AM$291=YEAR(Sale_Date))</f>
        <v>-0</v>
      </c>
      <c r="AN323" s="8" t="n">
        <f aca="false">-$E$18*$E$6*(AN$291=YEAR(Sale_Date))</f>
        <v>-0</v>
      </c>
      <c r="AO323" s="8" t="n">
        <f aca="false">-$E$18*$E$6*(AO$291=YEAR(Sale_Date))</f>
        <v>-0</v>
      </c>
      <c r="AP323" s="8" t="n">
        <f aca="false">-$E$18*$E$6*(AP$291=YEAR(Sale_Date))</f>
        <v>-0</v>
      </c>
      <c r="AQ323" s="8" t="n">
        <f aca="false">-$E$18*$E$6*(AQ$291=YEAR(Sale_Date))</f>
        <v>-0</v>
      </c>
      <c r="AR323" s="8" t="n">
        <f aca="false">-$E$18*$E$6*(AR$291=YEAR(Sale_Date))</f>
        <v>-0</v>
      </c>
      <c r="AS323" s="8" t="n">
        <f aca="false">-$E$18*$E$6*(AS$291=YEAR(Sale_Date))</f>
        <v>-0</v>
      </c>
    </row>
    <row r="324" customFormat="false" ht="14.25" hidden="false" customHeight="false" outlineLevel="0" collapsed="false">
      <c r="C324" s="1" t="s">
        <v>276</v>
      </c>
      <c r="D324" s="2" t="s">
        <v>85</v>
      </c>
      <c r="H324" s="34" t="n">
        <f aca="false">SUM(J324:AS324)</f>
        <v>28699.2358080803</v>
      </c>
      <c r="J324" s="34" t="n">
        <f aca="false">J305*(J295&lt;=0)+J300*($H322+$E$62+$E$63)+J323</f>
        <v>-386.301369863014</v>
      </c>
      <c r="K324" s="34" t="n">
        <f aca="false">K305*(K295&lt;=0)+K300*($H322+$E$62+$E$63)+K323</f>
        <v>-2429.86593963657</v>
      </c>
      <c r="L324" s="34" t="n">
        <f aca="false">L305*(L295&lt;=0)+L300*($H322+$E$62+$E$63)+L323</f>
        <v>-10197.4954164384</v>
      </c>
      <c r="M324" s="34" t="n">
        <f aca="false">M305*(M295&lt;=0)+M300*($H322+$E$62+$E$63)+M323</f>
        <v>-19509.375</v>
      </c>
      <c r="N324" s="34" t="n">
        <f aca="false">N305*(N295&lt;=0)+N300*($H322+$E$62+$E$63)+N323</f>
        <v>-24018.75</v>
      </c>
      <c r="O324" s="34" t="n">
        <f aca="false">O305*(O295&lt;=0)+O300*($H322+$E$62+$E$63)+O323</f>
        <v>85241.0235340182</v>
      </c>
      <c r="P324" s="34" t="n">
        <f aca="false">P305*(P295&lt;=0)+P300*($H322+$E$62+$E$63)+P323</f>
        <v>0</v>
      </c>
      <c r="Q324" s="34" t="n">
        <f aca="false">Q305*(Q295&lt;=0)+Q300*($H322+$E$62+$E$63)+Q323</f>
        <v>0</v>
      </c>
      <c r="R324" s="34" t="n">
        <f aca="false">R305*(R295&lt;=0)+R300*($H322+$E$62+$E$63)+R323</f>
        <v>0</v>
      </c>
      <c r="S324" s="34" t="n">
        <f aca="false">S305*(S295&lt;=0)+S300*($H322+$E$62+$E$63)+S323</f>
        <v>0</v>
      </c>
      <c r="T324" s="34" t="n">
        <f aca="false">T305*(T295&lt;=0)+T300*($H322+$E$62+$E$63)+T323</f>
        <v>0</v>
      </c>
      <c r="U324" s="34" t="n">
        <f aca="false">U305*(U295&lt;=0)+U300*($H322+$E$62+$E$63)+U323</f>
        <v>0</v>
      </c>
      <c r="V324" s="34" t="n">
        <f aca="false">V305*(V295&lt;=0)+V300*($H322+$E$62+$E$63)+V323</f>
        <v>0</v>
      </c>
      <c r="W324" s="34" t="n">
        <f aca="false">W305*(W295&lt;=0)+W300*($H322+$E$62+$E$63)+W323</f>
        <v>0</v>
      </c>
      <c r="X324" s="34" t="n">
        <f aca="false">X305*(X295&lt;=0)+X300*($H322+$E$62+$E$63)+X323</f>
        <v>0</v>
      </c>
      <c r="Y324" s="34" t="n">
        <f aca="false">Y305*(Y295&lt;=0)+Y300*($H322+$E$62+$E$63)+Y323</f>
        <v>0</v>
      </c>
      <c r="Z324" s="34" t="n">
        <f aca="false">Z305*(Z295&lt;=0)+Z300*($H322+$E$62+$E$63)+Z323</f>
        <v>0</v>
      </c>
      <c r="AA324" s="34" t="n">
        <f aca="false">AA305*(AA295&lt;=0)+AA300*($H322+$E$62+$E$63)+AA323</f>
        <v>0</v>
      </c>
      <c r="AB324" s="34" t="n">
        <f aca="false">AB305*(AB295&lt;=0)+AB300*($H322+$E$62+$E$63)+AB323</f>
        <v>0</v>
      </c>
      <c r="AC324" s="34" t="n">
        <f aca="false">AC305*(AC295&lt;=0)+AC300*($H322+$E$62+$E$63)+AC323</f>
        <v>0</v>
      </c>
      <c r="AD324" s="34" t="n">
        <f aca="false">AD305*(AD295&lt;=0)+AD300*($H322+$E$62+$E$63)+AD323</f>
        <v>0</v>
      </c>
      <c r="AE324" s="34" t="n">
        <f aca="false">AE305*(AE295&lt;=0)+AE300*($H322+$E$62+$E$63)+AE323</f>
        <v>0</v>
      </c>
      <c r="AF324" s="34" t="n">
        <f aca="false">AF305*(AF295&lt;=0)+AF300*($H322+$E$62+$E$63)+AF323</f>
        <v>0</v>
      </c>
      <c r="AG324" s="34" t="n">
        <f aca="false">AG305*(AG295&lt;=0)+AG300*($H322+$E$62+$E$63)+AG323</f>
        <v>0</v>
      </c>
      <c r="AH324" s="34" t="n">
        <f aca="false">AH305*(AH295&lt;=0)+AH300*($H322+$E$62+$E$63)+AH323</f>
        <v>0</v>
      </c>
      <c r="AI324" s="34" t="n">
        <f aca="false">AI305*(AI295&lt;=0)+AI300*($H322+$E$62+$E$63)+AI323</f>
        <v>0</v>
      </c>
      <c r="AJ324" s="34" t="n">
        <f aca="false">AJ305*(AJ295&lt;=0)+AJ300*($H322+$E$62+$E$63)+AJ323</f>
        <v>0</v>
      </c>
      <c r="AK324" s="34" t="n">
        <f aca="false">AK305*(AK295&lt;=0)+AK300*($H322+$E$62+$E$63)+AK323</f>
        <v>0</v>
      </c>
      <c r="AL324" s="34" t="n">
        <f aca="false">AL305*(AL295&lt;=0)+AL300*($H322+$E$62+$E$63)+AL323</f>
        <v>0</v>
      </c>
      <c r="AM324" s="34" t="n">
        <f aca="false">AM305*(AM295&lt;=0)+AM300*($H322+$E$62+$E$63)+AM323</f>
        <v>0</v>
      </c>
      <c r="AN324" s="34" t="n">
        <f aca="false">AN305*(AN295&lt;=0)+AN300*($H322+$E$62+$E$63)+AN323</f>
        <v>0</v>
      </c>
      <c r="AO324" s="34" t="n">
        <f aca="false">AO305*(AO295&lt;=0)+AO300*($H322+$E$62+$E$63)+AO323</f>
        <v>0</v>
      </c>
      <c r="AP324" s="34" t="n">
        <f aca="false">AP305*(AP295&lt;=0)+AP300*($H322+$E$62+$E$63)+AP323</f>
        <v>0</v>
      </c>
      <c r="AQ324" s="34" t="n">
        <f aca="false">AQ305*(AQ295&lt;=0)+AQ300*($H322+$E$62+$E$63)+AQ323</f>
        <v>0</v>
      </c>
      <c r="AR324" s="34" t="n">
        <f aca="false">AR305*(AR295&lt;=0)+AR300*($H322+$E$62+$E$63)+AR323</f>
        <v>0</v>
      </c>
      <c r="AS324" s="34" t="n">
        <f aca="false">AS305*(AS295&lt;=0)+AS300*($H322+$E$62+$E$63)+AS323</f>
        <v>0</v>
      </c>
    </row>
    <row r="326" customFormat="false" ht="14.25" hidden="false" customHeight="false" outlineLevel="0" collapsed="false">
      <c r="B326" s="4" t="s">
        <v>3</v>
      </c>
      <c r="C326" s="4" t="s">
        <v>277</v>
      </c>
      <c r="D326" s="4"/>
      <c r="E326" s="5"/>
      <c r="F326" s="5" t="s">
        <v>245</v>
      </c>
      <c r="G326" s="5"/>
      <c r="H326" s="5" t="s">
        <v>8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</row>
    <row r="327" customFormat="false" ht="14.25" hidden="false" customHeight="false" outlineLevel="0" collapsed="false">
      <c r="C327" s="6" t="s">
        <v>246</v>
      </c>
      <c r="D327" s="2" t="s">
        <v>247</v>
      </c>
      <c r="J327" s="58" t="n">
        <f aca="false">J$291-YEAR(Inputs!$F$26)</f>
        <v>-5</v>
      </c>
      <c r="K327" s="58" t="n">
        <f aca="false">K$291-YEAR(Inputs!$F$26)</f>
        <v>-4</v>
      </c>
      <c r="L327" s="58" t="n">
        <f aca="false">L$291-YEAR(Inputs!$F$26)</f>
        <v>-3</v>
      </c>
      <c r="M327" s="58" t="n">
        <f aca="false">M$291-YEAR(Inputs!$F$26)</f>
        <v>-2</v>
      </c>
      <c r="N327" s="58" t="n">
        <f aca="false">N$291-YEAR(Inputs!$F$26)</f>
        <v>-1</v>
      </c>
      <c r="O327" s="58" t="n">
        <f aca="false">O$291-YEAR(Inputs!$F$26)</f>
        <v>0</v>
      </c>
      <c r="P327" s="58" t="n">
        <f aca="false">P$291-YEAR(Inputs!$F$26)</f>
        <v>1</v>
      </c>
      <c r="Q327" s="58" t="n">
        <f aca="false">Q$291-YEAR(Inputs!$F$26)</f>
        <v>2</v>
      </c>
      <c r="R327" s="58" t="n">
        <f aca="false">R$291-YEAR(Inputs!$F$26)</f>
        <v>3</v>
      </c>
      <c r="S327" s="58" t="n">
        <f aca="false">S$291-YEAR(Inputs!$F$26)</f>
        <v>4</v>
      </c>
      <c r="T327" s="58" t="n">
        <f aca="false">T$291-YEAR(Inputs!$F$26)</f>
        <v>5</v>
      </c>
      <c r="U327" s="58" t="n">
        <f aca="false">U$291-YEAR(Inputs!$F$26)</f>
        <v>6</v>
      </c>
      <c r="V327" s="58" t="n">
        <f aca="false">V$291-YEAR(Inputs!$F$26)</f>
        <v>7</v>
      </c>
      <c r="W327" s="58" t="n">
        <f aca="false">W$291-YEAR(Inputs!$F$26)</f>
        <v>8</v>
      </c>
      <c r="X327" s="58" t="n">
        <f aca="false">X$291-YEAR(Inputs!$F$26)</f>
        <v>9</v>
      </c>
      <c r="Y327" s="58" t="n">
        <f aca="false">Y$291-YEAR(Inputs!$F$26)</f>
        <v>10</v>
      </c>
      <c r="Z327" s="58" t="n">
        <f aca="false">Z$291-YEAR(Inputs!$F$26)</f>
        <v>11</v>
      </c>
      <c r="AA327" s="58" t="n">
        <f aca="false">AA$291-YEAR(Inputs!$F$26)</f>
        <v>12</v>
      </c>
      <c r="AB327" s="58" t="n">
        <f aca="false">AB$291-YEAR(Inputs!$F$26)</f>
        <v>13</v>
      </c>
      <c r="AC327" s="58" t="n">
        <f aca="false">AC$291-YEAR(Inputs!$F$26)</f>
        <v>14</v>
      </c>
      <c r="AD327" s="58" t="n">
        <f aca="false">AD$291-YEAR(Inputs!$F$26)</f>
        <v>15</v>
      </c>
      <c r="AE327" s="58" t="n">
        <f aca="false">AE$291-YEAR(Inputs!$F$26)</f>
        <v>16</v>
      </c>
      <c r="AF327" s="58" t="n">
        <f aca="false">AF$291-YEAR(Inputs!$F$26)</f>
        <v>17</v>
      </c>
      <c r="AG327" s="58" t="n">
        <f aca="false">AG$291-YEAR(Inputs!$F$26)</f>
        <v>18</v>
      </c>
      <c r="AH327" s="58" t="n">
        <f aca="false">AH$291-YEAR(Inputs!$F$26)</f>
        <v>19</v>
      </c>
      <c r="AI327" s="58" t="n">
        <f aca="false">AI$291-YEAR(Inputs!$F$26)</f>
        <v>20</v>
      </c>
      <c r="AJ327" s="58" t="n">
        <f aca="false">AJ$291-YEAR(Inputs!$F$26)</f>
        <v>21</v>
      </c>
      <c r="AK327" s="58" t="n">
        <f aca="false">AK$291-YEAR(Inputs!$F$26)</f>
        <v>22</v>
      </c>
      <c r="AL327" s="58" t="n">
        <f aca="false">AL$291-YEAR(Inputs!$F$26)</f>
        <v>23</v>
      </c>
      <c r="AM327" s="58" t="n">
        <f aca="false">AM$291-YEAR(Inputs!$F$26)</f>
        <v>24</v>
      </c>
      <c r="AN327" s="58" t="n">
        <f aca="false">AN$291-YEAR(Inputs!$F$26)</f>
        <v>25</v>
      </c>
      <c r="AO327" s="58" t="n">
        <f aca="false">AO$291-YEAR(Inputs!$F$26)</f>
        <v>26</v>
      </c>
      <c r="AP327" s="58" t="n">
        <f aca="false">AP$291-YEAR(Inputs!$F$26)</f>
        <v>27</v>
      </c>
      <c r="AQ327" s="58" t="n">
        <f aca="false">AQ$291-YEAR(Inputs!$F$26)</f>
        <v>28</v>
      </c>
      <c r="AR327" s="58" t="n">
        <f aca="false">AR$291-YEAR(Inputs!$F$26)</f>
        <v>29</v>
      </c>
      <c r="AS327" s="58" t="n">
        <f aca="false">AS$291-YEAR(Inputs!$F$26)</f>
        <v>30</v>
      </c>
    </row>
    <row r="328" customFormat="false" ht="14.25" hidden="false" customHeight="false" outlineLevel="0" collapsed="false">
      <c r="C328" s="6" t="s">
        <v>248</v>
      </c>
      <c r="D328" s="2" t="s">
        <v>249</v>
      </c>
      <c r="F328" s="58" t="n">
        <f aca="false">DATEDIF(Inputs!$F$25,Inputs!$F$26,"m")</f>
        <v>24</v>
      </c>
      <c r="J328" s="58" t="n">
        <f aca="false">(J$291+1-YEAR(Inputs!$F$25))*Months_In_Year-MONTH(Inputs!$F$25)</f>
        <v>-30</v>
      </c>
      <c r="K328" s="58" t="n">
        <f aca="false">(K$291+1-YEAR(Inputs!$F$25))*Months_In_Year-MONTH(Inputs!$F$25)</f>
        <v>-18</v>
      </c>
      <c r="L328" s="58" t="n">
        <f aca="false">(L$291+1-YEAR(Inputs!$F$25))*Months_In_Year-MONTH(Inputs!$F$25)</f>
        <v>-6</v>
      </c>
      <c r="M328" s="58" t="n">
        <f aca="false">(M$291+1-YEAR(Inputs!$F$25))*Months_In_Year-MONTH(Inputs!$F$25)</f>
        <v>6</v>
      </c>
      <c r="N328" s="58" t="n">
        <f aca="false">(N$291+1-YEAR(Inputs!$F$25))*Months_In_Year-MONTH(Inputs!$F$25)</f>
        <v>18</v>
      </c>
      <c r="O328" s="58" t="n">
        <f aca="false">(O$291+1-YEAR(Inputs!$F$25))*Months_In_Year-MONTH(Inputs!$F$25)</f>
        <v>30</v>
      </c>
      <c r="P328" s="58" t="n">
        <f aca="false">(P$291+1-YEAR(Inputs!$F$25))*Months_In_Year-MONTH(Inputs!$F$25)</f>
        <v>42</v>
      </c>
      <c r="Q328" s="58" t="n">
        <f aca="false">(Q$291+1-YEAR(Inputs!$F$25))*Months_In_Year-MONTH(Inputs!$F$25)</f>
        <v>54</v>
      </c>
      <c r="R328" s="58" t="n">
        <f aca="false">(R$291+1-YEAR(Inputs!$F$25))*Months_In_Year-MONTH(Inputs!$F$25)</f>
        <v>66</v>
      </c>
      <c r="S328" s="58" t="n">
        <f aca="false">(S$291+1-YEAR(Inputs!$F$25))*Months_In_Year-MONTH(Inputs!$F$25)</f>
        <v>78</v>
      </c>
      <c r="T328" s="58" t="n">
        <f aca="false">(T$291+1-YEAR(Inputs!$F$25))*Months_In_Year-MONTH(Inputs!$F$25)</f>
        <v>90</v>
      </c>
      <c r="U328" s="58" t="n">
        <f aca="false">(U$291+1-YEAR(Inputs!$F$25))*Months_In_Year-MONTH(Inputs!$F$25)</f>
        <v>102</v>
      </c>
      <c r="V328" s="58" t="n">
        <f aca="false">(V$291+1-YEAR(Inputs!$F$25))*Months_In_Year-MONTH(Inputs!$F$25)</f>
        <v>114</v>
      </c>
      <c r="W328" s="58" t="n">
        <f aca="false">(W$291+1-YEAR(Inputs!$F$25))*Months_In_Year-MONTH(Inputs!$F$25)</f>
        <v>126</v>
      </c>
      <c r="X328" s="58" t="n">
        <f aca="false">(X$291+1-YEAR(Inputs!$F$25))*Months_In_Year-MONTH(Inputs!$F$25)</f>
        <v>138</v>
      </c>
      <c r="Y328" s="58" t="n">
        <f aca="false">(Y$291+1-YEAR(Inputs!$F$25))*Months_In_Year-MONTH(Inputs!$F$25)</f>
        <v>150</v>
      </c>
      <c r="Z328" s="58" t="n">
        <f aca="false">(Z$291+1-YEAR(Inputs!$F$25))*Months_In_Year-MONTH(Inputs!$F$25)</f>
        <v>162</v>
      </c>
      <c r="AA328" s="58" t="n">
        <f aca="false">(AA$291+1-YEAR(Inputs!$F$25))*Months_In_Year-MONTH(Inputs!$F$25)</f>
        <v>174</v>
      </c>
      <c r="AB328" s="58" t="n">
        <f aca="false">(AB$291+1-YEAR(Inputs!$F$25))*Months_In_Year-MONTH(Inputs!$F$25)</f>
        <v>186</v>
      </c>
      <c r="AC328" s="58" t="n">
        <f aca="false">(AC$291+1-YEAR(Inputs!$F$25))*Months_In_Year-MONTH(Inputs!$F$25)</f>
        <v>198</v>
      </c>
      <c r="AD328" s="58" t="n">
        <f aca="false">(AD$291+1-YEAR(Inputs!$F$25))*Months_In_Year-MONTH(Inputs!$F$25)</f>
        <v>210</v>
      </c>
      <c r="AE328" s="58" t="n">
        <f aca="false">(AE$291+1-YEAR(Inputs!$F$25))*Months_In_Year-MONTH(Inputs!$F$25)</f>
        <v>222</v>
      </c>
      <c r="AF328" s="58" t="n">
        <f aca="false">(AF$291+1-YEAR(Inputs!$F$25))*Months_In_Year-MONTH(Inputs!$F$25)</f>
        <v>234</v>
      </c>
      <c r="AG328" s="58" t="n">
        <f aca="false">(AG$291+1-YEAR(Inputs!$F$25))*Months_In_Year-MONTH(Inputs!$F$25)</f>
        <v>246</v>
      </c>
      <c r="AH328" s="58" t="n">
        <f aca="false">(AH$291+1-YEAR(Inputs!$F$25))*Months_In_Year-MONTH(Inputs!$F$25)</f>
        <v>258</v>
      </c>
      <c r="AI328" s="58" t="n">
        <f aca="false">(AI$291+1-YEAR(Inputs!$F$25))*Months_In_Year-MONTH(Inputs!$F$25)</f>
        <v>270</v>
      </c>
      <c r="AJ328" s="58" t="n">
        <f aca="false">(AJ$291+1-YEAR(Inputs!$F$25))*Months_In_Year-MONTH(Inputs!$F$25)</f>
        <v>282</v>
      </c>
      <c r="AK328" s="58" t="n">
        <f aca="false">(AK$291+1-YEAR(Inputs!$F$25))*Months_In_Year-MONTH(Inputs!$F$25)</f>
        <v>294</v>
      </c>
      <c r="AL328" s="58" t="n">
        <f aca="false">(AL$291+1-YEAR(Inputs!$F$25))*Months_In_Year-MONTH(Inputs!$F$25)</f>
        <v>306</v>
      </c>
      <c r="AM328" s="58" t="n">
        <f aca="false">(AM$291+1-YEAR(Inputs!$F$25))*Months_In_Year-MONTH(Inputs!$F$25)</f>
        <v>318</v>
      </c>
      <c r="AN328" s="58" t="n">
        <f aca="false">(AN$291+1-YEAR(Inputs!$F$25))*Months_In_Year-MONTH(Inputs!$F$25)</f>
        <v>330</v>
      </c>
      <c r="AO328" s="58" t="n">
        <f aca="false">(AO$291+1-YEAR(Inputs!$F$25))*Months_In_Year-MONTH(Inputs!$F$25)</f>
        <v>342</v>
      </c>
      <c r="AP328" s="58" t="n">
        <f aca="false">(AP$291+1-YEAR(Inputs!$F$25))*Months_In_Year-MONTH(Inputs!$F$25)</f>
        <v>354</v>
      </c>
      <c r="AQ328" s="58" t="n">
        <f aca="false">(AQ$291+1-YEAR(Inputs!$F$25))*Months_In_Year-MONTH(Inputs!$F$25)</f>
        <v>366</v>
      </c>
      <c r="AR328" s="58" t="n">
        <f aca="false">(AR$291+1-YEAR(Inputs!$F$25))*Months_In_Year-MONTH(Inputs!$F$25)</f>
        <v>378</v>
      </c>
      <c r="AS328" s="58" t="n">
        <f aca="false">(AS$291+1-YEAR(Inputs!$F$25))*Months_In_Year-MONTH(Inputs!$F$25)</f>
        <v>390</v>
      </c>
    </row>
    <row r="329" customFormat="false" ht="14.25" hidden="false" customHeight="false" outlineLevel="0" collapsed="false">
      <c r="C329" s="6" t="s">
        <v>250</v>
      </c>
      <c r="D329" s="2" t="s">
        <v>12</v>
      </c>
      <c r="H329" s="65" t="n">
        <f aca="false">SUM(J329:AS329)</f>
        <v>1</v>
      </c>
      <c r="J329" s="50" t="n">
        <f aca="false">MAX(0,MIN(J328,$F328)-MAX(J328-Months_In_Year,0))/$F328</f>
        <v>0</v>
      </c>
      <c r="K329" s="50" t="n">
        <f aca="false">MAX(0,MIN(K328,$F328)-MAX(K328-Months_In_Year,0))/$F328</f>
        <v>0</v>
      </c>
      <c r="L329" s="50" t="n">
        <f aca="false">MAX(0,MIN(L328,$F328)-MAX(L328-Months_In_Year,0))/$F328</f>
        <v>0</v>
      </c>
      <c r="M329" s="50" t="n">
        <f aca="false">MAX(0,MIN(M328,$F328)-MAX(M328-Months_In_Year,0))/$F328</f>
        <v>0.25</v>
      </c>
      <c r="N329" s="50" t="n">
        <f aca="false">MAX(0,MIN(N328,$F328)-MAX(N328-Months_In_Year,0))/$F328</f>
        <v>0.5</v>
      </c>
      <c r="O329" s="50" t="n">
        <f aca="false">MAX(0,MIN(O328,$F328)-MAX(O328-Months_In_Year,0))/$F328</f>
        <v>0.25</v>
      </c>
      <c r="P329" s="50" t="n">
        <f aca="false">MAX(0,MIN(P328,$F328)-MAX(P328-Months_In_Year,0))/$F328</f>
        <v>0</v>
      </c>
      <c r="Q329" s="50" t="n">
        <f aca="false">MAX(0,MIN(Q328,$F328)-MAX(Q328-Months_In_Year,0))/$F328</f>
        <v>0</v>
      </c>
      <c r="R329" s="50" t="n">
        <f aca="false">MAX(0,MIN(R328,$F328)-MAX(R328-Months_In_Year,0))/$F328</f>
        <v>0</v>
      </c>
      <c r="S329" s="50" t="n">
        <f aca="false">MAX(0,MIN(S328,$F328)-MAX(S328-Months_In_Year,0))/$F328</f>
        <v>0</v>
      </c>
      <c r="T329" s="50" t="n">
        <f aca="false">MAX(0,MIN(T328,$F328)-MAX(T328-Months_In_Year,0))/$F328</f>
        <v>0</v>
      </c>
      <c r="U329" s="50" t="n">
        <f aca="false">MAX(0,MIN(U328,$F328)-MAX(U328-Months_In_Year,0))/$F328</f>
        <v>0</v>
      </c>
      <c r="V329" s="50" t="n">
        <f aca="false">MAX(0,MIN(V328,$F328)-MAX(V328-Months_In_Year,0))/$F328</f>
        <v>0</v>
      </c>
      <c r="W329" s="50" t="n">
        <f aca="false">MAX(0,MIN(W328,$F328)-MAX(W328-Months_In_Year,0))/$F328</f>
        <v>0</v>
      </c>
      <c r="X329" s="50" t="n">
        <f aca="false">MAX(0,MIN(X328,$F328)-MAX(X328-Months_In_Year,0))/$F328</f>
        <v>0</v>
      </c>
      <c r="Y329" s="50" t="n">
        <f aca="false">MAX(0,MIN(Y328,$F328)-MAX(Y328-Months_In_Year,0))/$F328</f>
        <v>0</v>
      </c>
      <c r="Z329" s="50" t="n">
        <f aca="false">MAX(0,MIN(Z328,$F328)-MAX(Z328-Months_In_Year,0))/$F328</f>
        <v>0</v>
      </c>
      <c r="AA329" s="50" t="n">
        <f aca="false">MAX(0,MIN(AA328,$F328)-MAX(AA328-Months_In_Year,0))/$F328</f>
        <v>0</v>
      </c>
      <c r="AB329" s="50" t="n">
        <f aca="false">MAX(0,MIN(AB328,$F328)-MAX(AB328-Months_In_Year,0))/$F328</f>
        <v>0</v>
      </c>
      <c r="AC329" s="50" t="n">
        <f aca="false">MAX(0,MIN(AC328,$F328)-MAX(AC328-Months_In_Year,0))/$F328</f>
        <v>0</v>
      </c>
      <c r="AD329" s="50" t="n">
        <f aca="false">MAX(0,MIN(AD328,$F328)-MAX(AD328-Months_In_Year,0))/$F328</f>
        <v>0</v>
      </c>
      <c r="AE329" s="50" t="n">
        <f aca="false">MAX(0,MIN(AE328,$F328)-MAX(AE328-Months_In_Year,0))/$F328</f>
        <v>0</v>
      </c>
      <c r="AF329" s="50" t="n">
        <f aca="false">MAX(0,MIN(AF328,$F328)-MAX(AF328-Months_In_Year,0))/$F328</f>
        <v>0</v>
      </c>
      <c r="AG329" s="50" t="n">
        <f aca="false">MAX(0,MIN(AG328,$F328)-MAX(AG328-Months_In_Year,0))/$F328</f>
        <v>0</v>
      </c>
      <c r="AH329" s="50" t="n">
        <f aca="false">MAX(0,MIN(AH328,$F328)-MAX(AH328-Months_In_Year,0))/$F328</f>
        <v>0</v>
      </c>
      <c r="AI329" s="50" t="n">
        <f aca="false">MAX(0,MIN(AI328,$F328)-MAX(AI328-Months_In_Year,0))/$F328</f>
        <v>0</v>
      </c>
      <c r="AJ329" s="50" t="n">
        <f aca="false">MAX(0,MIN(AJ328,$F328)-MAX(AJ328-Months_In_Year,0))/$F328</f>
        <v>0</v>
      </c>
      <c r="AK329" s="50" t="n">
        <f aca="false">MAX(0,MIN(AK328,$F328)-MAX(AK328-Months_In_Year,0))/$F328</f>
        <v>0</v>
      </c>
      <c r="AL329" s="50" t="n">
        <f aca="false">MAX(0,MIN(AL328,$F328)-MAX(AL328-Months_In_Year,0))/$F328</f>
        <v>0</v>
      </c>
      <c r="AM329" s="50" t="n">
        <f aca="false">MAX(0,MIN(AM328,$F328)-MAX(AM328-Months_In_Year,0))/$F328</f>
        <v>0</v>
      </c>
      <c r="AN329" s="50" t="n">
        <f aca="false">MAX(0,MIN(AN328,$F328)-MAX(AN328-Months_In_Year,0))/$F328</f>
        <v>0</v>
      </c>
      <c r="AO329" s="50" t="n">
        <f aca="false">MAX(0,MIN(AO328,$F328)-MAX(AO328-Months_In_Year,0))/$F328</f>
        <v>0</v>
      </c>
      <c r="AP329" s="50" t="n">
        <f aca="false">MAX(0,MIN(AP328,$F328)-MAX(AP328-Months_In_Year,0))/$F328</f>
        <v>0</v>
      </c>
      <c r="AQ329" s="50" t="n">
        <f aca="false">MAX(0,MIN(AQ328,$F328)-MAX(AQ328-Months_In_Year,0))/$F328</f>
        <v>0</v>
      </c>
      <c r="AR329" s="50" t="n">
        <f aca="false">MAX(0,MIN(AR328,$F328)-MAX(AR328-Months_In_Year,0))/$F328</f>
        <v>0</v>
      </c>
      <c r="AS329" s="50" t="n">
        <f aca="false">MAX(0,MIN(AS328,$F328)-MAX(AS328-Months_In_Year,0))/$F328</f>
        <v>0</v>
      </c>
    </row>
    <row r="330" customFormat="false" ht="14.25" hidden="false" customHeight="false" outlineLevel="0" collapsed="false">
      <c r="C330" s="6" t="s">
        <v>251</v>
      </c>
      <c r="D330" s="2" t="s">
        <v>249</v>
      </c>
      <c r="F330" s="58" t="n">
        <f aca="false">Life*Months_In_Year</f>
        <v>360</v>
      </c>
      <c r="J330" s="58" t="n">
        <f aca="false">(J$291+1-YEAR(Inputs!$F$26))*Months_In_Year-MONTH(Inputs!$F$26)</f>
        <v>-54</v>
      </c>
      <c r="K330" s="58" t="n">
        <f aca="false">(K$291+1-YEAR(Inputs!$F$26))*Months_In_Year-MONTH(Inputs!$F$26)</f>
        <v>-42</v>
      </c>
      <c r="L330" s="58" t="n">
        <f aca="false">(L$291+1-YEAR(Inputs!$F$26))*Months_In_Year-MONTH(Inputs!$F$26)</f>
        <v>-30</v>
      </c>
      <c r="M330" s="58" t="n">
        <f aca="false">(M$291+1-YEAR(Inputs!$F$26))*Months_In_Year-MONTH(Inputs!$F$26)</f>
        <v>-18</v>
      </c>
      <c r="N330" s="58" t="n">
        <f aca="false">(N$291+1-YEAR(Inputs!$F$26))*Months_In_Year-MONTH(Inputs!$F$26)</f>
        <v>-6</v>
      </c>
      <c r="O330" s="58" t="n">
        <f aca="false">(O$291+1-YEAR(Inputs!$F$26))*Months_In_Year-MONTH(Inputs!$F$26)</f>
        <v>6</v>
      </c>
      <c r="P330" s="58" t="n">
        <f aca="false">(P$291+1-YEAR(Inputs!$F$26))*Months_In_Year-MONTH(Inputs!$F$26)</f>
        <v>18</v>
      </c>
      <c r="Q330" s="58" t="n">
        <f aca="false">(Q$291+1-YEAR(Inputs!$F$26))*Months_In_Year-MONTH(Inputs!$F$26)</f>
        <v>30</v>
      </c>
      <c r="R330" s="58" t="n">
        <f aca="false">(R$291+1-YEAR(Inputs!$F$26))*Months_In_Year-MONTH(Inputs!$F$26)</f>
        <v>42</v>
      </c>
      <c r="S330" s="58" t="n">
        <f aca="false">(S$291+1-YEAR(Inputs!$F$26))*Months_In_Year-MONTH(Inputs!$F$26)</f>
        <v>54</v>
      </c>
      <c r="T330" s="58" t="n">
        <f aca="false">(T$291+1-YEAR(Inputs!$F$26))*Months_In_Year-MONTH(Inputs!$F$26)</f>
        <v>66</v>
      </c>
      <c r="U330" s="58" t="n">
        <f aca="false">(U$291+1-YEAR(Inputs!$F$26))*Months_In_Year-MONTH(Inputs!$F$26)</f>
        <v>78</v>
      </c>
      <c r="V330" s="58" t="n">
        <f aca="false">(V$291+1-YEAR(Inputs!$F$26))*Months_In_Year-MONTH(Inputs!$F$26)</f>
        <v>90</v>
      </c>
      <c r="W330" s="58" t="n">
        <f aca="false">(W$291+1-YEAR(Inputs!$F$26))*Months_In_Year-MONTH(Inputs!$F$26)</f>
        <v>102</v>
      </c>
      <c r="X330" s="58" t="n">
        <f aca="false">(X$291+1-YEAR(Inputs!$F$26))*Months_In_Year-MONTH(Inputs!$F$26)</f>
        <v>114</v>
      </c>
      <c r="Y330" s="58" t="n">
        <f aca="false">(Y$291+1-YEAR(Inputs!$F$26))*Months_In_Year-MONTH(Inputs!$F$26)</f>
        <v>126</v>
      </c>
      <c r="Z330" s="58" t="n">
        <f aca="false">(Z$291+1-YEAR(Inputs!$F$26))*Months_In_Year-MONTH(Inputs!$F$26)</f>
        <v>138</v>
      </c>
      <c r="AA330" s="58" t="n">
        <f aca="false">(AA$291+1-YEAR(Inputs!$F$26))*Months_In_Year-MONTH(Inputs!$F$26)</f>
        <v>150</v>
      </c>
      <c r="AB330" s="58" t="n">
        <f aca="false">(AB$291+1-YEAR(Inputs!$F$26))*Months_In_Year-MONTH(Inputs!$F$26)</f>
        <v>162</v>
      </c>
      <c r="AC330" s="58" t="n">
        <f aca="false">(AC$291+1-YEAR(Inputs!$F$26))*Months_In_Year-MONTH(Inputs!$F$26)</f>
        <v>174</v>
      </c>
      <c r="AD330" s="58" t="n">
        <f aca="false">(AD$291+1-YEAR(Inputs!$F$26))*Months_In_Year-MONTH(Inputs!$F$26)</f>
        <v>186</v>
      </c>
      <c r="AE330" s="58" t="n">
        <f aca="false">(AE$291+1-YEAR(Inputs!$F$26))*Months_In_Year-MONTH(Inputs!$F$26)</f>
        <v>198</v>
      </c>
      <c r="AF330" s="58" t="n">
        <f aca="false">(AF$291+1-YEAR(Inputs!$F$26))*Months_In_Year-MONTH(Inputs!$F$26)</f>
        <v>210</v>
      </c>
      <c r="AG330" s="58" t="n">
        <f aca="false">(AG$291+1-YEAR(Inputs!$F$26))*Months_In_Year-MONTH(Inputs!$F$26)</f>
        <v>222</v>
      </c>
      <c r="AH330" s="58" t="n">
        <f aca="false">(AH$291+1-YEAR(Inputs!$F$26))*Months_In_Year-MONTH(Inputs!$F$26)</f>
        <v>234</v>
      </c>
      <c r="AI330" s="58" t="n">
        <f aca="false">(AI$291+1-YEAR(Inputs!$F$26))*Months_In_Year-MONTH(Inputs!$F$26)</f>
        <v>246</v>
      </c>
      <c r="AJ330" s="58" t="n">
        <f aca="false">(AJ$291+1-YEAR(Inputs!$F$26))*Months_In_Year-MONTH(Inputs!$F$26)</f>
        <v>258</v>
      </c>
      <c r="AK330" s="58" t="n">
        <f aca="false">(AK$291+1-YEAR(Inputs!$F$26))*Months_In_Year-MONTH(Inputs!$F$26)</f>
        <v>270</v>
      </c>
      <c r="AL330" s="58" t="n">
        <f aca="false">(AL$291+1-YEAR(Inputs!$F$26))*Months_In_Year-MONTH(Inputs!$F$26)</f>
        <v>282</v>
      </c>
      <c r="AM330" s="58" t="n">
        <f aca="false">(AM$291+1-YEAR(Inputs!$F$26))*Months_In_Year-MONTH(Inputs!$F$26)</f>
        <v>294</v>
      </c>
      <c r="AN330" s="58" t="n">
        <f aca="false">(AN$291+1-YEAR(Inputs!$F$26))*Months_In_Year-MONTH(Inputs!$F$26)</f>
        <v>306</v>
      </c>
      <c r="AO330" s="58" t="n">
        <f aca="false">(AO$291+1-YEAR(Inputs!$F$26))*Months_In_Year-MONTH(Inputs!$F$26)</f>
        <v>318</v>
      </c>
      <c r="AP330" s="58" t="n">
        <f aca="false">(AP$291+1-YEAR(Inputs!$F$26))*Months_In_Year-MONTH(Inputs!$F$26)</f>
        <v>330</v>
      </c>
      <c r="AQ330" s="58" t="n">
        <f aca="false">(AQ$291+1-YEAR(Inputs!$F$26))*Months_In_Year-MONTH(Inputs!$F$26)</f>
        <v>342</v>
      </c>
      <c r="AR330" s="58" t="n">
        <f aca="false">(AR$291+1-YEAR(Inputs!$F$26))*Months_In_Year-MONTH(Inputs!$F$26)</f>
        <v>354</v>
      </c>
      <c r="AS330" s="58" t="n">
        <f aca="false">(AS$291+1-YEAR(Inputs!$F$26))*Months_In_Year-MONTH(Inputs!$F$26)</f>
        <v>366</v>
      </c>
    </row>
    <row r="331" customFormat="false" ht="14.25" hidden="false" customHeight="false" outlineLevel="0" collapsed="false">
      <c r="C331" s="6" t="s">
        <v>252</v>
      </c>
      <c r="D331" s="2" t="s">
        <v>12</v>
      </c>
      <c r="H331" s="65" t="n">
        <f aca="false">SUM(J331:AS331)</f>
        <v>30</v>
      </c>
      <c r="J331" s="50" t="n">
        <f aca="false">MAX(0,MIN(J330,$F330)-MAX(J330-Months_In_Year,0))/Months_In_Year</f>
        <v>0</v>
      </c>
      <c r="K331" s="50" t="n">
        <f aca="false">MAX(0,MIN(K330,$F330)-MAX(K330-Months_In_Year,0))/Months_In_Year</f>
        <v>0</v>
      </c>
      <c r="L331" s="50" t="n">
        <f aca="false">MAX(0,MIN(L330,$F330)-MAX(L330-Months_In_Year,0))/Months_In_Year</f>
        <v>0</v>
      </c>
      <c r="M331" s="50" t="n">
        <f aca="false">MAX(0,MIN(M330,$F330)-MAX(M330-Months_In_Year,0))/Months_In_Year</f>
        <v>0</v>
      </c>
      <c r="N331" s="50" t="n">
        <f aca="false">MAX(0,MIN(N330,$F330)-MAX(N330-Months_In_Year,0))/Months_In_Year</f>
        <v>0</v>
      </c>
      <c r="O331" s="50" t="n">
        <f aca="false">MAX(0,MIN(O330,$F330)-MAX(O330-Months_In_Year,0))/Months_In_Year</f>
        <v>0.5</v>
      </c>
      <c r="P331" s="50" t="n">
        <f aca="false">MAX(0,MIN(P330,$F330)-MAX(P330-Months_In_Year,0))/Months_In_Year</f>
        <v>1</v>
      </c>
      <c r="Q331" s="50" t="n">
        <f aca="false">MAX(0,MIN(Q330,$F330)-MAX(Q330-Months_In_Year,0))/Months_In_Year</f>
        <v>1</v>
      </c>
      <c r="R331" s="50" t="n">
        <f aca="false">MAX(0,MIN(R330,$F330)-MAX(R330-Months_In_Year,0))/Months_In_Year</f>
        <v>1</v>
      </c>
      <c r="S331" s="50" t="n">
        <f aca="false">MAX(0,MIN(S330,$F330)-MAX(S330-Months_In_Year,0))/Months_In_Year</f>
        <v>1</v>
      </c>
      <c r="T331" s="50" t="n">
        <f aca="false">MAX(0,MIN(T330,$F330)-MAX(T330-Months_In_Year,0))/Months_In_Year</f>
        <v>1</v>
      </c>
      <c r="U331" s="50" t="n">
        <f aca="false">MAX(0,MIN(U330,$F330)-MAX(U330-Months_In_Year,0))/Months_In_Year</f>
        <v>1</v>
      </c>
      <c r="V331" s="50" t="n">
        <f aca="false">MAX(0,MIN(V330,$F330)-MAX(V330-Months_In_Year,0))/Months_In_Year</f>
        <v>1</v>
      </c>
      <c r="W331" s="50" t="n">
        <f aca="false">MAX(0,MIN(W330,$F330)-MAX(W330-Months_In_Year,0))/Months_In_Year</f>
        <v>1</v>
      </c>
      <c r="X331" s="50" t="n">
        <f aca="false">MAX(0,MIN(X330,$F330)-MAX(X330-Months_In_Year,0))/Months_In_Year</f>
        <v>1</v>
      </c>
      <c r="Y331" s="50" t="n">
        <f aca="false">MAX(0,MIN(Y330,$F330)-MAX(Y330-Months_In_Year,0))/Months_In_Year</f>
        <v>1</v>
      </c>
      <c r="Z331" s="50" t="n">
        <f aca="false">MAX(0,MIN(Z330,$F330)-MAX(Z330-Months_In_Year,0))/Months_In_Year</f>
        <v>1</v>
      </c>
      <c r="AA331" s="50" t="n">
        <f aca="false">MAX(0,MIN(AA330,$F330)-MAX(AA330-Months_In_Year,0))/Months_In_Year</f>
        <v>1</v>
      </c>
      <c r="AB331" s="50" t="n">
        <f aca="false">MAX(0,MIN(AB330,$F330)-MAX(AB330-Months_In_Year,0))/Months_In_Year</f>
        <v>1</v>
      </c>
      <c r="AC331" s="50" t="n">
        <f aca="false">MAX(0,MIN(AC330,$F330)-MAX(AC330-Months_In_Year,0))/Months_In_Year</f>
        <v>1</v>
      </c>
      <c r="AD331" s="50" t="n">
        <f aca="false">MAX(0,MIN(AD330,$F330)-MAX(AD330-Months_In_Year,0))/Months_In_Year</f>
        <v>1</v>
      </c>
      <c r="AE331" s="50" t="n">
        <f aca="false">MAX(0,MIN(AE330,$F330)-MAX(AE330-Months_In_Year,0))/Months_In_Year</f>
        <v>1</v>
      </c>
      <c r="AF331" s="50" t="n">
        <f aca="false">MAX(0,MIN(AF330,$F330)-MAX(AF330-Months_In_Year,0))/Months_In_Year</f>
        <v>1</v>
      </c>
      <c r="AG331" s="50" t="n">
        <f aca="false">MAX(0,MIN(AG330,$F330)-MAX(AG330-Months_In_Year,0))/Months_In_Year</f>
        <v>1</v>
      </c>
      <c r="AH331" s="50" t="n">
        <f aca="false">MAX(0,MIN(AH330,$F330)-MAX(AH330-Months_In_Year,0))/Months_In_Year</f>
        <v>1</v>
      </c>
      <c r="AI331" s="50" t="n">
        <f aca="false">MAX(0,MIN(AI330,$F330)-MAX(AI330-Months_In_Year,0))/Months_In_Year</f>
        <v>1</v>
      </c>
      <c r="AJ331" s="50" t="n">
        <f aca="false">MAX(0,MIN(AJ330,$F330)-MAX(AJ330-Months_In_Year,0))/Months_In_Year</f>
        <v>1</v>
      </c>
      <c r="AK331" s="50" t="n">
        <f aca="false">MAX(0,MIN(AK330,$F330)-MAX(AK330-Months_In_Year,0))/Months_In_Year</f>
        <v>1</v>
      </c>
      <c r="AL331" s="50" t="n">
        <f aca="false">MAX(0,MIN(AL330,$F330)-MAX(AL330-Months_In_Year,0))/Months_In_Year</f>
        <v>1</v>
      </c>
      <c r="AM331" s="50" t="n">
        <f aca="false">MAX(0,MIN(AM330,$F330)-MAX(AM330-Months_In_Year,0))/Months_In_Year</f>
        <v>1</v>
      </c>
      <c r="AN331" s="50" t="n">
        <f aca="false">MAX(0,MIN(AN330,$F330)-MAX(AN330-Months_In_Year,0))/Months_In_Year</f>
        <v>1</v>
      </c>
      <c r="AO331" s="50" t="n">
        <f aca="false">MAX(0,MIN(AO330,$F330)-MAX(AO330-Months_In_Year,0))/Months_In_Year</f>
        <v>1</v>
      </c>
      <c r="AP331" s="50" t="n">
        <f aca="false">MAX(0,MIN(AP330,$F330)-MAX(AP330-Months_In_Year,0))/Months_In_Year</f>
        <v>1</v>
      </c>
      <c r="AQ331" s="50" t="n">
        <f aca="false">MAX(0,MIN(AQ330,$F330)-MAX(AQ330-Months_In_Year,0))/Months_In_Year</f>
        <v>1</v>
      </c>
      <c r="AR331" s="50" t="n">
        <f aca="false">MAX(0,MIN(AR330,$F330)-MAX(AR330-Months_In_Year,0))/Months_In_Year</f>
        <v>1</v>
      </c>
      <c r="AS331" s="50" t="n">
        <f aca="false">MAX(0,MIN(AS330,$F330)-MAX(AS330-Months_In_Year,0))/Months_In_Year</f>
        <v>0.5</v>
      </c>
    </row>
    <row r="332" customFormat="false" ht="14.25" hidden="false" customHeight="false" outlineLevel="0" collapsed="false">
      <c r="C332" s="6" t="s">
        <v>253</v>
      </c>
      <c r="D332" s="2" t="s">
        <v>2</v>
      </c>
      <c r="J332" s="66" t="n">
        <f aca="false">N(J327=0)</f>
        <v>0</v>
      </c>
      <c r="K332" s="66" t="n">
        <f aca="false">N(K327=0)</f>
        <v>0</v>
      </c>
      <c r="L332" s="66" t="n">
        <f aca="false">N(L327=0)</f>
        <v>0</v>
      </c>
      <c r="M332" s="66" t="n">
        <f aca="false">N(M327=0)</f>
        <v>0</v>
      </c>
      <c r="N332" s="66" t="n">
        <f aca="false">N(N327=0)</f>
        <v>0</v>
      </c>
      <c r="O332" s="66" t="n">
        <f aca="false">N(O327=0)</f>
        <v>1</v>
      </c>
      <c r="P332" s="66" t="n">
        <f aca="false">N(P327=0)</f>
        <v>0</v>
      </c>
      <c r="Q332" s="66" t="n">
        <f aca="false">N(Q327=0)</f>
        <v>0</v>
      </c>
      <c r="R332" s="66" t="n">
        <f aca="false">N(R327=0)</f>
        <v>0</v>
      </c>
      <c r="S332" s="66" t="n">
        <f aca="false">N(S327=0)</f>
        <v>0</v>
      </c>
      <c r="T332" s="66" t="n">
        <f aca="false">N(T327=0)</f>
        <v>0</v>
      </c>
      <c r="U332" s="66" t="n">
        <f aca="false">N(U327=0)</f>
        <v>0</v>
      </c>
      <c r="V332" s="66" t="n">
        <f aca="false">N(V327=0)</f>
        <v>0</v>
      </c>
      <c r="W332" s="66" t="n">
        <f aca="false">N(W327=0)</f>
        <v>0</v>
      </c>
      <c r="X332" s="66" t="n">
        <f aca="false">N(X327=0)</f>
        <v>0</v>
      </c>
      <c r="Y332" s="66" t="n">
        <f aca="false">N(Y327=0)</f>
        <v>0</v>
      </c>
      <c r="Z332" s="66" t="n">
        <f aca="false">N(Z327=0)</f>
        <v>0</v>
      </c>
      <c r="AA332" s="66" t="n">
        <f aca="false">N(AA327=0)</f>
        <v>0</v>
      </c>
      <c r="AB332" s="66" t="n">
        <f aca="false">N(AB327=0)</f>
        <v>0</v>
      </c>
      <c r="AC332" s="66" t="n">
        <f aca="false">N(AC327=0)</f>
        <v>0</v>
      </c>
      <c r="AD332" s="66" t="n">
        <f aca="false">N(AD327=0)</f>
        <v>0</v>
      </c>
      <c r="AE332" s="66" t="n">
        <f aca="false">N(AE327=0)</f>
        <v>0</v>
      </c>
      <c r="AF332" s="66" t="n">
        <f aca="false">N(AF327=0)</f>
        <v>0</v>
      </c>
      <c r="AG332" s="66" t="n">
        <f aca="false">N(AG327=0)</f>
        <v>0</v>
      </c>
      <c r="AH332" s="66" t="n">
        <f aca="false">N(AH327=0)</f>
        <v>0</v>
      </c>
      <c r="AI332" s="66" t="n">
        <f aca="false">N(AI327=0)</f>
        <v>0</v>
      </c>
      <c r="AJ332" s="66" t="n">
        <f aca="false">N(AJ327=0)</f>
        <v>0</v>
      </c>
      <c r="AK332" s="66" t="n">
        <f aca="false">N(AK327=0)</f>
        <v>0</v>
      </c>
      <c r="AL332" s="66" t="n">
        <f aca="false">N(AL327=0)</f>
        <v>0</v>
      </c>
      <c r="AM332" s="66" t="n">
        <f aca="false">N(AM327=0)</f>
        <v>0</v>
      </c>
      <c r="AN332" s="66" t="n">
        <f aca="false">N(AN327=0)</f>
        <v>0</v>
      </c>
      <c r="AO332" s="66" t="n">
        <f aca="false">N(AO327=0)</f>
        <v>0</v>
      </c>
      <c r="AP332" s="66" t="n">
        <f aca="false">N(AP327=0)</f>
        <v>0</v>
      </c>
      <c r="AQ332" s="66" t="n">
        <f aca="false">N(AQ327=0)</f>
        <v>0</v>
      </c>
      <c r="AR332" s="66" t="n">
        <f aca="false">N(AR327=0)</f>
        <v>0</v>
      </c>
      <c r="AS332" s="66" t="n">
        <f aca="false">N(AS327=0)</f>
        <v>0</v>
      </c>
    </row>
    <row r="333" customFormat="false" ht="14.25" hidden="false" customHeight="false" outlineLevel="0" collapsed="false">
      <c r="C333" s="6" t="s">
        <v>254</v>
      </c>
      <c r="D333" s="2" t="s">
        <v>85</v>
      </c>
      <c r="H333" s="8" t="n">
        <f aca="false">SUM(J333:AS333)</f>
        <v>-7437.89778895164</v>
      </c>
      <c r="J333" s="8" t="n">
        <f aca="false">SUMPRODUCT((YEAR($K$214:$K$222)=J$291)*$F$214:$F$222)</f>
        <v>-657.123287671233</v>
      </c>
      <c r="K333" s="8" t="n">
        <f aca="false">SUMPRODUCT((YEAR($K$214:$K$222)=K$291)*$F$214:$F$222)</f>
        <v>-3313.15361086944</v>
      </c>
      <c r="L333" s="8" t="n">
        <f aca="false">SUMPRODUCT((YEAR($K$214:$K$222)=L$291)*$F$214:$F$222)</f>
        <v>-3467.62089041096</v>
      </c>
      <c r="M333" s="8" t="n">
        <f aca="false">SUMPRODUCT((YEAR($K$214:$K$222)=M$291)*$F$214:$F$222)</f>
        <v>0</v>
      </c>
      <c r="N333" s="8" t="n">
        <f aca="false">SUMPRODUCT((YEAR($K$214:$K$222)=N$291)*$F$214:$F$222)</f>
        <v>0</v>
      </c>
      <c r="O333" s="8" t="n">
        <f aca="false">SUMPRODUCT((YEAR($K$214:$K$222)=O$291)*$F$214:$F$222)</f>
        <v>0</v>
      </c>
      <c r="P333" s="8" t="n">
        <f aca="false">SUMPRODUCT((YEAR($K$214:$K$222)=P$291)*$F$214:$F$222)</f>
        <v>0</v>
      </c>
      <c r="Q333" s="8" t="n">
        <f aca="false">SUMPRODUCT((YEAR($K$214:$K$222)=Q$291)*$F$214:$F$222)</f>
        <v>0</v>
      </c>
      <c r="R333" s="8" t="n">
        <f aca="false">SUMPRODUCT((YEAR($K$214:$K$222)=R$291)*$F$214:$F$222)</f>
        <v>0</v>
      </c>
      <c r="S333" s="8" t="n">
        <f aca="false">SUMPRODUCT((YEAR($K$214:$K$222)=S$291)*$F$214:$F$222)</f>
        <v>0</v>
      </c>
      <c r="T333" s="8" t="n">
        <f aca="false">SUMPRODUCT((YEAR($K$214:$K$222)=T$291)*$F$214:$F$222)</f>
        <v>0</v>
      </c>
      <c r="U333" s="8" t="n">
        <f aca="false">SUMPRODUCT((YEAR($K$214:$K$222)=U$291)*$F$214:$F$222)</f>
        <v>0</v>
      </c>
      <c r="V333" s="8" t="n">
        <f aca="false">SUMPRODUCT((YEAR($K$214:$K$222)=V$291)*$F$214:$F$222)</f>
        <v>0</v>
      </c>
      <c r="W333" s="8" t="n">
        <f aca="false">SUMPRODUCT((YEAR($K$214:$K$222)=W$291)*$F$214:$F$222)</f>
        <v>0</v>
      </c>
      <c r="X333" s="8" t="n">
        <f aca="false">SUMPRODUCT((YEAR($K$214:$K$222)=X$291)*$F$214:$F$222)</f>
        <v>0</v>
      </c>
      <c r="Y333" s="8" t="n">
        <f aca="false">SUMPRODUCT((YEAR($K$214:$K$222)=Y$291)*$F$214:$F$222)</f>
        <v>0</v>
      </c>
      <c r="Z333" s="8" t="n">
        <f aca="false">SUMPRODUCT((YEAR($K$214:$K$222)=Z$291)*$F$214:$F$222)</f>
        <v>0</v>
      </c>
      <c r="AA333" s="8" t="n">
        <f aca="false">SUMPRODUCT((YEAR($K$214:$K$222)=AA$291)*$F$214:$F$222)</f>
        <v>0</v>
      </c>
      <c r="AB333" s="8" t="n">
        <f aca="false">SUMPRODUCT((YEAR($K$214:$K$222)=AB$291)*$F$214:$F$222)</f>
        <v>0</v>
      </c>
      <c r="AC333" s="8" t="n">
        <f aca="false">SUMPRODUCT((YEAR($K$214:$K$222)=AC$291)*$F$214:$F$222)</f>
        <v>0</v>
      </c>
      <c r="AD333" s="8" t="n">
        <f aca="false">SUMPRODUCT((YEAR($K$214:$K$222)=AD$291)*$F$214:$F$222)</f>
        <v>0</v>
      </c>
      <c r="AE333" s="8" t="n">
        <f aca="false">SUMPRODUCT((YEAR($K$214:$K$222)=AE$291)*$F$214:$F$222)</f>
        <v>0</v>
      </c>
      <c r="AF333" s="8" t="n">
        <f aca="false">SUMPRODUCT((YEAR($K$214:$K$222)=AF$291)*$F$214:$F$222)</f>
        <v>0</v>
      </c>
      <c r="AG333" s="8" t="n">
        <f aca="false">SUMPRODUCT((YEAR($K$214:$K$222)=AG$291)*$F$214:$F$222)</f>
        <v>0</v>
      </c>
      <c r="AH333" s="8" t="n">
        <f aca="false">SUMPRODUCT((YEAR($K$214:$K$222)=AH$291)*$F$214:$F$222)</f>
        <v>0</v>
      </c>
      <c r="AI333" s="8" t="n">
        <f aca="false">SUMPRODUCT((YEAR($K$214:$K$222)=AI$291)*$F$214:$F$222)</f>
        <v>0</v>
      </c>
      <c r="AJ333" s="8" t="n">
        <f aca="false">SUMPRODUCT((YEAR($K$214:$K$222)=AJ$291)*$F$214:$F$222)</f>
        <v>0</v>
      </c>
      <c r="AK333" s="8" t="n">
        <f aca="false">SUMPRODUCT((YEAR($K$214:$K$222)=AK$291)*$F$214:$F$222)</f>
        <v>0</v>
      </c>
      <c r="AL333" s="8" t="n">
        <f aca="false">SUMPRODUCT((YEAR($K$214:$K$222)=AL$291)*$F$214:$F$222)</f>
        <v>0</v>
      </c>
      <c r="AM333" s="8" t="n">
        <f aca="false">SUMPRODUCT((YEAR($K$214:$K$222)=AM$291)*$F$214:$F$222)</f>
        <v>0</v>
      </c>
      <c r="AN333" s="8" t="n">
        <f aca="false">SUMPRODUCT((YEAR($K$214:$K$222)=AN$291)*$F$214:$F$222)</f>
        <v>0</v>
      </c>
      <c r="AO333" s="8" t="n">
        <f aca="false">SUMPRODUCT((YEAR($K$214:$K$222)=AO$291)*$F$214:$F$222)</f>
        <v>0</v>
      </c>
      <c r="AP333" s="8" t="n">
        <f aca="false">SUMPRODUCT((YEAR($K$214:$K$222)=AP$291)*$F$214:$F$222)</f>
        <v>0</v>
      </c>
      <c r="AQ333" s="8" t="n">
        <f aca="false">SUMPRODUCT((YEAR($K$214:$K$222)=AQ$291)*$F$214:$F$222)</f>
        <v>0</v>
      </c>
      <c r="AR333" s="8" t="n">
        <f aca="false">SUMPRODUCT((YEAR($K$214:$K$222)=AR$291)*$F$214:$F$222)</f>
        <v>0</v>
      </c>
      <c r="AS333" s="8" t="n">
        <f aca="false">SUMPRODUCT((YEAR($K$214:$K$222)=AS$291)*$F$214:$F$222)</f>
        <v>0</v>
      </c>
    </row>
    <row r="334" customFormat="false" ht="14.25" hidden="false" customHeight="false" outlineLevel="0" collapsed="false">
      <c r="C334" s="6" t="s">
        <v>255</v>
      </c>
      <c r="D334" s="2" t="s">
        <v>85</v>
      </c>
      <c r="H334" s="8" t="n">
        <f aca="false">SUM(J334:AS334)</f>
        <v>2494.52054794521</v>
      </c>
      <c r="J334" s="8" t="n">
        <f aca="false">($F$62+$F$63)*(J$291=YEAR(Inputs!$F$27))</f>
        <v>0</v>
      </c>
      <c r="K334" s="8" t="n">
        <f aca="false">($F$62+$F$63)*(K$291=YEAR(Inputs!$F$27))</f>
        <v>0</v>
      </c>
      <c r="L334" s="8" t="n">
        <f aca="false">($F$62+$F$63)*(L$291=YEAR(Inputs!$F$27))</f>
        <v>0</v>
      </c>
      <c r="M334" s="8" t="n">
        <f aca="false">($F$62+$F$63)*(M$291=YEAR(Inputs!$F$27))</f>
        <v>0</v>
      </c>
      <c r="N334" s="8" t="n">
        <f aca="false">($F$62+$F$63)*(N$291=YEAR(Inputs!$F$27))</f>
        <v>0</v>
      </c>
      <c r="O334" s="8" t="n">
        <f aca="false">($F$62+$F$63)*(O$291=YEAR(Inputs!$F$27))</f>
        <v>0</v>
      </c>
      <c r="P334" s="8" t="n">
        <f aca="false">($F$62+$F$63)*(P$291=YEAR(Inputs!$F$27))</f>
        <v>0</v>
      </c>
      <c r="Q334" s="8" t="n">
        <f aca="false">($F$62+$F$63)*(Q$291=YEAR(Inputs!$F$27))</f>
        <v>2494.52054794521</v>
      </c>
      <c r="R334" s="8" t="n">
        <f aca="false">($F$62+$F$63)*(R$291=YEAR(Inputs!$F$27))</f>
        <v>0</v>
      </c>
      <c r="S334" s="8" t="n">
        <f aca="false">($F$62+$F$63)*(S$291=YEAR(Inputs!$F$27))</f>
        <v>0</v>
      </c>
      <c r="T334" s="8" t="n">
        <f aca="false">($F$62+$F$63)*(T$291=YEAR(Inputs!$F$27))</f>
        <v>0</v>
      </c>
      <c r="U334" s="8" t="n">
        <f aca="false">($F$62+$F$63)*(U$291=YEAR(Inputs!$F$27))</f>
        <v>0</v>
      </c>
      <c r="V334" s="8" t="n">
        <f aca="false">($F$62+$F$63)*(V$291=YEAR(Inputs!$F$27))</f>
        <v>0</v>
      </c>
      <c r="W334" s="8" t="n">
        <f aca="false">($F$62+$F$63)*(W$291=YEAR(Inputs!$F$27))</f>
        <v>0</v>
      </c>
      <c r="X334" s="8" t="n">
        <f aca="false">($F$62+$F$63)*(X$291=YEAR(Inputs!$F$27))</f>
        <v>0</v>
      </c>
      <c r="Y334" s="8" t="n">
        <f aca="false">($F$62+$F$63)*(Y$291=YEAR(Inputs!$F$27))</f>
        <v>0</v>
      </c>
      <c r="Z334" s="8" t="n">
        <f aca="false">($F$62+$F$63)*(Z$291=YEAR(Inputs!$F$27))</f>
        <v>0</v>
      </c>
      <c r="AA334" s="8" t="n">
        <f aca="false">($F$62+$F$63)*(AA$291=YEAR(Inputs!$F$27))</f>
        <v>0</v>
      </c>
      <c r="AB334" s="8" t="n">
        <f aca="false">($F$62+$F$63)*(AB$291=YEAR(Inputs!$F$27))</f>
        <v>0</v>
      </c>
      <c r="AC334" s="8" t="n">
        <f aca="false">($F$62+$F$63)*(AC$291=YEAR(Inputs!$F$27))</f>
        <v>0</v>
      </c>
      <c r="AD334" s="8" t="n">
        <f aca="false">($F$62+$F$63)*(AD$291=YEAR(Inputs!$F$27))</f>
        <v>0</v>
      </c>
      <c r="AE334" s="8" t="n">
        <f aca="false">($F$62+$F$63)*(AE$291=YEAR(Inputs!$F$27))</f>
        <v>0</v>
      </c>
      <c r="AF334" s="8" t="n">
        <f aca="false">($F$62+$F$63)*(AF$291=YEAR(Inputs!$F$27))</f>
        <v>0</v>
      </c>
      <c r="AG334" s="8" t="n">
        <f aca="false">($F$62+$F$63)*(AG$291=YEAR(Inputs!$F$27))</f>
        <v>0</v>
      </c>
      <c r="AH334" s="8" t="n">
        <f aca="false">($F$62+$F$63)*(AH$291=YEAR(Inputs!$F$27))</f>
        <v>0</v>
      </c>
      <c r="AI334" s="8" t="n">
        <f aca="false">($F$62+$F$63)*(AI$291=YEAR(Inputs!$F$27))</f>
        <v>0</v>
      </c>
      <c r="AJ334" s="8" t="n">
        <f aca="false">($F$62+$F$63)*(AJ$291=YEAR(Inputs!$F$27))</f>
        <v>0</v>
      </c>
      <c r="AK334" s="8" t="n">
        <f aca="false">($F$62+$F$63)*(AK$291=YEAR(Inputs!$F$27))</f>
        <v>0</v>
      </c>
      <c r="AL334" s="8" t="n">
        <f aca="false">($F$62+$F$63)*(AL$291=YEAR(Inputs!$F$27))</f>
        <v>0</v>
      </c>
      <c r="AM334" s="8" t="n">
        <f aca="false">($F$62+$F$63)*(AM$291=YEAR(Inputs!$F$27))</f>
        <v>0</v>
      </c>
      <c r="AN334" s="8" t="n">
        <f aca="false">($F$62+$F$63)*(AN$291=YEAR(Inputs!$F$27))</f>
        <v>0</v>
      </c>
      <c r="AO334" s="8" t="n">
        <f aca="false">($F$62+$F$63)*(AO$291=YEAR(Inputs!$F$27))</f>
        <v>0</v>
      </c>
      <c r="AP334" s="8" t="n">
        <f aca="false">($F$62+$F$63)*(AP$291=YEAR(Inputs!$F$27))</f>
        <v>0</v>
      </c>
      <c r="AQ334" s="8" t="n">
        <f aca="false">($F$62+$F$63)*(AQ$291=YEAR(Inputs!$F$27))</f>
        <v>0</v>
      </c>
      <c r="AR334" s="8" t="n">
        <f aca="false">($F$62+$F$63)*(AR$291=YEAR(Inputs!$F$27))</f>
        <v>0</v>
      </c>
      <c r="AS334" s="8" t="n">
        <f aca="false">($F$62+$F$63)*(AS$291=YEAR(Inputs!$F$27))</f>
        <v>0</v>
      </c>
    </row>
    <row r="335" customFormat="false" ht="14.25" hidden="false" customHeight="false" outlineLevel="0" collapsed="false">
      <c r="C335" s="6" t="s">
        <v>256</v>
      </c>
      <c r="D335" s="2" t="s">
        <v>85</v>
      </c>
      <c r="H335" s="8" t="n">
        <f aca="false">SUM(J335:AS335)</f>
        <v>-69992.5</v>
      </c>
      <c r="J335" s="8" t="n">
        <f aca="false">-$F$91*J329</f>
        <v>-0</v>
      </c>
      <c r="K335" s="8" t="n">
        <f aca="false">-$F$91*K329</f>
        <v>-0</v>
      </c>
      <c r="L335" s="8" t="n">
        <f aca="false">-$F$91*L329</f>
        <v>-0</v>
      </c>
      <c r="M335" s="8" t="n">
        <f aca="false">-$F$91*M329</f>
        <v>-17498.125</v>
      </c>
      <c r="N335" s="8" t="n">
        <f aca="false">-$F$91*N329</f>
        <v>-34996.25</v>
      </c>
      <c r="O335" s="8" t="n">
        <f aca="false">-$F$91*O329</f>
        <v>-17498.125</v>
      </c>
      <c r="P335" s="8" t="n">
        <f aca="false">-$F$91*P329</f>
        <v>-0</v>
      </c>
      <c r="Q335" s="8" t="n">
        <f aca="false">-$F$91*Q329</f>
        <v>-0</v>
      </c>
      <c r="R335" s="8" t="n">
        <f aca="false">-$F$91*R329</f>
        <v>-0</v>
      </c>
      <c r="S335" s="8" t="n">
        <f aca="false">-$F$91*S329</f>
        <v>-0</v>
      </c>
      <c r="T335" s="8" t="n">
        <f aca="false">-$F$91*T329</f>
        <v>-0</v>
      </c>
      <c r="U335" s="8" t="n">
        <f aca="false">-$F$91*U329</f>
        <v>-0</v>
      </c>
      <c r="V335" s="8" t="n">
        <f aca="false">-$F$91*V329</f>
        <v>-0</v>
      </c>
      <c r="W335" s="8" t="n">
        <f aca="false">-$F$91*W329</f>
        <v>-0</v>
      </c>
      <c r="X335" s="8" t="n">
        <f aca="false">-$F$91*X329</f>
        <v>-0</v>
      </c>
      <c r="Y335" s="8" t="n">
        <f aca="false">-$F$91*Y329</f>
        <v>-0</v>
      </c>
      <c r="Z335" s="8" t="n">
        <f aca="false">-$F$91*Z329</f>
        <v>-0</v>
      </c>
      <c r="AA335" s="8" t="n">
        <f aca="false">-$F$91*AA329</f>
        <v>-0</v>
      </c>
      <c r="AB335" s="8" t="n">
        <f aca="false">-$F$91*AB329</f>
        <v>-0</v>
      </c>
      <c r="AC335" s="8" t="n">
        <f aca="false">-$F$91*AC329</f>
        <v>-0</v>
      </c>
      <c r="AD335" s="8" t="n">
        <f aca="false">-$F$91*AD329</f>
        <v>-0</v>
      </c>
      <c r="AE335" s="8" t="n">
        <f aca="false">-$F$91*AE329</f>
        <v>-0</v>
      </c>
      <c r="AF335" s="8" t="n">
        <f aca="false">-$F$91*AF329</f>
        <v>-0</v>
      </c>
      <c r="AG335" s="8" t="n">
        <f aca="false">-$F$91*AG329</f>
        <v>-0</v>
      </c>
      <c r="AH335" s="8" t="n">
        <f aca="false">-$F$91*AH329</f>
        <v>-0</v>
      </c>
      <c r="AI335" s="8" t="n">
        <f aca="false">-$F$91*AI329</f>
        <v>-0</v>
      </c>
      <c r="AJ335" s="8" t="n">
        <f aca="false">-$F$91*AJ329</f>
        <v>-0</v>
      </c>
      <c r="AK335" s="8" t="n">
        <f aca="false">-$F$91*AK329</f>
        <v>-0</v>
      </c>
      <c r="AL335" s="8" t="n">
        <f aca="false">-$F$91*AL329</f>
        <v>-0</v>
      </c>
      <c r="AM335" s="8" t="n">
        <f aca="false">-$F$91*AM329</f>
        <v>-0</v>
      </c>
      <c r="AN335" s="8" t="n">
        <f aca="false">-$F$91*AN329</f>
        <v>-0</v>
      </c>
      <c r="AO335" s="8" t="n">
        <f aca="false">-$F$91*AO329</f>
        <v>-0</v>
      </c>
      <c r="AP335" s="8" t="n">
        <f aca="false">-$F$91*AP329</f>
        <v>-0</v>
      </c>
      <c r="AQ335" s="8" t="n">
        <f aca="false">-$F$91*AQ329</f>
        <v>-0</v>
      </c>
      <c r="AR335" s="8" t="n">
        <f aca="false">-$F$91*AR329</f>
        <v>-0</v>
      </c>
      <c r="AS335" s="8" t="n">
        <f aca="false">-$F$91*AS329</f>
        <v>-0</v>
      </c>
    </row>
    <row r="336" customFormat="false" ht="14.25" hidden="false" customHeight="false" outlineLevel="0" collapsed="false">
      <c r="C336" s="6" t="s">
        <v>257</v>
      </c>
      <c r="D336" s="2" t="s">
        <v>85</v>
      </c>
      <c r="H336" s="8" t="n">
        <f aca="false">SUM(J336:AS336)</f>
        <v>-2500</v>
      </c>
      <c r="J336" s="8" t="n">
        <f aca="false">-$F$93*J332</f>
        <v>-0</v>
      </c>
      <c r="K336" s="8" t="n">
        <f aca="false">-$F$93*K332</f>
        <v>-0</v>
      </c>
      <c r="L336" s="8" t="n">
        <f aca="false">-$F$93*L332</f>
        <v>-0</v>
      </c>
      <c r="M336" s="8" t="n">
        <f aca="false">-$F$93*M332</f>
        <v>-0</v>
      </c>
      <c r="N336" s="8" t="n">
        <f aca="false">-$F$93*N332</f>
        <v>-0</v>
      </c>
      <c r="O336" s="8" t="n">
        <f aca="false">-$F$93*O332</f>
        <v>-2500</v>
      </c>
      <c r="P336" s="8" t="n">
        <f aca="false">-$F$93*P332</f>
        <v>-0</v>
      </c>
      <c r="Q336" s="8" t="n">
        <f aca="false">-$F$93*Q332</f>
        <v>-0</v>
      </c>
      <c r="R336" s="8" t="n">
        <f aca="false">-$F$93*R332</f>
        <v>-0</v>
      </c>
      <c r="S336" s="8" t="n">
        <f aca="false">-$F$93*S332</f>
        <v>-0</v>
      </c>
      <c r="T336" s="8" t="n">
        <f aca="false">-$F$93*T332</f>
        <v>-0</v>
      </c>
      <c r="U336" s="8" t="n">
        <f aca="false">-$F$93*U332</f>
        <v>-0</v>
      </c>
      <c r="V336" s="8" t="n">
        <f aca="false">-$F$93*V332</f>
        <v>-0</v>
      </c>
      <c r="W336" s="8" t="n">
        <f aca="false">-$F$93*W332</f>
        <v>-0</v>
      </c>
      <c r="X336" s="8" t="n">
        <f aca="false">-$F$93*X332</f>
        <v>-0</v>
      </c>
      <c r="Y336" s="8" t="n">
        <f aca="false">-$F$93*Y332</f>
        <v>-0</v>
      </c>
      <c r="Z336" s="8" t="n">
        <f aca="false">-$F$93*Z332</f>
        <v>-0</v>
      </c>
      <c r="AA336" s="8" t="n">
        <f aca="false">-$F$93*AA332</f>
        <v>-0</v>
      </c>
      <c r="AB336" s="8" t="n">
        <f aca="false">-$F$93*AB332</f>
        <v>-0</v>
      </c>
      <c r="AC336" s="8" t="n">
        <f aca="false">-$F$93*AC332</f>
        <v>-0</v>
      </c>
      <c r="AD336" s="8" t="n">
        <f aca="false">-$F$93*AD332</f>
        <v>-0</v>
      </c>
      <c r="AE336" s="8" t="n">
        <f aca="false">-$F$93*AE332</f>
        <v>-0</v>
      </c>
      <c r="AF336" s="8" t="n">
        <f aca="false">-$F$93*AF332</f>
        <v>-0</v>
      </c>
      <c r="AG336" s="8" t="n">
        <f aca="false">-$F$93*AG332</f>
        <v>-0</v>
      </c>
      <c r="AH336" s="8" t="n">
        <f aca="false">-$F$93*AH332</f>
        <v>-0</v>
      </c>
      <c r="AI336" s="8" t="n">
        <f aca="false">-$F$93*AI332</f>
        <v>-0</v>
      </c>
      <c r="AJ336" s="8" t="n">
        <f aca="false">-$F$93*AJ332</f>
        <v>-0</v>
      </c>
      <c r="AK336" s="8" t="n">
        <f aca="false">-$F$93*AK332</f>
        <v>-0</v>
      </c>
      <c r="AL336" s="8" t="n">
        <f aca="false">-$F$93*AL332</f>
        <v>-0</v>
      </c>
      <c r="AM336" s="8" t="n">
        <f aca="false">-$F$93*AM332</f>
        <v>-0</v>
      </c>
      <c r="AN336" s="8" t="n">
        <f aca="false">-$F$93*AN332</f>
        <v>-0</v>
      </c>
      <c r="AO336" s="8" t="n">
        <f aca="false">-$F$93*AO332</f>
        <v>-0</v>
      </c>
      <c r="AP336" s="8" t="n">
        <f aca="false">-$F$93*AP332</f>
        <v>-0</v>
      </c>
      <c r="AQ336" s="8" t="n">
        <f aca="false">-$F$93*AQ332</f>
        <v>-0</v>
      </c>
      <c r="AR336" s="8" t="n">
        <f aca="false">-$F$93*AR332</f>
        <v>-0</v>
      </c>
      <c r="AS336" s="8" t="n">
        <f aca="false">-$F$93*AS332</f>
        <v>-0</v>
      </c>
    </row>
    <row r="337" customFormat="false" ht="14.25" hidden="false" customHeight="false" outlineLevel="0" collapsed="false">
      <c r="C337" s="1" t="s">
        <v>258</v>
      </c>
      <c r="D337" s="2" t="s">
        <v>85</v>
      </c>
      <c r="H337" s="15" t="n">
        <f aca="false">SUM(J337:AS337)</f>
        <v>-77435.8772410064</v>
      </c>
      <c r="J337" s="15" t="n">
        <f aca="false">SUM(J333:J336)</f>
        <v>-657.123287671233</v>
      </c>
      <c r="K337" s="15" t="n">
        <f aca="false">SUM(K333:K336)</f>
        <v>-3313.15361086944</v>
      </c>
      <c r="L337" s="15" t="n">
        <f aca="false">SUM(L333:L336)</f>
        <v>-3467.62089041096</v>
      </c>
      <c r="M337" s="15" t="n">
        <f aca="false">SUM(M333:M336)</f>
        <v>-17498.125</v>
      </c>
      <c r="N337" s="15" t="n">
        <f aca="false">SUM(N333:N336)</f>
        <v>-34996.25</v>
      </c>
      <c r="O337" s="15" t="n">
        <f aca="false">SUM(O333:O336)</f>
        <v>-19998.125</v>
      </c>
      <c r="P337" s="15" t="n">
        <f aca="false">SUM(P333:P336)</f>
        <v>0</v>
      </c>
      <c r="Q337" s="15" t="n">
        <f aca="false">SUM(Q333:Q336)</f>
        <v>2494.52054794521</v>
      </c>
      <c r="R337" s="15" t="n">
        <f aca="false">SUM(R333:R336)</f>
        <v>0</v>
      </c>
      <c r="S337" s="15" t="n">
        <f aca="false">SUM(S333:S336)</f>
        <v>0</v>
      </c>
      <c r="T337" s="15" t="n">
        <f aca="false">SUM(T333:T336)</f>
        <v>0</v>
      </c>
      <c r="U337" s="15" t="n">
        <f aca="false">SUM(U333:U336)</f>
        <v>0</v>
      </c>
      <c r="V337" s="15" t="n">
        <f aca="false">SUM(V333:V336)</f>
        <v>0</v>
      </c>
      <c r="W337" s="15" t="n">
        <f aca="false">SUM(W333:W336)</f>
        <v>0</v>
      </c>
      <c r="X337" s="15" t="n">
        <f aca="false">SUM(X333:X336)</f>
        <v>0</v>
      </c>
      <c r="Y337" s="15" t="n">
        <f aca="false">SUM(Y333:Y336)</f>
        <v>0</v>
      </c>
      <c r="Z337" s="15" t="n">
        <f aca="false">SUM(Z333:Z336)</f>
        <v>0</v>
      </c>
      <c r="AA337" s="15" t="n">
        <f aca="false">SUM(AA333:AA336)</f>
        <v>0</v>
      </c>
      <c r="AB337" s="15" t="n">
        <f aca="false">SUM(AB333:AB336)</f>
        <v>0</v>
      </c>
      <c r="AC337" s="15" t="n">
        <f aca="false">SUM(AC333:AC336)</f>
        <v>0</v>
      </c>
      <c r="AD337" s="15" t="n">
        <f aca="false">SUM(AD333:AD336)</f>
        <v>0</v>
      </c>
      <c r="AE337" s="15" t="n">
        <f aca="false">SUM(AE333:AE336)</f>
        <v>0</v>
      </c>
      <c r="AF337" s="15" t="n">
        <f aca="false">SUM(AF333:AF336)</f>
        <v>0</v>
      </c>
      <c r="AG337" s="15" t="n">
        <f aca="false">SUM(AG333:AG336)</f>
        <v>0</v>
      </c>
      <c r="AH337" s="15" t="n">
        <f aca="false">SUM(AH333:AH336)</f>
        <v>0</v>
      </c>
      <c r="AI337" s="15" t="n">
        <f aca="false">SUM(AI333:AI336)</f>
        <v>0</v>
      </c>
      <c r="AJ337" s="15" t="n">
        <f aca="false">SUM(AJ333:AJ336)</f>
        <v>0</v>
      </c>
      <c r="AK337" s="15" t="n">
        <f aca="false">SUM(AK333:AK336)</f>
        <v>0</v>
      </c>
      <c r="AL337" s="15" t="n">
        <f aca="false">SUM(AL333:AL336)</f>
        <v>0</v>
      </c>
      <c r="AM337" s="15" t="n">
        <f aca="false">SUM(AM333:AM336)</f>
        <v>0</v>
      </c>
      <c r="AN337" s="15" t="n">
        <f aca="false">SUM(AN333:AN336)</f>
        <v>0</v>
      </c>
      <c r="AO337" s="15" t="n">
        <f aca="false">SUM(AO333:AO336)</f>
        <v>0</v>
      </c>
      <c r="AP337" s="15" t="n">
        <f aca="false">SUM(AP333:AP336)</f>
        <v>0</v>
      </c>
      <c r="AQ337" s="15" t="n">
        <f aca="false">SUM(AQ333:AQ336)</f>
        <v>0</v>
      </c>
      <c r="AR337" s="15" t="n">
        <f aca="false">SUM(AR333:AR336)</f>
        <v>0</v>
      </c>
      <c r="AS337" s="15" t="n">
        <f aca="false">SUM(AS333:AS336)</f>
        <v>0</v>
      </c>
    </row>
    <row r="338" customFormat="false" ht="14.25" hidden="false" customHeight="false" outlineLevel="0" collapsed="false">
      <c r="C338" s="6" t="s">
        <v>259</v>
      </c>
      <c r="D338" s="2" t="s">
        <v>3</v>
      </c>
      <c r="J338" s="67" t="n">
        <f aca="false">(1-Degradation)^MAX(J327-1,0)</f>
        <v>1</v>
      </c>
      <c r="K338" s="67" t="n">
        <f aca="false">(1-Degradation)^MAX(K327-1,0)</f>
        <v>1</v>
      </c>
      <c r="L338" s="67" t="n">
        <f aca="false">(1-Degradation)^MAX(L327-1,0)</f>
        <v>1</v>
      </c>
      <c r="M338" s="67" t="n">
        <f aca="false">(1-Degradation)^MAX(M327-1,0)</f>
        <v>1</v>
      </c>
      <c r="N338" s="67" t="n">
        <f aca="false">(1-Degradation)^MAX(N327-1,0)</f>
        <v>1</v>
      </c>
      <c r="O338" s="67" t="n">
        <f aca="false">(1-Degradation)^MAX(O327-1,0)</f>
        <v>1</v>
      </c>
      <c r="P338" s="67" t="n">
        <f aca="false">(1-Degradation)^MAX(P327-1,0)</f>
        <v>1</v>
      </c>
      <c r="Q338" s="67" t="n">
        <f aca="false">(1-Degradation)^MAX(Q327-1,0)</f>
        <v>0.997</v>
      </c>
      <c r="R338" s="67" t="n">
        <f aca="false">(1-Degradation)^MAX(R327-1,0)</f>
        <v>0.994009</v>
      </c>
      <c r="S338" s="67" t="n">
        <f aca="false">(1-Degradation)^MAX(S327-1,0)</f>
        <v>0.991026973</v>
      </c>
      <c r="T338" s="67" t="n">
        <f aca="false">(1-Degradation)^MAX(T327-1,0)</f>
        <v>0.988053892081</v>
      </c>
      <c r="U338" s="67" t="n">
        <f aca="false">(1-Degradation)^MAX(U327-1,0)</f>
        <v>0.985089730404757</v>
      </c>
      <c r="V338" s="67" t="n">
        <f aca="false">(1-Degradation)^MAX(V327-1,0)</f>
        <v>0.982134461213543</v>
      </c>
      <c r="W338" s="67" t="n">
        <f aca="false">(1-Degradation)^MAX(W327-1,0)</f>
        <v>0.979188057829902</v>
      </c>
      <c r="X338" s="67" t="n">
        <f aca="false">(1-Degradation)^MAX(X327-1,0)</f>
        <v>0.976250493656412</v>
      </c>
      <c r="Y338" s="67" t="n">
        <f aca="false">(1-Degradation)^MAX(Y327-1,0)</f>
        <v>0.973321742175443</v>
      </c>
      <c r="Z338" s="67" t="n">
        <f aca="false">(1-Degradation)^MAX(Z327-1,0)</f>
        <v>0.970401776948917</v>
      </c>
      <c r="AA338" s="67" t="n">
        <f aca="false">(1-Degradation)^MAX(AA327-1,0)</f>
        <v>0.96749057161807</v>
      </c>
      <c r="AB338" s="67" t="n">
        <f aca="false">(1-Degradation)^MAX(AB327-1,0)</f>
        <v>0.964588099903216</v>
      </c>
      <c r="AC338" s="67" t="n">
        <f aca="false">(1-Degradation)^MAX(AC327-1,0)</f>
        <v>0.961694335603506</v>
      </c>
      <c r="AD338" s="67" t="n">
        <f aca="false">(1-Degradation)^MAX(AD327-1,0)</f>
        <v>0.958809252596696</v>
      </c>
      <c r="AE338" s="67" t="n">
        <f aca="false">(1-Degradation)^MAX(AE327-1,0)</f>
        <v>0.955932824838906</v>
      </c>
      <c r="AF338" s="67" t="n">
        <f aca="false">(1-Degradation)^MAX(AF327-1,0)</f>
        <v>0.953065026364389</v>
      </c>
      <c r="AG338" s="67" t="n">
        <f aca="false">(1-Degradation)^MAX(AG327-1,0)</f>
        <v>0.950205831285296</v>
      </c>
      <c r="AH338" s="67" t="n">
        <f aca="false">(1-Degradation)^MAX(AH327-1,0)</f>
        <v>0.94735521379144</v>
      </c>
      <c r="AI338" s="67" t="n">
        <f aca="false">(1-Degradation)^MAX(AI327-1,0)</f>
        <v>0.944513148150066</v>
      </c>
      <c r="AJ338" s="67" t="n">
        <f aca="false">(1-Degradation)^MAX(AJ327-1,0)</f>
        <v>0.941679608705615</v>
      </c>
      <c r="AK338" s="67" t="n">
        <f aca="false">(1-Degradation)^MAX(AK327-1,0)</f>
        <v>0.938854569879498</v>
      </c>
      <c r="AL338" s="67" t="n">
        <f aca="false">(1-Degradation)^MAX(AL327-1,0)</f>
        <v>0.93603800616986</v>
      </c>
      <c r="AM338" s="67" t="n">
        <f aca="false">(1-Degradation)^MAX(AM327-1,0)</f>
        <v>0.93322989215135</v>
      </c>
      <c r="AN338" s="67" t="n">
        <f aca="false">(1-Degradation)^MAX(AN327-1,0)</f>
        <v>0.930430202474896</v>
      </c>
      <c r="AO338" s="67" t="n">
        <f aca="false">(1-Degradation)^MAX(AO327-1,0)</f>
        <v>0.927638911867472</v>
      </c>
      <c r="AP338" s="67" t="n">
        <f aca="false">(1-Degradation)^MAX(AP327-1,0)</f>
        <v>0.924855995131869</v>
      </c>
      <c r="AQ338" s="67" t="n">
        <f aca="false">(1-Degradation)^MAX(AQ327-1,0)</f>
        <v>0.922081427146474</v>
      </c>
      <c r="AR338" s="67" t="n">
        <f aca="false">(1-Degradation)^MAX(AR327-1,0)</f>
        <v>0.919315182865034</v>
      </c>
      <c r="AS338" s="67" t="n">
        <f aca="false">(1-Degradation)^MAX(AS327-1,0)</f>
        <v>0.916557237316439</v>
      </c>
    </row>
    <row r="339" customFormat="false" ht="14.25" hidden="false" customHeight="false" outlineLevel="0" collapsed="false">
      <c r="C339" s="6" t="s">
        <v>260</v>
      </c>
      <c r="D339" s="2" t="s">
        <v>261</v>
      </c>
      <c r="H339" s="17" t="n">
        <f aca="false">SUM(J339:AS339)</f>
        <v>4737.10980784971</v>
      </c>
      <c r="J339" s="17" t="n">
        <f aca="false">$F$46*$F$22*(1-Curtailment)*(1-Clipping)*J331*J338/Thousand</f>
        <v>0</v>
      </c>
      <c r="K339" s="17" t="n">
        <f aca="false">$F$46*$F$22*(1-Curtailment)*(1-Clipping)*K331*K338/Thousand</f>
        <v>0</v>
      </c>
      <c r="L339" s="17" t="n">
        <f aca="false">$F$46*$F$22*(1-Curtailment)*(1-Clipping)*L331*L338/Thousand</f>
        <v>0</v>
      </c>
      <c r="M339" s="17" t="n">
        <f aca="false">$F$46*$F$22*(1-Curtailment)*(1-Clipping)*M331*M338/Thousand</f>
        <v>0</v>
      </c>
      <c r="N339" s="17" t="n">
        <f aca="false">$F$46*$F$22*(1-Curtailment)*(1-Clipping)*N331*N338/Thousand</f>
        <v>0</v>
      </c>
      <c r="O339" s="17" t="n">
        <f aca="false">$F$46*$F$22*(1-Curtailment)*(1-Clipping)*O331*O338/Thousand</f>
        <v>82.32</v>
      </c>
      <c r="P339" s="17" t="n">
        <f aca="false">$F$46*$F$22*(1-Curtailment)*(1-Clipping)*P331*P338/Thousand</f>
        <v>164.64</v>
      </c>
      <c r="Q339" s="17" t="n">
        <f aca="false">$F$46*$F$22*(1-Curtailment)*(1-Clipping)*Q331*Q338/Thousand</f>
        <v>164.14608</v>
      </c>
      <c r="R339" s="17" t="n">
        <f aca="false">$F$46*$F$22*(1-Curtailment)*(1-Clipping)*R331*R338/Thousand</f>
        <v>163.65364176</v>
      </c>
      <c r="S339" s="17" t="n">
        <f aca="false">$F$46*$F$22*(1-Curtailment)*(1-Clipping)*S331*S338/Thousand</f>
        <v>163.16268083472</v>
      </c>
      <c r="T339" s="17" t="n">
        <f aca="false">$F$46*$F$22*(1-Curtailment)*(1-Clipping)*T331*T338/Thousand</f>
        <v>162.673192792216</v>
      </c>
      <c r="U339" s="17" t="n">
        <f aca="false">$F$46*$F$22*(1-Curtailment)*(1-Clipping)*U331*U338/Thousand</f>
        <v>162.185173213839</v>
      </c>
      <c r="V339" s="17" t="n">
        <f aca="false">$F$46*$F$22*(1-Curtailment)*(1-Clipping)*V331*V338/Thousand</f>
        <v>161.698617694198</v>
      </c>
      <c r="W339" s="17" t="n">
        <f aca="false">$F$46*$F$22*(1-Curtailment)*(1-Clipping)*W331*W338/Thousand</f>
        <v>161.213521841115</v>
      </c>
      <c r="X339" s="17" t="n">
        <f aca="false">$F$46*$F$22*(1-Curtailment)*(1-Clipping)*X331*X338/Thousand</f>
        <v>160.729881275592</v>
      </c>
      <c r="Y339" s="17" t="n">
        <f aca="false">$F$46*$F$22*(1-Curtailment)*(1-Clipping)*Y331*Y338/Thousand</f>
        <v>160.247691631765</v>
      </c>
      <c r="Z339" s="17" t="n">
        <f aca="false">$F$46*$F$22*(1-Curtailment)*(1-Clipping)*Z331*Z338/Thousand</f>
        <v>159.76694855687</v>
      </c>
      <c r="AA339" s="17" t="n">
        <f aca="false">$F$46*$F$22*(1-Curtailment)*(1-Clipping)*AA331*AA338/Thousand</f>
        <v>159.287647711199</v>
      </c>
      <c r="AB339" s="17" t="n">
        <f aca="false">$F$46*$F$22*(1-Curtailment)*(1-Clipping)*AB331*AB338/Thousand</f>
        <v>158.809784768065</v>
      </c>
      <c r="AC339" s="17" t="n">
        <f aca="false">$F$46*$F$22*(1-Curtailment)*(1-Clipping)*AC331*AC338/Thousand</f>
        <v>158.333355413761</v>
      </c>
      <c r="AD339" s="17" t="n">
        <f aca="false">$F$46*$F$22*(1-Curtailment)*(1-Clipping)*AD331*AD338/Thousand</f>
        <v>157.85835534752</v>
      </c>
      <c r="AE339" s="17" t="n">
        <f aca="false">$F$46*$F$22*(1-Curtailment)*(1-Clipping)*AE331*AE338/Thousand</f>
        <v>157.384780281477</v>
      </c>
      <c r="AF339" s="17" t="n">
        <f aca="false">$F$46*$F$22*(1-Curtailment)*(1-Clipping)*AF331*AF338/Thousand</f>
        <v>156.912625940633</v>
      </c>
      <c r="AG339" s="17" t="n">
        <f aca="false">$F$46*$F$22*(1-Curtailment)*(1-Clipping)*AG331*AG338/Thousand</f>
        <v>156.441888062811</v>
      </c>
      <c r="AH339" s="17" t="n">
        <f aca="false">$F$46*$F$22*(1-Curtailment)*(1-Clipping)*AH331*AH338/Thousand</f>
        <v>155.972562398623</v>
      </c>
      <c r="AI339" s="17" t="n">
        <f aca="false">$F$46*$F$22*(1-Curtailment)*(1-Clipping)*AI331*AI338/Thousand</f>
        <v>155.504644711427</v>
      </c>
      <c r="AJ339" s="17" t="n">
        <f aca="false">$F$46*$F$22*(1-Curtailment)*(1-Clipping)*AJ331*AJ338/Thousand</f>
        <v>155.038130777293</v>
      </c>
      <c r="AK339" s="17" t="n">
        <f aca="false">$F$46*$F$22*(1-Curtailment)*(1-Clipping)*AK331*AK338/Thousand</f>
        <v>154.573016384961</v>
      </c>
      <c r="AL339" s="17" t="n">
        <f aca="false">$F$46*$F$22*(1-Curtailment)*(1-Clipping)*AL331*AL338/Thousand</f>
        <v>154.109297335806</v>
      </c>
      <c r="AM339" s="17" t="n">
        <f aca="false">$F$46*$F$22*(1-Curtailment)*(1-Clipping)*AM331*AM338/Thousand</f>
        <v>153.646969443798</v>
      </c>
      <c r="AN339" s="17" t="n">
        <f aca="false">$F$46*$F$22*(1-Curtailment)*(1-Clipping)*AN331*AN338/Thousand</f>
        <v>153.186028535467</v>
      </c>
      <c r="AO339" s="17" t="n">
        <f aca="false">$F$46*$F$22*(1-Curtailment)*(1-Clipping)*AO331*AO338/Thousand</f>
        <v>152.726470449861</v>
      </c>
      <c r="AP339" s="17" t="n">
        <f aca="false">$F$46*$F$22*(1-Curtailment)*(1-Clipping)*AP331*AP338/Thousand</f>
        <v>152.268291038511</v>
      </c>
      <c r="AQ339" s="17" t="n">
        <f aca="false">$F$46*$F$22*(1-Curtailment)*(1-Clipping)*AQ331*AQ338/Thousand</f>
        <v>151.811486165395</v>
      </c>
      <c r="AR339" s="17" t="n">
        <f aca="false">$F$46*$F$22*(1-Curtailment)*(1-Clipping)*AR331*AR338/Thousand</f>
        <v>151.356051706899</v>
      </c>
      <c r="AS339" s="17" t="n">
        <f aca="false">$F$46*$F$22*(1-Curtailment)*(1-Clipping)*AS331*AS338/Thousand</f>
        <v>75.4509917758893</v>
      </c>
    </row>
    <row r="340" customFormat="false" ht="14.25" hidden="false" customHeight="false" outlineLevel="0" collapsed="false">
      <c r="C340" s="6" t="s">
        <v>262</v>
      </c>
      <c r="D340" s="2" t="s">
        <v>20</v>
      </c>
      <c r="J340" s="17" t="n">
        <f aca="false">Case_PPA*(1+PPA_Esc)^J327*(J331&gt;0)</f>
        <v>0</v>
      </c>
      <c r="K340" s="17" t="n">
        <f aca="false">Case_PPA*(1+PPA_Esc)^K327*(K331&gt;0)</f>
        <v>0</v>
      </c>
      <c r="L340" s="17" t="n">
        <f aca="false">Case_PPA*(1+PPA_Esc)^L327*(L331&gt;0)</f>
        <v>0</v>
      </c>
      <c r="M340" s="17" t="n">
        <f aca="false">Case_PPA*(1+PPA_Esc)^M327*(M331&gt;0)</f>
        <v>0</v>
      </c>
      <c r="N340" s="17" t="n">
        <f aca="false">Case_PPA*(1+PPA_Esc)^N327*(N331&gt;0)</f>
        <v>0</v>
      </c>
      <c r="O340" s="17" t="n">
        <f aca="false">Case_PPA*(1+PPA_Esc)^O327*(O331&gt;0)</f>
        <v>90</v>
      </c>
      <c r="P340" s="17" t="n">
        <f aca="false">Case_PPA*(1+PPA_Esc)^P327*(P331&gt;0)</f>
        <v>90.9</v>
      </c>
      <c r="Q340" s="17" t="n">
        <f aca="false">Case_PPA*(1+PPA_Esc)^Q327*(Q331&gt;0)</f>
        <v>91.809</v>
      </c>
      <c r="R340" s="17" t="n">
        <f aca="false">Case_PPA*(1+PPA_Esc)^R327*(R331&gt;0)</f>
        <v>92.72709</v>
      </c>
      <c r="S340" s="17" t="n">
        <f aca="false">Case_PPA*(1+PPA_Esc)^S327*(S331&gt;0)</f>
        <v>93.6543609</v>
      </c>
      <c r="T340" s="17" t="n">
        <f aca="false">Case_PPA*(1+PPA_Esc)^T327*(T331&gt;0)</f>
        <v>94.590904509</v>
      </c>
      <c r="U340" s="17" t="n">
        <f aca="false">Case_PPA*(1+PPA_Esc)^U327*(U331&gt;0)</f>
        <v>95.53681355409</v>
      </c>
      <c r="V340" s="17" t="n">
        <f aca="false">Case_PPA*(1+PPA_Esc)^V327*(V331&gt;0)</f>
        <v>96.4921816896309</v>
      </c>
      <c r="W340" s="17" t="n">
        <f aca="false">Case_PPA*(1+PPA_Esc)^W327*(W331&gt;0)</f>
        <v>97.4571035065272</v>
      </c>
      <c r="X340" s="17" t="n">
        <f aca="false">Case_PPA*(1+PPA_Esc)^X327*(X331&gt;0)</f>
        <v>98.4316745415925</v>
      </c>
      <c r="Y340" s="17" t="n">
        <f aca="false">Case_PPA*(1+PPA_Esc)^Y327*(Y331&gt;0)</f>
        <v>99.4159912870084</v>
      </c>
      <c r="Z340" s="17" t="n">
        <f aca="false">Case_PPA*(1+PPA_Esc)^Z327*(Z331&gt;0)</f>
        <v>100.410151199878</v>
      </c>
      <c r="AA340" s="17" t="n">
        <f aca="false">Case_PPA*(1+PPA_Esc)^AA327*(AA331&gt;0)</f>
        <v>101.414252711877</v>
      </c>
      <c r="AB340" s="17" t="n">
        <f aca="false">Case_PPA*(1+PPA_Esc)^AB327*(AB331&gt;0)</f>
        <v>102.428395238996</v>
      </c>
      <c r="AC340" s="17" t="n">
        <f aca="false">Case_PPA*(1+PPA_Esc)^AC327*(AC331&gt;0)</f>
        <v>103.452679191386</v>
      </c>
      <c r="AD340" s="17" t="n">
        <f aca="false">Case_PPA*(1+PPA_Esc)^AD327*(AD331&gt;0)</f>
        <v>104.4872059833</v>
      </c>
      <c r="AE340" s="17" t="n">
        <f aca="false">Case_PPA*(1+PPA_Esc)^AE327*(AE331&gt;0)</f>
        <v>105.532078043133</v>
      </c>
      <c r="AF340" s="17" t="n">
        <f aca="false">Case_PPA*(1+PPA_Esc)^AF327*(AF331&gt;0)</f>
        <v>106.587398823564</v>
      </c>
      <c r="AG340" s="17" t="n">
        <f aca="false">Case_PPA*(1+PPA_Esc)^AG327*(AG331&gt;0)</f>
        <v>107.6532728118</v>
      </c>
      <c r="AH340" s="17" t="n">
        <f aca="false">Case_PPA*(1+PPA_Esc)^AH327*(AH331&gt;0)</f>
        <v>108.729805539918</v>
      </c>
      <c r="AI340" s="17" t="n">
        <f aca="false">Case_PPA*(1+PPA_Esc)^AI327*(AI331&gt;0)</f>
        <v>109.817103595317</v>
      </c>
      <c r="AJ340" s="17" t="n">
        <f aca="false">Case_PPA*(1+PPA_Esc)^AJ327*(AJ331&gt;0)</f>
        <v>110.91527463127</v>
      </c>
      <c r="AK340" s="17" t="n">
        <f aca="false">Case_PPA*(1+PPA_Esc)^AK327*(AK331&gt;0)</f>
        <v>112.024427377583</v>
      </c>
      <c r="AL340" s="17" t="n">
        <f aca="false">Case_PPA*(1+PPA_Esc)^AL327*(AL331&gt;0)</f>
        <v>113.144671651359</v>
      </c>
      <c r="AM340" s="17" t="n">
        <f aca="false">Case_PPA*(1+PPA_Esc)^AM327*(AM331&gt;0)</f>
        <v>114.276118367872</v>
      </c>
      <c r="AN340" s="17" t="n">
        <f aca="false">Case_PPA*(1+PPA_Esc)^AN327*(AN331&gt;0)</f>
        <v>115.418879551551</v>
      </c>
      <c r="AO340" s="17" t="n">
        <f aca="false">Case_PPA*(1+PPA_Esc)^AO327*(AO331&gt;0)</f>
        <v>116.573068347067</v>
      </c>
      <c r="AP340" s="17" t="n">
        <f aca="false">Case_PPA*(1+PPA_Esc)^AP327*(AP331&gt;0)</f>
        <v>117.738799030537</v>
      </c>
      <c r="AQ340" s="17" t="n">
        <f aca="false">Case_PPA*(1+PPA_Esc)^AQ327*(AQ331&gt;0)</f>
        <v>118.916187020843</v>
      </c>
      <c r="AR340" s="17" t="n">
        <f aca="false">Case_PPA*(1+PPA_Esc)^AR327*(AR331&gt;0)</f>
        <v>120.105348891051</v>
      </c>
      <c r="AS340" s="17" t="n">
        <f aca="false">Case_PPA*(1+PPA_Esc)^AS327*(AS331&gt;0)</f>
        <v>121.306402379962</v>
      </c>
    </row>
    <row r="341" customFormat="false" ht="14.25" hidden="false" customHeight="false" outlineLevel="0" collapsed="false">
      <c r="C341" s="1" t="s">
        <v>150</v>
      </c>
      <c r="D341" s="2" t="s">
        <v>85</v>
      </c>
      <c r="H341" s="34" t="n">
        <f aca="false">SUM(J341:AS341)</f>
        <v>495700.761921616</v>
      </c>
      <c r="J341" s="34" t="n">
        <f aca="false">J339*J340</f>
        <v>0</v>
      </c>
      <c r="K341" s="34" t="n">
        <f aca="false">K339*K340</f>
        <v>0</v>
      </c>
      <c r="L341" s="34" t="n">
        <f aca="false">L339*L340</f>
        <v>0</v>
      </c>
      <c r="M341" s="34" t="n">
        <f aca="false">M339*M340</f>
        <v>0</v>
      </c>
      <c r="N341" s="34" t="n">
        <f aca="false">N339*N340</f>
        <v>0</v>
      </c>
      <c r="O341" s="34" t="n">
        <f aca="false">O339*O340</f>
        <v>7408.8</v>
      </c>
      <c r="P341" s="34" t="n">
        <f aca="false">P339*P340</f>
        <v>14965.776</v>
      </c>
      <c r="Q341" s="34" t="n">
        <f aca="false">Q339*Q340</f>
        <v>15070.08745872</v>
      </c>
      <c r="R341" s="34" t="n">
        <f aca="false">R339*R340</f>
        <v>15175.1259683073</v>
      </c>
      <c r="S341" s="34" t="n">
        <f aca="false">S339*S340</f>
        <v>15280.8965963064</v>
      </c>
      <c r="T341" s="34" t="n">
        <f aca="false">T339*T340</f>
        <v>15387.4044455826</v>
      </c>
      <c r="U341" s="34" t="n">
        <f aca="false">U339*U340</f>
        <v>15494.6546545683</v>
      </c>
      <c r="V341" s="34" t="n">
        <f aca="false">V339*V340</f>
        <v>15602.6523975107</v>
      </c>
      <c r="W341" s="34" t="n">
        <f aca="false">W339*W340</f>
        <v>15711.4028847213</v>
      </c>
      <c r="X341" s="34" t="n">
        <f aca="false">X339*X340</f>
        <v>15820.9113628278</v>
      </c>
      <c r="Y341" s="34" t="n">
        <f aca="false">Y339*Y340</f>
        <v>15931.1831150268</v>
      </c>
      <c r="Z341" s="34" t="n">
        <f aca="false">Z339*Z340</f>
        <v>16042.2234613385</v>
      </c>
      <c r="AA341" s="34" t="n">
        <f aca="false">AA339*AA340</f>
        <v>16154.037758864</v>
      </c>
      <c r="AB341" s="34" t="n">
        <f aca="false">AB339*AB340</f>
        <v>16266.6314020433</v>
      </c>
      <c r="AC341" s="34" t="n">
        <f aca="false">AC339*AC340</f>
        <v>16380.0098229155</v>
      </c>
      <c r="AD341" s="34" t="n">
        <f aca="false">AD339*AD340</f>
        <v>16494.1784913813</v>
      </c>
      <c r="AE341" s="34" t="n">
        <f aca="false">AE339*AE340</f>
        <v>16609.1429154662</v>
      </c>
      <c r="AF341" s="34" t="n">
        <f aca="false">AF339*AF340</f>
        <v>16724.908641587</v>
      </c>
      <c r="AG341" s="34" t="n">
        <f aca="false">AG339*AG340</f>
        <v>16841.4812548189</v>
      </c>
      <c r="AH341" s="34" t="n">
        <f aca="false">AH339*AH340</f>
        <v>16958.8663791649</v>
      </c>
      <c r="AI341" s="34" t="n">
        <f aca="false">AI339*AI340</f>
        <v>17077.0696778277</v>
      </c>
      <c r="AJ341" s="34" t="n">
        <f aca="false">AJ339*AJ340</f>
        <v>17196.0968534822</v>
      </c>
      <c r="AK341" s="34" t="n">
        <f aca="false">AK339*AK340</f>
        <v>17315.953648551</v>
      </c>
      <c r="AL341" s="34" t="n">
        <f aca="false">AL339*AL340</f>
        <v>17436.6458454814</v>
      </c>
      <c r="AM341" s="34" t="n">
        <f aca="false">AM339*AM340</f>
        <v>17558.1792670244</v>
      </c>
      <c r="AN341" s="34" t="n">
        <f aca="false">AN339*AN340</f>
        <v>17680.5597765155</v>
      </c>
      <c r="AO341" s="34" t="n">
        <f aca="false">AO339*AO340</f>
        <v>17803.7932781578</v>
      </c>
      <c r="AP341" s="34" t="n">
        <f aca="false">AP339*AP340</f>
        <v>17927.8857173066</v>
      </c>
      <c r="AQ341" s="34" t="n">
        <f aca="false">AQ339*AQ340</f>
        <v>18052.8430807562</v>
      </c>
      <c r="AR341" s="34" t="n">
        <f aca="false">AR339*AR340</f>
        <v>18178.6713970291</v>
      </c>
      <c r="AS341" s="34" t="n">
        <f aca="false">AS339*AS340</f>
        <v>9152.68836833319</v>
      </c>
    </row>
    <row r="342" customFormat="false" ht="14.25" hidden="false" customHeight="false" outlineLevel="0" collapsed="false">
      <c r="C342" s="6" t="s">
        <v>263</v>
      </c>
      <c r="D342" s="2" t="s">
        <v>3</v>
      </c>
      <c r="J342" s="67" t="n">
        <f aca="false">(1+Opex_Esc)^J327</f>
        <v>0.883854287609517</v>
      </c>
      <c r="K342" s="67" t="n">
        <f aca="false">(1+Opex_Esc)^K327</f>
        <v>0.905950644799755</v>
      </c>
      <c r="L342" s="67" t="n">
        <f aca="false">(1+Opex_Esc)^L327</f>
        <v>0.928599410919749</v>
      </c>
      <c r="M342" s="67" t="n">
        <f aca="false">(1+Opex_Esc)^M327</f>
        <v>0.951814396192743</v>
      </c>
      <c r="N342" s="67" t="n">
        <f aca="false">(1+Opex_Esc)^N327</f>
        <v>0.975609756097561</v>
      </c>
      <c r="O342" s="67" t="n">
        <f aca="false">(1+Opex_Esc)^O327</f>
        <v>1</v>
      </c>
      <c r="P342" s="67" t="n">
        <f aca="false">(1+Opex_Esc)^P327</f>
        <v>1.025</v>
      </c>
      <c r="Q342" s="67" t="n">
        <f aca="false">(1+Opex_Esc)^Q327</f>
        <v>1.050625</v>
      </c>
      <c r="R342" s="67" t="n">
        <f aca="false">(1+Opex_Esc)^R327</f>
        <v>1.076890625</v>
      </c>
      <c r="S342" s="67" t="n">
        <f aca="false">(1+Opex_Esc)^S327</f>
        <v>1.103812890625</v>
      </c>
      <c r="T342" s="67" t="n">
        <f aca="false">(1+Opex_Esc)^T327</f>
        <v>1.13140821289062</v>
      </c>
      <c r="U342" s="67" t="n">
        <f aca="false">(1+Opex_Esc)^U327</f>
        <v>1.15969341821289</v>
      </c>
      <c r="V342" s="67" t="n">
        <f aca="false">(1+Opex_Esc)^V327</f>
        <v>1.18868575366821</v>
      </c>
      <c r="W342" s="67" t="n">
        <f aca="false">(1+Opex_Esc)^W327</f>
        <v>1.21840289750992</v>
      </c>
      <c r="X342" s="67" t="n">
        <f aca="false">(1+Opex_Esc)^X327</f>
        <v>1.24886296994767</v>
      </c>
      <c r="Y342" s="67" t="n">
        <f aca="false">(1+Opex_Esc)^Y327</f>
        <v>1.28008454419636</v>
      </c>
      <c r="Z342" s="67" t="n">
        <f aca="false">(1+Opex_Esc)^Z327</f>
        <v>1.31208665780127</v>
      </c>
      <c r="AA342" s="67" t="n">
        <f aca="false">(1+Opex_Esc)^AA327</f>
        <v>1.3448888242463</v>
      </c>
      <c r="AB342" s="67" t="n">
        <f aca="false">(1+Opex_Esc)^AB327</f>
        <v>1.37851104485245</v>
      </c>
      <c r="AC342" s="67" t="n">
        <f aca="false">(1+Opex_Esc)^AC327</f>
        <v>1.41297382097377</v>
      </c>
      <c r="AD342" s="67" t="n">
        <f aca="false">(1+Opex_Esc)^AD327</f>
        <v>1.44829816649811</v>
      </c>
      <c r="AE342" s="67" t="n">
        <f aca="false">(1+Opex_Esc)^AE327</f>
        <v>1.48450562066056</v>
      </c>
      <c r="AF342" s="67" t="n">
        <f aca="false">(1+Opex_Esc)^AF327</f>
        <v>1.52161826117708</v>
      </c>
      <c r="AG342" s="67" t="n">
        <f aca="false">(1+Opex_Esc)^AG327</f>
        <v>1.5596587177065</v>
      </c>
      <c r="AH342" s="67" t="n">
        <f aca="false">(1+Opex_Esc)^AH327</f>
        <v>1.59865018564917</v>
      </c>
      <c r="AI342" s="67" t="n">
        <f aca="false">(1+Opex_Esc)^AI327</f>
        <v>1.63861644029039</v>
      </c>
      <c r="AJ342" s="67" t="n">
        <f aca="false">(1+Opex_Esc)^AJ327</f>
        <v>1.67958185129765</v>
      </c>
      <c r="AK342" s="67" t="n">
        <f aca="false">(1+Opex_Esc)^AK327</f>
        <v>1.7215713975801</v>
      </c>
      <c r="AL342" s="67" t="n">
        <f aca="false">(1+Opex_Esc)^AL327</f>
        <v>1.7646106825196</v>
      </c>
      <c r="AM342" s="67" t="n">
        <f aca="false">(1+Opex_Esc)^AM327</f>
        <v>1.80872594958259</v>
      </c>
      <c r="AN342" s="67" t="n">
        <f aca="false">(1+Opex_Esc)^AN327</f>
        <v>1.85394409832215</v>
      </c>
      <c r="AO342" s="67" t="n">
        <f aca="false">(1+Opex_Esc)^AO327</f>
        <v>1.90029270078021</v>
      </c>
      <c r="AP342" s="67" t="n">
        <f aca="false">(1+Opex_Esc)^AP327</f>
        <v>1.94780001829971</v>
      </c>
      <c r="AQ342" s="67" t="n">
        <f aca="false">(1+Opex_Esc)^AQ327</f>
        <v>1.9964950187572</v>
      </c>
      <c r="AR342" s="67" t="n">
        <f aca="false">(1+Opex_Esc)^AR327</f>
        <v>2.04640739422613</v>
      </c>
      <c r="AS342" s="67" t="n">
        <f aca="false">(1+Opex_Esc)^AS327</f>
        <v>2.09756757908179</v>
      </c>
    </row>
    <row r="343" customFormat="false" ht="14.25" hidden="false" customHeight="false" outlineLevel="0" collapsed="false">
      <c r="C343" s="6" t="s">
        <v>264</v>
      </c>
      <c r="D343" s="2" t="s">
        <v>85</v>
      </c>
      <c r="H343" s="8" t="n">
        <f aca="false">SUM(J343:AS343)</f>
        <v>-77790.1021674219</v>
      </c>
      <c r="J343" s="8" t="n">
        <f aca="false">-(Case_OM+SUM(Opex_Per_MW))*$F$46*J342*J331</f>
        <v>-0</v>
      </c>
      <c r="K343" s="8" t="n">
        <f aca="false">-(Case_OM+SUM(Opex_Per_MW))*$F$46*K342*K331</f>
        <v>-0</v>
      </c>
      <c r="L343" s="8" t="n">
        <f aca="false">-(Case_OM+SUM(Opex_Per_MW))*$F$46*L342*L331</f>
        <v>-0</v>
      </c>
      <c r="M343" s="8" t="n">
        <f aca="false">-(Case_OM+SUM(Opex_Per_MW))*$F$46*M342*M331</f>
        <v>-0</v>
      </c>
      <c r="N343" s="8" t="n">
        <f aca="false">-(Case_OM+SUM(Opex_Per_MW))*$F$46*N342*N331</f>
        <v>-0</v>
      </c>
      <c r="O343" s="8" t="n">
        <f aca="false">-(Case_OM+SUM(Opex_Per_MW))*$F$46*O342*O331</f>
        <v>-875</v>
      </c>
      <c r="P343" s="8" t="n">
        <f aca="false">-(Case_OM+SUM(Opex_Per_MW))*$F$46*P342*P331</f>
        <v>-1793.75</v>
      </c>
      <c r="Q343" s="8" t="n">
        <f aca="false">-(Case_OM+SUM(Opex_Per_MW))*$F$46*Q342*Q331</f>
        <v>-1838.59375</v>
      </c>
      <c r="R343" s="8" t="n">
        <f aca="false">-(Case_OM+SUM(Opex_Per_MW))*$F$46*R342*R331</f>
        <v>-1884.55859375</v>
      </c>
      <c r="S343" s="8" t="n">
        <f aca="false">-(Case_OM+SUM(Opex_Per_MW))*$F$46*S342*S331</f>
        <v>-1931.67255859375</v>
      </c>
      <c r="T343" s="8" t="n">
        <f aca="false">-(Case_OM+SUM(Opex_Per_MW))*$F$46*T342*T331</f>
        <v>-1979.96437255859</v>
      </c>
      <c r="U343" s="8" t="n">
        <f aca="false">-(Case_OM+SUM(Opex_Per_MW))*$F$46*U342*U331</f>
        <v>-2029.46348187256</v>
      </c>
      <c r="V343" s="8" t="n">
        <f aca="false">-(Case_OM+SUM(Opex_Per_MW))*$F$46*V342*V331</f>
        <v>-2080.20006891937</v>
      </c>
      <c r="W343" s="8" t="n">
        <f aca="false">-(Case_OM+SUM(Opex_Per_MW))*$F$46*W342*W331</f>
        <v>-2132.20507064236</v>
      </c>
      <c r="X343" s="8" t="n">
        <f aca="false">-(Case_OM+SUM(Opex_Per_MW))*$F$46*X342*X331</f>
        <v>-2185.51019740841</v>
      </c>
      <c r="Y343" s="8" t="n">
        <f aca="false">-(Case_OM+SUM(Opex_Per_MW))*$F$46*Y342*Y331</f>
        <v>-2240.14795234362</v>
      </c>
      <c r="Z343" s="8" t="n">
        <f aca="false">-(Case_OM+SUM(Opex_Per_MW))*$F$46*Z342*Z331</f>
        <v>-2296.15165115221</v>
      </c>
      <c r="AA343" s="8" t="n">
        <f aca="false">-(Case_OM+SUM(Opex_Per_MW))*$F$46*AA342*AA331</f>
        <v>-2353.55544243102</v>
      </c>
      <c r="AB343" s="8" t="n">
        <f aca="false">-(Case_OM+SUM(Opex_Per_MW))*$F$46*AB342*AB331</f>
        <v>-2412.3943284918</v>
      </c>
      <c r="AC343" s="8" t="n">
        <f aca="false">-(Case_OM+SUM(Opex_Per_MW))*$F$46*AC342*AC331</f>
        <v>-2472.70418670409</v>
      </c>
      <c r="AD343" s="8" t="n">
        <f aca="false">-(Case_OM+SUM(Opex_Per_MW))*$F$46*AD342*AD331</f>
        <v>-2534.52179137169</v>
      </c>
      <c r="AE343" s="8" t="n">
        <f aca="false">-(Case_OM+SUM(Opex_Per_MW))*$F$46*AE342*AE331</f>
        <v>-2597.88483615598</v>
      </c>
      <c r="AF343" s="8" t="n">
        <f aca="false">-(Case_OM+SUM(Opex_Per_MW))*$F$46*AF342*AF331</f>
        <v>-2662.83195705988</v>
      </c>
      <c r="AG343" s="8" t="n">
        <f aca="false">-(Case_OM+SUM(Opex_Per_MW))*$F$46*AG342*AG331</f>
        <v>-2729.40275598638</v>
      </c>
      <c r="AH343" s="8" t="n">
        <f aca="false">-(Case_OM+SUM(Opex_Per_MW))*$F$46*AH342*AH331</f>
        <v>-2797.63782488604</v>
      </c>
      <c r="AI343" s="8" t="n">
        <f aca="false">-(Case_OM+SUM(Opex_Per_MW))*$F$46*AI342*AI331</f>
        <v>-2867.57877050819</v>
      </c>
      <c r="AJ343" s="8" t="n">
        <f aca="false">-(Case_OM+SUM(Opex_Per_MW))*$F$46*AJ342*AJ331</f>
        <v>-2939.26823977089</v>
      </c>
      <c r="AK343" s="8" t="n">
        <f aca="false">-(Case_OM+SUM(Opex_Per_MW))*$F$46*AK342*AK331</f>
        <v>-3012.74994576517</v>
      </c>
      <c r="AL343" s="8" t="n">
        <f aca="false">-(Case_OM+SUM(Opex_Per_MW))*$F$46*AL342*AL331</f>
        <v>-3088.0686944093</v>
      </c>
      <c r="AM343" s="8" t="n">
        <f aca="false">-(Case_OM+SUM(Opex_Per_MW))*$F$46*AM342*AM331</f>
        <v>-3165.27041176953</v>
      </c>
      <c r="AN343" s="8" t="n">
        <f aca="false">-(Case_OM+SUM(Opex_Per_MW))*$F$46*AN342*AN331</f>
        <v>-3244.40217206377</v>
      </c>
      <c r="AO343" s="8" t="n">
        <f aca="false">-(Case_OM+SUM(Opex_Per_MW))*$F$46*AO342*AO331</f>
        <v>-3325.51222636536</v>
      </c>
      <c r="AP343" s="8" t="n">
        <f aca="false">-(Case_OM+SUM(Opex_Per_MW))*$F$46*AP342*AP331</f>
        <v>-3408.65003202449</v>
      </c>
      <c r="AQ343" s="8" t="n">
        <f aca="false">-(Case_OM+SUM(Opex_Per_MW))*$F$46*AQ342*AQ331</f>
        <v>-3493.86628282511</v>
      </c>
      <c r="AR343" s="8" t="n">
        <f aca="false">-(Case_OM+SUM(Opex_Per_MW))*$F$46*AR342*AR331</f>
        <v>-3581.21293989573</v>
      </c>
      <c r="AS343" s="8" t="n">
        <f aca="false">-(Case_OM+SUM(Opex_Per_MW))*$F$46*AS342*AS331</f>
        <v>-1835.37163169656</v>
      </c>
    </row>
    <row r="344" customFormat="false" ht="14.25" hidden="false" customHeight="false" outlineLevel="0" collapsed="false">
      <c r="C344" s="6" t="s">
        <v>265</v>
      </c>
      <c r="D344" s="2" t="s">
        <v>85</v>
      </c>
      <c r="H344" s="8" t="n">
        <f aca="false">SUM(J344:AS344)</f>
        <v>-1666.93076073047</v>
      </c>
      <c r="J344" s="8" t="n">
        <f aca="false">-Opex_Admin*$F$6/Lump_Basis*J342*J331</f>
        <v>-0</v>
      </c>
      <c r="K344" s="8" t="n">
        <f aca="false">-Opex_Admin*$F$6/Lump_Basis*K342*K331</f>
        <v>-0</v>
      </c>
      <c r="L344" s="8" t="n">
        <f aca="false">-Opex_Admin*$F$6/Lump_Basis*L342*L331</f>
        <v>-0</v>
      </c>
      <c r="M344" s="8" t="n">
        <f aca="false">-Opex_Admin*$F$6/Lump_Basis*M342*M331</f>
        <v>-0</v>
      </c>
      <c r="N344" s="8" t="n">
        <f aca="false">-Opex_Admin*$F$6/Lump_Basis*N342*N331</f>
        <v>-0</v>
      </c>
      <c r="O344" s="8" t="n">
        <f aca="false">-Opex_Admin*$F$6/Lump_Basis*O342*O331</f>
        <v>-18.75</v>
      </c>
      <c r="P344" s="8" t="n">
        <f aca="false">-Opex_Admin*$F$6/Lump_Basis*P342*P331</f>
        <v>-38.4375</v>
      </c>
      <c r="Q344" s="8" t="n">
        <f aca="false">-Opex_Admin*$F$6/Lump_Basis*Q342*Q331</f>
        <v>-39.3984375</v>
      </c>
      <c r="R344" s="8" t="n">
        <f aca="false">-Opex_Admin*$F$6/Lump_Basis*R342*R331</f>
        <v>-40.3833984375</v>
      </c>
      <c r="S344" s="8" t="n">
        <f aca="false">-Opex_Admin*$F$6/Lump_Basis*S342*S331</f>
        <v>-41.3929833984375</v>
      </c>
      <c r="T344" s="8" t="n">
        <f aca="false">-Opex_Admin*$F$6/Lump_Basis*T342*T331</f>
        <v>-42.4278079833984</v>
      </c>
      <c r="U344" s="8" t="n">
        <f aca="false">-Opex_Admin*$F$6/Lump_Basis*U342*U331</f>
        <v>-43.4885031829834</v>
      </c>
      <c r="V344" s="8" t="n">
        <f aca="false">-Opex_Admin*$F$6/Lump_Basis*V342*V331</f>
        <v>-44.575715762558</v>
      </c>
      <c r="W344" s="8" t="n">
        <f aca="false">-Opex_Admin*$F$6/Lump_Basis*W342*W331</f>
        <v>-45.6901086566219</v>
      </c>
      <c r="X344" s="8" t="n">
        <f aca="false">-Opex_Admin*$F$6/Lump_Basis*X342*X331</f>
        <v>-46.8323613730374</v>
      </c>
      <c r="Y344" s="8" t="n">
        <f aca="false">-Opex_Admin*$F$6/Lump_Basis*Y342*Y331</f>
        <v>-48.0031704073634</v>
      </c>
      <c r="Z344" s="8" t="n">
        <f aca="false">-Opex_Admin*$F$6/Lump_Basis*Z342*Z331</f>
        <v>-49.2032496675475</v>
      </c>
      <c r="AA344" s="8" t="n">
        <f aca="false">-Opex_Admin*$F$6/Lump_Basis*AA342*AA331</f>
        <v>-50.4333309092361</v>
      </c>
      <c r="AB344" s="8" t="n">
        <f aca="false">-Opex_Admin*$F$6/Lump_Basis*AB342*AB331</f>
        <v>-51.694164181967</v>
      </c>
      <c r="AC344" s="8" t="n">
        <f aca="false">-Opex_Admin*$F$6/Lump_Basis*AC342*AC331</f>
        <v>-52.9865182865162</v>
      </c>
      <c r="AD344" s="8" t="n">
        <f aca="false">-Opex_Admin*$F$6/Lump_Basis*AD342*AD331</f>
        <v>-54.3111812436791</v>
      </c>
      <c r="AE344" s="8" t="n">
        <f aca="false">-Opex_Admin*$F$6/Lump_Basis*AE342*AE331</f>
        <v>-55.6689607747711</v>
      </c>
      <c r="AF344" s="8" t="n">
        <f aca="false">-Opex_Admin*$F$6/Lump_Basis*AF342*AF331</f>
        <v>-57.0606847941404</v>
      </c>
      <c r="AG344" s="8" t="n">
        <f aca="false">-Opex_Admin*$F$6/Lump_Basis*AG342*AG331</f>
        <v>-58.4872019139939</v>
      </c>
      <c r="AH344" s="8" t="n">
        <f aca="false">-Opex_Admin*$F$6/Lump_Basis*AH342*AH331</f>
        <v>-59.9493819618437</v>
      </c>
      <c r="AI344" s="8" t="n">
        <f aca="false">-Opex_Admin*$F$6/Lump_Basis*AI342*AI331</f>
        <v>-61.4481165108898</v>
      </c>
      <c r="AJ344" s="8" t="n">
        <f aca="false">-Opex_Admin*$F$6/Lump_Basis*AJ342*AJ331</f>
        <v>-62.984319423662</v>
      </c>
      <c r="AK344" s="8" t="n">
        <f aca="false">-Opex_Admin*$F$6/Lump_Basis*AK342*AK331</f>
        <v>-64.5589274092536</v>
      </c>
      <c r="AL344" s="8" t="n">
        <f aca="false">-Opex_Admin*$F$6/Lump_Basis*AL342*AL331</f>
        <v>-66.1729005944849</v>
      </c>
      <c r="AM344" s="8" t="n">
        <f aca="false">-Opex_Admin*$F$6/Lump_Basis*AM342*AM331</f>
        <v>-67.827223109347</v>
      </c>
      <c r="AN344" s="8" t="n">
        <f aca="false">-Opex_Admin*$F$6/Lump_Basis*AN342*AN331</f>
        <v>-69.5229036870807</v>
      </c>
      <c r="AO344" s="8" t="n">
        <f aca="false">-Opex_Admin*$F$6/Lump_Basis*AO342*AO331</f>
        <v>-71.2609762792577</v>
      </c>
      <c r="AP344" s="8" t="n">
        <f aca="false">-Opex_Admin*$F$6/Lump_Basis*AP342*AP331</f>
        <v>-73.0425006862391</v>
      </c>
      <c r="AQ344" s="8" t="n">
        <f aca="false">-Opex_Admin*$F$6/Lump_Basis*AQ342*AQ331</f>
        <v>-74.8685632033951</v>
      </c>
      <c r="AR344" s="8" t="n">
        <f aca="false">-Opex_Admin*$F$6/Lump_Basis*AR342*AR331</f>
        <v>-76.74027728348</v>
      </c>
      <c r="AS344" s="8" t="n">
        <f aca="false">-Opex_Admin*$F$6/Lump_Basis*AS342*AS331</f>
        <v>-39.3293921077835</v>
      </c>
    </row>
    <row r="345" customFormat="false" ht="14.25" hidden="false" customHeight="false" outlineLevel="0" collapsed="false">
      <c r="C345" s="6" t="s">
        <v>266</v>
      </c>
      <c r="D345" s="2" t="s">
        <v>85</v>
      </c>
      <c r="H345" s="8" t="n">
        <f aca="false">SUM(J345:AS345)</f>
        <v>-34902.1442969836</v>
      </c>
      <c r="J345" s="8" t="n">
        <f aca="false">-J339*(Balancing+Grid_Charges)*J342</f>
        <v>-0</v>
      </c>
      <c r="K345" s="8" t="n">
        <f aca="false">-K339*(Balancing+Grid_Charges)*K342</f>
        <v>-0</v>
      </c>
      <c r="L345" s="8" t="n">
        <f aca="false">-L339*(Balancing+Grid_Charges)*L342</f>
        <v>-0</v>
      </c>
      <c r="M345" s="8" t="n">
        <f aca="false">-M339*(Balancing+Grid_Charges)*M342</f>
        <v>-0</v>
      </c>
      <c r="N345" s="8" t="n">
        <f aca="false">-N339*(Balancing+Grid_Charges)*N342</f>
        <v>-0</v>
      </c>
      <c r="O345" s="8" t="n">
        <f aca="false">-O339*(Balancing+Grid_Charges)*O342</f>
        <v>-411.6</v>
      </c>
      <c r="P345" s="8" t="n">
        <f aca="false">-P339*(Balancing+Grid_Charges)*P342</f>
        <v>-843.78</v>
      </c>
      <c r="Q345" s="8" t="n">
        <f aca="false">-Q339*(Balancing+Grid_Charges)*Q342</f>
        <v>-862.2798765</v>
      </c>
      <c r="R345" s="8" t="n">
        <f aca="false">-R339*(Balancing+Grid_Charges)*R342</f>
        <v>-881.185362792262</v>
      </c>
      <c r="S345" s="8" t="n">
        <f aca="false">-S339*(Balancing+Grid_Charges)*S342</f>
        <v>-900.505351871483</v>
      </c>
      <c r="T345" s="8" t="n">
        <f aca="false">-T339*(Balancing+Grid_Charges)*T342</f>
        <v>-920.248931711265</v>
      </c>
      <c r="U345" s="8" t="n">
        <f aca="false">-U339*(Balancing+Grid_Charges)*U342</f>
        <v>-940.425389539034</v>
      </c>
      <c r="V345" s="8" t="n">
        <f aca="false">-V339*(Balancing+Grid_Charges)*V342</f>
        <v>-961.044216204678</v>
      </c>
      <c r="W345" s="8" t="n">
        <f aca="false">-W339*(Balancing+Grid_Charges)*W342</f>
        <v>-982.115110644965</v>
      </c>
      <c r="X345" s="8" t="n">
        <f aca="false">-X339*(Balancing+Grid_Charges)*X342</f>
        <v>-1003.64798444586</v>
      </c>
      <c r="Y345" s="8" t="n">
        <f aca="false">-Y339*(Balancing+Grid_Charges)*Y342</f>
        <v>-1025.65296650483</v>
      </c>
      <c r="Z345" s="8" t="n">
        <f aca="false">-Z339*(Balancing+Grid_Charges)*Z342</f>
        <v>-1048.14040779545</v>
      </c>
      <c r="AA345" s="8" t="n">
        <f aca="false">-AA339*(Balancing+Grid_Charges)*AA342</f>
        <v>-1071.12088623636</v>
      </c>
      <c r="AB345" s="8" t="n">
        <f aca="false">-AB339*(Balancing+Grid_Charges)*AB342</f>
        <v>-1094.6052116671</v>
      </c>
      <c r="AC345" s="8" t="n">
        <f aca="false">-AC339*(Balancing+Grid_Charges)*AC342</f>
        <v>-1118.6044309329</v>
      </c>
      <c r="AD345" s="8" t="n">
        <f aca="false">-AD339*(Balancing+Grid_Charges)*AD342</f>
        <v>-1143.1298330811</v>
      </c>
      <c r="AE345" s="8" t="n">
        <f aca="false">-AE339*(Balancing+Grid_Charges)*AE342</f>
        <v>-1168.1929546714</v>
      </c>
      <c r="AF345" s="8" t="n">
        <f aca="false">-AF339*(Balancing+Grid_Charges)*AF342</f>
        <v>-1193.80558520257</v>
      </c>
      <c r="AG345" s="8" t="n">
        <f aca="false">-AG339*(Balancing+Grid_Charges)*AG342</f>
        <v>-1219.97977265814</v>
      </c>
      <c r="AH345" s="8" t="n">
        <f aca="false">-AH339*(Balancing+Grid_Charges)*AH342</f>
        <v>-1246.72782917367</v>
      </c>
      <c r="AI345" s="8" t="n">
        <f aca="false">-AI339*(Balancing+Grid_Charges)*AI342</f>
        <v>-1274.0623368283</v>
      </c>
      <c r="AJ345" s="8" t="n">
        <f aca="false">-AJ339*(Balancing+Grid_Charges)*AJ342</f>
        <v>-1301.99615356326</v>
      </c>
      <c r="AK345" s="8" t="n">
        <f aca="false">-AK339*(Balancing+Grid_Charges)*AK342</f>
        <v>-1330.54241923014</v>
      </c>
      <c r="AL345" s="8" t="n">
        <f aca="false">-AL339*(Balancing+Grid_Charges)*AL342</f>
        <v>-1359.71456177176</v>
      </c>
      <c r="AM345" s="8" t="n">
        <f aca="false">-AM339*(Balancing+Grid_Charges)*AM342</f>
        <v>-1389.5263035386</v>
      </c>
      <c r="AN345" s="8" t="n">
        <f aca="false">-AN339*(Balancing+Grid_Charges)*AN342</f>
        <v>-1419.99166774369</v>
      </c>
      <c r="AO345" s="8" t="n">
        <f aca="false">-AO339*(Balancing+Grid_Charges)*AO342</f>
        <v>-1451.12498505897</v>
      </c>
      <c r="AP345" s="8" t="n">
        <f aca="false">-AP339*(Balancing+Grid_Charges)*AP342</f>
        <v>-1482.94090035639</v>
      </c>
      <c r="AQ345" s="8" t="n">
        <f aca="false">-AQ339*(Balancing+Grid_Charges)*AQ342</f>
        <v>-1515.4543795967</v>
      </c>
      <c r="AR345" s="8" t="n">
        <f aca="false">-AR339*(Balancing+Grid_Charges)*AR342</f>
        <v>-1548.68071686936</v>
      </c>
      <c r="AS345" s="8" t="n">
        <f aca="false">-AS339*(Balancing+Grid_Charges)*AS342</f>
        <v>-791.317770793359</v>
      </c>
    </row>
    <row r="346" customFormat="false" ht="14.25" hidden="false" customHeight="false" outlineLevel="0" collapsed="false">
      <c r="C346" s="6" t="s">
        <v>267</v>
      </c>
      <c r="D346" s="2" t="s">
        <v>85</v>
      </c>
      <c r="H346" s="8" t="n">
        <f aca="false">SUM(J346:AS346)</f>
        <v>-495.700761921616</v>
      </c>
      <c r="J346" s="8" t="n">
        <f aca="false">-J341*MEKH_Fee</f>
        <v>-0</v>
      </c>
      <c r="K346" s="8" t="n">
        <f aca="false">-K341*MEKH_Fee</f>
        <v>-0</v>
      </c>
      <c r="L346" s="8" t="n">
        <f aca="false">-L341*MEKH_Fee</f>
        <v>-0</v>
      </c>
      <c r="M346" s="8" t="n">
        <f aca="false">-M341*MEKH_Fee</f>
        <v>-0</v>
      </c>
      <c r="N346" s="8" t="n">
        <f aca="false">-N341*MEKH_Fee</f>
        <v>-0</v>
      </c>
      <c r="O346" s="8" t="n">
        <f aca="false">-O341*MEKH_Fee</f>
        <v>-7.4088</v>
      </c>
      <c r="P346" s="8" t="n">
        <f aca="false">-P341*MEKH_Fee</f>
        <v>-14.965776</v>
      </c>
      <c r="Q346" s="8" t="n">
        <f aca="false">-Q341*MEKH_Fee</f>
        <v>-15.07008745872</v>
      </c>
      <c r="R346" s="8" t="n">
        <f aca="false">-R341*MEKH_Fee</f>
        <v>-15.1751259683073</v>
      </c>
      <c r="S346" s="8" t="n">
        <f aca="false">-S341*MEKH_Fee</f>
        <v>-15.2808965963064</v>
      </c>
      <c r="T346" s="8" t="n">
        <f aca="false">-T341*MEKH_Fee</f>
        <v>-15.3874044455826</v>
      </c>
      <c r="U346" s="8" t="n">
        <f aca="false">-U341*MEKH_Fee</f>
        <v>-15.4946546545683</v>
      </c>
      <c r="V346" s="8" t="n">
        <f aca="false">-V341*MEKH_Fee</f>
        <v>-15.6026523975107</v>
      </c>
      <c r="W346" s="8" t="n">
        <f aca="false">-W341*MEKH_Fee</f>
        <v>-15.7114028847213</v>
      </c>
      <c r="X346" s="8" t="n">
        <f aca="false">-X341*MEKH_Fee</f>
        <v>-15.8209113628278</v>
      </c>
      <c r="Y346" s="8" t="n">
        <f aca="false">-Y341*MEKH_Fee</f>
        <v>-15.9311831150268</v>
      </c>
      <c r="Z346" s="8" t="n">
        <f aca="false">-Z341*MEKH_Fee</f>
        <v>-16.0422234613385</v>
      </c>
      <c r="AA346" s="8" t="n">
        <f aca="false">-AA341*MEKH_Fee</f>
        <v>-16.154037758864</v>
      </c>
      <c r="AB346" s="8" t="n">
        <f aca="false">-AB341*MEKH_Fee</f>
        <v>-16.2666314020433</v>
      </c>
      <c r="AC346" s="8" t="n">
        <f aca="false">-AC341*MEKH_Fee</f>
        <v>-16.3800098229155</v>
      </c>
      <c r="AD346" s="8" t="n">
        <f aca="false">-AD341*MEKH_Fee</f>
        <v>-16.4941784913813</v>
      </c>
      <c r="AE346" s="8" t="n">
        <f aca="false">-AE341*MEKH_Fee</f>
        <v>-16.6091429154662</v>
      </c>
      <c r="AF346" s="8" t="n">
        <f aca="false">-AF341*MEKH_Fee</f>
        <v>-16.724908641587</v>
      </c>
      <c r="AG346" s="8" t="n">
        <f aca="false">-AG341*MEKH_Fee</f>
        <v>-16.8414812548189</v>
      </c>
      <c r="AH346" s="8" t="n">
        <f aca="false">-AH341*MEKH_Fee</f>
        <v>-16.9588663791649</v>
      </c>
      <c r="AI346" s="8" t="n">
        <f aca="false">-AI341*MEKH_Fee</f>
        <v>-17.0770696778277</v>
      </c>
      <c r="AJ346" s="8" t="n">
        <f aca="false">-AJ341*MEKH_Fee</f>
        <v>-17.1960968534822</v>
      </c>
      <c r="AK346" s="8" t="n">
        <f aca="false">-AK341*MEKH_Fee</f>
        <v>-17.315953648551</v>
      </c>
      <c r="AL346" s="8" t="n">
        <f aca="false">-AL341*MEKH_Fee</f>
        <v>-17.4366458454814</v>
      </c>
      <c r="AM346" s="8" t="n">
        <f aca="false">-AM341*MEKH_Fee</f>
        <v>-17.5581792670244</v>
      </c>
      <c r="AN346" s="8" t="n">
        <f aca="false">-AN341*MEKH_Fee</f>
        <v>-17.6805597765155</v>
      </c>
      <c r="AO346" s="8" t="n">
        <f aca="false">-AO341*MEKH_Fee</f>
        <v>-17.8037932781578</v>
      </c>
      <c r="AP346" s="8" t="n">
        <f aca="false">-AP341*MEKH_Fee</f>
        <v>-17.9278857173066</v>
      </c>
      <c r="AQ346" s="8" t="n">
        <f aca="false">-AQ341*MEKH_Fee</f>
        <v>-18.0528430807562</v>
      </c>
      <c r="AR346" s="8" t="n">
        <f aca="false">-AR341*MEKH_Fee</f>
        <v>-18.1786713970291</v>
      </c>
      <c r="AS346" s="8" t="n">
        <f aca="false">-AS341*MEKH_Fee</f>
        <v>-9.15268836833319</v>
      </c>
    </row>
    <row r="347" customFormat="false" ht="14.25" hidden="false" customHeight="false" outlineLevel="0" collapsed="false">
      <c r="C347" s="6" t="s">
        <v>268</v>
      </c>
      <c r="D347" s="2" t="s">
        <v>85</v>
      </c>
      <c r="H347" s="8" t="n">
        <f aca="false">SUM(J347:AS347)</f>
        <v>-5742.74389935288</v>
      </c>
      <c r="J347" s="8" t="n">
        <f aca="false">SUM(J343:J346)*Opex_Cont</f>
        <v>0</v>
      </c>
      <c r="K347" s="8" t="n">
        <f aca="false">SUM(K343:K346)*Opex_Cont</f>
        <v>0</v>
      </c>
      <c r="L347" s="8" t="n">
        <f aca="false">SUM(L343:L346)*Opex_Cont</f>
        <v>0</v>
      </c>
      <c r="M347" s="8" t="n">
        <f aca="false">SUM(M343:M346)*Opex_Cont</f>
        <v>0</v>
      </c>
      <c r="N347" s="8" t="n">
        <f aca="false">SUM(N343:N346)*Opex_Cont</f>
        <v>0</v>
      </c>
      <c r="O347" s="8" t="n">
        <f aca="false">SUM(O343:O346)*Opex_Cont</f>
        <v>-65.63794</v>
      </c>
      <c r="P347" s="8" t="n">
        <f aca="false">SUM(P343:P346)*Opex_Cont</f>
        <v>-134.5466638</v>
      </c>
      <c r="Q347" s="8" t="n">
        <f aca="false">SUM(Q343:Q346)*Opex_Cont</f>
        <v>-137.767107572936</v>
      </c>
      <c r="R347" s="8" t="n">
        <f aca="false">SUM(R343:R346)*Opex_Cont</f>
        <v>-141.065124047403</v>
      </c>
      <c r="S347" s="8" t="n">
        <f aca="false">SUM(S343:S346)*Opex_Cont</f>
        <v>-144.442589522999</v>
      </c>
      <c r="T347" s="8" t="n">
        <f aca="false">SUM(T343:T346)*Opex_Cont</f>
        <v>-147.901425834942</v>
      </c>
      <c r="U347" s="8" t="n">
        <f aca="false">SUM(U343:U346)*Opex_Cont</f>
        <v>-151.443601462457</v>
      </c>
      <c r="V347" s="8" t="n">
        <f aca="false">SUM(V343:V346)*Opex_Cont</f>
        <v>-155.071132664206</v>
      </c>
      <c r="W347" s="8" t="n">
        <f aca="false">SUM(W343:W346)*Opex_Cont</f>
        <v>-158.786084641433</v>
      </c>
      <c r="X347" s="8" t="n">
        <f aca="false">SUM(X343:X346)*Opex_Cont</f>
        <v>-162.590572729507</v>
      </c>
      <c r="Y347" s="8" t="n">
        <f aca="false">SUM(Y343:Y346)*Opex_Cont</f>
        <v>-166.486763618542</v>
      </c>
      <c r="Z347" s="8" t="n">
        <f aca="false">SUM(Z343:Z346)*Opex_Cont</f>
        <v>-170.476876603828</v>
      </c>
      <c r="AA347" s="8" t="n">
        <f aca="false">SUM(AA343:AA346)*Opex_Cont</f>
        <v>-174.563184866774</v>
      </c>
      <c r="AB347" s="8" t="n">
        <f aca="false">SUM(AB343:AB346)*Opex_Cont</f>
        <v>-178.748016787145</v>
      </c>
      <c r="AC347" s="8" t="n">
        <f aca="false">SUM(AC343:AC346)*Opex_Cont</f>
        <v>-183.033757287321</v>
      </c>
      <c r="AD347" s="8" t="n">
        <f aca="false">SUM(AD343:AD346)*Opex_Cont</f>
        <v>-187.422849209393</v>
      </c>
      <c r="AE347" s="8" t="n">
        <f aca="false">SUM(AE343:AE346)*Opex_Cont</f>
        <v>-191.917794725881</v>
      </c>
      <c r="AF347" s="8" t="n">
        <f aca="false">SUM(AF343:AF346)*Opex_Cont</f>
        <v>-196.521156784909</v>
      </c>
      <c r="AG347" s="8" t="n">
        <f aca="false">SUM(AG343:AG346)*Opex_Cont</f>
        <v>-201.235560590667</v>
      </c>
      <c r="AH347" s="8" t="n">
        <f aca="false">SUM(AH343:AH346)*Opex_Cont</f>
        <v>-206.063695120036</v>
      </c>
      <c r="AI347" s="8" t="n">
        <f aca="false">SUM(AI343:AI346)*Opex_Cont</f>
        <v>-211.008314676261</v>
      </c>
      <c r="AJ347" s="8" t="n">
        <f aca="false">SUM(AJ343:AJ346)*Opex_Cont</f>
        <v>-216.072240480565</v>
      </c>
      <c r="AK347" s="8" t="n">
        <f aca="false">SUM(AK343:AK346)*Opex_Cont</f>
        <v>-221.258362302655</v>
      </c>
      <c r="AL347" s="8" t="n">
        <f aca="false">SUM(AL343:AL346)*Opex_Cont</f>
        <v>-226.569640131051</v>
      </c>
      <c r="AM347" s="8" t="n">
        <f aca="false">SUM(AM343:AM346)*Opex_Cont</f>
        <v>-232.009105884225</v>
      </c>
      <c r="AN347" s="8" t="n">
        <f aca="false">SUM(AN343:AN346)*Opex_Cont</f>
        <v>-237.579865163553</v>
      </c>
      <c r="AO347" s="8" t="n">
        <f aca="false">SUM(AO343:AO346)*Opex_Cont</f>
        <v>-243.285099049087</v>
      </c>
      <c r="AP347" s="8" t="n">
        <f aca="false">SUM(AP343:AP346)*Opex_Cont</f>
        <v>-249.128065939221</v>
      </c>
      <c r="AQ347" s="8" t="n">
        <f aca="false">SUM(AQ343:AQ346)*Opex_Cont</f>
        <v>-255.112103435298</v>
      </c>
      <c r="AR347" s="8" t="n">
        <f aca="false">SUM(AR343:AR346)*Opex_Cont</f>
        <v>-261.24063027228</v>
      </c>
      <c r="AS347" s="8" t="n">
        <f aca="false">SUM(AS343:AS346)*Opex_Cont</f>
        <v>-133.758574148302</v>
      </c>
    </row>
    <row r="348" customFormat="false" ht="14.25" hidden="false" customHeight="false" outlineLevel="0" collapsed="false">
      <c r="C348" s="6" t="s">
        <v>269</v>
      </c>
      <c r="D348" s="2" t="s">
        <v>85</v>
      </c>
      <c r="H348" s="8" t="n">
        <f aca="false">SUM(J348:AS348)</f>
        <v>-14211.3294235491</v>
      </c>
      <c r="J348" s="8" t="n">
        <f aca="false">-J339*$F$12</f>
        <v>-0</v>
      </c>
      <c r="K348" s="8" t="n">
        <f aca="false">-K339*$F$12</f>
        <v>-0</v>
      </c>
      <c r="L348" s="8" t="n">
        <f aca="false">-L339*$F$12</f>
        <v>-0</v>
      </c>
      <c r="M348" s="8" t="n">
        <f aca="false">-M339*$F$12</f>
        <v>-0</v>
      </c>
      <c r="N348" s="8" t="n">
        <f aca="false">-N339*$F$12</f>
        <v>-0</v>
      </c>
      <c r="O348" s="8" t="n">
        <f aca="false">-O339*$F$12</f>
        <v>-246.96</v>
      </c>
      <c r="P348" s="8" t="n">
        <f aca="false">-P339*$F$12</f>
        <v>-493.92</v>
      </c>
      <c r="Q348" s="8" t="n">
        <f aca="false">-Q339*$F$12</f>
        <v>-492.43824</v>
      </c>
      <c r="R348" s="8" t="n">
        <f aca="false">-R339*$F$12</f>
        <v>-490.96092528</v>
      </c>
      <c r="S348" s="8" t="n">
        <f aca="false">-S339*$F$12</f>
        <v>-489.48804250416</v>
      </c>
      <c r="T348" s="8" t="n">
        <f aca="false">-T339*$F$12</f>
        <v>-488.019578376648</v>
      </c>
      <c r="U348" s="8" t="n">
        <f aca="false">-U339*$F$12</f>
        <v>-486.555519641518</v>
      </c>
      <c r="V348" s="8" t="n">
        <f aca="false">-V339*$F$12</f>
        <v>-485.095853082593</v>
      </c>
      <c r="W348" s="8" t="n">
        <f aca="false">-W339*$F$12</f>
        <v>-483.640565523345</v>
      </c>
      <c r="X348" s="8" t="n">
        <f aca="false">-X339*$F$12</f>
        <v>-482.189643826775</v>
      </c>
      <c r="Y348" s="8" t="n">
        <f aca="false">-Y339*$F$12</f>
        <v>-480.743074895295</v>
      </c>
      <c r="Z348" s="8" t="n">
        <f aca="false">-Z339*$F$12</f>
        <v>-479.300845670609</v>
      </c>
      <c r="AA348" s="8" t="n">
        <f aca="false">-AA339*$F$12</f>
        <v>-477.862943133597</v>
      </c>
      <c r="AB348" s="8" t="n">
        <f aca="false">-AB339*$F$12</f>
        <v>-476.429354304196</v>
      </c>
      <c r="AC348" s="8" t="n">
        <f aca="false">-AC339*$F$12</f>
        <v>-475.000066241284</v>
      </c>
      <c r="AD348" s="8" t="n">
        <f aca="false">-AD339*$F$12</f>
        <v>-473.57506604256</v>
      </c>
      <c r="AE348" s="8" t="n">
        <f aca="false">-AE339*$F$12</f>
        <v>-472.154340844432</v>
      </c>
      <c r="AF348" s="8" t="n">
        <f aca="false">-AF339*$F$12</f>
        <v>-470.737877821899</v>
      </c>
      <c r="AG348" s="8" t="n">
        <f aca="false">-AG339*$F$12</f>
        <v>-469.325664188433</v>
      </c>
      <c r="AH348" s="8" t="n">
        <f aca="false">-AH339*$F$12</f>
        <v>-467.917687195868</v>
      </c>
      <c r="AI348" s="8" t="n">
        <f aca="false">-AI339*$F$12</f>
        <v>-466.51393413428</v>
      </c>
      <c r="AJ348" s="8" t="n">
        <f aca="false">-AJ339*$F$12</f>
        <v>-465.114392331878</v>
      </c>
      <c r="AK348" s="8" t="n">
        <f aca="false">-AK339*$F$12</f>
        <v>-463.719049154882</v>
      </c>
      <c r="AL348" s="8" t="n">
        <f aca="false">-AL339*$F$12</f>
        <v>-462.327892007417</v>
      </c>
      <c r="AM348" s="8" t="n">
        <f aca="false">-AM339*$F$12</f>
        <v>-460.940908331395</v>
      </c>
      <c r="AN348" s="8" t="n">
        <f aca="false">-AN339*$F$12</f>
        <v>-459.558085606401</v>
      </c>
      <c r="AO348" s="8" t="n">
        <f aca="false">-AO339*$F$12</f>
        <v>-458.179411349582</v>
      </c>
      <c r="AP348" s="8" t="n">
        <f aca="false">-AP339*$F$12</f>
        <v>-456.804873115533</v>
      </c>
      <c r="AQ348" s="8" t="n">
        <f aca="false">-AQ339*$F$12</f>
        <v>-455.434458496186</v>
      </c>
      <c r="AR348" s="8" t="n">
        <f aca="false">-AR339*$F$12</f>
        <v>-454.068155120698</v>
      </c>
      <c r="AS348" s="8" t="n">
        <f aca="false">-AS339*$F$12</f>
        <v>-226.352975327668</v>
      </c>
    </row>
    <row r="349" customFormat="false" ht="14.25" hidden="false" customHeight="false" outlineLevel="0" collapsed="false">
      <c r="C349" s="6" t="s">
        <v>270</v>
      </c>
      <c r="D349" s="2" t="s">
        <v>85</v>
      </c>
      <c r="H349" s="8" t="n">
        <f aca="false">SUM(J349:AS349)</f>
        <v>-9914.01523843232</v>
      </c>
      <c r="J349" s="8" t="n">
        <f aca="false">-J341*HIPA_Rate</f>
        <v>-0</v>
      </c>
      <c r="K349" s="8" t="n">
        <f aca="false">-K341*HIPA_Rate</f>
        <v>-0</v>
      </c>
      <c r="L349" s="8" t="n">
        <f aca="false">-L341*HIPA_Rate</f>
        <v>-0</v>
      </c>
      <c r="M349" s="8" t="n">
        <f aca="false">-M341*HIPA_Rate</f>
        <v>-0</v>
      </c>
      <c r="N349" s="8" t="n">
        <f aca="false">-N341*HIPA_Rate</f>
        <v>-0</v>
      </c>
      <c r="O349" s="8" t="n">
        <f aca="false">-O341*HIPA_Rate</f>
        <v>-148.176</v>
      </c>
      <c r="P349" s="8" t="n">
        <f aca="false">-P341*HIPA_Rate</f>
        <v>-299.31552</v>
      </c>
      <c r="Q349" s="8" t="n">
        <f aca="false">-Q341*HIPA_Rate</f>
        <v>-301.4017491744</v>
      </c>
      <c r="R349" s="8" t="n">
        <f aca="false">-R341*HIPA_Rate</f>
        <v>-303.502519366146</v>
      </c>
      <c r="S349" s="8" t="n">
        <f aca="false">-S341*HIPA_Rate</f>
        <v>-305.617931926128</v>
      </c>
      <c r="T349" s="8" t="n">
        <f aca="false">-T341*HIPA_Rate</f>
        <v>-307.748088911653</v>
      </c>
      <c r="U349" s="8" t="n">
        <f aca="false">-U341*HIPA_Rate</f>
        <v>-309.893093091367</v>
      </c>
      <c r="V349" s="8" t="n">
        <f aca="false">-V341*HIPA_Rate</f>
        <v>-312.053047950214</v>
      </c>
      <c r="W349" s="8" t="n">
        <f aca="false">-W341*HIPA_Rate</f>
        <v>-314.228057694427</v>
      </c>
      <c r="X349" s="8" t="n">
        <f aca="false">-X341*HIPA_Rate</f>
        <v>-316.418227256557</v>
      </c>
      <c r="Y349" s="8" t="n">
        <f aca="false">-Y341*HIPA_Rate</f>
        <v>-318.623662300535</v>
      </c>
      <c r="Z349" s="8" t="n">
        <f aca="false">-Z341*HIPA_Rate</f>
        <v>-320.84446922677</v>
      </c>
      <c r="AA349" s="8" t="n">
        <f aca="false">-AA341*HIPA_Rate</f>
        <v>-323.080755177281</v>
      </c>
      <c r="AB349" s="8" t="n">
        <f aca="false">-AB341*HIPA_Rate</f>
        <v>-325.332628040866</v>
      </c>
      <c r="AC349" s="8" t="n">
        <f aca="false">-AC341*HIPA_Rate</f>
        <v>-327.600196458311</v>
      </c>
      <c r="AD349" s="8" t="n">
        <f aca="false">-AD341*HIPA_Rate</f>
        <v>-329.883569827625</v>
      </c>
      <c r="AE349" s="8" t="n">
        <f aca="false">-AE341*HIPA_Rate</f>
        <v>-332.182858309324</v>
      </c>
      <c r="AF349" s="8" t="n">
        <f aca="false">-AF341*HIPA_Rate</f>
        <v>-334.49817283174</v>
      </c>
      <c r="AG349" s="8" t="n">
        <f aca="false">-AG341*HIPA_Rate</f>
        <v>-336.829625096377</v>
      </c>
      <c r="AH349" s="8" t="n">
        <f aca="false">-AH341*HIPA_Rate</f>
        <v>-339.177327583299</v>
      </c>
      <c r="AI349" s="8" t="n">
        <f aca="false">-AI341*HIPA_Rate</f>
        <v>-341.541393556554</v>
      </c>
      <c r="AJ349" s="8" t="n">
        <f aca="false">-AJ341*HIPA_Rate</f>
        <v>-343.921937069644</v>
      </c>
      <c r="AK349" s="8" t="n">
        <f aca="false">-AK341*HIPA_Rate</f>
        <v>-346.319072971019</v>
      </c>
      <c r="AL349" s="8" t="n">
        <f aca="false">-AL341*HIPA_Rate</f>
        <v>-348.732916909627</v>
      </c>
      <c r="AM349" s="8" t="n">
        <f aca="false">-AM341*HIPA_Rate</f>
        <v>-351.163585340487</v>
      </c>
      <c r="AN349" s="8" t="n">
        <f aca="false">-AN341*HIPA_Rate</f>
        <v>-353.61119553031</v>
      </c>
      <c r="AO349" s="8" t="n">
        <f aca="false">-AO341*HIPA_Rate</f>
        <v>-356.075865563157</v>
      </c>
      <c r="AP349" s="8" t="n">
        <f aca="false">-AP341*HIPA_Rate</f>
        <v>-358.557714346132</v>
      </c>
      <c r="AQ349" s="8" t="n">
        <f aca="false">-AQ341*HIPA_Rate</f>
        <v>-361.056861615124</v>
      </c>
      <c r="AR349" s="8" t="n">
        <f aca="false">-AR341*HIPA_Rate</f>
        <v>-363.573427940582</v>
      </c>
      <c r="AS349" s="8" t="n">
        <f aca="false">-AS341*HIPA_Rate</f>
        <v>-183.053767366664</v>
      </c>
    </row>
    <row r="350" customFormat="false" ht="14.25" hidden="false" customHeight="false" outlineLevel="0" collapsed="false">
      <c r="C350" s="1" t="s">
        <v>271</v>
      </c>
      <c r="D350" s="2" t="s">
        <v>85</v>
      </c>
      <c r="H350" s="34" t="n">
        <f aca="false">SUM(J350:AS350)</f>
        <v>-144722.966548392</v>
      </c>
      <c r="J350" s="34" t="n">
        <f aca="false">SUM(J343:J349)</f>
        <v>0</v>
      </c>
      <c r="K350" s="34" t="n">
        <f aca="false">SUM(K343:K349)</f>
        <v>0</v>
      </c>
      <c r="L350" s="34" t="n">
        <f aca="false">SUM(L343:L349)</f>
        <v>0</v>
      </c>
      <c r="M350" s="34" t="n">
        <f aca="false">SUM(M343:M349)</f>
        <v>0</v>
      </c>
      <c r="N350" s="34" t="n">
        <f aca="false">SUM(N343:N349)</f>
        <v>0</v>
      </c>
      <c r="O350" s="34" t="n">
        <f aca="false">SUM(O343:O349)</f>
        <v>-1773.53274</v>
      </c>
      <c r="P350" s="34" t="n">
        <f aca="false">SUM(P343:P349)</f>
        <v>-3618.7154598</v>
      </c>
      <c r="Q350" s="34" t="n">
        <f aca="false">SUM(Q343:Q349)</f>
        <v>-3686.94924820606</v>
      </c>
      <c r="R350" s="34" t="n">
        <f aca="false">SUM(R343:R349)</f>
        <v>-3756.83104964162</v>
      </c>
      <c r="S350" s="34" t="n">
        <f aca="false">SUM(S343:S349)</f>
        <v>-3828.40035441326</v>
      </c>
      <c r="T350" s="34" t="n">
        <f aca="false">SUM(T343:T349)</f>
        <v>-3901.69760982208</v>
      </c>
      <c r="U350" s="34" t="n">
        <f aca="false">SUM(U343:U349)</f>
        <v>-3976.76424344449</v>
      </c>
      <c r="V350" s="34" t="n">
        <f aca="false">SUM(V343:V349)</f>
        <v>-4053.64268698113</v>
      </c>
      <c r="W350" s="34" t="n">
        <f aca="false">SUM(W343:W349)</f>
        <v>-4132.37640068787</v>
      </c>
      <c r="X350" s="34" t="n">
        <f aca="false">SUM(X343:X349)</f>
        <v>-4213.00989840297</v>
      </c>
      <c r="Y350" s="34" t="n">
        <f aca="false">SUM(Y343:Y349)</f>
        <v>-4295.58877318522</v>
      </c>
      <c r="Z350" s="34" t="n">
        <f aca="false">SUM(Z343:Z349)</f>
        <v>-4380.15972357776</v>
      </c>
      <c r="AA350" s="34" t="n">
        <f aca="false">SUM(AA343:AA349)</f>
        <v>-4466.77058051314</v>
      </c>
      <c r="AB350" s="34" t="n">
        <f aca="false">SUM(AB343:AB349)</f>
        <v>-4555.47033487511</v>
      </c>
      <c r="AC350" s="34" t="n">
        <f aca="false">SUM(AC343:AC349)</f>
        <v>-4646.30916573333</v>
      </c>
      <c r="AD350" s="34" t="n">
        <f aca="false">SUM(AD343:AD349)</f>
        <v>-4739.33846926743</v>
      </c>
      <c r="AE350" s="34" t="n">
        <f aca="false">SUM(AE343:AE349)</f>
        <v>-4834.61088839726</v>
      </c>
      <c r="AF350" s="34" t="n">
        <f aca="false">SUM(AF343:AF349)</f>
        <v>-4932.18034313673</v>
      </c>
      <c r="AG350" s="34" t="n">
        <f aca="false">SUM(AG343:AG349)</f>
        <v>-5032.10206168881</v>
      </c>
      <c r="AH350" s="34" t="n">
        <f aca="false">SUM(AH343:AH349)</f>
        <v>-5134.43261229992</v>
      </c>
      <c r="AI350" s="34" t="n">
        <f aca="false">SUM(AI343:AI349)</f>
        <v>-5239.22993589231</v>
      </c>
      <c r="AJ350" s="34" t="n">
        <f aca="false">SUM(AJ343:AJ349)</f>
        <v>-5346.55337949339</v>
      </c>
      <c r="AK350" s="34" t="n">
        <f aca="false">SUM(AK343:AK349)</f>
        <v>-5456.46373048167</v>
      </c>
      <c r="AL350" s="34" t="n">
        <f aca="false">SUM(AL343:AL349)</f>
        <v>-5569.02325166912</v>
      </c>
      <c r="AM350" s="34" t="n">
        <f aca="false">SUM(AM343:AM349)</f>
        <v>-5684.29571724061</v>
      </c>
      <c r="AN350" s="34" t="n">
        <f aca="false">SUM(AN343:AN349)</f>
        <v>-5802.34644957131</v>
      </c>
      <c r="AO350" s="34" t="n">
        <f aca="false">SUM(AO343:AO349)</f>
        <v>-5923.24235694357</v>
      </c>
      <c r="AP350" s="34" t="n">
        <f aca="false">SUM(AP343:AP349)</f>
        <v>-6047.05197218531</v>
      </c>
      <c r="AQ350" s="34" t="n">
        <f aca="false">SUM(AQ343:AQ349)</f>
        <v>-6173.84549225257</v>
      </c>
      <c r="AR350" s="34" t="n">
        <f aca="false">SUM(AR343:AR349)</f>
        <v>-6303.69481877916</v>
      </c>
      <c r="AS350" s="34" t="n">
        <f aca="false">SUM(AS343:AS349)</f>
        <v>-3218.33679980867</v>
      </c>
    </row>
    <row r="351" customFormat="false" ht="14.25" hidden="false" customHeight="false" outlineLevel="0" collapsed="false">
      <c r="C351" s="1" t="s">
        <v>152</v>
      </c>
      <c r="D351" s="2" t="s">
        <v>85</v>
      </c>
      <c r="H351" s="15" t="n">
        <f aca="false">SUM(J351:AS351)</f>
        <v>350977.795373224</v>
      </c>
      <c r="J351" s="15" t="n">
        <f aca="false">J341+J350</f>
        <v>0</v>
      </c>
      <c r="K351" s="15" t="n">
        <f aca="false">K341+K350</f>
        <v>0</v>
      </c>
      <c r="L351" s="15" t="n">
        <f aca="false">L341+L350</f>
        <v>0</v>
      </c>
      <c r="M351" s="15" t="n">
        <f aca="false">M341+M350</f>
        <v>0</v>
      </c>
      <c r="N351" s="15" t="n">
        <f aca="false">N341+N350</f>
        <v>0</v>
      </c>
      <c r="O351" s="15" t="n">
        <f aca="false">O341+O350</f>
        <v>5635.26726</v>
      </c>
      <c r="P351" s="15" t="n">
        <f aca="false">P341+P350</f>
        <v>11347.0605402</v>
      </c>
      <c r="Q351" s="15" t="n">
        <f aca="false">Q341+Q350</f>
        <v>11383.1382105139</v>
      </c>
      <c r="R351" s="15" t="n">
        <f aca="false">R341+R350</f>
        <v>11418.2949186657</v>
      </c>
      <c r="S351" s="15" t="n">
        <f aca="false">S341+S350</f>
        <v>11452.4962418931</v>
      </c>
      <c r="T351" s="15" t="n">
        <f aca="false">T341+T350</f>
        <v>11485.7068357606</v>
      </c>
      <c r="U351" s="15" t="n">
        <f aca="false">U341+U350</f>
        <v>11517.8904111239</v>
      </c>
      <c r="V351" s="15" t="n">
        <f aca="false">V341+V350</f>
        <v>11549.0097105296</v>
      </c>
      <c r="W351" s="15" t="n">
        <f aca="false">W341+W350</f>
        <v>11579.0264840335</v>
      </c>
      <c r="X351" s="15" t="n">
        <f aca="false">X341+X350</f>
        <v>11607.9014644249</v>
      </c>
      <c r="Y351" s="15" t="n">
        <f aca="false">Y341+Y350</f>
        <v>11635.5943418415</v>
      </c>
      <c r="Z351" s="15" t="n">
        <f aca="false">Z341+Z350</f>
        <v>11662.0637377607</v>
      </c>
      <c r="AA351" s="15" t="n">
        <f aca="false">AA341+AA350</f>
        <v>11687.2671783509</v>
      </c>
      <c r="AB351" s="15" t="n">
        <f aca="false">AB341+AB350</f>
        <v>11711.1610671682</v>
      </c>
      <c r="AC351" s="15" t="n">
        <f aca="false">AC341+AC350</f>
        <v>11733.7006571822</v>
      </c>
      <c r="AD351" s="15" t="n">
        <f aca="false">AD341+AD350</f>
        <v>11754.8400221138</v>
      </c>
      <c r="AE351" s="15" t="n">
        <f aca="false">AE341+AE350</f>
        <v>11774.5320270689</v>
      </c>
      <c r="AF351" s="15" t="n">
        <f aca="false">AF341+AF350</f>
        <v>11792.7282984503</v>
      </c>
      <c r="AG351" s="15" t="n">
        <f aca="false">AG341+AG350</f>
        <v>11809.37919313</v>
      </c>
      <c r="AH351" s="15" t="n">
        <f aca="false">AH341+AH350</f>
        <v>11824.433766865</v>
      </c>
      <c r="AI351" s="15" t="n">
        <f aca="false">AI341+AI350</f>
        <v>11837.8397419354</v>
      </c>
      <c r="AJ351" s="15" t="n">
        <f aca="false">AJ341+AJ350</f>
        <v>11849.5434739888</v>
      </c>
      <c r="AK351" s="15" t="n">
        <f aca="false">AK341+AK350</f>
        <v>11859.4899180693</v>
      </c>
      <c r="AL351" s="15" t="n">
        <f aca="false">AL341+AL350</f>
        <v>11867.6225938122</v>
      </c>
      <c r="AM351" s="15" t="n">
        <f aca="false">AM341+AM350</f>
        <v>11873.8835497838</v>
      </c>
      <c r="AN351" s="15" t="n">
        <f aca="false">AN341+AN350</f>
        <v>11878.2133269442</v>
      </c>
      <c r="AO351" s="15" t="n">
        <f aca="false">AO341+AO350</f>
        <v>11880.5509212143</v>
      </c>
      <c r="AP351" s="15" t="n">
        <f aca="false">AP341+AP350</f>
        <v>11880.8337451213</v>
      </c>
      <c r="AQ351" s="15" t="n">
        <f aca="false">AQ341+AQ350</f>
        <v>11878.9975885037</v>
      </c>
      <c r="AR351" s="15" t="n">
        <f aca="false">AR341+AR350</f>
        <v>11874.9765782499</v>
      </c>
      <c r="AS351" s="15" t="n">
        <f aca="false">AS341+AS350</f>
        <v>5934.35156852452</v>
      </c>
    </row>
    <row r="352" customFormat="false" ht="14.25" hidden="false" customHeight="false" outlineLevel="0" collapsed="false">
      <c r="C352" s="1" t="s">
        <v>272</v>
      </c>
      <c r="D352" s="2" t="s">
        <v>85</v>
      </c>
      <c r="H352" s="34" t="n">
        <f aca="false">SUM(J352:AS352)</f>
        <v>273541.918132218</v>
      </c>
      <c r="J352" s="34" t="n">
        <f aca="false">J337+J351</f>
        <v>-657.123287671233</v>
      </c>
      <c r="K352" s="34" t="n">
        <f aca="false">K337+K351</f>
        <v>-3313.15361086944</v>
      </c>
      <c r="L352" s="34" t="n">
        <f aca="false">L337+L351</f>
        <v>-3467.62089041096</v>
      </c>
      <c r="M352" s="34" t="n">
        <f aca="false">M337+M351</f>
        <v>-17498.125</v>
      </c>
      <c r="N352" s="34" t="n">
        <f aca="false">N337+N351</f>
        <v>-34996.25</v>
      </c>
      <c r="O352" s="34" t="n">
        <f aca="false">O337+O351</f>
        <v>-14362.85774</v>
      </c>
      <c r="P352" s="34" t="n">
        <f aca="false">P337+P351</f>
        <v>11347.0605402</v>
      </c>
      <c r="Q352" s="34" t="n">
        <f aca="false">Q337+Q351</f>
        <v>13877.6587584591</v>
      </c>
      <c r="R352" s="34" t="n">
        <f aca="false">R337+R351</f>
        <v>11418.2949186657</v>
      </c>
      <c r="S352" s="34" t="n">
        <f aca="false">S337+S351</f>
        <v>11452.4962418931</v>
      </c>
      <c r="T352" s="34" t="n">
        <f aca="false">T337+T351</f>
        <v>11485.7068357606</v>
      </c>
      <c r="U352" s="34" t="n">
        <f aca="false">U337+U351</f>
        <v>11517.8904111239</v>
      </c>
      <c r="V352" s="34" t="n">
        <f aca="false">V337+V351</f>
        <v>11549.0097105296</v>
      </c>
      <c r="W352" s="34" t="n">
        <f aca="false">W337+W351</f>
        <v>11579.0264840335</v>
      </c>
      <c r="X352" s="34" t="n">
        <f aca="false">X337+X351</f>
        <v>11607.9014644249</v>
      </c>
      <c r="Y352" s="34" t="n">
        <f aca="false">Y337+Y351</f>
        <v>11635.5943418415</v>
      </c>
      <c r="Z352" s="34" t="n">
        <f aca="false">Z337+Z351</f>
        <v>11662.0637377607</v>
      </c>
      <c r="AA352" s="34" t="n">
        <f aca="false">AA337+AA351</f>
        <v>11687.2671783509</v>
      </c>
      <c r="AB352" s="34" t="n">
        <f aca="false">AB337+AB351</f>
        <v>11711.1610671682</v>
      </c>
      <c r="AC352" s="34" t="n">
        <f aca="false">AC337+AC351</f>
        <v>11733.7006571822</v>
      </c>
      <c r="AD352" s="34" t="n">
        <f aca="false">AD337+AD351</f>
        <v>11754.8400221138</v>
      </c>
      <c r="AE352" s="34" t="n">
        <f aca="false">AE337+AE351</f>
        <v>11774.5320270689</v>
      </c>
      <c r="AF352" s="34" t="n">
        <f aca="false">AF337+AF351</f>
        <v>11792.7282984503</v>
      </c>
      <c r="AG352" s="34" t="n">
        <f aca="false">AG337+AG351</f>
        <v>11809.37919313</v>
      </c>
      <c r="AH352" s="34" t="n">
        <f aca="false">AH337+AH351</f>
        <v>11824.433766865</v>
      </c>
      <c r="AI352" s="34" t="n">
        <f aca="false">AI337+AI351</f>
        <v>11837.8397419354</v>
      </c>
      <c r="AJ352" s="34" t="n">
        <f aca="false">AJ337+AJ351</f>
        <v>11849.5434739888</v>
      </c>
      <c r="AK352" s="34" t="n">
        <f aca="false">AK337+AK351</f>
        <v>11859.4899180693</v>
      </c>
      <c r="AL352" s="34" t="n">
        <f aca="false">AL337+AL351</f>
        <v>11867.6225938122</v>
      </c>
      <c r="AM352" s="34" t="n">
        <f aca="false">AM337+AM351</f>
        <v>11873.8835497838</v>
      </c>
      <c r="AN352" s="34" t="n">
        <f aca="false">AN337+AN351</f>
        <v>11878.2133269442</v>
      </c>
      <c r="AO352" s="34" t="n">
        <f aca="false">AO337+AO351</f>
        <v>11880.5509212143</v>
      </c>
      <c r="AP352" s="34" t="n">
        <f aca="false">AP337+AP351</f>
        <v>11880.8337451213</v>
      </c>
      <c r="AQ352" s="34" t="n">
        <f aca="false">AQ337+AQ351</f>
        <v>11878.9975885037</v>
      </c>
      <c r="AR352" s="34" t="n">
        <f aca="false">AR337+AR351</f>
        <v>11874.9765782499</v>
      </c>
      <c r="AS352" s="34" t="n">
        <f aca="false">AS337+AS351</f>
        <v>5934.35156852452</v>
      </c>
    </row>
    <row r="353" customFormat="false" ht="14.25" hidden="false" customHeight="false" outlineLevel="0" collapsed="false">
      <c r="C353" s="6" t="s">
        <v>273</v>
      </c>
      <c r="D353" s="2" t="s">
        <v>3</v>
      </c>
      <c r="J353" s="67" t="n">
        <f aca="false">(1+Discount_Rate)^((Inputs!$F$26-J$292)/Days_In_Year)</f>
        <v>1.41371255107938</v>
      </c>
      <c r="K353" s="67" t="n">
        <f aca="false">(1+Discount_Rate)^((Inputs!$F$26-K$292)/Days_In_Year)</f>
        <v>1.30899310285128</v>
      </c>
      <c r="L353" s="67" t="n">
        <f aca="false">(1+Discount_Rate)^((Inputs!$F$26-L$292)/Days_In_Year)</f>
        <v>1.21177511843915</v>
      </c>
      <c r="M353" s="67" t="n">
        <f aca="false">(1+Discount_Rate)^((Inputs!$F$26-M$292)/Days_In_Year)</f>
        <v>1.12201399855477</v>
      </c>
      <c r="N353" s="67" t="n">
        <f aca="false">(1+Discount_Rate)^((Inputs!$F$26-N$292)/Days_In_Year)</f>
        <v>1.03890185051367</v>
      </c>
      <c r="O353" s="67" t="n">
        <f aca="false">(1+Discount_Rate)^((Inputs!$F$26-O$292)/Days_In_Year)</f>
        <v>0.961946157883031</v>
      </c>
      <c r="P353" s="67" t="n">
        <f aca="false">(1+Discount_Rate)^((Inputs!$F$26-P$292)/Days_In_Year)</f>
        <v>0.890503102622714</v>
      </c>
      <c r="Q353" s="67" t="n">
        <f aca="false">(1+Discount_Rate)^((Inputs!$F$26-Q$292)/Days_In_Year)</f>
        <v>0.824539909835846</v>
      </c>
      <c r="R353" s="67" t="n">
        <f aca="false">(1+Discount_Rate)^((Inputs!$F$26-R$292)/Days_In_Year)</f>
        <v>0.763462879477635</v>
      </c>
      <c r="S353" s="67" t="n">
        <f aca="false">(1+Discount_Rate)^((Inputs!$F$26-S$292)/Days_In_Year)</f>
        <v>0.706910073590403</v>
      </c>
      <c r="T353" s="67" t="n">
        <f aca="false">(1+Discount_Rate)^((Inputs!$F$26-T$292)/Days_In_Year)</f>
        <v>0.654408366464987</v>
      </c>
      <c r="U353" s="67" t="n">
        <f aca="false">(1+Discount_Rate)^((Inputs!$F$26-U$292)/Days_In_Year)</f>
        <v>0.605933672652766</v>
      </c>
      <c r="V353" s="67" t="n">
        <f aca="false">(1+Discount_Rate)^((Inputs!$F$26-V$292)/Days_In_Year)</f>
        <v>0.561049696900709</v>
      </c>
      <c r="W353" s="67" t="n">
        <f aca="false">(1+Discount_Rate)^((Inputs!$F$26-W$292)/Days_In_Year)</f>
        <v>0.519490460093249</v>
      </c>
      <c r="X353" s="67" t="n">
        <f aca="false">(1+Discount_Rate)^((Inputs!$F$26-X$292)/Days_In_Year)</f>
        <v>0.480908274028566</v>
      </c>
      <c r="Y353" s="67" t="n">
        <f aca="false">(1+Discount_Rate)^((Inputs!$F$26-Y$292)/Days_In_Year)</f>
        <v>0.445285438915339</v>
      </c>
      <c r="Z353" s="67" t="n">
        <f aca="false">(1+Discount_Rate)^((Inputs!$F$26-Z$292)/Days_In_Year)</f>
        <v>0.412301332329018</v>
      </c>
      <c r="AA353" s="67" t="n">
        <f aca="false">(1+Discount_Rate)^((Inputs!$F$26-AA$292)/Days_In_Year)</f>
        <v>0.381760492897239</v>
      </c>
      <c r="AB353" s="67" t="n">
        <f aca="false">(1+Discount_Rate)^((Inputs!$F$26-AB$292)/Days_In_Year)</f>
        <v>0.353407413292154</v>
      </c>
      <c r="AC353" s="67" t="n">
        <f aca="false">(1+Discount_Rate)^((Inputs!$F$26-AC$292)/Days_In_Year)</f>
        <v>0.327229086381624</v>
      </c>
      <c r="AD353" s="67" t="n">
        <f aca="false">(1+Discount_Rate)^((Inputs!$F$26-AD$292)/Days_In_Year)</f>
        <v>0.3029898947978</v>
      </c>
      <c r="AE353" s="67" t="n">
        <f aca="false">(1+Discount_Rate)^((Inputs!$F$26-AE$292)/Days_In_Year)</f>
        <v>0.280546198886852</v>
      </c>
      <c r="AF353" s="67" t="n">
        <f aca="false">(1+Discount_Rate)^((Inputs!$F$26-AF$292)/Days_In_Year)</f>
        <v>0.259710232730228</v>
      </c>
      <c r="AG353" s="67" t="n">
        <f aca="false">(1+Discount_Rate)^((Inputs!$F$26-AG$292)/Days_In_Year)</f>
        <v>0.240472437713174</v>
      </c>
      <c r="AH353" s="67" t="n">
        <f aca="false">(1+Discount_Rate)^((Inputs!$F$26-AH$292)/Days_In_Year)</f>
        <v>0.222659664549235</v>
      </c>
      <c r="AI353" s="67" t="n">
        <f aca="false">(1+Discount_Rate)^((Inputs!$F$26-AI$292)/Days_In_Year)</f>
        <v>0.206166356064106</v>
      </c>
      <c r="AJ353" s="67" t="n">
        <f aca="false">(1+Discount_Rate)^((Inputs!$F$26-AJ$292)/Days_In_Year)</f>
        <v>0.190854527799705</v>
      </c>
      <c r="AK353" s="67" t="n">
        <f aca="false">(1+Discount_Rate)^((Inputs!$F$26-AK$292)/Days_In_Year)</f>
        <v>0.176717155370097</v>
      </c>
      <c r="AL353" s="67" t="n">
        <f aca="false">(1+Discount_Rate)^((Inputs!$F$26-AL$292)/Days_In_Year)</f>
        <v>0.163626995713053</v>
      </c>
      <c r="AM353" s="67" t="n">
        <f aca="false">(1+Discount_Rate)^((Inputs!$F$26-AM$292)/Days_In_Year)</f>
        <v>0.151506477512086</v>
      </c>
      <c r="AN353" s="67" t="n">
        <f aca="false">(1+Discount_Rate)^((Inputs!$F$26-AN$292)/Days_In_Year)</f>
        <v>0.140254199454224</v>
      </c>
      <c r="AO353" s="67" t="n">
        <f aca="false">(1+Discount_Rate)^((Inputs!$F$26-AO$292)/Days_In_Year)</f>
        <v>0.129864999494652</v>
      </c>
      <c r="AP353" s="67" t="n">
        <f aca="false">(1+Discount_Rate)^((Inputs!$F$26-AP$292)/Days_In_Year)</f>
        <v>0.120245369902455</v>
      </c>
      <c r="AQ353" s="67" t="n">
        <f aca="false">(1+Discount_Rate)^((Inputs!$F$26-AQ$292)/Days_In_Year)</f>
        <v>0.111338305465236</v>
      </c>
      <c r="AR353" s="67" t="n">
        <f aca="false">(1+Discount_Rate)^((Inputs!$F$26-AR$292)/Days_In_Year)</f>
        <v>0.103069288904634</v>
      </c>
      <c r="AS353" s="67" t="n">
        <f aca="false">(1+Discount_Rate)^((Inputs!$F$26-AS$292)/Days_In_Year)</f>
        <v>0.0954345267635496</v>
      </c>
    </row>
    <row r="354" customFormat="false" ht="14.25" hidden="false" customHeight="false" outlineLevel="0" collapsed="false">
      <c r="C354" s="6" t="s">
        <v>274</v>
      </c>
      <c r="D354" s="2" t="s">
        <v>85</v>
      </c>
      <c r="H354" s="8" t="n">
        <f aca="false">SUM(J354:AS354)</f>
        <v>130416.00131392</v>
      </c>
      <c r="J354" s="8" t="n">
        <f aca="false">J351*J353</f>
        <v>0</v>
      </c>
      <c r="K354" s="8" t="n">
        <f aca="false">K351*K353</f>
        <v>0</v>
      </c>
      <c r="L354" s="8" t="n">
        <f aca="false">L351*L353</f>
        <v>0</v>
      </c>
      <c r="M354" s="8" t="n">
        <f aca="false">M351*M353</f>
        <v>0</v>
      </c>
      <c r="N354" s="8" t="n">
        <f aca="false">N351*N353</f>
        <v>0</v>
      </c>
      <c r="O354" s="8" t="n">
        <f aca="false">O351*O353</f>
        <v>5420.82368940103</v>
      </c>
      <c r="P354" s="8" t="n">
        <f aca="false">P351*P353</f>
        <v>10104.5926166959</v>
      </c>
      <c r="Q354" s="8" t="n">
        <f aca="false">Q351*Q353</f>
        <v>9385.85175374614</v>
      </c>
      <c r="R354" s="8" t="n">
        <f aca="false">R351*R353</f>
        <v>8717.44431732934</v>
      </c>
      <c r="S354" s="8" t="n">
        <f aca="false">S351*S353</f>
        <v>8095.88496115048</v>
      </c>
      <c r="T354" s="8" t="n">
        <f aca="false">T351*T353</f>
        <v>7516.3426480858</v>
      </c>
      <c r="U354" s="8" t="n">
        <f aca="false">U351*U353</f>
        <v>6979.07763802436</v>
      </c>
      <c r="V354" s="8" t="n">
        <f aca="false">V351*V353</f>
        <v>6479.56839759595</v>
      </c>
      <c r="W354" s="8" t="n">
        <f aca="false">W351*W353</f>
        <v>6015.19379562246</v>
      </c>
      <c r="X354" s="8" t="n">
        <f aca="false">X351*X353</f>
        <v>5582.33585835024</v>
      </c>
      <c r="Y354" s="8" t="n">
        <f aca="false">Y351*Y353</f>
        <v>5181.16073354775</v>
      </c>
      <c r="Z354" s="8" t="n">
        <f aca="false">Z351*Z353</f>
        <v>4808.28441678468</v>
      </c>
      <c r="AA354" s="8" t="n">
        <f aca="false">AA351*AA353</f>
        <v>4461.73687862896</v>
      </c>
      <c r="AB354" s="8" t="n">
        <f aca="false">AB351*AB353</f>
        <v>4138.81113939569</v>
      </c>
      <c r="AC354" s="8" t="n">
        <f aca="false">AC351*AC353</f>
        <v>3839.60814592519</v>
      </c>
      <c r="AD354" s="8" t="n">
        <f aca="false">AD351*AD353</f>
        <v>3561.59774166524</v>
      </c>
      <c r="AE354" s="8" t="n">
        <f aca="false">AE351*AE353</f>
        <v>3303.30020386569</v>
      </c>
      <c r="AF354" s="8" t="n">
        <f aca="false">AF351*AF353</f>
        <v>3062.69221091486</v>
      </c>
      <c r="AG354" s="8" t="n">
        <f aca="false">AG351*AG353</f>
        <v>2839.83020245122</v>
      </c>
      <c r="AH354" s="8" t="n">
        <f aca="false">AH351*AH353</f>
        <v>2632.82445601481</v>
      </c>
      <c r="AI354" s="8" t="n">
        <f aca="false">AI351*AI353</f>
        <v>2440.56428326569</v>
      </c>
      <c r="AJ354" s="8" t="n">
        <f aca="false">AJ351*AJ353</f>
        <v>2261.5390243702</v>
      </c>
      <c r="AK354" s="8" t="n">
        <f aca="false">AK351*AK353</f>
        <v>2095.77532246155</v>
      </c>
      <c r="AL354" s="8" t="n">
        <f aca="false">AL351*AL353</f>
        <v>1941.86343128184</v>
      </c>
      <c r="AM354" s="8" t="n">
        <f aca="false">AM351*AM353</f>
        <v>1798.97027101644</v>
      </c>
      <c r="AN354" s="8" t="n">
        <f aca="false">AN351*AN353</f>
        <v>1665.96930111705</v>
      </c>
      <c r="AO354" s="8" t="n">
        <f aca="false">AO351*AO353</f>
        <v>1542.86773937967</v>
      </c>
      <c r="AP354" s="8" t="n">
        <f aca="false">AP351*AP353</f>
        <v>1428.61524843168</v>
      </c>
      <c r="AQ354" s="8" t="n">
        <f aca="false">AQ351*AQ353</f>
        <v>1322.58746212963</v>
      </c>
      <c r="AR354" s="8" t="n">
        <f aca="false">AR351*AR353</f>
        <v>1223.9453916794</v>
      </c>
      <c r="AS354" s="8" t="n">
        <f aca="false">AS351*AS353</f>
        <v>566.342033590665</v>
      </c>
    </row>
    <row r="355" customFormat="false" ht="14.25" hidden="false" customHeight="false" outlineLevel="0" collapsed="false">
      <c r="C355" s="6" t="s">
        <v>275</v>
      </c>
      <c r="D355" s="2" t="s">
        <v>85</v>
      </c>
      <c r="H355" s="8" t="n">
        <f aca="false">SUM(J355:AS355)</f>
        <v>-7500</v>
      </c>
      <c r="J355" s="8" t="n">
        <f aca="false">-$F$18*$F$6*(J$291=YEAR(Sale_Date))</f>
        <v>-0</v>
      </c>
      <c r="K355" s="8" t="n">
        <f aca="false">-$F$18*$F$6*(K$291=YEAR(Sale_Date))</f>
        <v>-0</v>
      </c>
      <c r="L355" s="8" t="n">
        <f aca="false">-$F$18*$F$6*(L$291=YEAR(Sale_Date))</f>
        <v>-0</v>
      </c>
      <c r="M355" s="8" t="n">
        <f aca="false">-$F$18*$F$6*(M$291=YEAR(Sale_Date))</f>
        <v>-7500</v>
      </c>
      <c r="N355" s="8" t="n">
        <f aca="false">-$F$18*$F$6*(N$291=YEAR(Sale_Date))</f>
        <v>-0</v>
      </c>
      <c r="O355" s="8" t="n">
        <f aca="false">-$F$18*$F$6*(O$291=YEAR(Sale_Date))</f>
        <v>-0</v>
      </c>
      <c r="P355" s="8" t="n">
        <f aca="false">-$F$18*$F$6*(P$291=YEAR(Sale_Date))</f>
        <v>-0</v>
      </c>
      <c r="Q355" s="8" t="n">
        <f aca="false">-$F$18*$F$6*(Q$291=YEAR(Sale_Date))</f>
        <v>-0</v>
      </c>
      <c r="R355" s="8" t="n">
        <f aca="false">-$F$18*$F$6*(R$291=YEAR(Sale_Date))</f>
        <v>-0</v>
      </c>
      <c r="S355" s="8" t="n">
        <f aca="false">-$F$18*$F$6*(S$291=YEAR(Sale_Date))</f>
        <v>-0</v>
      </c>
      <c r="T355" s="8" t="n">
        <f aca="false">-$F$18*$F$6*(T$291=YEAR(Sale_Date))</f>
        <v>-0</v>
      </c>
      <c r="U355" s="8" t="n">
        <f aca="false">-$F$18*$F$6*(U$291=YEAR(Sale_Date))</f>
        <v>-0</v>
      </c>
      <c r="V355" s="8" t="n">
        <f aca="false">-$F$18*$F$6*(V$291=YEAR(Sale_Date))</f>
        <v>-0</v>
      </c>
      <c r="W355" s="8" t="n">
        <f aca="false">-$F$18*$F$6*(W$291=YEAR(Sale_Date))</f>
        <v>-0</v>
      </c>
      <c r="X355" s="8" t="n">
        <f aca="false">-$F$18*$F$6*(X$291=YEAR(Sale_Date))</f>
        <v>-0</v>
      </c>
      <c r="Y355" s="8" t="n">
        <f aca="false">-$F$18*$F$6*(Y$291=YEAR(Sale_Date))</f>
        <v>-0</v>
      </c>
      <c r="Z355" s="8" t="n">
        <f aca="false">-$F$18*$F$6*(Z$291=YEAR(Sale_Date))</f>
        <v>-0</v>
      </c>
      <c r="AA355" s="8" t="n">
        <f aca="false">-$F$18*$F$6*(AA$291=YEAR(Sale_Date))</f>
        <v>-0</v>
      </c>
      <c r="AB355" s="8" t="n">
        <f aca="false">-$F$18*$F$6*(AB$291=YEAR(Sale_Date))</f>
        <v>-0</v>
      </c>
      <c r="AC355" s="8" t="n">
        <f aca="false">-$F$18*$F$6*(AC$291=YEAR(Sale_Date))</f>
        <v>-0</v>
      </c>
      <c r="AD355" s="8" t="n">
        <f aca="false">-$F$18*$F$6*(AD$291=YEAR(Sale_Date))</f>
        <v>-0</v>
      </c>
      <c r="AE355" s="8" t="n">
        <f aca="false">-$F$18*$F$6*(AE$291=YEAR(Sale_Date))</f>
        <v>-0</v>
      </c>
      <c r="AF355" s="8" t="n">
        <f aca="false">-$F$18*$F$6*(AF$291=YEAR(Sale_Date))</f>
        <v>-0</v>
      </c>
      <c r="AG355" s="8" t="n">
        <f aca="false">-$F$18*$F$6*(AG$291=YEAR(Sale_Date))</f>
        <v>-0</v>
      </c>
      <c r="AH355" s="8" t="n">
        <f aca="false">-$F$18*$F$6*(AH$291=YEAR(Sale_Date))</f>
        <v>-0</v>
      </c>
      <c r="AI355" s="8" t="n">
        <f aca="false">-$F$18*$F$6*(AI$291=YEAR(Sale_Date))</f>
        <v>-0</v>
      </c>
      <c r="AJ355" s="8" t="n">
        <f aca="false">-$F$18*$F$6*(AJ$291=YEAR(Sale_Date))</f>
        <v>-0</v>
      </c>
      <c r="AK355" s="8" t="n">
        <f aca="false">-$F$18*$F$6*(AK$291=YEAR(Sale_Date))</f>
        <v>-0</v>
      </c>
      <c r="AL355" s="8" t="n">
        <f aca="false">-$F$18*$F$6*(AL$291=YEAR(Sale_Date))</f>
        <v>-0</v>
      </c>
      <c r="AM355" s="8" t="n">
        <f aca="false">-$F$18*$F$6*(AM$291=YEAR(Sale_Date))</f>
        <v>-0</v>
      </c>
      <c r="AN355" s="8" t="n">
        <f aca="false">-$F$18*$F$6*(AN$291=YEAR(Sale_Date))</f>
        <v>-0</v>
      </c>
      <c r="AO355" s="8" t="n">
        <f aca="false">-$F$18*$F$6*(AO$291=YEAR(Sale_Date))</f>
        <v>-0</v>
      </c>
      <c r="AP355" s="8" t="n">
        <f aca="false">-$F$18*$F$6*(AP$291=YEAR(Sale_Date))</f>
        <v>-0</v>
      </c>
      <c r="AQ355" s="8" t="n">
        <f aca="false">-$F$18*$F$6*(AQ$291=YEAR(Sale_Date))</f>
        <v>-0</v>
      </c>
      <c r="AR355" s="8" t="n">
        <f aca="false">-$F$18*$F$6*(AR$291=YEAR(Sale_Date))</f>
        <v>-0</v>
      </c>
      <c r="AS355" s="8" t="n">
        <f aca="false">-$F$18*$F$6*(AS$291=YEAR(Sale_Date))</f>
        <v>-0</v>
      </c>
    </row>
    <row r="356" customFormat="false" ht="14.25" hidden="false" customHeight="false" outlineLevel="0" collapsed="false">
      <c r="C356" s="1" t="s">
        <v>276</v>
      </c>
      <c r="D356" s="2" t="s">
        <v>85</v>
      </c>
      <c r="H356" s="34" t="n">
        <f aca="false">SUM(J356:AS356)</f>
        <v>45480.1240729131</v>
      </c>
      <c r="J356" s="34" t="n">
        <f aca="false">J337*(J327&lt;=0)+J332*($H354+$F$62+$F$63)+J355</f>
        <v>-657.123287671233</v>
      </c>
      <c r="K356" s="34" t="n">
        <f aca="false">K337*(K327&lt;=0)+K332*($H354+$F$62+$F$63)+K355</f>
        <v>-3313.15361086944</v>
      </c>
      <c r="L356" s="34" t="n">
        <f aca="false">L337*(L327&lt;=0)+L332*($H354+$F$62+$F$63)+L355</f>
        <v>-3467.62089041096</v>
      </c>
      <c r="M356" s="34" t="n">
        <f aca="false">M337*(M327&lt;=0)+M332*($H354+$F$62+$F$63)+M355</f>
        <v>-24998.125</v>
      </c>
      <c r="N356" s="34" t="n">
        <f aca="false">N337*(N327&lt;=0)+N332*($H354+$F$62+$F$63)+N355</f>
        <v>-34996.25</v>
      </c>
      <c r="O356" s="34" t="n">
        <f aca="false">O337*(O327&lt;=0)+O332*($H354+$F$62+$F$63)+O355</f>
        <v>112912.396861865</v>
      </c>
      <c r="P356" s="34" t="n">
        <f aca="false">P337*(P327&lt;=0)+P332*($H354+$F$62+$F$63)+P355</f>
        <v>0</v>
      </c>
      <c r="Q356" s="34" t="n">
        <f aca="false">Q337*(Q327&lt;=0)+Q332*($H354+$F$62+$F$63)+Q355</f>
        <v>0</v>
      </c>
      <c r="R356" s="34" t="n">
        <f aca="false">R337*(R327&lt;=0)+R332*($H354+$F$62+$F$63)+R355</f>
        <v>0</v>
      </c>
      <c r="S356" s="34" t="n">
        <f aca="false">S337*(S327&lt;=0)+S332*($H354+$F$62+$F$63)+S355</f>
        <v>0</v>
      </c>
      <c r="T356" s="34" t="n">
        <f aca="false">T337*(T327&lt;=0)+T332*($H354+$F$62+$F$63)+T355</f>
        <v>0</v>
      </c>
      <c r="U356" s="34" t="n">
        <f aca="false">U337*(U327&lt;=0)+U332*($H354+$F$62+$F$63)+U355</f>
        <v>0</v>
      </c>
      <c r="V356" s="34" t="n">
        <f aca="false">V337*(V327&lt;=0)+V332*($H354+$F$62+$F$63)+V355</f>
        <v>0</v>
      </c>
      <c r="W356" s="34" t="n">
        <f aca="false">W337*(W327&lt;=0)+W332*($H354+$F$62+$F$63)+W355</f>
        <v>0</v>
      </c>
      <c r="X356" s="34" t="n">
        <f aca="false">X337*(X327&lt;=0)+X332*($H354+$F$62+$F$63)+X355</f>
        <v>0</v>
      </c>
      <c r="Y356" s="34" t="n">
        <f aca="false">Y337*(Y327&lt;=0)+Y332*($H354+$F$62+$F$63)+Y355</f>
        <v>0</v>
      </c>
      <c r="Z356" s="34" t="n">
        <f aca="false">Z337*(Z327&lt;=0)+Z332*($H354+$F$62+$F$63)+Z355</f>
        <v>0</v>
      </c>
      <c r="AA356" s="34" t="n">
        <f aca="false">AA337*(AA327&lt;=0)+AA332*($H354+$F$62+$F$63)+AA355</f>
        <v>0</v>
      </c>
      <c r="AB356" s="34" t="n">
        <f aca="false">AB337*(AB327&lt;=0)+AB332*($H354+$F$62+$F$63)+AB355</f>
        <v>0</v>
      </c>
      <c r="AC356" s="34" t="n">
        <f aca="false">AC337*(AC327&lt;=0)+AC332*($H354+$F$62+$F$63)+AC355</f>
        <v>0</v>
      </c>
      <c r="AD356" s="34" t="n">
        <f aca="false">AD337*(AD327&lt;=0)+AD332*($H354+$F$62+$F$63)+AD355</f>
        <v>0</v>
      </c>
      <c r="AE356" s="34" t="n">
        <f aca="false">AE337*(AE327&lt;=0)+AE332*($H354+$F$62+$F$63)+AE355</f>
        <v>0</v>
      </c>
      <c r="AF356" s="34" t="n">
        <f aca="false">AF337*(AF327&lt;=0)+AF332*($H354+$F$62+$F$63)+AF355</f>
        <v>0</v>
      </c>
      <c r="AG356" s="34" t="n">
        <f aca="false">AG337*(AG327&lt;=0)+AG332*($H354+$F$62+$F$63)+AG355</f>
        <v>0</v>
      </c>
      <c r="AH356" s="34" t="n">
        <f aca="false">AH337*(AH327&lt;=0)+AH332*($H354+$F$62+$F$63)+AH355</f>
        <v>0</v>
      </c>
      <c r="AI356" s="34" t="n">
        <f aca="false">AI337*(AI327&lt;=0)+AI332*($H354+$F$62+$F$63)+AI355</f>
        <v>0</v>
      </c>
      <c r="AJ356" s="34" t="n">
        <f aca="false">AJ337*(AJ327&lt;=0)+AJ332*($H354+$F$62+$F$63)+AJ355</f>
        <v>0</v>
      </c>
      <c r="AK356" s="34" t="n">
        <f aca="false">AK337*(AK327&lt;=0)+AK332*($H354+$F$62+$F$63)+AK355</f>
        <v>0</v>
      </c>
      <c r="AL356" s="34" t="n">
        <f aca="false">AL337*(AL327&lt;=0)+AL332*($H354+$F$62+$F$63)+AL355</f>
        <v>0</v>
      </c>
      <c r="AM356" s="34" t="n">
        <f aca="false">AM337*(AM327&lt;=0)+AM332*($H354+$F$62+$F$63)+AM355</f>
        <v>0</v>
      </c>
      <c r="AN356" s="34" t="n">
        <f aca="false">AN337*(AN327&lt;=0)+AN332*($H354+$F$62+$F$63)+AN355</f>
        <v>0</v>
      </c>
      <c r="AO356" s="34" t="n">
        <f aca="false">AO337*(AO327&lt;=0)+AO332*($H354+$F$62+$F$63)+AO355</f>
        <v>0</v>
      </c>
      <c r="AP356" s="34" t="n">
        <f aca="false">AP337*(AP327&lt;=0)+AP332*($H354+$F$62+$F$63)+AP355</f>
        <v>0</v>
      </c>
      <c r="AQ356" s="34" t="n">
        <f aca="false">AQ337*(AQ327&lt;=0)+AQ332*($H354+$F$62+$F$63)+AQ355</f>
        <v>0</v>
      </c>
      <c r="AR356" s="34" t="n">
        <f aca="false">AR337*(AR327&lt;=0)+AR332*($H354+$F$62+$F$63)+AR355</f>
        <v>0</v>
      </c>
      <c r="AS356" s="34" t="n">
        <f aca="false">AS337*(AS327&lt;=0)+AS332*($H354+$F$62+$F$63)+AS355</f>
        <v>0</v>
      </c>
    </row>
    <row r="358" customFormat="false" ht="14.25" hidden="false" customHeight="false" outlineLevel="0" collapsed="false">
      <c r="B358" s="4" t="s">
        <v>3</v>
      </c>
      <c r="C358" s="4" t="s">
        <v>278</v>
      </c>
      <c r="D358" s="4"/>
      <c r="E358" s="5"/>
      <c r="F358" s="5"/>
      <c r="G358" s="5" t="s">
        <v>245</v>
      </c>
      <c r="H358" s="5" t="s">
        <v>8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</row>
    <row r="359" customFormat="false" ht="14.25" hidden="false" customHeight="false" outlineLevel="0" collapsed="false">
      <c r="C359" s="6" t="s">
        <v>246</v>
      </c>
      <c r="D359" s="2" t="s">
        <v>247</v>
      </c>
      <c r="J359" s="58" t="n">
        <f aca="false">J$291-YEAR(Inputs!$G$26)</f>
        <v>-5</v>
      </c>
      <c r="K359" s="58" t="n">
        <f aca="false">K$291-YEAR(Inputs!$G$26)</f>
        <v>-4</v>
      </c>
      <c r="L359" s="58" t="n">
        <f aca="false">L$291-YEAR(Inputs!$G$26)</f>
        <v>-3</v>
      </c>
      <c r="M359" s="58" t="n">
        <f aca="false">M$291-YEAR(Inputs!$G$26)</f>
        <v>-2</v>
      </c>
      <c r="N359" s="58" t="n">
        <f aca="false">N$291-YEAR(Inputs!$G$26)</f>
        <v>-1</v>
      </c>
      <c r="O359" s="58" t="n">
        <f aca="false">O$291-YEAR(Inputs!$G$26)</f>
        <v>0</v>
      </c>
      <c r="P359" s="58" t="n">
        <f aca="false">P$291-YEAR(Inputs!$G$26)</f>
        <v>1</v>
      </c>
      <c r="Q359" s="58" t="n">
        <f aca="false">Q$291-YEAR(Inputs!$G$26)</f>
        <v>2</v>
      </c>
      <c r="R359" s="58" t="n">
        <f aca="false">R$291-YEAR(Inputs!$G$26)</f>
        <v>3</v>
      </c>
      <c r="S359" s="58" t="n">
        <f aca="false">S$291-YEAR(Inputs!$G$26)</f>
        <v>4</v>
      </c>
      <c r="T359" s="58" t="n">
        <f aca="false">T$291-YEAR(Inputs!$G$26)</f>
        <v>5</v>
      </c>
      <c r="U359" s="58" t="n">
        <f aca="false">U$291-YEAR(Inputs!$G$26)</f>
        <v>6</v>
      </c>
      <c r="V359" s="58" t="n">
        <f aca="false">V$291-YEAR(Inputs!$G$26)</f>
        <v>7</v>
      </c>
      <c r="W359" s="58" t="n">
        <f aca="false">W$291-YEAR(Inputs!$G$26)</f>
        <v>8</v>
      </c>
      <c r="X359" s="58" t="n">
        <f aca="false">X$291-YEAR(Inputs!$G$26)</f>
        <v>9</v>
      </c>
      <c r="Y359" s="58" t="n">
        <f aca="false">Y$291-YEAR(Inputs!$G$26)</f>
        <v>10</v>
      </c>
      <c r="Z359" s="58" t="n">
        <f aca="false">Z$291-YEAR(Inputs!$G$26)</f>
        <v>11</v>
      </c>
      <c r="AA359" s="58" t="n">
        <f aca="false">AA$291-YEAR(Inputs!$G$26)</f>
        <v>12</v>
      </c>
      <c r="AB359" s="58" t="n">
        <f aca="false">AB$291-YEAR(Inputs!$G$26)</f>
        <v>13</v>
      </c>
      <c r="AC359" s="58" t="n">
        <f aca="false">AC$291-YEAR(Inputs!$G$26)</f>
        <v>14</v>
      </c>
      <c r="AD359" s="58" t="n">
        <f aca="false">AD$291-YEAR(Inputs!$G$26)</f>
        <v>15</v>
      </c>
      <c r="AE359" s="58" t="n">
        <f aca="false">AE$291-YEAR(Inputs!$G$26)</f>
        <v>16</v>
      </c>
      <c r="AF359" s="58" t="n">
        <f aca="false">AF$291-YEAR(Inputs!$G$26)</f>
        <v>17</v>
      </c>
      <c r="AG359" s="58" t="n">
        <f aca="false">AG$291-YEAR(Inputs!$G$26)</f>
        <v>18</v>
      </c>
      <c r="AH359" s="58" t="n">
        <f aca="false">AH$291-YEAR(Inputs!$G$26)</f>
        <v>19</v>
      </c>
      <c r="AI359" s="58" t="n">
        <f aca="false">AI$291-YEAR(Inputs!$G$26)</f>
        <v>20</v>
      </c>
      <c r="AJ359" s="58" t="n">
        <f aca="false">AJ$291-YEAR(Inputs!$G$26)</f>
        <v>21</v>
      </c>
      <c r="AK359" s="58" t="n">
        <f aca="false">AK$291-YEAR(Inputs!$G$26)</f>
        <v>22</v>
      </c>
      <c r="AL359" s="58" t="n">
        <f aca="false">AL$291-YEAR(Inputs!$G$26)</f>
        <v>23</v>
      </c>
      <c r="AM359" s="58" t="n">
        <f aca="false">AM$291-YEAR(Inputs!$G$26)</f>
        <v>24</v>
      </c>
      <c r="AN359" s="58" t="n">
        <f aca="false">AN$291-YEAR(Inputs!$G$26)</f>
        <v>25</v>
      </c>
      <c r="AO359" s="58" t="n">
        <f aca="false">AO$291-YEAR(Inputs!$G$26)</f>
        <v>26</v>
      </c>
      <c r="AP359" s="58" t="n">
        <f aca="false">AP$291-YEAR(Inputs!$G$26)</f>
        <v>27</v>
      </c>
      <c r="AQ359" s="58" t="n">
        <f aca="false">AQ$291-YEAR(Inputs!$G$26)</f>
        <v>28</v>
      </c>
      <c r="AR359" s="58" t="n">
        <f aca="false">AR$291-YEAR(Inputs!$G$26)</f>
        <v>29</v>
      </c>
      <c r="AS359" s="58" t="n">
        <f aca="false">AS$291-YEAR(Inputs!$G$26)</f>
        <v>30</v>
      </c>
    </row>
    <row r="360" customFormat="false" ht="14.25" hidden="false" customHeight="false" outlineLevel="0" collapsed="false">
      <c r="C360" s="6" t="s">
        <v>248</v>
      </c>
      <c r="D360" s="2" t="s">
        <v>249</v>
      </c>
      <c r="G360" s="58" t="n">
        <f aca="false">DATEDIF(Inputs!$G$25,Inputs!$G$26,"m")</f>
        <v>24</v>
      </c>
      <c r="J360" s="58" t="n">
        <f aca="false">(J$291+1-YEAR(Inputs!$G$25))*Months_In_Year-MONTH(Inputs!$G$25)</f>
        <v>-30</v>
      </c>
      <c r="K360" s="58" t="n">
        <f aca="false">(K$291+1-YEAR(Inputs!$G$25))*Months_In_Year-MONTH(Inputs!$G$25)</f>
        <v>-18</v>
      </c>
      <c r="L360" s="58" t="n">
        <f aca="false">(L$291+1-YEAR(Inputs!$G$25))*Months_In_Year-MONTH(Inputs!$G$25)</f>
        <v>-6</v>
      </c>
      <c r="M360" s="58" t="n">
        <f aca="false">(M$291+1-YEAR(Inputs!$G$25))*Months_In_Year-MONTH(Inputs!$G$25)</f>
        <v>6</v>
      </c>
      <c r="N360" s="58" t="n">
        <f aca="false">(N$291+1-YEAR(Inputs!$G$25))*Months_In_Year-MONTH(Inputs!$G$25)</f>
        <v>18</v>
      </c>
      <c r="O360" s="58" t="n">
        <f aca="false">(O$291+1-YEAR(Inputs!$G$25))*Months_In_Year-MONTH(Inputs!$G$25)</f>
        <v>30</v>
      </c>
      <c r="P360" s="58" t="n">
        <f aca="false">(P$291+1-YEAR(Inputs!$G$25))*Months_In_Year-MONTH(Inputs!$G$25)</f>
        <v>42</v>
      </c>
      <c r="Q360" s="58" t="n">
        <f aca="false">(Q$291+1-YEAR(Inputs!$G$25))*Months_In_Year-MONTH(Inputs!$G$25)</f>
        <v>54</v>
      </c>
      <c r="R360" s="58" t="n">
        <f aca="false">(R$291+1-YEAR(Inputs!$G$25))*Months_In_Year-MONTH(Inputs!$G$25)</f>
        <v>66</v>
      </c>
      <c r="S360" s="58" t="n">
        <f aca="false">(S$291+1-YEAR(Inputs!$G$25))*Months_In_Year-MONTH(Inputs!$G$25)</f>
        <v>78</v>
      </c>
      <c r="T360" s="58" t="n">
        <f aca="false">(T$291+1-YEAR(Inputs!$G$25))*Months_In_Year-MONTH(Inputs!$G$25)</f>
        <v>90</v>
      </c>
      <c r="U360" s="58" t="n">
        <f aca="false">(U$291+1-YEAR(Inputs!$G$25))*Months_In_Year-MONTH(Inputs!$G$25)</f>
        <v>102</v>
      </c>
      <c r="V360" s="58" t="n">
        <f aca="false">(V$291+1-YEAR(Inputs!$G$25))*Months_In_Year-MONTH(Inputs!$G$25)</f>
        <v>114</v>
      </c>
      <c r="W360" s="58" t="n">
        <f aca="false">(W$291+1-YEAR(Inputs!$G$25))*Months_In_Year-MONTH(Inputs!$G$25)</f>
        <v>126</v>
      </c>
      <c r="X360" s="58" t="n">
        <f aca="false">(X$291+1-YEAR(Inputs!$G$25))*Months_In_Year-MONTH(Inputs!$G$25)</f>
        <v>138</v>
      </c>
      <c r="Y360" s="58" t="n">
        <f aca="false">(Y$291+1-YEAR(Inputs!$G$25))*Months_In_Year-MONTH(Inputs!$G$25)</f>
        <v>150</v>
      </c>
      <c r="Z360" s="58" t="n">
        <f aca="false">(Z$291+1-YEAR(Inputs!$G$25))*Months_In_Year-MONTH(Inputs!$G$25)</f>
        <v>162</v>
      </c>
      <c r="AA360" s="58" t="n">
        <f aca="false">(AA$291+1-YEAR(Inputs!$G$25))*Months_In_Year-MONTH(Inputs!$G$25)</f>
        <v>174</v>
      </c>
      <c r="AB360" s="58" t="n">
        <f aca="false">(AB$291+1-YEAR(Inputs!$G$25))*Months_In_Year-MONTH(Inputs!$G$25)</f>
        <v>186</v>
      </c>
      <c r="AC360" s="58" t="n">
        <f aca="false">(AC$291+1-YEAR(Inputs!$G$25))*Months_In_Year-MONTH(Inputs!$G$25)</f>
        <v>198</v>
      </c>
      <c r="AD360" s="58" t="n">
        <f aca="false">(AD$291+1-YEAR(Inputs!$G$25))*Months_In_Year-MONTH(Inputs!$G$25)</f>
        <v>210</v>
      </c>
      <c r="AE360" s="58" t="n">
        <f aca="false">(AE$291+1-YEAR(Inputs!$G$25))*Months_In_Year-MONTH(Inputs!$G$25)</f>
        <v>222</v>
      </c>
      <c r="AF360" s="58" t="n">
        <f aca="false">(AF$291+1-YEAR(Inputs!$G$25))*Months_In_Year-MONTH(Inputs!$G$25)</f>
        <v>234</v>
      </c>
      <c r="AG360" s="58" t="n">
        <f aca="false">(AG$291+1-YEAR(Inputs!$G$25))*Months_In_Year-MONTH(Inputs!$G$25)</f>
        <v>246</v>
      </c>
      <c r="AH360" s="58" t="n">
        <f aca="false">(AH$291+1-YEAR(Inputs!$G$25))*Months_In_Year-MONTH(Inputs!$G$25)</f>
        <v>258</v>
      </c>
      <c r="AI360" s="58" t="n">
        <f aca="false">(AI$291+1-YEAR(Inputs!$G$25))*Months_In_Year-MONTH(Inputs!$G$25)</f>
        <v>270</v>
      </c>
      <c r="AJ360" s="58" t="n">
        <f aca="false">(AJ$291+1-YEAR(Inputs!$G$25))*Months_In_Year-MONTH(Inputs!$G$25)</f>
        <v>282</v>
      </c>
      <c r="AK360" s="58" t="n">
        <f aca="false">(AK$291+1-YEAR(Inputs!$G$25))*Months_In_Year-MONTH(Inputs!$G$25)</f>
        <v>294</v>
      </c>
      <c r="AL360" s="58" t="n">
        <f aca="false">(AL$291+1-YEAR(Inputs!$G$25))*Months_In_Year-MONTH(Inputs!$G$25)</f>
        <v>306</v>
      </c>
      <c r="AM360" s="58" t="n">
        <f aca="false">(AM$291+1-YEAR(Inputs!$G$25))*Months_In_Year-MONTH(Inputs!$G$25)</f>
        <v>318</v>
      </c>
      <c r="AN360" s="58" t="n">
        <f aca="false">(AN$291+1-YEAR(Inputs!$G$25))*Months_In_Year-MONTH(Inputs!$G$25)</f>
        <v>330</v>
      </c>
      <c r="AO360" s="58" t="n">
        <f aca="false">(AO$291+1-YEAR(Inputs!$G$25))*Months_In_Year-MONTH(Inputs!$G$25)</f>
        <v>342</v>
      </c>
      <c r="AP360" s="58" t="n">
        <f aca="false">(AP$291+1-YEAR(Inputs!$G$25))*Months_In_Year-MONTH(Inputs!$G$25)</f>
        <v>354</v>
      </c>
      <c r="AQ360" s="58" t="n">
        <f aca="false">(AQ$291+1-YEAR(Inputs!$G$25))*Months_In_Year-MONTH(Inputs!$G$25)</f>
        <v>366</v>
      </c>
      <c r="AR360" s="58" t="n">
        <f aca="false">(AR$291+1-YEAR(Inputs!$G$25))*Months_In_Year-MONTH(Inputs!$G$25)</f>
        <v>378</v>
      </c>
      <c r="AS360" s="58" t="n">
        <f aca="false">(AS$291+1-YEAR(Inputs!$G$25))*Months_In_Year-MONTH(Inputs!$G$25)</f>
        <v>390</v>
      </c>
    </row>
    <row r="361" customFormat="false" ht="14.25" hidden="false" customHeight="false" outlineLevel="0" collapsed="false">
      <c r="C361" s="6" t="s">
        <v>250</v>
      </c>
      <c r="D361" s="2" t="s">
        <v>12</v>
      </c>
      <c r="H361" s="65" t="n">
        <f aca="false">SUM(J361:AS361)</f>
        <v>1</v>
      </c>
      <c r="J361" s="50" t="n">
        <f aca="false">MAX(0,MIN(J360,$G360)-MAX(J360-Months_In_Year,0))/$G360</f>
        <v>0</v>
      </c>
      <c r="K361" s="50" t="n">
        <f aca="false">MAX(0,MIN(K360,$G360)-MAX(K360-Months_In_Year,0))/$G360</f>
        <v>0</v>
      </c>
      <c r="L361" s="50" t="n">
        <f aca="false">MAX(0,MIN(L360,$G360)-MAX(L360-Months_In_Year,0))/$G360</f>
        <v>0</v>
      </c>
      <c r="M361" s="50" t="n">
        <f aca="false">MAX(0,MIN(M360,$G360)-MAX(M360-Months_In_Year,0))/$G360</f>
        <v>0.25</v>
      </c>
      <c r="N361" s="50" t="n">
        <f aca="false">MAX(0,MIN(N360,$G360)-MAX(N360-Months_In_Year,0))/$G360</f>
        <v>0.5</v>
      </c>
      <c r="O361" s="50" t="n">
        <f aca="false">MAX(0,MIN(O360,$G360)-MAX(O360-Months_In_Year,0))/$G360</f>
        <v>0.25</v>
      </c>
      <c r="P361" s="50" t="n">
        <f aca="false">MAX(0,MIN(P360,$G360)-MAX(P360-Months_In_Year,0))/$G360</f>
        <v>0</v>
      </c>
      <c r="Q361" s="50" t="n">
        <f aca="false">MAX(0,MIN(Q360,$G360)-MAX(Q360-Months_In_Year,0))/$G360</f>
        <v>0</v>
      </c>
      <c r="R361" s="50" t="n">
        <f aca="false">MAX(0,MIN(R360,$G360)-MAX(R360-Months_In_Year,0))/$G360</f>
        <v>0</v>
      </c>
      <c r="S361" s="50" t="n">
        <f aca="false">MAX(0,MIN(S360,$G360)-MAX(S360-Months_In_Year,0))/$G360</f>
        <v>0</v>
      </c>
      <c r="T361" s="50" t="n">
        <f aca="false">MAX(0,MIN(T360,$G360)-MAX(T360-Months_In_Year,0))/$G360</f>
        <v>0</v>
      </c>
      <c r="U361" s="50" t="n">
        <f aca="false">MAX(0,MIN(U360,$G360)-MAX(U360-Months_In_Year,0))/$G360</f>
        <v>0</v>
      </c>
      <c r="V361" s="50" t="n">
        <f aca="false">MAX(0,MIN(V360,$G360)-MAX(V360-Months_In_Year,0))/$G360</f>
        <v>0</v>
      </c>
      <c r="W361" s="50" t="n">
        <f aca="false">MAX(0,MIN(W360,$G360)-MAX(W360-Months_In_Year,0))/$G360</f>
        <v>0</v>
      </c>
      <c r="X361" s="50" t="n">
        <f aca="false">MAX(0,MIN(X360,$G360)-MAX(X360-Months_In_Year,0))/$G360</f>
        <v>0</v>
      </c>
      <c r="Y361" s="50" t="n">
        <f aca="false">MAX(0,MIN(Y360,$G360)-MAX(Y360-Months_In_Year,0))/$G360</f>
        <v>0</v>
      </c>
      <c r="Z361" s="50" t="n">
        <f aca="false">MAX(0,MIN(Z360,$G360)-MAX(Z360-Months_In_Year,0))/$G360</f>
        <v>0</v>
      </c>
      <c r="AA361" s="50" t="n">
        <f aca="false">MAX(0,MIN(AA360,$G360)-MAX(AA360-Months_In_Year,0))/$G360</f>
        <v>0</v>
      </c>
      <c r="AB361" s="50" t="n">
        <f aca="false">MAX(0,MIN(AB360,$G360)-MAX(AB360-Months_In_Year,0))/$G360</f>
        <v>0</v>
      </c>
      <c r="AC361" s="50" t="n">
        <f aca="false">MAX(0,MIN(AC360,$G360)-MAX(AC360-Months_In_Year,0))/$G360</f>
        <v>0</v>
      </c>
      <c r="AD361" s="50" t="n">
        <f aca="false">MAX(0,MIN(AD360,$G360)-MAX(AD360-Months_In_Year,0))/$G360</f>
        <v>0</v>
      </c>
      <c r="AE361" s="50" t="n">
        <f aca="false">MAX(0,MIN(AE360,$G360)-MAX(AE360-Months_In_Year,0))/$G360</f>
        <v>0</v>
      </c>
      <c r="AF361" s="50" t="n">
        <f aca="false">MAX(0,MIN(AF360,$G360)-MAX(AF360-Months_In_Year,0))/$G360</f>
        <v>0</v>
      </c>
      <c r="AG361" s="50" t="n">
        <f aca="false">MAX(0,MIN(AG360,$G360)-MAX(AG360-Months_In_Year,0))/$G360</f>
        <v>0</v>
      </c>
      <c r="AH361" s="50" t="n">
        <f aca="false">MAX(0,MIN(AH360,$G360)-MAX(AH360-Months_In_Year,0))/$G360</f>
        <v>0</v>
      </c>
      <c r="AI361" s="50" t="n">
        <f aca="false">MAX(0,MIN(AI360,$G360)-MAX(AI360-Months_In_Year,0))/$G360</f>
        <v>0</v>
      </c>
      <c r="AJ361" s="50" t="n">
        <f aca="false">MAX(0,MIN(AJ360,$G360)-MAX(AJ360-Months_In_Year,0))/$G360</f>
        <v>0</v>
      </c>
      <c r="AK361" s="50" t="n">
        <f aca="false">MAX(0,MIN(AK360,$G360)-MAX(AK360-Months_In_Year,0))/$G360</f>
        <v>0</v>
      </c>
      <c r="AL361" s="50" t="n">
        <f aca="false">MAX(0,MIN(AL360,$G360)-MAX(AL360-Months_In_Year,0))/$G360</f>
        <v>0</v>
      </c>
      <c r="AM361" s="50" t="n">
        <f aca="false">MAX(0,MIN(AM360,$G360)-MAX(AM360-Months_In_Year,0))/$G360</f>
        <v>0</v>
      </c>
      <c r="AN361" s="50" t="n">
        <f aca="false">MAX(0,MIN(AN360,$G360)-MAX(AN360-Months_In_Year,0))/$G360</f>
        <v>0</v>
      </c>
      <c r="AO361" s="50" t="n">
        <f aca="false">MAX(0,MIN(AO360,$G360)-MAX(AO360-Months_In_Year,0))/$G360</f>
        <v>0</v>
      </c>
      <c r="AP361" s="50" t="n">
        <f aca="false">MAX(0,MIN(AP360,$G360)-MAX(AP360-Months_In_Year,0))/$G360</f>
        <v>0</v>
      </c>
      <c r="AQ361" s="50" t="n">
        <f aca="false">MAX(0,MIN(AQ360,$G360)-MAX(AQ360-Months_In_Year,0))/$G360</f>
        <v>0</v>
      </c>
      <c r="AR361" s="50" t="n">
        <f aca="false">MAX(0,MIN(AR360,$G360)-MAX(AR360-Months_In_Year,0))/$G360</f>
        <v>0</v>
      </c>
      <c r="AS361" s="50" t="n">
        <f aca="false">MAX(0,MIN(AS360,$G360)-MAX(AS360-Months_In_Year,0))/$G360</f>
        <v>0</v>
      </c>
    </row>
    <row r="362" customFormat="false" ht="14.25" hidden="false" customHeight="false" outlineLevel="0" collapsed="false">
      <c r="C362" s="6" t="s">
        <v>251</v>
      </c>
      <c r="D362" s="2" t="s">
        <v>249</v>
      </c>
      <c r="G362" s="58" t="n">
        <f aca="false">Life*Months_In_Year</f>
        <v>360</v>
      </c>
      <c r="J362" s="58" t="n">
        <f aca="false">(J$291+1-YEAR(Inputs!$G$26))*Months_In_Year-MONTH(Inputs!$G$26)</f>
        <v>-54</v>
      </c>
      <c r="K362" s="58" t="n">
        <f aca="false">(K$291+1-YEAR(Inputs!$G$26))*Months_In_Year-MONTH(Inputs!$G$26)</f>
        <v>-42</v>
      </c>
      <c r="L362" s="58" t="n">
        <f aca="false">(L$291+1-YEAR(Inputs!$G$26))*Months_In_Year-MONTH(Inputs!$G$26)</f>
        <v>-30</v>
      </c>
      <c r="M362" s="58" t="n">
        <f aca="false">(M$291+1-YEAR(Inputs!$G$26))*Months_In_Year-MONTH(Inputs!$G$26)</f>
        <v>-18</v>
      </c>
      <c r="N362" s="58" t="n">
        <f aca="false">(N$291+1-YEAR(Inputs!$G$26))*Months_In_Year-MONTH(Inputs!$G$26)</f>
        <v>-6</v>
      </c>
      <c r="O362" s="58" t="n">
        <f aca="false">(O$291+1-YEAR(Inputs!$G$26))*Months_In_Year-MONTH(Inputs!$G$26)</f>
        <v>6</v>
      </c>
      <c r="P362" s="58" t="n">
        <f aca="false">(P$291+1-YEAR(Inputs!$G$26))*Months_In_Year-MONTH(Inputs!$G$26)</f>
        <v>18</v>
      </c>
      <c r="Q362" s="58" t="n">
        <f aca="false">(Q$291+1-YEAR(Inputs!$G$26))*Months_In_Year-MONTH(Inputs!$G$26)</f>
        <v>30</v>
      </c>
      <c r="R362" s="58" t="n">
        <f aca="false">(R$291+1-YEAR(Inputs!$G$26))*Months_In_Year-MONTH(Inputs!$G$26)</f>
        <v>42</v>
      </c>
      <c r="S362" s="58" t="n">
        <f aca="false">(S$291+1-YEAR(Inputs!$G$26))*Months_In_Year-MONTH(Inputs!$G$26)</f>
        <v>54</v>
      </c>
      <c r="T362" s="58" t="n">
        <f aca="false">(T$291+1-YEAR(Inputs!$G$26))*Months_In_Year-MONTH(Inputs!$G$26)</f>
        <v>66</v>
      </c>
      <c r="U362" s="58" t="n">
        <f aca="false">(U$291+1-YEAR(Inputs!$G$26))*Months_In_Year-MONTH(Inputs!$G$26)</f>
        <v>78</v>
      </c>
      <c r="V362" s="58" t="n">
        <f aca="false">(V$291+1-YEAR(Inputs!$G$26))*Months_In_Year-MONTH(Inputs!$G$26)</f>
        <v>90</v>
      </c>
      <c r="W362" s="58" t="n">
        <f aca="false">(W$291+1-YEAR(Inputs!$G$26))*Months_In_Year-MONTH(Inputs!$G$26)</f>
        <v>102</v>
      </c>
      <c r="X362" s="58" t="n">
        <f aca="false">(X$291+1-YEAR(Inputs!$G$26))*Months_In_Year-MONTH(Inputs!$G$26)</f>
        <v>114</v>
      </c>
      <c r="Y362" s="58" t="n">
        <f aca="false">(Y$291+1-YEAR(Inputs!$G$26))*Months_In_Year-MONTH(Inputs!$G$26)</f>
        <v>126</v>
      </c>
      <c r="Z362" s="58" t="n">
        <f aca="false">(Z$291+1-YEAR(Inputs!$G$26))*Months_In_Year-MONTH(Inputs!$G$26)</f>
        <v>138</v>
      </c>
      <c r="AA362" s="58" t="n">
        <f aca="false">(AA$291+1-YEAR(Inputs!$G$26))*Months_In_Year-MONTH(Inputs!$G$26)</f>
        <v>150</v>
      </c>
      <c r="AB362" s="58" t="n">
        <f aca="false">(AB$291+1-YEAR(Inputs!$G$26))*Months_In_Year-MONTH(Inputs!$G$26)</f>
        <v>162</v>
      </c>
      <c r="AC362" s="58" t="n">
        <f aca="false">(AC$291+1-YEAR(Inputs!$G$26))*Months_In_Year-MONTH(Inputs!$G$26)</f>
        <v>174</v>
      </c>
      <c r="AD362" s="58" t="n">
        <f aca="false">(AD$291+1-YEAR(Inputs!$G$26))*Months_In_Year-MONTH(Inputs!$G$26)</f>
        <v>186</v>
      </c>
      <c r="AE362" s="58" t="n">
        <f aca="false">(AE$291+1-YEAR(Inputs!$G$26))*Months_In_Year-MONTH(Inputs!$G$26)</f>
        <v>198</v>
      </c>
      <c r="AF362" s="58" t="n">
        <f aca="false">(AF$291+1-YEAR(Inputs!$G$26))*Months_In_Year-MONTH(Inputs!$G$26)</f>
        <v>210</v>
      </c>
      <c r="AG362" s="58" t="n">
        <f aca="false">(AG$291+1-YEAR(Inputs!$G$26))*Months_In_Year-MONTH(Inputs!$G$26)</f>
        <v>222</v>
      </c>
      <c r="AH362" s="58" t="n">
        <f aca="false">(AH$291+1-YEAR(Inputs!$G$26))*Months_In_Year-MONTH(Inputs!$G$26)</f>
        <v>234</v>
      </c>
      <c r="AI362" s="58" t="n">
        <f aca="false">(AI$291+1-YEAR(Inputs!$G$26))*Months_In_Year-MONTH(Inputs!$G$26)</f>
        <v>246</v>
      </c>
      <c r="AJ362" s="58" t="n">
        <f aca="false">(AJ$291+1-YEAR(Inputs!$G$26))*Months_In_Year-MONTH(Inputs!$G$26)</f>
        <v>258</v>
      </c>
      <c r="AK362" s="58" t="n">
        <f aca="false">(AK$291+1-YEAR(Inputs!$G$26))*Months_In_Year-MONTH(Inputs!$G$26)</f>
        <v>270</v>
      </c>
      <c r="AL362" s="58" t="n">
        <f aca="false">(AL$291+1-YEAR(Inputs!$G$26))*Months_In_Year-MONTH(Inputs!$G$26)</f>
        <v>282</v>
      </c>
      <c r="AM362" s="58" t="n">
        <f aca="false">(AM$291+1-YEAR(Inputs!$G$26))*Months_In_Year-MONTH(Inputs!$G$26)</f>
        <v>294</v>
      </c>
      <c r="AN362" s="58" t="n">
        <f aca="false">(AN$291+1-YEAR(Inputs!$G$26))*Months_In_Year-MONTH(Inputs!$G$26)</f>
        <v>306</v>
      </c>
      <c r="AO362" s="58" t="n">
        <f aca="false">(AO$291+1-YEAR(Inputs!$G$26))*Months_In_Year-MONTH(Inputs!$G$26)</f>
        <v>318</v>
      </c>
      <c r="AP362" s="58" t="n">
        <f aca="false">(AP$291+1-YEAR(Inputs!$G$26))*Months_In_Year-MONTH(Inputs!$G$26)</f>
        <v>330</v>
      </c>
      <c r="AQ362" s="58" t="n">
        <f aca="false">(AQ$291+1-YEAR(Inputs!$G$26))*Months_In_Year-MONTH(Inputs!$G$26)</f>
        <v>342</v>
      </c>
      <c r="AR362" s="58" t="n">
        <f aca="false">(AR$291+1-YEAR(Inputs!$G$26))*Months_In_Year-MONTH(Inputs!$G$26)</f>
        <v>354</v>
      </c>
      <c r="AS362" s="58" t="n">
        <f aca="false">(AS$291+1-YEAR(Inputs!$G$26))*Months_In_Year-MONTH(Inputs!$G$26)</f>
        <v>366</v>
      </c>
    </row>
    <row r="363" customFormat="false" ht="14.25" hidden="false" customHeight="false" outlineLevel="0" collapsed="false">
      <c r="C363" s="6" t="s">
        <v>252</v>
      </c>
      <c r="D363" s="2" t="s">
        <v>12</v>
      </c>
      <c r="H363" s="65" t="n">
        <f aca="false">SUM(J363:AS363)</f>
        <v>30</v>
      </c>
      <c r="J363" s="50" t="n">
        <f aca="false">MAX(0,MIN(J362,$G362)-MAX(J362-Months_In_Year,0))/Months_In_Year</f>
        <v>0</v>
      </c>
      <c r="K363" s="50" t="n">
        <f aca="false">MAX(0,MIN(K362,$G362)-MAX(K362-Months_In_Year,0))/Months_In_Year</f>
        <v>0</v>
      </c>
      <c r="L363" s="50" t="n">
        <f aca="false">MAX(0,MIN(L362,$G362)-MAX(L362-Months_In_Year,0))/Months_In_Year</f>
        <v>0</v>
      </c>
      <c r="M363" s="50" t="n">
        <f aca="false">MAX(0,MIN(M362,$G362)-MAX(M362-Months_In_Year,0))/Months_In_Year</f>
        <v>0</v>
      </c>
      <c r="N363" s="50" t="n">
        <f aca="false">MAX(0,MIN(N362,$G362)-MAX(N362-Months_In_Year,0))/Months_In_Year</f>
        <v>0</v>
      </c>
      <c r="O363" s="50" t="n">
        <f aca="false">MAX(0,MIN(O362,$G362)-MAX(O362-Months_In_Year,0))/Months_In_Year</f>
        <v>0.5</v>
      </c>
      <c r="P363" s="50" t="n">
        <f aca="false">MAX(0,MIN(P362,$G362)-MAX(P362-Months_In_Year,0))/Months_In_Year</f>
        <v>1</v>
      </c>
      <c r="Q363" s="50" t="n">
        <f aca="false">MAX(0,MIN(Q362,$G362)-MAX(Q362-Months_In_Year,0))/Months_In_Year</f>
        <v>1</v>
      </c>
      <c r="R363" s="50" t="n">
        <f aca="false">MAX(0,MIN(R362,$G362)-MAX(R362-Months_In_Year,0))/Months_In_Year</f>
        <v>1</v>
      </c>
      <c r="S363" s="50" t="n">
        <f aca="false">MAX(0,MIN(S362,$G362)-MAX(S362-Months_In_Year,0))/Months_In_Year</f>
        <v>1</v>
      </c>
      <c r="T363" s="50" t="n">
        <f aca="false">MAX(0,MIN(T362,$G362)-MAX(T362-Months_In_Year,0))/Months_In_Year</f>
        <v>1</v>
      </c>
      <c r="U363" s="50" t="n">
        <f aca="false">MAX(0,MIN(U362,$G362)-MAX(U362-Months_In_Year,0))/Months_In_Year</f>
        <v>1</v>
      </c>
      <c r="V363" s="50" t="n">
        <f aca="false">MAX(0,MIN(V362,$G362)-MAX(V362-Months_In_Year,0))/Months_In_Year</f>
        <v>1</v>
      </c>
      <c r="W363" s="50" t="n">
        <f aca="false">MAX(0,MIN(W362,$G362)-MAX(W362-Months_In_Year,0))/Months_In_Year</f>
        <v>1</v>
      </c>
      <c r="X363" s="50" t="n">
        <f aca="false">MAX(0,MIN(X362,$G362)-MAX(X362-Months_In_Year,0))/Months_In_Year</f>
        <v>1</v>
      </c>
      <c r="Y363" s="50" t="n">
        <f aca="false">MAX(0,MIN(Y362,$G362)-MAX(Y362-Months_In_Year,0))/Months_In_Year</f>
        <v>1</v>
      </c>
      <c r="Z363" s="50" t="n">
        <f aca="false">MAX(0,MIN(Z362,$G362)-MAX(Z362-Months_In_Year,0))/Months_In_Year</f>
        <v>1</v>
      </c>
      <c r="AA363" s="50" t="n">
        <f aca="false">MAX(0,MIN(AA362,$G362)-MAX(AA362-Months_In_Year,0))/Months_In_Year</f>
        <v>1</v>
      </c>
      <c r="AB363" s="50" t="n">
        <f aca="false">MAX(0,MIN(AB362,$G362)-MAX(AB362-Months_In_Year,0))/Months_In_Year</f>
        <v>1</v>
      </c>
      <c r="AC363" s="50" t="n">
        <f aca="false">MAX(0,MIN(AC362,$G362)-MAX(AC362-Months_In_Year,0))/Months_In_Year</f>
        <v>1</v>
      </c>
      <c r="AD363" s="50" t="n">
        <f aca="false">MAX(0,MIN(AD362,$G362)-MAX(AD362-Months_In_Year,0))/Months_In_Year</f>
        <v>1</v>
      </c>
      <c r="AE363" s="50" t="n">
        <f aca="false">MAX(0,MIN(AE362,$G362)-MAX(AE362-Months_In_Year,0))/Months_In_Year</f>
        <v>1</v>
      </c>
      <c r="AF363" s="50" t="n">
        <f aca="false">MAX(0,MIN(AF362,$G362)-MAX(AF362-Months_In_Year,0))/Months_In_Year</f>
        <v>1</v>
      </c>
      <c r="AG363" s="50" t="n">
        <f aca="false">MAX(0,MIN(AG362,$G362)-MAX(AG362-Months_In_Year,0))/Months_In_Year</f>
        <v>1</v>
      </c>
      <c r="AH363" s="50" t="n">
        <f aca="false">MAX(0,MIN(AH362,$G362)-MAX(AH362-Months_In_Year,0))/Months_In_Year</f>
        <v>1</v>
      </c>
      <c r="AI363" s="50" t="n">
        <f aca="false">MAX(0,MIN(AI362,$G362)-MAX(AI362-Months_In_Year,0))/Months_In_Year</f>
        <v>1</v>
      </c>
      <c r="AJ363" s="50" t="n">
        <f aca="false">MAX(0,MIN(AJ362,$G362)-MAX(AJ362-Months_In_Year,0))/Months_In_Year</f>
        <v>1</v>
      </c>
      <c r="AK363" s="50" t="n">
        <f aca="false">MAX(0,MIN(AK362,$G362)-MAX(AK362-Months_In_Year,0))/Months_In_Year</f>
        <v>1</v>
      </c>
      <c r="AL363" s="50" t="n">
        <f aca="false">MAX(0,MIN(AL362,$G362)-MAX(AL362-Months_In_Year,0))/Months_In_Year</f>
        <v>1</v>
      </c>
      <c r="AM363" s="50" t="n">
        <f aca="false">MAX(0,MIN(AM362,$G362)-MAX(AM362-Months_In_Year,0))/Months_In_Year</f>
        <v>1</v>
      </c>
      <c r="AN363" s="50" t="n">
        <f aca="false">MAX(0,MIN(AN362,$G362)-MAX(AN362-Months_In_Year,0))/Months_In_Year</f>
        <v>1</v>
      </c>
      <c r="AO363" s="50" t="n">
        <f aca="false">MAX(0,MIN(AO362,$G362)-MAX(AO362-Months_In_Year,0))/Months_In_Year</f>
        <v>1</v>
      </c>
      <c r="AP363" s="50" t="n">
        <f aca="false">MAX(0,MIN(AP362,$G362)-MAX(AP362-Months_In_Year,0))/Months_In_Year</f>
        <v>1</v>
      </c>
      <c r="AQ363" s="50" t="n">
        <f aca="false">MAX(0,MIN(AQ362,$G362)-MAX(AQ362-Months_In_Year,0))/Months_In_Year</f>
        <v>1</v>
      </c>
      <c r="AR363" s="50" t="n">
        <f aca="false">MAX(0,MIN(AR362,$G362)-MAX(AR362-Months_In_Year,0))/Months_In_Year</f>
        <v>1</v>
      </c>
      <c r="AS363" s="50" t="n">
        <f aca="false">MAX(0,MIN(AS362,$G362)-MAX(AS362-Months_In_Year,0))/Months_In_Year</f>
        <v>0.5</v>
      </c>
    </row>
    <row r="364" customFormat="false" ht="14.25" hidden="false" customHeight="false" outlineLevel="0" collapsed="false">
      <c r="C364" s="6" t="s">
        <v>253</v>
      </c>
      <c r="D364" s="2" t="s">
        <v>2</v>
      </c>
      <c r="J364" s="66" t="n">
        <f aca="false">N(J359=0)</f>
        <v>0</v>
      </c>
      <c r="K364" s="66" t="n">
        <f aca="false">N(K359=0)</f>
        <v>0</v>
      </c>
      <c r="L364" s="66" t="n">
        <f aca="false">N(L359=0)</f>
        <v>0</v>
      </c>
      <c r="M364" s="66" t="n">
        <f aca="false">N(M359=0)</f>
        <v>0</v>
      </c>
      <c r="N364" s="66" t="n">
        <f aca="false">N(N359=0)</f>
        <v>0</v>
      </c>
      <c r="O364" s="66" t="n">
        <f aca="false">N(O359=0)</f>
        <v>1</v>
      </c>
      <c r="P364" s="66" t="n">
        <f aca="false">N(P359=0)</f>
        <v>0</v>
      </c>
      <c r="Q364" s="66" t="n">
        <f aca="false">N(Q359=0)</f>
        <v>0</v>
      </c>
      <c r="R364" s="66" t="n">
        <f aca="false">N(R359=0)</f>
        <v>0</v>
      </c>
      <c r="S364" s="66" t="n">
        <f aca="false">N(S359=0)</f>
        <v>0</v>
      </c>
      <c r="T364" s="66" t="n">
        <f aca="false">N(T359=0)</f>
        <v>0</v>
      </c>
      <c r="U364" s="66" t="n">
        <f aca="false">N(U359=0)</f>
        <v>0</v>
      </c>
      <c r="V364" s="66" t="n">
        <f aca="false">N(V359=0)</f>
        <v>0</v>
      </c>
      <c r="W364" s="66" t="n">
        <f aca="false">N(W359=0)</f>
        <v>0</v>
      </c>
      <c r="X364" s="66" t="n">
        <f aca="false">N(X359=0)</f>
        <v>0</v>
      </c>
      <c r="Y364" s="66" t="n">
        <f aca="false">N(Y359=0)</f>
        <v>0</v>
      </c>
      <c r="Z364" s="66" t="n">
        <f aca="false">N(Z359=0)</f>
        <v>0</v>
      </c>
      <c r="AA364" s="66" t="n">
        <f aca="false">N(AA359=0)</f>
        <v>0</v>
      </c>
      <c r="AB364" s="66" t="n">
        <f aca="false">N(AB359=0)</f>
        <v>0</v>
      </c>
      <c r="AC364" s="66" t="n">
        <f aca="false">N(AC359=0)</f>
        <v>0</v>
      </c>
      <c r="AD364" s="66" t="n">
        <f aca="false">N(AD359=0)</f>
        <v>0</v>
      </c>
      <c r="AE364" s="66" t="n">
        <f aca="false">N(AE359=0)</f>
        <v>0</v>
      </c>
      <c r="AF364" s="66" t="n">
        <f aca="false">N(AF359=0)</f>
        <v>0</v>
      </c>
      <c r="AG364" s="66" t="n">
        <f aca="false">N(AG359=0)</f>
        <v>0</v>
      </c>
      <c r="AH364" s="66" t="n">
        <f aca="false">N(AH359=0)</f>
        <v>0</v>
      </c>
      <c r="AI364" s="66" t="n">
        <f aca="false">N(AI359=0)</f>
        <v>0</v>
      </c>
      <c r="AJ364" s="66" t="n">
        <f aca="false">N(AJ359=0)</f>
        <v>0</v>
      </c>
      <c r="AK364" s="66" t="n">
        <f aca="false">N(AK359=0)</f>
        <v>0</v>
      </c>
      <c r="AL364" s="66" t="n">
        <f aca="false">N(AL359=0)</f>
        <v>0</v>
      </c>
      <c r="AM364" s="66" t="n">
        <f aca="false">N(AM359=0)</f>
        <v>0</v>
      </c>
      <c r="AN364" s="66" t="n">
        <f aca="false">N(AN359=0)</f>
        <v>0</v>
      </c>
      <c r="AO364" s="66" t="n">
        <f aca="false">N(AO359=0)</f>
        <v>0</v>
      </c>
      <c r="AP364" s="66" t="n">
        <f aca="false">N(AP359=0)</f>
        <v>0</v>
      </c>
      <c r="AQ364" s="66" t="n">
        <f aca="false">N(AQ359=0)</f>
        <v>0</v>
      </c>
      <c r="AR364" s="66" t="n">
        <f aca="false">N(AR359=0)</f>
        <v>0</v>
      </c>
      <c r="AS364" s="66" t="n">
        <f aca="false">N(AS359=0)</f>
        <v>0</v>
      </c>
    </row>
    <row r="365" customFormat="false" ht="14.25" hidden="false" customHeight="false" outlineLevel="0" collapsed="false">
      <c r="C365" s="6" t="s">
        <v>254</v>
      </c>
      <c r="D365" s="2" t="s">
        <v>85</v>
      </c>
      <c r="H365" s="8" t="n">
        <f aca="false">SUM(J365:AS365)</f>
        <v>-7437.89778895164</v>
      </c>
      <c r="J365" s="8" t="n">
        <f aca="false">SUMPRODUCT((YEAR($L$214:$L$222)=J$291)*$G$214:$G$222)</f>
        <v>-657.123287671233</v>
      </c>
      <c r="K365" s="8" t="n">
        <f aca="false">SUMPRODUCT((YEAR($L$214:$L$222)=K$291)*$G$214:$G$222)</f>
        <v>-3313.15361086944</v>
      </c>
      <c r="L365" s="8" t="n">
        <f aca="false">SUMPRODUCT((YEAR($L$214:$L$222)=L$291)*$G$214:$G$222)</f>
        <v>-3467.62089041096</v>
      </c>
      <c r="M365" s="8" t="n">
        <f aca="false">SUMPRODUCT((YEAR($L$214:$L$222)=M$291)*$G$214:$G$222)</f>
        <v>0</v>
      </c>
      <c r="N365" s="8" t="n">
        <f aca="false">SUMPRODUCT((YEAR($L$214:$L$222)=N$291)*$G$214:$G$222)</f>
        <v>0</v>
      </c>
      <c r="O365" s="8" t="n">
        <f aca="false">SUMPRODUCT((YEAR($L$214:$L$222)=O$291)*$G$214:$G$222)</f>
        <v>0</v>
      </c>
      <c r="P365" s="8" t="n">
        <f aca="false">SUMPRODUCT((YEAR($L$214:$L$222)=P$291)*$G$214:$G$222)</f>
        <v>0</v>
      </c>
      <c r="Q365" s="8" t="n">
        <f aca="false">SUMPRODUCT((YEAR($L$214:$L$222)=Q$291)*$G$214:$G$222)</f>
        <v>0</v>
      </c>
      <c r="R365" s="8" t="n">
        <f aca="false">SUMPRODUCT((YEAR($L$214:$L$222)=R$291)*$G$214:$G$222)</f>
        <v>0</v>
      </c>
      <c r="S365" s="8" t="n">
        <f aca="false">SUMPRODUCT((YEAR($L$214:$L$222)=S$291)*$G$214:$G$222)</f>
        <v>0</v>
      </c>
      <c r="T365" s="8" t="n">
        <f aca="false">SUMPRODUCT((YEAR($L$214:$L$222)=T$291)*$G$214:$G$222)</f>
        <v>0</v>
      </c>
      <c r="U365" s="8" t="n">
        <f aca="false">SUMPRODUCT((YEAR($L$214:$L$222)=U$291)*$G$214:$G$222)</f>
        <v>0</v>
      </c>
      <c r="V365" s="8" t="n">
        <f aca="false">SUMPRODUCT((YEAR($L$214:$L$222)=V$291)*$G$214:$G$222)</f>
        <v>0</v>
      </c>
      <c r="W365" s="8" t="n">
        <f aca="false">SUMPRODUCT((YEAR($L$214:$L$222)=W$291)*$G$214:$G$222)</f>
        <v>0</v>
      </c>
      <c r="X365" s="8" t="n">
        <f aca="false">SUMPRODUCT((YEAR($L$214:$L$222)=X$291)*$G$214:$G$222)</f>
        <v>0</v>
      </c>
      <c r="Y365" s="8" t="n">
        <f aca="false">SUMPRODUCT((YEAR($L$214:$L$222)=Y$291)*$G$214:$G$222)</f>
        <v>0</v>
      </c>
      <c r="Z365" s="8" t="n">
        <f aca="false">SUMPRODUCT((YEAR($L$214:$L$222)=Z$291)*$G$214:$G$222)</f>
        <v>0</v>
      </c>
      <c r="AA365" s="8" t="n">
        <f aca="false">SUMPRODUCT((YEAR($L$214:$L$222)=AA$291)*$G$214:$G$222)</f>
        <v>0</v>
      </c>
      <c r="AB365" s="8" t="n">
        <f aca="false">SUMPRODUCT((YEAR($L$214:$L$222)=AB$291)*$G$214:$G$222)</f>
        <v>0</v>
      </c>
      <c r="AC365" s="8" t="n">
        <f aca="false">SUMPRODUCT((YEAR($L$214:$L$222)=AC$291)*$G$214:$G$222)</f>
        <v>0</v>
      </c>
      <c r="AD365" s="8" t="n">
        <f aca="false">SUMPRODUCT((YEAR($L$214:$L$222)=AD$291)*$G$214:$G$222)</f>
        <v>0</v>
      </c>
      <c r="AE365" s="8" t="n">
        <f aca="false">SUMPRODUCT((YEAR($L$214:$L$222)=AE$291)*$G$214:$G$222)</f>
        <v>0</v>
      </c>
      <c r="AF365" s="8" t="n">
        <f aca="false">SUMPRODUCT((YEAR($L$214:$L$222)=AF$291)*$G$214:$G$222)</f>
        <v>0</v>
      </c>
      <c r="AG365" s="8" t="n">
        <f aca="false">SUMPRODUCT((YEAR($L$214:$L$222)=AG$291)*$G$214:$G$222)</f>
        <v>0</v>
      </c>
      <c r="AH365" s="8" t="n">
        <f aca="false">SUMPRODUCT((YEAR($L$214:$L$222)=AH$291)*$G$214:$G$222)</f>
        <v>0</v>
      </c>
      <c r="AI365" s="8" t="n">
        <f aca="false">SUMPRODUCT((YEAR($L$214:$L$222)=AI$291)*$G$214:$G$222)</f>
        <v>0</v>
      </c>
      <c r="AJ365" s="8" t="n">
        <f aca="false">SUMPRODUCT((YEAR($L$214:$L$222)=AJ$291)*$G$214:$G$222)</f>
        <v>0</v>
      </c>
      <c r="AK365" s="8" t="n">
        <f aca="false">SUMPRODUCT((YEAR($L$214:$L$222)=AK$291)*$G$214:$G$222)</f>
        <v>0</v>
      </c>
      <c r="AL365" s="8" t="n">
        <f aca="false">SUMPRODUCT((YEAR($L$214:$L$222)=AL$291)*$G$214:$G$222)</f>
        <v>0</v>
      </c>
      <c r="AM365" s="8" t="n">
        <f aca="false">SUMPRODUCT((YEAR($L$214:$L$222)=AM$291)*$G$214:$G$222)</f>
        <v>0</v>
      </c>
      <c r="AN365" s="8" t="n">
        <f aca="false">SUMPRODUCT((YEAR($L$214:$L$222)=AN$291)*$G$214:$G$222)</f>
        <v>0</v>
      </c>
      <c r="AO365" s="8" t="n">
        <f aca="false">SUMPRODUCT((YEAR($L$214:$L$222)=AO$291)*$G$214:$G$222)</f>
        <v>0</v>
      </c>
      <c r="AP365" s="8" t="n">
        <f aca="false">SUMPRODUCT((YEAR($L$214:$L$222)=AP$291)*$G$214:$G$222)</f>
        <v>0</v>
      </c>
      <c r="AQ365" s="8" t="n">
        <f aca="false">SUMPRODUCT((YEAR($L$214:$L$222)=AQ$291)*$G$214:$G$222)</f>
        <v>0</v>
      </c>
      <c r="AR365" s="8" t="n">
        <f aca="false">SUMPRODUCT((YEAR($L$214:$L$222)=AR$291)*$G$214:$G$222)</f>
        <v>0</v>
      </c>
      <c r="AS365" s="8" t="n">
        <f aca="false">SUMPRODUCT((YEAR($L$214:$L$222)=AS$291)*$G$214:$G$222)</f>
        <v>0</v>
      </c>
    </row>
    <row r="366" customFormat="false" ht="14.25" hidden="false" customHeight="false" outlineLevel="0" collapsed="false">
      <c r="C366" s="6" t="s">
        <v>255</v>
      </c>
      <c r="D366" s="2" t="s">
        <v>85</v>
      </c>
      <c r="H366" s="8" t="n">
        <f aca="false">SUM(J366:AS366)</f>
        <v>2494.52054794521</v>
      </c>
      <c r="J366" s="8" t="n">
        <f aca="false">($G$62+$G$63)*(J$291=YEAR(Inputs!$G$27))</f>
        <v>0</v>
      </c>
      <c r="K366" s="8" t="n">
        <f aca="false">($G$62+$G$63)*(K$291=YEAR(Inputs!$G$27))</f>
        <v>0</v>
      </c>
      <c r="L366" s="8" t="n">
        <f aca="false">($G$62+$G$63)*(L$291=YEAR(Inputs!$G$27))</f>
        <v>0</v>
      </c>
      <c r="M366" s="8" t="n">
        <f aca="false">($G$62+$G$63)*(M$291=YEAR(Inputs!$G$27))</f>
        <v>0</v>
      </c>
      <c r="N366" s="8" t="n">
        <f aca="false">($G$62+$G$63)*(N$291=YEAR(Inputs!$G$27))</f>
        <v>0</v>
      </c>
      <c r="O366" s="8" t="n">
        <f aca="false">($G$62+$G$63)*(O$291=YEAR(Inputs!$G$27))</f>
        <v>0</v>
      </c>
      <c r="P366" s="8" t="n">
        <f aca="false">($G$62+$G$63)*(P$291=YEAR(Inputs!$G$27))</f>
        <v>0</v>
      </c>
      <c r="Q366" s="8" t="n">
        <f aca="false">($G$62+$G$63)*(Q$291=YEAR(Inputs!$G$27))</f>
        <v>2494.52054794521</v>
      </c>
      <c r="R366" s="8" t="n">
        <f aca="false">($G$62+$G$63)*(R$291=YEAR(Inputs!$G$27))</f>
        <v>0</v>
      </c>
      <c r="S366" s="8" t="n">
        <f aca="false">($G$62+$G$63)*(S$291=YEAR(Inputs!$G$27))</f>
        <v>0</v>
      </c>
      <c r="T366" s="8" t="n">
        <f aca="false">($G$62+$G$63)*(T$291=YEAR(Inputs!$G$27))</f>
        <v>0</v>
      </c>
      <c r="U366" s="8" t="n">
        <f aca="false">($G$62+$G$63)*(U$291=YEAR(Inputs!$G$27))</f>
        <v>0</v>
      </c>
      <c r="V366" s="8" t="n">
        <f aca="false">($G$62+$G$63)*(V$291=YEAR(Inputs!$G$27))</f>
        <v>0</v>
      </c>
      <c r="W366" s="8" t="n">
        <f aca="false">($G$62+$G$63)*(W$291=YEAR(Inputs!$G$27))</f>
        <v>0</v>
      </c>
      <c r="X366" s="8" t="n">
        <f aca="false">($G$62+$G$63)*(X$291=YEAR(Inputs!$G$27))</f>
        <v>0</v>
      </c>
      <c r="Y366" s="8" t="n">
        <f aca="false">($G$62+$G$63)*(Y$291=YEAR(Inputs!$G$27))</f>
        <v>0</v>
      </c>
      <c r="Z366" s="8" t="n">
        <f aca="false">($G$62+$G$63)*(Z$291=YEAR(Inputs!$G$27))</f>
        <v>0</v>
      </c>
      <c r="AA366" s="8" t="n">
        <f aca="false">($G$62+$G$63)*(AA$291=YEAR(Inputs!$G$27))</f>
        <v>0</v>
      </c>
      <c r="AB366" s="8" t="n">
        <f aca="false">($G$62+$G$63)*(AB$291=YEAR(Inputs!$G$27))</f>
        <v>0</v>
      </c>
      <c r="AC366" s="8" t="n">
        <f aca="false">($G$62+$G$63)*(AC$291=YEAR(Inputs!$G$27))</f>
        <v>0</v>
      </c>
      <c r="AD366" s="8" t="n">
        <f aca="false">($G$62+$G$63)*(AD$291=YEAR(Inputs!$G$27))</f>
        <v>0</v>
      </c>
      <c r="AE366" s="8" t="n">
        <f aca="false">($G$62+$G$63)*(AE$291=YEAR(Inputs!$G$27))</f>
        <v>0</v>
      </c>
      <c r="AF366" s="8" t="n">
        <f aca="false">($G$62+$G$63)*(AF$291=YEAR(Inputs!$G$27))</f>
        <v>0</v>
      </c>
      <c r="AG366" s="8" t="n">
        <f aca="false">($G$62+$G$63)*(AG$291=YEAR(Inputs!$G$27))</f>
        <v>0</v>
      </c>
      <c r="AH366" s="8" t="n">
        <f aca="false">($G$62+$G$63)*(AH$291=YEAR(Inputs!$G$27))</f>
        <v>0</v>
      </c>
      <c r="AI366" s="8" t="n">
        <f aca="false">($G$62+$G$63)*(AI$291=YEAR(Inputs!$G$27))</f>
        <v>0</v>
      </c>
      <c r="AJ366" s="8" t="n">
        <f aca="false">($G$62+$G$63)*(AJ$291=YEAR(Inputs!$G$27))</f>
        <v>0</v>
      </c>
      <c r="AK366" s="8" t="n">
        <f aca="false">($G$62+$G$63)*(AK$291=YEAR(Inputs!$G$27))</f>
        <v>0</v>
      </c>
      <c r="AL366" s="8" t="n">
        <f aca="false">($G$62+$G$63)*(AL$291=YEAR(Inputs!$G$27))</f>
        <v>0</v>
      </c>
      <c r="AM366" s="8" t="n">
        <f aca="false">($G$62+$G$63)*(AM$291=YEAR(Inputs!$G$27))</f>
        <v>0</v>
      </c>
      <c r="AN366" s="8" t="n">
        <f aca="false">($G$62+$G$63)*(AN$291=YEAR(Inputs!$G$27))</f>
        <v>0</v>
      </c>
      <c r="AO366" s="8" t="n">
        <f aca="false">($G$62+$G$63)*(AO$291=YEAR(Inputs!$G$27))</f>
        <v>0</v>
      </c>
      <c r="AP366" s="8" t="n">
        <f aca="false">($G$62+$G$63)*(AP$291=YEAR(Inputs!$G$27))</f>
        <v>0</v>
      </c>
      <c r="AQ366" s="8" t="n">
        <f aca="false">($G$62+$G$63)*(AQ$291=YEAR(Inputs!$G$27))</f>
        <v>0</v>
      </c>
      <c r="AR366" s="8" t="n">
        <f aca="false">($G$62+$G$63)*(AR$291=YEAR(Inputs!$G$27))</f>
        <v>0</v>
      </c>
      <c r="AS366" s="8" t="n">
        <f aca="false">($G$62+$G$63)*(AS$291=YEAR(Inputs!$G$27))</f>
        <v>0</v>
      </c>
    </row>
    <row r="367" customFormat="false" ht="14.25" hidden="false" customHeight="false" outlineLevel="0" collapsed="false">
      <c r="C367" s="6" t="s">
        <v>256</v>
      </c>
      <c r="D367" s="2" t="s">
        <v>85</v>
      </c>
      <c r="H367" s="8" t="n">
        <f aca="false">SUM(J367:AS367)</f>
        <v>-69992.5</v>
      </c>
      <c r="J367" s="8" t="n">
        <f aca="false">-$G$91*J361</f>
        <v>-0</v>
      </c>
      <c r="K367" s="8" t="n">
        <f aca="false">-$G$91*K361</f>
        <v>-0</v>
      </c>
      <c r="L367" s="8" t="n">
        <f aca="false">-$G$91*L361</f>
        <v>-0</v>
      </c>
      <c r="M367" s="8" t="n">
        <f aca="false">-$G$91*M361</f>
        <v>-17498.125</v>
      </c>
      <c r="N367" s="8" t="n">
        <f aca="false">-$G$91*N361</f>
        <v>-34996.25</v>
      </c>
      <c r="O367" s="8" t="n">
        <f aca="false">-$G$91*O361</f>
        <v>-17498.125</v>
      </c>
      <c r="P367" s="8" t="n">
        <f aca="false">-$G$91*P361</f>
        <v>-0</v>
      </c>
      <c r="Q367" s="8" t="n">
        <f aca="false">-$G$91*Q361</f>
        <v>-0</v>
      </c>
      <c r="R367" s="8" t="n">
        <f aca="false">-$G$91*R361</f>
        <v>-0</v>
      </c>
      <c r="S367" s="8" t="n">
        <f aca="false">-$G$91*S361</f>
        <v>-0</v>
      </c>
      <c r="T367" s="8" t="n">
        <f aca="false">-$G$91*T361</f>
        <v>-0</v>
      </c>
      <c r="U367" s="8" t="n">
        <f aca="false">-$G$91*U361</f>
        <v>-0</v>
      </c>
      <c r="V367" s="8" t="n">
        <f aca="false">-$G$91*V361</f>
        <v>-0</v>
      </c>
      <c r="W367" s="8" t="n">
        <f aca="false">-$G$91*W361</f>
        <v>-0</v>
      </c>
      <c r="X367" s="8" t="n">
        <f aca="false">-$G$91*X361</f>
        <v>-0</v>
      </c>
      <c r="Y367" s="8" t="n">
        <f aca="false">-$G$91*Y361</f>
        <v>-0</v>
      </c>
      <c r="Z367" s="8" t="n">
        <f aca="false">-$G$91*Z361</f>
        <v>-0</v>
      </c>
      <c r="AA367" s="8" t="n">
        <f aca="false">-$G$91*AA361</f>
        <v>-0</v>
      </c>
      <c r="AB367" s="8" t="n">
        <f aca="false">-$G$91*AB361</f>
        <v>-0</v>
      </c>
      <c r="AC367" s="8" t="n">
        <f aca="false">-$G$91*AC361</f>
        <v>-0</v>
      </c>
      <c r="AD367" s="8" t="n">
        <f aca="false">-$G$91*AD361</f>
        <v>-0</v>
      </c>
      <c r="AE367" s="8" t="n">
        <f aca="false">-$G$91*AE361</f>
        <v>-0</v>
      </c>
      <c r="AF367" s="8" t="n">
        <f aca="false">-$G$91*AF361</f>
        <v>-0</v>
      </c>
      <c r="AG367" s="8" t="n">
        <f aca="false">-$G$91*AG361</f>
        <v>-0</v>
      </c>
      <c r="AH367" s="8" t="n">
        <f aca="false">-$G$91*AH361</f>
        <v>-0</v>
      </c>
      <c r="AI367" s="8" t="n">
        <f aca="false">-$G$91*AI361</f>
        <v>-0</v>
      </c>
      <c r="AJ367" s="8" t="n">
        <f aca="false">-$G$91*AJ361</f>
        <v>-0</v>
      </c>
      <c r="AK367" s="8" t="n">
        <f aca="false">-$G$91*AK361</f>
        <v>-0</v>
      </c>
      <c r="AL367" s="8" t="n">
        <f aca="false">-$G$91*AL361</f>
        <v>-0</v>
      </c>
      <c r="AM367" s="8" t="n">
        <f aca="false">-$G$91*AM361</f>
        <v>-0</v>
      </c>
      <c r="AN367" s="8" t="n">
        <f aca="false">-$G$91*AN361</f>
        <v>-0</v>
      </c>
      <c r="AO367" s="8" t="n">
        <f aca="false">-$G$91*AO361</f>
        <v>-0</v>
      </c>
      <c r="AP367" s="8" t="n">
        <f aca="false">-$G$91*AP361</f>
        <v>-0</v>
      </c>
      <c r="AQ367" s="8" t="n">
        <f aca="false">-$G$91*AQ361</f>
        <v>-0</v>
      </c>
      <c r="AR367" s="8" t="n">
        <f aca="false">-$G$91*AR361</f>
        <v>-0</v>
      </c>
      <c r="AS367" s="8" t="n">
        <f aca="false">-$G$91*AS361</f>
        <v>-0</v>
      </c>
    </row>
    <row r="368" customFormat="false" ht="14.25" hidden="false" customHeight="false" outlineLevel="0" collapsed="false">
      <c r="C368" s="6" t="s">
        <v>257</v>
      </c>
      <c r="D368" s="2" t="s">
        <v>85</v>
      </c>
      <c r="H368" s="8" t="n">
        <f aca="false">SUM(J368:AS368)</f>
        <v>-2500</v>
      </c>
      <c r="J368" s="8" t="n">
        <f aca="false">-$G$93*J364</f>
        <v>-0</v>
      </c>
      <c r="K368" s="8" t="n">
        <f aca="false">-$G$93*K364</f>
        <v>-0</v>
      </c>
      <c r="L368" s="8" t="n">
        <f aca="false">-$G$93*L364</f>
        <v>-0</v>
      </c>
      <c r="M368" s="8" t="n">
        <f aca="false">-$G$93*M364</f>
        <v>-0</v>
      </c>
      <c r="N368" s="8" t="n">
        <f aca="false">-$G$93*N364</f>
        <v>-0</v>
      </c>
      <c r="O368" s="8" t="n">
        <f aca="false">-$G$93*O364</f>
        <v>-2500</v>
      </c>
      <c r="P368" s="8" t="n">
        <f aca="false">-$G$93*P364</f>
        <v>-0</v>
      </c>
      <c r="Q368" s="8" t="n">
        <f aca="false">-$G$93*Q364</f>
        <v>-0</v>
      </c>
      <c r="R368" s="8" t="n">
        <f aca="false">-$G$93*R364</f>
        <v>-0</v>
      </c>
      <c r="S368" s="8" t="n">
        <f aca="false">-$G$93*S364</f>
        <v>-0</v>
      </c>
      <c r="T368" s="8" t="n">
        <f aca="false">-$G$93*T364</f>
        <v>-0</v>
      </c>
      <c r="U368" s="8" t="n">
        <f aca="false">-$G$93*U364</f>
        <v>-0</v>
      </c>
      <c r="V368" s="8" t="n">
        <f aca="false">-$G$93*V364</f>
        <v>-0</v>
      </c>
      <c r="W368" s="8" t="n">
        <f aca="false">-$G$93*W364</f>
        <v>-0</v>
      </c>
      <c r="X368" s="8" t="n">
        <f aca="false">-$G$93*X364</f>
        <v>-0</v>
      </c>
      <c r="Y368" s="8" t="n">
        <f aca="false">-$G$93*Y364</f>
        <v>-0</v>
      </c>
      <c r="Z368" s="8" t="n">
        <f aca="false">-$G$93*Z364</f>
        <v>-0</v>
      </c>
      <c r="AA368" s="8" t="n">
        <f aca="false">-$G$93*AA364</f>
        <v>-0</v>
      </c>
      <c r="AB368" s="8" t="n">
        <f aca="false">-$G$93*AB364</f>
        <v>-0</v>
      </c>
      <c r="AC368" s="8" t="n">
        <f aca="false">-$G$93*AC364</f>
        <v>-0</v>
      </c>
      <c r="AD368" s="8" t="n">
        <f aca="false">-$G$93*AD364</f>
        <v>-0</v>
      </c>
      <c r="AE368" s="8" t="n">
        <f aca="false">-$G$93*AE364</f>
        <v>-0</v>
      </c>
      <c r="AF368" s="8" t="n">
        <f aca="false">-$G$93*AF364</f>
        <v>-0</v>
      </c>
      <c r="AG368" s="8" t="n">
        <f aca="false">-$G$93*AG364</f>
        <v>-0</v>
      </c>
      <c r="AH368" s="8" t="n">
        <f aca="false">-$G$93*AH364</f>
        <v>-0</v>
      </c>
      <c r="AI368" s="8" t="n">
        <f aca="false">-$G$93*AI364</f>
        <v>-0</v>
      </c>
      <c r="AJ368" s="8" t="n">
        <f aca="false">-$G$93*AJ364</f>
        <v>-0</v>
      </c>
      <c r="AK368" s="8" t="n">
        <f aca="false">-$G$93*AK364</f>
        <v>-0</v>
      </c>
      <c r="AL368" s="8" t="n">
        <f aca="false">-$G$93*AL364</f>
        <v>-0</v>
      </c>
      <c r="AM368" s="8" t="n">
        <f aca="false">-$G$93*AM364</f>
        <v>-0</v>
      </c>
      <c r="AN368" s="8" t="n">
        <f aca="false">-$G$93*AN364</f>
        <v>-0</v>
      </c>
      <c r="AO368" s="8" t="n">
        <f aca="false">-$G$93*AO364</f>
        <v>-0</v>
      </c>
      <c r="AP368" s="8" t="n">
        <f aca="false">-$G$93*AP364</f>
        <v>-0</v>
      </c>
      <c r="AQ368" s="8" t="n">
        <f aca="false">-$G$93*AQ364</f>
        <v>-0</v>
      </c>
      <c r="AR368" s="8" t="n">
        <f aca="false">-$G$93*AR364</f>
        <v>-0</v>
      </c>
      <c r="AS368" s="8" t="n">
        <f aca="false">-$G$93*AS364</f>
        <v>-0</v>
      </c>
    </row>
    <row r="369" customFormat="false" ht="14.25" hidden="false" customHeight="false" outlineLevel="0" collapsed="false">
      <c r="C369" s="1" t="s">
        <v>258</v>
      </c>
      <c r="D369" s="2" t="s">
        <v>85</v>
      </c>
      <c r="H369" s="15" t="n">
        <f aca="false">SUM(J369:AS369)</f>
        <v>-77435.8772410064</v>
      </c>
      <c r="J369" s="60" t="n">
        <f aca="false">SUM(J365:J368)</f>
        <v>-657.123287671233</v>
      </c>
      <c r="K369" s="15" t="n">
        <f aca="false">SUM(K365:K368)</f>
        <v>-3313.15361086944</v>
      </c>
      <c r="L369" s="15" t="n">
        <f aca="false">SUM(L365:L368)</f>
        <v>-3467.62089041096</v>
      </c>
      <c r="M369" s="15" t="n">
        <f aca="false">SUM(M365:M368)</f>
        <v>-17498.125</v>
      </c>
      <c r="N369" s="15" t="n">
        <f aca="false">SUM(N365:N368)</f>
        <v>-34996.25</v>
      </c>
      <c r="O369" s="15" t="n">
        <f aca="false">SUM(O365:O368)</f>
        <v>-19998.125</v>
      </c>
      <c r="P369" s="15" t="n">
        <f aca="false">SUM(P365:P368)</f>
        <v>0</v>
      </c>
      <c r="Q369" s="15" t="n">
        <f aca="false">SUM(Q365:Q368)</f>
        <v>2494.52054794521</v>
      </c>
      <c r="R369" s="15" t="n">
        <f aca="false">SUM(R365:R368)</f>
        <v>0</v>
      </c>
      <c r="S369" s="15" t="n">
        <f aca="false">SUM(S365:S368)</f>
        <v>0</v>
      </c>
      <c r="T369" s="15" t="n">
        <f aca="false">SUM(T365:T368)</f>
        <v>0</v>
      </c>
      <c r="U369" s="15" t="n">
        <f aca="false">SUM(U365:U368)</f>
        <v>0</v>
      </c>
      <c r="V369" s="15" t="n">
        <f aca="false">SUM(V365:V368)</f>
        <v>0</v>
      </c>
      <c r="W369" s="15" t="n">
        <f aca="false">SUM(W365:W368)</f>
        <v>0</v>
      </c>
      <c r="X369" s="15" t="n">
        <f aca="false">SUM(X365:X368)</f>
        <v>0</v>
      </c>
      <c r="Y369" s="15" t="n">
        <f aca="false">SUM(Y365:Y368)</f>
        <v>0</v>
      </c>
      <c r="Z369" s="15" t="n">
        <f aca="false">SUM(Z365:Z368)</f>
        <v>0</v>
      </c>
      <c r="AA369" s="15" t="n">
        <f aca="false">SUM(AA365:AA368)</f>
        <v>0</v>
      </c>
      <c r="AB369" s="15" t="n">
        <f aca="false">SUM(AB365:AB368)</f>
        <v>0</v>
      </c>
      <c r="AC369" s="15" t="n">
        <f aca="false">SUM(AC365:AC368)</f>
        <v>0</v>
      </c>
      <c r="AD369" s="15" t="n">
        <f aca="false">SUM(AD365:AD368)</f>
        <v>0</v>
      </c>
      <c r="AE369" s="15" t="n">
        <f aca="false">SUM(AE365:AE368)</f>
        <v>0</v>
      </c>
      <c r="AF369" s="15" t="n">
        <f aca="false">SUM(AF365:AF368)</f>
        <v>0</v>
      </c>
      <c r="AG369" s="15" t="n">
        <f aca="false">SUM(AG365:AG368)</f>
        <v>0</v>
      </c>
      <c r="AH369" s="15" t="n">
        <f aca="false">SUM(AH365:AH368)</f>
        <v>0</v>
      </c>
      <c r="AI369" s="15" t="n">
        <f aca="false">SUM(AI365:AI368)</f>
        <v>0</v>
      </c>
      <c r="AJ369" s="15" t="n">
        <f aca="false">SUM(AJ365:AJ368)</f>
        <v>0</v>
      </c>
      <c r="AK369" s="15" t="n">
        <f aca="false">SUM(AK365:AK368)</f>
        <v>0</v>
      </c>
      <c r="AL369" s="15" t="n">
        <f aca="false">SUM(AL365:AL368)</f>
        <v>0</v>
      </c>
      <c r="AM369" s="15" t="n">
        <f aca="false">SUM(AM365:AM368)</f>
        <v>0</v>
      </c>
      <c r="AN369" s="15" t="n">
        <f aca="false">SUM(AN365:AN368)</f>
        <v>0</v>
      </c>
      <c r="AO369" s="15" t="n">
        <f aca="false">SUM(AO365:AO368)</f>
        <v>0</v>
      </c>
      <c r="AP369" s="15" t="n">
        <f aca="false">SUM(AP365:AP368)</f>
        <v>0</v>
      </c>
      <c r="AQ369" s="15" t="n">
        <f aca="false">SUM(AQ365:AQ368)</f>
        <v>0</v>
      </c>
      <c r="AR369" s="15" t="n">
        <f aca="false">SUM(AR365:AR368)</f>
        <v>0</v>
      </c>
      <c r="AS369" s="15" t="n">
        <f aca="false">SUM(AS365:AS368)</f>
        <v>0</v>
      </c>
    </row>
    <row r="370" customFormat="false" ht="14.25" hidden="false" customHeight="false" outlineLevel="0" collapsed="false">
      <c r="C370" s="6" t="s">
        <v>259</v>
      </c>
      <c r="D370" s="2" t="s">
        <v>3</v>
      </c>
      <c r="J370" s="67" t="n">
        <f aca="false">(1-Degradation)^MAX(J359-1,0)</f>
        <v>1</v>
      </c>
      <c r="K370" s="67" t="n">
        <f aca="false">(1-Degradation)^MAX(K359-1,0)</f>
        <v>1</v>
      </c>
      <c r="L370" s="67" t="n">
        <f aca="false">(1-Degradation)^MAX(L359-1,0)</f>
        <v>1</v>
      </c>
      <c r="M370" s="67" t="n">
        <f aca="false">(1-Degradation)^MAX(M359-1,0)</f>
        <v>1</v>
      </c>
      <c r="N370" s="67" t="n">
        <f aca="false">(1-Degradation)^MAX(N359-1,0)</f>
        <v>1</v>
      </c>
      <c r="O370" s="67" t="n">
        <f aca="false">(1-Degradation)^MAX(O359-1,0)</f>
        <v>1</v>
      </c>
      <c r="P370" s="67" t="n">
        <f aca="false">(1-Degradation)^MAX(P359-1,0)</f>
        <v>1</v>
      </c>
      <c r="Q370" s="67" t="n">
        <f aca="false">(1-Degradation)^MAX(Q359-1,0)</f>
        <v>0.997</v>
      </c>
      <c r="R370" s="67" t="n">
        <f aca="false">(1-Degradation)^MAX(R359-1,0)</f>
        <v>0.994009</v>
      </c>
      <c r="S370" s="67" t="n">
        <f aca="false">(1-Degradation)^MAX(S359-1,0)</f>
        <v>0.991026973</v>
      </c>
      <c r="T370" s="67" t="n">
        <f aca="false">(1-Degradation)^MAX(T359-1,0)</f>
        <v>0.988053892081</v>
      </c>
      <c r="U370" s="67" t="n">
        <f aca="false">(1-Degradation)^MAX(U359-1,0)</f>
        <v>0.985089730404757</v>
      </c>
      <c r="V370" s="67" t="n">
        <f aca="false">(1-Degradation)^MAX(V359-1,0)</f>
        <v>0.982134461213543</v>
      </c>
      <c r="W370" s="67" t="n">
        <f aca="false">(1-Degradation)^MAX(W359-1,0)</f>
        <v>0.979188057829902</v>
      </c>
      <c r="X370" s="67" t="n">
        <f aca="false">(1-Degradation)^MAX(X359-1,0)</f>
        <v>0.976250493656412</v>
      </c>
      <c r="Y370" s="67" t="n">
        <f aca="false">(1-Degradation)^MAX(Y359-1,0)</f>
        <v>0.973321742175443</v>
      </c>
      <c r="Z370" s="67" t="n">
        <f aca="false">(1-Degradation)^MAX(Z359-1,0)</f>
        <v>0.970401776948917</v>
      </c>
      <c r="AA370" s="67" t="n">
        <f aca="false">(1-Degradation)^MAX(AA359-1,0)</f>
        <v>0.96749057161807</v>
      </c>
      <c r="AB370" s="67" t="n">
        <f aca="false">(1-Degradation)^MAX(AB359-1,0)</f>
        <v>0.964588099903216</v>
      </c>
      <c r="AC370" s="67" t="n">
        <f aca="false">(1-Degradation)^MAX(AC359-1,0)</f>
        <v>0.961694335603506</v>
      </c>
      <c r="AD370" s="67" t="n">
        <f aca="false">(1-Degradation)^MAX(AD359-1,0)</f>
        <v>0.958809252596696</v>
      </c>
      <c r="AE370" s="67" t="n">
        <f aca="false">(1-Degradation)^MAX(AE359-1,0)</f>
        <v>0.955932824838906</v>
      </c>
      <c r="AF370" s="67" t="n">
        <f aca="false">(1-Degradation)^MAX(AF359-1,0)</f>
        <v>0.953065026364389</v>
      </c>
      <c r="AG370" s="67" t="n">
        <f aca="false">(1-Degradation)^MAX(AG359-1,0)</f>
        <v>0.950205831285296</v>
      </c>
      <c r="AH370" s="67" t="n">
        <f aca="false">(1-Degradation)^MAX(AH359-1,0)</f>
        <v>0.94735521379144</v>
      </c>
      <c r="AI370" s="67" t="n">
        <f aca="false">(1-Degradation)^MAX(AI359-1,0)</f>
        <v>0.944513148150066</v>
      </c>
      <c r="AJ370" s="67" t="n">
        <f aca="false">(1-Degradation)^MAX(AJ359-1,0)</f>
        <v>0.941679608705615</v>
      </c>
      <c r="AK370" s="67" t="n">
        <f aca="false">(1-Degradation)^MAX(AK359-1,0)</f>
        <v>0.938854569879498</v>
      </c>
      <c r="AL370" s="67" t="n">
        <f aca="false">(1-Degradation)^MAX(AL359-1,0)</f>
        <v>0.93603800616986</v>
      </c>
      <c r="AM370" s="67" t="n">
        <f aca="false">(1-Degradation)^MAX(AM359-1,0)</f>
        <v>0.93322989215135</v>
      </c>
      <c r="AN370" s="67" t="n">
        <f aca="false">(1-Degradation)^MAX(AN359-1,0)</f>
        <v>0.930430202474896</v>
      </c>
      <c r="AO370" s="67" t="n">
        <f aca="false">(1-Degradation)^MAX(AO359-1,0)</f>
        <v>0.927638911867472</v>
      </c>
      <c r="AP370" s="67" t="n">
        <f aca="false">(1-Degradation)^MAX(AP359-1,0)</f>
        <v>0.924855995131869</v>
      </c>
      <c r="AQ370" s="67" t="n">
        <f aca="false">(1-Degradation)^MAX(AQ359-1,0)</f>
        <v>0.922081427146474</v>
      </c>
      <c r="AR370" s="67" t="n">
        <f aca="false">(1-Degradation)^MAX(AR359-1,0)</f>
        <v>0.919315182865034</v>
      </c>
      <c r="AS370" s="67" t="n">
        <f aca="false">(1-Degradation)^MAX(AS359-1,0)</f>
        <v>0.916557237316439</v>
      </c>
    </row>
    <row r="371" customFormat="false" ht="14.25" hidden="false" customHeight="false" outlineLevel="0" collapsed="false">
      <c r="C371" s="6" t="s">
        <v>260</v>
      </c>
      <c r="D371" s="2" t="s">
        <v>261</v>
      </c>
      <c r="H371" s="17" t="n">
        <f aca="false">SUM(J371:AS371)</f>
        <v>4737.10980784971</v>
      </c>
      <c r="J371" s="17" t="n">
        <f aca="false">$G$46*$G$22*(1-Curtailment)*(1-Clipping)*J363*J370/Thousand</f>
        <v>0</v>
      </c>
      <c r="K371" s="17" t="n">
        <f aca="false">$G$46*$G$22*(1-Curtailment)*(1-Clipping)*K363*K370/Thousand</f>
        <v>0</v>
      </c>
      <c r="L371" s="17" t="n">
        <f aca="false">$G$46*$G$22*(1-Curtailment)*(1-Clipping)*L363*L370/Thousand</f>
        <v>0</v>
      </c>
      <c r="M371" s="17" t="n">
        <f aca="false">$G$46*$G$22*(1-Curtailment)*(1-Clipping)*M363*M370/Thousand</f>
        <v>0</v>
      </c>
      <c r="N371" s="17" t="n">
        <f aca="false">$G$46*$G$22*(1-Curtailment)*(1-Clipping)*N363*N370/Thousand</f>
        <v>0</v>
      </c>
      <c r="O371" s="17" t="n">
        <f aca="false">$G$46*$G$22*(1-Curtailment)*(1-Clipping)*O363*O370/Thousand</f>
        <v>82.32</v>
      </c>
      <c r="P371" s="17" t="n">
        <f aca="false">$G$46*$G$22*(1-Curtailment)*(1-Clipping)*P363*P370/Thousand</f>
        <v>164.64</v>
      </c>
      <c r="Q371" s="17" t="n">
        <f aca="false">$G$46*$G$22*(1-Curtailment)*(1-Clipping)*Q363*Q370/Thousand</f>
        <v>164.14608</v>
      </c>
      <c r="R371" s="17" t="n">
        <f aca="false">$G$46*$G$22*(1-Curtailment)*(1-Clipping)*R363*R370/Thousand</f>
        <v>163.65364176</v>
      </c>
      <c r="S371" s="17" t="n">
        <f aca="false">$G$46*$G$22*(1-Curtailment)*(1-Clipping)*S363*S370/Thousand</f>
        <v>163.16268083472</v>
      </c>
      <c r="T371" s="17" t="n">
        <f aca="false">$G$46*$G$22*(1-Curtailment)*(1-Clipping)*T363*T370/Thousand</f>
        <v>162.673192792216</v>
      </c>
      <c r="U371" s="17" t="n">
        <f aca="false">$G$46*$G$22*(1-Curtailment)*(1-Clipping)*U363*U370/Thousand</f>
        <v>162.185173213839</v>
      </c>
      <c r="V371" s="17" t="n">
        <f aca="false">$G$46*$G$22*(1-Curtailment)*(1-Clipping)*V363*V370/Thousand</f>
        <v>161.698617694198</v>
      </c>
      <c r="W371" s="17" t="n">
        <f aca="false">$G$46*$G$22*(1-Curtailment)*(1-Clipping)*W363*W370/Thousand</f>
        <v>161.213521841115</v>
      </c>
      <c r="X371" s="17" t="n">
        <f aca="false">$G$46*$G$22*(1-Curtailment)*(1-Clipping)*X363*X370/Thousand</f>
        <v>160.729881275592</v>
      </c>
      <c r="Y371" s="17" t="n">
        <f aca="false">$G$46*$G$22*(1-Curtailment)*(1-Clipping)*Y363*Y370/Thousand</f>
        <v>160.247691631765</v>
      </c>
      <c r="Z371" s="17" t="n">
        <f aca="false">$G$46*$G$22*(1-Curtailment)*(1-Clipping)*Z363*Z370/Thousand</f>
        <v>159.76694855687</v>
      </c>
      <c r="AA371" s="17" t="n">
        <f aca="false">$G$46*$G$22*(1-Curtailment)*(1-Clipping)*AA363*AA370/Thousand</f>
        <v>159.287647711199</v>
      </c>
      <c r="AB371" s="17" t="n">
        <f aca="false">$G$46*$G$22*(1-Curtailment)*(1-Clipping)*AB363*AB370/Thousand</f>
        <v>158.809784768065</v>
      </c>
      <c r="AC371" s="17" t="n">
        <f aca="false">$G$46*$G$22*(1-Curtailment)*(1-Clipping)*AC363*AC370/Thousand</f>
        <v>158.333355413761</v>
      </c>
      <c r="AD371" s="17" t="n">
        <f aca="false">$G$46*$G$22*(1-Curtailment)*(1-Clipping)*AD363*AD370/Thousand</f>
        <v>157.85835534752</v>
      </c>
      <c r="AE371" s="17" t="n">
        <f aca="false">$G$46*$G$22*(1-Curtailment)*(1-Clipping)*AE363*AE370/Thousand</f>
        <v>157.384780281477</v>
      </c>
      <c r="AF371" s="17" t="n">
        <f aca="false">$G$46*$G$22*(1-Curtailment)*(1-Clipping)*AF363*AF370/Thousand</f>
        <v>156.912625940633</v>
      </c>
      <c r="AG371" s="17" t="n">
        <f aca="false">$G$46*$G$22*(1-Curtailment)*(1-Clipping)*AG363*AG370/Thousand</f>
        <v>156.441888062811</v>
      </c>
      <c r="AH371" s="17" t="n">
        <f aca="false">$G$46*$G$22*(1-Curtailment)*(1-Clipping)*AH363*AH370/Thousand</f>
        <v>155.972562398623</v>
      </c>
      <c r="AI371" s="17" t="n">
        <f aca="false">$G$46*$G$22*(1-Curtailment)*(1-Clipping)*AI363*AI370/Thousand</f>
        <v>155.504644711427</v>
      </c>
      <c r="AJ371" s="17" t="n">
        <f aca="false">$G$46*$G$22*(1-Curtailment)*(1-Clipping)*AJ363*AJ370/Thousand</f>
        <v>155.038130777293</v>
      </c>
      <c r="AK371" s="17" t="n">
        <f aca="false">$G$46*$G$22*(1-Curtailment)*(1-Clipping)*AK363*AK370/Thousand</f>
        <v>154.573016384961</v>
      </c>
      <c r="AL371" s="17" t="n">
        <f aca="false">$G$46*$G$22*(1-Curtailment)*(1-Clipping)*AL363*AL370/Thousand</f>
        <v>154.109297335806</v>
      </c>
      <c r="AM371" s="17" t="n">
        <f aca="false">$G$46*$G$22*(1-Curtailment)*(1-Clipping)*AM363*AM370/Thousand</f>
        <v>153.646969443798</v>
      </c>
      <c r="AN371" s="17" t="n">
        <f aca="false">$G$46*$G$22*(1-Curtailment)*(1-Clipping)*AN363*AN370/Thousand</f>
        <v>153.186028535467</v>
      </c>
      <c r="AO371" s="17" t="n">
        <f aca="false">$G$46*$G$22*(1-Curtailment)*(1-Clipping)*AO363*AO370/Thousand</f>
        <v>152.726470449861</v>
      </c>
      <c r="AP371" s="17" t="n">
        <f aca="false">$G$46*$G$22*(1-Curtailment)*(1-Clipping)*AP363*AP370/Thousand</f>
        <v>152.268291038511</v>
      </c>
      <c r="AQ371" s="17" t="n">
        <f aca="false">$G$46*$G$22*(1-Curtailment)*(1-Clipping)*AQ363*AQ370/Thousand</f>
        <v>151.811486165395</v>
      </c>
      <c r="AR371" s="17" t="n">
        <f aca="false">$G$46*$G$22*(1-Curtailment)*(1-Clipping)*AR363*AR370/Thousand</f>
        <v>151.356051706899</v>
      </c>
      <c r="AS371" s="17" t="n">
        <f aca="false">$G$46*$G$22*(1-Curtailment)*(1-Clipping)*AS363*AS370/Thousand</f>
        <v>75.4509917758893</v>
      </c>
    </row>
    <row r="372" customFormat="false" ht="14.25" hidden="false" customHeight="false" outlineLevel="0" collapsed="false">
      <c r="C372" s="6" t="s">
        <v>262</v>
      </c>
      <c r="D372" s="2" t="s">
        <v>20</v>
      </c>
      <c r="J372" s="17" t="n">
        <f aca="false">Case_PPA*(1+PPA_Esc)^J359*(J363&gt;0)</f>
        <v>0</v>
      </c>
      <c r="K372" s="17" t="n">
        <f aca="false">Case_PPA*(1+PPA_Esc)^K359*(K363&gt;0)</f>
        <v>0</v>
      </c>
      <c r="L372" s="17" t="n">
        <f aca="false">Case_PPA*(1+PPA_Esc)^L359*(L363&gt;0)</f>
        <v>0</v>
      </c>
      <c r="M372" s="17" t="n">
        <f aca="false">Case_PPA*(1+PPA_Esc)^M359*(M363&gt;0)</f>
        <v>0</v>
      </c>
      <c r="N372" s="17" t="n">
        <f aca="false">Case_PPA*(1+PPA_Esc)^N359*(N363&gt;0)</f>
        <v>0</v>
      </c>
      <c r="O372" s="17" t="n">
        <f aca="false">Case_PPA*(1+PPA_Esc)^O359*(O363&gt;0)</f>
        <v>90</v>
      </c>
      <c r="P372" s="17" t="n">
        <f aca="false">Case_PPA*(1+PPA_Esc)^P359*(P363&gt;0)</f>
        <v>90.9</v>
      </c>
      <c r="Q372" s="17" t="n">
        <f aca="false">Case_PPA*(1+PPA_Esc)^Q359*(Q363&gt;0)</f>
        <v>91.809</v>
      </c>
      <c r="R372" s="17" t="n">
        <f aca="false">Case_PPA*(1+PPA_Esc)^R359*(R363&gt;0)</f>
        <v>92.72709</v>
      </c>
      <c r="S372" s="17" t="n">
        <f aca="false">Case_PPA*(1+PPA_Esc)^S359*(S363&gt;0)</f>
        <v>93.6543609</v>
      </c>
      <c r="T372" s="17" t="n">
        <f aca="false">Case_PPA*(1+PPA_Esc)^T359*(T363&gt;0)</f>
        <v>94.590904509</v>
      </c>
      <c r="U372" s="17" t="n">
        <f aca="false">Case_PPA*(1+PPA_Esc)^U359*(U363&gt;0)</f>
        <v>95.53681355409</v>
      </c>
      <c r="V372" s="17" t="n">
        <f aca="false">Case_PPA*(1+PPA_Esc)^V359*(V363&gt;0)</f>
        <v>96.4921816896309</v>
      </c>
      <c r="W372" s="17" t="n">
        <f aca="false">Case_PPA*(1+PPA_Esc)^W359*(W363&gt;0)</f>
        <v>97.4571035065272</v>
      </c>
      <c r="X372" s="17" t="n">
        <f aca="false">Case_PPA*(1+PPA_Esc)^X359*(X363&gt;0)</f>
        <v>98.4316745415925</v>
      </c>
      <c r="Y372" s="17" t="n">
        <f aca="false">Case_PPA*(1+PPA_Esc)^Y359*(Y363&gt;0)</f>
        <v>99.4159912870084</v>
      </c>
      <c r="Z372" s="17" t="n">
        <f aca="false">Case_PPA*(1+PPA_Esc)^Z359*(Z363&gt;0)</f>
        <v>100.410151199878</v>
      </c>
      <c r="AA372" s="17" t="n">
        <f aca="false">Case_PPA*(1+PPA_Esc)^AA359*(AA363&gt;0)</f>
        <v>101.414252711877</v>
      </c>
      <c r="AB372" s="17" t="n">
        <f aca="false">Case_PPA*(1+PPA_Esc)^AB359*(AB363&gt;0)</f>
        <v>102.428395238996</v>
      </c>
      <c r="AC372" s="17" t="n">
        <f aca="false">Case_PPA*(1+PPA_Esc)^AC359*(AC363&gt;0)</f>
        <v>103.452679191386</v>
      </c>
      <c r="AD372" s="17" t="n">
        <f aca="false">Case_PPA*(1+PPA_Esc)^AD359*(AD363&gt;0)</f>
        <v>104.4872059833</v>
      </c>
      <c r="AE372" s="17" t="n">
        <f aca="false">Case_PPA*(1+PPA_Esc)^AE359*(AE363&gt;0)</f>
        <v>105.532078043133</v>
      </c>
      <c r="AF372" s="17" t="n">
        <f aca="false">Case_PPA*(1+PPA_Esc)^AF359*(AF363&gt;0)</f>
        <v>106.587398823564</v>
      </c>
      <c r="AG372" s="17" t="n">
        <f aca="false">Case_PPA*(1+PPA_Esc)^AG359*(AG363&gt;0)</f>
        <v>107.6532728118</v>
      </c>
      <c r="AH372" s="17" t="n">
        <f aca="false">Case_PPA*(1+PPA_Esc)^AH359*(AH363&gt;0)</f>
        <v>108.729805539918</v>
      </c>
      <c r="AI372" s="17" t="n">
        <f aca="false">Case_PPA*(1+PPA_Esc)^AI359*(AI363&gt;0)</f>
        <v>109.817103595317</v>
      </c>
      <c r="AJ372" s="17" t="n">
        <f aca="false">Case_PPA*(1+PPA_Esc)^AJ359*(AJ363&gt;0)</f>
        <v>110.91527463127</v>
      </c>
      <c r="AK372" s="17" t="n">
        <f aca="false">Case_PPA*(1+PPA_Esc)^AK359*(AK363&gt;0)</f>
        <v>112.024427377583</v>
      </c>
      <c r="AL372" s="17" t="n">
        <f aca="false">Case_PPA*(1+PPA_Esc)^AL359*(AL363&gt;0)</f>
        <v>113.144671651359</v>
      </c>
      <c r="AM372" s="17" t="n">
        <f aca="false">Case_PPA*(1+PPA_Esc)^AM359*(AM363&gt;0)</f>
        <v>114.276118367872</v>
      </c>
      <c r="AN372" s="17" t="n">
        <f aca="false">Case_PPA*(1+PPA_Esc)^AN359*(AN363&gt;0)</f>
        <v>115.418879551551</v>
      </c>
      <c r="AO372" s="17" t="n">
        <f aca="false">Case_PPA*(1+PPA_Esc)^AO359*(AO363&gt;0)</f>
        <v>116.573068347067</v>
      </c>
      <c r="AP372" s="17" t="n">
        <f aca="false">Case_PPA*(1+PPA_Esc)^AP359*(AP363&gt;0)</f>
        <v>117.738799030537</v>
      </c>
      <c r="AQ372" s="17" t="n">
        <f aca="false">Case_PPA*(1+PPA_Esc)^AQ359*(AQ363&gt;0)</f>
        <v>118.916187020843</v>
      </c>
      <c r="AR372" s="17" t="n">
        <f aca="false">Case_PPA*(1+PPA_Esc)^AR359*(AR363&gt;0)</f>
        <v>120.105348891051</v>
      </c>
      <c r="AS372" s="17" t="n">
        <f aca="false">Case_PPA*(1+PPA_Esc)^AS359*(AS363&gt;0)</f>
        <v>121.306402379962</v>
      </c>
    </row>
    <row r="373" customFormat="false" ht="14.25" hidden="false" customHeight="false" outlineLevel="0" collapsed="false">
      <c r="C373" s="1" t="s">
        <v>150</v>
      </c>
      <c r="D373" s="2" t="s">
        <v>85</v>
      </c>
      <c r="H373" s="34" t="n">
        <f aca="false">SUM(J373:AS373)</f>
        <v>495700.761921616</v>
      </c>
      <c r="J373" s="34" t="n">
        <f aca="false">J371*J372</f>
        <v>0</v>
      </c>
      <c r="K373" s="34" t="n">
        <f aca="false">K371*K372</f>
        <v>0</v>
      </c>
      <c r="L373" s="34" t="n">
        <f aca="false">L371*L372</f>
        <v>0</v>
      </c>
      <c r="M373" s="34" t="n">
        <f aca="false">M371*M372</f>
        <v>0</v>
      </c>
      <c r="N373" s="34" t="n">
        <f aca="false">N371*N372</f>
        <v>0</v>
      </c>
      <c r="O373" s="34" t="n">
        <f aca="false">O371*O372</f>
        <v>7408.8</v>
      </c>
      <c r="P373" s="34" t="n">
        <f aca="false">P371*P372</f>
        <v>14965.776</v>
      </c>
      <c r="Q373" s="34" t="n">
        <f aca="false">Q371*Q372</f>
        <v>15070.08745872</v>
      </c>
      <c r="R373" s="34" t="n">
        <f aca="false">R371*R372</f>
        <v>15175.1259683073</v>
      </c>
      <c r="S373" s="34" t="n">
        <f aca="false">S371*S372</f>
        <v>15280.8965963064</v>
      </c>
      <c r="T373" s="34" t="n">
        <f aca="false">T371*T372</f>
        <v>15387.4044455826</v>
      </c>
      <c r="U373" s="34" t="n">
        <f aca="false">U371*U372</f>
        <v>15494.6546545683</v>
      </c>
      <c r="V373" s="34" t="n">
        <f aca="false">V371*V372</f>
        <v>15602.6523975107</v>
      </c>
      <c r="W373" s="34" t="n">
        <f aca="false">W371*W372</f>
        <v>15711.4028847213</v>
      </c>
      <c r="X373" s="34" t="n">
        <f aca="false">X371*X372</f>
        <v>15820.9113628278</v>
      </c>
      <c r="Y373" s="34" t="n">
        <f aca="false">Y371*Y372</f>
        <v>15931.1831150268</v>
      </c>
      <c r="Z373" s="34" t="n">
        <f aca="false">Z371*Z372</f>
        <v>16042.2234613385</v>
      </c>
      <c r="AA373" s="34" t="n">
        <f aca="false">AA371*AA372</f>
        <v>16154.037758864</v>
      </c>
      <c r="AB373" s="34" t="n">
        <f aca="false">AB371*AB372</f>
        <v>16266.6314020433</v>
      </c>
      <c r="AC373" s="34" t="n">
        <f aca="false">AC371*AC372</f>
        <v>16380.0098229155</v>
      </c>
      <c r="AD373" s="34" t="n">
        <f aca="false">AD371*AD372</f>
        <v>16494.1784913813</v>
      </c>
      <c r="AE373" s="34" t="n">
        <f aca="false">AE371*AE372</f>
        <v>16609.1429154662</v>
      </c>
      <c r="AF373" s="34" t="n">
        <f aca="false">AF371*AF372</f>
        <v>16724.908641587</v>
      </c>
      <c r="AG373" s="34" t="n">
        <f aca="false">AG371*AG372</f>
        <v>16841.4812548189</v>
      </c>
      <c r="AH373" s="34" t="n">
        <f aca="false">AH371*AH372</f>
        <v>16958.8663791649</v>
      </c>
      <c r="AI373" s="34" t="n">
        <f aca="false">AI371*AI372</f>
        <v>17077.0696778277</v>
      </c>
      <c r="AJ373" s="34" t="n">
        <f aca="false">AJ371*AJ372</f>
        <v>17196.0968534822</v>
      </c>
      <c r="AK373" s="34" t="n">
        <f aca="false">AK371*AK372</f>
        <v>17315.953648551</v>
      </c>
      <c r="AL373" s="34" t="n">
        <f aca="false">AL371*AL372</f>
        <v>17436.6458454814</v>
      </c>
      <c r="AM373" s="34" t="n">
        <f aca="false">AM371*AM372</f>
        <v>17558.1792670244</v>
      </c>
      <c r="AN373" s="34" t="n">
        <f aca="false">AN371*AN372</f>
        <v>17680.5597765155</v>
      </c>
      <c r="AO373" s="34" t="n">
        <f aca="false">AO371*AO372</f>
        <v>17803.7932781578</v>
      </c>
      <c r="AP373" s="34" t="n">
        <f aca="false">AP371*AP372</f>
        <v>17927.8857173066</v>
      </c>
      <c r="AQ373" s="34" t="n">
        <f aca="false">AQ371*AQ372</f>
        <v>18052.8430807562</v>
      </c>
      <c r="AR373" s="34" t="n">
        <f aca="false">AR371*AR372</f>
        <v>18178.6713970291</v>
      </c>
      <c r="AS373" s="34" t="n">
        <f aca="false">AS371*AS372</f>
        <v>9152.68836833319</v>
      </c>
    </row>
    <row r="374" customFormat="false" ht="14.25" hidden="false" customHeight="false" outlineLevel="0" collapsed="false">
      <c r="C374" s="6" t="s">
        <v>263</v>
      </c>
      <c r="D374" s="2" t="s">
        <v>3</v>
      </c>
      <c r="J374" s="67" t="n">
        <f aca="false">(1+Opex_Esc)^J359</f>
        <v>0.883854287609517</v>
      </c>
      <c r="K374" s="67" t="n">
        <f aca="false">(1+Opex_Esc)^K359</f>
        <v>0.905950644799755</v>
      </c>
      <c r="L374" s="67" t="n">
        <f aca="false">(1+Opex_Esc)^L359</f>
        <v>0.928599410919749</v>
      </c>
      <c r="M374" s="67" t="n">
        <f aca="false">(1+Opex_Esc)^M359</f>
        <v>0.951814396192743</v>
      </c>
      <c r="N374" s="67" t="n">
        <f aca="false">(1+Opex_Esc)^N359</f>
        <v>0.975609756097561</v>
      </c>
      <c r="O374" s="67" t="n">
        <f aca="false">(1+Opex_Esc)^O359</f>
        <v>1</v>
      </c>
      <c r="P374" s="67" t="n">
        <f aca="false">(1+Opex_Esc)^P359</f>
        <v>1.025</v>
      </c>
      <c r="Q374" s="67" t="n">
        <f aca="false">(1+Opex_Esc)^Q359</f>
        <v>1.050625</v>
      </c>
      <c r="R374" s="67" t="n">
        <f aca="false">(1+Opex_Esc)^R359</f>
        <v>1.076890625</v>
      </c>
      <c r="S374" s="67" t="n">
        <f aca="false">(1+Opex_Esc)^S359</f>
        <v>1.103812890625</v>
      </c>
      <c r="T374" s="67" t="n">
        <f aca="false">(1+Opex_Esc)^T359</f>
        <v>1.13140821289062</v>
      </c>
      <c r="U374" s="67" t="n">
        <f aca="false">(1+Opex_Esc)^U359</f>
        <v>1.15969341821289</v>
      </c>
      <c r="V374" s="67" t="n">
        <f aca="false">(1+Opex_Esc)^V359</f>
        <v>1.18868575366821</v>
      </c>
      <c r="W374" s="67" t="n">
        <f aca="false">(1+Opex_Esc)^W359</f>
        <v>1.21840289750992</v>
      </c>
      <c r="X374" s="67" t="n">
        <f aca="false">(1+Opex_Esc)^X359</f>
        <v>1.24886296994767</v>
      </c>
      <c r="Y374" s="67" t="n">
        <f aca="false">(1+Opex_Esc)^Y359</f>
        <v>1.28008454419636</v>
      </c>
      <c r="Z374" s="67" t="n">
        <f aca="false">(1+Opex_Esc)^Z359</f>
        <v>1.31208665780127</v>
      </c>
      <c r="AA374" s="67" t="n">
        <f aca="false">(1+Opex_Esc)^AA359</f>
        <v>1.3448888242463</v>
      </c>
      <c r="AB374" s="67" t="n">
        <f aca="false">(1+Opex_Esc)^AB359</f>
        <v>1.37851104485245</v>
      </c>
      <c r="AC374" s="67" t="n">
        <f aca="false">(1+Opex_Esc)^AC359</f>
        <v>1.41297382097377</v>
      </c>
      <c r="AD374" s="67" t="n">
        <f aca="false">(1+Opex_Esc)^AD359</f>
        <v>1.44829816649811</v>
      </c>
      <c r="AE374" s="67" t="n">
        <f aca="false">(1+Opex_Esc)^AE359</f>
        <v>1.48450562066056</v>
      </c>
      <c r="AF374" s="67" t="n">
        <f aca="false">(1+Opex_Esc)^AF359</f>
        <v>1.52161826117708</v>
      </c>
      <c r="AG374" s="67" t="n">
        <f aca="false">(1+Opex_Esc)^AG359</f>
        <v>1.5596587177065</v>
      </c>
      <c r="AH374" s="67" t="n">
        <f aca="false">(1+Opex_Esc)^AH359</f>
        <v>1.59865018564917</v>
      </c>
      <c r="AI374" s="67" t="n">
        <f aca="false">(1+Opex_Esc)^AI359</f>
        <v>1.63861644029039</v>
      </c>
      <c r="AJ374" s="67" t="n">
        <f aca="false">(1+Opex_Esc)^AJ359</f>
        <v>1.67958185129765</v>
      </c>
      <c r="AK374" s="67" t="n">
        <f aca="false">(1+Opex_Esc)^AK359</f>
        <v>1.7215713975801</v>
      </c>
      <c r="AL374" s="67" t="n">
        <f aca="false">(1+Opex_Esc)^AL359</f>
        <v>1.7646106825196</v>
      </c>
      <c r="AM374" s="67" t="n">
        <f aca="false">(1+Opex_Esc)^AM359</f>
        <v>1.80872594958259</v>
      </c>
      <c r="AN374" s="67" t="n">
        <f aca="false">(1+Opex_Esc)^AN359</f>
        <v>1.85394409832215</v>
      </c>
      <c r="AO374" s="67" t="n">
        <f aca="false">(1+Opex_Esc)^AO359</f>
        <v>1.90029270078021</v>
      </c>
      <c r="AP374" s="67" t="n">
        <f aca="false">(1+Opex_Esc)^AP359</f>
        <v>1.94780001829971</v>
      </c>
      <c r="AQ374" s="67" t="n">
        <f aca="false">(1+Opex_Esc)^AQ359</f>
        <v>1.9964950187572</v>
      </c>
      <c r="AR374" s="67" t="n">
        <f aca="false">(1+Opex_Esc)^AR359</f>
        <v>2.04640739422613</v>
      </c>
      <c r="AS374" s="67" t="n">
        <f aca="false">(1+Opex_Esc)^AS359</f>
        <v>2.09756757908179</v>
      </c>
    </row>
    <row r="375" customFormat="false" ht="14.25" hidden="false" customHeight="false" outlineLevel="0" collapsed="false">
      <c r="C375" s="6" t="s">
        <v>264</v>
      </c>
      <c r="D375" s="2" t="s">
        <v>85</v>
      </c>
      <c r="H375" s="8" t="n">
        <f aca="false">SUM(J375:AS375)</f>
        <v>-77790.1021674219</v>
      </c>
      <c r="J375" s="8" t="n">
        <f aca="false">-(Case_OM+SUM(Opex_Per_MW))*$G$46*J374*J363</f>
        <v>-0</v>
      </c>
      <c r="K375" s="8" t="n">
        <f aca="false">-(Case_OM+SUM(Opex_Per_MW))*$G$46*K374*K363</f>
        <v>-0</v>
      </c>
      <c r="L375" s="8" t="n">
        <f aca="false">-(Case_OM+SUM(Opex_Per_MW))*$G$46*L374*L363</f>
        <v>-0</v>
      </c>
      <c r="M375" s="8" t="n">
        <f aca="false">-(Case_OM+SUM(Opex_Per_MW))*$G$46*M374*M363</f>
        <v>-0</v>
      </c>
      <c r="N375" s="8" t="n">
        <f aca="false">-(Case_OM+SUM(Opex_Per_MW))*$G$46*N374*N363</f>
        <v>-0</v>
      </c>
      <c r="O375" s="8" t="n">
        <f aca="false">-(Case_OM+SUM(Opex_Per_MW))*$G$46*O374*O363</f>
        <v>-875</v>
      </c>
      <c r="P375" s="8" t="n">
        <f aca="false">-(Case_OM+SUM(Opex_Per_MW))*$G$46*P374*P363</f>
        <v>-1793.75</v>
      </c>
      <c r="Q375" s="8" t="n">
        <f aca="false">-(Case_OM+SUM(Opex_Per_MW))*$G$46*Q374*Q363</f>
        <v>-1838.59375</v>
      </c>
      <c r="R375" s="8" t="n">
        <f aca="false">-(Case_OM+SUM(Opex_Per_MW))*$G$46*R374*R363</f>
        <v>-1884.55859375</v>
      </c>
      <c r="S375" s="8" t="n">
        <f aca="false">-(Case_OM+SUM(Opex_Per_MW))*$G$46*S374*S363</f>
        <v>-1931.67255859375</v>
      </c>
      <c r="T375" s="8" t="n">
        <f aca="false">-(Case_OM+SUM(Opex_Per_MW))*$G$46*T374*T363</f>
        <v>-1979.96437255859</v>
      </c>
      <c r="U375" s="8" t="n">
        <f aca="false">-(Case_OM+SUM(Opex_Per_MW))*$G$46*U374*U363</f>
        <v>-2029.46348187256</v>
      </c>
      <c r="V375" s="8" t="n">
        <f aca="false">-(Case_OM+SUM(Opex_Per_MW))*$G$46*V374*V363</f>
        <v>-2080.20006891937</v>
      </c>
      <c r="W375" s="8" t="n">
        <f aca="false">-(Case_OM+SUM(Opex_Per_MW))*$G$46*W374*W363</f>
        <v>-2132.20507064236</v>
      </c>
      <c r="X375" s="8" t="n">
        <f aca="false">-(Case_OM+SUM(Opex_Per_MW))*$G$46*X374*X363</f>
        <v>-2185.51019740841</v>
      </c>
      <c r="Y375" s="8" t="n">
        <f aca="false">-(Case_OM+SUM(Opex_Per_MW))*$G$46*Y374*Y363</f>
        <v>-2240.14795234362</v>
      </c>
      <c r="Z375" s="8" t="n">
        <f aca="false">-(Case_OM+SUM(Opex_Per_MW))*$G$46*Z374*Z363</f>
        <v>-2296.15165115221</v>
      </c>
      <c r="AA375" s="8" t="n">
        <f aca="false">-(Case_OM+SUM(Opex_Per_MW))*$G$46*AA374*AA363</f>
        <v>-2353.55544243102</v>
      </c>
      <c r="AB375" s="8" t="n">
        <f aca="false">-(Case_OM+SUM(Opex_Per_MW))*$G$46*AB374*AB363</f>
        <v>-2412.3943284918</v>
      </c>
      <c r="AC375" s="8" t="n">
        <f aca="false">-(Case_OM+SUM(Opex_Per_MW))*$G$46*AC374*AC363</f>
        <v>-2472.70418670409</v>
      </c>
      <c r="AD375" s="8" t="n">
        <f aca="false">-(Case_OM+SUM(Opex_Per_MW))*$G$46*AD374*AD363</f>
        <v>-2534.52179137169</v>
      </c>
      <c r="AE375" s="8" t="n">
        <f aca="false">-(Case_OM+SUM(Opex_Per_MW))*$G$46*AE374*AE363</f>
        <v>-2597.88483615598</v>
      </c>
      <c r="AF375" s="8" t="n">
        <f aca="false">-(Case_OM+SUM(Opex_Per_MW))*$G$46*AF374*AF363</f>
        <v>-2662.83195705988</v>
      </c>
      <c r="AG375" s="8" t="n">
        <f aca="false">-(Case_OM+SUM(Opex_Per_MW))*$G$46*AG374*AG363</f>
        <v>-2729.40275598638</v>
      </c>
      <c r="AH375" s="8" t="n">
        <f aca="false">-(Case_OM+SUM(Opex_Per_MW))*$G$46*AH374*AH363</f>
        <v>-2797.63782488604</v>
      </c>
      <c r="AI375" s="8" t="n">
        <f aca="false">-(Case_OM+SUM(Opex_Per_MW))*$G$46*AI374*AI363</f>
        <v>-2867.57877050819</v>
      </c>
      <c r="AJ375" s="8" t="n">
        <f aca="false">-(Case_OM+SUM(Opex_Per_MW))*$G$46*AJ374*AJ363</f>
        <v>-2939.26823977089</v>
      </c>
      <c r="AK375" s="8" t="n">
        <f aca="false">-(Case_OM+SUM(Opex_Per_MW))*$G$46*AK374*AK363</f>
        <v>-3012.74994576517</v>
      </c>
      <c r="AL375" s="8" t="n">
        <f aca="false">-(Case_OM+SUM(Opex_Per_MW))*$G$46*AL374*AL363</f>
        <v>-3088.0686944093</v>
      </c>
      <c r="AM375" s="8" t="n">
        <f aca="false">-(Case_OM+SUM(Opex_Per_MW))*$G$46*AM374*AM363</f>
        <v>-3165.27041176953</v>
      </c>
      <c r="AN375" s="8" t="n">
        <f aca="false">-(Case_OM+SUM(Opex_Per_MW))*$G$46*AN374*AN363</f>
        <v>-3244.40217206377</v>
      </c>
      <c r="AO375" s="8" t="n">
        <f aca="false">-(Case_OM+SUM(Opex_Per_MW))*$G$46*AO374*AO363</f>
        <v>-3325.51222636536</v>
      </c>
      <c r="AP375" s="8" t="n">
        <f aca="false">-(Case_OM+SUM(Opex_Per_MW))*$G$46*AP374*AP363</f>
        <v>-3408.65003202449</v>
      </c>
      <c r="AQ375" s="8" t="n">
        <f aca="false">-(Case_OM+SUM(Opex_Per_MW))*$G$46*AQ374*AQ363</f>
        <v>-3493.86628282511</v>
      </c>
      <c r="AR375" s="8" t="n">
        <f aca="false">-(Case_OM+SUM(Opex_Per_MW))*$G$46*AR374*AR363</f>
        <v>-3581.21293989573</v>
      </c>
      <c r="AS375" s="8" t="n">
        <f aca="false">-(Case_OM+SUM(Opex_Per_MW))*$G$46*AS374*AS363</f>
        <v>-1835.37163169656</v>
      </c>
    </row>
    <row r="376" customFormat="false" ht="14.25" hidden="false" customHeight="false" outlineLevel="0" collapsed="false">
      <c r="C376" s="6" t="s">
        <v>265</v>
      </c>
      <c r="D376" s="2" t="s">
        <v>85</v>
      </c>
      <c r="H376" s="8" t="n">
        <f aca="false">SUM(J376:AS376)</f>
        <v>-1666.93076073047</v>
      </c>
      <c r="J376" s="8" t="n">
        <f aca="false">-Opex_Admin*$G$6/Lump_Basis*J374*J363</f>
        <v>-0</v>
      </c>
      <c r="K376" s="8" t="n">
        <f aca="false">-Opex_Admin*$G$6/Lump_Basis*K374*K363</f>
        <v>-0</v>
      </c>
      <c r="L376" s="8" t="n">
        <f aca="false">-Opex_Admin*$G$6/Lump_Basis*L374*L363</f>
        <v>-0</v>
      </c>
      <c r="M376" s="8" t="n">
        <f aca="false">-Opex_Admin*$G$6/Lump_Basis*M374*M363</f>
        <v>-0</v>
      </c>
      <c r="N376" s="8" t="n">
        <f aca="false">-Opex_Admin*$G$6/Lump_Basis*N374*N363</f>
        <v>-0</v>
      </c>
      <c r="O376" s="8" t="n">
        <f aca="false">-Opex_Admin*$G$6/Lump_Basis*O374*O363</f>
        <v>-18.75</v>
      </c>
      <c r="P376" s="8" t="n">
        <f aca="false">-Opex_Admin*$G$6/Lump_Basis*P374*P363</f>
        <v>-38.4375</v>
      </c>
      <c r="Q376" s="8" t="n">
        <f aca="false">-Opex_Admin*$G$6/Lump_Basis*Q374*Q363</f>
        <v>-39.3984375</v>
      </c>
      <c r="R376" s="8" t="n">
        <f aca="false">-Opex_Admin*$G$6/Lump_Basis*R374*R363</f>
        <v>-40.3833984375</v>
      </c>
      <c r="S376" s="8" t="n">
        <f aca="false">-Opex_Admin*$G$6/Lump_Basis*S374*S363</f>
        <v>-41.3929833984375</v>
      </c>
      <c r="T376" s="8" t="n">
        <f aca="false">-Opex_Admin*$G$6/Lump_Basis*T374*T363</f>
        <v>-42.4278079833984</v>
      </c>
      <c r="U376" s="8" t="n">
        <f aca="false">-Opex_Admin*$G$6/Lump_Basis*U374*U363</f>
        <v>-43.4885031829834</v>
      </c>
      <c r="V376" s="8" t="n">
        <f aca="false">-Opex_Admin*$G$6/Lump_Basis*V374*V363</f>
        <v>-44.575715762558</v>
      </c>
      <c r="W376" s="8" t="n">
        <f aca="false">-Opex_Admin*$G$6/Lump_Basis*W374*W363</f>
        <v>-45.6901086566219</v>
      </c>
      <c r="X376" s="8" t="n">
        <f aca="false">-Opex_Admin*$G$6/Lump_Basis*X374*X363</f>
        <v>-46.8323613730374</v>
      </c>
      <c r="Y376" s="8" t="n">
        <f aca="false">-Opex_Admin*$G$6/Lump_Basis*Y374*Y363</f>
        <v>-48.0031704073634</v>
      </c>
      <c r="Z376" s="8" t="n">
        <f aca="false">-Opex_Admin*$G$6/Lump_Basis*Z374*Z363</f>
        <v>-49.2032496675475</v>
      </c>
      <c r="AA376" s="8" t="n">
        <f aca="false">-Opex_Admin*$G$6/Lump_Basis*AA374*AA363</f>
        <v>-50.4333309092361</v>
      </c>
      <c r="AB376" s="8" t="n">
        <f aca="false">-Opex_Admin*$G$6/Lump_Basis*AB374*AB363</f>
        <v>-51.694164181967</v>
      </c>
      <c r="AC376" s="8" t="n">
        <f aca="false">-Opex_Admin*$G$6/Lump_Basis*AC374*AC363</f>
        <v>-52.9865182865162</v>
      </c>
      <c r="AD376" s="8" t="n">
        <f aca="false">-Opex_Admin*$G$6/Lump_Basis*AD374*AD363</f>
        <v>-54.3111812436791</v>
      </c>
      <c r="AE376" s="8" t="n">
        <f aca="false">-Opex_Admin*$G$6/Lump_Basis*AE374*AE363</f>
        <v>-55.6689607747711</v>
      </c>
      <c r="AF376" s="8" t="n">
        <f aca="false">-Opex_Admin*$G$6/Lump_Basis*AF374*AF363</f>
        <v>-57.0606847941404</v>
      </c>
      <c r="AG376" s="8" t="n">
        <f aca="false">-Opex_Admin*$G$6/Lump_Basis*AG374*AG363</f>
        <v>-58.4872019139939</v>
      </c>
      <c r="AH376" s="8" t="n">
        <f aca="false">-Opex_Admin*$G$6/Lump_Basis*AH374*AH363</f>
        <v>-59.9493819618437</v>
      </c>
      <c r="AI376" s="8" t="n">
        <f aca="false">-Opex_Admin*$G$6/Lump_Basis*AI374*AI363</f>
        <v>-61.4481165108898</v>
      </c>
      <c r="AJ376" s="8" t="n">
        <f aca="false">-Opex_Admin*$G$6/Lump_Basis*AJ374*AJ363</f>
        <v>-62.984319423662</v>
      </c>
      <c r="AK376" s="8" t="n">
        <f aca="false">-Opex_Admin*$G$6/Lump_Basis*AK374*AK363</f>
        <v>-64.5589274092536</v>
      </c>
      <c r="AL376" s="8" t="n">
        <f aca="false">-Opex_Admin*$G$6/Lump_Basis*AL374*AL363</f>
        <v>-66.1729005944849</v>
      </c>
      <c r="AM376" s="8" t="n">
        <f aca="false">-Opex_Admin*$G$6/Lump_Basis*AM374*AM363</f>
        <v>-67.827223109347</v>
      </c>
      <c r="AN376" s="8" t="n">
        <f aca="false">-Opex_Admin*$G$6/Lump_Basis*AN374*AN363</f>
        <v>-69.5229036870807</v>
      </c>
      <c r="AO376" s="8" t="n">
        <f aca="false">-Opex_Admin*$G$6/Lump_Basis*AO374*AO363</f>
        <v>-71.2609762792577</v>
      </c>
      <c r="AP376" s="8" t="n">
        <f aca="false">-Opex_Admin*$G$6/Lump_Basis*AP374*AP363</f>
        <v>-73.0425006862391</v>
      </c>
      <c r="AQ376" s="8" t="n">
        <f aca="false">-Opex_Admin*$G$6/Lump_Basis*AQ374*AQ363</f>
        <v>-74.8685632033951</v>
      </c>
      <c r="AR376" s="8" t="n">
        <f aca="false">-Opex_Admin*$G$6/Lump_Basis*AR374*AR363</f>
        <v>-76.74027728348</v>
      </c>
      <c r="AS376" s="8" t="n">
        <f aca="false">-Opex_Admin*$G$6/Lump_Basis*AS374*AS363</f>
        <v>-39.3293921077835</v>
      </c>
    </row>
    <row r="377" customFormat="false" ht="14.25" hidden="false" customHeight="false" outlineLevel="0" collapsed="false">
      <c r="C377" s="6" t="s">
        <v>266</v>
      </c>
      <c r="D377" s="2" t="s">
        <v>85</v>
      </c>
      <c r="H377" s="8" t="n">
        <f aca="false">SUM(J377:AS377)</f>
        <v>-34902.1442969836</v>
      </c>
      <c r="J377" s="8" t="n">
        <f aca="false">-J371*(Balancing+Grid_Charges)*J374</f>
        <v>-0</v>
      </c>
      <c r="K377" s="8" t="n">
        <f aca="false">-K371*(Balancing+Grid_Charges)*K374</f>
        <v>-0</v>
      </c>
      <c r="L377" s="8" t="n">
        <f aca="false">-L371*(Balancing+Grid_Charges)*L374</f>
        <v>-0</v>
      </c>
      <c r="M377" s="8" t="n">
        <f aca="false">-M371*(Balancing+Grid_Charges)*M374</f>
        <v>-0</v>
      </c>
      <c r="N377" s="8" t="n">
        <f aca="false">-N371*(Balancing+Grid_Charges)*N374</f>
        <v>-0</v>
      </c>
      <c r="O377" s="8" t="n">
        <f aca="false">-O371*(Balancing+Grid_Charges)*O374</f>
        <v>-411.6</v>
      </c>
      <c r="P377" s="8" t="n">
        <f aca="false">-P371*(Balancing+Grid_Charges)*P374</f>
        <v>-843.78</v>
      </c>
      <c r="Q377" s="8" t="n">
        <f aca="false">-Q371*(Balancing+Grid_Charges)*Q374</f>
        <v>-862.2798765</v>
      </c>
      <c r="R377" s="8" t="n">
        <f aca="false">-R371*(Balancing+Grid_Charges)*R374</f>
        <v>-881.185362792262</v>
      </c>
      <c r="S377" s="8" t="n">
        <f aca="false">-S371*(Balancing+Grid_Charges)*S374</f>
        <v>-900.505351871483</v>
      </c>
      <c r="T377" s="8" t="n">
        <f aca="false">-T371*(Balancing+Grid_Charges)*T374</f>
        <v>-920.248931711265</v>
      </c>
      <c r="U377" s="8" t="n">
        <f aca="false">-U371*(Balancing+Grid_Charges)*U374</f>
        <v>-940.425389539034</v>
      </c>
      <c r="V377" s="8" t="n">
        <f aca="false">-V371*(Balancing+Grid_Charges)*V374</f>
        <v>-961.044216204678</v>
      </c>
      <c r="W377" s="8" t="n">
        <f aca="false">-W371*(Balancing+Grid_Charges)*W374</f>
        <v>-982.115110644965</v>
      </c>
      <c r="X377" s="8" t="n">
        <f aca="false">-X371*(Balancing+Grid_Charges)*X374</f>
        <v>-1003.64798444586</v>
      </c>
      <c r="Y377" s="8" t="n">
        <f aca="false">-Y371*(Balancing+Grid_Charges)*Y374</f>
        <v>-1025.65296650483</v>
      </c>
      <c r="Z377" s="8" t="n">
        <f aca="false">-Z371*(Balancing+Grid_Charges)*Z374</f>
        <v>-1048.14040779545</v>
      </c>
      <c r="AA377" s="8" t="n">
        <f aca="false">-AA371*(Balancing+Grid_Charges)*AA374</f>
        <v>-1071.12088623636</v>
      </c>
      <c r="AB377" s="8" t="n">
        <f aca="false">-AB371*(Balancing+Grid_Charges)*AB374</f>
        <v>-1094.6052116671</v>
      </c>
      <c r="AC377" s="8" t="n">
        <f aca="false">-AC371*(Balancing+Grid_Charges)*AC374</f>
        <v>-1118.6044309329</v>
      </c>
      <c r="AD377" s="8" t="n">
        <f aca="false">-AD371*(Balancing+Grid_Charges)*AD374</f>
        <v>-1143.1298330811</v>
      </c>
      <c r="AE377" s="8" t="n">
        <f aca="false">-AE371*(Balancing+Grid_Charges)*AE374</f>
        <v>-1168.1929546714</v>
      </c>
      <c r="AF377" s="8" t="n">
        <f aca="false">-AF371*(Balancing+Grid_Charges)*AF374</f>
        <v>-1193.80558520257</v>
      </c>
      <c r="AG377" s="8" t="n">
        <f aca="false">-AG371*(Balancing+Grid_Charges)*AG374</f>
        <v>-1219.97977265814</v>
      </c>
      <c r="AH377" s="8" t="n">
        <f aca="false">-AH371*(Balancing+Grid_Charges)*AH374</f>
        <v>-1246.72782917367</v>
      </c>
      <c r="AI377" s="8" t="n">
        <f aca="false">-AI371*(Balancing+Grid_Charges)*AI374</f>
        <v>-1274.0623368283</v>
      </c>
      <c r="AJ377" s="8" t="n">
        <f aca="false">-AJ371*(Balancing+Grid_Charges)*AJ374</f>
        <v>-1301.99615356326</v>
      </c>
      <c r="AK377" s="8" t="n">
        <f aca="false">-AK371*(Balancing+Grid_Charges)*AK374</f>
        <v>-1330.54241923014</v>
      </c>
      <c r="AL377" s="8" t="n">
        <f aca="false">-AL371*(Balancing+Grid_Charges)*AL374</f>
        <v>-1359.71456177176</v>
      </c>
      <c r="AM377" s="8" t="n">
        <f aca="false">-AM371*(Balancing+Grid_Charges)*AM374</f>
        <v>-1389.5263035386</v>
      </c>
      <c r="AN377" s="8" t="n">
        <f aca="false">-AN371*(Balancing+Grid_Charges)*AN374</f>
        <v>-1419.99166774369</v>
      </c>
      <c r="AO377" s="8" t="n">
        <f aca="false">-AO371*(Balancing+Grid_Charges)*AO374</f>
        <v>-1451.12498505897</v>
      </c>
      <c r="AP377" s="8" t="n">
        <f aca="false">-AP371*(Balancing+Grid_Charges)*AP374</f>
        <v>-1482.94090035639</v>
      </c>
      <c r="AQ377" s="8" t="n">
        <f aca="false">-AQ371*(Balancing+Grid_Charges)*AQ374</f>
        <v>-1515.4543795967</v>
      </c>
      <c r="AR377" s="8" t="n">
        <f aca="false">-AR371*(Balancing+Grid_Charges)*AR374</f>
        <v>-1548.68071686936</v>
      </c>
      <c r="AS377" s="8" t="n">
        <f aca="false">-AS371*(Balancing+Grid_Charges)*AS374</f>
        <v>-791.317770793359</v>
      </c>
    </row>
    <row r="378" customFormat="false" ht="14.25" hidden="false" customHeight="false" outlineLevel="0" collapsed="false">
      <c r="C378" s="6" t="s">
        <v>267</v>
      </c>
      <c r="D378" s="2" t="s">
        <v>85</v>
      </c>
      <c r="H378" s="8" t="n">
        <f aca="false">SUM(J378:AS378)</f>
        <v>-495.700761921616</v>
      </c>
      <c r="J378" s="8" t="n">
        <f aca="false">-J373*MEKH_Fee</f>
        <v>-0</v>
      </c>
      <c r="K378" s="8" t="n">
        <f aca="false">-K373*MEKH_Fee</f>
        <v>-0</v>
      </c>
      <c r="L378" s="8" t="n">
        <f aca="false">-L373*MEKH_Fee</f>
        <v>-0</v>
      </c>
      <c r="M378" s="8" t="n">
        <f aca="false">-M373*MEKH_Fee</f>
        <v>-0</v>
      </c>
      <c r="N378" s="8" t="n">
        <f aca="false">-N373*MEKH_Fee</f>
        <v>-0</v>
      </c>
      <c r="O378" s="8" t="n">
        <f aca="false">-O373*MEKH_Fee</f>
        <v>-7.4088</v>
      </c>
      <c r="P378" s="8" t="n">
        <f aca="false">-P373*MEKH_Fee</f>
        <v>-14.965776</v>
      </c>
      <c r="Q378" s="8" t="n">
        <f aca="false">-Q373*MEKH_Fee</f>
        <v>-15.07008745872</v>
      </c>
      <c r="R378" s="8" t="n">
        <f aca="false">-R373*MEKH_Fee</f>
        <v>-15.1751259683073</v>
      </c>
      <c r="S378" s="8" t="n">
        <f aca="false">-S373*MEKH_Fee</f>
        <v>-15.2808965963064</v>
      </c>
      <c r="T378" s="8" t="n">
        <f aca="false">-T373*MEKH_Fee</f>
        <v>-15.3874044455826</v>
      </c>
      <c r="U378" s="8" t="n">
        <f aca="false">-U373*MEKH_Fee</f>
        <v>-15.4946546545683</v>
      </c>
      <c r="V378" s="8" t="n">
        <f aca="false">-V373*MEKH_Fee</f>
        <v>-15.6026523975107</v>
      </c>
      <c r="W378" s="8" t="n">
        <f aca="false">-W373*MEKH_Fee</f>
        <v>-15.7114028847213</v>
      </c>
      <c r="X378" s="8" t="n">
        <f aca="false">-X373*MEKH_Fee</f>
        <v>-15.8209113628278</v>
      </c>
      <c r="Y378" s="8" t="n">
        <f aca="false">-Y373*MEKH_Fee</f>
        <v>-15.9311831150268</v>
      </c>
      <c r="Z378" s="8" t="n">
        <f aca="false">-Z373*MEKH_Fee</f>
        <v>-16.0422234613385</v>
      </c>
      <c r="AA378" s="8" t="n">
        <f aca="false">-AA373*MEKH_Fee</f>
        <v>-16.154037758864</v>
      </c>
      <c r="AB378" s="8" t="n">
        <f aca="false">-AB373*MEKH_Fee</f>
        <v>-16.2666314020433</v>
      </c>
      <c r="AC378" s="8" t="n">
        <f aca="false">-AC373*MEKH_Fee</f>
        <v>-16.3800098229155</v>
      </c>
      <c r="AD378" s="8" t="n">
        <f aca="false">-AD373*MEKH_Fee</f>
        <v>-16.4941784913813</v>
      </c>
      <c r="AE378" s="8" t="n">
        <f aca="false">-AE373*MEKH_Fee</f>
        <v>-16.6091429154662</v>
      </c>
      <c r="AF378" s="8" t="n">
        <f aca="false">-AF373*MEKH_Fee</f>
        <v>-16.724908641587</v>
      </c>
      <c r="AG378" s="8" t="n">
        <f aca="false">-AG373*MEKH_Fee</f>
        <v>-16.8414812548189</v>
      </c>
      <c r="AH378" s="8" t="n">
        <f aca="false">-AH373*MEKH_Fee</f>
        <v>-16.9588663791649</v>
      </c>
      <c r="AI378" s="8" t="n">
        <f aca="false">-AI373*MEKH_Fee</f>
        <v>-17.0770696778277</v>
      </c>
      <c r="AJ378" s="8" t="n">
        <f aca="false">-AJ373*MEKH_Fee</f>
        <v>-17.1960968534822</v>
      </c>
      <c r="AK378" s="8" t="n">
        <f aca="false">-AK373*MEKH_Fee</f>
        <v>-17.315953648551</v>
      </c>
      <c r="AL378" s="8" t="n">
        <f aca="false">-AL373*MEKH_Fee</f>
        <v>-17.4366458454814</v>
      </c>
      <c r="AM378" s="8" t="n">
        <f aca="false">-AM373*MEKH_Fee</f>
        <v>-17.5581792670244</v>
      </c>
      <c r="AN378" s="8" t="n">
        <f aca="false">-AN373*MEKH_Fee</f>
        <v>-17.6805597765155</v>
      </c>
      <c r="AO378" s="8" t="n">
        <f aca="false">-AO373*MEKH_Fee</f>
        <v>-17.8037932781578</v>
      </c>
      <c r="AP378" s="8" t="n">
        <f aca="false">-AP373*MEKH_Fee</f>
        <v>-17.9278857173066</v>
      </c>
      <c r="AQ378" s="8" t="n">
        <f aca="false">-AQ373*MEKH_Fee</f>
        <v>-18.0528430807562</v>
      </c>
      <c r="AR378" s="8" t="n">
        <f aca="false">-AR373*MEKH_Fee</f>
        <v>-18.1786713970291</v>
      </c>
      <c r="AS378" s="8" t="n">
        <f aca="false">-AS373*MEKH_Fee</f>
        <v>-9.15268836833319</v>
      </c>
    </row>
    <row r="379" customFormat="false" ht="14.25" hidden="false" customHeight="false" outlineLevel="0" collapsed="false">
      <c r="C379" s="6" t="s">
        <v>268</v>
      </c>
      <c r="D379" s="2" t="s">
        <v>85</v>
      </c>
      <c r="H379" s="8" t="n">
        <f aca="false">SUM(J379:AS379)</f>
        <v>-5742.74389935288</v>
      </c>
      <c r="J379" s="8" t="n">
        <f aca="false">SUM(J375:J378)*Opex_Cont</f>
        <v>0</v>
      </c>
      <c r="K379" s="8" t="n">
        <f aca="false">SUM(K375:K378)*Opex_Cont</f>
        <v>0</v>
      </c>
      <c r="L379" s="8" t="n">
        <f aca="false">SUM(L375:L378)*Opex_Cont</f>
        <v>0</v>
      </c>
      <c r="M379" s="8" t="n">
        <f aca="false">SUM(M375:M378)*Opex_Cont</f>
        <v>0</v>
      </c>
      <c r="N379" s="8" t="n">
        <f aca="false">SUM(N375:N378)*Opex_Cont</f>
        <v>0</v>
      </c>
      <c r="O379" s="8" t="n">
        <f aca="false">SUM(O375:O378)*Opex_Cont</f>
        <v>-65.63794</v>
      </c>
      <c r="P379" s="8" t="n">
        <f aca="false">SUM(P375:P378)*Opex_Cont</f>
        <v>-134.5466638</v>
      </c>
      <c r="Q379" s="8" t="n">
        <f aca="false">SUM(Q375:Q378)*Opex_Cont</f>
        <v>-137.767107572936</v>
      </c>
      <c r="R379" s="8" t="n">
        <f aca="false">SUM(R375:R378)*Opex_Cont</f>
        <v>-141.065124047403</v>
      </c>
      <c r="S379" s="8" t="n">
        <f aca="false">SUM(S375:S378)*Opex_Cont</f>
        <v>-144.442589522999</v>
      </c>
      <c r="T379" s="8" t="n">
        <f aca="false">SUM(T375:T378)*Opex_Cont</f>
        <v>-147.901425834942</v>
      </c>
      <c r="U379" s="8" t="n">
        <f aca="false">SUM(U375:U378)*Opex_Cont</f>
        <v>-151.443601462457</v>
      </c>
      <c r="V379" s="8" t="n">
        <f aca="false">SUM(V375:V378)*Opex_Cont</f>
        <v>-155.071132664206</v>
      </c>
      <c r="W379" s="8" t="n">
        <f aca="false">SUM(W375:W378)*Opex_Cont</f>
        <v>-158.786084641433</v>
      </c>
      <c r="X379" s="8" t="n">
        <f aca="false">SUM(X375:X378)*Opex_Cont</f>
        <v>-162.590572729507</v>
      </c>
      <c r="Y379" s="8" t="n">
        <f aca="false">SUM(Y375:Y378)*Opex_Cont</f>
        <v>-166.486763618542</v>
      </c>
      <c r="Z379" s="8" t="n">
        <f aca="false">SUM(Z375:Z378)*Opex_Cont</f>
        <v>-170.476876603828</v>
      </c>
      <c r="AA379" s="8" t="n">
        <f aca="false">SUM(AA375:AA378)*Opex_Cont</f>
        <v>-174.563184866774</v>
      </c>
      <c r="AB379" s="8" t="n">
        <f aca="false">SUM(AB375:AB378)*Opex_Cont</f>
        <v>-178.748016787145</v>
      </c>
      <c r="AC379" s="8" t="n">
        <f aca="false">SUM(AC375:AC378)*Opex_Cont</f>
        <v>-183.033757287321</v>
      </c>
      <c r="AD379" s="8" t="n">
        <f aca="false">SUM(AD375:AD378)*Opex_Cont</f>
        <v>-187.422849209393</v>
      </c>
      <c r="AE379" s="8" t="n">
        <f aca="false">SUM(AE375:AE378)*Opex_Cont</f>
        <v>-191.917794725881</v>
      </c>
      <c r="AF379" s="8" t="n">
        <f aca="false">SUM(AF375:AF378)*Opex_Cont</f>
        <v>-196.521156784909</v>
      </c>
      <c r="AG379" s="8" t="n">
        <f aca="false">SUM(AG375:AG378)*Opex_Cont</f>
        <v>-201.235560590667</v>
      </c>
      <c r="AH379" s="8" t="n">
        <f aca="false">SUM(AH375:AH378)*Opex_Cont</f>
        <v>-206.063695120036</v>
      </c>
      <c r="AI379" s="8" t="n">
        <f aca="false">SUM(AI375:AI378)*Opex_Cont</f>
        <v>-211.008314676261</v>
      </c>
      <c r="AJ379" s="8" t="n">
        <f aca="false">SUM(AJ375:AJ378)*Opex_Cont</f>
        <v>-216.072240480565</v>
      </c>
      <c r="AK379" s="8" t="n">
        <f aca="false">SUM(AK375:AK378)*Opex_Cont</f>
        <v>-221.258362302655</v>
      </c>
      <c r="AL379" s="8" t="n">
        <f aca="false">SUM(AL375:AL378)*Opex_Cont</f>
        <v>-226.569640131051</v>
      </c>
      <c r="AM379" s="8" t="n">
        <f aca="false">SUM(AM375:AM378)*Opex_Cont</f>
        <v>-232.009105884225</v>
      </c>
      <c r="AN379" s="8" t="n">
        <f aca="false">SUM(AN375:AN378)*Opex_Cont</f>
        <v>-237.579865163553</v>
      </c>
      <c r="AO379" s="8" t="n">
        <f aca="false">SUM(AO375:AO378)*Opex_Cont</f>
        <v>-243.285099049087</v>
      </c>
      <c r="AP379" s="8" t="n">
        <f aca="false">SUM(AP375:AP378)*Opex_Cont</f>
        <v>-249.128065939221</v>
      </c>
      <c r="AQ379" s="8" t="n">
        <f aca="false">SUM(AQ375:AQ378)*Opex_Cont</f>
        <v>-255.112103435298</v>
      </c>
      <c r="AR379" s="8" t="n">
        <f aca="false">SUM(AR375:AR378)*Opex_Cont</f>
        <v>-261.24063027228</v>
      </c>
      <c r="AS379" s="8" t="n">
        <f aca="false">SUM(AS375:AS378)*Opex_Cont</f>
        <v>-133.758574148302</v>
      </c>
    </row>
    <row r="380" customFormat="false" ht="14.25" hidden="false" customHeight="false" outlineLevel="0" collapsed="false">
      <c r="C380" s="6" t="s">
        <v>269</v>
      </c>
      <c r="D380" s="2" t="s">
        <v>85</v>
      </c>
      <c r="H380" s="8" t="n">
        <f aca="false">SUM(J380:AS380)</f>
        <v>-14211.3294235491</v>
      </c>
      <c r="J380" s="8" t="n">
        <f aca="false">-J371*$G$12</f>
        <v>-0</v>
      </c>
      <c r="K380" s="8" t="n">
        <f aca="false">-K371*$G$12</f>
        <v>-0</v>
      </c>
      <c r="L380" s="8" t="n">
        <f aca="false">-L371*$G$12</f>
        <v>-0</v>
      </c>
      <c r="M380" s="8" t="n">
        <f aca="false">-M371*$G$12</f>
        <v>-0</v>
      </c>
      <c r="N380" s="8" t="n">
        <f aca="false">-N371*$G$12</f>
        <v>-0</v>
      </c>
      <c r="O380" s="8" t="n">
        <f aca="false">-O371*$G$12</f>
        <v>-246.96</v>
      </c>
      <c r="P380" s="8" t="n">
        <f aca="false">-P371*$G$12</f>
        <v>-493.92</v>
      </c>
      <c r="Q380" s="8" t="n">
        <f aca="false">-Q371*$G$12</f>
        <v>-492.43824</v>
      </c>
      <c r="R380" s="8" t="n">
        <f aca="false">-R371*$G$12</f>
        <v>-490.96092528</v>
      </c>
      <c r="S380" s="8" t="n">
        <f aca="false">-S371*$G$12</f>
        <v>-489.48804250416</v>
      </c>
      <c r="T380" s="8" t="n">
        <f aca="false">-T371*$G$12</f>
        <v>-488.019578376648</v>
      </c>
      <c r="U380" s="8" t="n">
        <f aca="false">-U371*$G$12</f>
        <v>-486.555519641518</v>
      </c>
      <c r="V380" s="8" t="n">
        <f aca="false">-V371*$G$12</f>
        <v>-485.095853082593</v>
      </c>
      <c r="W380" s="8" t="n">
        <f aca="false">-W371*$G$12</f>
        <v>-483.640565523345</v>
      </c>
      <c r="X380" s="8" t="n">
        <f aca="false">-X371*$G$12</f>
        <v>-482.189643826775</v>
      </c>
      <c r="Y380" s="8" t="n">
        <f aca="false">-Y371*$G$12</f>
        <v>-480.743074895295</v>
      </c>
      <c r="Z380" s="8" t="n">
        <f aca="false">-Z371*$G$12</f>
        <v>-479.300845670609</v>
      </c>
      <c r="AA380" s="8" t="n">
        <f aca="false">-AA371*$G$12</f>
        <v>-477.862943133597</v>
      </c>
      <c r="AB380" s="8" t="n">
        <f aca="false">-AB371*$G$12</f>
        <v>-476.429354304196</v>
      </c>
      <c r="AC380" s="8" t="n">
        <f aca="false">-AC371*$G$12</f>
        <v>-475.000066241284</v>
      </c>
      <c r="AD380" s="8" t="n">
        <f aca="false">-AD371*$G$12</f>
        <v>-473.57506604256</v>
      </c>
      <c r="AE380" s="8" t="n">
        <f aca="false">-AE371*$G$12</f>
        <v>-472.154340844432</v>
      </c>
      <c r="AF380" s="8" t="n">
        <f aca="false">-AF371*$G$12</f>
        <v>-470.737877821899</v>
      </c>
      <c r="AG380" s="8" t="n">
        <f aca="false">-AG371*$G$12</f>
        <v>-469.325664188433</v>
      </c>
      <c r="AH380" s="8" t="n">
        <f aca="false">-AH371*$G$12</f>
        <v>-467.917687195868</v>
      </c>
      <c r="AI380" s="8" t="n">
        <f aca="false">-AI371*$G$12</f>
        <v>-466.51393413428</v>
      </c>
      <c r="AJ380" s="8" t="n">
        <f aca="false">-AJ371*$G$12</f>
        <v>-465.114392331878</v>
      </c>
      <c r="AK380" s="8" t="n">
        <f aca="false">-AK371*$G$12</f>
        <v>-463.719049154882</v>
      </c>
      <c r="AL380" s="8" t="n">
        <f aca="false">-AL371*$G$12</f>
        <v>-462.327892007417</v>
      </c>
      <c r="AM380" s="8" t="n">
        <f aca="false">-AM371*$G$12</f>
        <v>-460.940908331395</v>
      </c>
      <c r="AN380" s="8" t="n">
        <f aca="false">-AN371*$G$12</f>
        <v>-459.558085606401</v>
      </c>
      <c r="AO380" s="8" t="n">
        <f aca="false">-AO371*$G$12</f>
        <v>-458.179411349582</v>
      </c>
      <c r="AP380" s="8" t="n">
        <f aca="false">-AP371*$G$12</f>
        <v>-456.804873115533</v>
      </c>
      <c r="AQ380" s="8" t="n">
        <f aca="false">-AQ371*$G$12</f>
        <v>-455.434458496186</v>
      </c>
      <c r="AR380" s="8" t="n">
        <f aca="false">-AR371*$G$12</f>
        <v>-454.068155120698</v>
      </c>
      <c r="AS380" s="8" t="n">
        <f aca="false">-AS371*$G$12</f>
        <v>-226.352975327668</v>
      </c>
    </row>
    <row r="381" customFormat="false" ht="14.25" hidden="false" customHeight="false" outlineLevel="0" collapsed="false">
      <c r="C381" s="6" t="s">
        <v>270</v>
      </c>
      <c r="D381" s="2" t="s">
        <v>85</v>
      </c>
      <c r="H381" s="8" t="n">
        <f aca="false">SUM(J381:AS381)</f>
        <v>-9914.01523843232</v>
      </c>
      <c r="J381" s="8" t="n">
        <f aca="false">-J373*HIPA_Rate</f>
        <v>-0</v>
      </c>
      <c r="K381" s="8" t="n">
        <f aca="false">-K373*HIPA_Rate</f>
        <v>-0</v>
      </c>
      <c r="L381" s="8" t="n">
        <f aca="false">-L373*HIPA_Rate</f>
        <v>-0</v>
      </c>
      <c r="M381" s="8" t="n">
        <f aca="false">-M373*HIPA_Rate</f>
        <v>-0</v>
      </c>
      <c r="N381" s="8" t="n">
        <f aca="false">-N373*HIPA_Rate</f>
        <v>-0</v>
      </c>
      <c r="O381" s="8" t="n">
        <f aca="false">-O373*HIPA_Rate</f>
        <v>-148.176</v>
      </c>
      <c r="P381" s="8" t="n">
        <f aca="false">-P373*HIPA_Rate</f>
        <v>-299.31552</v>
      </c>
      <c r="Q381" s="8" t="n">
        <f aca="false">-Q373*HIPA_Rate</f>
        <v>-301.4017491744</v>
      </c>
      <c r="R381" s="8" t="n">
        <f aca="false">-R373*HIPA_Rate</f>
        <v>-303.502519366146</v>
      </c>
      <c r="S381" s="8" t="n">
        <f aca="false">-S373*HIPA_Rate</f>
        <v>-305.617931926128</v>
      </c>
      <c r="T381" s="8" t="n">
        <f aca="false">-T373*HIPA_Rate</f>
        <v>-307.748088911653</v>
      </c>
      <c r="U381" s="8" t="n">
        <f aca="false">-U373*HIPA_Rate</f>
        <v>-309.893093091367</v>
      </c>
      <c r="V381" s="8" t="n">
        <f aca="false">-V373*HIPA_Rate</f>
        <v>-312.053047950214</v>
      </c>
      <c r="W381" s="8" t="n">
        <f aca="false">-W373*HIPA_Rate</f>
        <v>-314.228057694427</v>
      </c>
      <c r="X381" s="8" t="n">
        <f aca="false">-X373*HIPA_Rate</f>
        <v>-316.418227256557</v>
      </c>
      <c r="Y381" s="8" t="n">
        <f aca="false">-Y373*HIPA_Rate</f>
        <v>-318.623662300535</v>
      </c>
      <c r="Z381" s="8" t="n">
        <f aca="false">-Z373*HIPA_Rate</f>
        <v>-320.84446922677</v>
      </c>
      <c r="AA381" s="8" t="n">
        <f aca="false">-AA373*HIPA_Rate</f>
        <v>-323.080755177281</v>
      </c>
      <c r="AB381" s="8" t="n">
        <f aca="false">-AB373*HIPA_Rate</f>
        <v>-325.332628040866</v>
      </c>
      <c r="AC381" s="8" t="n">
        <f aca="false">-AC373*HIPA_Rate</f>
        <v>-327.600196458311</v>
      </c>
      <c r="AD381" s="8" t="n">
        <f aca="false">-AD373*HIPA_Rate</f>
        <v>-329.883569827625</v>
      </c>
      <c r="AE381" s="8" t="n">
        <f aca="false">-AE373*HIPA_Rate</f>
        <v>-332.182858309324</v>
      </c>
      <c r="AF381" s="8" t="n">
        <f aca="false">-AF373*HIPA_Rate</f>
        <v>-334.49817283174</v>
      </c>
      <c r="AG381" s="8" t="n">
        <f aca="false">-AG373*HIPA_Rate</f>
        <v>-336.829625096377</v>
      </c>
      <c r="AH381" s="8" t="n">
        <f aca="false">-AH373*HIPA_Rate</f>
        <v>-339.177327583299</v>
      </c>
      <c r="AI381" s="8" t="n">
        <f aca="false">-AI373*HIPA_Rate</f>
        <v>-341.541393556554</v>
      </c>
      <c r="AJ381" s="8" t="n">
        <f aca="false">-AJ373*HIPA_Rate</f>
        <v>-343.921937069644</v>
      </c>
      <c r="AK381" s="8" t="n">
        <f aca="false">-AK373*HIPA_Rate</f>
        <v>-346.319072971019</v>
      </c>
      <c r="AL381" s="8" t="n">
        <f aca="false">-AL373*HIPA_Rate</f>
        <v>-348.732916909627</v>
      </c>
      <c r="AM381" s="8" t="n">
        <f aca="false">-AM373*HIPA_Rate</f>
        <v>-351.163585340487</v>
      </c>
      <c r="AN381" s="8" t="n">
        <f aca="false">-AN373*HIPA_Rate</f>
        <v>-353.61119553031</v>
      </c>
      <c r="AO381" s="8" t="n">
        <f aca="false">-AO373*HIPA_Rate</f>
        <v>-356.075865563157</v>
      </c>
      <c r="AP381" s="8" t="n">
        <f aca="false">-AP373*HIPA_Rate</f>
        <v>-358.557714346132</v>
      </c>
      <c r="AQ381" s="8" t="n">
        <f aca="false">-AQ373*HIPA_Rate</f>
        <v>-361.056861615124</v>
      </c>
      <c r="AR381" s="8" t="n">
        <f aca="false">-AR373*HIPA_Rate</f>
        <v>-363.573427940582</v>
      </c>
      <c r="AS381" s="8" t="n">
        <f aca="false">-AS373*HIPA_Rate</f>
        <v>-183.053767366664</v>
      </c>
    </row>
    <row r="382" customFormat="false" ht="14.25" hidden="false" customHeight="false" outlineLevel="0" collapsed="false">
      <c r="C382" s="1" t="s">
        <v>271</v>
      </c>
      <c r="D382" s="2" t="s">
        <v>85</v>
      </c>
      <c r="H382" s="34" t="n">
        <f aca="false">SUM(J382:AS382)</f>
        <v>-144722.966548392</v>
      </c>
      <c r="J382" s="34" t="n">
        <f aca="false">SUM(J375:J381)</f>
        <v>0</v>
      </c>
      <c r="K382" s="34" t="n">
        <f aca="false">SUM(K375:K381)</f>
        <v>0</v>
      </c>
      <c r="L382" s="34" t="n">
        <f aca="false">SUM(L375:L381)</f>
        <v>0</v>
      </c>
      <c r="M382" s="34" t="n">
        <f aca="false">SUM(M375:M381)</f>
        <v>0</v>
      </c>
      <c r="N382" s="34" t="n">
        <f aca="false">SUM(N375:N381)</f>
        <v>0</v>
      </c>
      <c r="O382" s="34" t="n">
        <f aca="false">SUM(O375:O381)</f>
        <v>-1773.53274</v>
      </c>
      <c r="P382" s="34" t="n">
        <f aca="false">SUM(P375:P381)</f>
        <v>-3618.7154598</v>
      </c>
      <c r="Q382" s="34" t="n">
        <f aca="false">SUM(Q375:Q381)</f>
        <v>-3686.94924820606</v>
      </c>
      <c r="R382" s="34" t="n">
        <f aca="false">SUM(R375:R381)</f>
        <v>-3756.83104964162</v>
      </c>
      <c r="S382" s="34" t="n">
        <f aca="false">SUM(S375:S381)</f>
        <v>-3828.40035441326</v>
      </c>
      <c r="T382" s="34" t="n">
        <f aca="false">SUM(T375:T381)</f>
        <v>-3901.69760982208</v>
      </c>
      <c r="U382" s="34" t="n">
        <f aca="false">SUM(U375:U381)</f>
        <v>-3976.76424344449</v>
      </c>
      <c r="V382" s="34" t="n">
        <f aca="false">SUM(V375:V381)</f>
        <v>-4053.64268698113</v>
      </c>
      <c r="W382" s="34" t="n">
        <f aca="false">SUM(W375:W381)</f>
        <v>-4132.37640068787</v>
      </c>
      <c r="X382" s="34" t="n">
        <f aca="false">SUM(X375:X381)</f>
        <v>-4213.00989840297</v>
      </c>
      <c r="Y382" s="34" t="n">
        <f aca="false">SUM(Y375:Y381)</f>
        <v>-4295.58877318522</v>
      </c>
      <c r="Z382" s="34" t="n">
        <f aca="false">SUM(Z375:Z381)</f>
        <v>-4380.15972357776</v>
      </c>
      <c r="AA382" s="34" t="n">
        <f aca="false">SUM(AA375:AA381)</f>
        <v>-4466.77058051314</v>
      </c>
      <c r="AB382" s="34" t="n">
        <f aca="false">SUM(AB375:AB381)</f>
        <v>-4555.47033487511</v>
      </c>
      <c r="AC382" s="34" t="n">
        <f aca="false">SUM(AC375:AC381)</f>
        <v>-4646.30916573333</v>
      </c>
      <c r="AD382" s="34" t="n">
        <f aca="false">SUM(AD375:AD381)</f>
        <v>-4739.33846926743</v>
      </c>
      <c r="AE382" s="34" t="n">
        <f aca="false">SUM(AE375:AE381)</f>
        <v>-4834.61088839726</v>
      </c>
      <c r="AF382" s="34" t="n">
        <f aca="false">SUM(AF375:AF381)</f>
        <v>-4932.18034313673</v>
      </c>
      <c r="AG382" s="34" t="n">
        <f aca="false">SUM(AG375:AG381)</f>
        <v>-5032.10206168881</v>
      </c>
      <c r="AH382" s="34" t="n">
        <f aca="false">SUM(AH375:AH381)</f>
        <v>-5134.43261229992</v>
      </c>
      <c r="AI382" s="34" t="n">
        <f aca="false">SUM(AI375:AI381)</f>
        <v>-5239.22993589231</v>
      </c>
      <c r="AJ382" s="34" t="n">
        <f aca="false">SUM(AJ375:AJ381)</f>
        <v>-5346.55337949339</v>
      </c>
      <c r="AK382" s="34" t="n">
        <f aca="false">SUM(AK375:AK381)</f>
        <v>-5456.46373048167</v>
      </c>
      <c r="AL382" s="34" t="n">
        <f aca="false">SUM(AL375:AL381)</f>
        <v>-5569.02325166912</v>
      </c>
      <c r="AM382" s="34" t="n">
        <f aca="false">SUM(AM375:AM381)</f>
        <v>-5684.29571724061</v>
      </c>
      <c r="AN382" s="34" t="n">
        <f aca="false">SUM(AN375:AN381)</f>
        <v>-5802.34644957131</v>
      </c>
      <c r="AO382" s="34" t="n">
        <f aca="false">SUM(AO375:AO381)</f>
        <v>-5923.24235694357</v>
      </c>
      <c r="AP382" s="34" t="n">
        <f aca="false">SUM(AP375:AP381)</f>
        <v>-6047.05197218531</v>
      </c>
      <c r="AQ382" s="34" t="n">
        <f aca="false">SUM(AQ375:AQ381)</f>
        <v>-6173.84549225257</v>
      </c>
      <c r="AR382" s="34" t="n">
        <f aca="false">SUM(AR375:AR381)</f>
        <v>-6303.69481877916</v>
      </c>
      <c r="AS382" s="34" t="n">
        <f aca="false">SUM(AS375:AS381)</f>
        <v>-3218.33679980867</v>
      </c>
    </row>
    <row r="383" customFormat="false" ht="14.25" hidden="false" customHeight="false" outlineLevel="0" collapsed="false">
      <c r="C383" s="1" t="s">
        <v>152</v>
      </c>
      <c r="D383" s="2" t="s">
        <v>85</v>
      </c>
      <c r="H383" s="15" t="n">
        <f aca="false">SUM(J383:AS383)</f>
        <v>350977.795373224</v>
      </c>
      <c r="J383" s="15" t="n">
        <f aca="false">J373+J382</f>
        <v>0</v>
      </c>
      <c r="K383" s="15" t="n">
        <f aca="false">K373+K382</f>
        <v>0</v>
      </c>
      <c r="L383" s="15" t="n">
        <f aca="false">L373+L382</f>
        <v>0</v>
      </c>
      <c r="M383" s="15" t="n">
        <f aca="false">M373+M382</f>
        <v>0</v>
      </c>
      <c r="N383" s="15" t="n">
        <f aca="false">N373+N382</f>
        <v>0</v>
      </c>
      <c r="O383" s="15" t="n">
        <f aca="false">O373+O382</f>
        <v>5635.26726</v>
      </c>
      <c r="P383" s="15" t="n">
        <f aca="false">P373+P382</f>
        <v>11347.0605402</v>
      </c>
      <c r="Q383" s="15" t="n">
        <f aca="false">Q373+Q382</f>
        <v>11383.1382105139</v>
      </c>
      <c r="R383" s="15" t="n">
        <f aca="false">R373+R382</f>
        <v>11418.2949186657</v>
      </c>
      <c r="S383" s="15" t="n">
        <f aca="false">S373+S382</f>
        <v>11452.4962418931</v>
      </c>
      <c r="T383" s="15" t="n">
        <f aca="false">T373+T382</f>
        <v>11485.7068357606</v>
      </c>
      <c r="U383" s="15" t="n">
        <f aca="false">U373+U382</f>
        <v>11517.8904111239</v>
      </c>
      <c r="V383" s="15" t="n">
        <f aca="false">V373+V382</f>
        <v>11549.0097105296</v>
      </c>
      <c r="W383" s="15" t="n">
        <f aca="false">W373+W382</f>
        <v>11579.0264840335</v>
      </c>
      <c r="X383" s="15" t="n">
        <f aca="false">X373+X382</f>
        <v>11607.9014644249</v>
      </c>
      <c r="Y383" s="15" t="n">
        <f aca="false">Y373+Y382</f>
        <v>11635.5943418415</v>
      </c>
      <c r="Z383" s="15" t="n">
        <f aca="false">Z373+Z382</f>
        <v>11662.0637377607</v>
      </c>
      <c r="AA383" s="15" t="n">
        <f aca="false">AA373+AA382</f>
        <v>11687.2671783509</v>
      </c>
      <c r="AB383" s="15" t="n">
        <f aca="false">AB373+AB382</f>
        <v>11711.1610671682</v>
      </c>
      <c r="AC383" s="15" t="n">
        <f aca="false">AC373+AC382</f>
        <v>11733.7006571822</v>
      </c>
      <c r="AD383" s="15" t="n">
        <f aca="false">AD373+AD382</f>
        <v>11754.8400221138</v>
      </c>
      <c r="AE383" s="15" t="n">
        <f aca="false">AE373+AE382</f>
        <v>11774.5320270689</v>
      </c>
      <c r="AF383" s="15" t="n">
        <f aca="false">AF373+AF382</f>
        <v>11792.7282984503</v>
      </c>
      <c r="AG383" s="15" t="n">
        <f aca="false">AG373+AG382</f>
        <v>11809.37919313</v>
      </c>
      <c r="AH383" s="15" t="n">
        <f aca="false">AH373+AH382</f>
        <v>11824.433766865</v>
      </c>
      <c r="AI383" s="15" t="n">
        <f aca="false">AI373+AI382</f>
        <v>11837.8397419354</v>
      </c>
      <c r="AJ383" s="15" t="n">
        <f aca="false">AJ373+AJ382</f>
        <v>11849.5434739888</v>
      </c>
      <c r="AK383" s="15" t="n">
        <f aca="false">AK373+AK382</f>
        <v>11859.4899180693</v>
      </c>
      <c r="AL383" s="15" t="n">
        <f aca="false">AL373+AL382</f>
        <v>11867.6225938122</v>
      </c>
      <c r="AM383" s="15" t="n">
        <f aca="false">AM373+AM382</f>
        <v>11873.8835497838</v>
      </c>
      <c r="AN383" s="15" t="n">
        <f aca="false">AN373+AN382</f>
        <v>11878.2133269442</v>
      </c>
      <c r="AO383" s="15" t="n">
        <f aca="false">AO373+AO382</f>
        <v>11880.5509212143</v>
      </c>
      <c r="AP383" s="15" t="n">
        <f aca="false">AP373+AP382</f>
        <v>11880.8337451213</v>
      </c>
      <c r="AQ383" s="15" t="n">
        <f aca="false">AQ373+AQ382</f>
        <v>11878.9975885037</v>
      </c>
      <c r="AR383" s="15" t="n">
        <f aca="false">AR373+AR382</f>
        <v>11874.9765782499</v>
      </c>
      <c r="AS383" s="15" t="n">
        <f aca="false">AS373+AS382</f>
        <v>5934.35156852452</v>
      </c>
    </row>
    <row r="384" customFormat="false" ht="14.25" hidden="false" customHeight="false" outlineLevel="0" collapsed="false">
      <c r="C384" s="1" t="s">
        <v>272</v>
      </c>
      <c r="D384" s="2" t="s">
        <v>85</v>
      </c>
      <c r="H384" s="34" t="n">
        <f aca="false">SUM(J384:AS384)</f>
        <v>273541.918132218</v>
      </c>
      <c r="J384" s="34" t="n">
        <f aca="false">J369+J383</f>
        <v>-657.123287671233</v>
      </c>
      <c r="K384" s="34" t="n">
        <f aca="false">K369+K383</f>
        <v>-3313.15361086944</v>
      </c>
      <c r="L384" s="34" t="n">
        <f aca="false">L369+L383</f>
        <v>-3467.62089041096</v>
      </c>
      <c r="M384" s="34" t="n">
        <f aca="false">M369+M383</f>
        <v>-17498.125</v>
      </c>
      <c r="N384" s="34" t="n">
        <f aca="false">N369+N383</f>
        <v>-34996.25</v>
      </c>
      <c r="O384" s="34" t="n">
        <f aca="false">O369+O383</f>
        <v>-14362.85774</v>
      </c>
      <c r="P384" s="34" t="n">
        <f aca="false">P369+P383</f>
        <v>11347.0605402</v>
      </c>
      <c r="Q384" s="34" t="n">
        <f aca="false">Q369+Q383</f>
        <v>13877.6587584591</v>
      </c>
      <c r="R384" s="34" t="n">
        <f aca="false">R369+R383</f>
        <v>11418.2949186657</v>
      </c>
      <c r="S384" s="34" t="n">
        <f aca="false">S369+S383</f>
        <v>11452.4962418931</v>
      </c>
      <c r="T384" s="34" t="n">
        <f aca="false">T369+T383</f>
        <v>11485.7068357606</v>
      </c>
      <c r="U384" s="34" t="n">
        <f aca="false">U369+U383</f>
        <v>11517.8904111239</v>
      </c>
      <c r="V384" s="34" t="n">
        <f aca="false">V369+V383</f>
        <v>11549.0097105296</v>
      </c>
      <c r="W384" s="34" t="n">
        <f aca="false">W369+W383</f>
        <v>11579.0264840335</v>
      </c>
      <c r="X384" s="34" t="n">
        <f aca="false">X369+X383</f>
        <v>11607.9014644249</v>
      </c>
      <c r="Y384" s="34" t="n">
        <f aca="false">Y369+Y383</f>
        <v>11635.5943418415</v>
      </c>
      <c r="Z384" s="34" t="n">
        <f aca="false">Z369+Z383</f>
        <v>11662.0637377607</v>
      </c>
      <c r="AA384" s="34" t="n">
        <f aca="false">AA369+AA383</f>
        <v>11687.2671783509</v>
      </c>
      <c r="AB384" s="34" t="n">
        <f aca="false">AB369+AB383</f>
        <v>11711.1610671682</v>
      </c>
      <c r="AC384" s="34" t="n">
        <f aca="false">AC369+AC383</f>
        <v>11733.7006571822</v>
      </c>
      <c r="AD384" s="34" t="n">
        <f aca="false">AD369+AD383</f>
        <v>11754.8400221138</v>
      </c>
      <c r="AE384" s="34" t="n">
        <f aca="false">AE369+AE383</f>
        <v>11774.5320270689</v>
      </c>
      <c r="AF384" s="34" t="n">
        <f aca="false">AF369+AF383</f>
        <v>11792.7282984503</v>
      </c>
      <c r="AG384" s="34" t="n">
        <f aca="false">AG369+AG383</f>
        <v>11809.37919313</v>
      </c>
      <c r="AH384" s="34" t="n">
        <f aca="false">AH369+AH383</f>
        <v>11824.433766865</v>
      </c>
      <c r="AI384" s="34" t="n">
        <f aca="false">AI369+AI383</f>
        <v>11837.8397419354</v>
      </c>
      <c r="AJ384" s="34" t="n">
        <f aca="false">AJ369+AJ383</f>
        <v>11849.5434739888</v>
      </c>
      <c r="AK384" s="34" t="n">
        <f aca="false">AK369+AK383</f>
        <v>11859.4899180693</v>
      </c>
      <c r="AL384" s="34" t="n">
        <f aca="false">AL369+AL383</f>
        <v>11867.6225938122</v>
      </c>
      <c r="AM384" s="34" t="n">
        <f aca="false">AM369+AM383</f>
        <v>11873.8835497838</v>
      </c>
      <c r="AN384" s="34" t="n">
        <f aca="false">AN369+AN383</f>
        <v>11878.2133269442</v>
      </c>
      <c r="AO384" s="34" t="n">
        <f aca="false">AO369+AO383</f>
        <v>11880.5509212143</v>
      </c>
      <c r="AP384" s="34" t="n">
        <f aca="false">AP369+AP383</f>
        <v>11880.8337451213</v>
      </c>
      <c r="AQ384" s="34" t="n">
        <f aca="false">AQ369+AQ383</f>
        <v>11878.9975885037</v>
      </c>
      <c r="AR384" s="34" t="n">
        <f aca="false">AR369+AR383</f>
        <v>11874.9765782499</v>
      </c>
      <c r="AS384" s="34" t="n">
        <f aca="false">AS369+AS383</f>
        <v>5934.35156852452</v>
      </c>
    </row>
    <row r="385" customFormat="false" ht="14.25" hidden="false" customHeight="false" outlineLevel="0" collapsed="false">
      <c r="C385" s="6" t="s">
        <v>273</v>
      </c>
      <c r="D385" s="2" t="s">
        <v>3</v>
      </c>
      <c r="J385" s="67" t="n">
        <f aca="false">(1+Discount_Rate)^((Inputs!$G$26-J$292)/Days_In_Year)</f>
        <v>1.41371255107938</v>
      </c>
      <c r="K385" s="67" t="n">
        <f aca="false">(1+Discount_Rate)^((Inputs!$G$26-K$292)/Days_In_Year)</f>
        <v>1.30899310285128</v>
      </c>
      <c r="L385" s="67" t="n">
        <f aca="false">(1+Discount_Rate)^((Inputs!$G$26-L$292)/Days_In_Year)</f>
        <v>1.21177511843915</v>
      </c>
      <c r="M385" s="67" t="n">
        <f aca="false">(1+Discount_Rate)^((Inputs!$G$26-M$292)/Days_In_Year)</f>
        <v>1.12201399855477</v>
      </c>
      <c r="N385" s="67" t="n">
        <f aca="false">(1+Discount_Rate)^((Inputs!$G$26-N$292)/Days_In_Year)</f>
        <v>1.03890185051367</v>
      </c>
      <c r="O385" s="67" t="n">
        <f aca="false">(1+Discount_Rate)^((Inputs!$G$26-O$292)/Days_In_Year)</f>
        <v>0.961946157883031</v>
      </c>
      <c r="P385" s="67" t="n">
        <f aca="false">(1+Discount_Rate)^((Inputs!$G$26-P$292)/Days_In_Year)</f>
        <v>0.890503102622714</v>
      </c>
      <c r="Q385" s="67" t="n">
        <f aca="false">(1+Discount_Rate)^((Inputs!$G$26-Q$292)/Days_In_Year)</f>
        <v>0.824539909835846</v>
      </c>
      <c r="R385" s="67" t="n">
        <f aca="false">(1+Discount_Rate)^((Inputs!$G$26-R$292)/Days_In_Year)</f>
        <v>0.763462879477635</v>
      </c>
      <c r="S385" s="67" t="n">
        <f aca="false">(1+Discount_Rate)^((Inputs!$G$26-S$292)/Days_In_Year)</f>
        <v>0.706910073590403</v>
      </c>
      <c r="T385" s="67" t="n">
        <f aca="false">(1+Discount_Rate)^((Inputs!$G$26-T$292)/Days_In_Year)</f>
        <v>0.654408366464987</v>
      </c>
      <c r="U385" s="67" t="n">
        <f aca="false">(1+Discount_Rate)^((Inputs!$G$26-U$292)/Days_In_Year)</f>
        <v>0.605933672652766</v>
      </c>
      <c r="V385" s="67" t="n">
        <f aca="false">(1+Discount_Rate)^((Inputs!$G$26-V$292)/Days_In_Year)</f>
        <v>0.561049696900709</v>
      </c>
      <c r="W385" s="67" t="n">
        <f aca="false">(1+Discount_Rate)^((Inputs!$G$26-W$292)/Days_In_Year)</f>
        <v>0.519490460093249</v>
      </c>
      <c r="X385" s="67" t="n">
        <f aca="false">(1+Discount_Rate)^((Inputs!$G$26-X$292)/Days_In_Year)</f>
        <v>0.480908274028566</v>
      </c>
      <c r="Y385" s="67" t="n">
        <f aca="false">(1+Discount_Rate)^((Inputs!$G$26-Y$292)/Days_In_Year)</f>
        <v>0.445285438915339</v>
      </c>
      <c r="Z385" s="67" t="n">
        <f aca="false">(1+Discount_Rate)^((Inputs!$G$26-Z$292)/Days_In_Year)</f>
        <v>0.412301332329018</v>
      </c>
      <c r="AA385" s="67" t="n">
        <f aca="false">(1+Discount_Rate)^((Inputs!$G$26-AA$292)/Days_In_Year)</f>
        <v>0.381760492897239</v>
      </c>
      <c r="AB385" s="67" t="n">
        <f aca="false">(1+Discount_Rate)^((Inputs!$G$26-AB$292)/Days_In_Year)</f>
        <v>0.353407413292154</v>
      </c>
      <c r="AC385" s="67" t="n">
        <f aca="false">(1+Discount_Rate)^((Inputs!$G$26-AC$292)/Days_In_Year)</f>
        <v>0.327229086381624</v>
      </c>
      <c r="AD385" s="67" t="n">
        <f aca="false">(1+Discount_Rate)^((Inputs!$G$26-AD$292)/Days_In_Year)</f>
        <v>0.3029898947978</v>
      </c>
      <c r="AE385" s="67" t="n">
        <f aca="false">(1+Discount_Rate)^((Inputs!$G$26-AE$292)/Days_In_Year)</f>
        <v>0.280546198886852</v>
      </c>
      <c r="AF385" s="67" t="n">
        <f aca="false">(1+Discount_Rate)^((Inputs!$G$26-AF$292)/Days_In_Year)</f>
        <v>0.259710232730228</v>
      </c>
      <c r="AG385" s="67" t="n">
        <f aca="false">(1+Discount_Rate)^((Inputs!$G$26-AG$292)/Days_In_Year)</f>
        <v>0.240472437713174</v>
      </c>
      <c r="AH385" s="67" t="n">
        <f aca="false">(1+Discount_Rate)^((Inputs!$G$26-AH$292)/Days_In_Year)</f>
        <v>0.222659664549235</v>
      </c>
      <c r="AI385" s="67" t="n">
        <f aca="false">(1+Discount_Rate)^((Inputs!$G$26-AI$292)/Days_In_Year)</f>
        <v>0.206166356064106</v>
      </c>
      <c r="AJ385" s="67" t="n">
        <f aca="false">(1+Discount_Rate)^((Inputs!$G$26-AJ$292)/Days_In_Year)</f>
        <v>0.190854527799705</v>
      </c>
      <c r="AK385" s="67" t="n">
        <f aca="false">(1+Discount_Rate)^((Inputs!$G$26-AK$292)/Days_In_Year)</f>
        <v>0.176717155370097</v>
      </c>
      <c r="AL385" s="67" t="n">
        <f aca="false">(1+Discount_Rate)^((Inputs!$G$26-AL$292)/Days_In_Year)</f>
        <v>0.163626995713053</v>
      </c>
      <c r="AM385" s="67" t="n">
        <f aca="false">(1+Discount_Rate)^((Inputs!$G$26-AM$292)/Days_In_Year)</f>
        <v>0.151506477512086</v>
      </c>
      <c r="AN385" s="67" t="n">
        <f aca="false">(1+Discount_Rate)^((Inputs!$G$26-AN$292)/Days_In_Year)</f>
        <v>0.140254199454224</v>
      </c>
      <c r="AO385" s="67" t="n">
        <f aca="false">(1+Discount_Rate)^((Inputs!$G$26-AO$292)/Days_In_Year)</f>
        <v>0.129864999494652</v>
      </c>
      <c r="AP385" s="67" t="n">
        <f aca="false">(1+Discount_Rate)^((Inputs!$G$26-AP$292)/Days_In_Year)</f>
        <v>0.120245369902455</v>
      </c>
      <c r="AQ385" s="67" t="n">
        <f aca="false">(1+Discount_Rate)^((Inputs!$G$26-AQ$292)/Days_In_Year)</f>
        <v>0.111338305465236</v>
      </c>
      <c r="AR385" s="67" t="n">
        <f aca="false">(1+Discount_Rate)^((Inputs!$G$26-AR$292)/Days_In_Year)</f>
        <v>0.103069288904634</v>
      </c>
      <c r="AS385" s="67" t="n">
        <f aca="false">(1+Discount_Rate)^((Inputs!$G$26-AS$292)/Days_In_Year)</f>
        <v>0.0954345267635496</v>
      </c>
    </row>
    <row r="386" customFormat="false" ht="14.25" hidden="false" customHeight="false" outlineLevel="0" collapsed="false">
      <c r="C386" s="6" t="s">
        <v>274</v>
      </c>
      <c r="D386" s="2" t="s">
        <v>85</v>
      </c>
      <c r="H386" s="8" t="n">
        <f aca="false">SUM(J386:AS386)</f>
        <v>130416.00131392</v>
      </c>
      <c r="J386" s="8" t="n">
        <f aca="false">J383*J385</f>
        <v>0</v>
      </c>
      <c r="K386" s="8" t="n">
        <f aca="false">K383*K385</f>
        <v>0</v>
      </c>
      <c r="L386" s="8" t="n">
        <f aca="false">L383*L385</f>
        <v>0</v>
      </c>
      <c r="M386" s="8" t="n">
        <f aca="false">M383*M385</f>
        <v>0</v>
      </c>
      <c r="N386" s="8" t="n">
        <f aca="false">N383*N385</f>
        <v>0</v>
      </c>
      <c r="O386" s="8" t="n">
        <f aca="false">O383*O385</f>
        <v>5420.82368940103</v>
      </c>
      <c r="P386" s="8" t="n">
        <f aca="false">P383*P385</f>
        <v>10104.5926166959</v>
      </c>
      <c r="Q386" s="8" t="n">
        <f aca="false">Q383*Q385</f>
        <v>9385.85175374614</v>
      </c>
      <c r="R386" s="8" t="n">
        <f aca="false">R383*R385</f>
        <v>8717.44431732934</v>
      </c>
      <c r="S386" s="8" t="n">
        <f aca="false">S383*S385</f>
        <v>8095.88496115048</v>
      </c>
      <c r="T386" s="8" t="n">
        <f aca="false">T383*T385</f>
        <v>7516.3426480858</v>
      </c>
      <c r="U386" s="8" t="n">
        <f aca="false">U383*U385</f>
        <v>6979.07763802436</v>
      </c>
      <c r="V386" s="8" t="n">
        <f aca="false">V383*V385</f>
        <v>6479.56839759595</v>
      </c>
      <c r="W386" s="8" t="n">
        <f aca="false">W383*W385</f>
        <v>6015.19379562246</v>
      </c>
      <c r="X386" s="8" t="n">
        <f aca="false">X383*X385</f>
        <v>5582.33585835024</v>
      </c>
      <c r="Y386" s="8" t="n">
        <f aca="false">Y383*Y385</f>
        <v>5181.16073354775</v>
      </c>
      <c r="Z386" s="8" t="n">
        <f aca="false">Z383*Z385</f>
        <v>4808.28441678468</v>
      </c>
      <c r="AA386" s="8" t="n">
        <f aca="false">AA383*AA385</f>
        <v>4461.73687862896</v>
      </c>
      <c r="AB386" s="8" t="n">
        <f aca="false">AB383*AB385</f>
        <v>4138.81113939569</v>
      </c>
      <c r="AC386" s="8" t="n">
        <f aca="false">AC383*AC385</f>
        <v>3839.60814592519</v>
      </c>
      <c r="AD386" s="8" t="n">
        <f aca="false">AD383*AD385</f>
        <v>3561.59774166524</v>
      </c>
      <c r="AE386" s="8" t="n">
        <f aca="false">AE383*AE385</f>
        <v>3303.30020386569</v>
      </c>
      <c r="AF386" s="8" t="n">
        <f aca="false">AF383*AF385</f>
        <v>3062.69221091486</v>
      </c>
      <c r="AG386" s="8" t="n">
        <f aca="false">AG383*AG385</f>
        <v>2839.83020245122</v>
      </c>
      <c r="AH386" s="8" t="n">
        <f aca="false">AH383*AH385</f>
        <v>2632.82445601481</v>
      </c>
      <c r="AI386" s="8" t="n">
        <f aca="false">AI383*AI385</f>
        <v>2440.56428326569</v>
      </c>
      <c r="AJ386" s="8" t="n">
        <f aca="false">AJ383*AJ385</f>
        <v>2261.5390243702</v>
      </c>
      <c r="AK386" s="8" t="n">
        <f aca="false">AK383*AK385</f>
        <v>2095.77532246155</v>
      </c>
      <c r="AL386" s="8" t="n">
        <f aca="false">AL383*AL385</f>
        <v>1941.86343128184</v>
      </c>
      <c r="AM386" s="8" t="n">
        <f aca="false">AM383*AM385</f>
        <v>1798.97027101644</v>
      </c>
      <c r="AN386" s="8" t="n">
        <f aca="false">AN383*AN385</f>
        <v>1665.96930111705</v>
      </c>
      <c r="AO386" s="8" t="n">
        <f aca="false">AO383*AO385</f>
        <v>1542.86773937967</v>
      </c>
      <c r="AP386" s="8" t="n">
        <f aca="false">AP383*AP385</f>
        <v>1428.61524843168</v>
      </c>
      <c r="AQ386" s="8" t="n">
        <f aca="false">AQ383*AQ385</f>
        <v>1322.58746212963</v>
      </c>
      <c r="AR386" s="8" t="n">
        <f aca="false">AR383*AR385</f>
        <v>1223.9453916794</v>
      </c>
      <c r="AS386" s="8" t="n">
        <f aca="false">AS383*AS385</f>
        <v>566.342033590665</v>
      </c>
    </row>
    <row r="387" customFormat="false" ht="14.25" hidden="false" customHeight="false" outlineLevel="0" collapsed="false">
      <c r="C387" s="6" t="s">
        <v>275</v>
      </c>
      <c r="D387" s="2" t="s">
        <v>85</v>
      </c>
      <c r="H387" s="8" t="n">
        <f aca="false">SUM(J387:AS387)</f>
        <v>-7500</v>
      </c>
      <c r="J387" s="8" t="n">
        <f aca="false">-$G$18*$G$6*(J$291=YEAR(Sale_Date))</f>
        <v>-0</v>
      </c>
      <c r="K387" s="8" t="n">
        <f aca="false">-$G$18*$G$6*(K$291=YEAR(Sale_Date))</f>
        <v>-0</v>
      </c>
      <c r="L387" s="8" t="n">
        <f aca="false">-$G$18*$G$6*(L$291=YEAR(Sale_Date))</f>
        <v>-0</v>
      </c>
      <c r="M387" s="8" t="n">
        <f aca="false">-$G$18*$G$6*(M$291=YEAR(Sale_Date))</f>
        <v>-7500</v>
      </c>
      <c r="N387" s="8" t="n">
        <f aca="false">-$G$18*$G$6*(N$291=YEAR(Sale_Date))</f>
        <v>-0</v>
      </c>
      <c r="O387" s="8" t="n">
        <f aca="false">-$G$18*$G$6*(O$291=YEAR(Sale_Date))</f>
        <v>-0</v>
      </c>
      <c r="P387" s="8" t="n">
        <f aca="false">-$G$18*$G$6*(P$291=YEAR(Sale_Date))</f>
        <v>-0</v>
      </c>
      <c r="Q387" s="8" t="n">
        <f aca="false">-$G$18*$G$6*(Q$291=YEAR(Sale_Date))</f>
        <v>-0</v>
      </c>
      <c r="R387" s="8" t="n">
        <f aca="false">-$G$18*$G$6*(R$291=YEAR(Sale_Date))</f>
        <v>-0</v>
      </c>
      <c r="S387" s="8" t="n">
        <f aca="false">-$G$18*$G$6*(S$291=YEAR(Sale_Date))</f>
        <v>-0</v>
      </c>
      <c r="T387" s="8" t="n">
        <f aca="false">-$G$18*$G$6*(T$291=YEAR(Sale_Date))</f>
        <v>-0</v>
      </c>
      <c r="U387" s="8" t="n">
        <f aca="false">-$G$18*$G$6*(U$291=YEAR(Sale_Date))</f>
        <v>-0</v>
      </c>
      <c r="V387" s="8" t="n">
        <f aca="false">-$G$18*$G$6*(V$291=YEAR(Sale_Date))</f>
        <v>-0</v>
      </c>
      <c r="W387" s="8" t="n">
        <f aca="false">-$G$18*$G$6*(W$291=YEAR(Sale_Date))</f>
        <v>-0</v>
      </c>
      <c r="X387" s="8" t="n">
        <f aca="false">-$G$18*$G$6*(X$291=YEAR(Sale_Date))</f>
        <v>-0</v>
      </c>
      <c r="Y387" s="8" t="n">
        <f aca="false">-$G$18*$G$6*(Y$291=YEAR(Sale_Date))</f>
        <v>-0</v>
      </c>
      <c r="Z387" s="8" t="n">
        <f aca="false">-$G$18*$G$6*(Z$291=YEAR(Sale_Date))</f>
        <v>-0</v>
      </c>
      <c r="AA387" s="8" t="n">
        <f aca="false">-$G$18*$G$6*(AA$291=YEAR(Sale_Date))</f>
        <v>-0</v>
      </c>
      <c r="AB387" s="8" t="n">
        <f aca="false">-$G$18*$G$6*(AB$291=YEAR(Sale_Date))</f>
        <v>-0</v>
      </c>
      <c r="AC387" s="8" t="n">
        <f aca="false">-$G$18*$G$6*(AC$291=YEAR(Sale_Date))</f>
        <v>-0</v>
      </c>
      <c r="AD387" s="8" t="n">
        <f aca="false">-$G$18*$G$6*(AD$291=YEAR(Sale_Date))</f>
        <v>-0</v>
      </c>
      <c r="AE387" s="8" t="n">
        <f aca="false">-$G$18*$G$6*(AE$291=YEAR(Sale_Date))</f>
        <v>-0</v>
      </c>
      <c r="AF387" s="8" t="n">
        <f aca="false">-$G$18*$G$6*(AF$291=YEAR(Sale_Date))</f>
        <v>-0</v>
      </c>
      <c r="AG387" s="8" t="n">
        <f aca="false">-$G$18*$G$6*(AG$291=YEAR(Sale_Date))</f>
        <v>-0</v>
      </c>
      <c r="AH387" s="8" t="n">
        <f aca="false">-$G$18*$G$6*(AH$291=YEAR(Sale_Date))</f>
        <v>-0</v>
      </c>
      <c r="AI387" s="8" t="n">
        <f aca="false">-$G$18*$G$6*(AI$291=YEAR(Sale_Date))</f>
        <v>-0</v>
      </c>
      <c r="AJ387" s="8" t="n">
        <f aca="false">-$G$18*$G$6*(AJ$291=YEAR(Sale_Date))</f>
        <v>-0</v>
      </c>
      <c r="AK387" s="8" t="n">
        <f aca="false">-$G$18*$G$6*(AK$291=YEAR(Sale_Date))</f>
        <v>-0</v>
      </c>
      <c r="AL387" s="8" t="n">
        <f aca="false">-$G$18*$G$6*(AL$291=YEAR(Sale_Date))</f>
        <v>-0</v>
      </c>
      <c r="AM387" s="8" t="n">
        <f aca="false">-$G$18*$G$6*(AM$291=YEAR(Sale_Date))</f>
        <v>-0</v>
      </c>
      <c r="AN387" s="8" t="n">
        <f aca="false">-$G$18*$G$6*(AN$291=YEAR(Sale_Date))</f>
        <v>-0</v>
      </c>
      <c r="AO387" s="8" t="n">
        <f aca="false">-$G$18*$G$6*(AO$291=YEAR(Sale_Date))</f>
        <v>-0</v>
      </c>
      <c r="AP387" s="8" t="n">
        <f aca="false">-$G$18*$G$6*(AP$291=YEAR(Sale_Date))</f>
        <v>-0</v>
      </c>
      <c r="AQ387" s="8" t="n">
        <f aca="false">-$G$18*$G$6*(AQ$291=YEAR(Sale_Date))</f>
        <v>-0</v>
      </c>
      <c r="AR387" s="8" t="n">
        <f aca="false">-$G$18*$G$6*(AR$291=YEAR(Sale_Date))</f>
        <v>-0</v>
      </c>
      <c r="AS387" s="8" t="n">
        <f aca="false">-$G$18*$G$6*(AS$291=YEAR(Sale_Date))</f>
        <v>-0</v>
      </c>
    </row>
    <row r="388" customFormat="false" ht="14.25" hidden="false" customHeight="false" outlineLevel="0" collapsed="false">
      <c r="C388" s="1" t="s">
        <v>276</v>
      </c>
      <c r="D388" s="2" t="s">
        <v>85</v>
      </c>
      <c r="H388" s="34" t="n">
        <f aca="false">SUM(J388:AS388)</f>
        <v>45480.1240729131</v>
      </c>
      <c r="J388" s="34" t="n">
        <f aca="false">J369*(J359&lt;=0)+J364*($H386+$G$62+$G$63)+J387</f>
        <v>-657.123287671233</v>
      </c>
      <c r="K388" s="34" t="n">
        <f aca="false">K369*(K359&lt;=0)+K364*($H386+$G$62+$G$63)+K387</f>
        <v>-3313.15361086944</v>
      </c>
      <c r="L388" s="34" t="n">
        <f aca="false">L369*(L359&lt;=0)+L364*($H386+$G$62+$G$63)+L387</f>
        <v>-3467.62089041096</v>
      </c>
      <c r="M388" s="34" t="n">
        <f aca="false">M369*(M359&lt;=0)+M364*($H386+$G$62+$G$63)+M387</f>
        <v>-24998.125</v>
      </c>
      <c r="N388" s="34" t="n">
        <f aca="false">N369*(N359&lt;=0)+N364*($H386+$G$62+$G$63)+N387</f>
        <v>-34996.25</v>
      </c>
      <c r="O388" s="34" t="n">
        <f aca="false">O369*(O359&lt;=0)+O364*($H386+$G$62+$G$63)+O387</f>
        <v>112912.396861865</v>
      </c>
      <c r="P388" s="34" t="n">
        <f aca="false">P369*(P359&lt;=0)+P364*($H386+$G$62+$G$63)+P387</f>
        <v>0</v>
      </c>
      <c r="Q388" s="34" t="n">
        <f aca="false">Q369*(Q359&lt;=0)+Q364*($H386+$G$62+$G$63)+Q387</f>
        <v>0</v>
      </c>
      <c r="R388" s="34" t="n">
        <f aca="false">R369*(R359&lt;=0)+R364*($H386+$G$62+$G$63)+R387</f>
        <v>0</v>
      </c>
      <c r="S388" s="34" t="n">
        <f aca="false">S369*(S359&lt;=0)+S364*($H386+$G$62+$G$63)+S387</f>
        <v>0</v>
      </c>
      <c r="T388" s="34" t="n">
        <f aca="false">T369*(T359&lt;=0)+T364*($H386+$G$62+$G$63)+T387</f>
        <v>0</v>
      </c>
      <c r="U388" s="34" t="n">
        <f aca="false">U369*(U359&lt;=0)+U364*($H386+$G$62+$G$63)+U387</f>
        <v>0</v>
      </c>
      <c r="V388" s="34" t="n">
        <f aca="false">V369*(V359&lt;=0)+V364*($H386+$G$62+$G$63)+V387</f>
        <v>0</v>
      </c>
      <c r="W388" s="34" t="n">
        <f aca="false">W369*(W359&lt;=0)+W364*($H386+$G$62+$G$63)+W387</f>
        <v>0</v>
      </c>
      <c r="X388" s="34" t="n">
        <f aca="false">X369*(X359&lt;=0)+X364*($H386+$G$62+$G$63)+X387</f>
        <v>0</v>
      </c>
      <c r="Y388" s="34" t="n">
        <f aca="false">Y369*(Y359&lt;=0)+Y364*($H386+$G$62+$G$63)+Y387</f>
        <v>0</v>
      </c>
      <c r="Z388" s="34" t="n">
        <f aca="false">Z369*(Z359&lt;=0)+Z364*($H386+$G$62+$G$63)+Z387</f>
        <v>0</v>
      </c>
      <c r="AA388" s="34" t="n">
        <f aca="false">AA369*(AA359&lt;=0)+AA364*($H386+$G$62+$G$63)+AA387</f>
        <v>0</v>
      </c>
      <c r="AB388" s="34" t="n">
        <f aca="false">AB369*(AB359&lt;=0)+AB364*($H386+$G$62+$G$63)+AB387</f>
        <v>0</v>
      </c>
      <c r="AC388" s="34" t="n">
        <f aca="false">AC369*(AC359&lt;=0)+AC364*($H386+$G$62+$G$63)+AC387</f>
        <v>0</v>
      </c>
      <c r="AD388" s="34" t="n">
        <f aca="false">AD369*(AD359&lt;=0)+AD364*($H386+$G$62+$G$63)+AD387</f>
        <v>0</v>
      </c>
      <c r="AE388" s="34" t="n">
        <f aca="false">AE369*(AE359&lt;=0)+AE364*($H386+$G$62+$G$63)+AE387</f>
        <v>0</v>
      </c>
      <c r="AF388" s="34" t="n">
        <f aca="false">AF369*(AF359&lt;=0)+AF364*($H386+$G$62+$G$63)+AF387</f>
        <v>0</v>
      </c>
      <c r="AG388" s="34" t="n">
        <f aca="false">AG369*(AG359&lt;=0)+AG364*($H386+$G$62+$G$63)+AG387</f>
        <v>0</v>
      </c>
      <c r="AH388" s="34" t="n">
        <f aca="false">AH369*(AH359&lt;=0)+AH364*($H386+$G$62+$G$63)+AH387</f>
        <v>0</v>
      </c>
      <c r="AI388" s="34" t="n">
        <f aca="false">AI369*(AI359&lt;=0)+AI364*($H386+$G$62+$G$63)+AI387</f>
        <v>0</v>
      </c>
      <c r="AJ388" s="34" t="n">
        <f aca="false">AJ369*(AJ359&lt;=0)+AJ364*($H386+$G$62+$G$63)+AJ387</f>
        <v>0</v>
      </c>
      <c r="AK388" s="34" t="n">
        <f aca="false">AK369*(AK359&lt;=0)+AK364*($H386+$G$62+$G$63)+AK387</f>
        <v>0</v>
      </c>
      <c r="AL388" s="34" t="n">
        <f aca="false">AL369*(AL359&lt;=0)+AL364*($H386+$G$62+$G$63)+AL387</f>
        <v>0</v>
      </c>
      <c r="AM388" s="34" t="n">
        <f aca="false">AM369*(AM359&lt;=0)+AM364*($H386+$G$62+$G$63)+AM387</f>
        <v>0</v>
      </c>
      <c r="AN388" s="34" t="n">
        <f aca="false">AN369*(AN359&lt;=0)+AN364*($H386+$G$62+$G$63)+AN387</f>
        <v>0</v>
      </c>
      <c r="AO388" s="34" t="n">
        <f aca="false">AO369*(AO359&lt;=0)+AO364*($H386+$G$62+$G$63)+AO387</f>
        <v>0</v>
      </c>
      <c r="AP388" s="34" t="n">
        <f aca="false">AP369*(AP359&lt;=0)+AP364*($H386+$G$62+$G$63)+AP387</f>
        <v>0</v>
      </c>
      <c r="AQ388" s="34" t="n">
        <f aca="false">AQ369*(AQ359&lt;=0)+AQ364*($H386+$G$62+$G$63)+AQ387</f>
        <v>0</v>
      </c>
      <c r="AR388" s="34" t="n">
        <f aca="false">AR369*(AR359&lt;=0)+AR364*($H386+$G$62+$G$63)+AR387</f>
        <v>0</v>
      </c>
      <c r="AS388" s="34" t="n">
        <f aca="false">AS369*(AS359&lt;=0)+AS364*($H386+$G$62+$G$63)+AS387</f>
        <v>0</v>
      </c>
    </row>
    <row r="390" customFormat="false" ht="14.25" hidden="false" customHeight="false" outlineLevel="0" collapsed="false">
      <c r="B390" s="4" t="s">
        <v>3</v>
      </c>
      <c r="C390" s="4" t="s">
        <v>279</v>
      </c>
      <c r="D390" s="4"/>
      <c r="E390" s="5" t="s">
        <v>5</v>
      </c>
      <c r="F390" s="5" t="s">
        <v>6</v>
      </c>
      <c r="G390" s="5" t="s">
        <v>7</v>
      </c>
      <c r="H390" s="5" t="s">
        <v>8</v>
      </c>
    </row>
    <row r="391" customFormat="false" ht="14.25" hidden="false" customHeight="false" outlineLevel="0" collapsed="false">
      <c r="C391" s="6" t="s">
        <v>202</v>
      </c>
      <c r="D391" s="2" t="s">
        <v>85</v>
      </c>
      <c r="E391" s="8" t="n">
        <f aca="false">0</f>
        <v>0</v>
      </c>
      <c r="F391" s="8" t="n">
        <f aca="false">0</f>
        <v>0</v>
      </c>
      <c r="G391" s="8" t="n">
        <f aca="false">0</f>
        <v>0</v>
      </c>
      <c r="H391" s="8" t="n">
        <f aca="false">SUM(E391:G391)</f>
        <v>0</v>
      </c>
    </row>
    <row r="392" customFormat="false" ht="14.25" hidden="false" customHeight="false" outlineLevel="0" collapsed="false">
      <c r="C392" s="1" t="s">
        <v>128</v>
      </c>
      <c r="D392" s="2" t="s">
        <v>85</v>
      </c>
      <c r="E392" s="15" t="n">
        <f aca="false">$H$324+E391</f>
        <v>28699.2358080803</v>
      </c>
      <c r="F392" s="15" t="n">
        <f aca="false">$H$356+F391</f>
        <v>45480.1240729131</v>
      </c>
      <c r="G392" s="15" t="n">
        <f aca="false">$H$388+G391</f>
        <v>45480.1240729131</v>
      </c>
      <c r="H392" s="15" t="n">
        <f aca="false">SUM(E392:G392)</f>
        <v>119659.483953906</v>
      </c>
    </row>
    <row r="394" customFormat="false" ht="14.25" hidden="false" customHeight="false" outlineLevel="0" collapsed="false">
      <c r="B394" s="4" t="s">
        <v>3</v>
      </c>
      <c r="C394" s="4" t="s">
        <v>280</v>
      </c>
      <c r="D394" s="4"/>
      <c r="E394" s="5" t="s">
        <v>5</v>
      </c>
      <c r="F394" s="5" t="s">
        <v>6</v>
      </c>
      <c r="G394" s="5" t="s">
        <v>7</v>
      </c>
      <c r="H394" s="5" t="s">
        <v>8</v>
      </c>
    </row>
    <row r="395" customFormat="false" ht="14.25" hidden="false" customHeight="false" outlineLevel="0" collapsed="false">
      <c r="C395" s="6" t="s">
        <v>281</v>
      </c>
      <c r="D395" s="2" t="s">
        <v>2</v>
      </c>
      <c r="E395" s="66" t="n">
        <f aca="false">N(ABS(E203+E204+E208-E211-E223)&gt;Tolerance)</f>
        <v>0</v>
      </c>
      <c r="F395" s="66" t="n">
        <f aca="false">N(ABS(F203+F204+F208-F211-F223)&gt;Tolerance)</f>
        <v>0</v>
      </c>
      <c r="G395" s="66" t="n">
        <f aca="false">N(ABS(G203+G204+G208-G211-G223)&gt;Tolerance)</f>
        <v>0</v>
      </c>
      <c r="H395" s="66" t="n">
        <f aca="false">SUM(E395:G395)</f>
        <v>0</v>
      </c>
    </row>
    <row r="396" customFormat="false" ht="14.25" hidden="false" customHeight="false" outlineLevel="0" collapsed="false">
      <c r="C396" s="6" t="s">
        <v>282</v>
      </c>
      <c r="D396" s="2" t="s">
        <v>2</v>
      </c>
      <c r="E396" s="66" t="n">
        <f aca="false">SUMPRODUCT(--(YEAR(J215:J222)&gt;=YEAR(E174)))</f>
        <v>0</v>
      </c>
      <c r="F396" s="66" t="n">
        <f aca="false">SUMPRODUCT(--(YEAR(K215:K222)&gt;=YEAR(F174)))</f>
        <v>0</v>
      </c>
      <c r="G396" s="66" t="n">
        <f aca="false">SUMPRODUCT(--(YEAR(L215:L222)&gt;=YEAR(G174)))</f>
        <v>0</v>
      </c>
      <c r="H396" s="66" t="n">
        <f aca="false">SUM(E396:G396)</f>
        <v>0</v>
      </c>
    </row>
    <row r="397" customFormat="false" ht="14.25" hidden="false" customHeight="false" outlineLevel="0" collapsed="false">
      <c r="C397" s="6" t="s">
        <v>283</v>
      </c>
      <c r="D397" s="2" t="s">
        <v>2</v>
      </c>
      <c r="E397" s="66" t="n">
        <f aca="false">N(AND(E17&lt;&gt;"EU",E17&lt;&gt;"CN"))</f>
        <v>0</v>
      </c>
      <c r="F397" s="66" t="n">
        <f aca="false">N(AND(F17&lt;&gt;"EU",F17&lt;&gt;"CN"))</f>
        <v>0</v>
      </c>
      <c r="G397" s="66" t="n">
        <f aca="false">N(AND(G17&lt;&gt;"EU",G17&lt;&gt;"CN"))</f>
        <v>0</v>
      </c>
      <c r="H397" s="66" t="n">
        <f aca="false">SUM(E397:G397)</f>
        <v>0</v>
      </c>
    </row>
    <row r="398" customFormat="false" ht="14.25" hidden="false" customHeight="false" outlineLevel="0" collapsed="false">
      <c r="C398" s="6" t="s">
        <v>284</v>
      </c>
      <c r="D398" s="2" t="s">
        <v>2</v>
      </c>
      <c r="E398" s="66" t="n">
        <f aca="false">(ABS(SUM(Devex_HUF)/FX/Thousand*Inputs!E$18-E68-E67)&gt;Tolerance)*1</f>
        <v>0</v>
      </c>
      <c r="F398" s="66" t="n">
        <f aca="false">(ABS(SUM(Devex_HUF)/FX/Thousand*Inputs!F$18-F68-F67)&gt;Tolerance)*1</f>
        <v>0</v>
      </c>
      <c r="G398" s="66" t="n">
        <f aca="false">(ABS(SUM(Devex_HUF)/FX/Thousand*Inputs!G$18-G68-G67)&gt;Tolerance)*1</f>
        <v>0</v>
      </c>
      <c r="H398" s="66" t="n">
        <f aca="false">SUM(E398:G398)</f>
        <v>0</v>
      </c>
    </row>
    <row r="399" customFormat="false" ht="14.25" hidden="false" customHeight="false" outlineLevel="0" collapsed="false">
      <c r="C399" s="6" t="s">
        <v>285</v>
      </c>
      <c r="D399" s="2" t="s">
        <v>2</v>
      </c>
      <c r="E399" s="66" t="n">
        <f aca="false">N(ABS(E91+$H$303)&gt;Tolerance)</f>
        <v>0</v>
      </c>
      <c r="F399" s="66" t="n">
        <f aca="false">N(ABS(F91+$H$335)&gt;Tolerance)</f>
        <v>0</v>
      </c>
      <c r="G399" s="66" t="n">
        <f aca="false">N(ABS(G91+$H$367)&gt;Tolerance)</f>
        <v>0</v>
      </c>
      <c r="H399" s="66" t="n">
        <f aca="false">SUM(E399:G399)</f>
        <v>0</v>
      </c>
    </row>
    <row r="400" customFormat="false" ht="14.25" hidden="false" customHeight="false" outlineLevel="0" collapsed="false">
      <c r="C400" s="6" t="s">
        <v>286</v>
      </c>
      <c r="D400" s="2" t="s">
        <v>2</v>
      </c>
      <c r="E400" s="66" t="n">
        <f aca="false">N(ABS(E96+$H$305)&gt;Tolerance)</f>
        <v>0</v>
      </c>
      <c r="F400" s="66" t="n">
        <f aca="false">N(ABS(F96+$H$337)&gt;Tolerance)</f>
        <v>0</v>
      </c>
      <c r="G400" s="66" t="n">
        <f aca="false">N(ABS(G96+$H$369)&gt;Tolerance)</f>
        <v>0</v>
      </c>
      <c r="H400" s="66" t="n">
        <f aca="false">SUM(E400:G400)</f>
        <v>0</v>
      </c>
    </row>
    <row r="401" customFormat="false" ht="14.25" hidden="false" customHeight="false" outlineLevel="0" collapsed="false">
      <c r="C401" s="6" t="s">
        <v>287</v>
      </c>
      <c r="D401" s="2" t="s">
        <v>2</v>
      </c>
      <c r="E401" s="66" t="n">
        <f aca="false">N(ABS($H$299-Life)&gt;Tolerance)</f>
        <v>0</v>
      </c>
      <c r="F401" s="66" t="n">
        <f aca="false">N(ABS($H$331-Life)&gt;Tolerance)</f>
        <v>0</v>
      </c>
      <c r="G401" s="66" t="n">
        <f aca="false">N(ABS($H$363-Life)&gt;Tolerance)</f>
        <v>0</v>
      </c>
      <c r="H401" s="66" t="n">
        <f aca="false">SUM(E401:G401)</f>
        <v>0</v>
      </c>
    </row>
    <row r="402" customFormat="false" ht="14.25" hidden="false" customHeight="false" outlineLevel="0" collapsed="false">
      <c r="C402" s="6" t="s">
        <v>288</v>
      </c>
      <c r="D402" s="2" t="s">
        <v>2</v>
      </c>
      <c r="E402" s="66" t="n">
        <f aca="false">N(Sale_Date_A&gt;=Inputs!E$24)</f>
        <v>0</v>
      </c>
      <c r="F402" s="66" t="n">
        <f aca="false">N(Sale_Date_A&gt;=Inputs!F$24)</f>
        <v>0</v>
      </c>
      <c r="G402" s="66" t="n">
        <f aca="false">N(Sale_Date_A&gt;=Inputs!G$24)</f>
        <v>0</v>
      </c>
      <c r="H402" s="66" t="n">
        <f aca="false">SUM(E402:G402)</f>
        <v>0</v>
      </c>
    </row>
    <row r="403" customFormat="false" ht="14.25" hidden="false" customHeight="false" outlineLevel="0" collapsed="false">
      <c r="C403" s="6" t="s">
        <v>289</v>
      </c>
      <c r="D403" s="2" t="s">
        <v>2</v>
      </c>
      <c r="E403" s="66" t="n">
        <f aca="false">N(ABS(E130+$H$305+$H$323)&gt;Tolerance)</f>
        <v>0</v>
      </c>
      <c r="F403" s="66" t="n">
        <f aca="false">N(ABS(F130+$H$337+$H$355)&gt;Tolerance)</f>
        <v>0</v>
      </c>
      <c r="G403" s="66" t="n">
        <f aca="false">N(ABS(G130+$H$369+$H$387)&gt;Tolerance)</f>
        <v>0</v>
      </c>
      <c r="H403" s="66" t="n">
        <f aca="false">SUM(E403:G403)</f>
        <v>0</v>
      </c>
    </row>
    <row r="404" customFormat="false" ht="14.25" hidden="false" customHeight="false" outlineLevel="0" collapsed="false">
      <c r="C404" s="6" t="s">
        <v>290</v>
      </c>
      <c r="D404" s="2" t="s">
        <v>2</v>
      </c>
      <c r="E404" s="66" t="n">
        <f aca="false">N(ABS(E265+E266+E270-E273-E282)&gt;Tolerance)</f>
        <v>0</v>
      </c>
      <c r="F404" s="66" t="n">
        <f aca="false">N(ABS(F265+F266+F270-F273-F282)&gt;Tolerance)</f>
        <v>0</v>
      </c>
      <c r="G404" s="66" t="n">
        <f aca="false">N(ABS(G265+G266+G270-G273-G282)&gt;Tolerance)</f>
        <v>0</v>
      </c>
      <c r="H404" s="66" t="n">
        <f aca="false">SUM(E404:G404)</f>
        <v>0</v>
      </c>
    </row>
    <row r="405" customFormat="false" ht="14.25" hidden="false" customHeight="false" outlineLevel="0" collapsed="false">
      <c r="C405" s="1" t="s">
        <v>291</v>
      </c>
      <c r="D405" s="2" t="s">
        <v>2</v>
      </c>
      <c r="H405" s="68" t="n">
        <f aca="false">SUM(H395:H404)</f>
        <v>0</v>
      </c>
    </row>
    <row r="407" customFormat="false" ht="14.25" hidden="false" customHeight="false" outlineLevel="0" collapsed="false">
      <c r="C407" s="69" t="s">
        <v>292</v>
      </c>
    </row>
  </sheetData>
  <conditionalFormatting sqref="H3">
    <cfRule type="cellIs" priority="2" operator="equal" aboveAverage="0" equalAverage="0" bottom="0" percent="0" rank="0" text="" dxfId="0">
      <formula>0</formula>
    </cfRule>
    <cfRule type="cellIs" priority="3" operator="notEqual" aboveAverage="0" equalAverage="0" bottom="0" percent="0" rank="0" text="" dxfId="1">
      <formula>0</formula>
    </cfRule>
  </conditionalFormatting>
  <conditionalFormatting sqref="H405">
    <cfRule type="cellIs" priority="4" operator="notEqual" aboveAverage="0" equalAverage="0" bottom="0" percent="0" rank="0" text="" dxfId="2">
      <formula>0</formula>
    </cfRule>
  </conditionalFormatting>
  <dataValidations count="1">
    <dataValidation allowBlank="false" errorStyle="stop" operator="between" showDropDown="false" showErrorMessage="false" showInputMessage="false" sqref="H25" type="list">
      <formula1>"Base,Low,High"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23" activeCellId="0" sqref="E23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4"/>
    <col collapsed="false" customWidth="true" hidden="false" outlineLevel="0" max="4" min="4" style="0" width="11"/>
    <col collapsed="false" customWidth="true" hidden="false" outlineLevel="0" max="7" min="5" style="0" width="13"/>
    <col collapsed="false" customWidth="true" hidden="false" outlineLevel="0" max="8" min="8" style="0" width="50"/>
  </cols>
  <sheetData>
    <row r="2" customFormat="false" ht="14.25" hidden="false" customHeight="false" outlineLevel="0" collapsed="false">
      <c r="C2" s="1" t="s">
        <v>293</v>
      </c>
    </row>
    <row r="4" customFormat="false" ht="14.25" hidden="false" customHeight="false" outlineLevel="0" collapsed="false">
      <c r="B4" s="4" t="s">
        <v>3</v>
      </c>
      <c r="C4" s="4" t="s">
        <v>294</v>
      </c>
      <c r="D4" s="4"/>
      <c r="E4" s="5" t="s">
        <v>5</v>
      </c>
      <c r="F4" s="5" t="s">
        <v>6</v>
      </c>
      <c r="G4" s="5" t="s">
        <v>7</v>
      </c>
      <c r="H4" s="4" t="s">
        <v>295</v>
      </c>
    </row>
    <row r="5" customFormat="false" ht="14.25" hidden="false" customHeight="false" outlineLevel="0" collapsed="false">
      <c r="C5" s="44" t="s">
        <v>296</v>
      </c>
      <c r="D5" s="44"/>
      <c r="E5" s="45"/>
      <c r="F5" s="45"/>
      <c r="G5" s="45"/>
      <c r="H5" s="45"/>
    </row>
    <row r="6" customFormat="false" ht="14.25" hidden="false" customHeight="false" outlineLevel="0" collapsed="false">
      <c r="C6" s="6" t="s">
        <v>297</v>
      </c>
      <c r="D6" s="2" t="s">
        <v>298</v>
      </c>
      <c r="E6" s="7" t="n">
        <v>365</v>
      </c>
      <c r="H6" s="2" t="s">
        <v>299</v>
      </c>
    </row>
    <row r="7" customFormat="false" ht="14.25" hidden="false" customHeight="false" outlineLevel="0" collapsed="false">
      <c r="C7" s="6" t="s">
        <v>300</v>
      </c>
      <c r="D7" s="2" t="s">
        <v>301</v>
      </c>
      <c r="E7" s="7" t="n">
        <v>406000000</v>
      </c>
      <c r="H7" s="2" t="s">
        <v>302</v>
      </c>
    </row>
    <row r="8" customFormat="false" ht="14.25" hidden="false" customHeight="false" outlineLevel="0" collapsed="false">
      <c r="C8" s="6" t="s">
        <v>303</v>
      </c>
      <c r="D8" s="2" t="s">
        <v>304</v>
      </c>
      <c r="E8" s="7" t="n">
        <v>200000000</v>
      </c>
      <c r="H8" s="2" t="s">
        <v>305</v>
      </c>
    </row>
    <row r="9" customFormat="false" ht="14.25" hidden="false" customHeight="false" outlineLevel="0" collapsed="false">
      <c r="C9" s="6" t="s">
        <v>306</v>
      </c>
      <c r="D9" s="2" t="s">
        <v>12</v>
      </c>
      <c r="E9" s="9" t="n">
        <v>0.005</v>
      </c>
      <c r="H9" s="2" t="s">
        <v>307</v>
      </c>
    </row>
    <row r="10" customFormat="false" ht="14.25" hidden="false" customHeight="false" outlineLevel="0" collapsed="false">
      <c r="C10" s="6" t="s">
        <v>308</v>
      </c>
      <c r="D10" s="2" t="s">
        <v>12</v>
      </c>
      <c r="E10" s="9" t="n">
        <v>0.025</v>
      </c>
      <c r="H10" s="2" t="s">
        <v>309</v>
      </c>
    </row>
    <row r="11" customFormat="false" ht="14.25" hidden="false" customHeight="false" outlineLevel="0" collapsed="false">
      <c r="C11" s="6" t="s">
        <v>310</v>
      </c>
      <c r="D11" s="2" t="s">
        <v>74</v>
      </c>
      <c r="E11" s="7" t="n">
        <v>3000000</v>
      </c>
      <c r="H11" s="2" t="s">
        <v>311</v>
      </c>
    </row>
    <row r="12" customFormat="false" ht="14.25" hidden="false" customHeight="false" outlineLevel="0" collapsed="false">
      <c r="C12" s="6" t="s">
        <v>77</v>
      </c>
      <c r="D12" s="2" t="s">
        <v>312</v>
      </c>
      <c r="E12" s="7" t="n">
        <v>4500000</v>
      </c>
      <c r="H12" s="2" t="s">
        <v>313</v>
      </c>
    </row>
    <row r="13" customFormat="false" ht="14.25" hidden="false" customHeight="false" outlineLevel="0" collapsed="false">
      <c r="C13" s="44" t="s">
        <v>314</v>
      </c>
      <c r="D13" s="44"/>
      <c r="E13" s="45"/>
      <c r="F13" s="45"/>
      <c r="G13" s="45"/>
      <c r="H13" s="45"/>
    </row>
    <row r="14" customFormat="false" ht="14.25" hidden="false" customHeight="false" outlineLevel="0" collapsed="false">
      <c r="C14" s="6" t="s">
        <v>315</v>
      </c>
      <c r="D14" s="2" t="s">
        <v>312</v>
      </c>
      <c r="E14" s="7" t="n">
        <v>73071306</v>
      </c>
      <c r="F14" s="7" t="n">
        <v>19826680</v>
      </c>
      <c r="G14" s="7" t="n">
        <v>19826680</v>
      </c>
      <c r="H14" s="2" t="s">
        <v>316</v>
      </c>
    </row>
    <row r="15" customFormat="false" ht="14.25" hidden="false" customHeight="false" outlineLevel="0" collapsed="false">
      <c r="C15" s="6" t="s">
        <v>317</v>
      </c>
      <c r="D15" s="2" t="s">
        <v>74</v>
      </c>
      <c r="E15" s="7" t="n">
        <v>508345804</v>
      </c>
      <c r="F15" s="7" t="n">
        <v>460000000</v>
      </c>
      <c r="G15" s="7" t="n">
        <v>460000000</v>
      </c>
      <c r="H15" s="2" t="s">
        <v>318</v>
      </c>
    </row>
    <row r="16" customFormat="false" ht="14.25" hidden="false" customHeight="false" outlineLevel="0" collapsed="false">
      <c r="C16" s="6" t="s">
        <v>319</v>
      </c>
      <c r="D16" s="2" t="s">
        <v>320</v>
      </c>
      <c r="E16" s="11" t="n">
        <v>2</v>
      </c>
      <c r="F16" s="11" t="n">
        <v>1</v>
      </c>
      <c r="G16" s="11" t="n">
        <v>1</v>
      </c>
      <c r="H16" s="2" t="s">
        <v>321</v>
      </c>
    </row>
    <row r="17" customFormat="false" ht="14.25" hidden="false" customHeight="false" outlineLevel="0" collapsed="false">
      <c r="C17" s="6" t="s">
        <v>82</v>
      </c>
      <c r="D17" s="2" t="s">
        <v>85</v>
      </c>
      <c r="E17" s="7" t="n">
        <v>100</v>
      </c>
      <c r="F17" s="7" t="n">
        <v>150</v>
      </c>
      <c r="G17" s="7" t="n">
        <v>150</v>
      </c>
      <c r="H17" s="2" t="s">
        <v>322</v>
      </c>
    </row>
    <row r="18" customFormat="false" ht="14.25" hidden="false" customHeight="false" outlineLevel="0" collapsed="false">
      <c r="C18" s="6" t="s">
        <v>323</v>
      </c>
      <c r="D18" s="2" t="s">
        <v>3</v>
      </c>
      <c r="E18" s="12" t="n">
        <v>0.25</v>
      </c>
      <c r="F18" s="12" t="n">
        <v>0.25</v>
      </c>
      <c r="G18" s="12" t="n">
        <v>0.25</v>
      </c>
      <c r="H18" s="2" t="s">
        <v>324</v>
      </c>
    </row>
    <row r="19" customFormat="false" ht="14.25" hidden="false" customHeight="false" outlineLevel="0" collapsed="false">
      <c r="C19" s="6" t="s">
        <v>325</v>
      </c>
      <c r="D19" s="2" t="s">
        <v>2</v>
      </c>
      <c r="E19" s="11" t="n">
        <v>0</v>
      </c>
      <c r="F19" s="11" t="n">
        <v>0</v>
      </c>
      <c r="G19" s="11" t="n">
        <v>0</v>
      </c>
      <c r="H19" s="2" t="s">
        <v>326</v>
      </c>
    </row>
    <row r="20" customFormat="false" ht="14.25" hidden="false" customHeight="false" outlineLevel="0" collapsed="false">
      <c r="C20" s="6" t="s">
        <v>327</v>
      </c>
      <c r="D20" s="2" t="s">
        <v>158</v>
      </c>
      <c r="E20" s="70" t="n">
        <v>46234</v>
      </c>
      <c r="F20" s="70" t="n">
        <v>46234</v>
      </c>
      <c r="G20" s="70" t="n">
        <v>46234</v>
      </c>
      <c r="H20" s="2" t="s">
        <v>328</v>
      </c>
    </row>
    <row r="21" customFormat="false" ht="14.25" hidden="false" customHeight="false" outlineLevel="0" collapsed="false">
      <c r="C21" s="6" t="s">
        <v>329</v>
      </c>
      <c r="D21" s="2" t="s">
        <v>158</v>
      </c>
      <c r="E21" s="70" t="n">
        <v>46325</v>
      </c>
      <c r="F21" s="70" t="n">
        <v>46325</v>
      </c>
      <c r="G21" s="70" t="n">
        <v>46325</v>
      </c>
      <c r="H21" s="2" t="s">
        <v>330</v>
      </c>
    </row>
    <row r="22" customFormat="false" ht="14.25" hidden="false" customHeight="false" outlineLevel="0" collapsed="false">
      <c r="C22" s="6" t="s">
        <v>331</v>
      </c>
      <c r="D22" s="2" t="s">
        <v>158</v>
      </c>
      <c r="E22" s="70" t="n">
        <v>46402</v>
      </c>
      <c r="F22" s="70" t="n">
        <v>46402</v>
      </c>
      <c r="G22" s="70" t="n">
        <v>46402</v>
      </c>
      <c r="H22" s="2" t="s">
        <v>332</v>
      </c>
    </row>
    <row r="23" customFormat="false" ht="14.25" hidden="false" customHeight="false" outlineLevel="0" collapsed="false">
      <c r="C23" s="6" t="s">
        <v>333</v>
      </c>
      <c r="D23" s="2" t="s">
        <v>158</v>
      </c>
      <c r="E23" s="70" t="n">
        <v>46402</v>
      </c>
      <c r="F23" s="70" t="n">
        <v>46402</v>
      </c>
      <c r="G23" s="70" t="n">
        <v>46402</v>
      </c>
      <c r="H23" s="2" t="s">
        <v>334</v>
      </c>
    </row>
    <row r="24" customFormat="false" ht="14.25" hidden="false" customHeight="false" outlineLevel="0" collapsed="false">
      <c r="C24" s="6" t="s">
        <v>335</v>
      </c>
      <c r="D24" s="2" t="s">
        <v>158</v>
      </c>
      <c r="E24" s="70" t="n">
        <v>47027</v>
      </c>
      <c r="F24" s="70" t="n">
        <v>47027</v>
      </c>
      <c r="G24" s="70" t="n">
        <v>47027</v>
      </c>
      <c r="H24" s="2" t="s">
        <v>336</v>
      </c>
    </row>
    <row r="25" customFormat="false" ht="14.25" hidden="false" customHeight="false" outlineLevel="0" collapsed="false">
      <c r="C25" s="6" t="s">
        <v>337</v>
      </c>
      <c r="D25" s="2" t="s">
        <v>158</v>
      </c>
      <c r="E25" s="70" t="n">
        <v>47299</v>
      </c>
      <c r="F25" s="70" t="n">
        <v>47299</v>
      </c>
      <c r="G25" s="70" t="n">
        <v>47299</v>
      </c>
      <c r="H25" s="2" t="s">
        <v>338</v>
      </c>
    </row>
    <row r="26" customFormat="false" ht="14.25" hidden="false" customHeight="false" outlineLevel="0" collapsed="false">
      <c r="C26" s="6" t="s">
        <v>339</v>
      </c>
      <c r="D26" s="2" t="s">
        <v>158</v>
      </c>
      <c r="E26" s="70" t="n">
        <v>48029</v>
      </c>
      <c r="F26" s="70" t="n">
        <v>48029</v>
      </c>
      <c r="G26" s="70" t="n">
        <v>48029</v>
      </c>
      <c r="H26" s="2" t="s">
        <v>340</v>
      </c>
    </row>
    <row r="27" customFormat="false" ht="14.25" hidden="false" customHeight="false" outlineLevel="0" collapsed="false">
      <c r="C27" s="6" t="s">
        <v>341</v>
      </c>
      <c r="D27" s="2" t="s">
        <v>158</v>
      </c>
      <c r="E27" s="70" t="n">
        <v>48669</v>
      </c>
      <c r="F27" s="70" t="n">
        <v>48669</v>
      </c>
      <c r="G27" s="70" t="n">
        <v>48669</v>
      </c>
      <c r="H27" s="2" t="s">
        <v>342</v>
      </c>
    </row>
    <row r="28" customFormat="false" ht="14.25" hidden="false" customHeight="false" outlineLevel="0" collapsed="false">
      <c r="C28" s="6" t="s">
        <v>343</v>
      </c>
      <c r="D28" s="2" t="s">
        <v>158</v>
      </c>
      <c r="E28" s="70" t="n">
        <v>46325</v>
      </c>
      <c r="F28" s="70" t="n">
        <v>46325</v>
      </c>
      <c r="G28" s="70" t="n">
        <v>46325</v>
      </c>
      <c r="H28" s="2" t="s">
        <v>344</v>
      </c>
    </row>
    <row r="29" customFormat="false" ht="14.25" hidden="false" customHeight="false" outlineLevel="0" collapsed="false">
      <c r="C29" s="44" t="s">
        <v>345</v>
      </c>
      <c r="D29" s="44"/>
      <c r="E29" s="45"/>
      <c r="F29" s="45"/>
      <c r="G29" s="45"/>
      <c r="H29" s="45"/>
    </row>
    <row r="30" customFormat="false" ht="14.25" hidden="false" customHeight="false" outlineLevel="0" collapsed="false">
      <c r="C30" s="6" t="s">
        <v>346</v>
      </c>
      <c r="D30" s="2" t="s">
        <v>12</v>
      </c>
      <c r="E30" s="9" t="n">
        <v>0.12</v>
      </c>
      <c r="H30" s="2" t="s">
        <v>347</v>
      </c>
    </row>
    <row r="31" customFormat="false" ht="14.25" hidden="false" customHeight="false" outlineLevel="0" collapsed="false">
      <c r="C31" s="6" t="s">
        <v>348</v>
      </c>
      <c r="D31" s="2" t="s">
        <v>12</v>
      </c>
      <c r="E31" s="9" t="n">
        <v>0.2</v>
      </c>
      <c r="H31" s="2" t="s">
        <v>349</v>
      </c>
    </row>
    <row r="32" customFormat="false" ht="14.25" hidden="false" customHeight="false" outlineLevel="0" collapsed="false">
      <c r="C32" s="6" t="s">
        <v>350</v>
      </c>
      <c r="D32" s="2" t="s">
        <v>3</v>
      </c>
      <c r="E32" s="12" t="n">
        <v>2</v>
      </c>
      <c r="H32" s="2" t="s">
        <v>351</v>
      </c>
    </row>
    <row r="33" customFormat="false" ht="14.25" hidden="false" customHeight="false" outlineLevel="0" collapsed="false">
      <c r="C33" s="6" t="s">
        <v>352</v>
      </c>
      <c r="D33" s="2" t="s">
        <v>158</v>
      </c>
      <c r="E33" s="70" t="n">
        <v>47299</v>
      </c>
      <c r="H33" s="2" t="s">
        <v>353</v>
      </c>
    </row>
    <row r="34" customFormat="false" ht="14.25" hidden="false" customHeight="false" outlineLevel="0" collapsed="false">
      <c r="C34" s="6" t="s">
        <v>354</v>
      </c>
      <c r="D34" s="2" t="s">
        <v>158</v>
      </c>
      <c r="E34" s="70" t="n">
        <v>47391</v>
      </c>
      <c r="H34" s="2" t="s">
        <v>355</v>
      </c>
    </row>
    <row r="35" customFormat="false" ht="14.25" hidden="false" customHeight="false" outlineLevel="0" collapsed="false">
      <c r="C35" s="6" t="s">
        <v>356</v>
      </c>
      <c r="D35" s="2" t="s">
        <v>158</v>
      </c>
      <c r="E35" s="70" t="n">
        <v>47026</v>
      </c>
      <c r="H35" s="2" t="s">
        <v>357</v>
      </c>
    </row>
    <row r="36" customFormat="false" ht="14.25" hidden="false" customHeight="false" outlineLevel="0" collapsed="false">
      <c r="C36" s="6" t="s">
        <v>358</v>
      </c>
      <c r="D36" s="2" t="s">
        <v>85</v>
      </c>
      <c r="E36" s="7" t="n">
        <v>250</v>
      </c>
      <c r="H36" s="2" t="s">
        <v>359</v>
      </c>
    </row>
    <row r="37" customFormat="false" ht="14.25" hidden="false" customHeight="false" outlineLevel="0" collapsed="false">
      <c r="C37" s="6" t="s">
        <v>360</v>
      </c>
      <c r="D37" s="2" t="s">
        <v>51</v>
      </c>
      <c r="E37" s="10" t="n">
        <v>2.5</v>
      </c>
      <c r="H37" s="2" t="s">
        <v>361</v>
      </c>
    </row>
    <row r="38" customFormat="false" ht="14.25" hidden="false" customHeight="false" outlineLevel="0" collapsed="false">
      <c r="C38" s="6" t="s">
        <v>362</v>
      </c>
      <c r="D38" s="2" t="s">
        <v>42</v>
      </c>
      <c r="E38" s="10" t="n">
        <v>10</v>
      </c>
      <c r="H38" s="2" t="s">
        <v>363</v>
      </c>
    </row>
    <row r="39" customFormat="false" ht="14.25" hidden="false" customHeight="false" outlineLevel="0" collapsed="false">
      <c r="C39" s="6" t="s">
        <v>364</v>
      </c>
      <c r="D39" s="2" t="s">
        <v>12</v>
      </c>
      <c r="E39" s="9" t="n">
        <v>0.15</v>
      </c>
      <c r="H39" s="2" t="s">
        <v>365</v>
      </c>
    </row>
    <row r="40" customFormat="false" ht="14.25" hidden="false" customHeight="false" outlineLevel="0" collapsed="false">
      <c r="C40" s="6" t="s">
        <v>366</v>
      </c>
      <c r="D40" s="2" t="s">
        <v>2</v>
      </c>
      <c r="E40" s="11" t="n">
        <v>1</v>
      </c>
      <c r="H40" s="2"/>
    </row>
    <row r="41" customFormat="false" ht="14.25" hidden="false" customHeight="false" outlineLevel="0" collapsed="false">
      <c r="C41" s="44" t="s">
        <v>367</v>
      </c>
      <c r="D41" s="44"/>
      <c r="E41" s="45"/>
      <c r="F41" s="45"/>
      <c r="G41" s="45"/>
      <c r="H41" s="45"/>
    </row>
    <row r="42" customFormat="false" ht="14.25" hidden="false" customHeight="false" outlineLevel="0" collapsed="false">
      <c r="C42" s="6" t="s">
        <v>368</v>
      </c>
      <c r="D42" s="2" t="s">
        <v>42</v>
      </c>
      <c r="E42" s="7" t="n">
        <v>80</v>
      </c>
      <c r="H42" s="2" t="s">
        <v>369</v>
      </c>
    </row>
    <row r="43" customFormat="false" ht="14.25" hidden="false" customHeight="false" outlineLevel="0" collapsed="false">
      <c r="C43" s="6" t="s">
        <v>102</v>
      </c>
      <c r="D43" s="2" t="s">
        <v>42</v>
      </c>
      <c r="E43" s="7" t="n">
        <v>90</v>
      </c>
      <c r="H43" s="2" t="s">
        <v>370</v>
      </c>
    </row>
    <row r="44" customFormat="false" ht="14.25" hidden="false" customHeight="false" outlineLevel="0" collapsed="false">
      <c r="C44" s="6" t="s">
        <v>103</v>
      </c>
      <c r="D44" s="2" t="s">
        <v>42</v>
      </c>
      <c r="E44" s="7" t="n">
        <v>70</v>
      </c>
      <c r="H44" s="2" t="s">
        <v>371</v>
      </c>
    </row>
    <row r="45" customFormat="false" ht="14.25" hidden="false" customHeight="false" outlineLevel="0" collapsed="false">
      <c r="C45" s="6" t="s">
        <v>104</v>
      </c>
      <c r="D45" s="2" t="s">
        <v>42</v>
      </c>
      <c r="E45" s="7" t="n">
        <v>60</v>
      </c>
      <c r="H45" s="2" t="s">
        <v>372</v>
      </c>
    </row>
    <row r="46" customFormat="false" ht="14.25" hidden="false" customHeight="false" outlineLevel="0" collapsed="false">
      <c r="C46" s="6" t="s">
        <v>105</v>
      </c>
      <c r="D46" s="2" t="s">
        <v>42</v>
      </c>
      <c r="E46" s="7" t="n">
        <v>40</v>
      </c>
      <c r="H46" s="2" t="s">
        <v>373</v>
      </c>
    </row>
    <row r="47" customFormat="false" ht="14.25" hidden="false" customHeight="false" outlineLevel="0" collapsed="false">
      <c r="C47" s="6" t="s">
        <v>106</v>
      </c>
      <c r="D47" s="2" t="s">
        <v>42</v>
      </c>
      <c r="E47" s="7" t="n">
        <v>15</v>
      </c>
      <c r="H47" s="2" t="s">
        <v>374</v>
      </c>
    </row>
    <row r="48" customFormat="false" ht="14.25" hidden="false" customHeight="false" outlineLevel="0" collapsed="false">
      <c r="C48" s="6" t="s">
        <v>375</v>
      </c>
      <c r="D48" s="2" t="s">
        <v>85</v>
      </c>
      <c r="E48" s="7" t="n">
        <v>12000</v>
      </c>
      <c r="H48" s="2" t="s">
        <v>376</v>
      </c>
    </row>
    <row r="49" customFormat="false" ht="14.25" hidden="false" customHeight="false" outlineLevel="0" collapsed="false">
      <c r="C49" s="6" t="s">
        <v>377</v>
      </c>
      <c r="D49" s="2" t="s">
        <v>10</v>
      </c>
      <c r="E49" s="7" t="n">
        <v>200</v>
      </c>
      <c r="H49" s="2" t="s">
        <v>378</v>
      </c>
    </row>
    <row r="50" customFormat="false" ht="14.25" hidden="false" customHeight="false" outlineLevel="0" collapsed="false">
      <c r="C50" s="6" t="s">
        <v>379</v>
      </c>
      <c r="D50" s="2" t="s">
        <v>12</v>
      </c>
      <c r="E50" s="9" t="n">
        <v>0.05</v>
      </c>
      <c r="H50" s="2" t="s">
        <v>380</v>
      </c>
    </row>
    <row r="51" customFormat="false" ht="14.25" hidden="false" customHeight="false" outlineLevel="0" collapsed="false">
      <c r="C51" s="6" t="s">
        <v>381</v>
      </c>
      <c r="D51" s="2" t="s">
        <v>382</v>
      </c>
      <c r="E51" s="7" t="n">
        <v>100</v>
      </c>
      <c r="H51" s="2" t="s">
        <v>383</v>
      </c>
    </row>
    <row r="52" customFormat="false" ht="14.25" hidden="false" customHeight="false" outlineLevel="0" collapsed="false">
      <c r="C52" s="44" t="s">
        <v>384</v>
      </c>
      <c r="D52" s="44"/>
      <c r="E52" s="45"/>
      <c r="F52" s="45"/>
      <c r="G52" s="45"/>
      <c r="H52" s="45"/>
    </row>
    <row r="53" customFormat="false" ht="14.25" hidden="false" customHeight="false" outlineLevel="0" collapsed="false">
      <c r="C53" s="6" t="s">
        <v>385</v>
      </c>
      <c r="D53" s="2" t="s">
        <v>12</v>
      </c>
      <c r="E53" s="9" t="n">
        <v>0.02</v>
      </c>
      <c r="H53" s="2" t="s">
        <v>386</v>
      </c>
    </row>
    <row r="54" customFormat="false" ht="14.25" hidden="false" customHeight="false" outlineLevel="0" collapsed="false">
      <c r="C54" s="6" t="s">
        <v>387</v>
      </c>
      <c r="D54" s="2" t="s">
        <v>12</v>
      </c>
      <c r="E54" s="9" t="n">
        <v>0.04</v>
      </c>
      <c r="H54" s="2" t="s">
        <v>388</v>
      </c>
    </row>
    <row r="55" customFormat="false" ht="14.25" hidden="false" customHeight="false" outlineLevel="0" collapsed="false">
      <c r="C55" s="6" t="s">
        <v>389</v>
      </c>
      <c r="D55" s="2" t="s">
        <v>390</v>
      </c>
      <c r="E55" s="9" t="n">
        <v>0.003</v>
      </c>
      <c r="H55" s="2" t="s">
        <v>391</v>
      </c>
    </row>
    <row r="56" customFormat="false" ht="14.25" hidden="false" customHeight="false" outlineLevel="0" collapsed="false">
      <c r="C56" s="6" t="s">
        <v>392</v>
      </c>
      <c r="D56" s="2" t="s">
        <v>390</v>
      </c>
      <c r="E56" s="9" t="n">
        <v>0.01</v>
      </c>
      <c r="H56" s="2" t="s">
        <v>393</v>
      </c>
    </row>
    <row r="57" customFormat="false" ht="14.25" hidden="false" customHeight="false" outlineLevel="0" collapsed="false">
      <c r="C57" s="44" t="s">
        <v>394</v>
      </c>
      <c r="D57" s="44"/>
      <c r="E57" s="45"/>
      <c r="F57" s="45"/>
      <c r="G57" s="45"/>
      <c r="H57" s="45"/>
    </row>
    <row r="58" customFormat="false" ht="14.25" hidden="false" customHeight="false" outlineLevel="0" collapsed="false">
      <c r="C58" s="6" t="s">
        <v>395</v>
      </c>
      <c r="D58" s="2" t="s">
        <v>51</v>
      </c>
      <c r="E58" s="10" t="n">
        <v>3</v>
      </c>
      <c r="H58" s="2" t="s">
        <v>396</v>
      </c>
    </row>
    <row r="59" customFormat="false" ht="14.25" hidden="false" customHeight="false" outlineLevel="0" collapsed="false">
      <c r="C59" s="6" t="s">
        <v>397</v>
      </c>
      <c r="D59" s="2" t="s">
        <v>51</v>
      </c>
      <c r="E59" s="10" t="n">
        <v>3</v>
      </c>
      <c r="H59" s="2" t="s">
        <v>398</v>
      </c>
    </row>
    <row r="60" customFormat="false" ht="14.25" hidden="false" customHeight="false" outlineLevel="0" collapsed="false">
      <c r="C60" s="6" t="s">
        <v>399</v>
      </c>
      <c r="D60" s="2" t="s">
        <v>51</v>
      </c>
      <c r="E60" s="10" t="n">
        <v>2.5</v>
      </c>
      <c r="H60" s="2" t="s">
        <v>400</v>
      </c>
    </row>
    <row r="61" customFormat="false" ht="14.25" hidden="false" customHeight="false" outlineLevel="0" collapsed="false">
      <c r="C61" s="6" t="s">
        <v>401</v>
      </c>
      <c r="D61" s="2" t="s">
        <v>51</v>
      </c>
      <c r="E61" s="10" t="n">
        <v>1.5</v>
      </c>
      <c r="H61" s="2" t="s">
        <v>402</v>
      </c>
    </row>
    <row r="62" customFormat="false" ht="14.25" hidden="false" customHeight="false" outlineLevel="0" collapsed="false">
      <c r="C62" s="6" t="s">
        <v>403</v>
      </c>
      <c r="D62" s="2" t="s">
        <v>51</v>
      </c>
      <c r="E62" s="10" t="n">
        <v>3</v>
      </c>
      <c r="H62" s="2" t="s">
        <v>404</v>
      </c>
    </row>
    <row r="63" customFormat="false" ht="14.25" hidden="false" customHeight="false" outlineLevel="0" collapsed="false">
      <c r="C63" s="6" t="s">
        <v>405</v>
      </c>
      <c r="D63" s="2" t="s">
        <v>406</v>
      </c>
      <c r="E63" s="7" t="n">
        <v>150</v>
      </c>
      <c r="H63" s="2" t="s">
        <v>407</v>
      </c>
    </row>
    <row r="64" customFormat="false" ht="14.25" hidden="false" customHeight="false" outlineLevel="0" collapsed="false">
      <c r="C64" s="6" t="s">
        <v>408</v>
      </c>
      <c r="D64" s="2" t="s">
        <v>20</v>
      </c>
      <c r="E64" s="10" t="n">
        <v>4</v>
      </c>
      <c r="H64" s="2" t="s">
        <v>409</v>
      </c>
    </row>
    <row r="65" customFormat="false" ht="14.25" hidden="false" customHeight="false" outlineLevel="0" collapsed="false">
      <c r="C65" s="6" t="s">
        <v>410</v>
      </c>
      <c r="D65" s="2" t="s">
        <v>20</v>
      </c>
      <c r="E65" s="10" t="n">
        <v>1</v>
      </c>
      <c r="H65" s="2" t="s">
        <v>411</v>
      </c>
    </row>
    <row r="66" customFormat="false" ht="14.25" hidden="false" customHeight="false" outlineLevel="0" collapsed="false">
      <c r="C66" s="6" t="s">
        <v>267</v>
      </c>
      <c r="D66" s="2" t="s">
        <v>412</v>
      </c>
      <c r="E66" s="9" t="n">
        <v>0.001</v>
      </c>
      <c r="H66" s="2" t="s">
        <v>413</v>
      </c>
    </row>
    <row r="67" customFormat="false" ht="14.25" hidden="false" customHeight="false" outlineLevel="0" collapsed="false">
      <c r="C67" s="6" t="s">
        <v>270</v>
      </c>
      <c r="D67" s="2" t="s">
        <v>412</v>
      </c>
      <c r="E67" s="9" t="n">
        <v>0.02</v>
      </c>
      <c r="H67" s="2" t="s">
        <v>414</v>
      </c>
    </row>
    <row r="68" customFormat="false" ht="14.25" hidden="false" customHeight="false" outlineLevel="0" collapsed="false">
      <c r="C68" s="6" t="s">
        <v>415</v>
      </c>
      <c r="D68" s="2" t="s">
        <v>12</v>
      </c>
      <c r="E68" s="9" t="n">
        <v>0.05</v>
      </c>
      <c r="H68" s="2" t="s">
        <v>416</v>
      </c>
    </row>
    <row r="69" customFormat="false" ht="14.25" hidden="false" customHeight="false" outlineLevel="0" collapsed="false">
      <c r="C69" s="6" t="s">
        <v>417</v>
      </c>
      <c r="D69" s="2" t="s">
        <v>390</v>
      </c>
      <c r="E69" s="9" t="n">
        <v>0.025</v>
      </c>
      <c r="H69" s="2" t="s">
        <v>418</v>
      </c>
    </row>
    <row r="70" customFormat="false" ht="14.25" hidden="false" customHeight="false" outlineLevel="0" collapsed="false">
      <c r="C70" s="44" t="s">
        <v>419</v>
      </c>
      <c r="D70" s="44"/>
      <c r="E70" s="45"/>
      <c r="F70" s="45"/>
      <c r="G70" s="45"/>
      <c r="H70" s="45"/>
    </row>
    <row r="71" customFormat="false" ht="14.25" hidden="false" customHeight="false" outlineLevel="0" collapsed="false">
      <c r="C71" s="6" t="s">
        <v>420</v>
      </c>
      <c r="D71" s="2" t="s">
        <v>247</v>
      </c>
      <c r="E71" s="11" t="n">
        <v>30</v>
      </c>
      <c r="H71" s="2" t="s">
        <v>421</v>
      </c>
    </row>
    <row r="72" customFormat="false" ht="14.25" hidden="false" customHeight="false" outlineLevel="0" collapsed="false">
      <c r="C72" s="6" t="s">
        <v>422</v>
      </c>
      <c r="D72" s="2" t="s">
        <v>12</v>
      </c>
      <c r="E72" s="9" t="n">
        <v>0.08</v>
      </c>
      <c r="H72" s="2" t="s">
        <v>423</v>
      </c>
    </row>
    <row r="73" customFormat="false" ht="14.25" hidden="false" customHeight="false" outlineLevel="0" collapsed="false">
      <c r="C73" s="6" t="s">
        <v>424</v>
      </c>
      <c r="D73" s="2" t="s">
        <v>148</v>
      </c>
      <c r="E73" s="11" t="n">
        <v>2026</v>
      </c>
      <c r="H73" s="2" t="s">
        <v>425</v>
      </c>
    </row>
    <row r="74" customFormat="false" ht="14.25" hidden="false" customHeight="false" outlineLevel="0" collapsed="false">
      <c r="C74" s="6" t="s">
        <v>426</v>
      </c>
      <c r="D74" s="2" t="s">
        <v>3</v>
      </c>
      <c r="E74" s="7" t="n">
        <v>1000</v>
      </c>
      <c r="H74" s="2" t="s">
        <v>427</v>
      </c>
    </row>
    <row r="75" customFormat="false" ht="14.25" hidden="false" customHeight="false" outlineLevel="0" collapsed="false">
      <c r="C75" s="6" t="s">
        <v>428</v>
      </c>
      <c r="D75" s="2" t="s">
        <v>162</v>
      </c>
      <c r="E75" s="11" t="n">
        <v>365</v>
      </c>
      <c r="H75" s="2" t="s">
        <v>427</v>
      </c>
    </row>
    <row r="76" customFormat="false" ht="14.25" hidden="false" customHeight="false" outlineLevel="0" collapsed="false">
      <c r="C76" s="6" t="s">
        <v>429</v>
      </c>
      <c r="D76" s="2" t="s">
        <v>249</v>
      </c>
      <c r="E76" s="11" t="n">
        <v>12</v>
      </c>
      <c r="H76" s="2" t="s">
        <v>427</v>
      </c>
    </row>
    <row r="77" customFormat="false" ht="14.25" hidden="false" customHeight="false" outlineLevel="0" collapsed="false">
      <c r="C77" s="6" t="s">
        <v>430</v>
      </c>
      <c r="D77" s="2" t="s">
        <v>85</v>
      </c>
      <c r="E77" s="71" t="n">
        <v>0.001</v>
      </c>
      <c r="H77" s="2" t="s">
        <v>427</v>
      </c>
    </row>
    <row r="79" customFormat="false" ht="14.25" hidden="false" customHeight="false" outlineLevel="0" collapsed="false">
      <c r="C79" s="44" t="s">
        <v>431</v>
      </c>
      <c r="D79" s="44"/>
      <c r="E79" s="45"/>
      <c r="F79" s="45"/>
      <c r="G79" s="45"/>
      <c r="H79" s="45"/>
    </row>
    <row r="80" customFormat="false" ht="14.25" hidden="false" customHeight="false" outlineLevel="0" collapsed="false">
      <c r="C80" s="6" t="s">
        <v>432</v>
      </c>
      <c r="D80" s="2" t="s">
        <v>74</v>
      </c>
      <c r="E80" s="7" t="n">
        <v>20590500</v>
      </c>
      <c r="F80" s="70" t="n">
        <v>46431</v>
      </c>
      <c r="G80" s="72" t="s">
        <v>119</v>
      </c>
      <c r="H80" s="2" t="s">
        <v>433</v>
      </c>
    </row>
    <row r="81" customFormat="false" ht="14.25" hidden="false" customHeight="false" outlineLevel="0" collapsed="false">
      <c r="C81" s="6" t="s">
        <v>434</v>
      </c>
      <c r="D81" s="2" t="s">
        <v>74</v>
      </c>
      <c r="E81" s="7" t="n">
        <v>45600000</v>
      </c>
      <c r="F81" s="70" t="n">
        <v>46431</v>
      </c>
      <c r="G81" s="72" t="s">
        <v>119</v>
      </c>
      <c r="H81" s="2" t="s">
        <v>435</v>
      </c>
    </row>
    <row r="82" customFormat="false" ht="14.25" hidden="false" customHeight="false" outlineLevel="0" collapsed="false">
      <c r="C82" s="6" t="s">
        <v>436</v>
      </c>
      <c r="D82" s="2" t="s">
        <v>74</v>
      </c>
      <c r="E82" s="7" t="n">
        <v>59142857.1428571</v>
      </c>
      <c r="F82" s="70" t="n">
        <v>46976</v>
      </c>
      <c r="G82" s="72" t="s">
        <v>437</v>
      </c>
      <c r="H82" s="2" t="s">
        <v>438</v>
      </c>
    </row>
    <row r="83" customFormat="false" ht="14.25" hidden="false" customHeight="false" outlineLevel="0" collapsed="false">
      <c r="C83" s="6" t="s">
        <v>439</v>
      </c>
      <c r="D83" s="2" t="s">
        <v>74</v>
      </c>
      <c r="E83" s="7" t="n">
        <v>750544</v>
      </c>
      <c r="F83" s="70" t="n">
        <v>46976</v>
      </c>
      <c r="G83" s="72" t="s">
        <v>437</v>
      </c>
      <c r="H83" s="2" t="s">
        <v>440</v>
      </c>
    </row>
    <row r="84" customFormat="false" ht="14.25" hidden="false" customHeight="false" outlineLevel="0" collapsed="false">
      <c r="C84" s="6" t="s">
        <v>441</v>
      </c>
      <c r="D84" s="2" t="s">
        <v>74</v>
      </c>
      <c r="E84" s="7" t="n">
        <v>65580000</v>
      </c>
      <c r="F84" s="70" t="n">
        <v>46296</v>
      </c>
      <c r="G84" s="72" t="s">
        <v>437</v>
      </c>
      <c r="H84" s="2" t="s">
        <v>442</v>
      </c>
    </row>
    <row r="85" customFormat="false" ht="14.25" hidden="false" customHeight="false" outlineLevel="0" collapsed="false">
      <c r="C85" s="6" t="s">
        <v>443</v>
      </c>
      <c r="D85" s="2" t="s">
        <v>74</v>
      </c>
      <c r="E85" s="7" t="n">
        <v>147260000</v>
      </c>
      <c r="F85" s="70" t="n">
        <v>46447</v>
      </c>
      <c r="G85" s="72" t="s">
        <v>437</v>
      </c>
      <c r="H85" s="2" t="s">
        <v>444</v>
      </c>
    </row>
    <row r="86" customFormat="false" ht="14.25" hidden="false" customHeight="false" outlineLevel="0" collapsed="false">
      <c r="C86" s="6" t="s">
        <v>445</v>
      </c>
      <c r="D86" s="2" t="s">
        <v>74</v>
      </c>
      <c r="E86" s="7" t="n">
        <v>3600000</v>
      </c>
      <c r="F86" s="70" t="n">
        <v>46388</v>
      </c>
      <c r="G86" s="72" t="s">
        <v>437</v>
      </c>
      <c r="H86" s="2" t="s">
        <v>446</v>
      </c>
    </row>
    <row r="87" customFormat="false" ht="14.25" hidden="false" customHeight="false" outlineLevel="0" collapsed="false">
      <c r="C87" s="6" t="s">
        <v>447</v>
      </c>
      <c r="D87" s="2" t="s">
        <v>74</v>
      </c>
      <c r="E87" s="7" t="n">
        <v>1665000</v>
      </c>
      <c r="F87" s="70" t="n">
        <v>46932</v>
      </c>
      <c r="G87" s="72" t="s">
        <v>437</v>
      </c>
      <c r="H87" s="2" t="s">
        <v>448</v>
      </c>
    </row>
    <row r="88" customFormat="false" ht="14.25" hidden="false" customHeight="false" outlineLevel="0" collapsed="false">
      <c r="C88" s="6" t="s">
        <v>449</v>
      </c>
      <c r="D88" s="2" t="s">
        <v>74</v>
      </c>
      <c r="E88" s="7" t="n">
        <v>960000</v>
      </c>
      <c r="F88" s="70" t="n">
        <v>46746</v>
      </c>
      <c r="G88" s="72" t="s">
        <v>437</v>
      </c>
      <c r="H88" s="2" t="s">
        <v>450</v>
      </c>
    </row>
    <row r="89" customFormat="false" ht="14.25" hidden="false" customHeight="false" outlineLevel="0" collapsed="false">
      <c r="C89" s="6" t="s">
        <v>451</v>
      </c>
      <c r="D89" s="2" t="s">
        <v>74</v>
      </c>
      <c r="E89" s="7" t="n">
        <v>8000000</v>
      </c>
      <c r="F89" s="70" t="n">
        <v>46596</v>
      </c>
      <c r="G89" s="72" t="s">
        <v>437</v>
      </c>
      <c r="H89" s="2" t="s">
        <v>452</v>
      </c>
    </row>
    <row r="90" customFormat="false" ht="14.25" hidden="false" customHeight="false" outlineLevel="0" collapsed="false">
      <c r="C90" s="6" t="s">
        <v>453</v>
      </c>
      <c r="D90" s="2" t="s">
        <v>74</v>
      </c>
      <c r="E90" s="7" t="n">
        <v>50000000</v>
      </c>
      <c r="F90" s="70" t="n">
        <v>46806</v>
      </c>
      <c r="G90" s="72" t="s">
        <v>437</v>
      </c>
      <c r="H90" s="2" t="s">
        <v>454</v>
      </c>
    </row>
    <row r="91" customFormat="false" ht="14.25" hidden="false" customHeight="false" outlineLevel="0" collapsed="false">
      <c r="C91" s="6" t="s">
        <v>455</v>
      </c>
      <c r="D91" s="2" t="s">
        <v>74</v>
      </c>
      <c r="E91" s="7" t="n">
        <v>35000000</v>
      </c>
      <c r="F91" s="70" t="n">
        <v>46806</v>
      </c>
      <c r="G91" s="72" t="s">
        <v>437</v>
      </c>
      <c r="H91" s="2" t="s">
        <v>456</v>
      </c>
    </row>
    <row r="92" customFormat="false" ht="14.25" hidden="false" customHeight="false" outlineLevel="0" collapsed="false">
      <c r="C92" s="6" t="s">
        <v>457</v>
      </c>
      <c r="D92" s="2" t="s">
        <v>74</v>
      </c>
      <c r="E92" s="7" t="n">
        <v>14832000</v>
      </c>
      <c r="F92" s="70" t="n">
        <v>46751</v>
      </c>
      <c r="G92" s="72" t="s">
        <v>437</v>
      </c>
      <c r="H92" s="2" t="s">
        <v>458</v>
      </c>
    </row>
    <row r="93" customFormat="false" ht="14.25" hidden="false" customHeight="false" outlineLevel="0" collapsed="false">
      <c r="C93" s="6" t="s">
        <v>459</v>
      </c>
      <c r="D93" s="2" t="s">
        <v>74</v>
      </c>
      <c r="E93" s="7" t="n">
        <v>40000</v>
      </c>
      <c r="F93" s="70" t="n">
        <v>46871</v>
      </c>
      <c r="G93" s="72" t="s">
        <v>437</v>
      </c>
      <c r="H93" s="2" t="s">
        <v>460</v>
      </c>
    </row>
    <row r="94" customFormat="false" ht="14.25" hidden="false" customHeight="false" outlineLevel="0" collapsed="false">
      <c r="C94" s="6" t="s">
        <v>461</v>
      </c>
      <c r="D94" s="2" t="s">
        <v>74</v>
      </c>
      <c r="E94" s="7" t="n">
        <v>32610000</v>
      </c>
      <c r="F94" s="70" t="n">
        <v>46841</v>
      </c>
      <c r="G94" s="72" t="s">
        <v>437</v>
      </c>
      <c r="H94" s="2" t="s">
        <v>462</v>
      </c>
    </row>
    <row r="95" customFormat="false" ht="14.25" hidden="false" customHeight="false" outlineLevel="0" collapsed="false">
      <c r="C95" s="6" t="s">
        <v>463</v>
      </c>
      <c r="D95" s="2" t="s">
        <v>74</v>
      </c>
      <c r="E95" s="7" t="n">
        <v>8000000</v>
      </c>
      <c r="F95" s="70" t="n">
        <v>46596</v>
      </c>
      <c r="G95" s="72" t="s">
        <v>437</v>
      </c>
      <c r="H95" s="2" t="s">
        <v>464</v>
      </c>
    </row>
    <row r="96" customFormat="false" ht="14.25" hidden="false" customHeight="false" outlineLevel="0" collapsed="false">
      <c r="C96" s="6" t="s">
        <v>465</v>
      </c>
      <c r="D96" s="2" t="s">
        <v>74</v>
      </c>
      <c r="E96" s="7" t="n">
        <v>8000000</v>
      </c>
      <c r="F96" s="70" t="n">
        <v>46566</v>
      </c>
      <c r="G96" s="72" t="s">
        <v>437</v>
      </c>
      <c r="H96" s="2" t="s">
        <v>466</v>
      </c>
    </row>
    <row r="97" customFormat="false" ht="14.25" hidden="false" customHeight="false" outlineLevel="0" collapsed="false">
      <c r="C97" s="6" t="s">
        <v>467</v>
      </c>
      <c r="D97" s="2" t="s">
        <v>74</v>
      </c>
      <c r="E97" s="7" t="n">
        <v>8000000</v>
      </c>
      <c r="F97" s="70" t="n">
        <v>46566</v>
      </c>
      <c r="G97" s="72" t="s">
        <v>437</v>
      </c>
      <c r="H97" s="2" t="s">
        <v>468</v>
      </c>
    </row>
    <row r="98" customFormat="false" ht="14.25" hidden="false" customHeight="false" outlineLevel="0" collapsed="false">
      <c r="C98" s="6" t="s">
        <v>469</v>
      </c>
      <c r="D98" s="2" t="s">
        <v>74</v>
      </c>
      <c r="E98" s="7" t="n">
        <v>4590000</v>
      </c>
      <c r="F98" s="70" t="n">
        <v>46780</v>
      </c>
      <c r="G98" s="72" t="s">
        <v>437</v>
      </c>
      <c r="H98" s="2" t="s">
        <v>470</v>
      </c>
    </row>
    <row r="99" customFormat="false" ht="14.25" hidden="false" customHeight="false" outlineLevel="0" collapsed="false">
      <c r="C99" s="6" t="s">
        <v>471</v>
      </c>
      <c r="D99" s="2" t="s">
        <v>74</v>
      </c>
      <c r="E99" s="7" t="n">
        <v>138000000</v>
      </c>
      <c r="F99" s="70" t="n">
        <v>46780</v>
      </c>
      <c r="G99" s="72" t="s">
        <v>437</v>
      </c>
      <c r="H99" s="2" t="s">
        <v>472</v>
      </c>
    </row>
    <row r="100" customFormat="false" ht="14.25" hidden="false" customHeight="false" outlineLevel="0" collapsed="false">
      <c r="C100" s="6" t="s">
        <v>473</v>
      </c>
      <c r="D100" s="2" t="s">
        <v>74</v>
      </c>
      <c r="E100" s="7" t="n">
        <v>45000000</v>
      </c>
      <c r="F100" s="70" t="n">
        <v>46780</v>
      </c>
      <c r="G100" s="72" t="s">
        <v>437</v>
      </c>
      <c r="H100" s="2" t="s">
        <v>474</v>
      </c>
    </row>
    <row r="101" customFormat="false" ht="14.25" hidden="false" customHeight="false" outlineLevel="0" collapsed="false">
      <c r="C101" s="6" t="s">
        <v>475</v>
      </c>
      <c r="D101" s="2" t="s">
        <v>74</v>
      </c>
      <c r="E101" s="7" t="n">
        <v>74896683.6734694</v>
      </c>
      <c r="F101" s="70" t="n">
        <v>46780</v>
      </c>
      <c r="G101" s="72" t="s">
        <v>437</v>
      </c>
      <c r="H101" s="2" t="s">
        <v>476</v>
      </c>
    </row>
    <row r="102" customFormat="false" ht="14.25" hidden="false" customHeight="false" outlineLevel="0" collapsed="false">
      <c r="C102" s="6" t="s">
        <v>477</v>
      </c>
      <c r="D102" s="2" t="s">
        <v>74</v>
      </c>
      <c r="E102" s="7" t="n">
        <v>15000000</v>
      </c>
      <c r="F102" s="70" t="n">
        <v>46720</v>
      </c>
      <c r="G102" s="72" t="s">
        <v>437</v>
      </c>
      <c r="H102" s="2" t="s">
        <v>478</v>
      </c>
    </row>
    <row r="103" customFormat="false" ht="14.25" hidden="false" customHeight="false" outlineLevel="0" collapsed="false">
      <c r="C103" s="6" t="s">
        <v>479</v>
      </c>
      <c r="D103" s="2" t="s">
        <v>74</v>
      </c>
      <c r="E103" s="7" t="n">
        <v>6000000</v>
      </c>
      <c r="F103" s="70" t="n">
        <v>46780</v>
      </c>
      <c r="G103" s="72" t="s">
        <v>437</v>
      </c>
      <c r="H103" s="2" t="s">
        <v>480</v>
      </c>
    </row>
    <row r="104" customFormat="false" ht="14.25" hidden="false" customHeight="false" outlineLevel="0" collapsed="false">
      <c r="C104" s="6" t="s">
        <v>481</v>
      </c>
      <c r="D104" s="2" t="s">
        <v>74</v>
      </c>
      <c r="E104" s="7" t="n">
        <v>45178571.4285714</v>
      </c>
      <c r="F104" s="70" t="n">
        <v>46780</v>
      </c>
      <c r="G104" s="72" t="s">
        <v>437</v>
      </c>
      <c r="H104" s="2" t="s">
        <v>482</v>
      </c>
    </row>
    <row r="105" customFormat="false" ht="14.25" hidden="false" customHeight="false" outlineLevel="0" collapsed="false">
      <c r="C105" s="6" t="s">
        <v>483</v>
      </c>
      <c r="D105" s="2" t="s">
        <v>74</v>
      </c>
      <c r="E105" s="7" t="n">
        <v>4590000</v>
      </c>
      <c r="F105" s="70" t="n">
        <v>46780</v>
      </c>
      <c r="G105" s="72" t="s">
        <v>437</v>
      </c>
      <c r="H105" s="2" t="s">
        <v>484</v>
      </c>
    </row>
    <row r="106" customFormat="false" ht="14.25" hidden="false" customHeight="false" outlineLevel="0" collapsed="false">
      <c r="C106" s="6" t="s">
        <v>485</v>
      </c>
      <c r="D106" s="2" t="s">
        <v>74</v>
      </c>
      <c r="E106" s="7" t="n">
        <v>70000000</v>
      </c>
      <c r="F106" s="70" t="n">
        <v>46780</v>
      </c>
      <c r="G106" s="72" t="s">
        <v>437</v>
      </c>
      <c r="H106" s="2" t="s">
        <v>486</v>
      </c>
    </row>
    <row r="107" customFormat="false" ht="14.25" hidden="false" customHeight="false" outlineLevel="0" collapsed="false">
      <c r="C107" s="6" t="s">
        <v>487</v>
      </c>
      <c r="D107" s="2" t="s">
        <v>74</v>
      </c>
      <c r="E107" s="7" t="n">
        <v>20000000</v>
      </c>
      <c r="F107" s="70" t="n">
        <v>47126</v>
      </c>
      <c r="G107" s="72" t="s">
        <v>437</v>
      </c>
      <c r="H107" s="2" t="s">
        <v>488</v>
      </c>
    </row>
    <row r="108" customFormat="false" ht="14.25" hidden="false" customHeight="false" outlineLevel="0" collapsed="false">
      <c r="C108" s="6" t="s">
        <v>489</v>
      </c>
      <c r="D108" s="2" t="s">
        <v>74</v>
      </c>
      <c r="E108" s="7" t="n">
        <v>12000000</v>
      </c>
      <c r="F108" s="70" t="n">
        <v>47066</v>
      </c>
      <c r="G108" s="72" t="s">
        <v>437</v>
      </c>
      <c r="H108" s="2" t="s">
        <v>490</v>
      </c>
    </row>
    <row r="109" customFormat="false" ht="14.25" hidden="false" customHeight="false" outlineLevel="0" collapsed="false">
      <c r="C109" s="6" t="s">
        <v>491</v>
      </c>
      <c r="D109" s="2" t="s">
        <v>74</v>
      </c>
      <c r="E109" s="7" t="n">
        <v>7400000</v>
      </c>
      <c r="F109" s="70" t="n">
        <v>46752</v>
      </c>
      <c r="G109" s="72" t="s">
        <v>437</v>
      </c>
      <c r="H109" s="2" t="s">
        <v>492</v>
      </c>
    </row>
    <row r="110" customFormat="false" ht="14.25" hidden="false" customHeight="false" outlineLevel="0" collapsed="false">
      <c r="C110" s="6" t="s">
        <v>493</v>
      </c>
      <c r="D110" s="2" t="s">
        <v>74</v>
      </c>
      <c r="E110" s="7" t="n">
        <v>29600000</v>
      </c>
      <c r="F110" s="70" t="n">
        <v>46752</v>
      </c>
      <c r="G110" s="72" t="s">
        <v>437</v>
      </c>
      <c r="H110" s="2" t="s">
        <v>494</v>
      </c>
    </row>
    <row r="111" customFormat="false" ht="14.25" hidden="false" customHeight="false" outlineLevel="0" collapsed="false">
      <c r="C111" s="6" t="s">
        <v>495</v>
      </c>
      <c r="D111" s="2" t="s">
        <v>74</v>
      </c>
      <c r="E111" s="7" t="n">
        <v>91200000</v>
      </c>
      <c r="F111" s="70" t="n">
        <v>47201</v>
      </c>
      <c r="G111" s="72" t="s">
        <v>119</v>
      </c>
      <c r="H111" s="2" t="s">
        <v>496</v>
      </c>
    </row>
    <row r="112" customFormat="false" ht="14.25" hidden="false" customHeight="false" outlineLevel="0" collapsed="false">
      <c r="C112" s="6" t="s">
        <v>497</v>
      </c>
      <c r="D112" s="2" t="s">
        <v>74</v>
      </c>
      <c r="E112" s="7" t="n">
        <v>107908615.62449</v>
      </c>
      <c r="F112" s="70" t="n">
        <v>46752</v>
      </c>
      <c r="G112" s="72" t="s">
        <v>437</v>
      </c>
      <c r="H112" s="2" t="s">
        <v>498</v>
      </c>
    </row>
    <row r="114" customFormat="false" ht="14.25" hidden="false" customHeight="false" outlineLevel="0" collapsed="false">
      <c r="B114" s="4" t="s">
        <v>3</v>
      </c>
      <c r="C114" s="4" t="s">
        <v>499</v>
      </c>
      <c r="D114" s="4"/>
      <c r="E114" s="5" t="s">
        <v>500</v>
      </c>
      <c r="F114" s="5"/>
      <c r="G114" s="5"/>
      <c r="H114" s="5"/>
    </row>
    <row r="115" customFormat="false" ht="14.25" hidden="false" customHeight="false" outlineLevel="0" collapsed="false">
      <c r="C115" s="6" t="s">
        <v>501</v>
      </c>
      <c r="E115" s="13" t="n">
        <v>10</v>
      </c>
      <c r="F115" s="13" t="n">
        <v>15</v>
      </c>
      <c r="G115" s="13" t="n">
        <v>20</v>
      </c>
      <c r="H115" s="13" t="n">
        <v>25</v>
      </c>
      <c r="I115" s="13" t="n">
        <v>30</v>
      </c>
      <c r="J115" s="13" t="n">
        <v>35</v>
      </c>
      <c r="K115" s="13" t="n">
        <v>40</v>
      </c>
      <c r="L115" s="13" t="n">
        <v>45</v>
      </c>
      <c r="M115" s="13" t="n">
        <v>50</v>
      </c>
    </row>
    <row r="116" customFormat="false" ht="14.25" hidden="false" customHeight="false" outlineLevel="0" collapsed="false">
      <c r="C116" s="6" t="s">
        <v>502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1</v>
      </c>
    </row>
    <row r="117" customFormat="false" ht="14.25" hidden="false" customHeight="false" outlineLevel="0" collapsed="false">
      <c r="C117" s="6" t="s">
        <v>503</v>
      </c>
      <c r="E117" s="13" t="n">
        <v>0</v>
      </c>
      <c r="F117" s="13" t="n">
        <v>10</v>
      </c>
      <c r="G117" s="13" t="n">
        <v>20</v>
      </c>
      <c r="H117" s="13" t="n">
        <v>30</v>
      </c>
      <c r="I117" s="13" t="n">
        <v>40</v>
      </c>
      <c r="J117" s="13" t="n">
        <v>55</v>
      </c>
      <c r="K117" s="13" t="n">
        <v>70</v>
      </c>
      <c r="L117" s="13" t="n">
        <v>80</v>
      </c>
      <c r="M117" s="13" t="n">
        <v>90</v>
      </c>
      <c r="N117" s="13" t="n">
        <v>100</v>
      </c>
    </row>
    <row r="118" customFormat="false" ht="14.25" hidden="false" customHeight="false" outlineLevel="0" collapsed="false">
      <c r="C118" s="6" t="s">
        <v>504</v>
      </c>
      <c r="E118" s="13" t="n">
        <v>2</v>
      </c>
      <c r="F118" s="13" t="n">
        <v>2.1</v>
      </c>
      <c r="G118" s="13" t="n">
        <v>2.2</v>
      </c>
      <c r="H118" s="13" t="n">
        <v>2.3</v>
      </c>
      <c r="I118" s="13" t="n">
        <v>2.4</v>
      </c>
      <c r="J118" s="13" t="n">
        <v>2.5</v>
      </c>
      <c r="K118" s="13" t="n">
        <v>2.6</v>
      </c>
      <c r="L118" s="13" t="n">
        <v>2.7</v>
      </c>
      <c r="M118" s="13" t="n">
        <v>2.8</v>
      </c>
      <c r="N118" s="13" t="n">
        <v>2.9</v>
      </c>
      <c r="O118" s="13" t="n">
        <v>3</v>
      </c>
    </row>
    <row r="119" customFormat="false" ht="14.25" hidden="false" customHeight="false" outlineLevel="0" collapsed="false">
      <c r="C119" s="6" t="s">
        <v>505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1</v>
      </c>
    </row>
    <row r="120" customFormat="false" ht="14.25" hidden="false" customHeight="false" outlineLevel="0" collapsed="false">
      <c r="C120" s="6" t="s">
        <v>506</v>
      </c>
      <c r="E120" s="13" t="n">
        <v>0</v>
      </c>
      <c r="F120" s="13" t="n">
        <v>5</v>
      </c>
      <c r="G120" s="13" t="n">
        <v>10</v>
      </c>
      <c r="H120" s="13" t="n">
        <v>20</v>
      </c>
      <c r="I120" s="13" t="n">
        <v>30</v>
      </c>
      <c r="J120" s="13" t="n">
        <v>40</v>
      </c>
      <c r="K120" s="13" t="n">
        <v>50</v>
      </c>
      <c r="L120" s="13" t="n">
        <v>60</v>
      </c>
      <c r="M120" s="13" t="n">
        <v>70</v>
      </c>
      <c r="N120" s="13" t="n">
        <v>80</v>
      </c>
      <c r="O120" s="13" t="n">
        <v>90</v>
      </c>
      <c r="P120" s="13" t="n">
        <v>100</v>
      </c>
    </row>
    <row r="121" customFormat="false" ht="14.25" hidden="false" customHeight="false" outlineLevel="0" collapsed="false">
      <c r="C121" s="6" t="s">
        <v>507</v>
      </c>
      <c r="E121" s="13" t="n">
        <v>0.02</v>
      </c>
      <c r="F121" s="13" t="n">
        <v>0.05</v>
      </c>
      <c r="G121" s="13" t="n">
        <v>0.1</v>
      </c>
      <c r="H121" s="13" t="n">
        <v>0.15</v>
      </c>
      <c r="I121" s="13" t="n">
        <v>0.2</v>
      </c>
      <c r="J121" s="13" t="n">
        <v>0.25</v>
      </c>
      <c r="K121" s="13" t="n">
        <v>0.3</v>
      </c>
      <c r="L121" s="13" t="n">
        <v>0.35</v>
      </c>
      <c r="M121" s="13" t="n">
        <v>0.4</v>
      </c>
      <c r="N121" s="13" t="n">
        <v>0.5</v>
      </c>
    </row>
    <row r="122" customFormat="false" ht="14.25" hidden="false" customHeight="false" outlineLevel="0" collapsed="false">
      <c r="C122" s="6" t="s">
        <v>508</v>
      </c>
      <c r="E122" s="13" t="n">
        <v>0</v>
      </c>
      <c r="F122" s="13" t="n">
        <v>1</v>
      </c>
      <c r="G122" s="13" t="n">
        <v>1</v>
      </c>
      <c r="H122" s="13" t="n">
        <v>1</v>
      </c>
      <c r="I122" s="13" t="n">
        <v>1</v>
      </c>
      <c r="J122" s="13" t="n">
        <v>1</v>
      </c>
      <c r="K122" s="13" t="n">
        <v>1</v>
      </c>
      <c r="L122" s="13" t="n">
        <v>1</v>
      </c>
      <c r="M122" s="13" t="n">
        <v>1</v>
      </c>
      <c r="N122" s="13" t="n">
        <v>0</v>
      </c>
    </row>
    <row r="123" customFormat="false" ht="14.25" hidden="false" customHeight="false" outlineLevel="0" collapsed="false">
      <c r="C123" s="6" t="s">
        <v>509</v>
      </c>
      <c r="E123" s="13" t="n">
        <v>0</v>
      </c>
      <c r="F123" s="13" t="n">
        <v>10</v>
      </c>
      <c r="G123" s="13" t="n">
        <v>20</v>
      </c>
      <c r="H123" s="13" t="n">
        <v>30</v>
      </c>
      <c r="I123" s="13" t="n">
        <v>40</v>
      </c>
      <c r="J123" s="13" t="n">
        <v>50</v>
      </c>
      <c r="K123" s="13" t="n">
        <v>60</v>
      </c>
      <c r="L123" s="13" t="n">
        <v>70</v>
      </c>
      <c r="M123" s="13" t="n">
        <v>80</v>
      </c>
      <c r="N123" s="13" t="n">
        <v>90</v>
      </c>
      <c r="O123" s="13" t="n">
        <v>100</v>
      </c>
    </row>
    <row r="124" customFormat="false" ht="14.25" hidden="false" customHeight="false" outlineLevel="0" collapsed="false">
      <c r="C124" s="6" t="s">
        <v>510</v>
      </c>
      <c r="E124" s="13" t="n">
        <v>1</v>
      </c>
      <c r="F124" s="13" t="n">
        <v>1.2</v>
      </c>
      <c r="G124" s="13" t="n">
        <v>1.3</v>
      </c>
      <c r="H124" s="13" t="n">
        <v>1.4</v>
      </c>
      <c r="I124" s="13" t="n">
        <v>1.5</v>
      </c>
      <c r="J124" s="13" t="n">
        <v>1.6</v>
      </c>
      <c r="K124" s="13" t="n">
        <v>1.7</v>
      </c>
      <c r="L124" s="13" t="n">
        <v>1.8</v>
      </c>
      <c r="M124" s="13" t="n">
        <v>1.9</v>
      </c>
      <c r="N124" s="13" t="n">
        <v>2</v>
      </c>
    </row>
    <row r="125" customFormat="false" ht="14.25" hidden="false" customHeight="false" outlineLevel="0" collapsed="false">
      <c r="C125" s="6" t="s">
        <v>511</v>
      </c>
      <c r="E125" s="13" t="n">
        <v>0</v>
      </c>
      <c r="F125" s="13" t="n">
        <v>1</v>
      </c>
      <c r="G125" s="13" t="n">
        <v>1</v>
      </c>
      <c r="H125" s="13" t="n">
        <v>1</v>
      </c>
      <c r="I125" s="13" t="n">
        <v>1</v>
      </c>
      <c r="J125" s="13" t="n">
        <v>1</v>
      </c>
      <c r="K125" s="13" t="n">
        <v>1</v>
      </c>
      <c r="L125" s="13" t="n">
        <v>1</v>
      </c>
      <c r="M125" s="13" t="n">
        <v>1</v>
      </c>
      <c r="N125" s="13" t="n">
        <v>1</v>
      </c>
    </row>
    <row r="126" customFormat="false" ht="14.25" hidden="false" customHeight="false" outlineLevel="0" collapsed="false">
      <c r="C126" s="6" t="s">
        <v>512</v>
      </c>
      <c r="E126" s="13" t="n">
        <v>0</v>
      </c>
      <c r="F126" s="13" t="n">
        <v>10</v>
      </c>
      <c r="G126" s="13" t="n">
        <v>20</v>
      </c>
      <c r="H126" s="13" t="n">
        <v>30</v>
      </c>
      <c r="I126" s="13" t="n">
        <v>40</v>
      </c>
      <c r="J126" s="13" t="n">
        <v>50</v>
      </c>
      <c r="K126" s="13" t="n">
        <v>60</v>
      </c>
      <c r="L126" s="13" t="n">
        <v>70</v>
      </c>
      <c r="M126" s="13" t="n">
        <v>80</v>
      </c>
      <c r="N126" s="13" t="n">
        <v>90</v>
      </c>
      <c r="O126" s="13" t="n">
        <v>100</v>
      </c>
    </row>
    <row r="127" customFormat="false" ht="14.25" hidden="false" customHeight="false" outlineLevel="0" collapsed="false">
      <c r="C127" s="6" t="s">
        <v>513</v>
      </c>
      <c r="E127" s="13" t="n">
        <v>100</v>
      </c>
    </row>
    <row r="128" customFormat="false" ht="14.25" hidden="false" customHeight="false" outlineLevel="0" collapsed="false">
      <c r="C128" s="6" t="s">
        <v>514</v>
      </c>
      <c r="E128" s="13" t="n">
        <v>100</v>
      </c>
    </row>
    <row r="129" customFormat="false" ht="14.25" hidden="false" customHeight="false" outlineLevel="0" collapsed="false">
      <c r="C129" s="6" t="s">
        <v>515</v>
      </c>
      <c r="E129" s="13" t="n">
        <v>100</v>
      </c>
    </row>
    <row r="130" customFormat="false" ht="14.25" hidden="false" customHeight="false" outlineLevel="0" collapsed="false">
      <c r="C130" s="6" t="s">
        <v>516</v>
      </c>
      <c r="E130" s="13" t="n">
        <v>80</v>
      </c>
    </row>
    <row r="131" customFormat="false" ht="14.25" hidden="false" customHeight="false" outlineLevel="0" collapsed="false">
      <c r="C131" s="6" t="s">
        <v>517</v>
      </c>
      <c r="E131" s="13" t="n">
        <v>20</v>
      </c>
    </row>
    <row r="132" customFormat="false" ht="14.25" hidden="false" customHeight="false" outlineLevel="0" collapsed="false">
      <c r="C132" s="6" t="s">
        <v>518</v>
      </c>
      <c r="E132" s="13" t="n">
        <v>0.2</v>
      </c>
    </row>
    <row r="133" customFormat="false" ht="14.25" hidden="false" customHeight="false" outlineLevel="0" collapsed="false">
      <c r="C133" s="6" t="s">
        <v>519</v>
      </c>
      <c r="E133" s="13" t="n">
        <v>0.15</v>
      </c>
    </row>
    <row r="134" customFormat="false" ht="14.25" hidden="false" customHeight="false" outlineLevel="0" collapsed="false">
      <c r="C134" s="6" t="s">
        <v>520</v>
      </c>
      <c r="E134" s="13" t="n">
        <v>0.1</v>
      </c>
    </row>
    <row r="135" customFormat="false" ht="14.25" hidden="false" customHeight="false" outlineLevel="0" collapsed="false">
      <c r="C135" s="6" t="s">
        <v>521</v>
      </c>
      <c r="E135" s="13" t="n">
        <v>0.15</v>
      </c>
    </row>
    <row r="136" customFormat="false" ht="14.25" hidden="false" customHeight="false" outlineLevel="0" collapsed="false">
      <c r="C136" s="6" t="s">
        <v>522</v>
      </c>
      <c r="E136" s="13" t="n">
        <v>0.05</v>
      </c>
    </row>
    <row r="137" customFormat="false" ht="14.25" hidden="false" customHeight="false" outlineLevel="0" collapsed="false">
      <c r="C137" s="6" t="s">
        <v>523</v>
      </c>
      <c r="E137" s="13" t="n">
        <v>0.05</v>
      </c>
    </row>
    <row r="138" customFormat="false" ht="14.25" hidden="false" customHeight="false" outlineLevel="0" collapsed="false">
      <c r="C138" s="6" t="s">
        <v>524</v>
      </c>
      <c r="E138" s="13" t="n">
        <v>0.1</v>
      </c>
    </row>
    <row r="139" customFormat="false" ht="14.25" hidden="false" customHeight="false" outlineLevel="0" collapsed="false">
      <c r="C139" s="6" t="s">
        <v>525</v>
      </c>
      <c r="E139" s="13" t="n">
        <v>0.05</v>
      </c>
    </row>
    <row r="140" customFormat="false" ht="14.25" hidden="false" customHeight="false" outlineLevel="0" collapsed="false">
      <c r="C140" s="6" t="s">
        <v>526</v>
      </c>
      <c r="E140" s="13" t="n">
        <v>0.15</v>
      </c>
    </row>
    <row r="142" customFormat="false" ht="14.25" hidden="false" customHeight="false" outlineLevel="0" collapsed="false">
      <c r="C142" s="69" t="s">
        <v>292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5C80BA76C054AAAC0D3CDDFCEC309" ma:contentTypeVersion="14" ma:contentTypeDescription="Create a new document." ma:contentTypeScope="" ma:versionID="d968673a7c3a10ddeefea4f97a096cd1">
  <xsd:schema xmlns:xsd="http://www.w3.org/2001/XMLSchema" xmlns:xs="http://www.w3.org/2001/XMLSchema" xmlns:p="http://schemas.microsoft.com/office/2006/metadata/properties" xmlns:ns2="3ba8be79-126f-4ecc-b268-0e8a1c9d820a" xmlns:ns3="348e42aa-7502-48aa-9973-d5430de63b43" targetNamespace="http://schemas.microsoft.com/office/2006/metadata/properties" ma:root="true" ma:fieldsID="65bd50756c71f8c38774f3a5c983a670" ns2:_="" ns3:_="">
    <xsd:import namespace="3ba8be79-126f-4ecc-b268-0e8a1c9d820a"/>
    <xsd:import namespace="348e42aa-7502-48aa-9973-d5430de63b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8be79-126f-4ecc-b268-0e8a1c9d82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54c7780-c79f-4b81-a1cc-c56cb19b1b79}" ma:internalName="TaxCatchAll" ma:showField="CatchAllData" ma:web="3ba8be79-126f-4ecc-b268-0e8a1c9d8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e42aa-7502-48aa-9973-d5430de63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080c10-e0a6-4b42-beda-2db26c8ffc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8e42aa-7502-48aa-9973-d5430de63b43">
      <Terms xmlns="http://schemas.microsoft.com/office/infopath/2007/PartnerControls"/>
    </lcf76f155ced4ddcb4097134ff3c332f>
    <TaxCatchAll xmlns="3ba8be79-126f-4ecc-b268-0e8a1c9d820a" xsi:nil="true"/>
  </documentManagement>
</p:properties>
</file>

<file path=customXml/itemProps1.xml><?xml version="1.0" encoding="utf-8"?>
<ds:datastoreItem xmlns:ds="http://schemas.openxmlformats.org/officeDocument/2006/customXml" ds:itemID="{9C9C9B8A-D976-47D5-B74F-5F75FDEC5C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a8be79-126f-4ecc-b268-0e8a1c9d820a"/>
    <ds:schemaRef ds:uri="348e42aa-7502-48aa-9973-d5430de63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0623F0-E57A-43AF-8A8C-53C11C5244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DA6336-3ABB-4636-B282-3252113AC58A}">
  <ds:schemaRefs>
    <ds:schemaRef ds:uri="http://schemas.microsoft.com/office/2006/metadata/properties"/>
    <ds:schemaRef ds:uri="http://schemas.microsoft.com/office/infopath/2007/PartnerControls"/>
    <ds:schemaRef ds:uri="348e42aa-7502-48aa-9973-d5430de63b43"/>
    <ds:schemaRef ds:uri="3ba8be79-126f-4ecc-b268-0e8a1c9d820a"/>
  </ds:schemaRefs>
</ds:datastoreItem>
</file>

<file path=docMetadata/LabelInfo.xml><?xml version="1.0" encoding="utf-8"?>
<clbl:labelList xmlns:clbl="http://schemas.microsoft.com/office/2020/mipLabelMetadata">
  <clbl:label id="{42728984-5573-4501-93e1-26196c1472d0}" enabled="0" method="" siteId="{42728984-5573-4501-93e1-26196c1472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2026-10-27T15:34:29Z</dcterms:created>
  <dc:creator>openpyxl</dc:creator>
  <dc:description/>
  <dc:language>en-US</dc:language>
  <cp:lastModifiedBy/>
  <dcterms:modified xsi:type="dcterms:W3CDTF">2026-10-28T18:29:32Z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0x010100CB25C80BA76C054AAAC0D3CDDFCEC309</vt:lpwstr>
  </property>
  <property fmtid="{D5CDD505-2E9C-101B-9397-08002B2CF9AE}" pid="3" name="MediaServiceImageTags">
    <vt:lpwstr/>
  </property>
</Properties>
</file>