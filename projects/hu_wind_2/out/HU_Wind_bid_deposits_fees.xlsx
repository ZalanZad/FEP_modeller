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616" yWindow="12852" windowWidth="23256" windowHeight="13896" tabRatio="600" firstSheet="0" activeTab="0" autoFilterDateGrouping="1"/>
  </bookViews>
  <sheets>
    <sheet xmlns:r="http://schemas.openxmlformats.org/officeDocument/2006/relationships" name="Bid_Cash" sheetId="1" state="visible" r:id="rId1"/>
  </sheets>
  <definedNames>
    <definedName name="Days_In_Year">Bid_Cash!$K$30</definedName>
    <definedName name="Osz1_Incl">Bid_Cash!$K$4:$S$4</definedName>
    <definedName name="Osz1_LB">Bid_Cash!$K$3:$S$3</definedName>
    <definedName name="Osz1_Pts">Bid_Cash!$K$5:$T$5</definedName>
    <definedName name="Osz1_W">Bid_Cash!$K$20</definedName>
    <definedName name="Osz2_Incl">Bid_Cash!$K$7:$U$7</definedName>
    <definedName name="Osz2_LB">Bid_Cash!$K$6:$U$6</definedName>
    <definedName name="Osz2_Pts">Bid_Cash!$K$8:$V$8</definedName>
    <definedName name="Osz2_W">Bid_Cash!$K$21</definedName>
    <definedName name="Osz3_Incl">Bid_Cash!$K$10:$T$10</definedName>
    <definedName name="Osz3_LB">Bid_Cash!$K$9:$T$9</definedName>
    <definedName name="Osz3_Pts">Bid_Cash!$K$11:$U$11</definedName>
    <definedName name="Osz3_W">Bid_Cash!$K$22</definedName>
    <definedName name="Osz4_W">Bid_Cash!$K$23</definedName>
    <definedName name="Osz5_Pts">Bid_Cash!$K$15</definedName>
    <definedName name="Osz5_W">Bid_Cash!$K$24</definedName>
    <definedName name="Osz6_Incl">Bid_Cash!$K$13:$T$13</definedName>
    <definedName name="Osz6_LB">Bid_Cash!$K$12:$T$12</definedName>
    <definedName name="Osz6_Pts">Bid_Cash!$K$14:$U$14</definedName>
    <definedName name="Osz6_W">Bid_Cash!$K$25</definedName>
    <definedName name="Osz7_Pts">Bid_Cash!$K$16</definedName>
    <definedName name="Osz7_W">Bid_Cash!$K$26</definedName>
    <definedName name="Osz8_Pts">Bid_Cash!$K$17</definedName>
    <definedName name="Osz8_W">Bid_Cash!$K$27</definedName>
    <definedName name="Osz9_W">Bid_Cash!$K$28</definedName>
    <definedName name="Osz9a_Pts">Bid_Cash!$K$18</definedName>
    <definedName name="Osz9b_Pts">Bid_Cash!$K$19</definedName>
    <definedName name="Thousand">Bid_Cash!$K$29</definedName>
    <definedName name="Months_In_Year">Bid_Cash!$E$91</definedName>
    <definedName name="Tolerance">Bid_Cash!$E$92</definedName>
    <definedName name="Master_Check">Bid_Cash!$G$272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;\(#,##0\);&quot;–&quot;"/>
    <numFmt numFmtId="165" formatCode="0.0%;\(0.0%\);&quot;–&quot;"/>
    <numFmt numFmtId="166" formatCode="0.00&quot;x&quot;"/>
    <numFmt numFmtId="167" formatCode="#,##0.0;\(#,##0.0\);&quot;–&quot;"/>
    <numFmt numFmtId="168" formatCode="dd\-mmm\-yy"/>
    <numFmt numFmtId="169" formatCode="yyyy-mm-dd h:mm:ss"/>
    <numFmt numFmtId="170" formatCode="dd-mmm-yy"/>
    <numFmt numFmtId="171" formatCode="0.0%;(0.0%);&quot;–&quot;"/>
    <numFmt numFmtId="172" formatCode="0.000"/>
    <numFmt numFmtId="173" formatCode="#,##0;(#,##0);&quot;–&quot;"/>
    <numFmt numFmtId="174" formatCode="#,##0.0;(#,##0.0);&quot;–&quot;"/>
    <numFmt numFmtId="175" formatCode="0.0000"/>
    <numFmt numFmtId="176" formatCode="#,##0.00;(#,##0.00);&quot;–&quot;"/>
    <numFmt numFmtId="177" formatCode="0;-0;&quot;–&quot;"/>
    <numFmt numFmtId="178" formatCode="0.000;(0.000);&quot;–&quot;"/>
    <numFmt numFmtId="179" formatCode="&quot;CHECK&quot; 0;&quot;CHECK&quot; -0;&quot;OK&quot;"/>
  </numFmts>
  <fonts count="17">
    <font>
      <name val="Calibri"/>
      <family val="2"/>
      <color theme="1"/>
      <sz val="11"/>
      <scheme val="minor"/>
    </font>
    <font>
      <name val="Aptos Narrow"/>
      <b val="1"/>
      <color rgb="FF0000FF"/>
      <sz val="14"/>
    </font>
    <font>
      <name val="Aptos Narrow"/>
      <color rgb="FF000000"/>
      <sz val="10"/>
    </font>
    <font>
      <name val="Aptos Narrow"/>
      <b val="1"/>
      <color rgb="FFFFFFFF"/>
      <sz val="10"/>
    </font>
    <font>
      <name val="Aptos Narrow"/>
      <i val="1"/>
      <color rgb="FF808080"/>
      <sz val="10"/>
    </font>
    <font>
      <name val="Aptos Narrow"/>
      <color rgb="FF0000FF"/>
      <sz val="10"/>
    </font>
    <font>
      <name val="Aptos Narrow"/>
      <color rgb="FF7030A0"/>
      <sz val="10"/>
    </font>
    <font>
      <name val="Aptos Narrow"/>
      <b val="1"/>
      <color rgb="FF000000"/>
      <sz val="10"/>
    </font>
    <font>
      <name val="Aptos Narrow"/>
      <family val="2"/>
      <color rgb="FF000000"/>
      <sz val="10"/>
    </font>
    <font>
      <name val="Aptos Narrow"/>
      <family val="2"/>
      <b val="1"/>
      <color rgb="FF000000"/>
      <sz val="10"/>
    </font>
    <font>
      <name val="Aptos Narrow"/>
      <b val="1"/>
      <color rgb="00FFFFFF"/>
      <sz val="10"/>
    </font>
    <font>
      <name val="Aptos Narrow"/>
      <b val="1"/>
      <color rgb="003C3C3B"/>
      <sz val="10"/>
    </font>
    <font>
      <name val="Aptos Narrow"/>
      <color rgb="00000000"/>
      <sz val="10"/>
    </font>
    <font>
      <name val="Aptos Narrow"/>
      <i val="1"/>
      <color rgb="00808080"/>
      <sz val="10"/>
    </font>
    <font>
      <name val="Aptos Narrow"/>
      <color rgb="000000FF"/>
      <sz val="10"/>
    </font>
    <font>
      <name val="Aptos Narrow"/>
      <b val="1"/>
      <color rgb="00000000"/>
      <sz val="10"/>
    </font>
    <font>
      <name val="Aptos Narrow"/>
      <b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00563C"/>
      </patternFill>
    </fill>
    <fill>
      <patternFill patternType="solid">
        <fgColor rgb="FFEDEDED"/>
      </patternFill>
    </fill>
    <fill>
      <patternFill patternType="solid">
        <fgColor theme="0"/>
        <bgColor indexed="64"/>
      </patternFill>
    </fill>
    <fill>
      <patternFill patternType="solid">
        <fgColor rgb="0000563C"/>
      </patternFill>
    </fill>
    <fill>
      <patternFill patternType="solid">
        <fgColor rgb="00E6F4EC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right"/>
    </xf>
    <xf numFmtId="0" fontId="4" fillId="0" borderId="0" pivotButton="0" quotePrefix="0" xfId="0"/>
    <xf numFmtId="164" fontId="5" fillId="2" borderId="1" pivotButton="0" quotePrefix="0" xfId="0"/>
    <xf numFmtId="165" fontId="5" fillId="2" borderId="1" pivotButton="0" quotePrefix="0" xfId="0"/>
    <xf numFmtId="166" fontId="5" fillId="2" borderId="1" pivotButton="0" quotePrefix="0" xfId="0"/>
    <xf numFmtId="167" fontId="6" fillId="4" borderId="1" pivotButton="0" quotePrefix="0" xfId="0"/>
    <xf numFmtId="0" fontId="7" fillId="0" borderId="0" pivotButton="0" quotePrefix="0" xfId="0"/>
    <xf numFmtId="4" fontId="7" fillId="0" borderId="0" pivotButton="0" quotePrefix="0" xfId="0"/>
    <xf numFmtId="168" fontId="5" fillId="2" borderId="1" pivotButton="0" quotePrefix="0" xfId="0"/>
    <xf numFmtId="165" fontId="5" fillId="0" borderId="0" pivotButton="0" quotePrefix="0" xfId="0"/>
    <xf numFmtId="164" fontId="2" fillId="0" borderId="0" pivotButton="0" quotePrefix="0" xfId="0"/>
    <xf numFmtId="164" fontId="7" fillId="0" borderId="0" pivotButton="0" quotePrefix="0" xfId="0"/>
    <xf numFmtId="0" fontId="2" fillId="5" borderId="0" pivotButton="0" quotePrefix="0" xfId="0"/>
    <xf numFmtId="0" fontId="4" fillId="5" borderId="0" pivotButton="0" quotePrefix="0" xfId="0"/>
    <xf numFmtId="164" fontId="2" fillId="5" borderId="0" pivotButton="0" quotePrefix="0" xfId="0"/>
    <xf numFmtId="0" fontId="8" fillId="5" borderId="0" pivotButton="0" quotePrefix="0" xfId="0"/>
    <xf numFmtId="0" fontId="8" fillId="0" borderId="0" pivotButton="0" quotePrefix="0" xfId="0"/>
    <xf numFmtId="164" fontId="2" fillId="0" borderId="2" pivotButton="0" quotePrefix="0" xfId="0"/>
    <xf numFmtId="164" fontId="9" fillId="0" borderId="0" pivotButton="0" quotePrefix="0" xfId="0"/>
    <xf numFmtId="168" fontId="2" fillId="0" borderId="0" applyAlignment="1" pivotButton="0" quotePrefix="0" xfId="0">
      <alignment horizontal="right"/>
    </xf>
    <xf numFmtId="168" fontId="2" fillId="5" borderId="0" applyAlignment="1" pivotButton="0" quotePrefix="0" xfId="0">
      <alignment horizontal="right"/>
    </xf>
    <xf numFmtId="0" fontId="3" fillId="5" borderId="0" applyAlignment="1" pivotButton="0" quotePrefix="0" xfId="0">
      <alignment horizontal="right"/>
    </xf>
    <xf numFmtId="0" fontId="0" fillId="5" borderId="0" pivotButton="0" quotePrefix="0" xfId="0"/>
    <xf numFmtId="168" fontId="2" fillId="0" borderId="2" applyAlignment="1" pivotButton="0" quotePrefix="0" xfId="0">
      <alignment horizontal="right"/>
    </xf>
    <xf numFmtId="0" fontId="10" fillId="6" borderId="0" pivotButton="0" quotePrefix="0" xfId="0"/>
    <xf numFmtId="0" fontId="10" fillId="6" borderId="0" applyAlignment="1" pivotButton="0" quotePrefix="0" xfId="0">
      <alignment horizontal="right"/>
    </xf>
    <xf numFmtId="0" fontId="11" fillId="7" borderId="0" pivotButton="0" quotePrefix="0" xfId="0"/>
    <xf numFmtId="0" fontId="12" fillId="0" borderId="0" pivotButton="0" quotePrefix="0" xfId="0"/>
    <xf numFmtId="0" fontId="13" fillId="0" borderId="0" pivotButton="0" quotePrefix="0" xfId="0"/>
    <xf numFmtId="170" fontId="14" fillId="8" borderId="3" applyAlignment="1" pivotButton="0" quotePrefix="0" xfId="0">
      <alignment horizontal="right"/>
    </xf>
    <xf numFmtId="164" fontId="13" fillId="0" borderId="0" pivotButton="0" quotePrefix="0" xfId="0"/>
    <xf numFmtId="171" fontId="14" fillId="8" borderId="3" applyAlignment="1" pivotButton="0" quotePrefix="0" xfId="0">
      <alignment horizontal="right"/>
    </xf>
    <xf numFmtId="166" fontId="14" fillId="8" borderId="3" applyAlignment="1" pivotButton="0" quotePrefix="0" xfId="0">
      <alignment horizontal="right"/>
    </xf>
    <xf numFmtId="1" fontId="14" fillId="8" borderId="3" applyAlignment="1" pivotButton="0" quotePrefix="0" xfId="0">
      <alignment horizontal="right"/>
    </xf>
    <xf numFmtId="172" fontId="14" fillId="8" borderId="3" applyAlignment="1" pivotButton="0" quotePrefix="0" xfId="0">
      <alignment horizontal="right"/>
    </xf>
    <xf numFmtId="173" fontId="14" fillId="8" borderId="3" applyAlignment="1" pivotButton="0" quotePrefix="0" xfId="0">
      <alignment horizontal="right"/>
    </xf>
    <xf numFmtId="174" fontId="14" fillId="8" borderId="3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3" fontId="12" fillId="0" borderId="0" applyAlignment="1" pivotButton="0" quotePrefix="0" xfId="0">
      <alignment horizontal="right"/>
    </xf>
    <xf numFmtId="171" fontId="12" fillId="0" borderId="0" applyAlignment="1" pivotButton="0" quotePrefix="0" xfId="0">
      <alignment horizontal="right"/>
    </xf>
    <xf numFmtId="1" fontId="12" fillId="0" borderId="0" applyAlignment="1" pivotButton="0" quotePrefix="0" xfId="0">
      <alignment horizontal="right"/>
    </xf>
    <xf numFmtId="175" fontId="12" fillId="0" borderId="0" applyAlignment="1" pivotButton="0" quotePrefix="0" xfId="0">
      <alignment horizontal="right"/>
    </xf>
    <xf numFmtId="0" fontId="15" fillId="0" borderId="0" pivotButton="0" quotePrefix="0" xfId="0"/>
    <xf numFmtId="173" fontId="15" fillId="0" borderId="4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4" fontId="12" fillId="0" borderId="0" applyAlignment="1" pivotButton="0" quotePrefix="0" xfId="0">
      <alignment horizontal="right"/>
    </xf>
    <xf numFmtId="166" fontId="12" fillId="0" borderId="0" applyAlignment="1" pivotButton="0" quotePrefix="0" xfId="0">
      <alignment horizontal="right"/>
    </xf>
    <xf numFmtId="171" fontId="15" fillId="0" borderId="0" applyAlignment="1" pivotButton="0" quotePrefix="0" xfId="0">
      <alignment horizontal="right"/>
    </xf>
    <xf numFmtId="176" fontId="12" fillId="0" borderId="0" applyAlignment="1" pivotButton="0" quotePrefix="0" xfId="0">
      <alignment horizontal="right"/>
    </xf>
    <xf numFmtId="177" fontId="12" fillId="0" borderId="0" applyAlignment="1" pivotButton="0" quotePrefix="0" xfId="0">
      <alignment horizontal="right"/>
    </xf>
    <xf numFmtId="178" fontId="12" fillId="0" borderId="0" applyAlignment="1" pivotButton="0" quotePrefix="0" xfId="0">
      <alignment horizontal="right"/>
    </xf>
    <xf numFmtId="179" fontId="15" fillId="0" borderId="4" applyAlignment="1" pivotButton="0" quotePrefix="0" xfId="0">
      <alignment horizontal="right"/>
    </xf>
    <xf numFmtId="0" fontId="16" fillId="0" borderId="0" pivotButton="0" quotePrefix="0" xfId="0"/>
  </cellXfs>
  <cellStyles count="1">
    <cellStyle name="Normal" xfId="0" builtinId="0"/>
  </cellStyles>
  <dxfs count="2">
    <dxf>
      <font>
        <b val="1"/>
        <color rgb="0000B050"/>
      </font>
    </dxf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G274"/>
  <sheetViews>
    <sheetView showGridLines="0" tabSelected="1" zoomScale="70" zoomScaleNormal="70" workbookViewId="0">
      <pane xSplit="4" ySplit="4" topLeftCell="E65" activePane="bottomRight" state="frozen"/>
      <selection pane="topRight" activeCell="A1" sqref="A1"/>
      <selection pane="bottomLeft" activeCell="A1" sqref="A1"/>
      <selection pane="bottomRight" activeCell="AE47" sqref="AE47"/>
    </sheetView>
  </sheetViews>
  <sheetFormatPr baseColWidth="8" defaultRowHeight="14.4"/>
  <cols>
    <col width="2" customWidth="1" min="1" max="2"/>
    <col width="52" customWidth="1" min="3" max="3"/>
    <col width="9" customWidth="1" min="4" max="4"/>
    <col width="13" customWidth="1" min="5" max="7"/>
    <col width="8.88671875" bestFit="1" customWidth="1" min="8" max="8"/>
    <col hidden="1" min="9" max="9"/>
    <col hidden="1" width="13" customWidth="1" min="10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 ht="18" customHeight="1">
      <c r="C1" s="1" t="inlineStr">
        <is>
          <t>Iváncsa, Dunaújváros</t>
        </is>
      </c>
    </row>
    <row r="2">
      <c r="C2" s="2" t="n"/>
      <c r="J2" t="inlineStr">
        <is>
          <t>Band tables (model Inputs block U) and constants</t>
        </is>
      </c>
    </row>
    <row r="3">
      <c r="J3" t="inlineStr">
        <is>
          <t>Osz1_LB</t>
        </is>
      </c>
      <c r="K3" t="n">
        <v>10</v>
      </c>
      <c r="L3" t="n">
        <v>15</v>
      </c>
      <c r="M3" t="n">
        <v>20</v>
      </c>
      <c r="N3" t="n">
        <v>25</v>
      </c>
      <c r="O3" t="n">
        <v>30</v>
      </c>
      <c r="P3" t="n">
        <v>35</v>
      </c>
      <c r="Q3" t="n">
        <v>40</v>
      </c>
      <c r="R3" t="n">
        <v>45</v>
      </c>
      <c r="S3" t="n">
        <v>50</v>
      </c>
    </row>
    <row r="4">
      <c r="B4" s="3" t="n"/>
      <c r="C4" s="3" t="inlineStr">
        <is>
          <t>The bid: commitments and points</t>
        </is>
      </c>
      <c r="D4" s="3" t="n"/>
      <c r="E4" s="4" t="inlineStr">
        <is>
          <t>Iváncsa</t>
        </is>
      </c>
      <c r="F4" s="4" t="inlineStr">
        <is>
          <t>Dunaújváros</t>
        </is>
      </c>
      <c r="G4" s="4" t="n"/>
      <c r="J4" t="inlineStr">
        <is>
          <t>Osz1_Incl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C5" s="2" t="inlineStr">
        <is>
          <t>Net connection capacity</t>
        </is>
      </c>
      <c r="D5" s="5" t="inlineStr">
        <is>
          <t>MVA</t>
        </is>
      </c>
      <c r="E5" s="6" t="n">
        <v>50</v>
      </c>
      <c r="F5" s="6" t="n">
        <v>50</v>
      </c>
      <c r="J5" t="inlineStr">
        <is>
          <t>Osz1_Pts</t>
        </is>
      </c>
      <c r="K5" t="n">
        <v>0</v>
      </c>
      <c r="L5" t="n">
        <v>10</v>
      </c>
      <c r="M5" t="n">
        <v>20</v>
      </c>
      <c r="N5" t="n">
        <v>30</v>
      </c>
      <c r="O5" t="n">
        <v>40</v>
      </c>
      <c r="P5" t="n">
        <v>55</v>
      </c>
      <c r="Q5" t="n">
        <v>70</v>
      </c>
      <c r="R5" t="n">
        <v>80</v>
      </c>
      <c r="S5" t="n">
        <v>90</v>
      </c>
      <c r="T5" t="n">
        <v>100</v>
      </c>
    </row>
    <row r="6">
      <c r="C6" s="2" t="inlineStr">
        <is>
          <t>Overbuild (ÖSZ-3)</t>
        </is>
      </c>
      <c r="D6" s="5" t="inlineStr">
        <is>
          <t>%</t>
        </is>
      </c>
      <c r="E6" s="7" t="n">
        <v>0.41</v>
      </c>
      <c r="F6" s="7" t="n">
        <v>0.41</v>
      </c>
      <c r="J6" t="inlineStr">
        <is>
          <t>Osz2_LB</t>
        </is>
      </c>
      <c r="K6" t="n">
        <v>2</v>
      </c>
      <c r="L6" t="n">
        <v>2.1</v>
      </c>
      <c r="M6" t="n">
        <v>2.2</v>
      </c>
      <c r="N6" t="n">
        <v>2.3</v>
      </c>
      <c r="O6" t="n">
        <v>2.4</v>
      </c>
      <c r="P6" t="n">
        <v>2.5</v>
      </c>
      <c r="Q6" t="n">
        <v>2.6</v>
      </c>
      <c r="R6" t="n">
        <v>2.7</v>
      </c>
      <c r="S6" t="n">
        <v>2.8</v>
      </c>
      <c r="T6" t="n">
        <v>2.9</v>
      </c>
      <c r="U6" t="n">
        <v>3</v>
      </c>
    </row>
    <row r="7">
      <c r="C7" s="2" t="inlineStr">
        <is>
          <t>BESS power, share of MVA (ÖSZ-4)</t>
        </is>
      </c>
      <c r="D7" s="5" t="inlineStr">
        <is>
          <t>%</t>
        </is>
      </c>
      <c r="E7" s="7" t="n">
        <v>0.4</v>
      </c>
      <c r="F7" s="7" t="n">
        <v>0.4</v>
      </c>
      <c r="J7" t="inlineStr">
        <is>
          <t>Osz2_Incl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</row>
    <row r="8">
      <c r="C8" s="2" t="inlineStr">
        <is>
          <t>BESS duration</t>
        </is>
      </c>
      <c r="D8" s="5" t="inlineStr">
        <is>
          <t>h</t>
        </is>
      </c>
      <c r="E8" s="6" t="n">
        <v>4</v>
      </c>
      <c r="F8" s="6" t="n">
        <v>4</v>
      </c>
      <c r="J8" t="inlineStr">
        <is>
          <t>Osz2_Pts</t>
        </is>
      </c>
      <c r="K8" t="n">
        <v>0</v>
      </c>
      <c r="L8" t="n">
        <v>5</v>
      </c>
      <c r="M8" t="n">
        <v>10</v>
      </c>
      <c r="N8" t="n">
        <v>20</v>
      </c>
      <c r="O8" t="n">
        <v>30</v>
      </c>
      <c r="P8" t="n">
        <v>40</v>
      </c>
      <c r="Q8" t="n">
        <v>50</v>
      </c>
      <c r="R8" t="n">
        <v>60</v>
      </c>
      <c r="S8" t="n">
        <v>70</v>
      </c>
      <c r="T8" t="n">
        <v>80</v>
      </c>
      <c r="U8" t="n">
        <v>90</v>
      </c>
      <c r="V8" t="n">
        <v>100</v>
      </c>
    </row>
    <row r="9">
      <c r="C9" s="2" t="inlineStr">
        <is>
          <t>Municipal one-off (ÖSZ-1)</t>
        </is>
      </c>
      <c r="D9" s="5" t="inlineStr">
        <is>
          <t>EUR k/MW</t>
        </is>
      </c>
      <c r="E9" s="6" t="n">
        <v>50</v>
      </c>
      <c r="F9" s="6" t="n">
        <v>50</v>
      </c>
      <c r="J9" t="inlineStr">
        <is>
          <t>Osz3_LB</t>
        </is>
      </c>
      <c r="K9" t="n">
        <v>0.02</v>
      </c>
      <c r="L9" t="n">
        <v>0.05</v>
      </c>
      <c r="M9" t="n">
        <v>0.1</v>
      </c>
      <c r="N9" t="n">
        <v>0.15</v>
      </c>
      <c r="O9" t="n">
        <v>0.2</v>
      </c>
      <c r="P9" t="n">
        <v>0.25</v>
      </c>
      <c r="Q9" t="n">
        <v>0.3</v>
      </c>
      <c r="R9" t="n">
        <v>0.35</v>
      </c>
      <c r="S9" t="n">
        <v>0.4</v>
      </c>
      <c r="T9" t="n">
        <v>0.5</v>
      </c>
    </row>
    <row r="10">
      <c r="C10" s="2" t="inlineStr">
        <is>
          <t>Community contribution (ÖSZ-2)</t>
        </is>
      </c>
      <c r="D10" s="5" t="inlineStr">
        <is>
          <t>EUR/MWh</t>
        </is>
      </c>
      <c r="E10" s="6" t="n">
        <v>3</v>
      </c>
      <c r="F10" s="6" t="n">
        <v>3</v>
      </c>
      <c r="J10" t="inlineStr">
        <is>
          <t>Osz3_Incl</t>
        </is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</row>
    <row r="11">
      <c r="C11" s="2" t="inlineStr">
        <is>
          <t>Partial award accepted (ÖSZ-5)</t>
        </is>
      </c>
      <c r="D11" s="5" t="inlineStr">
        <is>
          <t>flag</t>
        </is>
      </c>
      <c r="E11" s="6" t="n">
        <v>0</v>
      </c>
      <c r="F11" s="6" t="n">
        <v>0</v>
      </c>
      <c r="J11" t="inlineStr">
        <is>
          <t>Osz3_Pts</t>
        </is>
      </c>
      <c r="K11" t="n">
        <v>0</v>
      </c>
      <c r="L11" t="n">
        <v>10</v>
      </c>
      <c r="M11" t="n">
        <v>20</v>
      </c>
      <c r="N11" t="n">
        <v>30</v>
      </c>
      <c r="O11" t="n">
        <v>40</v>
      </c>
      <c r="P11" t="n">
        <v>50</v>
      </c>
      <c r="Q11" t="n">
        <v>60</v>
      </c>
      <c r="R11" t="n">
        <v>70</v>
      </c>
      <c r="S11" t="n">
        <v>80</v>
      </c>
      <c r="T11" t="n">
        <v>90</v>
      </c>
      <c r="U11" t="n">
        <v>100</v>
      </c>
    </row>
    <row r="12">
      <c r="C12" s="2" t="inlineStr">
        <is>
          <t>Performance security multiple (ÖSZ-6)</t>
        </is>
      </c>
      <c r="D12" s="5" t="inlineStr">
        <is>
          <t>x</t>
        </is>
      </c>
      <c r="E12" s="8" t="n">
        <v>1</v>
      </c>
      <c r="F12" s="8" t="n">
        <v>1</v>
      </c>
      <c r="J12" t="inlineStr">
        <is>
          <t>Osz6_LB</t>
        </is>
      </c>
      <c r="K12" t="n">
        <v>1</v>
      </c>
      <c r="L12" t="n">
        <v>1.2</v>
      </c>
      <c r="M12" t="n">
        <v>1.3</v>
      </c>
      <c r="N12" t="n">
        <v>1.4</v>
      </c>
      <c r="O12" t="n">
        <v>1.5</v>
      </c>
      <c r="P12" t="n">
        <v>1.6</v>
      </c>
      <c r="Q12" t="n">
        <v>1.7</v>
      </c>
      <c r="R12" t="n">
        <v>1.8</v>
      </c>
      <c r="S12" t="n">
        <v>1.9</v>
      </c>
      <c r="T12" t="n">
        <v>2</v>
      </c>
    </row>
    <row r="13">
      <c r="C13" s="2" t="inlineStr">
        <is>
          <t>Brownfield site (ÖSZ-7)</t>
        </is>
      </c>
      <c r="D13" s="5" t="inlineStr">
        <is>
          <t>flag</t>
        </is>
      </c>
      <c r="E13" s="6" t="n">
        <v>0</v>
      </c>
      <c r="F13" s="6" t="n">
        <v>0</v>
      </c>
      <c r="J13" t="inlineStr">
        <is>
          <t>Osz6_Incl</t>
        </is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</row>
    <row r="14">
      <c r="C14" s="2" t="inlineStr">
        <is>
          <t>Shared connection (ÖSZ-8)</t>
        </is>
      </c>
      <c r="D14" s="5" t="inlineStr">
        <is>
          <t>flag</t>
        </is>
      </c>
      <c r="E14" s="6" t="n">
        <v>0</v>
      </c>
      <c r="F14" s="6" t="n">
        <v>0</v>
      </c>
      <c r="J14" t="inlineStr">
        <is>
          <t>Osz6_Pts</t>
        </is>
      </c>
      <c r="K14" t="n">
        <v>0</v>
      </c>
      <c r="L14" t="n">
        <v>10</v>
      </c>
      <c r="M14" t="n">
        <v>20</v>
      </c>
      <c r="N14" t="n">
        <v>30</v>
      </c>
      <c r="O14" t="n">
        <v>40</v>
      </c>
      <c r="P14" t="n">
        <v>50</v>
      </c>
      <c r="Q14" t="n">
        <v>60</v>
      </c>
      <c r="R14" t="n">
        <v>70</v>
      </c>
      <c r="S14" t="n">
        <v>80</v>
      </c>
      <c r="T14" t="n">
        <v>90</v>
      </c>
      <c r="U14" t="n">
        <v>100</v>
      </c>
    </row>
    <row r="15">
      <c r="C15" s="2" t="inlineStr">
        <is>
          <t>EU turbines ≥ 80 % (ÖSZ-9)</t>
        </is>
      </c>
      <c r="D15" s="5" t="inlineStr">
        <is>
          <t>flag</t>
        </is>
      </c>
      <c r="E15" s="6" t="n">
        <v>1</v>
      </c>
      <c r="F15" s="6" t="n">
        <v>1</v>
      </c>
      <c r="J15" t="inlineStr">
        <is>
          <t>Osz5_Pts</t>
        </is>
      </c>
      <c r="K15" t="n">
        <v>100</v>
      </c>
    </row>
    <row r="16">
      <c r="C16" s="2" t="inlineStr">
        <is>
          <t>EU transformers ≥ 80 % (ÖSZ-9)</t>
        </is>
      </c>
      <c r="D16" s="5" t="inlineStr">
        <is>
          <t>flag</t>
        </is>
      </c>
      <c r="E16" s="6" t="n">
        <v>0</v>
      </c>
      <c r="F16" s="6" t="n">
        <v>0</v>
      </c>
      <c r="J16" t="inlineStr">
        <is>
          <t>Osz7_Pts</t>
        </is>
      </c>
      <c r="K16" t="n">
        <v>100</v>
      </c>
    </row>
    <row r="17">
      <c r="C17" s="2" t="inlineStr">
        <is>
          <t>Wind committed</t>
        </is>
      </c>
      <c r="D17" s="5" t="inlineStr">
        <is>
          <t>MW</t>
        </is>
      </c>
      <c r="E17" s="9">
        <f>E5*(1+E6)</f>
        <v/>
      </c>
      <c r="F17" s="9">
        <f>F5*(1+F6)</f>
        <v/>
      </c>
      <c r="J17" t="inlineStr">
        <is>
          <t>Osz8_Pts</t>
        </is>
      </c>
      <c r="K17" t="n">
        <v>100</v>
      </c>
    </row>
    <row r="18">
      <c r="C18" s="2" t="inlineStr">
        <is>
          <t>BESS power</t>
        </is>
      </c>
      <c r="D18" s="5" t="inlineStr">
        <is>
          <t>MW</t>
        </is>
      </c>
      <c r="E18" s="9">
        <f>E5*E7</f>
        <v/>
      </c>
      <c r="F18" s="9">
        <f>F5*F7</f>
        <v/>
      </c>
      <c r="J18" t="inlineStr">
        <is>
          <t>Osz9a_Pts</t>
        </is>
      </c>
      <c r="K18" t="n">
        <v>80</v>
      </c>
    </row>
    <row r="19">
      <c r="C19" s="2" t="inlineStr">
        <is>
          <t>BESS energy</t>
        </is>
      </c>
      <c r="D19" s="5" t="inlineStr">
        <is>
          <t>MWh</t>
        </is>
      </c>
      <c r="E19" s="9">
        <f>E18*E8</f>
        <v/>
      </c>
      <c r="F19" s="9">
        <f>F18*F8</f>
        <v/>
      </c>
      <c r="J19" t="inlineStr">
        <is>
          <t>Osz9b_Pts</t>
        </is>
      </c>
      <c r="K19" t="n">
        <v>20</v>
      </c>
    </row>
    <row r="20">
      <c r="J20" t="inlineStr">
        <is>
          <t>Osz1_W</t>
        </is>
      </c>
      <c r="K20" t="n">
        <v>0.2</v>
      </c>
    </row>
    <row r="21">
      <c r="C21" s="2" t="inlineStr">
        <is>
          <t>Points – municipal one-off</t>
        </is>
      </c>
      <c r="D21" s="5" t="inlineStr">
        <is>
          <t>points</t>
        </is>
      </c>
      <c r="E21" s="9">
        <f>INDEX(Osz1_Pts,1+SUMPRODUCT((Osz1_LB&lt;E9)+(Osz1_LB=E9)*Osz1_Incl))*Osz1_W</f>
        <v/>
      </c>
      <c r="F21" s="9">
        <f>INDEX(Osz1_Pts,1+SUMPRODUCT((Osz1_LB&lt;F9)+(Osz1_LB=F9)*Osz1_Incl))*Osz1_W</f>
        <v/>
      </c>
      <c r="J21" t="inlineStr">
        <is>
          <t>Osz2_W</t>
        </is>
      </c>
      <c r="K21" t="n">
        <v>0.15</v>
      </c>
    </row>
    <row r="22">
      <c r="C22" s="2" t="inlineStr">
        <is>
          <t>Points – community contribution</t>
        </is>
      </c>
      <c r="D22" s="5" t="inlineStr">
        <is>
          <t>points</t>
        </is>
      </c>
      <c r="E22" s="9">
        <f t="array" ref="E22">_xlfn.SINGLE(INDEX(Osz2_Pts,1+SUMPRODUCT((Osz2_LB&lt;E10)+(Osz2_LB=E10)*Osz2_Incl)))*Osz2_W</f>
        <v/>
      </c>
      <c r="F22" s="9">
        <f>INDEX(Osz2_Pts,1+SUMPRODUCT((Osz2_LB&lt;F10)+(Osz2_LB=F10)*Osz2_Incl))*Osz2_W</f>
        <v/>
      </c>
      <c r="J22" t="inlineStr">
        <is>
          <t>Osz3_W</t>
        </is>
      </c>
      <c r="K22" t="n">
        <v>0.1</v>
      </c>
    </row>
    <row r="23">
      <c r="C23" s="2" t="inlineStr">
        <is>
          <t>Points – overbuild</t>
        </is>
      </c>
      <c r="D23" s="5" t="inlineStr">
        <is>
          <t>points</t>
        </is>
      </c>
      <c r="E23" s="9">
        <f>INDEX(Osz3_Pts,1+SUMPRODUCT((Osz3_LB&lt;E6)+(Osz3_LB=E6)*Osz3_Incl))*Osz3_W</f>
        <v/>
      </c>
      <c r="F23" s="9">
        <f>INDEX(Osz3_Pts,1+SUMPRODUCT((Osz3_LB&lt;F6)+(Osz3_LB=F6)*Osz3_Incl))*Osz3_W</f>
        <v/>
      </c>
      <c r="J23" t="inlineStr">
        <is>
          <t>Osz4_W</t>
        </is>
      </c>
      <c r="K23" t="n">
        <v>0.15</v>
      </c>
    </row>
    <row r="24">
      <c r="C24" s="2" t="inlineStr">
        <is>
          <t>Points – BESS</t>
        </is>
      </c>
      <c r="D24" s="5" t="inlineStr">
        <is>
          <t>points</t>
        </is>
      </c>
      <c r="E24" s="9">
        <f>INDEX(Osz3_Pts,1+SUMPRODUCT((Osz3_LB&lt;E7)+(Osz3_LB=E7)*Osz3_Incl))*Osz4_W</f>
        <v/>
      </c>
      <c r="F24" s="9">
        <f>INDEX(Osz3_Pts,1+SUMPRODUCT((Osz3_LB&lt;F7)+(Osz3_LB=F7)*Osz3_Incl))*Osz4_W</f>
        <v/>
      </c>
      <c r="J24" t="inlineStr">
        <is>
          <t>Osz5_W</t>
        </is>
      </c>
      <c r="K24" t="n">
        <v>0.05</v>
      </c>
    </row>
    <row r="25">
      <c r="C25" s="2" t="inlineStr">
        <is>
          <t>Points – partial award</t>
        </is>
      </c>
      <c r="D25" s="5" t="inlineStr">
        <is>
          <t>points</t>
        </is>
      </c>
      <c r="E25" s="9">
        <f>E11*Osz5_Pts*Osz5_W</f>
        <v/>
      </c>
      <c r="F25" s="9">
        <f>F11*Osz5_Pts*Osz5_W</f>
        <v/>
      </c>
      <c r="J25" t="inlineStr">
        <is>
          <t>Osz6_W</t>
        </is>
      </c>
      <c r="K25" t="n">
        <v>0.05</v>
      </c>
    </row>
    <row r="26">
      <c r="C26" s="2" t="inlineStr">
        <is>
          <t>Points – performance security</t>
        </is>
      </c>
      <c r="D26" s="5" t="inlineStr">
        <is>
          <t>points</t>
        </is>
      </c>
      <c r="E26" s="9">
        <f>INDEX(Osz6_Pts,1+SUMPRODUCT((Osz6_LB&lt;E12)+(Osz6_LB=E12)*Osz6_Incl))*Osz6_W</f>
        <v/>
      </c>
      <c r="F26" s="9">
        <f>INDEX(Osz6_Pts,1+SUMPRODUCT((Osz6_LB&lt;F12)+(Osz6_LB=F12)*Osz6_Incl))*Osz6_W</f>
        <v/>
      </c>
      <c r="J26" t="inlineStr">
        <is>
          <t>Osz7_W</t>
        </is>
      </c>
      <c r="K26" t="n">
        <v>0.1</v>
      </c>
    </row>
    <row r="27">
      <c r="C27" s="2" t="inlineStr">
        <is>
          <t>Points – brownfield</t>
        </is>
      </c>
      <c r="D27" s="5" t="inlineStr">
        <is>
          <t>points</t>
        </is>
      </c>
      <c r="E27" s="9">
        <f>E13*Osz7_Pts*Osz7_W</f>
        <v/>
      </c>
      <c r="F27" s="9">
        <f>F13*Osz7_Pts*Osz7_W</f>
        <v/>
      </c>
      <c r="J27" t="inlineStr">
        <is>
          <t>Osz8_W</t>
        </is>
      </c>
      <c r="K27" t="n">
        <v>0.05</v>
      </c>
    </row>
    <row r="28">
      <c r="C28" s="2" t="inlineStr">
        <is>
          <t>Points – shared connection</t>
        </is>
      </c>
      <c r="D28" s="5" t="inlineStr">
        <is>
          <t>points</t>
        </is>
      </c>
      <c r="E28" s="9">
        <f>E14*Osz8_Pts*Osz8_W</f>
        <v/>
      </c>
      <c r="F28" s="9">
        <f>F14*Osz8_Pts*Osz8_W</f>
        <v/>
      </c>
      <c r="J28" t="inlineStr">
        <is>
          <t>Osz9_W</t>
        </is>
      </c>
      <c r="K28" t="n">
        <v>0.15</v>
      </c>
    </row>
    <row r="29">
      <c r="C29" s="2" t="inlineStr">
        <is>
          <t>Points – EU turbines</t>
        </is>
      </c>
      <c r="D29" s="5" t="inlineStr">
        <is>
          <t>points</t>
        </is>
      </c>
      <c r="E29" s="9">
        <f>E15*Osz9a_Pts*Osz9_W</f>
        <v/>
      </c>
      <c r="F29" s="9">
        <f>F15*Osz9a_Pts*Osz9_W</f>
        <v/>
      </c>
      <c r="J29" t="inlineStr">
        <is>
          <t>Thousand</t>
        </is>
      </c>
      <c r="K29" t="n">
        <v>1000</v>
      </c>
    </row>
    <row r="30">
      <c r="C30" s="2" t="inlineStr">
        <is>
          <t>Points – EU transformers</t>
        </is>
      </c>
      <c r="D30" s="5" t="inlineStr">
        <is>
          <t>points</t>
        </is>
      </c>
      <c r="E30" s="9">
        <f>E16*Osz9b_Pts*Osz9_W</f>
        <v/>
      </c>
      <c r="F30" s="9">
        <f>F16*Osz9b_Pts*Osz9_W</f>
        <v/>
      </c>
      <c r="J30" t="inlineStr">
        <is>
          <t>Days_In_Year</t>
        </is>
      </c>
      <c r="K30" t="n">
        <v>365</v>
      </c>
    </row>
    <row r="31">
      <c r="C31" s="10" t="inlineStr">
        <is>
          <t>Points total</t>
        </is>
      </c>
      <c r="D31" s="5" t="inlineStr">
        <is>
          <t>points</t>
        </is>
      </c>
      <c r="E31" s="11">
        <f>SUM(E21:E30)</f>
        <v/>
      </c>
      <c r="F31" s="11">
        <f>SUM(F21:F30)</f>
        <v/>
      </c>
    </row>
    <row r="33">
      <c r="B33" s="3" t="n"/>
      <c r="C33" s="3" t="inlineStr">
        <is>
          <t>Key dates</t>
        </is>
      </c>
      <c r="D33" s="3" t="n"/>
      <c r="E33" s="4" t="n"/>
      <c r="F33" s="4" t="n"/>
      <c r="G33" s="4" t="n"/>
    </row>
    <row r="34">
      <c r="C34" s="2" t="inlineStr">
        <is>
          <t>Signing fee and DD paid</t>
        </is>
      </c>
      <c r="D34" s="5" t="inlineStr">
        <is>
          <t>date</t>
        </is>
      </c>
      <c r="E34" s="12" t="n">
        <v>46234</v>
      </c>
    </row>
    <row r="35">
      <c r="C35" s="2" t="inlineStr">
        <is>
          <t>Bid submission: fee paid, bid security posted</t>
        </is>
      </c>
      <c r="D35" s="5" t="inlineStr">
        <is>
          <t>date</t>
        </is>
      </c>
      <c r="E35" s="12" t="n">
        <v>46325</v>
      </c>
    </row>
    <row r="36">
      <c r="C36" s="2" t="inlineStr">
        <is>
          <t>Performance security posted (bid security released)</t>
        </is>
      </c>
      <c r="D36" s="5" t="inlineStr">
        <is>
          <t>date</t>
        </is>
      </c>
      <c r="E36" s="12" t="n">
        <v>46402</v>
      </c>
    </row>
    <row r="37">
      <c r="C37" s="2" t="inlineStr">
        <is>
          <t>TSO security paid</t>
        </is>
      </c>
      <c r="D37" s="5" t="inlineStr">
        <is>
          <t>date</t>
        </is>
      </c>
      <c r="E37" s="12" t="n">
        <v>46402</v>
      </c>
    </row>
    <row r="38">
      <c r="C38" s="2" t="inlineStr">
        <is>
          <t>Devex contingency paid</t>
        </is>
      </c>
      <c r="D38" s="5" t="inlineStr">
        <is>
          <t>date</t>
        </is>
      </c>
      <c r="E38" s="12" t="n">
        <v>47118</v>
      </c>
    </row>
    <row r="39">
      <c r="C39" s="2" t="inlineStr">
        <is>
          <t>Connection agreement (HCSSZ): fees paid</t>
        </is>
      </c>
      <c r="D39" s="5" t="inlineStr">
        <is>
          <t>date</t>
        </is>
      </c>
      <c r="E39" s="12" t="n">
        <v>47027</v>
      </c>
    </row>
    <row r="40">
      <c r="C40" s="2" t="inlineStr">
        <is>
          <t>Notice to proceed</t>
        </is>
      </c>
      <c r="D40" s="5" t="inlineStr">
        <is>
          <t>date</t>
        </is>
      </c>
      <c r="E40" s="12" t="n">
        <v>47299</v>
      </c>
    </row>
    <row r="41">
      <c r="C41" s="2" t="inlineStr">
        <is>
          <t>COD</t>
        </is>
      </c>
      <c r="D41" s="5" t="inlineStr">
        <is>
          <t>date</t>
        </is>
      </c>
      <c r="E41" s="12" t="n">
        <v>48029</v>
      </c>
    </row>
    <row r="42">
      <c r="C42" s="2" t="inlineStr">
        <is>
          <t>Performance security released</t>
        </is>
      </c>
      <c r="D42" s="5" t="inlineStr">
        <is>
          <t>date</t>
        </is>
      </c>
      <c r="E42" s="12" t="n">
        <v>48669</v>
      </c>
      <c r="F42" s="5" t="inlineStr">
        <is>
          <t>model has no PB release date; Kiírás XII.13, estimate</t>
        </is>
      </c>
    </row>
    <row r="44">
      <c r="B44" s="3" t="n"/>
      <c r="C44" s="3" t="inlineStr">
        <is>
          <t>Rates and fees</t>
        </is>
      </c>
      <c r="D44" s="3" t="n"/>
      <c r="E44" s="4" t="inlineStr">
        <is>
          <t>Iváncsa</t>
        </is>
      </c>
      <c r="F44" s="4" t="inlineStr">
        <is>
          <t>Dunaújváros</t>
        </is>
      </c>
      <c r="G44" s="4" t="n"/>
    </row>
    <row r="45">
      <c r="C45" s="2" t="inlineStr">
        <is>
          <t>FX rate</t>
        </is>
      </c>
      <c r="D45" s="5" t="inlineStr">
        <is>
          <t>HUF/EUR</t>
        </is>
      </c>
      <c r="E45" s="6" t="n">
        <v>365</v>
      </c>
      <c r="F45" s="6" t="n">
        <v>365</v>
      </c>
    </row>
    <row r="46">
      <c r="C46" s="2" t="inlineStr">
        <is>
          <t>Security base: benchmark investment, wind</t>
        </is>
      </c>
      <c r="D46" s="5" t="inlineStr">
        <is>
          <t>HUF/MW</t>
        </is>
      </c>
      <c r="E46" s="6" t="n">
        <v>406000000</v>
      </c>
      <c r="F46" s="6" t="n">
        <v>406000000</v>
      </c>
    </row>
    <row r="47">
      <c r="C47" s="2" t="inlineStr">
        <is>
          <t>Security base: benchmark investment, BESS</t>
        </is>
      </c>
      <c r="D47" s="5" t="inlineStr">
        <is>
          <t>HUF/MWh</t>
        </is>
      </c>
      <c r="E47" s="6" t="n">
        <v>200000000</v>
      </c>
      <c r="F47" s="6" t="n">
        <v>200000000</v>
      </c>
    </row>
    <row r="48">
      <c r="C48" s="2" t="inlineStr">
        <is>
          <t>Participation fee per bid</t>
        </is>
      </c>
      <c r="D48" s="5" t="inlineStr">
        <is>
          <t>HUF</t>
        </is>
      </c>
      <c r="E48" s="6" t="n">
        <v>3000000</v>
      </c>
      <c r="F48" s="6" t="n">
        <v>3000000</v>
      </c>
    </row>
    <row r="49">
      <c r="C49" s="2" t="inlineStr">
        <is>
          <t>Bid security, share of base</t>
        </is>
      </c>
      <c r="D49" s="5" t="inlineStr">
        <is>
          <t>%</t>
        </is>
      </c>
      <c r="E49" s="7" t="n">
        <v>0.005</v>
      </c>
      <c r="F49" s="7" t="n">
        <v>0.005</v>
      </c>
    </row>
    <row r="50">
      <c r="C50" s="2" t="inlineStr">
        <is>
          <t>Performance security, minimum share of base</t>
        </is>
      </c>
      <c r="D50" s="5" t="inlineStr">
        <is>
          <t>%</t>
        </is>
      </c>
      <c r="E50" s="7" t="n">
        <v>0.025</v>
      </c>
      <c r="F50" s="7" t="n">
        <v>0.025</v>
      </c>
    </row>
    <row r="51">
      <c r="C51" s="2" t="inlineStr">
        <is>
          <t>TSO security</t>
        </is>
      </c>
      <c r="D51" s="5" t="inlineStr">
        <is>
          <t>HUF/MVA</t>
        </is>
      </c>
      <c r="E51" s="6" t="n">
        <v>4500000</v>
      </c>
      <c r="F51" s="6" t="n">
        <v>4500000</v>
      </c>
    </row>
    <row r="52">
      <c r="C52" s="2" t="inlineStr">
        <is>
          <t>Indirect connection fee (közvetett)</t>
        </is>
      </c>
      <c r="D52" s="5" t="inlineStr">
        <is>
          <t>HUF/MVA</t>
        </is>
      </c>
      <c r="E52" s="6" t="n">
        <v>19826680</v>
      </c>
      <c r="F52" s="6" t="n">
        <v>19826680</v>
      </c>
    </row>
    <row r="53">
      <c r="C53" s="2" t="inlineStr">
        <is>
          <t>Direct connection fee per bid (model: per MVA of the shared point)</t>
        </is>
      </c>
      <c r="D53" s="5" t="inlineStr">
        <is>
          <t>HUF</t>
        </is>
      </c>
      <c r="E53" s="6" t="n">
        <v>460000000</v>
      </c>
      <c r="F53" s="6" t="n">
        <v>460000000</v>
      </c>
    </row>
    <row r="54">
      <c r="C54" s="2" t="n"/>
      <c r="D54" s="5" t="n"/>
      <c r="E54" s="7" t="n"/>
      <c r="F54" s="7" t="n"/>
    </row>
    <row r="55">
      <c r="C55" s="2" t="inlineStr">
        <is>
          <t>Signing fee and DD</t>
        </is>
      </c>
      <c r="D55" s="5" t="inlineStr">
        <is>
          <t>EUR k</t>
        </is>
      </c>
      <c r="E55" s="6" t="n">
        <v>150</v>
      </c>
      <c r="F55" s="6" t="n">
        <v>150</v>
      </c>
    </row>
    <row r="56">
      <c r="C56" s="2" t="inlineStr">
        <is>
          <t>Devex incl. contingency</t>
        </is>
      </c>
      <c r="D56" s="5" t="inlineStr">
        <is>
          <t>EUR k</t>
        </is>
      </c>
      <c r="E56" s="6" t="n">
        <v>1000</v>
      </c>
      <c r="F56" s="6" t="n">
        <v>1000</v>
      </c>
    </row>
    <row r="57">
      <c r="C57" s="2" t="n"/>
      <c r="D57" s="5" t="n"/>
      <c r="E57" s="13" t="n"/>
      <c r="F57" s="13" t="n"/>
    </row>
    <row r="59">
      <c r="B59" s="3" t="n"/>
      <c r="C59" s="3" t="inlineStr">
        <is>
          <t>Guarantees, securities and connection fees, DEVEX (HUF)</t>
        </is>
      </c>
      <c r="D59" s="3" t="n"/>
      <c r="E59" s="4" t="inlineStr">
        <is>
          <t>Iváncsa</t>
        </is>
      </c>
      <c r="F59" s="4" t="inlineStr">
        <is>
          <t>Dunaújváros</t>
        </is>
      </c>
      <c r="G59" s="4" t="inlineStr">
        <is>
          <t>Total</t>
        </is>
      </c>
      <c r="H59" s="4" t="inlineStr">
        <is>
          <t>Date</t>
        </is>
      </c>
      <c r="I59" s="25" t="n"/>
    </row>
    <row r="60">
      <c r="C60" s="2" t="inlineStr">
        <is>
          <t>Participation fee</t>
        </is>
      </c>
      <c r="D60" s="5" t="inlineStr">
        <is>
          <t>HUF</t>
        </is>
      </c>
      <c r="E60" s="14">
        <f>E$48</f>
        <v/>
      </c>
      <c r="F60" s="14">
        <f>F$48</f>
        <v/>
      </c>
      <c r="G60" s="14">
        <f>E60+F60</f>
        <v/>
      </c>
      <c r="H60" s="23">
        <f>$E$35</f>
        <v/>
      </c>
      <c r="I60" s="24" t="n"/>
    </row>
    <row r="61">
      <c r="C61" s="16" t="inlineStr">
        <is>
          <t xml:space="preserve">Bid security </t>
        </is>
      </c>
      <c r="D61" s="17" t="inlineStr">
        <is>
          <t>HUF</t>
        </is>
      </c>
      <c r="E61" s="18">
        <f>E$49*(E$17*E$46+E$19*E$47)</f>
        <v/>
      </c>
      <c r="F61" s="18">
        <f>F$49*(F$17*F$46+F$19*F$47)</f>
        <v/>
      </c>
      <c r="G61" s="14">
        <f>E61+F61</f>
        <v/>
      </c>
      <c r="H61" s="24">
        <f>$E$35</f>
        <v/>
      </c>
      <c r="I61" s="24" t="n"/>
    </row>
    <row r="62">
      <c r="C62" s="19" t="inlineStr">
        <is>
          <t>Performance security payable (bid security deducted)</t>
        </is>
      </c>
      <c r="D62" s="17" t="inlineStr">
        <is>
          <t>HUF</t>
        </is>
      </c>
      <c r="E62" s="18">
        <f>E$50*E$12*(E$17*E$46+E$19*E$47)-E61</f>
        <v/>
      </c>
      <c r="F62" s="18">
        <f>F$50*F$12*(F$17*F$46+F$19*F$47)-F61</f>
        <v/>
      </c>
      <c r="G62" s="14">
        <f>E62+F62</f>
        <v/>
      </c>
      <c r="H62" s="24">
        <f>$E$36</f>
        <v/>
      </c>
      <c r="I62" s="24" t="n"/>
    </row>
    <row r="63">
      <c r="C63" s="2" t="inlineStr">
        <is>
          <t xml:space="preserve">TSO connection-request security </t>
        </is>
      </c>
      <c r="D63" s="5" t="inlineStr">
        <is>
          <t>HUF</t>
        </is>
      </c>
      <c r="E63" s="14">
        <f>E$51*E$5</f>
        <v/>
      </c>
      <c r="F63" s="14">
        <f>F$51*F$5</f>
        <v/>
      </c>
      <c r="G63" s="14">
        <f>E63+F63</f>
        <v/>
      </c>
      <c r="H63" s="23">
        <f>$E$37</f>
        <v/>
      </c>
      <c r="I63" s="24" t="n"/>
    </row>
    <row r="64">
      <c r="C64" s="2" t="inlineStr">
        <is>
          <t>Direct connection fee</t>
        </is>
      </c>
      <c r="D64" s="5" t="inlineStr">
        <is>
          <t>HUF</t>
        </is>
      </c>
      <c r="E64" s="14">
        <f>E$53</f>
        <v/>
      </c>
      <c r="F64" s="14">
        <f>F$53</f>
        <v/>
      </c>
      <c r="G64" s="14">
        <f>E64+F64</f>
        <v/>
      </c>
      <c r="H64" s="23">
        <f>$E$39</f>
        <v/>
      </c>
      <c r="I64" s="24" t="n"/>
    </row>
    <row r="65">
      <c r="C65" s="20" t="inlineStr">
        <is>
          <t>Indirect connection fee, payable (TSO conn.-req sec. deducted)</t>
        </is>
      </c>
      <c r="D65" s="5" t="inlineStr">
        <is>
          <t>HUF</t>
        </is>
      </c>
      <c r="E65" s="14">
        <f>E$52*E$5-E63</f>
        <v/>
      </c>
      <c r="F65" s="14">
        <f>F$52*F$5-F63</f>
        <v/>
      </c>
      <c r="G65" s="14">
        <f>E65+F65</f>
        <v/>
      </c>
      <c r="H65" s="23">
        <f>$E$39</f>
        <v/>
      </c>
      <c r="I65" s="24" t="n"/>
    </row>
    <row r="66" ht="15" customHeight="1" thickBot="1">
      <c r="C66" s="20" t="inlineStr">
        <is>
          <t>DEVEX</t>
        </is>
      </c>
      <c r="D66" s="5" t="n"/>
      <c r="E66" s="21">
        <f>E56*E45*1000</f>
        <v/>
      </c>
      <c r="F66" s="21">
        <f>F56*F45*1000</f>
        <v/>
      </c>
      <c r="G66" s="21">
        <f>E66+F66</f>
        <v/>
      </c>
      <c r="H66" s="27" t="inlineStr">
        <is>
          <t>continous</t>
        </is>
      </c>
      <c r="I66" s="24" t="n"/>
    </row>
    <row r="67">
      <c r="C67" s="10" t="inlineStr">
        <is>
          <t>Total cash: fee, securities, connection fees</t>
        </is>
      </c>
      <c r="D67" s="5" t="inlineStr">
        <is>
          <t>HUF</t>
        </is>
      </c>
      <c r="E67" s="15">
        <f>SUM(E60:E66)</f>
        <v/>
      </c>
      <c r="F67" s="15">
        <f>SUM(F60:F66)</f>
        <v/>
      </c>
      <c r="G67" s="15">
        <f>SUM(G60:G66)</f>
        <v/>
      </c>
      <c r="H67" s="15" t="n"/>
      <c r="I67" s="26" t="n"/>
    </row>
    <row r="68">
      <c r="C68" s="10" t="n"/>
      <c r="D68" s="5" t="n"/>
      <c r="E68" s="15" t="n"/>
      <c r="F68" s="15" t="n"/>
      <c r="G68" s="15" t="n"/>
      <c r="I68" s="26" t="n"/>
    </row>
    <row r="69">
      <c r="I69" s="26" t="n"/>
    </row>
    <row r="70">
      <c r="B70" s="3" t="n"/>
      <c r="C70" s="3" t="inlineStr">
        <is>
          <t>Guarantees, securities and connection fees, DEVEX (EUR)</t>
        </is>
      </c>
      <c r="D70" s="3" t="n"/>
      <c r="E70" s="4" t="inlineStr">
        <is>
          <t>Iváncsa</t>
        </is>
      </c>
      <c r="F70" s="4" t="inlineStr">
        <is>
          <t>Dunaújváros</t>
        </is>
      </c>
      <c r="G70" s="4" t="inlineStr">
        <is>
          <t>Total</t>
        </is>
      </c>
      <c r="H70" s="4" t="inlineStr">
        <is>
          <t>Date</t>
        </is>
      </c>
      <c r="I70" s="25" t="n"/>
    </row>
    <row r="71">
      <c r="C71" s="2" t="inlineStr">
        <is>
          <t>Participation fee</t>
        </is>
      </c>
      <c r="D71" s="5" t="inlineStr">
        <is>
          <t>EUR k</t>
        </is>
      </c>
      <c r="E71" s="14">
        <f>E60/E$45/Thousand</f>
        <v/>
      </c>
      <c r="F71" s="14">
        <f>F60/F$45/Thousand</f>
        <v/>
      </c>
      <c r="G71" s="14">
        <f>E71+F71</f>
        <v/>
      </c>
      <c r="H71" s="23">
        <f>$E$35</f>
        <v/>
      </c>
      <c r="I71" s="24" t="n"/>
    </row>
    <row r="72">
      <c r="C72" s="16" t="inlineStr">
        <is>
          <t xml:space="preserve">Bid security </t>
        </is>
      </c>
      <c r="D72" s="17" t="inlineStr">
        <is>
          <t>EUR k</t>
        </is>
      </c>
      <c r="E72" s="18">
        <f>E61/E$45/Thousand</f>
        <v/>
      </c>
      <c r="F72" s="18">
        <f>F61/F$45/Thousand</f>
        <v/>
      </c>
      <c r="G72" s="14">
        <f>E72+F72</f>
        <v/>
      </c>
      <c r="H72" s="24">
        <f>$E$35</f>
        <v/>
      </c>
      <c r="I72" s="24" t="n"/>
    </row>
    <row r="73">
      <c r="C73" s="19" t="inlineStr">
        <is>
          <t>Performance security payable (bid security deducted)</t>
        </is>
      </c>
      <c r="D73" s="17" t="inlineStr">
        <is>
          <t>EUR k</t>
        </is>
      </c>
      <c r="E73" s="18">
        <f>E62/E$45/Thousand</f>
        <v/>
      </c>
      <c r="F73" s="18">
        <f>F62/F$45/Thousand</f>
        <v/>
      </c>
      <c r="G73" s="14">
        <f>E73+F73</f>
        <v/>
      </c>
      <c r="H73" s="24">
        <f>$E$36</f>
        <v/>
      </c>
      <c r="I73" s="24" t="n"/>
    </row>
    <row r="74">
      <c r="C74" s="2" t="inlineStr">
        <is>
          <t xml:space="preserve">TSO connection-request security </t>
        </is>
      </c>
      <c r="D74" s="5" t="inlineStr">
        <is>
          <t>EUR k</t>
        </is>
      </c>
      <c r="E74" s="14">
        <f>E63/E$45/Thousand</f>
        <v/>
      </c>
      <c r="F74" s="14">
        <f>F63/F$45/Thousand</f>
        <v/>
      </c>
      <c r="G74" s="14">
        <f>E74+F74</f>
        <v/>
      </c>
      <c r="H74" s="23">
        <f>$E$37</f>
        <v/>
      </c>
      <c r="I74" s="24" t="n"/>
    </row>
    <row r="75">
      <c r="C75" s="2" t="inlineStr">
        <is>
          <t>Direct connection fee</t>
        </is>
      </c>
      <c r="D75" s="5" t="inlineStr">
        <is>
          <t>EUR k</t>
        </is>
      </c>
      <c r="E75" s="14">
        <f>E64/E$45/Thousand</f>
        <v/>
      </c>
      <c r="F75" s="14">
        <f>F64/F$45/Thousand</f>
        <v/>
      </c>
      <c r="G75" s="14">
        <f>E75+F75</f>
        <v/>
      </c>
      <c r="H75" s="23">
        <f>$E$39</f>
        <v/>
      </c>
      <c r="I75" s="24" t="n"/>
    </row>
    <row r="76">
      <c r="C76" s="20" t="inlineStr">
        <is>
          <t>Indirect connection fee, payable (TSO conn.-req sec. deducted)</t>
        </is>
      </c>
      <c r="D76" s="5" t="inlineStr">
        <is>
          <t>EUR k</t>
        </is>
      </c>
      <c r="E76" s="14">
        <f>E65/E$45/Thousand</f>
        <v/>
      </c>
      <c r="F76" s="14">
        <f>F65/F$45/Thousand</f>
        <v/>
      </c>
      <c r="G76" s="14">
        <f>E76+F76</f>
        <v/>
      </c>
      <c r="H76" s="23">
        <f>$E$39</f>
        <v/>
      </c>
      <c r="I76" s="24" t="n"/>
    </row>
    <row r="77" ht="15" customHeight="1" thickBot="1">
      <c r="C77" s="20" t="inlineStr">
        <is>
          <t>DEVEX</t>
        </is>
      </c>
      <c r="D77" s="5" t="n"/>
      <c r="E77" s="21">
        <f>E66/E$45/Thousand</f>
        <v/>
      </c>
      <c r="F77" s="21">
        <f>F66/F$45/Thousand</f>
        <v/>
      </c>
      <c r="G77" s="21">
        <f>E77+F77</f>
        <v/>
      </c>
      <c r="H77" s="27" t="inlineStr">
        <is>
          <t>continous</t>
        </is>
      </c>
      <c r="I77" s="24" t="n"/>
    </row>
    <row r="78">
      <c r="C78" s="10" t="inlineStr">
        <is>
          <t>Total cash: fee, securities, connection fees</t>
        </is>
      </c>
      <c r="D78" s="5" t="inlineStr">
        <is>
          <t>EUR k</t>
        </is>
      </c>
      <c r="E78" s="22">
        <f>E67/E$45/Thousand</f>
        <v/>
      </c>
      <c r="F78" s="22">
        <f>F67/F$45/Thousand</f>
        <v/>
      </c>
      <c r="G78" s="22">
        <f>E78+F78</f>
        <v/>
      </c>
    </row>
    <row r="81">
      <c r="B81" s="28" t="n"/>
      <c r="C81" s="28" t="inlineStr">
        <is>
          <t>Inputs for the exit cases</t>
        </is>
      </c>
      <c r="D81" s="28" t="n"/>
      <c r="E81" s="29" t="inlineStr">
        <is>
          <t>Iváncsa</t>
        </is>
      </c>
      <c r="F81" s="29" t="inlineStr">
        <is>
          <t>Dunaújváros</t>
        </is>
      </c>
      <c r="G81" s="29" t="inlineStr">
        <is>
          <t>Source</t>
        </is>
      </c>
      <c r="H81" s="29" t="n"/>
    </row>
    <row r="82">
      <c r="C82" s="30" t="inlineStr">
        <is>
          <t>Dates and claim terms (both projects)</t>
        </is>
      </c>
      <c r="D82" s="30" t="n"/>
      <c r="E82" s="30" t="n"/>
      <c r="F82" s="30" t="n"/>
      <c r="G82" s="30" t="n"/>
      <c r="H82" s="30" t="n"/>
    </row>
    <row r="83">
      <c r="C83" s="31" t="inlineStr">
        <is>
          <t>RtB date</t>
        </is>
      </c>
      <c r="D83" s="32" t="inlineStr">
        <is>
          <t>date</t>
        </is>
      </c>
      <c r="E83" s="33" t="n">
        <v>47208</v>
      </c>
      <c r="F83" s="14" t="n"/>
      <c r="G83" s="34" t="inlineStr">
        <is>
          <t>SPEC §21.1</t>
        </is>
      </c>
    </row>
    <row r="84">
      <c r="C84" s="31" t="inlineStr">
        <is>
          <t>Sale date (RtB exit)</t>
        </is>
      </c>
      <c r="D84" s="32" t="inlineStr">
        <is>
          <t>date</t>
        </is>
      </c>
      <c r="E84" s="33" t="n">
        <v>47391</v>
      </c>
      <c r="F84" s="14" t="n"/>
      <c r="G84" s="34" t="inlineStr">
        <is>
          <t>SPEC §21.1</t>
        </is>
      </c>
    </row>
    <row r="85">
      <c r="C85" s="31" t="inlineStr">
        <is>
          <t>Interest freeze date</t>
        </is>
      </c>
      <c r="D85" s="32" t="inlineStr">
        <is>
          <t>date</t>
        </is>
      </c>
      <c r="E85" s="33" t="n">
        <v>47299</v>
      </c>
      <c r="G85" s="32" t="inlineStr">
        <is>
          <t>Devex file V24</t>
        </is>
      </c>
    </row>
    <row r="86">
      <c r="C86" s="31" t="inlineStr">
        <is>
          <t>Devex average payment date (spent continuously)</t>
        </is>
      </c>
      <c r="D86" s="32" t="inlineStr">
        <is>
          <t>date</t>
        </is>
      </c>
      <c r="E86" s="33" t="n">
        <v>46752</v>
      </c>
      <c r="G86" s="32" t="inlineStr">
        <is>
          <t>Bid_Cash H77 'continuous'; SPEC §21.1</t>
        </is>
      </c>
    </row>
    <row r="87">
      <c r="C87" s="31" t="inlineStr">
        <is>
          <t>Claim rate, cash lines (incl. cash-posted securities)</t>
        </is>
      </c>
      <c r="D87" s="32" t="inlineStr">
        <is>
          <t>%</t>
        </is>
      </c>
      <c r="E87" s="35" t="n">
        <v>0.12</v>
      </c>
      <c r="G87" s="32" t="inlineStr">
        <is>
          <t>Devex file V18; Bora: bonds 6 %</t>
        </is>
      </c>
    </row>
    <row r="88">
      <c r="C88" s="31" t="inlineStr">
        <is>
          <t>Claim rate, devex</t>
        </is>
      </c>
      <c r="D88" s="32" t="inlineStr">
        <is>
          <t>%</t>
        </is>
      </c>
      <c r="E88" s="35" t="n">
        <v>0.2</v>
      </c>
      <c r="G88" s="32" t="inlineStr">
        <is>
          <t>Devex file V19</t>
        </is>
      </c>
    </row>
    <row r="89">
      <c r="C89" s="31" t="inlineStr">
        <is>
          <t>Devex minimum return multiple</t>
        </is>
      </c>
      <c r="D89" s="32" t="inlineStr">
        <is>
          <t>x</t>
        </is>
      </c>
      <c r="E89" s="36" t="n">
        <v>2</v>
      </c>
      <c r="G89" s="32" t="inlineStr">
        <is>
          <t>Devex file V20</t>
        </is>
      </c>
    </row>
    <row r="90">
      <c r="C90" s="31" t="inlineStr">
        <is>
          <t>Operating life from COD</t>
        </is>
      </c>
      <c r="D90" s="32" t="inlineStr">
        <is>
          <t>years</t>
        </is>
      </c>
      <c r="E90" s="37" t="n">
        <v>30</v>
      </c>
      <c r="G90" s="32" t="inlineStr">
        <is>
          <t>Bora Inputs G157</t>
        </is>
      </c>
    </row>
    <row r="91">
      <c r="C91" s="31" t="inlineStr">
        <is>
          <t>Months in a year</t>
        </is>
      </c>
      <c r="D91" s="32" t="inlineStr">
        <is>
          <t>months</t>
        </is>
      </c>
      <c r="E91" s="37" t="n">
        <v>12</v>
      </c>
      <c r="G91" s="32" t="inlineStr">
        <is>
          <t>Constant (Months_In_Year)</t>
        </is>
      </c>
    </row>
    <row r="92">
      <c r="C92" s="31" t="inlineStr">
        <is>
          <t>Check tolerance</t>
        </is>
      </c>
      <c r="D92" s="32" t="inlineStr">
        <is>
          <t>EUR k</t>
        </is>
      </c>
      <c r="E92" s="38" t="n">
        <v>0.001</v>
      </c>
      <c r="G92" s="32" t="inlineStr">
        <is>
          <t>Constant (Tolerance)</t>
        </is>
      </c>
    </row>
    <row r="93">
      <c r="C93" s="30" t="inlineStr">
        <is>
          <t>Exit and valuation</t>
        </is>
      </c>
      <c r="D93" s="30" t="n"/>
      <c r="E93" s="30" t="n"/>
      <c r="F93" s="30" t="n"/>
      <c r="G93" s="30" t="n"/>
      <c r="H93" s="30" t="n"/>
    </row>
    <row r="94">
      <c r="C94" s="31" t="inlineStr">
        <is>
          <t>RtB premium</t>
        </is>
      </c>
      <c r="D94" s="32" t="inlineStr">
        <is>
          <t>EUR k/MVA</t>
        </is>
      </c>
      <c r="E94" s="39" t="n">
        <v>150</v>
      </c>
      <c r="F94" s="39" t="n">
        <v>150</v>
      </c>
      <c r="G94" s="32" t="inlineStr">
        <is>
          <t>SPEC §21.1, placeholder</t>
        </is>
      </c>
    </row>
    <row r="95">
      <c r="C95" s="31" t="inlineStr">
        <is>
          <t>Sale costs</t>
        </is>
      </c>
      <c r="D95" s="32" t="inlineStr">
        <is>
          <t>EUR k</t>
        </is>
      </c>
      <c r="E95" s="39" t="n">
        <v>250</v>
      </c>
      <c r="F95" s="39" t="n">
        <v>250</v>
      </c>
      <c r="G95" s="32" t="inlineStr">
        <is>
          <t>SPEC §21.1</t>
        </is>
      </c>
    </row>
    <row r="96">
      <c r="C96" s="31" t="inlineStr">
        <is>
          <t>FEP share of distributable proceeds</t>
        </is>
      </c>
      <c r="D96" s="32" t="inlineStr">
        <is>
          <t>%</t>
        </is>
      </c>
      <c r="E96" s="35" t="n">
        <v>1</v>
      </c>
      <c r="F96" s="35" t="n">
        <v>1</v>
      </c>
      <c r="G96" s="32" t="inlineStr">
        <is>
          <t>SPEC §21.1, placeholder</t>
        </is>
      </c>
    </row>
    <row r="97">
      <c r="C97" s="31" t="inlineStr">
        <is>
          <t>Developer success fee (DSA)</t>
        </is>
      </c>
      <c r="D97" s="32" t="inlineStr">
        <is>
          <t>EUR k</t>
        </is>
      </c>
      <c r="E97" s="39" t="n">
        <v>0</v>
      </c>
      <c r="F97" s="39" t="n">
        <v>0</v>
      </c>
      <c r="G97" s="32" t="inlineStr">
        <is>
          <t>SPEC §21.1</t>
        </is>
      </c>
    </row>
    <row r="98">
      <c r="C98" s="31" t="inlineStr">
        <is>
          <t>Discount rate (buyer's pre-tax return at COD)</t>
        </is>
      </c>
      <c r="D98" s="32" t="inlineStr">
        <is>
          <t>%</t>
        </is>
      </c>
      <c r="E98" s="35" t="n">
        <v>0.08</v>
      </c>
      <c r="F98" s="35" t="n">
        <v>0.08</v>
      </c>
      <c r="G98" s="32" t="inlineStr">
        <is>
          <t>Bora Inputs G226</t>
        </is>
      </c>
    </row>
    <row r="99">
      <c r="C99" s="30" t="inlineStr">
        <is>
          <t>Capex (per MW of wind built unless stated)</t>
        </is>
      </c>
      <c r="D99" s="30" t="n"/>
      <c r="E99" s="30" t="n"/>
      <c r="F99" s="30" t="n"/>
      <c r="G99" s="30" t="n"/>
      <c r="H99" s="30" t="n"/>
    </row>
    <row r="100">
      <c r="C100" s="31" t="inlineStr">
        <is>
          <t>Build shortfall (wind built = committed less this)</t>
        </is>
      </c>
      <c r="D100" s="32" t="inlineStr">
        <is>
          <t>%</t>
        </is>
      </c>
      <c r="E100" s="35" t="n">
        <v>0.1</v>
      </c>
      <c r="F100" s="35" t="n">
        <v>0.1</v>
      </c>
      <c r="G100" s="32" t="inlineStr">
        <is>
          <t>Bora Dash_Build_Shortfall; GYIK Q28/30/76</t>
        </is>
      </c>
    </row>
    <row r="101">
      <c r="C101" s="31" t="inlineStr">
        <is>
          <t>Turbine supply incl. transport</t>
        </is>
      </c>
      <c r="D101" s="32" t="inlineStr">
        <is>
          <t>EUR k/MW</t>
        </is>
      </c>
      <c r="E101" s="39" t="n">
        <v>850</v>
      </c>
      <c r="F101" s="39" t="n">
        <v>850</v>
      </c>
      <c r="G101" s="32" t="inlineStr">
        <is>
          <t>Bora Inputs G162 (Base)</t>
        </is>
      </c>
    </row>
    <row r="102">
      <c r="C102" s="31" t="inlineStr">
        <is>
          <t>Turbine installation and erection</t>
        </is>
      </c>
      <c r="D102" s="32" t="inlineStr">
        <is>
          <t>EUR k/MW</t>
        </is>
      </c>
      <c r="E102" s="39" t="n">
        <v>80</v>
      </c>
      <c r="F102" s="39" t="n">
        <v>80</v>
      </c>
      <c r="G102" s="32" t="inlineStr">
        <is>
          <t>Bora Inputs G163</t>
        </is>
      </c>
    </row>
    <row r="103">
      <c r="C103" s="31" t="inlineStr">
        <is>
          <t>Foundations</t>
        </is>
      </c>
      <c r="D103" s="32" t="inlineStr">
        <is>
          <t>EUR k/MW</t>
        </is>
      </c>
      <c r="E103" s="39" t="n">
        <v>90</v>
      </c>
      <c r="F103" s="39" t="n">
        <v>90</v>
      </c>
      <c r="G103" s="32" t="inlineStr">
        <is>
          <t>Bora Inputs G164</t>
        </is>
      </c>
    </row>
    <row r="104">
      <c r="C104" s="31" t="inlineStr">
        <is>
          <t>Balance of plant – civil</t>
        </is>
      </c>
      <c r="D104" s="32" t="inlineStr">
        <is>
          <t>EUR k/MW</t>
        </is>
      </c>
      <c r="E104" s="39" t="n">
        <v>70</v>
      </c>
      <c r="F104" s="39" t="n">
        <v>70</v>
      </c>
      <c r="G104" s="32" t="inlineStr">
        <is>
          <t>Bora Inputs G165</t>
        </is>
      </c>
    </row>
    <row r="105">
      <c r="C105" s="31" t="inlineStr">
        <is>
          <t>Balance of plant – electrical</t>
        </is>
      </c>
      <c r="D105" s="32" t="inlineStr">
        <is>
          <t>EUR k/MW</t>
        </is>
      </c>
      <c r="E105" s="39" t="n">
        <v>60</v>
      </c>
      <c r="F105" s="39" t="n">
        <v>60</v>
      </c>
      <c r="G105" s="32" t="inlineStr">
        <is>
          <t>Bora Inputs G166</t>
        </is>
      </c>
    </row>
    <row r="106">
      <c r="C106" s="31" t="inlineStr">
        <is>
          <t>Owner's costs, engineering, PM, construction insurance</t>
        </is>
      </c>
      <c r="D106" s="32" t="inlineStr">
        <is>
          <t>EUR k/MW</t>
        </is>
      </c>
      <c r="E106" s="39" t="n">
        <v>40</v>
      </c>
      <c r="F106" s="39" t="n">
        <v>40</v>
      </c>
      <c r="G106" s="32" t="inlineStr">
        <is>
          <t>Bora Inputs G169</t>
        </is>
      </c>
    </row>
    <row r="107">
      <c r="C107" s="31" t="inlineStr">
        <is>
          <t>Land purchase and easements</t>
        </is>
      </c>
      <c r="D107" s="32" t="inlineStr">
        <is>
          <t>EUR k/MW</t>
        </is>
      </c>
      <c r="E107" s="39" t="n">
        <v>15</v>
      </c>
      <c r="F107" s="39" t="n">
        <v>15</v>
      </c>
      <c r="G107" s="32" t="inlineStr">
        <is>
          <t>Bora Inputs G170</t>
        </is>
      </c>
    </row>
    <row r="108">
      <c r="C108" s="31" t="inlineStr">
        <is>
          <t>On-site substation and 132 kV bay (lump sum)</t>
        </is>
      </c>
      <c r="D108" s="32" t="inlineStr">
        <is>
          <t>EUR k</t>
        </is>
      </c>
      <c r="E108" s="39" t="n">
        <v>12000</v>
      </c>
      <c r="F108" s="39" t="n">
        <v>12000</v>
      </c>
      <c r="G108" s="32" t="inlineStr">
        <is>
          <t>Bora Inputs G167, at the source basis</t>
        </is>
      </c>
    </row>
    <row r="109">
      <c r="C109" s="31" t="inlineStr">
        <is>
          <t>Source basis of the lump sums</t>
        </is>
      </c>
      <c r="D109" s="32" t="inlineStr">
        <is>
          <t>MVA</t>
        </is>
      </c>
      <c r="E109" s="39" t="n">
        <v>200</v>
      </c>
      <c r="F109" s="39" t="n">
        <v>200</v>
      </c>
      <c r="G109" s="32" t="inlineStr">
        <is>
          <t>Bora Inputs E305</t>
        </is>
      </c>
    </row>
    <row r="110">
      <c r="C110" s="31" t="inlineStr">
        <is>
          <t>Capex contingency (not on BESS)</t>
        </is>
      </c>
      <c r="D110" s="32" t="inlineStr">
        <is>
          <t>%</t>
        </is>
      </c>
      <c r="E110" s="35" t="n">
        <v>0.05</v>
      </c>
      <c r="F110" s="35" t="n">
        <v>0.05</v>
      </c>
      <c r="G110" s="32" t="inlineStr">
        <is>
          <t>Bora Inputs G173</t>
        </is>
      </c>
    </row>
    <row r="111">
      <c r="C111" s="31" t="inlineStr">
        <is>
          <t>BESS capex</t>
        </is>
      </c>
      <c r="D111" s="32" t="inlineStr">
        <is>
          <t>EUR k/MWh</t>
        </is>
      </c>
      <c r="E111" s="39" t="n">
        <v>100</v>
      </c>
      <c r="F111" s="39" t="n">
        <v>100</v>
      </c>
      <c r="G111" s="32" t="inlineStr">
        <is>
          <t>CLAUDE.md standing assumption, 15-Oct-26</t>
        </is>
      </c>
    </row>
    <row r="112">
      <c r="C112" s="30" t="inlineStr">
        <is>
          <t>Generation and revenue</t>
        </is>
      </c>
      <c r="D112" s="30" t="n"/>
      <c r="E112" s="30" t="n"/>
      <c r="F112" s="30" t="n"/>
      <c r="G112" s="30" t="n"/>
      <c r="H112" s="30" t="n"/>
    </row>
    <row r="113">
      <c r="C113" s="31" t="inlineStr">
        <is>
          <t>Net P50 hours</t>
        </is>
      </c>
      <c r="D113" s="32" t="inlineStr">
        <is>
          <t>h/yr</t>
        </is>
      </c>
      <c r="E113" s="39" t="n">
        <v>2500</v>
      </c>
      <c r="F113" s="39" t="n">
        <v>2500</v>
      </c>
      <c r="G113" s="32" t="inlineStr">
        <is>
          <t>Bora Inputs G181 (Base)</t>
        </is>
      </c>
    </row>
    <row r="114">
      <c r="C114" s="31" t="inlineStr">
        <is>
          <t>Curtailment</t>
        </is>
      </c>
      <c r="D114" s="32" t="inlineStr">
        <is>
          <t>%</t>
        </is>
      </c>
      <c r="E114" s="35" t="n">
        <v>0.02</v>
      </c>
      <c r="F114" s="35" t="n">
        <v>0.02</v>
      </c>
      <c r="G114" s="32" t="inlineStr">
        <is>
          <t>Bora Inputs G183</t>
        </is>
      </c>
    </row>
    <row r="115">
      <c r="C115" s="31" t="inlineStr">
        <is>
          <t>Clipping</t>
        </is>
      </c>
      <c r="D115" s="32" t="inlineStr">
        <is>
          <t>%</t>
        </is>
      </c>
      <c r="E115" s="35" t="n">
        <v>0.04</v>
      </c>
      <c r="F115" s="35" t="n">
        <v>0.04</v>
      </c>
      <c r="G115" s="32" t="inlineStr">
        <is>
          <t>Bora Dash_Clip_Override (user, 26-Oct-26)</t>
        </is>
      </c>
    </row>
    <row r="116">
      <c r="C116" s="31" t="inlineStr">
        <is>
          <t>Degradation</t>
        </is>
      </c>
      <c r="D116" s="32" t="inlineStr">
        <is>
          <t>% p.a.</t>
        </is>
      </c>
      <c r="E116" s="35" t="n">
        <v>0.003</v>
      </c>
      <c r="F116" s="35" t="n">
        <v>0.003</v>
      </c>
      <c r="G116" s="32" t="inlineStr">
        <is>
          <t>Bora Inputs G184</t>
        </is>
      </c>
    </row>
    <row r="117">
      <c r="C117" s="31" t="inlineStr">
        <is>
          <t>PPA price in the COD year</t>
        </is>
      </c>
      <c r="D117" s="32" t="inlineStr">
        <is>
          <t>EUR/MWh</t>
        </is>
      </c>
      <c r="E117" s="40" t="n">
        <v>90</v>
      </c>
      <c r="F117" s="40" t="n">
        <v>90</v>
      </c>
      <c r="G117" s="32" t="inlineStr">
        <is>
          <t>Bora Inputs G193 (Base)</t>
        </is>
      </c>
    </row>
    <row r="118">
      <c r="C118" s="31" t="inlineStr">
        <is>
          <t>PPA escalation</t>
        </is>
      </c>
      <c r="D118" s="32" t="inlineStr">
        <is>
          <t>% p.a.</t>
        </is>
      </c>
      <c r="E118" s="35" t="n">
        <v>0.01</v>
      </c>
      <c r="F118" s="35" t="n">
        <v>0.01</v>
      </c>
      <c r="G118" s="32" t="inlineStr">
        <is>
          <t>Bora Inputs G194</t>
        </is>
      </c>
    </row>
    <row r="119">
      <c r="C119" s="30" t="inlineStr">
        <is>
          <t>Opex (COD-year prices)</t>
        </is>
      </c>
      <c r="D119" s="30" t="n"/>
      <c r="E119" s="30" t="n"/>
      <c r="F119" s="30" t="n"/>
      <c r="G119" s="30" t="n"/>
      <c r="H119" s="30" t="n"/>
    </row>
    <row r="120">
      <c r="C120" s="31" t="inlineStr">
        <is>
          <t>O&amp;M full-service contract</t>
        </is>
      </c>
      <c r="D120" s="32" t="inlineStr">
        <is>
          <t>EUR k/MW/yr</t>
        </is>
      </c>
      <c r="E120" s="40" t="n">
        <v>12</v>
      </c>
      <c r="F120" s="40" t="n">
        <v>12</v>
      </c>
      <c r="G120" s="32" t="inlineStr">
        <is>
          <t>Bora Inputs G203 (Base)</t>
        </is>
      </c>
    </row>
    <row r="121">
      <c r="C121" s="31" t="inlineStr">
        <is>
          <t>Balance of plant maintenance</t>
        </is>
      </c>
      <c r="D121" s="32" t="inlineStr">
        <is>
          <t>EUR k/MW/yr</t>
        </is>
      </c>
      <c r="E121" s="40" t="n">
        <v>3</v>
      </c>
      <c r="F121" s="40" t="n">
        <v>3</v>
      </c>
      <c r="G121" s="32" t="inlineStr">
        <is>
          <t>Bora Inputs G204</t>
        </is>
      </c>
    </row>
    <row r="122">
      <c r="C122" s="31" t="inlineStr">
        <is>
          <t>Land lease</t>
        </is>
      </c>
      <c r="D122" s="32" t="inlineStr">
        <is>
          <t>EUR k/MW/yr</t>
        </is>
      </c>
      <c r="E122" s="40" t="n">
        <v>3</v>
      </c>
      <c r="F122" s="40" t="n">
        <v>3</v>
      </c>
      <c r="G122" s="32" t="inlineStr">
        <is>
          <t>Bora Inputs G205</t>
        </is>
      </c>
    </row>
    <row r="123">
      <c r="C123" s="31" t="inlineStr">
        <is>
          <t>Operational insurance</t>
        </is>
      </c>
      <c r="D123" s="32" t="inlineStr">
        <is>
          <t>EUR k/MW/yr</t>
        </is>
      </c>
      <c r="E123" s="40" t="n">
        <v>2.5</v>
      </c>
      <c r="F123" s="40" t="n">
        <v>2.5</v>
      </c>
      <c r="G123" s="32" t="inlineStr">
        <is>
          <t>Bora Inputs G206</t>
        </is>
      </c>
    </row>
    <row r="124">
      <c r="C124" s="31" t="inlineStr">
        <is>
          <t>Asset and commercial management</t>
        </is>
      </c>
      <c r="D124" s="32" t="inlineStr">
        <is>
          <t>EUR k/MW/yr</t>
        </is>
      </c>
      <c r="E124" s="40" t="n">
        <v>1.5</v>
      </c>
      <c r="F124" s="40" t="n">
        <v>1.5</v>
      </c>
      <c r="G124" s="32" t="inlineStr">
        <is>
          <t>Bora Inputs G207</t>
        </is>
      </c>
    </row>
    <row r="125">
      <c r="C125" s="31" t="inlineStr">
        <is>
          <t>Property tax</t>
        </is>
      </c>
      <c r="D125" s="32" t="inlineStr">
        <is>
          <t>EUR k/MW/yr</t>
        </is>
      </c>
      <c r="E125" s="40" t="n">
        <v>3</v>
      </c>
      <c r="F125" s="40" t="n">
        <v>3</v>
      </c>
      <c r="G125" s="32" t="inlineStr">
        <is>
          <t>Bora Inputs G208</t>
        </is>
      </c>
    </row>
    <row r="126">
      <c r="C126" s="31" t="inlineStr">
        <is>
          <t>Administration, audit, compliance (at the source basis)</t>
        </is>
      </c>
      <c r="D126" s="32" t="inlineStr">
        <is>
          <t>EUR k/yr</t>
        </is>
      </c>
      <c r="E126" s="39" t="n">
        <v>150</v>
      </c>
      <c r="F126" s="39" t="n">
        <v>150</v>
      </c>
      <c r="G126" s="32" t="inlineStr">
        <is>
          <t>Bora Inputs G209</t>
        </is>
      </c>
    </row>
    <row r="127">
      <c r="C127" s="31" t="inlineStr">
        <is>
          <t>Balancing cost</t>
        </is>
      </c>
      <c r="D127" s="32" t="inlineStr">
        <is>
          <t>EUR/MWh</t>
        </is>
      </c>
      <c r="E127" s="40" t="n">
        <v>4</v>
      </c>
      <c r="F127" s="40" t="n">
        <v>4</v>
      </c>
      <c r="G127" s="32" t="inlineStr">
        <is>
          <t>Bora Inputs G196</t>
        </is>
      </c>
    </row>
    <row r="128">
      <c r="C128" s="31" t="inlineStr">
        <is>
          <t>Grid use-of-system charges</t>
        </is>
      </c>
      <c r="D128" s="32" t="inlineStr">
        <is>
          <t>EUR/MWh</t>
        </is>
      </c>
      <c r="E128" s="40" t="n">
        <v>1</v>
      </c>
      <c r="F128" s="40" t="n">
        <v>1</v>
      </c>
      <c r="G128" s="32" t="inlineStr">
        <is>
          <t>Bora Inputs G197</t>
        </is>
      </c>
    </row>
    <row r="129">
      <c r="C129" s="31" t="inlineStr">
        <is>
          <t>MEKH supervisory fee</t>
        </is>
      </c>
      <c r="D129" s="32" t="inlineStr">
        <is>
          <t>% of rev.</t>
        </is>
      </c>
      <c r="E129" s="35" t="n">
        <v>0.001</v>
      </c>
      <c r="F129" s="35" t="n">
        <v>0.001</v>
      </c>
      <c r="G129" s="32" t="inlineStr">
        <is>
          <t>Bora Inputs G198</t>
        </is>
      </c>
    </row>
    <row r="130">
      <c r="C130" s="31" t="inlineStr">
        <is>
          <t>HIPA local business tax</t>
        </is>
      </c>
      <c r="D130" s="32" t="inlineStr">
        <is>
          <t>% of rev.</t>
        </is>
      </c>
      <c r="E130" s="35" t="n">
        <v>0.02</v>
      </c>
      <c r="F130" s="35" t="n">
        <v>0.02</v>
      </c>
      <c r="G130" s="32" t="inlineStr">
        <is>
          <t>Bora Inputs G212</t>
        </is>
      </c>
    </row>
    <row r="131">
      <c r="C131" s="31" t="inlineStr">
        <is>
          <t>Opex contingency (not on community, HIPA)</t>
        </is>
      </c>
      <c r="D131" s="32" t="inlineStr">
        <is>
          <t>%</t>
        </is>
      </c>
      <c r="E131" s="35" t="n">
        <v>0.05</v>
      </c>
      <c r="F131" s="35" t="n">
        <v>0.05</v>
      </c>
      <c r="G131" s="32" t="inlineStr">
        <is>
          <t>Bora Inputs G210</t>
        </is>
      </c>
    </row>
    <row r="132">
      <c r="C132" s="31" t="inlineStr">
        <is>
          <t>Opex escalation</t>
        </is>
      </c>
      <c r="D132" s="32" t="inlineStr">
        <is>
          <t>% p.a.</t>
        </is>
      </c>
      <c r="E132" s="35" t="n">
        <v>0.025</v>
      </c>
      <c r="F132" s="35" t="n">
        <v>0.025</v>
      </c>
      <c r="G132" s="32" t="inlineStr">
        <is>
          <t>Bora Inputs G211</t>
        </is>
      </c>
    </row>
    <row r="134">
      <c r="B134" s="28" t="n"/>
      <c r="C134" s="28" t="inlineStr">
        <is>
          <t>RtB exit: FEP claims at the sale, interest to the freeze (act/365, capitalised 31-Dec)</t>
        </is>
      </c>
      <c r="D134" s="28" t="n"/>
      <c r="E134" s="29" t="inlineStr">
        <is>
          <t>Iváncsa</t>
        </is>
      </c>
      <c r="F134" s="29" t="inlineStr">
        <is>
          <t>Dunaújváros</t>
        </is>
      </c>
      <c r="G134" s="29" t="inlineStr">
        <is>
          <t>Total</t>
        </is>
      </c>
      <c r="H134" s="29" t="inlineStr">
        <is>
          <t>Paid</t>
        </is>
      </c>
      <c r="X134" s="29" t="inlineStr">
        <is>
          <t>Rate</t>
        </is>
      </c>
      <c r="Y134" s="29" t="inlineStr">
        <is>
          <t>Year paid</t>
        </is>
      </c>
      <c r="Z134" s="29" t="inlineStr">
        <is>
          <t>Days, 1st yr</t>
        </is>
      </c>
      <c r="AA134" s="29" t="inlineStr">
        <is>
          <t>Full years</t>
        </is>
      </c>
      <c r="AB134" s="29" t="inlineStr">
        <is>
          <t>Days, last yr</t>
        </is>
      </c>
      <c r="AC134" s="29" t="inlineStr">
        <is>
          <t>Factor</t>
        </is>
      </c>
    </row>
    <row r="135">
      <c r="C135" s="31" t="inlineStr">
        <is>
          <t>Interest accrual end (earlier of freeze and sale)</t>
        </is>
      </c>
      <c r="D135" s="32" t="inlineStr">
        <is>
          <t>date</t>
        </is>
      </c>
      <c r="E135" s="41">
        <f>MIN($E$85,$E$84)</f>
        <v/>
      </c>
    </row>
    <row r="136">
      <c r="C136" s="31" t="inlineStr">
        <is>
          <t>Participation fee (not reimbursed)</t>
        </is>
      </c>
      <c r="D136" s="32" t="inlineStr">
        <is>
          <t>EUR k</t>
        </is>
      </c>
      <c r="E136" s="42">
        <f>E71*($AC136-1)</f>
        <v/>
      </c>
      <c r="F136" s="42">
        <f>F71*($AC136-1)</f>
        <v/>
      </c>
      <c r="G136" s="42">
        <f>E136+F136</f>
        <v/>
      </c>
      <c r="H136" s="41">
        <f>$E$35</f>
        <v/>
      </c>
      <c r="X136" s="43">
        <f>$E$87</f>
        <v/>
      </c>
      <c r="Y136" s="44">
        <f>YEAR(H136)</f>
        <v/>
      </c>
      <c r="Z136" s="44">
        <f>MIN(DATE(Y136+1,1,1),$E$135+1)-H136</f>
        <v/>
      </c>
      <c r="AA136" s="44">
        <f>MAX(0,YEAR($E$135)-Y136-1)</f>
        <v/>
      </c>
      <c r="AB136" s="44">
        <f>(YEAR($E$135)&gt;Y136)*($E$135-DATE(YEAR($E$135),1,1)+1)</f>
        <v/>
      </c>
      <c r="AC136" s="45">
        <f>(1+X136*Z136/Days_In_Year)*(1+X136)^AA136*(1+X136*AB136/Days_In_Year)</f>
        <v/>
      </c>
    </row>
    <row r="137">
      <c r="C137" s="31" t="inlineStr">
        <is>
          <t>Bid security (cash)</t>
        </is>
      </c>
      <c r="D137" s="32" t="inlineStr">
        <is>
          <t>EUR k</t>
        </is>
      </c>
      <c r="E137" s="42">
        <f>E72*($AC137-1)</f>
        <v/>
      </c>
      <c r="F137" s="42">
        <f>F72*($AC137-1)</f>
        <v/>
      </c>
      <c r="G137" s="42">
        <f>E137+F137</f>
        <v/>
      </c>
      <c r="H137" s="41">
        <f>$E$35</f>
        <v/>
      </c>
      <c r="X137" s="43">
        <f>$E$87</f>
        <v/>
      </c>
      <c r="Y137" s="44">
        <f>YEAR(H137)</f>
        <v/>
      </c>
      <c r="Z137" s="44">
        <f>MIN(DATE(Y137+1,1,1),$E$135+1)-H137</f>
        <v/>
      </c>
      <c r="AA137" s="44">
        <f>MAX(0,YEAR($E$135)-Y137-1)</f>
        <v/>
      </c>
      <c r="AB137" s="44">
        <f>(YEAR($E$135)&gt;Y137)*($E$135-DATE(YEAR($E$135),1,1)+1)</f>
        <v/>
      </c>
      <c r="AC137" s="45">
        <f>(1+X137*Z137/Days_In_Year)*(1+X137)^AA137*(1+X137*AB137/Days_In_Year)</f>
        <v/>
      </c>
    </row>
    <row r="138">
      <c r="C138" s="31" t="inlineStr">
        <is>
          <t>Performance security payable (cash)</t>
        </is>
      </c>
      <c r="D138" s="32" t="inlineStr">
        <is>
          <t>EUR k</t>
        </is>
      </c>
      <c r="E138" s="42">
        <f>E73*($AC138-1)</f>
        <v/>
      </c>
      <c r="F138" s="42">
        <f>F73*($AC138-1)</f>
        <v/>
      </c>
      <c r="G138" s="42">
        <f>E138+F138</f>
        <v/>
      </c>
      <c r="H138" s="41">
        <f>$E$36</f>
        <v/>
      </c>
      <c r="X138" s="43">
        <f>$E$87</f>
        <v/>
      </c>
      <c r="Y138" s="44">
        <f>YEAR(H138)</f>
        <v/>
      </c>
      <c r="Z138" s="44">
        <f>MIN(DATE(Y138+1,1,1),$E$135+1)-H138</f>
        <v/>
      </c>
      <c r="AA138" s="44">
        <f>MAX(0,YEAR($E$135)-Y138-1)</f>
        <v/>
      </c>
      <c r="AB138" s="44">
        <f>(YEAR($E$135)&gt;Y138)*($E$135-DATE(YEAR($E$135),1,1)+1)</f>
        <v/>
      </c>
      <c r="AC138" s="45">
        <f>(1+X138*Z138/Days_In_Year)*(1+X138)^AA138*(1+X138*AB138/Days_In_Year)</f>
        <v/>
      </c>
    </row>
    <row r="139">
      <c r="C139" s="31" t="inlineStr">
        <is>
          <t>TSO connection-request security</t>
        </is>
      </c>
      <c r="D139" s="32" t="inlineStr">
        <is>
          <t>EUR k</t>
        </is>
      </c>
      <c r="E139" s="42">
        <f>E74*($AC139-1)</f>
        <v/>
      </c>
      <c r="F139" s="42">
        <f>F74*($AC139-1)</f>
        <v/>
      </c>
      <c r="G139" s="42">
        <f>E139+F139</f>
        <v/>
      </c>
      <c r="H139" s="41">
        <f>$E$37</f>
        <v/>
      </c>
      <c r="X139" s="43">
        <f>$E$87</f>
        <v/>
      </c>
      <c r="Y139" s="44">
        <f>YEAR(H139)</f>
        <v/>
      </c>
      <c r="Z139" s="44">
        <f>MIN(DATE(Y139+1,1,1),$E$135+1)-H139</f>
        <v/>
      </c>
      <c r="AA139" s="44">
        <f>MAX(0,YEAR($E$135)-Y139-1)</f>
        <v/>
      </c>
      <c r="AB139" s="44">
        <f>(YEAR($E$135)&gt;Y139)*($E$135-DATE(YEAR($E$135),1,1)+1)</f>
        <v/>
      </c>
      <c r="AC139" s="45">
        <f>(1+X139*Z139/Days_In_Year)*(1+X139)^AA139*(1+X139*AB139/Days_In_Year)</f>
        <v/>
      </c>
    </row>
    <row r="140">
      <c r="C140" s="31" t="inlineStr">
        <is>
          <t>Direct connection fee</t>
        </is>
      </c>
      <c r="D140" s="32" t="inlineStr">
        <is>
          <t>EUR k</t>
        </is>
      </c>
      <c r="E140" s="42">
        <f>E75*($AC140-1)</f>
        <v/>
      </c>
      <c r="F140" s="42">
        <f>F75*($AC140-1)</f>
        <v/>
      </c>
      <c r="G140" s="42">
        <f>E140+F140</f>
        <v/>
      </c>
      <c r="H140" s="41">
        <f>$E$39</f>
        <v/>
      </c>
      <c r="X140" s="43">
        <f>$E$87</f>
        <v/>
      </c>
      <c r="Y140" s="44">
        <f>YEAR(H140)</f>
        <v/>
      </c>
      <c r="Z140" s="44">
        <f>MIN(DATE(Y140+1,1,1),$E$135+1)-H140</f>
        <v/>
      </c>
      <c r="AA140" s="44">
        <f>MAX(0,YEAR($E$135)-Y140-1)</f>
        <v/>
      </c>
      <c r="AB140" s="44">
        <f>(YEAR($E$135)&gt;Y140)*($E$135-DATE(YEAR($E$135),1,1)+1)</f>
        <v/>
      </c>
      <c r="AC140" s="45">
        <f>(1+X140*Z140/Days_In_Year)*(1+X140)^AA140*(1+X140*AB140/Days_In_Year)</f>
        <v/>
      </c>
    </row>
    <row r="141">
      <c r="C141" s="31" t="inlineStr">
        <is>
          <t>Indirect connection fee, payable</t>
        </is>
      </c>
      <c r="D141" s="32" t="inlineStr">
        <is>
          <t>EUR k</t>
        </is>
      </c>
      <c r="E141" s="42">
        <f>E76*($AC141-1)</f>
        <v/>
      </c>
      <c r="F141" s="42">
        <f>F76*($AC141-1)</f>
        <v/>
      </c>
      <c r="G141" s="42">
        <f>E141+F141</f>
        <v/>
      </c>
      <c r="H141" s="41">
        <f>$E$39</f>
        <v/>
      </c>
      <c r="X141" s="43">
        <f>$E$87</f>
        <v/>
      </c>
      <c r="Y141" s="44">
        <f>YEAR(H141)</f>
        <v/>
      </c>
      <c r="Z141" s="44">
        <f>MIN(DATE(Y141+1,1,1),$E$135+1)-H141</f>
        <v/>
      </c>
      <c r="AA141" s="44">
        <f>MAX(0,YEAR($E$135)-Y141-1)</f>
        <v/>
      </c>
      <c r="AB141" s="44">
        <f>(YEAR($E$135)&gt;Y141)*($E$135-DATE(YEAR($E$135),1,1)+1)</f>
        <v/>
      </c>
      <c r="AC141" s="45">
        <f>(1+X141*Z141/Days_In_Year)*(1+X141)^AA141*(1+X141*AB141/Days_In_Year)</f>
        <v/>
      </c>
    </row>
    <row r="142">
      <c r="C142" s="31" t="inlineStr">
        <is>
          <t>Devex: MAX(20 % accrued, 1× principal), not reimbursed</t>
        </is>
      </c>
      <c r="D142" s="32" t="inlineStr">
        <is>
          <t>EUR k</t>
        </is>
      </c>
      <c r="E142" s="42">
        <f>E77*MAX($AC142-1,$E$89-1)</f>
        <v/>
      </c>
      <c r="F142" s="42">
        <f>F77*MAX($AC142-1,$E$89-1)</f>
        <v/>
      </c>
      <c r="G142" s="42">
        <f>E142+F142</f>
        <v/>
      </c>
      <c r="H142" s="41">
        <f>$E$86</f>
        <v/>
      </c>
      <c r="X142" s="43">
        <f>$E$88</f>
        <v/>
      </c>
      <c r="Y142" s="44">
        <f>YEAR(H142)</f>
        <v/>
      </c>
      <c r="Z142" s="44">
        <f>MIN(DATE(Y142+1,1,1),$E$135+1)-H142</f>
        <v/>
      </c>
      <c r="AA142" s="44">
        <f>MAX(0,YEAR($E$135)-Y142-1)</f>
        <v/>
      </c>
      <c r="AB142" s="44">
        <f>(YEAR($E$135)&gt;Y142)*($E$135-DATE(YEAR($E$135),1,1)+1)</f>
        <v/>
      </c>
      <c r="AC142" s="45">
        <f>(1+X142*Z142/Days_In_Year)*(1+X142)^AA142*(1+X142*AB142/Days_In_Year)</f>
        <v/>
      </c>
    </row>
    <row r="143">
      <c r="C143" s="46" t="inlineStr">
        <is>
          <t>Total FEP claims</t>
        </is>
      </c>
      <c r="D143" s="32" t="inlineStr">
        <is>
          <t>EUR k</t>
        </is>
      </c>
      <c r="E143" s="47">
        <f>SUM(E136:E142)</f>
        <v/>
      </c>
      <c r="F143" s="47">
        <f>SUM(F136:F142)</f>
        <v/>
      </c>
      <c r="G143" s="47">
        <f>SUM(G136:G142)</f>
        <v/>
      </c>
    </row>
    <row r="145">
      <c r="B145" s="28" t="n"/>
      <c r="C145" s="28" t="inlineStr">
        <is>
          <t>RtB exit: waterfall at the sale</t>
        </is>
      </c>
      <c r="D145" s="28" t="n"/>
      <c r="E145" s="29" t="inlineStr">
        <is>
          <t>Iváncsa</t>
        </is>
      </c>
      <c r="F145" s="29" t="inlineStr">
        <is>
          <t>Dunaújváros</t>
        </is>
      </c>
      <c r="G145" s="29" t="inlineStr">
        <is>
          <t>Total</t>
        </is>
      </c>
      <c r="H145" s="29" t="inlineStr">
        <is>
          <t>Date</t>
        </is>
      </c>
    </row>
    <row r="146">
      <c r="C146" s="31" t="inlineStr">
        <is>
          <t>RtB premium</t>
        </is>
      </c>
      <c r="D146" s="32" t="inlineStr">
        <is>
          <t>EUR k</t>
        </is>
      </c>
      <c r="E146" s="42">
        <f>E94*E5</f>
        <v/>
      </c>
      <c r="F146" s="42">
        <f>F94*F5</f>
        <v/>
      </c>
      <c r="G146" s="42">
        <f>E146+F146</f>
        <v/>
      </c>
    </row>
    <row r="147">
      <c r="C147" s="31" t="inlineStr">
        <is>
          <t>Buyer reimburses deposits and fees at cost (not fee, devex)</t>
        </is>
      </c>
      <c r="D147" s="32" t="inlineStr">
        <is>
          <t>EUR k</t>
        </is>
      </c>
      <c r="E147" s="42">
        <f>E78-E71-E77</f>
        <v/>
      </c>
      <c r="F147" s="42">
        <f>F78-F71-F77</f>
        <v/>
      </c>
      <c r="G147" s="42">
        <f>E147+F147</f>
        <v/>
      </c>
    </row>
    <row r="148">
      <c r="C148" s="46" t="inlineStr">
        <is>
          <t>Total proceeds</t>
        </is>
      </c>
      <c r="D148" s="32" t="inlineStr">
        <is>
          <t>EUR k</t>
        </is>
      </c>
      <c r="E148" s="48">
        <f>E146+E147</f>
        <v/>
      </c>
      <c r="F148" s="48">
        <f>F146+F147</f>
        <v/>
      </c>
      <c r="G148" s="48">
        <f>E148+F148</f>
        <v/>
      </c>
    </row>
    <row r="149">
      <c r="C149" s="31" t="inlineStr">
        <is>
          <t>Less sale costs</t>
        </is>
      </c>
      <c r="D149" s="32" t="inlineStr">
        <is>
          <t>EUR k</t>
        </is>
      </c>
      <c r="E149" s="42">
        <f>-MIN(E148,E95)</f>
        <v/>
      </c>
      <c r="F149" s="42">
        <f>-MIN(F148,F95)</f>
        <v/>
      </c>
      <c r="G149" s="42">
        <f>E149+F149</f>
        <v/>
      </c>
    </row>
    <row r="150">
      <c r="C150" s="31" t="inlineStr">
        <is>
          <t>Less deposits and fees repaid to FEP</t>
        </is>
      </c>
      <c r="D150" s="32" t="inlineStr">
        <is>
          <t>EUR k</t>
        </is>
      </c>
      <c r="E150" s="42">
        <f>-MIN(SUM(E148:E149),E147)</f>
        <v/>
      </c>
      <c r="F150" s="42">
        <f>-MIN(SUM(F148:F149),F147)</f>
        <v/>
      </c>
      <c r="G150" s="42">
        <f>E150+F150</f>
        <v/>
      </c>
    </row>
    <row r="151">
      <c r="C151" s="31" t="inlineStr">
        <is>
          <t>Less FEP claims at 12 %</t>
        </is>
      </c>
      <c r="D151" s="32" t="inlineStr">
        <is>
          <t>EUR k</t>
        </is>
      </c>
      <c r="E151" s="42">
        <f>-MIN(SUM(E148:E150),SUM(E136:E141))</f>
        <v/>
      </c>
      <c r="F151" s="42">
        <f>-MIN(SUM(F148:F150),SUM(F136:F141))</f>
        <v/>
      </c>
      <c r="G151" s="42">
        <f>E151+F151</f>
        <v/>
      </c>
    </row>
    <row r="152">
      <c r="C152" s="31" t="inlineStr">
        <is>
          <t>Less FEP devex return</t>
        </is>
      </c>
      <c r="D152" s="32" t="inlineStr">
        <is>
          <t>EUR k</t>
        </is>
      </c>
      <c r="E152" s="42">
        <f>-MIN(SUM(E148:E151),E142)</f>
        <v/>
      </c>
      <c r="F152" s="42">
        <f>-MIN(SUM(F148:F151),F142)</f>
        <v/>
      </c>
      <c r="G152" s="42">
        <f>E152+F152</f>
        <v/>
      </c>
    </row>
    <row r="153">
      <c r="C153" s="31" t="inlineStr">
        <is>
          <t>Less developer success fee (DSA)</t>
        </is>
      </c>
      <c r="D153" s="32" t="inlineStr">
        <is>
          <t>EUR k</t>
        </is>
      </c>
      <c r="E153" s="42">
        <f>-MIN(SUM(E148:E152),E97)</f>
        <v/>
      </c>
      <c r="F153" s="42">
        <f>-MIN(SUM(F148:F152),F97)</f>
        <v/>
      </c>
      <c r="G153" s="42">
        <f>E153+F153</f>
        <v/>
      </c>
    </row>
    <row r="154">
      <c r="C154" s="46" t="inlineStr">
        <is>
          <t>Distributable proceeds</t>
        </is>
      </c>
      <c r="D154" s="32" t="inlineStr">
        <is>
          <t>EUR k</t>
        </is>
      </c>
      <c r="E154" s="47">
        <f>SUM(E148:E153)</f>
        <v/>
      </c>
      <c r="F154" s="47">
        <f>SUM(F148:F153)</f>
        <v/>
      </c>
      <c r="G154" s="47">
        <f>E154+F154</f>
        <v/>
      </c>
    </row>
    <row r="155">
      <c r="C155" s="31" t="inlineStr">
        <is>
          <t>FEP share of distributable</t>
        </is>
      </c>
      <c r="D155" s="32" t="inlineStr">
        <is>
          <t>EUR k</t>
        </is>
      </c>
      <c r="E155" s="42">
        <f>E154*E96</f>
        <v/>
      </c>
      <c r="F155" s="42">
        <f>F154*F96</f>
        <v/>
      </c>
      <c r="G155" s="42">
        <f>E155+F155</f>
        <v/>
      </c>
    </row>
    <row r="156">
      <c r="C156" s="31" t="inlineStr">
        <is>
          <t>Developer share of distributable</t>
        </is>
      </c>
      <c r="D156" s="32" t="inlineStr">
        <is>
          <t>EUR k</t>
        </is>
      </c>
      <c r="E156" s="42">
        <f>E154-E155</f>
        <v/>
      </c>
      <c r="F156" s="42">
        <f>F154-F155</f>
        <v/>
      </c>
      <c r="G156" s="42">
        <f>E156+F156</f>
        <v/>
      </c>
    </row>
    <row r="158">
      <c r="C158" s="30" t="inlineStr">
        <is>
          <t>FEP cash flows, dated (outlays, then receipts at the sale)</t>
        </is>
      </c>
      <c r="D158" s="30" t="n"/>
      <c r="E158" s="30" t="n"/>
      <c r="F158" s="30" t="n"/>
      <c r="G158" s="30" t="n"/>
      <c r="H158" s="30" t="n"/>
    </row>
    <row r="159">
      <c r="C159" s="31" t="inlineStr">
        <is>
          <t>Signing fee and DD</t>
        </is>
      </c>
      <c r="D159" s="32" t="inlineStr">
        <is>
          <t>EUR k</t>
        </is>
      </c>
      <c r="E159" s="42">
        <f>-E55</f>
        <v/>
      </c>
      <c r="F159" s="42">
        <f>-F55</f>
        <v/>
      </c>
      <c r="G159" s="42">
        <f>E159+F159</f>
        <v/>
      </c>
      <c r="H159" s="41">
        <f>$E$34</f>
        <v/>
      </c>
    </row>
    <row r="160">
      <c r="C160" s="31" t="inlineStr">
        <is>
          <t>Participation fee</t>
        </is>
      </c>
      <c r="D160" s="32" t="inlineStr">
        <is>
          <t>EUR k</t>
        </is>
      </c>
      <c r="E160" s="49">
        <f>-E71</f>
        <v/>
      </c>
      <c r="F160" s="49">
        <f>-F71</f>
        <v/>
      </c>
      <c r="G160" s="42">
        <f>E160+F160</f>
        <v/>
      </c>
      <c r="H160" s="41">
        <f>$E$35</f>
        <v/>
      </c>
    </row>
    <row r="161">
      <c r="C161" s="31" t="inlineStr">
        <is>
          <t>Bid security</t>
        </is>
      </c>
      <c r="D161" s="32" t="inlineStr">
        <is>
          <t>EUR k</t>
        </is>
      </c>
      <c r="E161" s="42">
        <f>-E72</f>
        <v/>
      </c>
      <c r="F161" s="42">
        <f>-F72</f>
        <v/>
      </c>
      <c r="G161" s="42">
        <f>E161+F161</f>
        <v/>
      </c>
      <c r="H161" s="41">
        <f>$E$35</f>
        <v/>
      </c>
    </row>
    <row r="162">
      <c r="C162" s="31" t="inlineStr">
        <is>
          <t>Performance security payable</t>
        </is>
      </c>
      <c r="D162" s="32" t="inlineStr">
        <is>
          <t>EUR k</t>
        </is>
      </c>
      <c r="E162" s="42">
        <f>-E73</f>
        <v/>
      </c>
      <c r="F162" s="42">
        <f>-F73</f>
        <v/>
      </c>
      <c r="G162" s="42">
        <f>E162+F162</f>
        <v/>
      </c>
      <c r="H162" s="41">
        <f>$E$36</f>
        <v/>
      </c>
    </row>
    <row r="163">
      <c r="C163" s="31" t="inlineStr">
        <is>
          <t>TSO connection-request security</t>
        </is>
      </c>
      <c r="D163" s="32" t="inlineStr">
        <is>
          <t>EUR k</t>
        </is>
      </c>
      <c r="E163" s="42">
        <f>-E74</f>
        <v/>
      </c>
      <c r="F163" s="42">
        <f>-F74</f>
        <v/>
      </c>
      <c r="G163" s="42">
        <f>E163+F163</f>
        <v/>
      </c>
      <c r="H163" s="41">
        <f>$E$37</f>
        <v/>
      </c>
    </row>
    <row r="164">
      <c r="C164" s="31" t="inlineStr">
        <is>
          <t>Direct connection fee</t>
        </is>
      </c>
      <c r="D164" s="32" t="inlineStr">
        <is>
          <t>EUR k</t>
        </is>
      </c>
      <c r="E164" s="42">
        <f>-E75</f>
        <v/>
      </c>
      <c r="F164" s="42">
        <f>-F75</f>
        <v/>
      </c>
      <c r="G164" s="42">
        <f>E164+F164</f>
        <v/>
      </c>
      <c r="H164" s="41">
        <f>$E$39</f>
        <v/>
      </c>
    </row>
    <row r="165">
      <c r="C165" s="31" t="inlineStr">
        <is>
          <t>Indirect connection fee, payable</t>
        </is>
      </c>
      <c r="D165" s="32" t="inlineStr">
        <is>
          <t>EUR k</t>
        </is>
      </c>
      <c r="E165" s="42">
        <f>-E76</f>
        <v/>
      </c>
      <c r="F165" s="42">
        <f>-F76</f>
        <v/>
      </c>
      <c r="G165" s="42">
        <f>E165+F165</f>
        <v/>
      </c>
      <c r="H165" s="41">
        <f>$E$39</f>
        <v/>
      </c>
    </row>
    <row r="166">
      <c r="C166" s="31" t="inlineStr">
        <is>
          <t>Devex</t>
        </is>
      </c>
      <c r="D166" s="32" t="inlineStr">
        <is>
          <t>EUR k</t>
        </is>
      </c>
      <c r="E166" s="42">
        <f>-E77</f>
        <v/>
      </c>
      <c r="F166" s="42">
        <f>-F77</f>
        <v/>
      </c>
      <c r="G166" s="42">
        <f>E166+F166</f>
        <v/>
      </c>
      <c r="H166" s="41">
        <f>$E$86</f>
        <v/>
      </c>
    </row>
    <row r="167">
      <c r="C167" s="46" t="inlineStr">
        <is>
          <t>FEP receipts at the sale (repaid, claims, share)</t>
        </is>
      </c>
      <c r="D167" s="32" t="inlineStr">
        <is>
          <t>EUR k</t>
        </is>
      </c>
      <c r="E167" s="48">
        <f>E155-SUM(E150:E152)</f>
        <v/>
      </c>
      <c r="F167" s="48">
        <f>F155-SUM(F150:F152)</f>
        <v/>
      </c>
      <c r="G167" s="48">
        <f>E167+F167</f>
        <v/>
      </c>
      <c r="H167" s="41">
        <f>$E$84</f>
        <v/>
      </c>
    </row>
    <row r="168">
      <c r="C168" s="46" t="inlineStr">
        <is>
          <t>FEP profit, pre-tax</t>
        </is>
      </c>
      <c r="D168" s="32" t="inlineStr">
        <is>
          <t>EUR k</t>
        </is>
      </c>
      <c r="E168" s="47">
        <f>SUM(E159:E167)</f>
        <v/>
      </c>
      <c r="F168" s="47">
        <f>SUM(F159:F167)</f>
        <v/>
      </c>
      <c r="G168" s="47">
        <f>SUM(G159:G167)</f>
        <v/>
      </c>
    </row>
    <row r="169">
      <c r="C169" s="31" t="inlineStr">
        <is>
          <t>FEP MOIC</t>
        </is>
      </c>
      <c r="D169" s="32" t="inlineStr">
        <is>
          <t>x</t>
        </is>
      </c>
      <c r="E169" s="50">
        <f>SUMIF(E159:E167,"&gt;0")/-SUMIF(E159:E167,"&lt;0")</f>
        <v/>
      </c>
      <c r="F169" s="50">
        <f>SUMIF(F159:F167,"&gt;0")/-SUMIF(F159:F167,"&lt;0")</f>
        <v/>
      </c>
      <c r="G169" s="50">
        <f>SUMIF(G159:G167,"&gt;0")/-SUMIF(G159:G167,"&lt;0")</f>
        <v/>
      </c>
    </row>
    <row r="170">
      <c r="C170" s="31" t="inlineStr">
        <is>
          <t>FEP IRR, pre-tax (XIRR on the dated flows)</t>
        </is>
      </c>
      <c r="D170" s="32" t="inlineStr">
        <is>
          <t>%</t>
        </is>
      </c>
      <c r="E170" s="43">
        <f>XIRR(E159:E167,$H$159:$H$167)</f>
        <v/>
      </c>
      <c r="F170" s="43">
        <f>XIRR(F159:F167,$H$159:$H$167)</f>
        <v/>
      </c>
      <c r="G170" s="43">
        <f>XIRR(G159:G167,$H$159:$H$167)</f>
        <v/>
      </c>
    </row>
    <row r="171">
      <c r="C171" s="31" t="inlineStr">
        <is>
          <t>FEP profit per MVA</t>
        </is>
      </c>
      <c r="D171" s="32" t="inlineStr">
        <is>
          <t>EUR k/MVA</t>
        </is>
      </c>
      <c r="E171" s="49">
        <f>E168/E5</f>
        <v/>
      </c>
      <c r="F171" s="49">
        <f>F168/F5</f>
        <v/>
      </c>
      <c r="G171" s="49">
        <f>G168/(E5+F5)</f>
        <v/>
      </c>
    </row>
    <row r="173">
      <c r="B173" s="28" t="n"/>
      <c r="C173" s="28" t="inlineStr">
        <is>
          <t>Build and operate, hold to maturity – EBITDA only (no debt, no tax)</t>
        </is>
      </c>
      <c r="D173" s="28" t="n"/>
      <c r="E173" s="29" t="inlineStr">
        <is>
          <t>Iváncsa</t>
        </is>
      </c>
      <c r="F173" s="29" t="inlineStr">
        <is>
          <t>Dunaújváros</t>
        </is>
      </c>
      <c r="G173" s="29" t="inlineStr">
        <is>
          <t>Total</t>
        </is>
      </c>
      <c r="H173" s="29" t="n"/>
    </row>
    <row r="174">
      <c r="C174" s="46" t="inlineStr">
        <is>
          <t>Project IRR, pre-tax (unlevered)</t>
        </is>
      </c>
      <c r="D174" s="32" t="inlineStr">
        <is>
          <t>%</t>
        </is>
      </c>
      <c r="E174" s="51">
        <f>XIRR(X236:BG236,X$209:BG$209)</f>
        <v/>
      </c>
      <c r="F174" s="51">
        <f>XIRR(X260:BG260,X$209:BG$209)</f>
        <v/>
      </c>
    </row>
    <row r="175">
      <c r="C175" s="31" t="inlineStr">
        <is>
          <t>NPV at the discount rate, at the first year end</t>
        </is>
      </c>
      <c r="D175" s="32" t="inlineStr">
        <is>
          <t>EUR k</t>
        </is>
      </c>
      <c r="E175" s="42">
        <f>XNPV(E98,X236:BG236,X$209:BG$209)</f>
        <v/>
      </c>
      <c r="F175" s="42">
        <f>XNPV(F98,X260:BG260,X$209:BG$209)</f>
        <v/>
      </c>
      <c r="G175" s="42">
        <f>E175+F175</f>
        <v/>
      </c>
    </row>
    <row r="176">
      <c r="C176" s="31" t="inlineStr">
        <is>
          <t>All-in cost to COD per MW built</t>
        </is>
      </c>
      <c r="D176" s="32" t="inlineStr">
        <is>
          <t>EUR k/MW</t>
        </is>
      </c>
      <c r="E176" s="49">
        <f>E205/E190</f>
        <v/>
      </c>
      <c r="F176" s="49">
        <f>F205/F190</f>
        <v/>
      </c>
      <c r="G176" s="49">
        <f>G205/G190</f>
        <v/>
      </c>
    </row>
    <row r="177">
      <c r="C177" s="31" t="inlineStr">
        <is>
          <t>All-in cost to COD per MVA</t>
        </is>
      </c>
      <c r="D177" s="32" t="inlineStr">
        <is>
          <t>EUR k/MVA</t>
        </is>
      </c>
      <c r="E177" s="49">
        <f>E205/E5</f>
        <v/>
      </c>
      <c r="F177" s="49">
        <f>F205/F5</f>
        <v/>
      </c>
      <c r="G177" s="49">
        <f>G205/(E5+F5)</f>
        <v/>
      </c>
    </row>
    <row r="178">
      <c r="C178" s="31" t="inlineStr">
        <is>
          <t>First full operating year: net generation</t>
        </is>
      </c>
      <c r="D178" s="32" t="inlineStr">
        <is>
          <t>GWh</t>
        </is>
      </c>
      <c r="E178" s="49">
        <f>SUMIF(X$208:BG$208,YEAR($E$41)+1,X224:BG224)</f>
        <v/>
      </c>
      <c r="F178" s="49">
        <f>SUMIF(X$208:BG$208,YEAR($E$41)+1,X248:BG248)</f>
        <v/>
      </c>
      <c r="G178" s="49">
        <f>E178+F178</f>
        <v/>
      </c>
    </row>
    <row r="179">
      <c r="C179" s="31" t="inlineStr">
        <is>
          <t>First full operating year: EBITDA</t>
        </is>
      </c>
      <c r="D179" s="32" t="inlineStr">
        <is>
          <t>EUR k</t>
        </is>
      </c>
      <c r="E179" s="42">
        <f>SUMIF(X$208:BG$208,YEAR($E$41)+1,X235:BG235)</f>
        <v/>
      </c>
      <c r="F179" s="42">
        <f>SUMIF(X$208:BG$208,YEAR($E$41)+1,X259:BG259)</f>
        <v/>
      </c>
      <c r="G179" s="42">
        <f>E179+F179</f>
        <v/>
      </c>
    </row>
    <row r="180">
      <c r="C180" s="31" t="inlineStr">
        <is>
          <t>First full operating year: EBITDA per MW built</t>
        </is>
      </c>
      <c r="D180" s="32" t="inlineStr">
        <is>
          <t>EUR k/MW</t>
        </is>
      </c>
      <c r="E180" s="49">
        <f>E179/E190</f>
        <v/>
      </c>
      <c r="F180" s="49">
        <f>F179/F190</f>
        <v/>
      </c>
      <c r="G180" s="49">
        <f>G179/G190</f>
        <v/>
      </c>
    </row>
    <row r="181">
      <c r="C181" s="30" t="inlineStr">
        <is>
          <t>COD exit: sale at COD to a buyer earning the discount rate, pre-tax</t>
        </is>
      </c>
      <c r="D181" s="30" t="n"/>
      <c r="E181" s="30" t="n"/>
      <c r="F181" s="30" t="n"/>
      <c r="G181" s="30" t="n"/>
      <c r="H181" s="30" t="n"/>
    </row>
    <row r="182">
      <c r="C182" s="46" t="inlineStr">
        <is>
          <t>Price at COD (EBITDA after COD at the buyer's rate)</t>
        </is>
      </c>
      <c r="D182" s="32" t="inlineStr">
        <is>
          <t>EUR k</t>
        </is>
      </c>
      <c r="E182" s="48">
        <f>G238</f>
        <v/>
      </c>
      <c r="F182" s="48">
        <f>G262</f>
        <v/>
      </c>
      <c r="G182" s="48">
        <f>E182+F182</f>
        <v/>
      </c>
    </row>
    <row r="183">
      <c r="C183" s="31" t="inlineStr">
        <is>
          <t>Price per MW built</t>
        </is>
      </c>
      <c r="D183" s="32" t="inlineStr">
        <is>
          <t>EUR k/MW</t>
        </is>
      </c>
      <c r="E183" s="49">
        <f>E182/E190</f>
        <v/>
      </c>
      <c r="F183" s="49">
        <f>F182/F190</f>
        <v/>
      </c>
      <c r="G183" s="49">
        <f>G182/G190</f>
        <v/>
      </c>
    </row>
    <row r="184">
      <c r="C184" s="31" t="inlineStr">
        <is>
          <t>Price per MVA</t>
        </is>
      </c>
      <c r="D184" s="32" t="inlineStr">
        <is>
          <t>EUR k/MVA</t>
        </is>
      </c>
      <c r="E184" s="49">
        <f>E182/E5</f>
        <v/>
      </c>
      <c r="F184" s="49">
        <f>F182/F5</f>
        <v/>
      </c>
      <c r="G184" s="49">
        <f>G182/(E5+F5)</f>
        <v/>
      </c>
    </row>
    <row r="185">
      <c r="C185" s="46" t="inlineStr">
        <is>
          <t>FEP profit, pre-tax</t>
        </is>
      </c>
      <c r="D185" s="32" t="inlineStr">
        <is>
          <t>EUR k</t>
        </is>
      </c>
      <c r="E185" s="48">
        <f>G239</f>
        <v/>
      </c>
      <c r="F185" s="48">
        <f>G263</f>
        <v/>
      </c>
      <c r="G185" s="48">
        <f>E185+F185</f>
        <v/>
      </c>
    </row>
    <row r="186">
      <c r="C186" s="31" t="inlineStr">
        <is>
          <t>FEP IRR, pre-tax</t>
        </is>
      </c>
      <c r="D186" s="32" t="inlineStr">
        <is>
          <t>%</t>
        </is>
      </c>
      <c r="E186" s="43">
        <f>XIRR(X239:BG239,X$209:BG$209)</f>
        <v/>
      </c>
      <c r="F186" s="43">
        <f>XIRR(X263:BG263,X$209:BG$209)</f>
        <v/>
      </c>
    </row>
    <row r="187">
      <c r="C187" s="31" t="inlineStr">
        <is>
          <t>FEP MOIC</t>
        </is>
      </c>
      <c r="D187" s="32" t="inlineStr">
        <is>
          <t>x</t>
        </is>
      </c>
      <c r="E187" s="50">
        <f>SUMIF(X239:BG239,"&gt;0")/-SUMIF(X239:BG239,"&lt;0")</f>
        <v/>
      </c>
      <c r="F187" s="50">
        <f>SUMIF(X263:BG263,"&gt;0")/-SUMIF(X263:BG263,"&lt;0")</f>
        <v/>
      </c>
    </row>
    <row r="189">
      <c r="C189" s="30" t="inlineStr">
        <is>
          <t>Capex and all-in cost to COD</t>
        </is>
      </c>
      <c r="D189" s="30" t="n"/>
      <c r="E189" s="30" t="n"/>
      <c r="F189" s="30" t="n"/>
      <c r="G189" s="30" t="n"/>
      <c r="H189" s="30" t="n"/>
    </row>
    <row r="190">
      <c r="C190" s="31" t="inlineStr">
        <is>
          <t>Wind built (committed less the build shortfall)</t>
        </is>
      </c>
      <c r="D190" s="32" t="inlineStr">
        <is>
          <t>MW</t>
        </is>
      </c>
      <c r="E190" s="49">
        <f>E17*(1-E100)</f>
        <v/>
      </c>
      <c r="F190" s="49">
        <f>F17*(1-F100)</f>
        <v/>
      </c>
      <c r="G190" s="49">
        <f>E190+F190</f>
        <v/>
      </c>
    </row>
    <row r="191">
      <c r="C191" s="31" t="inlineStr">
        <is>
          <t>Turbine supply incl. transport</t>
        </is>
      </c>
      <c r="D191" s="32" t="inlineStr">
        <is>
          <t>EUR k</t>
        </is>
      </c>
      <c r="E191" s="42">
        <f>E101*E190</f>
        <v/>
      </c>
      <c r="F191" s="42">
        <f>F101*F190</f>
        <v/>
      </c>
      <c r="G191" s="42">
        <f>E191+F191</f>
        <v/>
      </c>
    </row>
    <row r="192">
      <c r="C192" s="31" t="inlineStr">
        <is>
          <t>Turbine installation and erection</t>
        </is>
      </c>
      <c r="D192" s="32" t="inlineStr">
        <is>
          <t>EUR k</t>
        </is>
      </c>
      <c r="E192" s="42">
        <f>E102*E190</f>
        <v/>
      </c>
      <c r="F192" s="42">
        <f>F102*F190</f>
        <v/>
      </c>
      <c r="G192" s="42">
        <f>E192+F192</f>
        <v/>
      </c>
    </row>
    <row r="193">
      <c r="C193" s="31" t="inlineStr">
        <is>
          <t>Foundations</t>
        </is>
      </c>
      <c r="D193" s="32" t="inlineStr">
        <is>
          <t>EUR k</t>
        </is>
      </c>
      <c r="E193" s="42">
        <f>E103*E190</f>
        <v/>
      </c>
      <c r="F193" s="42">
        <f>F103*F190</f>
        <v/>
      </c>
      <c r="G193" s="42">
        <f>E193+F193</f>
        <v/>
      </c>
    </row>
    <row r="194">
      <c r="C194" s="31" t="inlineStr">
        <is>
          <t>Balance of plant – civil</t>
        </is>
      </c>
      <c r="D194" s="32" t="inlineStr">
        <is>
          <t>EUR k</t>
        </is>
      </c>
      <c r="E194" s="42">
        <f>E104*E190</f>
        <v/>
      </c>
      <c r="F194" s="42">
        <f>F104*F190</f>
        <v/>
      </c>
      <c r="G194" s="42">
        <f>E194+F194</f>
        <v/>
      </c>
    </row>
    <row r="195">
      <c r="C195" s="31" t="inlineStr">
        <is>
          <t>Balance of plant – electrical</t>
        </is>
      </c>
      <c r="D195" s="32" t="inlineStr">
        <is>
          <t>EUR k</t>
        </is>
      </c>
      <c r="E195" s="42">
        <f>E105*E190</f>
        <v/>
      </c>
      <c r="F195" s="42">
        <f>F105*F190</f>
        <v/>
      </c>
      <c r="G195" s="42">
        <f>E195+F195</f>
        <v/>
      </c>
    </row>
    <row r="196">
      <c r="C196" s="31" t="inlineStr">
        <is>
          <t>Owner's costs, engineering, PM, construction insurance</t>
        </is>
      </c>
      <c r="D196" s="32" t="inlineStr">
        <is>
          <t>EUR k</t>
        </is>
      </c>
      <c r="E196" s="42">
        <f>E106*E190</f>
        <v/>
      </c>
      <c r="F196" s="42">
        <f>F106*F190</f>
        <v/>
      </c>
      <c r="G196" s="42">
        <f>E196+F196</f>
        <v/>
      </c>
    </row>
    <row r="197">
      <c r="C197" s="31" t="inlineStr">
        <is>
          <t>Land purchase and easements</t>
        </is>
      </c>
      <c r="D197" s="32" t="inlineStr">
        <is>
          <t>EUR k</t>
        </is>
      </c>
      <c r="E197" s="42">
        <f>E107*E190</f>
        <v/>
      </c>
      <c r="F197" s="42">
        <f>F107*F190</f>
        <v/>
      </c>
      <c r="G197" s="42">
        <f>E197+F197</f>
        <v/>
      </c>
    </row>
    <row r="198">
      <c r="C198" s="31" t="inlineStr">
        <is>
          <t>On-site substation and 132 kV bay (scaled by MVA)</t>
        </is>
      </c>
      <c r="D198" s="32" t="inlineStr">
        <is>
          <t>EUR k</t>
        </is>
      </c>
      <c r="E198" s="42">
        <f>E108*E5/E109</f>
        <v/>
      </c>
      <c r="F198" s="42">
        <f>F108*F5/F109</f>
        <v/>
      </c>
      <c r="G198" s="42">
        <f>E198+F198</f>
        <v/>
      </c>
    </row>
    <row r="199">
      <c r="C199" s="31" t="inlineStr">
        <is>
          <t>Capex contingency</t>
        </is>
      </c>
      <c r="D199" s="32" t="inlineStr">
        <is>
          <t>EUR k</t>
        </is>
      </c>
      <c r="E199" s="42">
        <f>SUM(E191:E198)*E110</f>
        <v/>
      </c>
      <c r="F199" s="42">
        <f>SUM(F191:F198)*F110</f>
        <v/>
      </c>
      <c r="G199" s="42">
        <f>E199+F199</f>
        <v/>
      </c>
    </row>
    <row r="200">
      <c r="C200" s="31" t="inlineStr">
        <is>
          <t>BESS (on BESS energy)</t>
        </is>
      </c>
      <c r="D200" s="32" t="inlineStr">
        <is>
          <t>EUR k</t>
        </is>
      </c>
      <c r="E200" s="42">
        <f>E111*E19</f>
        <v/>
      </c>
      <c r="F200" s="42">
        <f>F111*F19</f>
        <v/>
      </c>
      <c r="G200" s="42">
        <f>E200+F200</f>
        <v/>
      </c>
    </row>
    <row r="201">
      <c r="C201" s="46" t="inlineStr">
        <is>
          <t>Construction capex</t>
        </is>
      </c>
      <c r="D201" s="32" t="inlineStr">
        <is>
          <t>EUR k</t>
        </is>
      </c>
      <c r="E201" s="47">
        <f>SUM(E191:E200)</f>
        <v/>
      </c>
      <c r="F201" s="47">
        <f>SUM(F191:F200)</f>
        <v/>
      </c>
      <c r="G201" s="47">
        <f>E201+F201</f>
        <v/>
      </c>
    </row>
    <row r="202">
      <c r="C202" s="31" t="inlineStr">
        <is>
          <t>Connection fees (TSO security, direct, indirect)</t>
        </is>
      </c>
      <c r="D202" s="32" t="inlineStr">
        <is>
          <t>EUR k</t>
        </is>
      </c>
      <c r="E202" s="42">
        <f>E74+E75+E76</f>
        <v/>
      </c>
      <c r="F202" s="42">
        <f>F74+F75+F76</f>
        <v/>
      </c>
      <c r="G202" s="42">
        <f>E202+F202</f>
        <v/>
      </c>
    </row>
    <row r="203">
      <c r="C203" s="31" t="inlineStr">
        <is>
          <t>Municipal one-off</t>
        </is>
      </c>
      <c r="D203" s="32" t="inlineStr">
        <is>
          <t>EUR k</t>
        </is>
      </c>
      <c r="E203" s="42">
        <f>E9*E5</f>
        <v/>
      </c>
      <c r="F203" s="42">
        <f>F9*F5</f>
        <v/>
      </c>
      <c r="G203" s="42">
        <f>E203+F203</f>
        <v/>
      </c>
    </row>
    <row r="204">
      <c r="C204" s="31" t="inlineStr">
        <is>
          <t>Development (participation fee, signing and DD, devex)</t>
        </is>
      </c>
      <c r="D204" s="32" t="inlineStr">
        <is>
          <t>EUR k</t>
        </is>
      </c>
      <c r="E204" s="42">
        <f>E71+E55+E77</f>
        <v/>
      </c>
      <c r="F204" s="42">
        <f>F71+F55+F77</f>
        <v/>
      </c>
      <c r="G204" s="42">
        <f>E204+F204</f>
        <v/>
      </c>
    </row>
    <row r="205">
      <c r="C205" s="46" t="inlineStr">
        <is>
          <t>All-in cost to COD (securities excluded: returned)</t>
        </is>
      </c>
      <c r="D205" s="32" t="inlineStr">
        <is>
          <t>EUR k</t>
        </is>
      </c>
      <c r="E205" s="47">
        <f>E201+SUM(E202:E204)</f>
        <v/>
      </c>
      <c r="F205" s="47">
        <f>F201+SUM(F202:F204)</f>
        <v/>
      </c>
      <c r="G205" s="47">
        <f>E205+F205</f>
        <v/>
      </c>
    </row>
    <row r="207">
      <c r="B207" s="28" t="n"/>
      <c r="C207" s="28" t="inlineStr">
        <is>
          <t>Annual timeline (key dates common to both projects)</t>
        </is>
      </c>
      <c r="D207" s="28" t="n"/>
      <c r="E207" s="29" t="inlineStr">
        <is>
          <t>Value</t>
        </is>
      </c>
      <c r="F207" s="29" t="n"/>
      <c r="G207" s="29" t="inlineStr">
        <is>
          <t>Total</t>
        </is>
      </c>
      <c r="H207" s="29" t="n"/>
      <c r="X207" s="29" t="n"/>
      <c r="Y207" s="29" t="n"/>
      <c r="Z207" s="29" t="n"/>
      <c r="AA207" s="29" t="n"/>
      <c r="AB207" s="29" t="n"/>
      <c r="AC207" s="29" t="n"/>
      <c r="AD207" s="29" t="n"/>
      <c r="AE207" s="29" t="n"/>
      <c r="AF207" s="29" t="n"/>
      <c r="AG207" s="29" t="n"/>
      <c r="AH207" s="29" t="n"/>
      <c r="AI207" s="29" t="n"/>
      <c r="AJ207" s="29" t="n"/>
      <c r="AK207" s="29" t="n"/>
      <c r="AL207" s="29" t="n"/>
      <c r="AM207" s="29" t="n"/>
      <c r="AN207" s="29" t="n"/>
      <c r="AO207" s="29" t="n"/>
      <c r="AP207" s="29" t="n"/>
      <c r="AQ207" s="29" t="n"/>
      <c r="AR207" s="29" t="n"/>
      <c r="AS207" s="29" t="n"/>
      <c r="AT207" s="29" t="n"/>
      <c r="AU207" s="29" t="n"/>
      <c r="AV207" s="29" t="n"/>
      <c r="AW207" s="29" t="n"/>
      <c r="AX207" s="29" t="n"/>
      <c r="AY207" s="29" t="n"/>
      <c r="AZ207" s="29" t="n"/>
      <c r="BA207" s="29" t="n"/>
      <c r="BB207" s="29" t="n"/>
      <c r="BC207" s="28" t="n"/>
      <c r="BD207" s="29" t="n"/>
      <c r="BE207" s="29" t="n"/>
      <c r="BF207" s="29" t="n"/>
      <c r="BG207" s="29" t="n"/>
    </row>
    <row r="208">
      <c r="C208" s="31" t="inlineStr">
        <is>
          <t>Year</t>
        </is>
      </c>
      <c r="D208" s="32" t="inlineStr">
        <is>
          <t>year</t>
        </is>
      </c>
      <c r="E208" s="44">
        <f>YEAR($E$34)</f>
        <v/>
      </c>
      <c r="X208" s="44">
        <f>$E208+COLUMN()-COLUMN($X$1)</f>
        <v/>
      </c>
      <c r="Y208" s="44">
        <f>$E208+COLUMN()-COLUMN($X$1)</f>
        <v/>
      </c>
      <c r="Z208" s="44">
        <f>$E208+COLUMN()-COLUMN($X$1)</f>
        <v/>
      </c>
      <c r="AA208" s="44">
        <f>$E208+COLUMN()-COLUMN($X$1)</f>
        <v/>
      </c>
      <c r="AB208" s="44">
        <f>$E208+COLUMN()-COLUMN($X$1)</f>
        <v/>
      </c>
      <c r="AC208" s="44">
        <f>$E208+COLUMN()-COLUMN($X$1)</f>
        <v/>
      </c>
      <c r="AD208" s="44">
        <f>$E208+COLUMN()-COLUMN($X$1)</f>
        <v/>
      </c>
      <c r="AE208" s="44">
        <f>$E208+COLUMN()-COLUMN($X$1)</f>
        <v/>
      </c>
      <c r="AF208" s="44">
        <f>$E208+COLUMN()-COLUMN($X$1)</f>
        <v/>
      </c>
      <c r="AG208" s="44">
        <f>$E208+COLUMN()-COLUMN($X$1)</f>
        <v/>
      </c>
      <c r="AH208" s="44">
        <f>$E208+COLUMN()-COLUMN($X$1)</f>
        <v/>
      </c>
      <c r="AI208" s="44">
        <f>$E208+COLUMN()-COLUMN($X$1)</f>
        <v/>
      </c>
      <c r="AJ208" s="44">
        <f>$E208+COLUMN()-COLUMN($X$1)</f>
        <v/>
      </c>
      <c r="AK208" s="44">
        <f>$E208+COLUMN()-COLUMN($X$1)</f>
        <v/>
      </c>
      <c r="AL208" s="44">
        <f>$E208+COLUMN()-COLUMN($X$1)</f>
        <v/>
      </c>
      <c r="AM208" s="44">
        <f>$E208+COLUMN()-COLUMN($X$1)</f>
        <v/>
      </c>
      <c r="AN208" s="44">
        <f>$E208+COLUMN()-COLUMN($X$1)</f>
        <v/>
      </c>
      <c r="AO208" s="44">
        <f>$E208+COLUMN()-COLUMN($X$1)</f>
        <v/>
      </c>
      <c r="AP208" s="44">
        <f>$E208+COLUMN()-COLUMN($X$1)</f>
        <v/>
      </c>
      <c r="AQ208" s="44">
        <f>$E208+COLUMN()-COLUMN($X$1)</f>
        <v/>
      </c>
      <c r="AR208" s="44">
        <f>$E208+COLUMN()-COLUMN($X$1)</f>
        <v/>
      </c>
      <c r="AS208" s="44">
        <f>$E208+COLUMN()-COLUMN($X$1)</f>
        <v/>
      </c>
      <c r="AT208" s="44">
        <f>$E208+COLUMN()-COLUMN($X$1)</f>
        <v/>
      </c>
      <c r="AU208" s="44">
        <f>$E208+COLUMN()-COLUMN($X$1)</f>
        <v/>
      </c>
      <c r="AV208" s="44">
        <f>$E208+COLUMN()-COLUMN($X$1)</f>
        <v/>
      </c>
      <c r="AW208" s="44">
        <f>$E208+COLUMN()-COLUMN($X$1)</f>
        <v/>
      </c>
      <c r="AX208" s="44">
        <f>$E208+COLUMN()-COLUMN($X$1)</f>
        <v/>
      </c>
      <c r="AY208" s="44">
        <f>$E208+COLUMN()-COLUMN($X$1)</f>
        <v/>
      </c>
      <c r="AZ208" s="44">
        <f>$E208+COLUMN()-COLUMN($X$1)</f>
        <v/>
      </c>
      <c r="BA208" s="44">
        <f>$E208+COLUMN()-COLUMN($X$1)</f>
        <v/>
      </c>
      <c r="BB208" s="44">
        <f>$E208+COLUMN()-COLUMN($X$1)</f>
        <v/>
      </c>
      <c r="BC208" s="44">
        <f>$E208+COLUMN()-COLUMN($X$1)</f>
        <v/>
      </c>
      <c r="BD208" s="44">
        <f>$E208+COLUMN()-COLUMN($X$1)</f>
        <v/>
      </c>
      <c r="BE208" s="44">
        <f>$E208+COLUMN()-COLUMN($X$1)</f>
        <v/>
      </c>
      <c r="BF208" s="44">
        <f>$E208+COLUMN()-COLUMN($X$1)</f>
        <v/>
      </c>
      <c r="BG208" s="44">
        <f>$E208+COLUMN()-COLUMN($X$1)</f>
        <v/>
      </c>
    </row>
    <row r="209">
      <c r="C209" s="31" t="inlineStr">
        <is>
          <t>Year end</t>
        </is>
      </c>
      <c r="D209" s="32" t="inlineStr">
        <is>
          <t>date</t>
        </is>
      </c>
      <c r="X209" s="41">
        <f>DATE(X208+1,1,1)-1</f>
        <v/>
      </c>
      <c r="Y209" s="41">
        <f>DATE(Y208+1,1,1)-1</f>
        <v/>
      </c>
      <c r="Z209" s="41">
        <f>DATE(Z208+1,1,1)-1</f>
        <v/>
      </c>
      <c r="AA209" s="41">
        <f>DATE(AA208+1,1,1)-1</f>
        <v/>
      </c>
      <c r="AB209" s="41">
        <f>DATE(AB208+1,1,1)-1</f>
        <v/>
      </c>
      <c r="AC209" s="41">
        <f>DATE(AC208+1,1,1)-1</f>
        <v/>
      </c>
      <c r="AD209" s="41">
        <f>DATE(AD208+1,1,1)-1</f>
        <v/>
      </c>
      <c r="AE209" s="41">
        <f>DATE(AE208+1,1,1)-1</f>
        <v/>
      </c>
      <c r="AF209" s="41">
        <f>DATE(AF208+1,1,1)-1</f>
        <v/>
      </c>
      <c r="AG209" s="41">
        <f>DATE(AG208+1,1,1)-1</f>
        <v/>
      </c>
      <c r="AH209" s="41">
        <f>DATE(AH208+1,1,1)-1</f>
        <v/>
      </c>
      <c r="AI209" s="41">
        <f>DATE(AI208+1,1,1)-1</f>
        <v/>
      </c>
      <c r="AJ209" s="41">
        <f>DATE(AJ208+1,1,1)-1</f>
        <v/>
      </c>
      <c r="AK209" s="41">
        <f>DATE(AK208+1,1,1)-1</f>
        <v/>
      </c>
      <c r="AL209" s="41">
        <f>DATE(AL208+1,1,1)-1</f>
        <v/>
      </c>
      <c r="AM209" s="41">
        <f>DATE(AM208+1,1,1)-1</f>
        <v/>
      </c>
      <c r="AN209" s="41">
        <f>DATE(AN208+1,1,1)-1</f>
        <v/>
      </c>
      <c r="AO209" s="41">
        <f>DATE(AO208+1,1,1)-1</f>
        <v/>
      </c>
      <c r="AP209" s="41">
        <f>DATE(AP208+1,1,1)-1</f>
        <v/>
      </c>
      <c r="AQ209" s="41">
        <f>DATE(AQ208+1,1,1)-1</f>
        <v/>
      </c>
      <c r="AR209" s="41">
        <f>DATE(AR208+1,1,1)-1</f>
        <v/>
      </c>
      <c r="AS209" s="41">
        <f>DATE(AS208+1,1,1)-1</f>
        <v/>
      </c>
      <c r="AT209" s="41">
        <f>DATE(AT208+1,1,1)-1</f>
        <v/>
      </c>
      <c r="AU209" s="41">
        <f>DATE(AU208+1,1,1)-1</f>
        <v/>
      </c>
      <c r="AV209" s="41">
        <f>DATE(AV208+1,1,1)-1</f>
        <v/>
      </c>
      <c r="AW209" s="41">
        <f>DATE(AW208+1,1,1)-1</f>
        <v/>
      </c>
      <c r="AX209" s="41">
        <f>DATE(AX208+1,1,1)-1</f>
        <v/>
      </c>
      <c r="AY209" s="41">
        <f>DATE(AY208+1,1,1)-1</f>
        <v/>
      </c>
      <c r="AZ209" s="41">
        <f>DATE(AZ208+1,1,1)-1</f>
        <v/>
      </c>
      <c r="BA209" s="41">
        <f>DATE(BA208+1,1,1)-1</f>
        <v/>
      </c>
      <c r="BB209" s="41">
        <f>DATE(BB208+1,1,1)-1</f>
        <v/>
      </c>
      <c r="BC209" s="41">
        <f>DATE(BC208+1,1,1)-1</f>
        <v/>
      </c>
      <c r="BD209" s="41">
        <f>DATE(BD208+1,1,1)-1</f>
        <v/>
      </c>
      <c r="BE209" s="41">
        <f>DATE(BE208+1,1,1)-1</f>
        <v/>
      </c>
      <c r="BF209" s="41">
        <f>DATE(BF208+1,1,1)-1</f>
        <v/>
      </c>
      <c r="BG209" s="41">
        <f>DATE(BG208+1,1,1)-1</f>
        <v/>
      </c>
    </row>
    <row r="210">
      <c r="C210" s="31" t="inlineStr">
        <is>
          <t>Years from the COD year</t>
        </is>
      </c>
      <c r="D210" s="32" t="inlineStr">
        <is>
          <t>years</t>
        </is>
      </c>
      <c r="X210" s="44">
        <f>X208-YEAR($E$41)</f>
        <v/>
      </c>
      <c r="Y210" s="44">
        <f>Y208-YEAR($E$41)</f>
        <v/>
      </c>
      <c r="Z210" s="44">
        <f>Z208-YEAR($E$41)</f>
        <v/>
      </c>
      <c r="AA210" s="44">
        <f>AA208-YEAR($E$41)</f>
        <v/>
      </c>
      <c r="AB210" s="44">
        <f>AB208-YEAR($E$41)</f>
        <v/>
      </c>
      <c r="AC210" s="44">
        <f>AC208-YEAR($E$41)</f>
        <v/>
      </c>
      <c r="AD210" s="44">
        <f>AD208-YEAR($E$41)</f>
        <v/>
      </c>
      <c r="AE210" s="44">
        <f>AE208-YEAR($E$41)</f>
        <v/>
      </c>
      <c r="AF210" s="44">
        <f>AF208-YEAR($E$41)</f>
        <v/>
      </c>
      <c r="AG210" s="44">
        <f>AG208-YEAR($E$41)</f>
        <v/>
      </c>
      <c r="AH210" s="44">
        <f>AH208-YEAR($E$41)</f>
        <v/>
      </c>
      <c r="AI210" s="44">
        <f>AI208-YEAR($E$41)</f>
        <v/>
      </c>
      <c r="AJ210" s="44">
        <f>AJ208-YEAR($E$41)</f>
        <v/>
      </c>
      <c r="AK210" s="44">
        <f>AK208-YEAR($E$41)</f>
        <v/>
      </c>
      <c r="AL210" s="44">
        <f>AL208-YEAR($E$41)</f>
        <v/>
      </c>
      <c r="AM210" s="44">
        <f>AM208-YEAR($E$41)</f>
        <v/>
      </c>
      <c r="AN210" s="44">
        <f>AN208-YEAR($E$41)</f>
        <v/>
      </c>
      <c r="AO210" s="44">
        <f>AO208-YEAR($E$41)</f>
        <v/>
      </c>
      <c r="AP210" s="44">
        <f>AP208-YEAR($E$41)</f>
        <v/>
      </c>
      <c r="AQ210" s="44">
        <f>AQ208-YEAR($E$41)</f>
        <v/>
      </c>
      <c r="AR210" s="44">
        <f>AR208-YEAR($E$41)</f>
        <v/>
      </c>
      <c r="AS210" s="44">
        <f>AS208-YEAR($E$41)</f>
        <v/>
      </c>
      <c r="AT210" s="44">
        <f>AT208-YEAR($E$41)</f>
        <v/>
      </c>
      <c r="AU210" s="44">
        <f>AU208-YEAR($E$41)</f>
        <v/>
      </c>
      <c r="AV210" s="44">
        <f>AV208-YEAR($E$41)</f>
        <v/>
      </c>
      <c r="AW210" s="44">
        <f>AW208-YEAR($E$41)</f>
        <v/>
      </c>
      <c r="AX210" s="44">
        <f>AX208-YEAR($E$41)</f>
        <v/>
      </c>
      <c r="AY210" s="44">
        <f>AY208-YEAR($E$41)</f>
        <v/>
      </c>
      <c r="AZ210" s="44">
        <f>AZ208-YEAR($E$41)</f>
        <v/>
      </c>
      <c r="BA210" s="44">
        <f>BA208-YEAR($E$41)</f>
        <v/>
      </c>
      <c r="BB210" s="44">
        <f>BB208-YEAR($E$41)</f>
        <v/>
      </c>
      <c r="BC210" s="44">
        <f>BC208-YEAR($E$41)</f>
        <v/>
      </c>
      <c r="BD210" s="44">
        <f>BD208-YEAR($E$41)</f>
        <v/>
      </c>
      <c r="BE210" s="44">
        <f>BE208-YEAR($E$41)</f>
        <v/>
      </c>
      <c r="BF210" s="44">
        <f>BF208-YEAR($E$41)</f>
        <v/>
      </c>
      <c r="BG210" s="44">
        <f>BG208-YEAR($E$41)</f>
        <v/>
      </c>
    </row>
    <row r="211">
      <c r="C211" s="31" t="inlineStr">
        <is>
          <t>Construction months by year end (E: construction period)</t>
        </is>
      </c>
      <c r="D211" s="32" t="inlineStr">
        <is>
          <t>months</t>
        </is>
      </c>
      <c r="E211" s="44">
        <f>DATEDIF($E$40,$E$41,"m")</f>
        <v/>
      </c>
      <c r="X211" s="44">
        <f>(X208+1-YEAR($E$40))*Months_In_Year-MONTH($E$40)</f>
        <v/>
      </c>
      <c r="Y211" s="44">
        <f>(Y208+1-YEAR($E$40))*Months_In_Year-MONTH($E$40)</f>
        <v/>
      </c>
      <c r="Z211" s="44">
        <f>(Z208+1-YEAR($E$40))*Months_In_Year-MONTH($E$40)</f>
        <v/>
      </c>
      <c r="AA211" s="44">
        <f>(AA208+1-YEAR($E$40))*Months_In_Year-MONTH($E$40)</f>
        <v/>
      </c>
      <c r="AB211" s="44">
        <f>(AB208+1-YEAR($E$40))*Months_In_Year-MONTH($E$40)</f>
        <v/>
      </c>
      <c r="AC211" s="44">
        <f>(AC208+1-YEAR($E$40))*Months_In_Year-MONTH($E$40)</f>
        <v/>
      </c>
      <c r="AD211" s="44">
        <f>(AD208+1-YEAR($E$40))*Months_In_Year-MONTH($E$40)</f>
        <v/>
      </c>
      <c r="AE211" s="44">
        <f>(AE208+1-YEAR($E$40))*Months_In_Year-MONTH($E$40)</f>
        <v/>
      </c>
      <c r="AF211" s="44">
        <f>(AF208+1-YEAR($E$40))*Months_In_Year-MONTH($E$40)</f>
        <v/>
      </c>
      <c r="AG211" s="44">
        <f>(AG208+1-YEAR($E$40))*Months_In_Year-MONTH($E$40)</f>
        <v/>
      </c>
      <c r="AH211" s="44">
        <f>(AH208+1-YEAR($E$40))*Months_In_Year-MONTH($E$40)</f>
        <v/>
      </c>
      <c r="AI211" s="44">
        <f>(AI208+1-YEAR($E$40))*Months_In_Year-MONTH($E$40)</f>
        <v/>
      </c>
      <c r="AJ211" s="44">
        <f>(AJ208+1-YEAR($E$40))*Months_In_Year-MONTH($E$40)</f>
        <v/>
      </c>
      <c r="AK211" s="44">
        <f>(AK208+1-YEAR($E$40))*Months_In_Year-MONTH($E$40)</f>
        <v/>
      </c>
      <c r="AL211" s="44">
        <f>(AL208+1-YEAR($E$40))*Months_In_Year-MONTH($E$40)</f>
        <v/>
      </c>
      <c r="AM211" s="44">
        <f>(AM208+1-YEAR($E$40))*Months_In_Year-MONTH($E$40)</f>
        <v/>
      </c>
      <c r="AN211" s="44">
        <f>(AN208+1-YEAR($E$40))*Months_In_Year-MONTH($E$40)</f>
        <v/>
      </c>
      <c r="AO211" s="44">
        <f>(AO208+1-YEAR($E$40))*Months_In_Year-MONTH($E$40)</f>
        <v/>
      </c>
      <c r="AP211" s="44">
        <f>(AP208+1-YEAR($E$40))*Months_In_Year-MONTH($E$40)</f>
        <v/>
      </c>
      <c r="AQ211" s="44">
        <f>(AQ208+1-YEAR($E$40))*Months_In_Year-MONTH($E$40)</f>
        <v/>
      </c>
      <c r="AR211" s="44">
        <f>(AR208+1-YEAR($E$40))*Months_In_Year-MONTH($E$40)</f>
        <v/>
      </c>
      <c r="AS211" s="44">
        <f>(AS208+1-YEAR($E$40))*Months_In_Year-MONTH($E$40)</f>
        <v/>
      </c>
      <c r="AT211" s="44">
        <f>(AT208+1-YEAR($E$40))*Months_In_Year-MONTH($E$40)</f>
        <v/>
      </c>
      <c r="AU211" s="44">
        <f>(AU208+1-YEAR($E$40))*Months_In_Year-MONTH($E$40)</f>
        <v/>
      </c>
      <c r="AV211" s="44">
        <f>(AV208+1-YEAR($E$40))*Months_In_Year-MONTH($E$40)</f>
        <v/>
      </c>
      <c r="AW211" s="44">
        <f>(AW208+1-YEAR($E$40))*Months_In_Year-MONTH($E$40)</f>
        <v/>
      </c>
      <c r="AX211" s="44">
        <f>(AX208+1-YEAR($E$40))*Months_In_Year-MONTH($E$40)</f>
        <v/>
      </c>
      <c r="AY211" s="44">
        <f>(AY208+1-YEAR($E$40))*Months_In_Year-MONTH($E$40)</f>
        <v/>
      </c>
      <c r="AZ211" s="44">
        <f>(AZ208+1-YEAR($E$40))*Months_In_Year-MONTH($E$40)</f>
        <v/>
      </c>
      <c r="BA211" s="44">
        <f>(BA208+1-YEAR($E$40))*Months_In_Year-MONTH($E$40)</f>
        <v/>
      </c>
      <c r="BB211" s="44">
        <f>(BB208+1-YEAR($E$40))*Months_In_Year-MONTH($E$40)</f>
        <v/>
      </c>
      <c r="BC211" s="44">
        <f>(BC208+1-YEAR($E$40))*Months_In_Year-MONTH($E$40)</f>
        <v/>
      </c>
      <c r="BD211" s="44">
        <f>(BD208+1-YEAR($E$40))*Months_In_Year-MONTH($E$40)</f>
        <v/>
      </c>
      <c r="BE211" s="44">
        <f>(BE208+1-YEAR($E$40))*Months_In_Year-MONTH($E$40)</f>
        <v/>
      </c>
      <c r="BF211" s="44">
        <f>(BF208+1-YEAR($E$40))*Months_In_Year-MONTH($E$40)</f>
        <v/>
      </c>
      <c r="BG211" s="44">
        <f>(BG208+1-YEAR($E$40))*Months_In_Year-MONTH($E$40)</f>
        <v/>
      </c>
    </row>
    <row r="212">
      <c r="C212" s="31" t="inlineStr">
        <is>
          <t>Construction share of the year (NTP to COD)</t>
        </is>
      </c>
      <c r="D212" s="32" t="inlineStr">
        <is>
          <t>%</t>
        </is>
      </c>
      <c r="G212" s="52">
        <f>SUM(X212:BG212)</f>
        <v/>
      </c>
      <c r="X212" s="43">
        <f>MAX(0,MIN(X211,$E211)-MAX(X211-Months_In_Year,0))/$E211</f>
        <v/>
      </c>
      <c r="Y212" s="43">
        <f>MAX(0,MIN(Y211,$E211)-MAX(Y211-Months_In_Year,0))/$E211</f>
        <v/>
      </c>
      <c r="Z212" s="43">
        <f>MAX(0,MIN(Z211,$E211)-MAX(Z211-Months_In_Year,0))/$E211</f>
        <v/>
      </c>
      <c r="AA212" s="43">
        <f>MAX(0,MIN(AA211,$E211)-MAX(AA211-Months_In_Year,0))/$E211</f>
        <v/>
      </c>
      <c r="AB212" s="43">
        <f>MAX(0,MIN(AB211,$E211)-MAX(AB211-Months_In_Year,0))/$E211</f>
        <v/>
      </c>
      <c r="AC212" s="43">
        <f>MAX(0,MIN(AC211,$E211)-MAX(AC211-Months_In_Year,0))/$E211</f>
        <v/>
      </c>
      <c r="AD212" s="43">
        <f>MAX(0,MIN(AD211,$E211)-MAX(AD211-Months_In_Year,0))/$E211</f>
        <v/>
      </c>
      <c r="AE212" s="43">
        <f>MAX(0,MIN(AE211,$E211)-MAX(AE211-Months_In_Year,0))/$E211</f>
        <v/>
      </c>
      <c r="AF212" s="43">
        <f>MAX(0,MIN(AF211,$E211)-MAX(AF211-Months_In_Year,0))/$E211</f>
        <v/>
      </c>
      <c r="AG212" s="43">
        <f>MAX(0,MIN(AG211,$E211)-MAX(AG211-Months_In_Year,0))/$E211</f>
        <v/>
      </c>
      <c r="AH212" s="43">
        <f>MAX(0,MIN(AH211,$E211)-MAX(AH211-Months_In_Year,0))/$E211</f>
        <v/>
      </c>
      <c r="AI212" s="43">
        <f>MAX(0,MIN(AI211,$E211)-MAX(AI211-Months_In_Year,0))/$E211</f>
        <v/>
      </c>
      <c r="AJ212" s="43">
        <f>MAX(0,MIN(AJ211,$E211)-MAX(AJ211-Months_In_Year,0))/$E211</f>
        <v/>
      </c>
      <c r="AK212" s="43">
        <f>MAX(0,MIN(AK211,$E211)-MAX(AK211-Months_In_Year,0))/$E211</f>
        <v/>
      </c>
      <c r="AL212" s="43">
        <f>MAX(0,MIN(AL211,$E211)-MAX(AL211-Months_In_Year,0))/$E211</f>
        <v/>
      </c>
      <c r="AM212" s="43">
        <f>MAX(0,MIN(AM211,$E211)-MAX(AM211-Months_In_Year,0))/$E211</f>
        <v/>
      </c>
      <c r="AN212" s="43">
        <f>MAX(0,MIN(AN211,$E211)-MAX(AN211-Months_In_Year,0))/$E211</f>
        <v/>
      </c>
      <c r="AO212" s="43">
        <f>MAX(0,MIN(AO211,$E211)-MAX(AO211-Months_In_Year,0))/$E211</f>
        <v/>
      </c>
      <c r="AP212" s="43">
        <f>MAX(0,MIN(AP211,$E211)-MAX(AP211-Months_In_Year,0))/$E211</f>
        <v/>
      </c>
      <c r="AQ212" s="43">
        <f>MAX(0,MIN(AQ211,$E211)-MAX(AQ211-Months_In_Year,0))/$E211</f>
        <v/>
      </c>
      <c r="AR212" s="43">
        <f>MAX(0,MIN(AR211,$E211)-MAX(AR211-Months_In_Year,0))/$E211</f>
        <v/>
      </c>
      <c r="AS212" s="43">
        <f>MAX(0,MIN(AS211,$E211)-MAX(AS211-Months_In_Year,0))/$E211</f>
        <v/>
      </c>
      <c r="AT212" s="43">
        <f>MAX(0,MIN(AT211,$E211)-MAX(AT211-Months_In_Year,0))/$E211</f>
        <v/>
      </c>
      <c r="AU212" s="43">
        <f>MAX(0,MIN(AU211,$E211)-MAX(AU211-Months_In_Year,0))/$E211</f>
        <v/>
      </c>
      <c r="AV212" s="43">
        <f>MAX(0,MIN(AV211,$E211)-MAX(AV211-Months_In_Year,0))/$E211</f>
        <v/>
      </c>
      <c r="AW212" s="43">
        <f>MAX(0,MIN(AW211,$E211)-MAX(AW211-Months_In_Year,0))/$E211</f>
        <v/>
      </c>
      <c r="AX212" s="43">
        <f>MAX(0,MIN(AX211,$E211)-MAX(AX211-Months_In_Year,0))/$E211</f>
        <v/>
      </c>
      <c r="AY212" s="43">
        <f>MAX(0,MIN(AY211,$E211)-MAX(AY211-Months_In_Year,0))/$E211</f>
        <v/>
      </c>
      <c r="AZ212" s="43">
        <f>MAX(0,MIN(AZ211,$E211)-MAX(AZ211-Months_In_Year,0))/$E211</f>
        <v/>
      </c>
      <c r="BA212" s="43">
        <f>MAX(0,MIN(BA211,$E211)-MAX(BA211-Months_In_Year,0))/$E211</f>
        <v/>
      </c>
      <c r="BB212" s="43">
        <f>MAX(0,MIN(BB211,$E211)-MAX(BB211-Months_In_Year,0))/$E211</f>
        <v/>
      </c>
      <c r="BC212" s="43">
        <f>MAX(0,MIN(BC211,$E211)-MAX(BC211-Months_In_Year,0))/$E211</f>
        <v/>
      </c>
      <c r="BD212" s="43">
        <f>MAX(0,MIN(BD211,$E211)-MAX(BD211-Months_In_Year,0))/$E211</f>
        <v/>
      </c>
      <c r="BE212" s="43">
        <f>MAX(0,MIN(BE211,$E211)-MAX(BE211-Months_In_Year,0))/$E211</f>
        <v/>
      </c>
      <c r="BF212" s="43">
        <f>MAX(0,MIN(BF211,$E211)-MAX(BF211-Months_In_Year,0))/$E211</f>
        <v/>
      </c>
      <c r="BG212" s="43">
        <f>MAX(0,MIN(BG211,$E211)-MAX(BG211-Months_In_Year,0))/$E211</f>
        <v/>
      </c>
    </row>
    <row r="213">
      <c r="C213" s="31" t="inlineStr">
        <is>
          <t>Months operated by year end (E: operating life)</t>
        </is>
      </c>
      <c r="D213" s="32" t="inlineStr">
        <is>
          <t>months</t>
        </is>
      </c>
      <c r="E213" s="44">
        <f>$E$90*Months_In_Year</f>
        <v/>
      </c>
      <c r="X213" s="44">
        <f>(X208+1-YEAR($E$41))*Months_In_Year-MONTH($E$41)</f>
        <v/>
      </c>
      <c r="Y213" s="44">
        <f>(Y208+1-YEAR($E$41))*Months_In_Year-MONTH($E$41)</f>
        <v/>
      </c>
      <c r="Z213" s="44">
        <f>(Z208+1-YEAR($E$41))*Months_In_Year-MONTH($E$41)</f>
        <v/>
      </c>
      <c r="AA213" s="44">
        <f>(AA208+1-YEAR($E$41))*Months_In_Year-MONTH($E$41)</f>
        <v/>
      </c>
      <c r="AB213" s="44">
        <f>(AB208+1-YEAR($E$41))*Months_In_Year-MONTH($E$41)</f>
        <v/>
      </c>
      <c r="AC213" s="44">
        <f>(AC208+1-YEAR($E$41))*Months_In_Year-MONTH($E$41)</f>
        <v/>
      </c>
      <c r="AD213" s="44">
        <f>(AD208+1-YEAR($E$41))*Months_In_Year-MONTH($E$41)</f>
        <v/>
      </c>
      <c r="AE213" s="44">
        <f>(AE208+1-YEAR($E$41))*Months_In_Year-MONTH($E$41)</f>
        <v/>
      </c>
      <c r="AF213" s="44">
        <f>(AF208+1-YEAR($E$41))*Months_In_Year-MONTH($E$41)</f>
        <v/>
      </c>
      <c r="AG213" s="44">
        <f>(AG208+1-YEAR($E$41))*Months_In_Year-MONTH($E$41)</f>
        <v/>
      </c>
      <c r="AH213" s="44">
        <f>(AH208+1-YEAR($E$41))*Months_In_Year-MONTH($E$41)</f>
        <v/>
      </c>
      <c r="AI213" s="44">
        <f>(AI208+1-YEAR($E$41))*Months_In_Year-MONTH($E$41)</f>
        <v/>
      </c>
      <c r="AJ213" s="44">
        <f>(AJ208+1-YEAR($E$41))*Months_In_Year-MONTH($E$41)</f>
        <v/>
      </c>
      <c r="AK213" s="44">
        <f>(AK208+1-YEAR($E$41))*Months_In_Year-MONTH($E$41)</f>
        <v/>
      </c>
      <c r="AL213" s="44">
        <f>(AL208+1-YEAR($E$41))*Months_In_Year-MONTH($E$41)</f>
        <v/>
      </c>
      <c r="AM213" s="44">
        <f>(AM208+1-YEAR($E$41))*Months_In_Year-MONTH($E$41)</f>
        <v/>
      </c>
      <c r="AN213" s="44">
        <f>(AN208+1-YEAR($E$41))*Months_In_Year-MONTH($E$41)</f>
        <v/>
      </c>
      <c r="AO213" s="44">
        <f>(AO208+1-YEAR($E$41))*Months_In_Year-MONTH($E$41)</f>
        <v/>
      </c>
      <c r="AP213" s="44">
        <f>(AP208+1-YEAR($E$41))*Months_In_Year-MONTH($E$41)</f>
        <v/>
      </c>
      <c r="AQ213" s="44">
        <f>(AQ208+1-YEAR($E$41))*Months_In_Year-MONTH($E$41)</f>
        <v/>
      </c>
      <c r="AR213" s="44">
        <f>(AR208+1-YEAR($E$41))*Months_In_Year-MONTH($E$41)</f>
        <v/>
      </c>
      <c r="AS213" s="44">
        <f>(AS208+1-YEAR($E$41))*Months_In_Year-MONTH($E$41)</f>
        <v/>
      </c>
      <c r="AT213" s="44">
        <f>(AT208+1-YEAR($E$41))*Months_In_Year-MONTH($E$41)</f>
        <v/>
      </c>
      <c r="AU213" s="44">
        <f>(AU208+1-YEAR($E$41))*Months_In_Year-MONTH($E$41)</f>
        <v/>
      </c>
      <c r="AV213" s="44">
        <f>(AV208+1-YEAR($E$41))*Months_In_Year-MONTH($E$41)</f>
        <v/>
      </c>
      <c r="AW213" s="44">
        <f>(AW208+1-YEAR($E$41))*Months_In_Year-MONTH($E$41)</f>
        <v/>
      </c>
      <c r="AX213" s="44">
        <f>(AX208+1-YEAR($E$41))*Months_In_Year-MONTH($E$41)</f>
        <v/>
      </c>
      <c r="AY213" s="44">
        <f>(AY208+1-YEAR($E$41))*Months_In_Year-MONTH($E$41)</f>
        <v/>
      </c>
      <c r="AZ213" s="44">
        <f>(AZ208+1-YEAR($E$41))*Months_In_Year-MONTH($E$41)</f>
        <v/>
      </c>
      <c r="BA213" s="44">
        <f>(BA208+1-YEAR($E$41))*Months_In_Year-MONTH($E$41)</f>
        <v/>
      </c>
      <c r="BB213" s="44">
        <f>(BB208+1-YEAR($E$41))*Months_In_Year-MONTH($E$41)</f>
        <v/>
      </c>
      <c r="BC213" s="44">
        <f>(BC208+1-YEAR($E$41))*Months_In_Year-MONTH($E$41)</f>
        <v/>
      </c>
      <c r="BD213" s="44">
        <f>(BD208+1-YEAR($E$41))*Months_In_Year-MONTH($E$41)</f>
        <v/>
      </c>
      <c r="BE213" s="44">
        <f>(BE208+1-YEAR($E$41))*Months_In_Year-MONTH($E$41)</f>
        <v/>
      </c>
      <c r="BF213" s="44">
        <f>(BF208+1-YEAR($E$41))*Months_In_Year-MONTH($E$41)</f>
        <v/>
      </c>
      <c r="BG213" s="44">
        <f>(BG208+1-YEAR($E$41))*Months_In_Year-MONTH($E$41)</f>
        <v/>
      </c>
    </row>
    <row r="214">
      <c r="C214" s="31" t="inlineStr">
        <is>
          <t>Operating share of the year (COD to end of life)</t>
        </is>
      </c>
      <c r="D214" s="32" t="inlineStr">
        <is>
          <t>%</t>
        </is>
      </c>
      <c r="G214" s="52">
        <f>SUM(X214:BG214)</f>
        <v/>
      </c>
      <c r="X214" s="43">
        <f>MAX(0,MIN(X213,$E213)-MAX(X213-Months_In_Year,0))/Months_In_Year</f>
        <v/>
      </c>
      <c r="Y214" s="43">
        <f>MAX(0,MIN(Y213,$E213)-MAX(Y213-Months_In_Year,0))/Months_In_Year</f>
        <v/>
      </c>
      <c r="Z214" s="43">
        <f>MAX(0,MIN(Z213,$E213)-MAX(Z213-Months_In_Year,0))/Months_In_Year</f>
        <v/>
      </c>
      <c r="AA214" s="43">
        <f>MAX(0,MIN(AA213,$E213)-MAX(AA213-Months_In_Year,0))/Months_In_Year</f>
        <v/>
      </c>
      <c r="AB214" s="43">
        <f>MAX(0,MIN(AB213,$E213)-MAX(AB213-Months_In_Year,0))/Months_In_Year</f>
        <v/>
      </c>
      <c r="AC214" s="43">
        <f>MAX(0,MIN(AC213,$E213)-MAX(AC213-Months_In_Year,0))/Months_In_Year</f>
        <v/>
      </c>
      <c r="AD214" s="43">
        <f>MAX(0,MIN(AD213,$E213)-MAX(AD213-Months_In_Year,0))/Months_In_Year</f>
        <v/>
      </c>
      <c r="AE214" s="43">
        <f>MAX(0,MIN(AE213,$E213)-MAX(AE213-Months_In_Year,0))/Months_In_Year</f>
        <v/>
      </c>
      <c r="AF214" s="43">
        <f>MAX(0,MIN(AF213,$E213)-MAX(AF213-Months_In_Year,0))/Months_In_Year</f>
        <v/>
      </c>
      <c r="AG214" s="43">
        <f>MAX(0,MIN(AG213,$E213)-MAX(AG213-Months_In_Year,0))/Months_In_Year</f>
        <v/>
      </c>
      <c r="AH214" s="43">
        <f>MAX(0,MIN(AH213,$E213)-MAX(AH213-Months_In_Year,0))/Months_In_Year</f>
        <v/>
      </c>
      <c r="AI214" s="43">
        <f>MAX(0,MIN(AI213,$E213)-MAX(AI213-Months_In_Year,0))/Months_In_Year</f>
        <v/>
      </c>
      <c r="AJ214" s="43">
        <f>MAX(0,MIN(AJ213,$E213)-MAX(AJ213-Months_In_Year,0))/Months_In_Year</f>
        <v/>
      </c>
      <c r="AK214" s="43">
        <f>MAX(0,MIN(AK213,$E213)-MAX(AK213-Months_In_Year,0))/Months_In_Year</f>
        <v/>
      </c>
      <c r="AL214" s="43">
        <f>MAX(0,MIN(AL213,$E213)-MAX(AL213-Months_In_Year,0))/Months_In_Year</f>
        <v/>
      </c>
      <c r="AM214" s="43">
        <f>MAX(0,MIN(AM213,$E213)-MAX(AM213-Months_In_Year,0))/Months_In_Year</f>
        <v/>
      </c>
      <c r="AN214" s="43">
        <f>MAX(0,MIN(AN213,$E213)-MAX(AN213-Months_In_Year,0))/Months_In_Year</f>
        <v/>
      </c>
      <c r="AO214" s="43">
        <f>MAX(0,MIN(AO213,$E213)-MAX(AO213-Months_In_Year,0))/Months_In_Year</f>
        <v/>
      </c>
      <c r="AP214" s="43">
        <f>MAX(0,MIN(AP213,$E213)-MAX(AP213-Months_In_Year,0))/Months_In_Year</f>
        <v/>
      </c>
      <c r="AQ214" s="43">
        <f>MAX(0,MIN(AQ213,$E213)-MAX(AQ213-Months_In_Year,0))/Months_In_Year</f>
        <v/>
      </c>
      <c r="AR214" s="43">
        <f>MAX(0,MIN(AR213,$E213)-MAX(AR213-Months_In_Year,0))/Months_In_Year</f>
        <v/>
      </c>
      <c r="AS214" s="43">
        <f>MAX(0,MIN(AS213,$E213)-MAX(AS213-Months_In_Year,0))/Months_In_Year</f>
        <v/>
      </c>
      <c r="AT214" s="43">
        <f>MAX(0,MIN(AT213,$E213)-MAX(AT213-Months_In_Year,0))/Months_In_Year</f>
        <v/>
      </c>
      <c r="AU214" s="43">
        <f>MAX(0,MIN(AU213,$E213)-MAX(AU213-Months_In_Year,0))/Months_In_Year</f>
        <v/>
      </c>
      <c r="AV214" s="43">
        <f>MAX(0,MIN(AV213,$E213)-MAX(AV213-Months_In_Year,0))/Months_In_Year</f>
        <v/>
      </c>
      <c r="AW214" s="43">
        <f>MAX(0,MIN(AW213,$E213)-MAX(AW213-Months_In_Year,0))/Months_In_Year</f>
        <v/>
      </c>
      <c r="AX214" s="43">
        <f>MAX(0,MIN(AX213,$E213)-MAX(AX213-Months_In_Year,0))/Months_In_Year</f>
        <v/>
      </c>
      <c r="AY214" s="43">
        <f>MAX(0,MIN(AY213,$E213)-MAX(AY213-Months_In_Year,0))/Months_In_Year</f>
        <v/>
      </c>
      <c r="AZ214" s="43">
        <f>MAX(0,MIN(AZ213,$E213)-MAX(AZ213-Months_In_Year,0))/Months_In_Year</f>
        <v/>
      </c>
      <c r="BA214" s="43">
        <f>MAX(0,MIN(BA213,$E213)-MAX(BA213-Months_In_Year,0))/Months_In_Year</f>
        <v/>
      </c>
      <c r="BB214" s="43">
        <f>MAX(0,MIN(BB213,$E213)-MAX(BB213-Months_In_Year,0))/Months_In_Year</f>
        <v/>
      </c>
      <c r="BC214" s="43">
        <f>MAX(0,MIN(BC213,$E213)-MAX(BC213-Months_In_Year,0))/Months_In_Year</f>
        <v/>
      </c>
      <c r="BD214" s="43">
        <f>MAX(0,MIN(BD213,$E213)-MAX(BD213-Months_In_Year,0))/Months_In_Year</f>
        <v/>
      </c>
      <c r="BE214" s="43">
        <f>MAX(0,MIN(BE213,$E213)-MAX(BE213-Months_In_Year,0))/Months_In_Year</f>
        <v/>
      </c>
      <c r="BF214" s="43">
        <f>MAX(0,MIN(BF213,$E213)-MAX(BF213-Months_In_Year,0))/Months_In_Year</f>
        <v/>
      </c>
      <c r="BG214" s="43">
        <f>MAX(0,MIN(BG213,$E213)-MAX(BG213-Months_In_Year,0))/Months_In_Year</f>
        <v/>
      </c>
    </row>
    <row r="215">
      <c r="C215" s="31" t="inlineStr">
        <is>
          <t>COD year flag</t>
        </is>
      </c>
      <c r="D215" s="32" t="inlineStr">
        <is>
          <t>flag</t>
        </is>
      </c>
      <c r="X215" s="53">
        <f>N(X210=0)</f>
        <v/>
      </c>
      <c r="Y215" s="53">
        <f>N(Y210=0)</f>
        <v/>
      </c>
      <c r="Z215" s="53">
        <f>N(Z210=0)</f>
        <v/>
      </c>
      <c r="AA215" s="53">
        <f>N(AA210=0)</f>
        <v/>
      </c>
      <c r="AB215" s="53">
        <f>N(AB210=0)</f>
        <v/>
      </c>
      <c r="AC215" s="53">
        <f>N(AC210=0)</f>
        <v/>
      </c>
      <c r="AD215" s="53">
        <f>N(AD210=0)</f>
        <v/>
      </c>
      <c r="AE215" s="53">
        <f>N(AE210=0)</f>
        <v/>
      </c>
      <c r="AF215" s="53">
        <f>N(AF210=0)</f>
        <v/>
      </c>
      <c r="AG215" s="53">
        <f>N(AG210=0)</f>
        <v/>
      </c>
      <c r="AH215" s="53">
        <f>N(AH210=0)</f>
        <v/>
      </c>
      <c r="AI215" s="53">
        <f>N(AI210=0)</f>
        <v/>
      </c>
      <c r="AJ215" s="53">
        <f>N(AJ210=0)</f>
        <v/>
      </c>
      <c r="AK215" s="53">
        <f>N(AK210=0)</f>
        <v/>
      </c>
      <c r="AL215" s="53">
        <f>N(AL210=0)</f>
        <v/>
      </c>
      <c r="AM215" s="53">
        <f>N(AM210=0)</f>
        <v/>
      </c>
      <c r="AN215" s="53">
        <f>N(AN210=0)</f>
        <v/>
      </c>
      <c r="AO215" s="53">
        <f>N(AO210=0)</f>
        <v/>
      </c>
      <c r="AP215" s="53">
        <f>N(AP210=0)</f>
        <v/>
      </c>
      <c r="AQ215" s="53">
        <f>N(AQ210=0)</f>
        <v/>
      </c>
      <c r="AR215" s="53">
        <f>N(AR210=0)</f>
        <v/>
      </c>
      <c r="AS215" s="53">
        <f>N(AS210=0)</f>
        <v/>
      </c>
      <c r="AT215" s="53">
        <f>N(AT210=0)</f>
        <v/>
      </c>
      <c r="AU215" s="53">
        <f>N(AU210=0)</f>
        <v/>
      </c>
      <c r="AV215" s="53">
        <f>N(AV210=0)</f>
        <v/>
      </c>
      <c r="AW215" s="53">
        <f>N(AW210=0)</f>
        <v/>
      </c>
      <c r="AX215" s="53">
        <f>N(AX210=0)</f>
        <v/>
      </c>
      <c r="AY215" s="53">
        <f>N(AY210=0)</f>
        <v/>
      </c>
      <c r="AZ215" s="53">
        <f>N(AZ210=0)</f>
        <v/>
      </c>
      <c r="BA215" s="53">
        <f>N(BA210=0)</f>
        <v/>
      </c>
      <c r="BB215" s="53">
        <f>N(BB210=0)</f>
        <v/>
      </c>
      <c r="BC215" s="53">
        <f>N(BC210=0)</f>
        <v/>
      </c>
      <c r="BD215" s="53">
        <f>N(BD210=0)</f>
        <v/>
      </c>
      <c r="BE215" s="53">
        <f>N(BE210=0)</f>
        <v/>
      </c>
      <c r="BF215" s="53">
        <f>N(BF210=0)</f>
        <v/>
      </c>
      <c r="BG215" s="53">
        <f>N(BG210=0)</f>
        <v/>
      </c>
    </row>
    <row r="217">
      <c r="B217" s="28" t="n"/>
      <c r="C217" s="28" t="inlineStr">
        <is>
          <t>Iváncsa: annual cash flow (EUR k)</t>
        </is>
      </c>
      <c r="D217" s="28" t="n"/>
      <c r="E217" s="29" t="n"/>
      <c r="F217" s="29" t="n"/>
      <c r="G217" s="29" t="inlineStr">
        <is>
          <t>Total</t>
        </is>
      </c>
      <c r="H217" s="29" t="n"/>
      <c r="X217" s="29" t="n"/>
      <c r="Y217" s="29" t="n"/>
      <c r="Z217" s="29" t="n"/>
      <c r="AA217" s="29" t="n"/>
      <c r="AB217" s="29" t="n"/>
      <c r="AC217" s="29" t="n"/>
      <c r="AD217" s="29" t="n"/>
      <c r="AE217" s="29" t="n"/>
      <c r="AF217" s="29" t="n"/>
      <c r="AG217" s="29" t="n"/>
      <c r="AH217" s="29" t="n"/>
      <c r="AI217" s="29" t="n"/>
      <c r="AJ217" s="29" t="n"/>
      <c r="AK217" s="29" t="n"/>
      <c r="AL217" s="29" t="n"/>
      <c r="AM217" s="29" t="n"/>
      <c r="AN217" s="29" t="n"/>
      <c r="AO217" s="29" t="n"/>
      <c r="AP217" s="29" t="n"/>
      <c r="AQ217" s="29" t="n"/>
      <c r="AR217" s="29" t="n"/>
      <c r="AS217" s="29" t="n"/>
      <c r="AT217" s="29" t="n"/>
      <c r="AU217" s="29" t="n"/>
      <c r="AV217" s="29" t="n"/>
      <c r="AW217" s="29" t="n"/>
      <c r="AX217" s="29" t="n"/>
      <c r="AY217" s="29" t="n"/>
      <c r="AZ217" s="29" t="n"/>
      <c r="BA217" s="29" t="n"/>
      <c r="BB217" s="29" t="n"/>
      <c r="BC217" s="28" t="n"/>
      <c r="BD217" s="29" t="n"/>
      <c r="BE217" s="29" t="n"/>
      <c r="BF217" s="29" t="n"/>
      <c r="BG217" s="29" t="n"/>
    </row>
    <row r="218">
      <c r="C218" s="31" t="inlineStr">
        <is>
          <t>FEP outlays at their dates (signing, fee, securities, fees, devex)</t>
        </is>
      </c>
      <c r="D218" s="32" t="inlineStr">
        <is>
          <t>EUR k</t>
        </is>
      </c>
      <c r="G218" s="42">
        <f>SUM(X218:BG218)</f>
        <v/>
      </c>
      <c r="X218" s="42">
        <f>SUMPRODUCT((YEAR($H$159:$H$166)=X$208)*$E$159:$E$166)</f>
        <v/>
      </c>
      <c r="Y218" s="42">
        <f>SUMPRODUCT((YEAR($H$159:$H$166)=Y$208)*$E$159:$E$166)</f>
        <v/>
      </c>
      <c r="Z218" s="42">
        <f>SUMPRODUCT((YEAR($H$159:$H$166)=Z$208)*$E$159:$E$166)</f>
        <v/>
      </c>
      <c r="AA218" s="42">
        <f>SUMPRODUCT((YEAR($H$159:$H$166)=AA$208)*$E$159:$E$166)</f>
        <v/>
      </c>
      <c r="AB218" s="42">
        <f>SUMPRODUCT((YEAR($H$159:$H$166)=AB$208)*$E$159:$E$166)</f>
        <v/>
      </c>
      <c r="AC218" s="42">
        <f>SUMPRODUCT((YEAR($H$159:$H$166)=AC$208)*$E$159:$E$166)</f>
        <v/>
      </c>
      <c r="AD218" s="42">
        <f>SUMPRODUCT((YEAR($H$159:$H$166)=AD$208)*$E$159:$E$166)</f>
        <v/>
      </c>
      <c r="AE218" s="42">
        <f>SUMPRODUCT((YEAR($H$159:$H$166)=AE$208)*$E$159:$E$166)</f>
        <v/>
      </c>
      <c r="AF218" s="42">
        <f>SUMPRODUCT((YEAR($H$159:$H$166)=AF$208)*$E$159:$E$166)</f>
        <v/>
      </c>
      <c r="AG218" s="42">
        <f>SUMPRODUCT((YEAR($H$159:$H$166)=AG$208)*$E$159:$E$166)</f>
        <v/>
      </c>
      <c r="AH218" s="42">
        <f>SUMPRODUCT((YEAR($H$159:$H$166)=AH$208)*$E$159:$E$166)</f>
        <v/>
      </c>
      <c r="AI218" s="42">
        <f>SUMPRODUCT((YEAR($H$159:$H$166)=AI$208)*$E$159:$E$166)</f>
        <v/>
      </c>
      <c r="AJ218" s="42">
        <f>SUMPRODUCT((YEAR($H$159:$H$166)=AJ$208)*$E$159:$E$166)</f>
        <v/>
      </c>
      <c r="AK218" s="42">
        <f>SUMPRODUCT((YEAR($H$159:$H$166)=AK$208)*$E$159:$E$166)</f>
        <v/>
      </c>
      <c r="AL218" s="42">
        <f>SUMPRODUCT((YEAR($H$159:$H$166)=AL$208)*$E$159:$E$166)</f>
        <v/>
      </c>
      <c r="AM218" s="42">
        <f>SUMPRODUCT((YEAR($H$159:$H$166)=AM$208)*$E$159:$E$166)</f>
        <v/>
      </c>
      <c r="AN218" s="42">
        <f>SUMPRODUCT((YEAR($H$159:$H$166)=AN$208)*$E$159:$E$166)</f>
        <v/>
      </c>
      <c r="AO218" s="42">
        <f>SUMPRODUCT((YEAR($H$159:$H$166)=AO$208)*$E$159:$E$166)</f>
        <v/>
      </c>
      <c r="AP218" s="42">
        <f>SUMPRODUCT((YEAR($H$159:$H$166)=AP$208)*$E$159:$E$166)</f>
        <v/>
      </c>
      <c r="AQ218" s="42">
        <f>SUMPRODUCT((YEAR($H$159:$H$166)=AQ$208)*$E$159:$E$166)</f>
        <v/>
      </c>
      <c r="AR218" s="42">
        <f>SUMPRODUCT((YEAR($H$159:$H$166)=AR$208)*$E$159:$E$166)</f>
        <v/>
      </c>
      <c r="AS218" s="42">
        <f>SUMPRODUCT((YEAR($H$159:$H$166)=AS$208)*$E$159:$E$166)</f>
        <v/>
      </c>
      <c r="AT218" s="42">
        <f>SUMPRODUCT((YEAR($H$159:$H$166)=AT$208)*$E$159:$E$166)</f>
        <v/>
      </c>
      <c r="AU218" s="42">
        <f>SUMPRODUCT((YEAR($H$159:$H$166)=AU$208)*$E$159:$E$166)</f>
        <v/>
      </c>
      <c r="AV218" s="42">
        <f>SUMPRODUCT((YEAR($H$159:$H$166)=AV$208)*$E$159:$E$166)</f>
        <v/>
      </c>
      <c r="AW218" s="42">
        <f>SUMPRODUCT((YEAR($H$159:$H$166)=AW$208)*$E$159:$E$166)</f>
        <v/>
      </c>
      <c r="AX218" s="42">
        <f>SUMPRODUCT((YEAR($H$159:$H$166)=AX$208)*$E$159:$E$166)</f>
        <v/>
      </c>
      <c r="AY218" s="42">
        <f>SUMPRODUCT((YEAR($H$159:$H$166)=AY$208)*$E$159:$E$166)</f>
        <v/>
      </c>
      <c r="AZ218" s="42">
        <f>SUMPRODUCT((YEAR($H$159:$H$166)=AZ$208)*$E$159:$E$166)</f>
        <v/>
      </c>
      <c r="BA218" s="42">
        <f>SUMPRODUCT((YEAR($H$159:$H$166)=BA$208)*$E$159:$E$166)</f>
        <v/>
      </c>
      <c r="BB218" s="42">
        <f>SUMPRODUCT((YEAR($H$159:$H$166)=BB$208)*$E$159:$E$166)</f>
        <v/>
      </c>
      <c r="BC218" s="42">
        <f>SUMPRODUCT((YEAR($H$159:$H$166)=BC$208)*$E$159:$E$166)</f>
        <v/>
      </c>
      <c r="BD218" s="42">
        <f>SUMPRODUCT((YEAR($H$159:$H$166)=BD$208)*$E$159:$E$166)</f>
        <v/>
      </c>
      <c r="BE218" s="42">
        <f>SUMPRODUCT((YEAR($H$159:$H$166)=BE$208)*$E$159:$E$166)</f>
        <v/>
      </c>
      <c r="BF218" s="42">
        <f>SUMPRODUCT((YEAR($H$159:$H$166)=BF$208)*$E$159:$E$166)</f>
        <v/>
      </c>
      <c r="BG218" s="42">
        <f>SUMPRODUCT((YEAR($H$159:$H$166)=BG$208)*$E$159:$E$166)</f>
        <v/>
      </c>
    </row>
    <row r="219">
      <c r="C219" s="31" t="inlineStr">
        <is>
          <t>Performance security released (bid security included)</t>
        </is>
      </c>
      <c r="D219" s="32" t="inlineStr">
        <is>
          <t>EUR k</t>
        </is>
      </c>
      <c r="G219" s="42">
        <f>SUM(X219:BG219)</f>
        <v/>
      </c>
      <c r="X219" s="42">
        <f>($E$72+$E$73)*(X$208=YEAR($E$42))</f>
        <v/>
      </c>
      <c r="Y219" s="42">
        <f>($E$72+$E$73)*(Y$208=YEAR($E$42))</f>
        <v/>
      </c>
      <c r="Z219" s="42">
        <f>($E$72+$E$73)*(Z$208=YEAR($E$42))</f>
        <v/>
      </c>
      <c r="AA219" s="42">
        <f>($E$72+$E$73)*(AA$208=YEAR($E$42))</f>
        <v/>
      </c>
      <c r="AB219" s="42">
        <f>($E$72+$E$73)*(AB$208=YEAR($E$42))</f>
        <v/>
      </c>
      <c r="AC219" s="42">
        <f>($E$72+$E$73)*(AC$208=YEAR($E$42))</f>
        <v/>
      </c>
      <c r="AD219" s="42">
        <f>($E$72+$E$73)*(AD$208=YEAR($E$42))</f>
        <v/>
      </c>
      <c r="AE219" s="42">
        <f>($E$72+$E$73)*(AE$208=YEAR($E$42))</f>
        <v/>
      </c>
      <c r="AF219" s="42">
        <f>($E$72+$E$73)*(AF$208=YEAR($E$42))</f>
        <v/>
      </c>
      <c r="AG219" s="42">
        <f>($E$72+$E$73)*(AG$208=YEAR($E$42))</f>
        <v/>
      </c>
      <c r="AH219" s="42">
        <f>($E$72+$E$73)*(AH$208=YEAR($E$42))</f>
        <v/>
      </c>
      <c r="AI219" s="42">
        <f>($E$72+$E$73)*(AI$208=YEAR($E$42))</f>
        <v/>
      </c>
      <c r="AJ219" s="42">
        <f>($E$72+$E$73)*(AJ$208=YEAR($E$42))</f>
        <v/>
      </c>
      <c r="AK219" s="42">
        <f>($E$72+$E$73)*(AK$208=YEAR($E$42))</f>
        <v/>
      </c>
      <c r="AL219" s="42">
        <f>($E$72+$E$73)*(AL$208=YEAR($E$42))</f>
        <v/>
      </c>
      <c r="AM219" s="42">
        <f>($E$72+$E$73)*(AM$208=YEAR($E$42))</f>
        <v/>
      </c>
      <c r="AN219" s="42">
        <f>($E$72+$E$73)*(AN$208=YEAR($E$42))</f>
        <v/>
      </c>
      <c r="AO219" s="42">
        <f>($E$72+$E$73)*(AO$208=YEAR($E$42))</f>
        <v/>
      </c>
      <c r="AP219" s="42">
        <f>($E$72+$E$73)*(AP$208=YEAR($E$42))</f>
        <v/>
      </c>
      <c r="AQ219" s="42">
        <f>($E$72+$E$73)*(AQ$208=YEAR($E$42))</f>
        <v/>
      </c>
      <c r="AR219" s="42">
        <f>($E$72+$E$73)*(AR$208=YEAR($E$42))</f>
        <v/>
      </c>
      <c r="AS219" s="42">
        <f>($E$72+$E$73)*(AS$208=YEAR($E$42))</f>
        <v/>
      </c>
      <c r="AT219" s="42">
        <f>($E$72+$E$73)*(AT$208=YEAR($E$42))</f>
        <v/>
      </c>
      <c r="AU219" s="42">
        <f>($E$72+$E$73)*(AU$208=YEAR($E$42))</f>
        <v/>
      </c>
      <c r="AV219" s="42">
        <f>($E$72+$E$73)*(AV$208=YEAR($E$42))</f>
        <v/>
      </c>
      <c r="AW219" s="42">
        <f>($E$72+$E$73)*(AW$208=YEAR($E$42))</f>
        <v/>
      </c>
      <c r="AX219" s="42">
        <f>($E$72+$E$73)*(AX$208=YEAR($E$42))</f>
        <v/>
      </c>
      <c r="AY219" s="42">
        <f>($E$72+$E$73)*(AY$208=YEAR($E$42))</f>
        <v/>
      </c>
      <c r="AZ219" s="42">
        <f>($E$72+$E$73)*(AZ$208=YEAR($E$42))</f>
        <v/>
      </c>
      <c r="BA219" s="42">
        <f>($E$72+$E$73)*(BA$208=YEAR($E$42))</f>
        <v/>
      </c>
      <c r="BB219" s="42">
        <f>($E$72+$E$73)*(BB$208=YEAR($E$42))</f>
        <v/>
      </c>
      <c r="BC219" s="42">
        <f>($E$72+$E$73)*(BC$208=YEAR($E$42))</f>
        <v/>
      </c>
      <c r="BD219" s="42">
        <f>($E$72+$E$73)*(BD$208=YEAR($E$42))</f>
        <v/>
      </c>
      <c r="BE219" s="42">
        <f>($E$72+$E$73)*(BE$208=YEAR($E$42))</f>
        <v/>
      </c>
      <c r="BF219" s="42">
        <f>($E$72+$E$73)*(BF$208=YEAR($E$42))</f>
        <v/>
      </c>
      <c r="BG219" s="42">
        <f>($E$72+$E$73)*(BG$208=YEAR($E$42))</f>
        <v/>
      </c>
    </row>
    <row r="220">
      <c r="C220" s="31" t="inlineStr">
        <is>
          <t>Construction capex (straight-line NTP to COD)</t>
        </is>
      </c>
      <c r="D220" s="32" t="inlineStr">
        <is>
          <t>EUR k</t>
        </is>
      </c>
      <c r="G220" s="42">
        <f>SUM(X220:BG220)</f>
        <v/>
      </c>
      <c r="X220" s="42">
        <f>-$E$201*X$212</f>
        <v/>
      </c>
      <c r="Y220" s="42">
        <f>-$E$201*Y$212</f>
        <v/>
      </c>
      <c r="Z220" s="42">
        <f>-$E$201*Z$212</f>
        <v/>
      </c>
      <c r="AA220" s="42">
        <f>-$E$201*AA$212</f>
        <v/>
      </c>
      <c r="AB220" s="42">
        <f>-$E$201*AB$212</f>
        <v/>
      </c>
      <c r="AC220" s="42">
        <f>-$E$201*AC$212</f>
        <v/>
      </c>
      <c r="AD220" s="42">
        <f>-$E$201*AD$212</f>
        <v/>
      </c>
      <c r="AE220" s="42">
        <f>-$E$201*AE$212</f>
        <v/>
      </c>
      <c r="AF220" s="42">
        <f>-$E$201*AF$212</f>
        <v/>
      </c>
      <c r="AG220" s="42">
        <f>-$E$201*AG$212</f>
        <v/>
      </c>
      <c r="AH220" s="42">
        <f>-$E$201*AH$212</f>
        <v/>
      </c>
      <c r="AI220" s="42">
        <f>-$E$201*AI$212</f>
        <v/>
      </c>
      <c r="AJ220" s="42">
        <f>-$E$201*AJ$212</f>
        <v/>
      </c>
      <c r="AK220" s="42">
        <f>-$E$201*AK$212</f>
        <v/>
      </c>
      <c r="AL220" s="42">
        <f>-$E$201*AL$212</f>
        <v/>
      </c>
      <c r="AM220" s="42">
        <f>-$E$201*AM$212</f>
        <v/>
      </c>
      <c r="AN220" s="42">
        <f>-$E$201*AN$212</f>
        <v/>
      </c>
      <c r="AO220" s="42">
        <f>-$E$201*AO$212</f>
        <v/>
      </c>
      <c r="AP220" s="42">
        <f>-$E$201*AP$212</f>
        <v/>
      </c>
      <c r="AQ220" s="42">
        <f>-$E$201*AQ$212</f>
        <v/>
      </c>
      <c r="AR220" s="42">
        <f>-$E$201*AR$212</f>
        <v/>
      </c>
      <c r="AS220" s="42">
        <f>-$E$201*AS$212</f>
        <v/>
      </c>
      <c r="AT220" s="42">
        <f>-$E$201*AT$212</f>
        <v/>
      </c>
      <c r="AU220" s="42">
        <f>-$E$201*AU$212</f>
        <v/>
      </c>
      <c r="AV220" s="42">
        <f>-$E$201*AV$212</f>
        <v/>
      </c>
      <c r="AW220" s="42">
        <f>-$E$201*AW$212</f>
        <v/>
      </c>
      <c r="AX220" s="42">
        <f>-$E$201*AX$212</f>
        <v/>
      </c>
      <c r="AY220" s="42">
        <f>-$E$201*AY$212</f>
        <v/>
      </c>
      <c r="AZ220" s="42">
        <f>-$E$201*AZ$212</f>
        <v/>
      </c>
      <c r="BA220" s="42">
        <f>-$E$201*BA$212</f>
        <v/>
      </c>
      <c r="BB220" s="42">
        <f>-$E$201*BB$212</f>
        <v/>
      </c>
      <c r="BC220" s="42">
        <f>-$E$201*BC$212</f>
        <v/>
      </c>
      <c r="BD220" s="42">
        <f>-$E$201*BD$212</f>
        <v/>
      </c>
      <c r="BE220" s="42">
        <f>-$E$201*BE$212</f>
        <v/>
      </c>
      <c r="BF220" s="42">
        <f>-$E$201*BF$212</f>
        <v/>
      </c>
      <c r="BG220" s="42">
        <f>-$E$201*BG$212</f>
        <v/>
      </c>
    </row>
    <row r="221">
      <c r="C221" s="31" t="inlineStr">
        <is>
          <t>Municipal one-off at COD</t>
        </is>
      </c>
      <c r="D221" s="32" t="inlineStr">
        <is>
          <t>EUR k</t>
        </is>
      </c>
      <c r="G221" s="42">
        <f>SUM(X221:BG221)</f>
        <v/>
      </c>
      <c r="X221" s="42">
        <f>-$E$203*X$215</f>
        <v/>
      </c>
      <c r="Y221" s="42">
        <f>-$E$203*Y$215</f>
        <v/>
      </c>
      <c r="Z221" s="42">
        <f>-$E$203*Z$215</f>
        <v/>
      </c>
      <c r="AA221" s="42">
        <f>-$E$203*AA$215</f>
        <v/>
      </c>
      <c r="AB221" s="42">
        <f>-$E$203*AB$215</f>
        <v/>
      </c>
      <c r="AC221" s="42">
        <f>-$E$203*AC$215</f>
        <v/>
      </c>
      <c r="AD221" s="42">
        <f>-$E$203*AD$215</f>
        <v/>
      </c>
      <c r="AE221" s="42">
        <f>-$E$203*AE$215</f>
        <v/>
      </c>
      <c r="AF221" s="42">
        <f>-$E$203*AF$215</f>
        <v/>
      </c>
      <c r="AG221" s="42">
        <f>-$E$203*AG$215</f>
        <v/>
      </c>
      <c r="AH221" s="42">
        <f>-$E$203*AH$215</f>
        <v/>
      </c>
      <c r="AI221" s="42">
        <f>-$E$203*AI$215</f>
        <v/>
      </c>
      <c r="AJ221" s="42">
        <f>-$E$203*AJ$215</f>
        <v/>
      </c>
      <c r="AK221" s="42">
        <f>-$E$203*AK$215</f>
        <v/>
      </c>
      <c r="AL221" s="42">
        <f>-$E$203*AL$215</f>
        <v/>
      </c>
      <c r="AM221" s="42">
        <f>-$E$203*AM$215</f>
        <v/>
      </c>
      <c r="AN221" s="42">
        <f>-$E$203*AN$215</f>
        <v/>
      </c>
      <c r="AO221" s="42">
        <f>-$E$203*AO$215</f>
        <v/>
      </c>
      <c r="AP221" s="42">
        <f>-$E$203*AP$215</f>
        <v/>
      </c>
      <c r="AQ221" s="42">
        <f>-$E$203*AQ$215</f>
        <v/>
      </c>
      <c r="AR221" s="42">
        <f>-$E$203*AR$215</f>
        <v/>
      </c>
      <c r="AS221" s="42">
        <f>-$E$203*AS$215</f>
        <v/>
      </c>
      <c r="AT221" s="42">
        <f>-$E$203*AT$215</f>
        <v/>
      </c>
      <c r="AU221" s="42">
        <f>-$E$203*AU$215</f>
        <v/>
      </c>
      <c r="AV221" s="42">
        <f>-$E$203*AV$215</f>
        <v/>
      </c>
      <c r="AW221" s="42">
        <f>-$E$203*AW$215</f>
        <v/>
      </c>
      <c r="AX221" s="42">
        <f>-$E$203*AX$215</f>
        <v/>
      </c>
      <c r="AY221" s="42">
        <f>-$E$203*AY$215</f>
        <v/>
      </c>
      <c r="AZ221" s="42">
        <f>-$E$203*AZ$215</f>
        <v/>
      </c>
      <c r="BA221" s="42">
        <f>-$E$203*BA$215</f>
        <v/>
      </c>
      <c r="BB221" s="42">
        <f>-$E$203*BB$215</f>
        <v/>
      </c>
      <c r="BC221" s="42">
        <f>-$E$203*BC$215</f>
        <v/>
      </c>
      <c r="BD221" s="42">
        <f>-$E$203*BD$215</f>
        <v/>
      </c>
      <c r="BE221" s="42">
        <f>-$E$203*BE$215</f>
        <v/>
      </c>
      <c r="BF221" s="42">
        <f>-$E$203*BF$215</f>
        <v/>
      </c>
      <c r="BG221" s="42">
        <f>-$E$203*BG$215</f>
        <v/>
      </c>
    </row>
    <row r="222">
      <c r="C222" s="46" t="inlineStr">
        <is>
          <t>Investment cash flow</t>
        </is>
      </c>
      <c r="D222" s="32" t="inlineStr">
        <is>
          <t>EUR k</t>
        </is>
      </c>
      <c r="G222" s="48">
        <f>SUM(X222:BG222)</f>
        <v/>
      </c>
      <c r="X222" s="48">
        <f>SUM(X218:X221)</f>
        <v/>
      </c>
      <c r="Y222" s="48">
        <f>SUM(Y218:Y221)</f>
        <v/>
      </c>
      <c r="Z222" s="48">
        <f>SUM(Z218:Z221)</f>
        <v/>
      </c>
      <c r="AA222" s="48">
        <f>SUM(AA218:AA221)</f>
        <v/>
      </c>
      <c r="AB222" s="48">
        <f>SUM(AB218:AB221)</f>
        <v/>
      </c>
      <c r="AC222" s="48">
        <f>SUM(AC218:AC221)</f>
        <v/>
      </c>
      <c r="AD222" s="48">
        <f>SUM(AD218:AD221)</f>
        <v/>
      </c>
      <c r="AE222" s="48">
        <f>SUM(AE218:AE221)</f>
        <v/>
      </c>
      <c r="AF222" s="48">
        <f>SUM(AF218:AF221)</f>
        <v/>
      </c>
      <c r="AG222" s="48">
        <f>SUM(AG218:AG221)</f>
        <v/>
      </c>
      <c r="AH222" s="48">
        <f>SUM(AH218:AH221)</f>
        <v/>
      </c>
      <c r="AI222" s="48">
        <f>SUM(AI218:AI221)</f>
        <v/>
      </c>
      <c r="AJ222" s="48">
        <f>SUM(AJ218:AJ221)</f>
        <v/>
      </c>
      <c r="AK222" s="48">
        <f>SUM(AK218:AK221)</f>
        <v/>
      </c>
      <c r="AL222" s="48">
        <f>SUM(AL218:AL221)</f>
        <v/>
      </c>
      <c r="AM222" s="48">
        <f>SUM(AM218:AM221)</f>
        <v/>
      </c>
      <c r="AN222" s="48">
        <f>SUM(AN218:AN221)</f>
        <v/>
      </c>
      <c r="AO222" s="48">
        <f>SUM(AO218:AO221)</f>
        <v/>
      </c>
      <c r="AP222" s="48">
        <f>SUM(AP218:AP221)</f>
        <v/>
      </c>
      <c r="AQ222" s="48">
        <f>SUM(AQ218:AQ221)</f>
        <v/>
      </c>
      <c r="AR222" s="48">
        <f>SUM(AR218:AR221)</f>
        <v/>
      </c>
      <c r="AS222" s="48">
        <f>SUM(AS218:AS221)</f>
        <v/>
      </c>
      <c r="AT222" s="48">
        <f>SUM(AT218:AT221)</f>
        <v/>
      </c>
      <c r="AU222" s="48">
        <f>SUM(AU218:AU221)</f>
        <v/>
      </c>
      <c r="AV222" s="48">
        <f>SUM(AV218:AV221)</f>
        <v/>
      </c>
      <c r="AW222" s="48">
        <f>SUM(AW218:AW221)</f>
        <v/>
      </c>
      <c r="AX222" s="48">
        <f>SUM(AX218:AX221)</f>
        <v/>
      </c>
      <c r="AY222" s="48">
        <f>SUM(AY218:AY221)</f>
        <v/>
      </c>
      <c r="AZ222" s="48">
        <f>SUM(AZ218:AZ221)</f>
        <v/>
      </c>
      <c r="BA222" s="48">
        <f>SUM(BA218:BA221)</f>
        <v/>
      </c>
      <c r="BB222" s="48">
        <f>SUM(BB218:BB221)</f>
        <v/>
      </c>
      <c r="BC222" s="48">
        <f>SUM(BC218:BC221)</f>
        <v/>
      </c>
      <c r="BD222" s="48">
        <f>SUM(BD218:BD221)</f>
        <v/>
      </c>
      <c r="BE222" s="48">
        <f>SUM(BE218:BE221)</f>
        <v/>
      </c>
      <c r="BF222" s="48">
        <f>SUM(BF218:BF221)</f>
        <v/>
      </c>
      <c r="BG222" s="48">
        <f>SUM(BG218:BG221)</f>
        <v/>
      </c>
    </row>
    <row r="223">
      <c r="C223" s="31" t="inlineStr">
        <is>
          <t>Degradation factor (from the first full year)</t>
        </is>
      </c>
      <c r="D223" s="32" t="inlineStr">
        <is>
          <t>x</t>
        </is>
      </c>
      <c r="X223" s="54">
        <f>(1-$E$116)^MAX(X$210-1,0)</f>
        <v/>
      </c>
      <c r="Y223" s="54">
        <f>(1-$E$116)^MAX(Y$210-1,0)</f>
        <v/>
      </c>
      <c r="Z223" s="54">
        <f>(1-$E$116)^MAX(Z$210-1,0)</f>
        <v/>
      </c>
      <c r="AA223" s="54">
        <f>(1-$E$116)^MAX(AA$210-1,0)</f>
        <v/>
      </c>
      <c r="AB223" s="54">
        <f>(1-$E$116)^MAX(AB$210-1,0)</f>
        <v/>
      </c>
      <c r="AC223" s="54">
        <f>(1-$E$116)^MAX(AC$210-1,0)</f>
        <v/>
      </c>
      <c r="AD223" s="54">
        <f>(1-$E$116)^MAX(AD$210-1,0)</f>
        <v/>
      </c>
      <c r="AE223" s="54">
        <f>(1-$E$116)^MAX(AE$210-1,0)</f>
        <v/>
      </c>
      <c r="AF223" s="54">
        <f>(1-$E$116)^MAX(AF$210-1,0)</f>
        <v/>
      </c>
      <c r="AG223" s="54">
        <f>(1-$E$116)^MAX(AG$210-1,0)</f>
        <v/>
      </c>
      <c r="AH223" s="54">
        <f>(1-$E$116)^MAX(AH$210-1,0)</f>
        <v/>
      </c>
      <c r="AI223" s="54">
        <f>(1-$E$116)^MAX(AI$210-1,0)</f>
        <v/>
      </c>
      <c r="AJ223" s="54">
        <f>(1-$E$116)^MAX(AJ$210-1,0)</f>
        <v/>
      </c>
      <c r="AK223" s="54">
        <f>(1-$E$116)^MAX(AK$210-1,0)</f>
        <v/>
      </c>
      <c r="AL223" s="54">
        <f>(1-$E$116)^MAX(AL$210-1,0)</f>
        <v/>
      </c>
      <c r="AM223" s="54">
        <f>(1-$E$116)^MAX(AM$210-1,0)</f>
        <v/>
      </c>
      <c r="AN223" s="54">
        <f>(1-$E$116)^MAX(AN$210-1,0)</f>
        <v/>
      </c>
      <c r="AO223" s="54">
        <f>(1-$E$116)^MAX(AO$210-1,0)</f>
        <v/>
      </c>
      <c r="AP223" s="54">
        <f>(1-$E$116)^MAX(AP$210-1,0)</f>
        <v/>
      </c>
      <c r="AQ223" s="54">
        <f>(1-$E$116)^MAX(AQ$210-1,0)</f>
        <v/>
      </c>
      <c r="AR223" s="54">
        <f>(1-$E$116)^MAX(AR$210-1,0)</f>
        <v/>
      </c>
      <c r="AS223" s="54">
        <f>(1-$E$116)^MAX(AS$210-1,0)</f>
        <v/>
      </c>
      <c r="AT223" s="54">
        <f>(1-$E$116)^MAX(AT$210-1,0)</f>
        <v/>
      </c>
      <c r="AU223" s="54">
        <f>(1-$E$116)^MAX(AU$210-1,0)</f>
        <v/>
      </c>
      <c r="AV223" s="54">
        <f>(1-$E$116)^MAX(AV$210-1,0)</f>
        <v/>
      </c>
      <c r="AW223" s="54">
        <f>(1-$E$116)^MAX(AW$210-1,0)</f>
        <v/>
      </c>
      <c r="AX223" s="54">
        <f>(1-$E$116)^MAX(AX$210-1,0)</f>
        <v/>
      </c>
      <c r="AY223" s="54">
        <f>(1-$E$116)^MAX(AY$210-1,0)</f>
        <v/>
      </c>
      <c r="AZ223" s="54">
        <f>(1-$E$116)^MAX(AZ$210-1,0)</f>
        <v/>
      </c>
      <c r="BA223" s="54">
        <f>(1-$E$116)^MAX(BA$210-1,0)</f>
        <v/>
      </c>
      <c r="BB223" s="54">
        <f>(1-$E$116)^MAX(BB$210-1,0)</f>
        <v/>
      </c>
      <c r="BC223" s="54">
        <f>(1-$E$116)^MAX(BC$210-1,0)</f>
        <v/>
      </c>
      <c r="BD223" s="54">
        <f>(1-$E$116)^MAX(BD$210-1,0)</f>
        <v/>
      </c>
      <c r="BE223" s="54">
        <f>(1-$E$116)^MAX(BE$210-1,0)</f>
        <v/>
      </c>
      <c r="BF223" s="54">
        <f>(1-$E$116)^MAX(BF$210-1,0)</f>
        <v/>
      </c>
      <c r="BG223" s="54">
        <f>(1-$E$116)^MAX(BG$210-1,0)</f>
        <v/>
      </c>
    </row>
    <row r="224">
      <c r="C224" s="31" t="inlineStr">
        <is>
          <t>Net generation</t>
        </is>
      </c>
      <c r="D224" s="32" t="inlineStr">
        <is>
          <t>GWh</t>
        </is>
      </c>
      <c r="G224" s="49">
        <f>SUM(X224:BG224)</f>
        <v/>
      </c>
      <c r="X224" s="49">
        <f>$E$190*$E$113*(1-$E$114)*(1-$E$115)*X$214*X223/Thousand</f>
        <v/>
      </c>
      <c r="Y224" s="49">
        <f>$E$190*$E$113*(1-$E$114)*(1-$E$115)*Y$214*Y223/Thousand</f>
        <v/>
      </c>
      <c r="Z224" s="49">
        <f>$E$190*$E$113*(1-$E$114)*(1-$E$115)*Z$214*Z223/Thousand</f>
        <v/>
      </c>
      <c r="AA224" s="49">
        <f>$E$190*$E$113*(1-$E$114)*(1-$E$115)*AA$214*AA223/Thousand</f>
        <v/>
      </c>
      <c r="AB224" s="49">
        <f>$E$190*$E$113*(1-$E$114)*(1-$E$115)*AB$214*AB223/Thousand</f>
        <v/>
      </c>
      <c r="AC224" s="49">
        <f>$E$190*$E$113*(1-$E$114)*(1-$E$115)*AC$214*AC223/Thousand</f>
        <v/>
      </c>
      <c r="AD224" s="49">
        <f>$E$190*$E$113*(1-$E$114)*(1-$E$115)*AD$214*AD223/Thousand</f>
        <v/>
      </c>
      <c r="AE224" s="49">
        <f>$E$190*$E$113*(1-$E$114)*(1-$E$115)*AE$214*AE223/Thousand</f>
        <v/>
      </c>
      <c r="AF224" s="49">
        <f>$E$190*$E$113*(1-$E$114)*(1-$E$115)*AF$214*AF223/Thousand</f>
        <v/>
      </c>
      <c r="AG224" s="49">
        <f>$E$190*$E$113*(1-$E$114)*(1-$E$115)*AG$214*AG223/Thousand</f>
        <v/>
      </c>
      <c r="AH224" s="49">
        <f>$E$190*$E$113*(1-$E$114)*(1-$E$115)*AH$214*AH223/Thousand</f>
        <v/>
      </c>
      <c r="AI224" s="49">
        <f>$E$190*$E$113*(1-$E$114)*(1-$E$115)*AI$214*AI223/Thousand</f>
        <v/>
      </c>
      <c r="AJ224" s="49">
        <f>$E$190*$E$113*(1-$E$114)*(1-$E$115)*AJ$214*AJ223/Thousand</f>
        <v/>
      </c>
      <c r="AK224" s="49">
        <f>$E$190*$E$113*(1-$E$114)*(1-$E$115)*AK$214*AK223/Thousand</f>
        <v/>
      </c>
      <c r="AL224" s="49">
        <f>$E$190*$E$113*(1-$E$114)*(1-$E$115)*AL$214*AL223/Thousand</f>
        <v/>
      </c>
      <c r="AM224" s="49">
        <f>$E$190*$E$113*(1-$E$114)*(1-$E$115)*AM$214*AM223/Thousand</f>
        <v/>
      </c>
      <c r="AN224" s="49">
        <f>$E$190*$E$113*(1-$E$114)*(1-$E$115)*AN$214*AN223/Thousand</f>
        <v/>
      </c>
      <c r="AO224" s="49">
        <f>$E$190*$E$113*(1-$E$114)*(1-$E$115)*AO$214*AO223/Thousand</f>
        <v/>
      </c>
      <c r="AP224" s="49">
        <f>$E$190*$E$113*(1-$E$114)*(1-$E$115)*AP$214*AP223/Thousand</f>
        <v/>
      </c>
      <c r="AQ224" s="49">
        <f>$E$190*$E$113*(1-$E$114)*(1-$E$115)*AQ$214*AQ223/Thousand</f>
        <v/>
      </c>
      <c r="AR224" s="49">
        <f>$E$190*$E$113*(1-$E$114)*(1-$E$115)*AR$214*AR223/Thousand</f>
        <v/>
      </c>
      <c r="AS224" s="49">
        <f>$E$190*$E$113*(1-$E$114)*(1-$E$115)*AS$214*AS223/Thousand</f>
        <v/>
      </c>
      <c r="AT224" s="49">
        <f>$E$190*$E$113*(1-$E$114)*(1-$E$115)*AT$214*AT223/Thousand</f>
        <v/>
      </c>
      <c r="AU224" s="49">
        <f>$E$190*$E$113*(1-$E$114)*(1-$E$115)*AU$214*AU223/Thousand</f>
        <v/>
      </c>
      <c r="AV224" s="49">
        <f>$E$190*$E$113*(1-$E$114)*(1-$E$115)*AV$214*AV223/Thousand</f>
        <v/>
      </c>
      <c r="AW224" s="49">
        <f>$E$190*$E$113*(1-$E$114)*(1-$E$115)*AW$214*AW223/Thousand</f>
        <v/>
      </c>
      <c r="AX224" s="49">
        <f>$E$190*$E$113*(1-$E$114)*(1-$E$115)*AX$214*AX223/Thousand</f>
        <v/>
      </c>
      <c r="AY224" s="49">
        <f>$E$190*$E$113*(1-$E$114)*(1-$E$115)*AY$214*AY223/Thousand</f>
        <v/>
      </c>
      <c r="AZ224" s="49">
        <f>$E$190*$E$113*(1-$E$114)*(1-$E$115)*AZ$214*AZ223/Thousand</f>
        <v/>
      </c>
      <c r="BA224" s="49">
        <f>$E$190*$E$113*(1-$E$114)*(1-$E$115)*BA$214*BA223/Thousand</f>
        <v/>
      </c>
      <c r="BB224" s="49">
        <f>$E$190*$E$113*(1-$E$114)*(1-$E$115)*BB$214*BB223/Thousand</f>
        <v/>
      </c>
      <c r="BC224" s="49">
        <f>$E$190*$E$113*(1-$E$114)*(1-$E$115)*BC$214*BC223/Thousand</f>
        <v/>
      </c>
      <c r="BD224" s="49">
        <f>$E$190*$E$113*(1-$E$114)*(1-$E$115)*BD$214*BD223/Thousand</f>
        <v/>
      </c>
      <c r="BE224" s="49">
        <f>$E$190*$E$113*(1-$E$114)*(1-$E$115)*BE$214*BE223/Thousand</f>
        <v/>
      </c>
      <c r="BF224" s="49">
        <f>$E$190*$E$113*(1-$E$114)*(1-$E$115)*BF$214*BF223/Thousand</f>
        <v/>
      </c>
      <c r="BG224" s="49">
        <f>$E$190*$E$113*(1-$E$114)*(1-$E$115)*BG$214*BG223/Thousand</f>
        <v/>
      </c>
    </row>
    <row r="225">
      <c r="C225" s="31" t="inlineStr">
        <is>
          <t>PPA price</t>
        </is>
      </c>
      <c r="D225" s="32" t="inlineStr">
        <is>
          <t>EUR/MWh</t>
        </is>
      </c>
      <c r="X225" s="49">
        <f>$E$117*(1+$E$118)^X$210*(X$214&gt;0)</f>
        <v/>
      </c>
      <c r="Y225" s="49">
        <f>$E$117*(1+$E$118)^Y$210*(Y$214&gt;0)</f>
        <v/>
      </c>
      <c r="Z225" s="49">
        <f>$E$117*(1+$E$118)^Z$210*(Z$214&gt;0)</f>
        <v/>
      </c>
      <c r="AA225" s="49">
        <f>$E$117*(1+$E$118)^AA$210*(AA$214&gt;0)</f>
        <v/>
      </c>
      <c r="AB225" s="49">
        <f>$E$117*(1+$E$118)^AB$210*(AB$214&gt;0)</f>
        <v/>
      </c>
      <c r="AC225" s="49">
        <f>$E$117*(1+$E$118)^AC$210*(AC$214&gt;0)</f>
        <v/>
      </c>
      <c r="AD225" s="49">
        <f>$E$117*(1+$E$118)^AD$210*(AD$214&gt;0)</f>
        <v/>
      </c>
      <c r="AE225" s="49">
        <f>$E$117*(1+$E$118)^AE$210*(AE$214&gt;0)</f>
        <v/>
      </c>
      <c r="AF225" s="49">
        <f>$E$117*(1+$E$118)^AF$210*(AF$214&gt;0)</f>
        <v/>
      </c>
      <c r="AG225" s="49">
        <f>$E$117*(1+$E$118)^AG$210*(AG$214&gt;0)</f>
        <v/>
      </c>
      <c r="AH225" s="49">
        <f>$E$117*(1+$E$118)^AH$210*(AH$214&gt;0)</f>
        <v/>
      </c>
      <c r="AI225" s="49">
        <f>$E$117*(1+$E$118)^AI$210*(AI$214&gt;0)</f>
        <v/>
      </c>
      <c r="AJ225" s="49">
        <f>$E$117*(1+$E$118)^AJ$210*(AJ$214&gt;0)</f>
        <v/>
      </c>
      <c r="AK225" s="49">
        <f>$E$117*(1+$E$118)^AK$210*(AK$214&gt;0)</f>
        <v/>
      </c>
      <c r="AL225" s="49">
        <f>$E$117*(1+$E$118)^AL$210*(AL$214&gt;0)</f>
        <v/>
      </c>
      <c r="AM225" s="49">
        <f>$E$117*(1+$E$118)^AM$210*(AM$214&gt;0)</f>
        <v/>
      </c>
      <c r="AN225" s="49">
        <f>$E$117*(1+$E$118)^AN$210*(AN$214&gt;0)</f>
        <v/>
      </c>
      <c r="AO225" s="49">
        <f>$E$117*(1+$E$118)^AO$210*(AO$214&gt;0)</f>
        <v/>
      </c>
      <c r="AP225" s="49">
        <f>$E$117*(1+$E$118)^AP$210*(AP$214&gt;0)</f>
        <v/>
      </c>
      <c r="AQ225" s="49">
        <f>$E$117*(1+$E$118)^AQ$210*(AQ$214&gt;0)</f>
        <v/>
      </c>
      <c r="AR225" s="49">
        <f>$E$117*(1+$E$118)^AR$210*(AR$214&gt;0)</f>
        <v/>
      </c>
      <c r="AS225" s="49">
        <f>$E$117*(1+$E$118)^AS$210*(AS$214&gt;0)</f>
        <v/>
      </c>
      <c r="AT225" s="49">
        <f>$E$117*(1+$E$118)^AT$210*(AT$214&gt;0)</f>
        <v/>
      </c>
      <c r="AU225" s="49">
        <f>$E$117*(1+$E$118)^AU$210*(AU$214&gt;0)</f>
        <v/>
      </c>
      <c r="AV225" s="49">
        <f>$E$117*(1+$E$118)^AV$210*(AV$214&gt;0)</f>
        <v/>
      </c>
      <c r="AW225" s="49">
        <f>$E$117*(1+$E$118)^AW$210*(AW$214&gt;0)</f>
        <v/>
      </c>
      <c r="AX225" s="49">
        <f>$E$117*(1+$E$118)^AX$210*(AX$214&gt;0)</f>
        <v/>
      </c>
      <c r="AY225" s="49">
        <f>$E$117*(1+$E$118)^AY$210*(AY$214&gt;0)</f>
        <v/>
      </c>
      <c r="AZ225" s="49">
        <f>$E$117*(1+$E$118)^AZ$210*(AZ$214&gt;0)</f>
        <v/>
      </c>
      <c r="BA225" s="49">
        <f>$E$117*(1+$E$118)^BA$210*(BA$214&gt;0)</f>
        <v/>
      </c>
      <c r="BB225" s="49">
        <f>$E$117*(1+$E$118)^BB$210*(BB$214&gt;0)</f>
        <v/>
      </c>
      <c r="BC225" s="49">
        <f>$E$117*(1+$E$118)^BC$210*(BC$214&gt;0)</f>
        <v/>
      </c>
      <c r="BD225" s="49">
        <f>$E$117*(1+$E$118)^BD$210*(BD$214&gt;0)</f>
        <v/>
      </c>
      <c r="BE225" s="49">
        <f>$E$117*(1+$E$118)^BE$210*(BE$214&gt;0)</f>
        <v/>
      </c>
      <c r="BF225" s="49">
        <f>$E$117*(1+$E$118)^BF$210*(BF$214&gt;0)</f>
        <v/>
      </c>
      <c r="BG225" s="49">
        <f>$E$117*(1+$E$118)^BG$210*(BG$214&gt;0)</f>
        <v/>
      </c>
    </row>
    <row r="226">
      <c r="C226" s="46" t="inlineStr">
        <is>
          <t>Revenue</t>
        </is>
      </c>
      <c r="D226" s="32" t="inlineStr">
        <is>
          <t>EUR k</t>
        </is>
      </c>
      <c r="G226" s="47">
        <f>SUM(X226:BG226)</f>
        <v/>
      </c>
      <c r="X226" s="47">
        <f>X224*X225</f>
        <v/>
      </c>
      <c r="Y226" s="47">
        <f>Y224*Y225</f>
        <v/>
      </c>
      <c r="Z226" s="47">
        <f>Z224*Z225</f>
        <v/>
      </c>
      <c r="AA226" s="47">
        <f>AA224*AA225</f>
        <v/>
      </c>
      <c r="AB226" s="47">
        <f>AB224*AB225</f>
        <v/>
      </c>
      <c r="AC226" s="47">
        <f>AC224*AC225</f>
        <v/>
      </c>
      <c r="AD226" s="47">
        <f>AD224*AD225</f>
        <v/>
      </c>
      <c r="AE226" s="47">
        <f>AE224*AE225</f>
        <v/>
      </c>
      <c r="AF226" s="47">
        <f>AF224*AF225</f>
        <v/>
      </c>
      <c r="AG226" s="47">
        <f>AG224*AG225</f>
        <v/>
      </c>
      <c r="AH226" s="47">
        <f>AH224*AH225</f>
        <v/>
      </c>
      <c r="AI226" s="47">
        <f>AI224*AI225</f>
        <v/>
      </c>
      <c r="AJ226" s="47">
        <f>AJ224*AJ225</f>
        <v/>
      </c>
      <c r="AK226" s="47">
        <f>AK224*AK225</f>
        <v/>
      </c>
      <c r="AL226" s="47">
        <f>AL224*AL225</f>
        <v/>
      </c>
      <c r="AM226" s="47">
        <f>AM224*AM225</f>
        <v/>
      </c>
      <c r="AN226" s="47">
        <f>AN224*AN225</f>
        <v/>
      </c>
      <c r="AO226" s="47">
        <f>AO224*AO225</f>
        <v/>
      </c>
      <c r="AP226" s="47">
        <f>AP224*AP225</f>
        <v/>
      </c>
      <c r="AQ226" s="47">
        <f>AQ224*AQ225</f>
        <v/>
      </c>
      <c r="AR226" s="47">
        <f>AR224*AR225</f>
        <v/>
      </c>
      <c r="AS226" s="47">
        <f>AS224*AS225</f>
        <v/>
      </c>
      <c r="AT226" s="47">
        <f>AT224*AT225</f>
        <v/>
      </c>
      <c r="AU226" s="47">
        <f>AU224*AU225</f>
        <v/>
      </c>
      <c r="AV226" s="47">
        <f>AV224*AV225</f>
        <v/>
      </c>
      <c r="AW226" s="47">
        <f>AW224*AW225</f>
        <v/>
      </c>
      <c r="AX226" s="47">
        <f>AX224*AX225</f>
        <v/>
      </c>
      <c r="AY226" s="47">
        <f>AY224*AY225</f>
        <v/>
      </c>
      <c r="AZ226" s="47">
        <f>AZ224*AZ225</f>
        <v/>
      </c>
      <c r="BA226" s="47">
        <f>BA224*BA225</f>
        <v/>
      </c>
      <c r="BB226" s="47">
        <f>BB224*BB225</f>
        <v/>
      </c>
      <c r="BC226" s="47">
        <f>BC224*BC225</f>
        <v/>
      </c>
      <c r="BD226" s="47">
        <f>BD224*BD225</f>
        <v/>
      </c>
      <c r="BE226" s="47">
        <f>BE224*BE225</f>
        <v/>
      </c>
      <c r="BF226" s="47">
        <f>BF224*BF225</f>
        <v/>
      </c>
      <c r="BG226" s="47">
        <f>BG224*BG225</f>
        <v/>
      </c>
    </row>
    <row r="227">
      <c r="C227" s="31" t="inlineStr">
        <is>
          <t>Opex index (COD year = 1)</t>
        </is>
      </c>
      <c r="D227" s="32" t="inlineStr">
        <is>
          <t>x</t>
        </is>
      </c>
      <c r="X227" s="54">
        <f>(1+$E$132)^X$210</f>
        <v/>
      </c>
      <c r="Y227" s="54">
        <f>(1+$E$132)^Y$210</f>
        <v/>
      </c>
      <c r="Z227" s="54">
        <f>(1+$E$132)^Z$210</f>
        <v/>
      </c>
      <c r="AA227" s="54">
        <f>(1+$E$132)^AA$210</f>
        <v/>
      </c>
      <c r="AB227" s="54">
        <f>(1+$E$132)^AB$210</f>
        <v/>
      </c>
      <c r="AC227" s="54">
        <f>(1+$E$132)^AC$210</f>
        <v/>
      </c>
      <c r="AD227" s="54">
        <f>(1+$E$132)^AD$210</f>
        <v/>
      </c>
      <c r="AE227" s="54">
        <f>(1+$E$132)^AE$210</f>
        <v/>
      </c>
      <c r="AF227" s="54">
        <f>(1+$E$132)^AF$210</f>
        <v/>
      </c>
      <c r="AG227" s="54">
        <f>(1+$E$132)^AG$210</f>
        <v/>
      </c>
      <c r="AH227" s="54">
        <f>(1+$E$132)^AH$210</f>
        <v/>
      </c>
      <c r="AI227" s="54">
        <f>(1+$E$132)^AI$210</f>
        <v/>
      </c>
      <c r="AJ227" s="54">
        <f>(1+$E$132)^AJ$210</f>
        <v/>
      </c>
      <c r="AK227" s="54">
        <f>(1+$E$132)^AK$210</f>
        <v/>
      </c>
      <c r="AL227" s="54">
        <f>(1+$E$132)^AL$210</f>
        <v/>
      </c>
      <c r="AM227" s="54">
        <f>(1+$E$132)^AM$210</f>
        <v/>
      </c>
      <c r="AN227" s="54">
        <f>(1+$E$132)^AN$210</f>
        <v/>
      </c>
      <c r="AO227" s="54">
        <f>(1+$E$132)^AO$210</f>
        <v/>
      </c>
      <c r="AP227" s="54">
        <f>(1+$E$132)^AP$210</f>
        <v/>
      </c>
      <c r="AQ227" s="54">
        <f>(1+$E$132)^AQ$210</f>
        <v/>
      </c>
      <c r="AR227" s="54">
        <f>(1+$E$132)^AR$210</f>
        <v/>
      </c>
      <c r="AS227" s="54">
        <f>(1+$E$132)^AS$210</f>
        <v/>
      </c>
      <c r="AT227" s="54">
        <f>(1+$E$132)^AT$210</f>
        <v/>
      </c>
      <c r="AU227" s="54">
        <f>(1+$E$132)^AU$210</f>
        <v/>
      </c>
      <c r="AV227" s="54">
        <f>(1+$E$132)^AV$210</f>
        <v/>
      </c>
      <c r="AW227" s="54">
        <f>(1+$E$132)^AW$210</f>
        <v/>
      </c>
      <c r="AX227" s="54">
        <f>(1+$E$132)^AX$210</f>
        <v/>
      </c>
      <c r="AY227" s="54">
        <f>(1+$E$132)^AY$210</f>
        <v/>
      </c>
      <c r="AZ227" s="54">
        <f>(1+$E$132)^AZ$210</f>
        <v/>
      </c>
      <c r="BA227" s="54">
        <f>(1+$E$132)^BA$210</f>
        <v/>
      </c>
      <c r="BB227" s="54">
        <f>(1+$E$132)^BB$210</f>
        <v/>
      </c>
      <c r="BC227" s="54">
        <f>(1+$E$132)^BC$210</f>
        <v/>
      </c>
      <c r="BD227" s="54">
        <f>(1+$E$132)^BD$210</f>
        <v/>
      </c>
      <c r="BE227" s="54">
        <f>(1+$E$132)^BE$210</f>
        <v/>
      </c>
      <c r="BF227" s="54">
        <f>(1+$E$132)^BF$210</f>
        <v/>
      </c>
      <c r="BG227" s="54">
        <f>(1+$E$132)^BG$210</f>
        <v/>
      </c>
    </row>
    <row r="228">
      <c r="C228" s="31" t="inlineStr">
        <is>
          <t>O&amp;M, BoP, lease, insurance, management, property tax</t>
        </is>
      </c>
      <c r="D228" s="32" t="inlineStr">
        <is>
          <t>EUR k</t>
        </is>
      </c>
      <c r="G228" s="42">
        <f>SUM(X228:BG228)</f>
        <v/>
      </c>
      <c r="X228" s="42">
        <f>-SUM($E$120:$E$125)*$E$190*X227*X$214</f>
        <v/>
      </c>
      <c r="Y228" s="42">
        <f>-SUM($E$120:$E$125)*$E$190*Y227*Y$214</f>
        <v/>
      </c>
      <c r="Z228" s="42">
        <f>-SUM($E$120:$E$125)*$E$190*Z227*Z$214</f>
        <v/>
      </c>
      <c r="AA228" s="42">
        <f>-SUM($E$120:$E$125)*$E$190*AA227*AA$214</f>
        <v/>
      </c>
      <c r="AB228" s="42">
        <f>-SUM($E$120:$E$125)*$E$190*AB227*AB$214</f>
        <v/>
      </c>
      <c r="AC228" s="42">
        <f>-SUM($E$120:$E$125)*$E$190*AC227*AC$214</f>
        <v/>
      </c>
      <c r="AD228" s="42">
        <f>-SUM($E$120:$E$125)*$E$190*AD227*AD$214</f>
        <v/>
      </c>
      <c r="AE228" s="42">
        <f>-SUM($E$120:$E$125)*$E$190*AE227*AE$214</f>
        <v/>
      </c>
      <c r="AF228" s="42">
        <f>-SUM($E$120:$E$125)*$E$190*AF227*AF$214</f>
        <v/>
      </c>
      <c r="AG228" s="42">
        <f>-SUM($E$120:$E$125)*$E$190*AG227*AG$214</f>
        <v/>
      </c>
      <c r="AH228" s="42">
        <f>-SUM($E$120:$E$125)*$E$190*AH227*AH$214</f>
        <v/>
      </c>
      <c r="AI228" s="42">
        <f>-SUM($E$120:$E$125)*$E$190*AI227*AI$214</f>
        <v/>
      </c>
      <c r="AJ228" s="42">
        <f>-SUM($E$120:$E$125)*$E$190*AJ227*AJ$214</f>
        <v/>
      </c>
      <c r="AK228" s="42">
        <f>-SUM($E$120:$E$125)*$E$190*AK227*AK$214</f>
        <v/>
      </c>
      <c r="AL228" s="42">
        <f>-SUM($E$120:$E$125)*$E$190*AL227*AL$214</f>
        <v/>
      </c>
      <c r="AM228" s="42">
        <f>-SUM($E$120:$E$125)*$E$190*AM227*AM$214</f>
        <v/>
      </c>
      <c r="AN228" s="42">
        <f>-SUM($E$120:$E$125)*$E$190*AN227*AN$214</f>
        <v/>
      </c>
      <c r="AO228" s="42">
        <f>-SUM($E$120:$E$125)*$E$190*AO227*AO$214</f>
        <v/>
      </c>
      <c r="AP228" s="42">
        <f>-SUM($E$120:$E$125)*$E$190*AP227*AP$214</f>
        <v/>
      </c>
      <c r="AQ228" s="42">
        <f>-SUM($E$120:$E$125)*$E$190*AQ227*AQ$214</f>
        <v/>
      </c>
      <c r="AR228" s="42">
        <f>-SUM($E$120:$E$125)*$E$190*AR227*AR$214</f>
        <v/>
      </c>
      <c r="AS228" s="42">
        <f>-SUM($E$120:$E$125)*$E$190*AS227*AS$214</f>
        <v/>
      </c>
      <c r="AT228" s="42">
        <f>-SUM($E$120:$E$125)*$E$190*AT227*AT$214</f>
        <v/>
      </c>
      <c r="AU228" s="42">
        <f>-SUM($E$120:$E$125)*$E$190*AU227*AU$214</f>
        <v/>
      </c>
      <c r="AV228" s="42">
        <f>-SUM($E$120:$E$125)*$E$190*AV227*AV$214</f>
        <v/>
      </c>
      <c r="AW228" s="42">
        <f>-SUM($E$120:$E$125)*$E$190*AW227*AW$214</f>
        <v/>
      </c>
      <c r="AX228" s="42">
        <f>-SUM($E$120:$E$125)*$E$190*AX227*AX$214</f>
        <v/>
      </c>
      <c r="AY228" s="42">
        <f>-SUM($E$120:$E$125)*$E$190*AY227*AY$214</f>
        <v/>
      </c>
      <c r="AZ228" s="42">
        <f>-SUM($E$120:$E$125)*$E$190*AZ227*AZ$214</f>
        <v/>
      </c>
      <c r="BA228" s="42">
        <f>-SUM($E$120:$E$125)*$E$190*BA227*BA$214</f>
        <v/>
      </c>
      <c r="BB228" s="42">
        <f>-SUM($E$120:$E$125)*$E$190*BB227*BB$214</f>
        <v/>
      </c>
      <c r="BC228" s="42">
        <f>-SUM($E$120:$E$125)*$E$190*BC227*BC$214</f>
        <v/>
      </c>
      <c r="BD228" s="42">
        <f>-SUM($E$120:$E$125)*$E$190*BD227*BD$214</f>
        <v/>
      </c>
      <c r="BE228" s="42">
        <f>-SUM($E$120:$E$125)*$E$190*BE227*BE$214</f>
        <v/>
      </c>
      <c r="BF228" s="42">
        <f>-SUM($E$120:$E$125)*$E$190*BF227*BF$214</f>
        <v/>
      </c>
      <c r="BG228" s="42">
        <f>-SUM($E$120:$E$125)*$E$190*BG227*BG$214</f>
        <v/>
      </c>
    </row>
    <row r="229">
      <c r="C229" s="31" t="inlineStr">
        <is>
          <t>Administration, audit, compliance</t>
        </is>
      </c>
      <c r="D229" s="32" t="inlineStr">
        <is>
          <t>EUR k</t>
        </is>
      </c>
      <c r="G229" s="42">
        <f>SUM(X229:BG229)</f>
        <v/>
      </c>
      <c r="X229" s="42">
        <f>-$E$126*$E$5/$E$109*X227*X$214</f>
        <v/>
      </c>
      <c r="Y229" s="42">
        <f>-$E$126*$E$5/$E$109*Y227*Y$214</f>
        <v/>
      </c>
      <c r="Z229" s="42">
        <f>-$E$126*$E$5/$E$109*Z227*Z$214</f>
        <v/>
      </c>
      <c r="AA229" s="42">
        <f>-$E$126*$E$5/$E$109*AA227*AA$214</f>
        <v/>
      </c>
      <c r="AB229" s="42">
        <f>-$E$126*$E$5/$E$109*AB227*AB$214</f>
        <v/>
      </c>
      <c r="AC229" s="42">
        <f>-$E$126*$E$5/$E$109*AC227*AC$214</f>
        <v/>
      </c>
      <c r="AD229" s="42">
        <f>-$E$126*$E$5/$E$109*AD227*AD$214</f>
        <v/>
      </c>
      <c r="AE229" s="42">
        <f>-$E$126*$E$5/$E$109*AE227*AE$214</f>
        <v/>
      </c>
      <c r="AF229" s="42">
        <f>-$E$126*$E$5/$E$109*AF227*AF$214</f>
        <v/>
      </c>
      <c r="AG229" s="42">
        <f>-$E$126*$E$5/$E$109*AG227*AG$214</f>
        <v/>
      </c>
      <c r="AH229" s="42">
        <f>-$E$126*$E$5/$E$109*AH227*AH$214</f>
        <v/>
      </c>
      <c r="AI229" s="42">
        <f>-$E$126*$E$5/$E$109*AI227*AI$214</f>
        <v/>
      </c>
      <c r="AJ229" s="42">
        <f>-$E$126*$E$5/$E$109*AJ227*AJ$214</f>
        <v/>
      </c>
      <c r="AK229" s="42">
        <f>-$E$126*$E$5/$E$109*AK227*AK$214</f>
        <v/>
      </c>
      <c r="AL229" s="42">
        <f>-$E$126*$E$5/$E$109*AL227*AL$214</f>
        <v/>
      </c>
      <c r="AM229" s="42">
        <f>-$E$126*$E$5/$E$109*AM227*AM$214</f>
        <v/>
      </c>
      <c r="AN229" s="42">
        <f>-$E$126*$E$5/$E$109*AN227*AN$214</f>
        <v/>
      </c>
      <c r="AO229" s="42">
        <f>-$E$126*$E$5/$E$109*AO227*AO$214</f>
        <v/>
      </c>
      <c r="AP229" s="42">
        <f>-$E$126*$E$5/$E$109*AP227*AP$214</f>
        <v/>
      </c>
      <c r="AQ229" s="42">
        <f>-$E$126*$E$5/$E$109*AQ227*AQ$214</f>
        <v/>
      </c>
      <c r="AR229" s="42">
        <f>-$E$126*$E$5/$E$109*AR227*AR$214</f>
        <v/>
      </c>
      <c r="AS229" s="42">
        <f>-$E$126*$E$5/$E$109*AS227*AS$214</f>
        <v/>
      </c>
      <c r="AT229" s="42">
        <f>-$E$126*$E$5/$E$109*AT227*AT$214</f>
        <v/>
      </c>
      <c r="AU229" s="42">
        <f>-$E$126*$E$5/$E$109*AU227*AU$214</f>
        <v/>
      </c>
      <c r="AV229" s="42">
        <f>-$E$126*$E$5/$E$109*AV227*AV$214</f>
        <v/>
      </c>
      <c r="AW229" s="42">
        <f>-$E$126*$E$5/$E$109*AW227*AW$214</f>
        <v/>
      </c>
      <c r="AX229" s="42">
        <f>-$E$126*$E$5/$E$109*AX227*AX$214</f>
        <v/>
      </c>
      <c r="AY229" s="42">
        <f>-$E$126*$E$5/$E$109*AY227*AY$214</f>
        <v/>
      </c>
      <c r="AZ229" s="42">
        <f>-$E$126*$E$5/$E$109*AZ227*AZ$214</f>
        <v/>
      </c>
      <c r="BA229" s="42">
        <f>-$E$126*$E$5/$E$109*BA227*BA$214</f>
        <v/>
      </c>
      <c r="BB229" s="42">
        <f>-$E$126*$E$5/$E$109*BB227*BB$214</f>
        <v/>
      </c>
      <c r="BC229" s="42">
        <f>-$E$126*$E$5/$E$109*BC227*BC$214</f>
        <v/>
      </c>
      <c r="BD229" s="42">
        <f>-$E$126*$E$5/$E$109*BD227*BD$214</f>
        <v/>
      </c>
      <c r="BE229" s="42">
        <f>-$E$126*$E$5/$E$109*BE227*BE$214</f>
        <v/>
      </c>
      <c r="BF229" s="42">
        <f>-$E$126*$E$5/$E$109*BF227*BF$214</f>
        <v/>
      </c>
      <c r="BG229" s="42">
        <f>-$E$126*$E$5/$E$109*BG227*BG$214</f>
        <v/>
      </c>
    </row>
    <row r="230">
      <c r="C230" s="31" t="inlineStr">
        <is>
          <t>Balancing and grid charges</t>
        </is>
      </c>
      <c r="D230" s="32" t="inlineStr">
        <is>
          <t>EUR k</t>
        </is>
      </c>
      <c r="G230" s="42">
        <f>SUM(X230:BG230)</f>
        <v/>
      </c>
      <c r="X230" s="42">
        <f>-X224*($E$127+$E$128)*X227</f>
        <v/>
      </c>
      <c r="Y230" s="42">
        <f>-Y224*($E$127+$E$128)*Y227</f>
        <v/>
      </c>
      <c r="Z230" s="42">
        <f>-Z224*($E$127+$E$128)*Z227</f>
        <v/>
      </c>
      <c r="AA230" s="42">
        <f>-AA224*($E$127+$E$128)*AA227</f>
        <v/>
      </c>
      <c r="AB230" s="42">
        <f>-AB224*($E$127+$E$128)*AB227</f>
        <v/>
      </c>
      <c r="AC230" s="42">
        <f>-AC224*($E$127+$E$128)*AC227</f>
        <v/>
      </c>
      <c r="AD230" s="42">
        <f>-AD224*($E$127+$E$128)*AD227</f>
        <v/>
      </c>
      <c r="AE230" s="42">
        <f>-AE224*($E$127+$E$128)*AE227</f>
        <v/>
      </c>
      <c r="AF230" s="42">
        <f>-AF224*($E$127+$E$128)*AF227</f>
        <v/>
      </c>
      <c r="AG230" s="42">
        <f>-AG224*($E$127+$E$128)*AG227</f>
        <v/>
      </c>
      <c r="AH230" s="42">
        <f>-AH224*($E$127+$E$128)*AH227</f>
        <v/>
      </c>
      <c r="AI230" s="42">
        <f>-AI224*($E$127+$E$128)*AI227</f>
        <v/>
      </c>
      <c r="AJ230" s="42">
        <f>-AJ224*($E$127+$E$128)*AJ227</f>
        <v/>
      </c>
      <c r="AK230" s="42">
        <f>-AK224*($E$127+$E$128)*AK227</f>
        <v/>
      </c>
      <c r="AL230" s="42">
        <f>-AL224*($E$127+$E$128)*AL227</f>
        <v/>
      </c>
      <c r="AM230" s="42">
        <f>-AM224*($E$127+$E$128)*AM227</f>
        <v/>
      </c>
      <c r="AN230" s="42">
        <f>-AN224*($E$127+$E$128)*AN227</f>
        <v/>
      </c>
      <c r="AO230" s="42">
        <f>-AO224*($E$127+$E$128)*AO227</f>
        <v/>
      </c>
      <c r="AP230" s="42">
        <f>-AP224*($E$127+$E$128)*AP227</f>
        <v/>
      </c>
      <c r="AQ230" s="42">
        <f>-AQ224*($E$127+$E$128)*AQ227</f>
        <v/>
      </c>
      <c r="AR230" s="42">
        <f>-AR224*($E$127+$E$128)*AR227</f>
        <v/>
      </c>
      <c r="AS230" s="42">
        <f>-AS224*($E$127+$E$128)*AS227</f>
        <v/>
      </c>
      <c r="AT230" s="42">
        <f>-AT224*($E$127+$E$128)*AT227</f>
        <v/>
      </c>
      <c r="AU230" s="42">
        <f>-AU224*($E$127+$E$128)*AU227</f>
        <v/>
      </c>
      <c r="AV230" s="42">
        <f>-AV224*($E$127+$E$128)*AV227</f>
        <v/>
      </c>
      <c r="AW230" s="42">
        <f>-AW224*($E$127+$E$128)*AW227</f>
        <v/>
      </c>
      <c r="AX230" s="42">
        <f>-AX224*($E$127+$E$128)*AX227</f>
        <v/>
      </c>
      <c r="AY230" s="42">
        <f>-AY224*($E$127+$E$128)*AY227</f>
        <v/>
      </c>
      <c r="AZ230" s="42">
        <f>-AZ224*($E$127+$E$128)*AZ227</f>
        <v/>
      </c>
      <c r="BA230" s="42">
        <f>-BA224*($E$127+$E$128)*BA227</f>
        <v/>
      </c>
      <c r="BB230" s="42">
        <f>-BB224*($E$127+$E$128)*BB227</f>
        <v/>
      </c>
      <c r="BC230" s="42">
        <f>-BC224*($E$127+$E$128)*BC227</f>
        <v/>
      </c>
      <c r="BD230" s="42">
        <f>-BD224*($E$127+$E$128)*BD227</f>
        <v/>
      </c>
      <c r="BE230" s="42">
        <f>-BE224*($E$127+$E$128)*BE227</f>
        <v/>
      </c>
      <c r="BF230" s="42">
        <f>-BF224*($E$127+$E$128)*BF227</f>
        <v/>
      </c>
      <c r="BG230" s="42">
        <f>-BG224*($E$127+$E$128)*BG227</f>
        <v/>
      </c>
    </row>
    <row r="231">
      <c r="C231" s="31" t="inlineStr">
        <is>
          <t>MEKH supervisory fee</t>
        </is>
      </c>
      <c r="D231" s="32" t="inlineStr">
        <is>
          <t>EUR k</t>
        </is>
      </c>
      <c r="G231" s="42">
        <f>SUM(X231:BG231)</f>
        <v/>
      </c>
      <c r="X231" s="42">
        <f>-X226*$E$129</f>
        <v/>
      </c>
      <c r="Y231" s="42">
        <f>-Y226*$E$129</f>
        <v/>
      </c>
      <c r="Z231" s="42">
        <f>-Z226*$E$129</f>
        <v/>
      </c>
      <c r="AA231" s="42">
        <f>-AA226*$E$129</f>
        <v/>
      </c>
      <c r="AB231" s="42">
        <f>-AB226*$E$129</f>
        <v/>
      </c>
      <c r="AC231" s="42">
        <f>-AC226*$E$129</f>
        <v/>
      </c>
      <c r="AD231" s="42">
        <f>-AD226*$E$129</f>
        <v/>
      </c>
      <c r="AE231" s="42">
        <f>-AE226*$E$129</f>
        <v/>
      </c>
      <c r="AF231" s="42">
        <f>-AF226*$E$129</f>
        <v/>
      </c>
      <c r="AG231" s="42">
        <f>-AG226*$E$129</f>
        <v/>
      </c>
      <c r="AH231" s="42">
        <f>-AH226*$E$129</f>
        <v/>
      </c>
      <c r="AI231" s="42">
        <f>-AI226*$E$129</f>
        <v/>
      </c>
      <c r="AJ231" s="42">
        <f>-AJ226*$E$129</f>
        <v/>
      </c>
      <c r="AK231" s="42">
        <f>-AK226*$E$129</f>
        <v/>
      </c>
      <c r="AL231" s="42">
        <f>-AL226*$E$129</f>
        <v/>
      </c>
      <c r="AM231" s="42">
        <f>-AM226*$E$129</f>
        <v/>
      </c>
      <c r="AN231" s="42">
        <f>-AN226*$E$129</f>
        <v/>
      </c>
      <c r="AO231" s="42">
        <f>-AO226*$E$129</f>
        <v/>
      </c>
      <c r="AP231" s="42">
        <f>-AP226*$E$129</f>
        <v/>
      </c>
      <c r="AQ231" s="42">
        <f>-AQ226*$E$129</f>
        <v/>
      </c>
      <c r="AR231" s="42">
        <f>-AR226*$E$129</f>
        <v/>
      </c>
      <c r="AS231" s="42">
        <f>-AS226*$E$129</f>
        <v/>
      </c>
      <c r="AT231" s="42">
        <f>-AT226*$E$129</f>
        <v/>
      </c>
      <c r="AU231" s="42">
        <f>-AU226*$E$129</f>
        <v/>
      </c>
      <c r="AV231" s="42">
        <f>-AV226*$E$129</f>
        <v/>
      </c>
      <c r="AW231" s="42">
        <f>-AW226*$E$129</f>
        <v/>
      </c>
      <c r="AX231" s="42">
        <f>-AX226*$E$129</f>
        <v/>
      </c>
      <c r="AY231" s="42">
        <f>-AY226*$E$129</f>
        <v/>
      </c>
      <c r="AZ231" s="42">
        <f>-AZ226*$E$129</f>
        <v/>
      </c>
      <c r="BA231" s="42">
        <f>-BA226*$E$129</f>
        <v/>
      </c>
      <c r="BB231" s="42">
        <f>-BB226*$E$129</f>
        <v/>
      </c>
      <c r="BC231" s="42">
        <f>-BC226*$E$129</f>
        <v/>
      </c>
      <c r="BD231" s="42">
        <f>-BD226*$E$129</f>
        <v/>
      </c>
      <c r="BE231" s="42">
        <f>-BE226*$E$129</f>
        <v/>
      </c>
      <c r="BF231" s="42">
        <f>-BF226*$E$129</f>
        <v/>
      </c>
      <c r="BG231" s="42">
        <f>-BG226*$E$129</f>
        <v/>
      </c>
    </row>
    <row r="232">
      <c r="C232" s="31" t="inlineStr">
        <is>
          <t>Opex contingency</t>
        </is>
      </c>
      <c r="D232" s="32" t="inlineStr">
        <is>
          <t>EUR k</t>
        </is>
      </c>
      <c r="G232" s="42">
        <f>SUM(X232:BG232)</f>
        <v/>
      </c>
      <c r="X232" s="42">
        <f>SUM(X228:X231)*$E$131</f>
        <v/>
      </c>
      <c r="Y232" s="42">
        <f>SUM(Y228:Y231)*$E$131</f>
        <v/>
      </c>
      <c r="Z232" s="42">
        <f>SUM(Z228:Z231)*$E$131</f>
        <v/>
      </c>
      <c r="AA232" s="42">
        <f>SUM(AA228:AA231)*$E$131</f>
        <v/>
      </c>
      <c r="AB232" s="42">
        <f>SUM(AB228:AB231)*$E$131</f>
        <v/>
      </c>
      <c r="AC232" s="42">
        <f>SUM(AC228:AC231)*$E$131</f>
        <v/>
      </c>
      <c r="AD232" s="42">
        <f>SUM(AD228:AD231)*$E$131</f>
        <v/>
      </c>
      <c r="AE232" s="42">
        <f>SUM(AE228:AE231)*$E$131</f>
        <v/>
      </c>
      <c r="AF232" s="42">
        <f>SUM(AF228:AF231)*$E$131</f>
        <v/>
      </c>
      <c r="AG232" s="42">
        <f>SUM(AG228:AG231)*$E$131</f>
        <v/>
      </c>
      <c r="AH232" s="42">
        <f>SUM(AH228:AH231)*$E$131</f>
        <v/>
      </c>
      <c r="AI232" s="42">
        <f>SUM(AI228:AI231)*$E$131</f>
        <v/>
      </c>
      <c r="AJ232" s="42">
        <f>SUM(AJ228:AJ231)*$E$131</f>
        <v/>
      </c>
      <c r="AK232" s="42">
        <f>SUM(AK228:AK231)*$E$131</f>
        <v/>
      </c>
      <c r="AL232" s="42">
        <f>SUM(AL228:AL231)*$E$131</f>
        <v/>
      </c>
      <c r="AM232" s="42">
        <f>SUM(AM228:AM231)*$E$131</f>
        <v/>
      </c>
      <c r="AN232" s="42">
        <f>SUM(AN228:AN231)*$E$131</f>
        <v/>
      </c>
      <c r="AO232" s="42">
        <f>SUM(AO228:AO231)*$E$131</f>
        <v/>
      </c>
      <c r="AP232" s="42">
        <f>SUM(AP228:AP231)*$E$131</f>
        <v/>
      </c>
      <c r="AQ232" s="42">
        <f>SUM(AQ228:AQ231)*$E$131</f>
        <v/>
      </c>
      <c r="AR232" s="42">
        <f>SUM(AR228:AR231)*$E$131</f>
        <v/>
      </c>
      <c r="AS232" s="42">
        <f>SUM(AS228:AS231)*$E$131</f>
        <v/>
      </c>
      <c r="AT232" s="42">
        <f>SUM(AT228:AT231)*$E$131</f>
        <v/>
      </c>
      <c r="AU232" s="42">
        <f>SUM(AU228:AU231)*$E$131</f>
        <v/>
      </c>
      <c r="AV232" s="42">
        <f>SUM(AV228:AV231)*$E$131</f>
        <v/>
      </c>
      <c r="AW232" s="42">
        <f>SUM(AW228:AW231)*$E$131</f>
        <v/>
      </c>
      <c r="AX232" s="42">
        <f>SUM(AX228:AX231)*$E$131</f>
        <v/>
      </c>
      <c r="AY232" s="42">
        <f>SUM(AY228:AY231)*$E$131</f>
        <v/>
      </c>
      <c r="AZ232" s="42">
        <f>SUM(AZ228:AZ231)*$E$131</f>
        <v/>
      </c>
      <c r="BA232" s="42">
        <f>SUM(BA228:BA231)*$E$131</f>
        <v/>
      </c>
      <c r="BB232" s="42">
        <f>SUM(BB228:BB231)*$E$131</f>
        <v/>
      </c>
      <c r="BC232" s="42">
        <f>SUM(BC228:BC231)*$E$131</f>
        <v/>
      </c>
      <c r="BD232" s="42">
        <f>SUM(BD228:BD231)*$E$131</f>
        <v/>
      </c>
      <c r="BE232" s="42">
        <f>SUM(BE228:BE231)*$E$131</f>
        <v/>
      </c>
      <c r="BF232" s="42">
        <f>SUM(BF228:BF231)*$E$131</f>
        <v/>
      </c>
      <c r="BG232" s="42">
        <f>SUM(BG228:BG231)*$E$131</f>
        <v/>
      </c>
    </row>
    <row r="233">
      <c r="C233" s="31" t="inlineStr">
        <is>
          <t>Community contribution</t>
        </is>
      </c>
      <c r="D233" s="32" t="inlineStr">
        <is>
          <t>EUR k</t>
        </is>
      </c>
      <c r="G233" s="42">
        <f>SUM(X233:BG233)</f>
        <v/>
      </c>
      <c r="X233" s="42">
        <f>-X224*$E$10</f>
        <v/>
      </c>
      <c r="Y233" s="42">
        <f>-Y224*$E$10</f>
        <v/>
      </c>
      <c r="Z233" s="42">
        <f>-Z224*$E$10</f>
        <v/>
      </c>
      <c r="AA233" s="42">
        <f>-AA224*$E$10</f>
        <v/>
      </c>
      <c r="AB233" s="42">
        <f>-AB224*$E$10</f>
        <v/>
      </c>
      <c r="AC233" s="42">
        <f>-AC224*$E$10</f>
        <v/>
      </c>
      <c r="AD233" s="42">
        <f>-AD224*$E$10</f>
        <v/>
      </c>
      <c r="AE233" s="42">
        <f>-AE224*$E$10</f>
        <v/>
      </c>
      <c r="AF233" s="42">
        <f>-AF224*$E$10</f>
        <v/>
      </c>
      <c r="AG233" s="42">
        <f>-AG224*$E$10</f>
        <v/>
      </c>
      <c r="AH233" s="42">
        <f>-AH224*$E$10</f>
        <v/>
      </c>
      <c r="AI233" s="42">
        <f>-AI224*$E$10</f>
        <v/>
      </c>
      <c r="AJ233" s="42">
        <f>-AJ224*$E$10</f>
        <v/>
      </c>
      <c r="AK233" s="42">
        <f>-AK224*$E$10</f>
        <v/>
      </c>
      <c r="AL233" s="42">
        <f>-AL224*$E$10</f>
        <v/>
      </c>
      <c r="AM233" s="42">
        <f>-AM224*$E$10</f>
        <v/>
      </c>
      <c r="AN233" s="42">
        <f>-AN224*$E$10</f>
        <v/>
      </c>
      <c r="AO233" s="42">
        <f>-AO224*$E$10</f>
        <v/>
      </c>
      <c r="AP233" s="42">
        <f>-AP224*$E$10</f>
        <v/>
      </c>
      <c r="AQ233" s="42">
        <f>-AQ224*$E$10</f>
        <v/>
      </c>
      <c r="AR233" s="42">
        <f>-AR224*$E$10</f>
        <v/>
      </c>
      <c r="AS233" s="42">
        <f>-AS224*$E$10</f>
        <v/>
      </c>
      <c r="AT233" s="42">
        <f>-AT224*$E$10</f>
        <v/>
      </c>
      <c r="AU233" s="42">
        <f>-AU224*$E$10</f>
        <v/>
      </c>
      <c r="AV233" s="42">
        <f>-AV224*$E$10</f>
        <v/>
      </c>
      <c r="AW233" s="42">
        <f>-AW224*$E$10</f>
        <v/>
      </c>
      <c r="AX233" s="42">
        <f>-AX224*$E$10</f>
        <v/>
      </c>
      <c r="AY233" s="42">
        <f>-AY224*$E$10</f>
        <v/>
      </c>
      <c r="AZ233" s="42">
        <f>-AZ224*$E$10</f>
        <v/>
      </c>
      <c r="BA233" s="42">
        <f>-BA224*$E$10</f>
        <v/>
      </c>
      <c r="BB233" s="42">
        <f>-BB224*$E$10</f>
        <v/>
      </c>
      <c r="BC233" s="42">
        <f>-BC224*$E$10</f>
        <v/>
      </c>
      <c r="BD233" s="42">
        <f>-BD224*$E$10</f>
        <v/>
      </c>
      <c r="BE233" s="42">
        <f>-BE224*$E$10</f>
        <v/>
      </c>
      <c r="BF233" s="42">
        <f>-BF224*$E$10</f>
        <v/>
      </c>
      <c r="BG233" s="42">
        <f>-BG224*$E$10</f>
        <v/>
      </c>
    </row>
    <row r="234">
      <c r="C234" s="31" t="inlineStr">
        <is>
          <t>HIPA local business tax</t>
        </is>
      </c>
      <c r="D234" s="32" t="inlineStr">
        <is>
          <t>EUR k</t>
        </is>
      </c>
      <c r="G234" s="42">
        <f>SUM(X234:BG234)</f>
        <v/>
      </c>
      <c r="X234" s="42">
        <f>-X226*$E$130</f>
        <v/>
      </c>
      <c r="Y234" s="42">
        <f>-Y226*$E$130</f>
        <v/>
      </c>
      <c r="Z234" s="42">
        <f>-Z226*$E$130</f>
        <v/>
      </c>
      <c r="AA234" s="42">
        <f>-AA226*$E$130</f>
        <v/>
      </c>
      <c r="AB234" s="42">
        <f>-AB226*$E$130</f>
        <v/>
      </c>
      <c r="AC234" s="42">
        <f>-AC226*$E$130</f>
        <v/>
      </c>
      <c r="AD234" s="42">
        <f>-AD226*$E$130</f>
        <v/>
      </c>
      <c r="AE234" s="42">
        <f>-AE226*$E$130</f>
        <v/>
      </c>
      <c r="AF234" s="42">
        <f>-AF226*$E$130</f>
        <v/>
      </c>
      <c r="AG234" s="42">
        <f>-AG226*$E$130</f>
        <v/>
      </c>
      <c r="AH234" s="42">
        <f>-AH226*$E$130</f>
        <v/>
      </c>
      <c r="AI234" s="42">
        <f>-AI226*$E$130</f>
        <v/>
      </c>
      <c r="AJ234" s="42">
        <f>-AJ226*$E$130</f>
        <v/>
      </c>
      <c r="AK234" s="42">
        <f>-AK226*$E$130</f>
        <v/>
      </c>
      <c r="AL234" s="42">
        <f>-AL226*$E$130</f>
        <v/>
      </c>
      <c r="AM234" s="42">
        <f>-AM226*$E$130</f>
        <v/>
      </c>
      <c r="AN234" s="42">
        <f>-AN226*$E$130</f>
        <v/>
      </c>
      <c r="AO234" s="42">
        <f>-AO226*$E$130</f>
        <v/>
      </c>
      <c r="AP234" s="42">
        <f>-AP226*$E$130</f>
        <v/>
      </c>
      <c r="AQ234" s="42">
        <f>-AQ226*$E$130</f>
        <v/>
      </c>
      <c r="AR234" s="42">
        <f>-AR226*$E$130</f>
        <v/>
      </c>
      <c r="AS234" s="42">
        <f>-AS226*$E$130</f>
        <v/>
      </c>
      <c r="AT234" s="42">
        <f>-AT226*$E$130</f>
        <v/>
      </c>
      <c r="AU234" s="42">
        <f>-AU226*$E$130</f>
        <v/>
      </c>
      <c r="AV234" s="42">
        <f>-AV226*$E$130</f>
        <v/>
      </c>
      <c r="AW234" s="42">
        <f>-AW226*$E$130</f>
        <v/>
      </c>
      <c r="AX234" s="42">
        <f>-AX226*$E$130</f>
        <v/>
      </c>
      <c r="AY234" s="42">
        <f>-AY226*$E$130</f>
        <v/>
      </c>
      <c r="AZ234" s="42">
        <f>-AZ226*$E$130</f>
        <v/>
      </c>
      <c r="BA234" s="42">
        <f>-BA226*$E$130</f>
        <v/>
      </c>
      <c r="BB234" s="42">
        <f>-BB226*$E$130</f>
        <v/>
      </c>
      <c r="BC234" s="42">
        <f>-BC226*$E$130</f>
        <v/>
      </c>
      <c r="BD234" s="42">
        <f>-BD226*$E$130</f>
        <v/>
      </c>
      <c r="BE234" s="42">
        <f>-BE226*$E$130</f>
        <v/>
      </c>
      <c r="BF234" s="42">
        <f>-BF226*$E$130</f>
        <v/>
      </c>
      <c r="BG234" s="42">
        <f>-BG226*$E$130</f>
        <v/>
      </c>
    </row>
    <row r="235">
      <c r="C235" s="46" t="inlineStr">
        <is>
          <t>EBITDA</t>
        </is>
      </c>
      <c r="D235" s="32" t="inlineStr">
        <is>
          <t>EUR k</t>
        </is>
      </c>
      <c r="G235" s="47">
        <f>SUM(X235:BG235)</f>
        <v/>
      </c>
      <c r="X235" s="47">
        <f>X226+SUM(X228:X234)</f>
        <v/>
      </c>
      <c r="Y235" s="47">
        <f>Y226+SUM(Y228:Y234)</f>
        <v/>
      </c>
      <c r="Z235" s="47">
        <f>Z226+SUM(Z228:Z234)</f>
        <v/>
      </c>
      <c r="AA235" s="47">
        <f>AA226+SUM(AA228:AA234)</f>
        <v/>
      </c>
      <c r="AB235" s="47">
        <f>AB226+SUM(AB228:AB234)</f>
        <v/>
      </c>
      <c r="AC235" s="47">
        <f>AC226+SUM(AC228:AC234)</f>
        <v/>
      </c>
      <c r="AD235" s="47">
        <f>AD226+SUM(AD228:AD234)</f>
        <v/>
      </c>
      <c r="AE235" s="47">
        <f>AE226+SUM(AE228:AE234)</f>
        <v/>
      </c>
      <c r="AF235" s="47">
        <f>AF226+SUM(AF228:AF234)</f>
        <v/>
      </c>
      <c r="AG235" s="47">
        <f>AG226+SUM(AG228:AG234)</f>
        <v/>
      </c>
      <c r="AH235" s="47">
        <f>AH226+SUM(AH228:AH234)</f>
        <v/>
      </c>
      <c r="AI235" s="47">
        <f>AI226+SUM(AI228:AI234)</f>
        <v/>
      </c>
      <c r="AJ235" s="47">
        <f>AJ226+SUM(AJ228:AJ234)</f>
        <v/>
      </c>
      <c r="AK235" s="47">
        <f>AK226+SUM(AK228:AK234)</f>
        <v/>
      </c>
      <c r="AL235" s="47">
        <f>AL226+SUM(AL228:AL234)</f>
        <v/>
      </c>
      <c r="AM235" s="47">
        <f>AM226+SUM(AM228:AM234)</f>
        <v/>
      </c>
      <c r="AN235" s="47">
        <f>AN226+SUM(AN228:AN234)</f>
        <v/>
      </c>
      <c r="AO235" s="47">
        <f>AO226+SUM(AO228:AO234)</f>
        <v/>
      </c>
      <c r="AP235" s="47">
        <f>AP226+SUM(AP228:AP234)</f>
        <v/>
      </c>
      <c r="AQ235" s="47">
        <f>AQ226+SUM(AQ228:AQ234)</f>
        <v/>
      </c>
      <c r="AR235" s="47">
        <f>AR226+SUM(AR228:AR234)</f>
        <v/>
      </c>
      <c r="AS235" s="47">
        <f>AS226+SUM(AS228:AS234)</f>
        <v/>
      </c>
      <c r="AT235" s="47">
        <f>AT226+SUM(AT228:AT234)</f>
        <v/>
      </c>
      <c r="AU235" s="47">
        <f>AU226+SUM(AU228:AU234)</f>
        <v/>
      </c>
      <c r="AV235" s="47">
        <f>AV226+SUM(AV228:AV234)</f>
        <v/>
      </c>
      <c r="AW235" s="47">
        <f>AW226+SUM(AW228:AW234)</f>
        <v/>
      </c>
      <c r="AX235" s="47">
        <f>AX226+SUM(AX228:AX234)</f>
        <v/>
      </c>
      <c r="AY235" s="47">
        <f>AY226+SUM(AY228:AY234)</f>
        <v/>
      </c>
      <c r="AZ235" s="47">
        <f>AZ226+SUM(AZ228:AZ234)</f>
        <v/>
      </c>
      <c r="BA235" s="47">
        <f>BA226+SUM(BA228:BA234)</f>
        <v/>
      </c>
      <c r="BB235" s="47">
        <f>BB226+SUM(BB228:BB234)</f>
        <v/>
      </c>
      <c r="BC235" s="47">
        <f>BC226+SUM(BC228:BC234)</f>
        <v/>
      </c>
      <c r="BD235" s="47">
        <f>BD226+SUM(BD228:BD234)</f>
        <v/>
      </c>
      <c r="BE235" s="47">
        <f>BE226+SUM(BE228:BE234)</f>
        <v/>
      </c>
      <c r="BF235" s="47">
        <f>BF226+SUM(BF228:BF234)</f>
        <v/>
      </c>
      <c r="BG235" s="47">
        <f>BG226+SUM(BG228:BG234)</f>
        <v/>
      </c>
    </row>
    <row r="236">
      <c r="C236" s="46" t="inlineStr">
        <is>
          <t>Unlevered pre-tax cash flow</t>
        </is>
      </c>
      <c r="D236" s="32" t="inlineStr">
        <is>
          <t>EUR k</t>
        </is>
      </c>
      <c r="G236" s="47">
        <f>SUM(X236:BG236)</f>
        <v/>
      </c>
      <c r="X236" s="47">
        <f>X222+X235</f>
        <v/>
      </c>
      <c r="Y236" s="47">
        <f>Y222+Y235</f>
        <v/>
      </c>
      <c r="Z236" s="47">
        <f>Z222+Z235</f>
        <v/>
      </c>
      <c r="AA236" s="47">
        <f>AA222+AA235</f>
        <v/>
      </c>
      <c r="AB236" s="47">
        <f>AB222+AB235</f>
        <v/>
      </c>
      <c r="AC236" s="47">
        <f>AC222+AC235</f>
        <v/>
      </c>
      <c r="AD236" s="47">
        <f>AD222+AD235</f>
        <v/>
      </c>
      <c r="AE236" s="47">
        <f>AE222+AE235</f>
        <v/>
      </c>
      <c r="AF236" s="47">
        <f>AF222+AF235</f>
        <v/>
      </c>
      <c r="AG236" s="47">
        <f>AG222+AG235</f>
        <v/>
      </c>
      <c r="AH236" s="47">
        <f>AH222+AH235</f>
        <v/>
      </c>
      <c r="AI236" s="47">
        <f>AI222+AI235</f>
        <v/>
      </c>
      <c r="AJ236" s="47">
        <f>AJ222+AJ235</f>
        <v/>
      </c>
      <c r="AK236" s="47">
        <f>AK222+AK235</f>
        <v/>
      </c>
      <c r="AL236" s="47">
        <f>AL222+AL235</f>
        <v/>
      </c>
      <c r="AM236" s="47">
        <f>AM222+AM235</f>
        <v/>
      </c>
      <c r="AN236" s="47">
        <f>AN222+AN235</f>
        <v/>
      </c>
      <c r="AO236" s="47">
        <f>AO222+AO235</f>
        <v/>
      </c>
      <c r="AP236" s="47">
        <f>AP222+AP235</f>
        <v/>
      </c>
      <c r="AQ236" s="47">
        <f>AQ222+AQ235</f>
        <v/>
      </c>
      <c r="AR236" s="47">
        <f>AR222+AR235</f>
        <v/>
      </c>
      <c r="AS236" s="47">
        <f>AS222+AS235</f>
        <v/>
      </c>
      <c r="AT236" s="47">
        <f>AT222+AT235</f>
        <v/>
      </c>
      <c r="AU236" s="47">
        <f>AU222+AU235</f>
        <v/>
      </c>
      <c r="AV236" s="47">
        <f>AV222+AV235</f>
        <v/>
      </c>
      <c r="AW236" s="47">
        <f>AW222+AW235</f>
        <v/>
      </c>
      <c r="AX236" s="47">
        <f>AX222+AX235</f>
        <v/>
      </c>
      <c r="AY236" s="47">
        <f>AY222+AY235</f>
        <v/>
      </c>
      <c r="AZ236" s="47">
        <f>AZ222+AZ235</f>
        <v/>
      </c>
      <c r="BA236" s="47">
        <f>BA222+BA235</f>
        <v/>
      </c>
      <c r="BB236" s="47">
        <f>BB222+BB235</f>
        <v/>
      </c>
      <c r="BC236" s="47">
        <f>BC222+BC235</f>
        <v/>
      </c>
      <c r="BD236" s="47">
        <f>BD222+BD235</f>
        <v/>
      </c>
      <c r="BE236" s="47">
        <f>BE222+BE235</f>
        <v/>
      </c>
      <c r="BF236" s="47">
        <f>BF222+BF235</f>
        <v/>
      </c>
      <c r="BG236" s="47">
        <f>BG222+BG235</f>
        <v/>
      </c>
    </row>
    <row r="237">
      <c r="C237" s="31" t="inlineStr">
        <is>
          <t>Discount factor to COD (buyer's rate)</t>
        </is>
      </c>
      <c r="D237" s="32" t="inlineStr">
        <is>
          <t>x</t>
        </is>
      </c>
      <c r="X237" s="54">
        <f>(1+$E$98)^(($E$41-X$209)/Days_In_Year)</f>
        <v/>
      </c>
      <c r="Y237" s="54">
        <f>(1+$E$98)^(($E$41-Y$209)/Days_In_Year)</f>
        <v/>
      </c>
      <c r="Z237" s="54">
        <f>(1+$E$98)^(($E$41-Z$209)/Days_In_Year)</f>
        <v/>
      </c>
      <c r="AA237" s="54">
        <f>(1+$E$98)^(($E$41-AA$209)/Days_In_Year)</f>
        <v/>
      </c>
      <c r="AB237" s="54">
        <f>(1+$E$98)^(($E$41-AB$209)/Days_In_Year)</f>
        <v/>
      </c>
      <c r="AC237" s="54">
        <f>(1+$E$98)^(($E$41-AC$209)/Days_In_Year)</f>
        <v/>
      </c>
      <c r="AD237" s="54">
        <f>(1+$E$98)^(($E$41-AD$209)/Days_In_Year)</f>
        <v/>
      </c>
      <c r="AE237" s="54">
        <f>(1+$E$98)^(($E$41-AE$209)/Days_In_Year)</f>
        <v/>
      </c>
      <c r="AF237" s="54">
        <f>(1+$E$98)^(($E$41-AF$209)/Days_In_Year)</f>
        <v/>
      </c>
      <c r="AG237" s="54">
        <f>(1+$E$98)^(($E$41-AG$209)/Days_In_Year)</f>
        <v/>
      </c>
      <c r="AH237" s="54">
        <f>(1+$E$98)^(($E$41-AH$209)/Days_In_Year)</f>
        <v/>
      </c>
      <c r="AI237" s="54">
        <f>(1+$E$98)^(($E$41-AI$209)/Days_In_Year)</f>
        <v/>
      </c>
      <c r="AJ237" s="54">
        <f>(1+$E$98)^(($E$41-AJ$209)/Days_In_Year)</f>
        <v/>
      </c>
      <c r="AK237" s="54">
        <f>(1+$E$98)^(($E$41-AK$209)/Days_In_Year)</f>
        <v/>
      </c>
      <c r="AL237" s="54">
        <f>(1+$E$98)^(($E$41-AL$209)/Days_In_Year)</f>
        <v/>
      </c>
      <c r="AM237" s="54">
        <f>(1+$E$98)^(($E$41-AM$209)/Days_In_Year)</f>
        <v/>
      </c>
      <c r="AN237" s="54">
        <f>(1+$E$98)^(($E$41-AN$209)/Days_In_Year)</f>
        <v/>
      </c>
      <c r="AO237" s="54">
        <f>(1+$E$98)^(($E$41-AO$209)/Days_In_Year)</f>
        <v/>
      </c>
      <c r="AP237" s="54">
        <f>(1+$E$98)^(($E$41-AP$209)/Days_In_Year)</f>
        <v/>
      </c>
      <c r="AQ237" s="54">
        <f>(1+$E$98)^(($E$41-AQ$209)/Days_In_Year)</f>
        <v/>
      </c>
      <c r="AR237" s="54">
        <f>(1+$E$98)^(($E$41-AR$209)/Days_In_Year)</f>
        <v/>
      </c>
      <c r="AS237" s="54">
        <f>(1+$E$98)^(($E$41-AS$209)/Days_In_Year)</f>
        <v/>
      </c>
      <c r="AT237" s="54">
        <f>(1+$E$98)^(($E$41-AT$209)/Days_In_Year)</f>
        <v/>
      </c>
      <c r="AU237" s="54">
        <f>(1+$E$98)^(($E$41-AU$209)/Days_In_Year)</f>
        <v/>
      </c>
      <c r="AV237" s="54">
        <f>(1+$E$98)^(($E$41-AV$209)/Days_In_Year)</f>
        <v/>
      </c>
      <c r="AW237" s="54">
        <f>(1+$E$98)^(($E$41-AW$209)/Days_In_Year)</f>
        <v/>
      </c>
      <c r="AX237" s="54">
        <f>(1+$E$98)^(($E$41-AX$209)/Days_In_Year)</f>
        <v/>
      </c>
      <c r="AY237" s="54">
        <f>(1+$E$98)^(($E$41-AY$209)/Days_In_Year)</f>
        <v/>
      </c>
      <c r="AZ237" s="54">
        <f>(1+$E$98)^(($E$41-AZ$209)/Days_In_Year)</f>
        <v/>
      </c>
      <c r="BA237" s="54">
        <f>(1+$E$98)^(($E$41-BA$209)/Days_In_Year)</f>
        <v/>
      </c>
      <c r="BB237" s="54">
        <f>(1+$E$98)^(($E$41-BB$209)/Days_In_Year)</f>
        <v/>
      </c>
      <c r="BC237" s="54">
        <f>(1+$E$98)^(($E$41-BC$209)/Days_In_Year)</f>
        <v/>
      </c>
      <c r="BD237" s="54">
        <f>(1+$E$98)^(($E$41-BD$209)/Days_In_Year)</f>
        <v/>
      </c>
      <c r="BE237" s="54">
        <f>(1+$E$98)^(($E$41-BE$209)/Days_In_Year)</f>
        <v/>
      </c>
      <c r="BF237" s="54">
        <f>(1+$E$98)^(($E$41-BF$209)/Days_In_Year)</f>
        <v/>
      </c>
      <c r="BG237" s="54">
        <f>(1+$E$98)^(($E$41-BG$209)/Days_In_Year)</f>
        <v/>
      </c>
    </row>
    <row r="238">
      <c r="C238" s="31" t="inlineStr">
        <is>
          <t>EBITDA valued at COD (total = COD price)</t>
        </is>
      </c>
      <c r="D238" s="32" t="inlineStr">
        <is>
          <t>EUR k</t>
        </is>
      </c>
      <c r="G238" s="42">
        <f>SUM(X238:BG238)</f>
        <v/>
      </c>
      <c r="X238" s="42">
        <f>X235*X237</f>
        <v/>
      </c>
      <c r="Y238" s="42">
        <f>Y235*Y237</f>
        <v/>
      </c>
      <c r="Z238" s="42">
        <f>Z235*Z237</f>
        <v/>
      </c>
      <c r="AA238" s="42">
        <f>AA235*AA237</f>
        <v/>
      </c>
      <c r="AB238" s="42">
        <f>AB235*AB237</f>
        <v/>
      </c>
      <c r="AC238" s="42">
        <f>AC235*AC237</f>
        <v/>
      </c>
      <c r="AD238" s="42">
        <f>AD235*AD237</f>
        <v/>
      </c>
      <c r="AE238" s="42">
        <f>AE235*AE237</f>
        <v/>
      </c>
      <c r="AF238" s="42">
        <f>AF235*AF237</f>
        <v/>
      </c>
      <c r="AG238" s="42">
        <f>AG235*AG237</f>
        <v/>
      </c>
      <c r="AH238" s="42">
        <f>AH235*AH237</f>
        <v/>
      </c>
      <c r="AI238" s="42">
        <f>AI235*AI237</f>
        <v/>
      </c>
      <c r="AJ238" s="42">
        <f>AJ235*AJ237</f>
        <v/>
      </c>
      <c r="AK238" s="42">
        <f>AK235*AK237</f>
        <v/>
      </c>
      <c r="AL238" s="42">
        <f>AL235*AL237</f>
        <v/>
      </c>
      <c r="AM238" s="42">
        <f>AM235*AM237</f>
        <v/>
      </c>
      <c r="AN238" s="42">
        <f>AN235*AN237</f>
        <v/>
      </c>
      <c r="AO238" s="42">
        <f>AO235*AO237</f>
        <v/>
      </c>
      <c r="AP238" s="42">
        <f>AP235*AP237</f>
        <v/>
      </c>
      <c r="AQ238" s="42">
        <f>AQ235*AQ237</f>
        <v/>
      </c>
      <c r="AR238" s="42">
        <f>AR235*AR237</f>
        <v/>
      </c>
      <c r="AS238" s="42">
        <f>AS235*AS237</f>
        <v/>
      </c>
      <c r="AT238" s="42">
        <f>AT235*AT237</f>
        <v/>
      </c>
      <c r="AU238" s="42">
        <f>AU235*AU237</f>
        <v/>
      </c>
      <c r="AV238" s="42">
        <f>AV235*AV237</f>
        <v/>
      </c>
      <c r="AW238" s="42">
        <f>AW235*AW237</f>
        <v/>
      </c>
      <c r="AX238" s="42">
        <f>AX235*AX237</f>
        <v/>
      </c>
      <c r="AY238" s="42">
        <f>AY235*AY237</f>
        <v/>
      </c>
      <c r="AZ238" s="42">
        <f>AZ235*AZ237</f>
        <v/>
      </c>
      <c r="BA238" s="42">
        <f>BA235*BA237</f>
        <v/>
      </c>
      <c r="BB238" s="42">
        <f>BB235*BB237</f>
        <v/>
      </c>
      <c r="BC238" s="42">
        <f>BC235*BC237</f>
        <v/>
      </c>
      <c r="BD238" s="42">
        <f>BD235*BD237</f>
        <v/>
      </c>
      <c r="BE238" s="42">
        <f>BE235*BE237</f>
        <v/>
      </c>
      <c r="BF238" s="42">
        <f>BF235*BF237</f>
        <v/>
      </c>
      <c r="BG238" s="42">
        <f>BG235*BG237</f>
        <v/>
      </c>
    </row>
    <row r="239">
      <c r="C239" s="46" t="inlineStr">
        <is>
          <t>COD exit: FEP cash flow (to COD, price and security at COD)</t>
        </is>
      </c>
      <c r="D239" s="32" t="inlineStr">
        <is>
          <t>EUR k</t>
        </is>
      </c>
      <c r="G239" s="47">
        <f>SUM(X239:BG239)</f>
        <v/>
      </c>
      <c r="X239" s="47">
        <f>X222*(X$210&lt;=0)+X$215*($G238+$E$72+$E$73)</f>
        <v/>
      </c>
      <c r="Y239" s="47">
        <f>Y222*(Y$210&lt;=0)+Y$215*($G238+$E$72+$E$73)</f>
        <v/>
      </c>
      <c r="Z239" s="47">
        <f>Z222*(Z$210&lt;=0)+Z$215*($G238+$E$72+$E$73)</f>
        <v/>
      </c>
      <c r="AA239" s="47">
        <f>AA222*(AA$210&lt;=0)+AA$215*($G238+$E$72+$E$73)</f>
        <v/>
      </c>
      <c r="AB239" s="47">
        <f>AB222*(AB$210&lt;=0)+AB$215*($G238+$E$72+$E$73)</f>
        <v/>
      </c>
      <c r="AC239" s="47">
        <f>AC222*(AC$210&lt;=0)+AC$215*($G238+$E$72+$E$73)</f>
        <v/>
      </c>
      <c r="AD239" s="47">
        <f>AD222*(AD$210&lt;=0)+AD$215*($G238+$E$72+$E$73)</f>
        <v/>
      </c>
      <c r="AE239" s="47">
        <f>AE222*(AE$210&lt;=0)+AE$215*($G238+$E$72+$E$73)</f>
        <v/>
      </c>
      <c r="AF239" s="47">
        <f>AF222*(AF$210&lt;=0)+AF$215*($G238+$E$72+$E$73)</f>
        <v/>
      </c>
      <c r="AG239" s="47">
        <f>AG222*(AG$210&lt;=0)+AG$215*($G238+$E$72+$E$73)</f>
        <v/>
      </c>
      <c r="AH239" s="47">
        <f>AH222*(AH$210&lt;=0)+AH$215*($G238+$E$72+$E$73)</f>
        <v/>
      </c>
      <c r="AI239" s="47">
        <f>AI222*(AI$210&lt;=0)+AI$215*($G238+$E$72+$E$73)</f>
        <v/>
      </c>
      <c r="AJ239" s="47">
        <f>AJ222*(AJ$210&lt;=0)+AJ$215*($G238+$E$72+$E$73)</f>
        <v/>
      </c>
      <c r="AK239" s="47">
        <f>AK222*(AK$210&lt;=0)+AK$215*($G238+$E$72+$E$73)</f>
        <v/>
      </c>
      <c r="AL239" s="47">
        <f>AL222*(AL$210&lt;=0)+AL$215*($G238+$E$72+$E$73)</f>
        <v/>
      </c>
      <c r="AM239" s="47">
        <f>AM222*(AM$210&lt;=0)+AM$215*($G238+$E$72+$E$73)</f>
        <v/>
      </c>
      <c r="AN239" s="47">
        <f>AN222*(AN$210&lt;=0)+AN$215*($G238+$E$72+$E$73)</f>
        <v/>
      </c>
      <c r="AO239" s="47">
        <f>AO222*(AO$210&lt;=0)+AO$215*($G238+$E$72+$E$73)</f>
        <v/>
      </c>
      <c r="AP239" s="47">
        <f>AP222*(AP$210&lt;=0)+AP$215*($G238+$E$72+$E$73)</f>
        <v/>
      </c>
      <c r="AQ239" s="47">
        <f>AQ222*(AQ$210&lt;=0)+AQ$215*($G238+$E$72+$E$73)</f>
        <v/>
      </c>
      <c r="AR239" s="47">
        <f>AR222*(AR$210&lt;=0)+AR$215*($G238+$E$72+$E$73)</f>
        <v/>
      </c>
      <c r="AS239" s="47">
        <f>AS222*(AS$210&lt;=0)+AS$215*($G238+$E$72+$E$73)</f>
        <v/>
      </c>
      <c r="AT239" s="47">
        <f>AT222*(AT$210&lt;=0)+AT$215*($G238+$E$72+$E$73)</f>
        <v/>
      </c>
      <c r="AU239" s="47">
        <f>AU222*(AU$210&lt;=0)+AU$215*($G238+$E$72+$E$73)</f>
        <v/>
      </c>
      <c r="AV239" s="47">
        <f>AV222*(AV$210&lt;=0)+AV$215*($G238+$E$72+$E$73)</f>
        <v/>
      </c>
      <c r="AW239" s="47">
        <f>AW222*(AW$210&lt;=0)+AW$215*($G238+$E$72+$E$73)</f>
        <v/>
      </c>
      <c r="AX239" s="47">
        <f>AX222*(AX$210&lt;=0)+AX$215*($G238+$E$72+$E$73)</f>
        <v/>
      </c>
      <c r="AY239" s="47">
        <f>AY222*(AY$210&lt;=0)+AY$215*($G238+$E$72+$E$73)</f>
        <v/>
      </c>
      <c r="AZ239" s="47">
        <f>AZ222*(AZ$210&lt;=0)+AZ$215*($G238+$E$72+$E$73)</f>
        <v/>
      </c>
      <c r="BA239" s="47">
        <f>BA222*(BA$210&lt;=0)+BA$215*($G238+$E$72+$E$73)</f>
        <v/>
      </c>
      <c r="BB239" s="47">
        <f>BB222*(BB$210&lt;=0)+BB$215*($G238+$E$72+$E$73)</f>
        <v/>
      </c>
      <c r="BC239" s="47">
        <f>BC222*(BC$210&lt;=0)+BC$215*($G238+$E$72+$E$73)</f>
        <v/>
      </c>
      <c r="BD239" s="47">
        <f>BD222*(BD$210&lt;=0)+BD$215*($G238+$E$72+$E$73)</f>
        <v/>
      </c>
      <c r="BE239" s="47">
        <f>BE222*(BE$210&lt;=0)+BE$215*($G238+$E$72+$E$73)</f>
        <v/>
      </c>
      <c r="BF239" s="47">
        <f>BF222*(BF$210&lt;=0)+BF$215*($G238+$E$72+$E$73)</f>
        <v/>
      </c>
      <c r="BG239" s="47">
        <f>BG222*(BG$210&lt;=0)+BG$215*($G238+$E$72+$E$73)</f>
        <v/>
      </c>
    </row>
    <row r="241">
      <c r="B241" s="28" t="n"/>
      <c r="C241" s="28" t="inlineStr">
        <is>
          <t>Dunaújváros: annual cash flow (EUR k)</t>
        </is>
      </c>
      <c r="D241" s="28" t="n"/>
      <c r="E241" s="29" t="n"/>
      <c r="F241" s="29" t="n"/>
      <c r="G241" s="29" t="inlineStr">
        <is>
          <t>Total</t>
        </is>
      </c>
      <c r="H241" s="29" t="n"/>
      <c r="X241" s="29" t="n"/>
      <c r="Y241" s="29" t="n"/>
      <c r="Z241" s="29" t="n"/>
      <c r="AA241" s="29" t="n"/>
      <c r="AB241" s="29" t="n"/>
      <c r="AC241" s="29" t="n"/>
      <c r="AD241" s="29" t="n"/>
      <c r="AE241" s="29" t="n"/>
      <c r="AF241" s="29" t="n"/>
      <c r="AG241" s="29" t="n"/>
      <c r="AH241" s="29" t="n"/>
      <c r="AI241" s="29" t="n"/>
      <c r="AJ241" s="29" t="n"/>
      <c r="AK241" s="29" t="n"/>
      <c r="AL241" s="29" t="n"/>
      <c r="AM241" s="29" t="n"/>
      <c r="AN241" s="29" t="n"/>
      <c r="AO241" s="29" t="n"/>
      <c r="AP241" s="29" t="n"/>
      <c r="AQ241" s="29" t="n"/>
      <c r="AR241" s="29" t="n"/>
      <c r="AS241" s="29" t="n"/>
      <c r="AT241" s="29" t="n"/>
      <c r="AU241" s="29" t="n"/>
      <c r="AV241" s="29" t="n"/>
      <c r="AW241" s="29" t="n"/>
      <c r="AX241" s="29" t="n"/>
      <c r="AY241" s="29" t="n"/>
      <c r="AZ241" s="29" t="n"/>
      <c r="BA241" s="29" t="n"/>
      <c r="BB241" s="29" t="n"/>
      <c r="BC241" s="28" t="n"/>
      <c r="BD241" s="29" t="n"/>
      <c r="BE241" s="29" t="n"/>
      <c r="BF241" s="29" t="n"/>
      <c r="BG241" s="29" t="n"/>
    </row>
    <row r="242">
      <c r="C242" s="31" t="inlineStr">
        <is>
          <t>FEP outlays at their dates (signing, fee, securities, fees, devex)</t>
        </is>
      </c>
      <c r="D242" s="32" t="inlineStr">
        <is>
          <t>EUR k</t>
        </is>
      </c>
      <c r="G242" s="42">
        <f>SUM(X242:BG242)</f>
        <v/>
      </c>
      <c r="X242" s="42">
        <f>SUMPRODUCT((YEAR($H$159:$H$166)=X$208)*$F$159:$F$166)</f>
        <v/>
      </c>
      <c r="Y242" s="42">
        <f>SUMPRODUCT((YEAR($H$159:$H$166)=Y$208)*$F$159:$F$166)</f>
        <v/>
      </c>
      <c r="Z242" s="42">
        <f>SUMPRODUCT((YEAR($H$159:$H$166)=Z$208)*$F$159:$F$166)</f>
        <v/>
      </c>
      <c r="AA242" s="42">
        <f>SUMPRODUCT((YEAR($H$159:$H$166)=AA$208)*$F$159:$F$166)</f>
        <v/>
      </c>
      <c r="AB242" s="42">
        <f>SUMPRODUCT((YEAR($H$159:$H$166)=AB$208)*$F$159:$F$166)</f>
        <v/>
      </c>
      <c r="AC242" s="42">
        <f>SUMPRODUCT((YEAR($H$159:$H$166)=AC$208)*$F$159:$F$166)</f>
        <v/>
      </c>
      <c r="AD242" s="42">
        <f>SUMPRODUCT((YEAR($H$159:$H$166)=AD$208)*$F$159:$F$166)</f>
        <v/>
      </c>
      <c r="AE242" s="42">
        <f>SUMPRODUCT((YEAR($H$159:$H$166)=AE$208)*$F$159:$F$166)</f>
        <v/>
      </c>
      <c r="AF242" s="42">
        <f>SUMPRODUCT((YEAR($H$159:$H$166)=AF$208)*$F$159:$F$166)</f>
        <v/>
      </c>
      <c r="AG242" s="42">
        <f>SUMPRODUCT((YEAR($H$159:$H$166)=AG$208)*$F$159:$F$166)</f>
        <v/>
      </c>
      <c r="AH242" s="42">
        <f>SUMPRODUCT((YEAR($H$159:$H$166)=AH$208)*$F$159:$F$166)</f>
        <v/>
      </c>
      <c r="AI242" s="42">
        <f>SUMPRODUCT((YEAR($H$159:$H$166)=AI$208)*$F$159:$F$166)</f>
        <v/>
      </c>
      <c r="AJ242" s="42">
        <f>SUMPRODUCT((YEAR($H$159:$H$166)=AJ$208)*$F$159:$F$166)</f>
        <v/>
      </c>
      <c r="AK242" s="42">
        <f>SUMPRODUCT((YEAR($H$159:$H$166)=AK$208)*$F$159:$F$166)</f>
        <v/>
      </c>
      <c r="AL242" s="42">
        <f>SUMPRODUCT((YEAR($H$159:$H$166)=AL$208)*$F$159:$F$166)</f>
        <v/>
      </c>
      <c r="AM242" s="42">
        <f>SUMPRODUCT((YEAR($H$159:$H$166)=AM$208)*$F$159:$F$166)</f>
        <v/>
      </c>
      <c r="AN242" s="42">
        <f>SUMPRODUCT((YEAR($H$159:$H$166)=AN$208)*$F$159:$F$166)</f>
        <v/>
      </c>
      <c r="AO242" s="42">
        <f>SUMPRODUCT((YEAR($H$159:$H$166)=AO$208)*$F$159:$F$166)</f>
        <v/>
      </c>
      <c r="AP242" s="42">
        <f>SUMPRODUCT((YEAR($H$159:$H$166)=AP$208)*$F$159:$F$166)</f>
        <v/>
      </c>
      <c r="AQ242" s="42">
        <f>SUMPRODUCT((YEAR($H$159:$H$166)=AQ$208)*$F$159:$F$166)</f>
        <v/>
      </c>
      <c r="AR242" s="42">
        <f>SUMPRODUCT((YEAR($H$159:$H$166)=AR$208)*$F$159:$F$166)</f>
        <v/>
      </c>
      <c r="AS242" s="42">
        <f>SUMPRODUCT((YEAR($H$159:$H$166)=AS$208)*$F$159:$F$166)</f>
        <v/>
      </c>
      <c r="AT242" s="42">
        <f>SUMPRODUCT((YEAR($H$159:$H$166)=AT$208)*$F$159:$F$166)</f>
        <v/>
      </c>
      <c r="AU242" s="42">
        <f>SUMPRODUCT((YEAR($H$159:$H$166)=AU$208)*$F$159:$F$166)</f>
        <v/>
      </c>
      <c r="AV242" s="42">
        <f>SUMPRODUCT((YEAR($H$159:$H$166)=AV$208)*$F$159:$F$166)</f>
        <v/>
      </c>
      <c r="AW242" s="42">
        <f>SUMPRODUCT((YEAR($H$159:$H$166)=AW$208)*$F$159:$F$166)</f>
        <v/>
      </c>
      <c r="AX242" s="42">
        <f>SUMPRODUCT((YEAR($H$159:$H$166)=AX$208)*$F$159:$F$166)</f>
        <v/>
      </c>
      <c r="AY242" s="42">
        <f>SUMPRODUCT((YEAR($H$159:$H$166)=AY$208)*$F$159:$F$166)</f>
        <v/>
      </c>
      <c r="AZ242" s="42">
        <f>SUMPRODUCT((YEAR($H$159:$H$166)=AZ$208)*$F$159:$F$166)</f>
        <v/>
      </c>
      <c r="BA242" s="42">
        <f>SUMPRODUCT((YEAR($H$159:$H$166)=BA$208)*$F$159:$F$166)</f>
        <v/>
      </c>
      <c r="BB242" s="42">
        <f>SUMPRODUCT((YEAR($H$159:$H$166)=BB$208)*$F$159:$F$166)</f>
        <v/>
      </c>
      <c r="BC242" s="42">
        <f>SUMPRODUCT((YEAR($H$159:$H$166)=BC$208)*$F$159:$F$166)</f>
        <v/>
      </c>
      <c r="BD242" s="42">
        <f>SUMPRODUCT((YEAR($H$159:$H$166)=BD$208)*$F$159:$F$166)</f>
        <v/>
      </c>
      <c r="BE242" s="42">
        <f>SUMPRODUCT((YEAR($H$159:$H$166)=BE$208)*$F$159:$F$166)</f>
        <v/>
      </c>
      <c r="BF242" s="42">
        <f>SUMPRODUCT((YEAR($H$159:$H$166)=BF$208)*$F$159:$F$166)</f>
        <v/>
      </c>
      <c r="BG242" s="42">
        <f>SUMPRODUCT((YEAR($H$159:$H$166)=BG$208)*$F$159:$F$166)</f>
        <v/>
      </c>
    </row>
    <row r="243">
      <c r="C243" s="31" t="inlineStr">
        <is>
          <t>Performance security released (bid security included)</t>
        </is>
      </c>
      <c r="D243" s="32" t="inlineStr">
        <is>
          <t>EUR k</t>
        </is>
      </c>
      <c r="G243" s="42">
        <f>SUM(X243:BG243)</f>
        <v/>
      </c>
      <c r="X243" s="42">
        <f>($F$72+$F$73)*(X$208=YEAR($E$42))</f>
        <v/>
      </c>
      <c r="Y243" s="42">
        <f>($F$72+$F$73)*(Y$208=YEAR($E$42))</f>
        <v/>
      </c>
      <c r="Z243" s="42">
        <f>($F$72+$F$73)*(Z$208=YEAR($E$42))</f>
        <v/>
      </c>
      <c r="AA243" s="42">
        <f>($F$72+$F$73)*(AA$208=YEAR($E$42))</f>
        <v/>
      </c>
      <c r="AB243" s="42">
        <f>($F$72+$F$73)*(AB$208=YEAR($E$42))</f>
        <v/>
      </c>
      <c r="AC243" s="42">
        <f>($F$72+$F$73)*(AC$208=YEAR($E$42))</f>
        <v/>
      </c>
      <c r="AD243" s="42">
        <f>($F$72+$F$73)*(AD$208=YEAR($E$42))</f>
        <v/>
      </c>
      <c r="AE243" s="42">
        <f>($F$72+$F$73)*(AE$208=YEAR($E$42))</f>
        <v/>
      </c>
      <c r="AF243" s="42">
        <f>($F$72+$F$73)*(AF$208=YEAR($E$42))</f>
        <v/>
      </c>
      <c r="AG243" s="42">
        <f>($F$72+$F$73)*(AG$208=YEAR($E$42))</f>
        <v/>
      </c>
      <c r="AH243" s="42">
        <f>($F$72+$F$73)*(AH$208=YEAR($E$42))</f>
        <v/>
      </c>
      <c r="AI243" s="42">
        <f>($F$72+$F$73)*(AI$208=YEAR($E$42))</f>
        <v/>
      </c>
      <c r="AJ243" s="42">
        <f>($F$72+$F$73)*(AJ$208=YEAR($E$42))</f>
        <v/>
      </c>
      <c r="AK243" s="42">
        <f>($F$72+$F$73)*(AK$208=YEAR($E$42))</f>
        <v/>
      </c>
      <c r="AL243" s="42">
        <f>($F$72+$F$73)*(AL$208=YEAR($E$42))</f>
        <v/>
      </c>
      <c r="AM243" s="42">
        <f>($F$72+$F$73)*(AM$208=YEAR($E$42))</f>
        <v/>
      </c>
      <c r="AN243" s="42">
        <f>($F$72+$F$73)*(AN$208=YEAR($E$42))</f>
        <v/>
      </c>
      <c r="AO243" s="42">
        <f>($F$72+$F$73)*(AO$208=YEAR($E$42))</f>
        <v/>
      </c>
      <c r="AP243" s="42">
        <f>($F$72+$F$73)*(AP$208=YEAR($E$42))</f>
        <v/>
      </c>
      <c r="AQ243" s="42">
        <f>($F$72+$F$73)*(AQ$208=YEAR($E$42))</f>
        <v/>
      </c>
      <c r="AR243" s="42">
        <f>($F$72+$F$73)*(AR$208=YEAR($E$42))</f>
        <v/>
      </c>
      <c r="AS243" s="42">
        <f>($F$72+$F$73)*(AS$208=YEAR($E$42))</f>
        <v/>
      </c>
      <c r="AT243" s="42">
        <f>($F$72+$F$73)*(AT$208=YEAR($E$42))</f>
        <v/>
      </c>
      <c r="AU243" s="42">
        <f>($F$72+$F$73)*(AU$208=YEAR($E$42))</f>
        <v/>
      </c>
      <c r="AV243" s="42">
        <f>($F$72+$F$73)*(AV$208=YEAR($E$42))</f>
        <v/>
      </c>
      <c r="AW243" s="42">
        <f>($F$72+$F$73)*(AW$208=YEAR($E$42))</f>
        <v/>
      </c>
      <c r="AX243" s="42">
        <f>($F$72+$F$73)*(AX$208=YEAR($E$42))</f>
        <v/>
      </c>
      <c r="AY243" s="42">
        <f>($F$72+$F$73)*(AY$208=YEAR($E$42))</f>
        <v/>
      </c>
      <c r="AZ243" s="42">
        <f>($F$72+$F$73)*(AZ$208=YEAR($E$42))</f>
        <v/>
      </c>
      <c r="BA243" s="42">
        <f>($F$72+$F$73)*(BA$208=YEAR($E$42))</f>
        <v/>
      </c>
      <c r="BB243" s="42">
        <f>($F$72+$F$73)*(BB$208=YEAR($E$42))</f>
        <v/>
      </c>
      <c r="BC243" s="42">
        <f>($F$72+$F$73)*(BC$208=YEAR($E$42))</f>
        <v/>
      </c>
      <c r="BD243" s="42">
        <f>($F$72+$F$73)*(BD$208=YEAR($E$42))</f>
        <v/>
      </c>
      <c r="BE243" s="42">
        <f>($F$72+$F$73)*(BE$208=YEAR($E$42))</f>
        <v/>
      </c>
      <c r="BF243" s="42">
        <f>($F$72+$F$73)*(BF$208=YEAR($E$42))</f>
        <v/>
      </c>
      <c r="BG243" s="42">
        <f>($F$72+$F$73)*(BG$208=YEAR($E$42))</f>
        <v/>
      </c>
    </row>
    <row r="244">
      <c r="C244" s="31" t="inlineStr">
        <is>
          <t>Construction capex (straight-line NTP to COD)</t>
        </is>
      </c>
      <c r="D244" s="32" t="inlineStr">
        <is>
          <t>EUR k</t>
        </is>
      </c>
      <c r="G244" s="42">
        <f>SUM(X244:BG244)</f>
        <v/>
      </c>
      <c r="X244" s="42">
        <f>-$F$201*X$212</f>
        <v/>
      </c>
      <c r="Y244" s="42">
        <f>-$F$201*Y$212</f>
        <v/>
      </c>
      <c r="Z244" s="42">
        <f>-$F$201*Z$212</f>
        <v/>
      </c>
      <c r="AA244" s="42">
        <f>-$F$201*AA$212</f>
        <v/>
      </c>
      <c r="AB244" s="42">
        <f>-$F$201*AB$212</f>
        <v/>
      </c>
      <c r="AC244" s="42">
        <f>-$F$201*AC$212</f>
        <v/>
      </c>
      <c r="AD244" s="42">
        <f>-$F$201*AD$212</f>
        <v/>
      </c>
      <c r="AE244" s="42">
        <f>-$F$201*AE$212</f>
        <v/>
      </c>
      <c r="AF244" s="42">
        <f>-$F$201*AF$212</f>
        <v/>
      </c>
      <c r="AG244" s="42">
        <f>-$F$201*AG$212</f>
        <v/>
      </c>
      <c r="AH244" s="42">
        <f>-$F$201*AH$212</f>
        <v/>
      </c>
      <c r="AI244" s="42">
        <f>-$F$201*AI$212</f>
        <v/>
      </c>
      <c r="AJ244" s="42">
        <f>-$F$201*AJ$212</f>
        <v/>
      </c>
      <c r="AK244" s="42">
        <f>-$F$201*AK$212</f>
        <v/>
      </c>
      <c r="AL244" s="42">
        <f>-$F$201*AL$212</f>
        <v/>
      </c>
      <c r="AM244" s="42">
        <f>-$F$201*AM$212</f>
        <v/>
      </c>
      <c r="AN244" s="42">
        <f>-$F$201*AN$212</f>
        <v/>
      </c>
      <c r="AO244" s="42">
        <f>-$F$201*AO$212</f>
        <v/>
      </c>
      <c r="AP244" s="42">
        <f>-$F$201*AP$212</f>
        <v/>
      </c>
      <c r="AQ244" s="42">
        <f>-$F$201*AQ$212</f>
        <v/>
      </c>
      <c r="AR244" s="42">
        <f>-$F$201*AR$212</f>
        <v/>
      </c>
      <c r="AS244" s="42">
        <f>-$F$201*AS$212</f>
        <v/>
      </c>
      <c r="AT244" s="42">
        <f>-$F$201*AT$212</f>
        <v/>
      </c>
      <c r="AU244" s="42">
        <f>-$F$201*AU$212</f>
        <v/>
      </c>
      <c r="AV244" s="42">
        <f>-$F$201*AV$212</f>
        <v/>
      </c>
      <c r="AW244" s="42">
        <f>-$F$201*AW$212</f>
        <v/>
      </c>
      <c r="AX244" s="42">
        <f>-$F$201*AX$212</f>
        <v/>
      </c>
      <c r="AY244" s="42">
        <f>-$F$201*AY$212</f>
        <v/>
      </c>
      <c r="AZ244" s="42">
        <f>-$F$201*AZ$212</f>
        <v/>
      </c>
      <c r="BA244" s="42">
        <f>-$F$201*BA$212</f>
        <v/>
      </c>
      <c r="BB244" s="42">
        <f>-$F$201*BB$212</f>
        <v/>
      </c>
      <c r="BC244" s="42">
        <f>-$F$201*BC$212</f>
        <v/>
      </c>
      <c r="BD244" s="42">
        <f>-$F$201*BD$212</f>
        <v/>
      </c>
      <c r="BE244" s="42">
        <f>-$F$201*BE$212</f>
        <v/>
      </c>
      <c r="BF244" s="42">
        <f>-$F$201*BF$212</f>
        <v/>
      </c>
      <c r="BG244" s="42">
        <f>-$F$201*BG$212</f>
        <v/>
      </c>
    </row>
    <row r="245">
      <c r="C245" s="31" t="inlineStr">
        <is>
          <t>Municipal one-off at COD</t>
        </is>
      </c>
      <c r="D245" s="32" t="inlineStr">
        <is>
          <t>EUR k</t>
        </is>
      </c>
      <c r="G245" s="42">
        <f>SUM(X245:BG245)</f>
        <v/>
      </c>
      <c r="X245" s="42">
        <f>-$F$203*X$215</f>
        <v/>
      </c>
      <c r="Y245" s="42">
        <f>-$F$203*Y$215</f>
        <v/>
      </c>
      <c r="Z245" s="42">
        <f>-$F$203*Z$215</f>
        <v/>
      </c>
      <c r="AA245" s="42">
        <f>-$F$203*AA$215</f>
        <v/>
      </c>
      <c r="AB245" s="42">
        <f>-$F$203*AB$215</f>
        <v/>
      </c>
      <c r="AC245" s="42">
        <f>-$F$203*AC$215</f>
        <v/>
      </c>
      <c r="AD245" s="42">
        <f>-$F$203*AD$215</f>
        <v/>
      </c>
      <c r="AE245" s="42">
        <f>-$F$203*AE$215</f>
        <v/>
      </c>
      <c r="AF245" s="42">
        <f>-$F$203*AF$215</f>
        <v/>
      </c>
      <c r="AG245" s="42">
        <f>-$F$203*AG$215</f>
        <v/>
      </c>
      <c r="AH245" s="42">
        <f>-$F$203*AH$215</f>
        <v/>
      </c>
      <c r="AI245" s="42">
        <f>-$F$203*AI$215</f>
        <v/>
      </c>
      <c r="AJ245" s="42">
        <f>-$F$203*AJ$215</f>
        <v/>
      </c>
      <c r="AK245" s="42">
        <f>-$F$203*AK$215</f>
        <v/>
      </c>
      <c r="AL245" s="42">
        <f>-$F$203*AL$215</f>
        <v/>
      </c>
      <c r="AM245" s="42">
        <f>-$F$203*AM$215</f>
        <v/>
      </c>
      <c r="AN245" s="42">
        <f>-$F$203*AN$215</f>
        <v/>
      </c>
      <c r="AO245" s="42">
        <f>-$F$203*AO$215</f>
        <v/>
      </c>
      <c r="AP245" s="42">
        <f>-$F$203*AP$215</f>
        <v/>
      </c>
      <c r="AQ245" s="42">
        <f>-$F$203*AQ$215</f>
        <v/>
      </c>
      <c r="AR245" s="42">
        <f>-$F$203*AR$215</f>
        <v/>
      </c>
      <c r="AS245" s="42">
        <f>-$F$203*AS$215</f>
        <v/>
      </c>
      <c r="AT245" s="42">
        <f>-$F$203*AT$215</f>
        <v/>
      </c>
      <c r="AU245" s="42">
        <f>-$F$203*AU$215</f>
        <v/>
      </c>
      <c r="AV245" s="42">
        <f>-$F$203*AV$215</f>
        <v/>
      </c>
      <c r="AW245" s="42">
        <f>-$F$203*AW$215</f>
        <v/>
      </c>
      <c r="AX245" s="42">
        <f>-$F$203*AX$215</f>
        <v/>
      </c>
      <c r="AY245" s="42">
        <f>-$F$203*AY$215</f>
        <v/>
      </c>
      <c r="AZ245" s="42">
        <f>-$F$203*AZ$215</f>
        <v/>
      </c>
      <c r="BA245" s="42">
        <f>-$F$203*BA$215</f>
        <v/>
      </c>
      <c r="BB245" s="42">
        <f>-$F$203*BB$215</f>
        <v/>
      </c>
      <c r="BC245" s="42">
        <f>-$F$203*BC$215</f>
        <v/>
      </c>
      <c r="BD245" s="42">
        <f>-$F$203*BD$215</f>
        <v/>
      </c>
      <c r="BE245" s="42">
        <f>-$F$203*BE$215</f>
        <v/>
      </c>
      <c r="BF245" s="42">
        <f>-$F$203*BF$215</f>
        <v/>
      </c>
      <c r="BG245" s="42">
        <f>-$F$203*BG$215</f>
        <v/>
      </c>
    </row>
    <row r="246">
      <c r="C246" s="46" t="inlineStr">
        <is>
          <t>Investment cash flow</t>
        </is>
      </c>
      <c r="D246" s="32" t="inlineStr">
        <is>
          <t>EUR k</t>
        </is>
      </c>
      <c r="G246" s="48">
        <f>SUM(X246:BG246)</f>
        <v/>
      </c>
      <c r="X246" s="48">
        <f>SUM(X242:X245)</f>
        <v/>
      </c>
      <c r="Y246" s="48">
        <f>SUM(Y242:Y245)</f>
        <v/>
      </c>
      <c r="Z246" s="48">
        <f>SUM(Z242:Z245)</f>
        <v/>
      </c>
      <c r="AA246" s="48">
        <f>SUM(AA242:AA245)</f>
        <v/>
      </c>
      <c r="AB246" s="48">
        <f>SUM(AB242:AB245)</f>
        <v/>
      </c>
      <c r="AC246" s="48">
        <f>SUM(AC242:AC245)</f>
        <v/>
      </c>
      <c r="AD246" s="48">
        <f>SUM(AD242:AD245)</f>
        <v/>
      </c>
      <c r="AE246" s="48">
        <f>SUM(AE242:AE245)</f>
        <v/>
      </c>
      <c r="AF246" s="48">
        <f>SUM(AF242:AF245)</f>
        <v/>
      </c>
      <c r="AG246" s="48">
        <f>SUM(AG242:AG245)</f>
        <v/>
      </c>
      <c r="AH246" s="48">
        <f>SUM(AH242:AH245)</f>
        <v/>
      </c>
      <c r="AI246" s="48">
        <f>SUM(AI242:AI245)</f>
        <v/>
      </c>
      <c r="AJ246" s="48">
        <f>SUM(AJ242:AJ245)</f>
        <v/>
      </c>
      <c r="AK246" s="48">
        <f>SUM(AK242:AK245)</f>
        <v/>
      </c>
      <c r="AL246" s="48">
        <f>SUM(AL242:AL245)</f>
        <v/>
      </c>
      <c r="AM246" s="48">
        <f>SUM(AM242:AM245)</f>
        <v/>
      </c>
      <c r="AN246" s="48">
        <f>SUM(AN242:AN245)</f>
        <v/>
      </c>
      <c r="AO246" s="48">
        <f>SUM(AO242:AO245)</f>
        <v/>
      </c>
      <c r="AP246" s="48">
        <f>SUM(AP242:AP245)</f>
        <v/>
      </c>
      <c r="AQ246" s="48">
        <f>SUM(AQ242:AQ245)</f>
        <v/>
      </c>
      <c r="AR246" s="48">
        <f>SUM(AR242:AR245)</f>
        <v/>
      </c>
      <c r="AS246" s="48">
        <f>SUM(AS242:AS245)</f>
        <v/>
      </c>
      <c r="AT246" s="48">
        <f>SUM(AT242:AT245)</f>
        <v/>
      </c>
      <c r="AU246" s="48">
        <f>SUM(AU242:AU245)</f>
        <v/>
      </c>
      <c r="AV246" s="48">
        <f>SUM(AV242:AV245)</f>
        <v/>
      </c>
      <c r="AW246" s="48">
        <f>SUM(AW242:AW245)</f>
        <v/>
      </c>
      <c r="AX246" s="48">
        <f>SUM(AX242:AX245)</f>
        <v/>
      </c>
      <c r="AY246" s="48">
        <f>SUM(AY242:AY245)</f>
        <v/>
      </c>
      <c r="AZ246" s="48">
        <f>SUM(AZ242:AZ245)</f>
        <v/>
      </c>
      <c r="BA246" s="48">
        <f>SUM(BA242:BA245)</f>
        <v/>
      </c>
      <c r="BB246" s="48">
        <f>SUM(BB242:BB245)</f>
        <v/>
      </c>
      <c r="BC246" s="48">
        <f>SUM(BC242:BC245)</f>
        <v/>
      </c>
      <c r="BD246" s="48">
        <f>SUM(BD242:BD245)</f>
        <v/>
      </c>
      <c r="BE246" s="48">
        <f>SUM(BE242:BE245)</f>
        <v/>
      </c>
      <c r="BF246" s="48">
        <f>SUM(BF242:BF245)</f>
        <v/>
      </c>
      <c r="BG246" s="48">
        <f>SUM(BG242:BG245)</f>
        <v/>
      </c>
    </row>
    <row r="247">
      <c r="C247" s="31" t="inlineStr">
        <is>
          <t>Degradation factor (from the first full year)</t>
        </is>
      </c>
      <c r="D247" s="32" t="inlineStr">
        <is>
          <t>x</t>
        </is>
      </c>
      <c r="X247" s="54">
        <f>(1-$F$116)^MAX(X$210-1,0)</f>
        <v/>
      </c>
      <c r="Y247" s="54">
        <f>(1-$F$116)^MAX(Y$210-1,0)</f>
        <v/>
      </c>
      <c r="Z247" s="54">
        <f>(1-$F$116)^MAX(Z$210-1,0)</f>
        <v/>
      </c>
      <c r="AA247" s="54">
        <f>(1-$F$116)^MAX(AA$210-1,0)</f>
        <v/>
      </c>
      <c r="AB247" s="54">
        <f>(1-$F$116)^MAX(AB$210-1,0)</f>
        <v/>
      </c>
      <c r="AC247" s="54">
        <f>(1-$F$116)^MAX(AC$210-1,0)</f>
        <v/>
      </c>
      <c r="AD247" s="54">
        <f>(1-$F$116)^MAX(AD$210-1,0)</f>
        <v/>
      </c>
      <c r="AE247" s="54">
        <f>(1-$F$116)^MAX(AE$210-1,0)</f>
        <v/>
      </c>
      <c r="AF247" s="54">
        <f>(1-$F$116)^MAX(AF$210-1,0)</f>
        <v/>
      </c>
      <c r="AG247" s="54">
        <f>(1-$F$116)^MAX(AG$210-1,0)</f>
        <v/>
      </c>
      <c r="AH247" s="54">
        <f>(1-$F$116)^MAX(AH$210-1,0)</f>
        <v/>
      </c>
      <c r="AI247" s="54">
        <f>(1-$F$116)^MAX(AI$210-1,0)</f>
        <v/>
      </c>
      <c r="AJ247" s="54">
        <f>(1-$F$116)^MAX(AJ$210-1,0)</f>
        <v/>
      </c>
      <c r="AK247" s="54">
        <f>(1-$F$116)^MAX(AK$210-1,0)</f>
        <v/>
      </c>
      <c r="AL247" s="54">
        <f>(1-$F$116)^MAX(AL$210-1,0)</f>
        <v/>
      </c>
      <c r="AM247" s="54">
        <f>(1-$F$116)^MAX(AM$210-1,0)</f>
        <v/>
      </c>
      <c r="AN247" s="54">
        <f>(1-$F$116)^MAX(AN$210-1,0)</f>
        <v/>
      </c>
      <c r="AO247" s="54">
        <f>(1-$F$116)^MAX(AO$210-1,0)</f>
        <v/>
      </c>
      <c r="AP247" s="54">
        <f>(1-$F$116)^MAX(AP$210-1,0)</f>
        <v/>
      </c>
      <c r="AQ247" s="54">
        <f>(1-$F$116)^MAX(AQ$210-1,0)</f>
        <v/>
      </c>
      <c r="AR247" s="54">
        <f>(1-$F$116)^MAX(AR$210-1,0)</f>
        <v/>
      </c>
      <c r="AS247" s="54">
        <f>(1-$F$116)^MAX(AS$210-1,0)</f>
        <v/>
      </c>
      <c r="AT247" s="54">
        <f>(1-$F$116)^MAX(AT$210-1,0)</f>
        <v/>
      </c>
      <c r="AU247" s="54">
        <f>(1-$F$116)^MAX(AU$210-1,0)</f>
        <v/>
      </c>
      <c r="AV247" s="54">
        <f>(1-$F$116)^MAX(AV$210-1,0)</f>
        <v/>
      </c>
      <c r="AW247" s="54">
        <f>(1-$F$116)^MAX(AW$210-1,0)</f>
        <v/>
      </c>
      <c r="AX247" s="54">
        <f>(1-$F$116)^MAX(AX$210-1,0)</f>
        <v/>
      </c>
      <c r="AY247" s="54">
        <f>(1-$F$116)^MAX(AY$210-1,0)</f>
        <v/>
      </c>
      <c r="AZ247" s="54">
        <f>(1-$F$116)^MAX(AZ$210-1,0)</f>
        <v/>
      </c>
      <c r="BA247" s="54">
        <f>(1-$F$116)^MAX(BA$210-1,0)</f>
        <v/>
      </c>
      <c r="BB247" s="54">
        <f>(1-$F$116)^MAX(BB$210-1,0)</f>
        <v/>
      </c>
      <c r="BC247" s="54">
        <f>(1-$F$116)^MAX(BC$210-1,0)</f>
        <v/>
      </c>
      <c r="BD247" s="54">
        <f>(1-$F$116)^MAX(BD$210-1,0)</f>
        <v/>
      </c>
      <c r="BE247" s="54">
        <f>(1-$F$116)^MAX(BE$210-1,0)</f>
        <v/>
      </c>
      <c r="BF247" s="54">
        <f>(1-$F$116)^MAX(BF$210-1,0)</f>
        <v/>
      </c>
      <c r="BG247" s="54">
        <f>(1-$F$116)^MAX(BG$210-1,0)</f>
        <v/>
      </c>
    </row>
    <row r="248">
      <c r="C248" s="31" t="inlineStr">
        <is>
          <t>Net generation</t>
        </is>
      </c>
      <c r="D248" s="32" t="inlineStr">
        <is>
          <t>GWh</t>
        </is>
      </c>
      <c r="G248" s="49">
        <f>SUM(X248:BG248)</f>
        <v/>
      </c>
      <c r="X248" s="49">
        <f>$F$190*$F$113*(1-$F$114)*(1-$F$115)*X$214*X247/Thousand</f>
        <v/>
      </c>
      <c r="Y248" s="49">
        <f>$F$190*$F$113*(1-$F$114)*(1-$F$115)*Y$214*Y247/Thousand</f>
        <v/>
      </c>
      <c r="Z248" s="49">
        <f>$F$190*$F$113*(1-$F$114)*(1-$F$115)*Z$214*Z247/Thousand</f>
        <v/>
      </c>
      <c r="AA248" s="49">
        <f>$F$190*$F$113*(1-$F$114)*(1-$F$115)*AA$214*AA247/Thousand</f>
        <v/>
      </c>
      <c r="AB248" s="49">
        <f>$F$190*$F$113*(1-$F$114)*(1-$F$115)*AB$214*AB247/Thousand</f>
        <v/>
      </c>
      <c r="AC248" s="49">
        <f>$F$190*$F$113*(1-$F$114)*(1-$F$115)*AC$214*AC247/Thousand</f>
        <v/>
      </c>
      <c r="AD248" s="49">
        <f>$F$190*$F$113*(1-$F$114)*(1-$F$115)*AD$214*AD247/Thousand</f>
        <v/>
      </c>
      <c r="AE248" s="49">
        <f>$F$190*$F$113*(1-$F$114)*(1-$F$115)*AE$214*AE247/Thousand</f>
        <v/>
      </c>
      <c r="AF248" s="49">
        <f>$F$190*$F$113*(1-$F$114)*(1-$F$115)*AF$214*AF247/Thousand</f>
        <v/>
      </c>
      <c r="AG248" s="49">
        <f>$F$190*$F$113*(1-$F$114)*(1-$F$115)*AG$214*AG247/Thousand</f>
        <v/>
      </c>
      <c r="AH248" s="49">
        <f>$F$190*$F$113*(1-$F$114)*(1-$F$115)*AH$214*AH247/Thousand</f>
        <v/>
      </c>
      <c r="AI248" s="49">
        <f>$F$190*$F$113*(1-$F$114)*(1-$F$115)*AI$214*AI247/Thousand</f>
        <v/>
      </c>
      <c r="AJ248" s="49">
        <f>$F$190*$F$113*(1-$F$114)*(1-$F$115)*AJ$214*AJ247/Thousand</f>
        <v/>
      </c>
      <c r="AK248" s="49">
        <f>$F$190*$F$113*(1-$F$114)*(1-$F$115)*AK$214*AK247/Thousand</f>
        <v/>
      </c>
      <c r="AL248" s="49">
        <f>$F$190*$F$113*(1-$F$114)*(1-$F$115)*AL$214*AL247/Thousand</f>
        <v/>
      </c>
      <c r="AM248" s="49">
        <f>$F$190*$F$113*(1-$F$114)*(1-$F$115)*AM$214*AM247/Thousand</f>
        <v/>
      </c>
      <c r="AN248" s="49">
        <f>$F$190*$F$113*(1-$F$114)*(1-$F$115)*AN$214*AN247/Thousand</f>
        <v/>
      </c>
      <c r="AO248" s="49">
        <f>$F$190*$F$113*(1-$F$114)*(1-$F$115)*AO$214*AO247/Thousand</f>
        <v/>
      </c>
      <c r="AP248" s="49">
        <f>$F$190*$F$113*(1-$F$114)*(1-$F$115)*AP$214*AP247/Thousand</f>
        <v/>
      </c>
      <c r="AQ248" s="49">
        <f>$F$190*$F$113*(1-$F$114)*(1-$F$115)*AQ$214*AQ247/Thousand</f>
        <v/>
      </c>
      <c r="AR248" s="49">
        <f>$F$190*$F$113*(1-$F$114)*(1-$F$115)*AR$214*AR247/Thousand</f>
        <v/>
      </c>
      <c r="AS248" s="49">
        <f>$F$190*$F$113*(1-$F$114)*(1-$F$115)*AS$214*AS247/Thousand</f>
        <v/>
      </c>
      <c r="AT248" s="49">
        <f>$F$190*$F$113*(1-$F$114)*(1-$F$115)*AT$214*AT247/Thousand</f>
        <v/>
      </c>
      <c r="AU248" s="49">
        <f>$F$190*$F$113*(1-$F$114)*(1-$F$115)*AU$214*AU247/Thousand</f>
        <v/>
      </c>
      <c r="AV248" s="49">
        <f>$F$190*$F$113*(1-$F$114)*(1-$F$115)*AV$214*AV247/Thousand</f>
        <v/>
      </c>
      <c r="AW248" s="49">
        <f>$F$190*$F$113*(1-$F$114)*(1-$F$115)*AW$214*AW247/Thousand</f>
        <v/>
      </c>
      <c r="AX248" s="49">
        <f>$F$190*$F$113*(1-$F$114)*(1-$F$115)*AX$214*AX247/Thousand</f>
        <v/>
      </c>
      <c r="AY248" s="49">
        <f>$F$190*$F$113*(1-$F$114)*(1-$F$115)*AY$214*AY247/Thousand</f>
        <v/>
      </c>
      <c r="AZ248" s="49">
        <f>$F$190*$F$113*(1-$F$114)*(1-$F$115)*AZ$214*AZ247/Thousand</f>
        <v/>
      </c>
      <c r="BA248" s="49">
        <f>$F$190*$F$113*(1-$F$114)*(1-$F$115)*BA$214*BA247/Thousand</f>
        <v/>
      </c>
      <c r="BB248" s="49">
        <f>$F$190*$F$113*(1-$F$114)*(1-$F$115)*BB$214*BB247/Thousand</f>
        <v/>
      </c>
      <c r="BC248" s="49">
        <f>$F$190*$F$113*(1-$F$114)*(1-$F$115)*BC$214*BC247/Thousand</f>
        <v/>
      </c>
      <c r="BD248" s="49">
        <f>$F$190*$F$113*(1-$F$114)*(1-$F$115)*BD$214*BD247/Thousand</f>
        <v/>
      </c>
      <c r="BE248" s="49">
        <f>$F$190*$F$113*(1-$F$114)*(1-$F$115)*BE$214*BE247/Thousand</f>
        <v/>
      </c>
      <c r="BF248" s="49">
        <f>$F$190*$F$113*(1-$F$114)*(1-$F$115)*BF$214*BF247/Thousand</f>
        <v/>
      </c>
      <c r="BG248" s="49">
        <f>$F$190*$F$113*(1-$F$114)*(1-$F$115)*BG$214*BG247/Thousand</f>
        <v/>
      </c>
    </row>
    <row r="249">
      <c r="C249" s="31" t="inlineStr">
        <is>
          <t>PPA price</t>
        </is>
      </c>
      <c r="D249" s="32" t="inlineStr">
        <is>
          <t>EUR/MWh</t>
        </is>
      </c>
      <c r="X249" s="49">
        <f>$F$117*(1+$F$118)^X$210*(X$214&gt;0)</f>
        <v/>
      </c>
      <c r="Y249" s="49">
        <f>$F$117*(1+$F$118)^Y$210*(Y$214&gt;0)</f>
        <v/>
      </c>
      <c r="Z249" s="49">
        <f>$F$117*(1+$F$118)^Z$210*(Z$214&gt;0)</f>
        <v/>
      </c>
      <c r="AA249" s="49">
        <f>$F$117*(1+$F$118)^AA$210*(AA$214&gt;0)</f>
        <v/>
      </c>
      <c r="AB249" s="49">
        <f>$F$117*(1+$F$118)^AB$210*(AB$214&gt;0)</f>
        <v/>
      </c>
      <c r="AC249" s="49">
        <f>$F$117*(1+$F$118)^AC$210*(AC$214&gt;0)</f>
        <v/>
      </c>
      <c r="AD249" s="49">
        <f>$F$117*(1+$F$118)^AD$210*(AD$214&gt;0)</f>
        <v/>
      </c>
      <c r="AE249" s="49">
        <f>$F$117*(1+$F$118)^AE$210*(AE$214&gt;0)</f>
        <v/>
      </c>
      <c r="AF249" s="49">
        <f>$F$117*(1+$F$118)^AF$210*(AF$214&gt;0)</f>
        <v/>
      </c>
      <c r="AG249" s="49">
        <f>$F$117*(1+$F$118)^AG$210*(AG$214&gt;0)</f>
        <v/>
      </c>
      <c r="AH249" s="49">
        <f>$F$117*(1+$F$118)^AH$210*(AH$214&gt;0)</f>
        <v/>
      </c>
      <c r="AI249" s="49">
        <f>$F$117*(1+$F$118)^AI$210*(AI$214&gt;0)</f>
        <v/>
      </c>
      <c r="AJ249" s="49">
        <f>$F$117*(1+$F$118)^AJ$210*(AJ$214&gt;0)</f>
        <v/>
      </c>
      <c r="AK249" s="49">
        <f>$F$117*(1+$F$118)^AK$210*(AK$214&gt;0)</f>
        <v/>
      </c>
      <c r="AL249" s="49">
        <f>$F$117*(1+$F$118)^AL$210*(AL$214&gt;0)</f>
        <v/>
      </c>
      <c r="AM249" s="49">
        <f>$F$117*(1+$F$118)^AM$210*(AM$214&gt;0)</f>
        <v/>
      </c>
      <c r="AN249" s="49">
        <f>$F$117*(1+$F$118)^AN$210*(AN$214&gt;0)</f>
        <v/>
      </c>
      <c r="AO249" s="49">
        <f>$F$117*(1+$F$118)^AO$210*(AO$214&gt;0)</f>
        <v/>
      </c>
      <c r="AP249" s="49">
        <f>$F$117*(1+$F$118)^AP$210*(AP$214&gt;0)</f>
        <v/>
      </c>
      <c r="AQ249" s="49">
        <f>$F$117*(1+$F$118)^AQ$210*(AQ$214&gt;0)</f>
        <v/>
      </c>
      <c r="AR249" s="49">
        <f>$F$117*(1+$F$118)^AR$210*(AR$214&gt;0)</f>
        <v/>
      </c>
      <c r="AS249" s="49">
        <f>$F$117*(1+$F$118)^AS$210*(AS$214&gt;0)</f>
        <v/>
      </c>
      <c r="AT249" s="49">
        <f>$F$117*(1+$F$118)^AT$210*(AT$214&gt;0)</f>
        <v/>
      </c>
      <c r="AU249" s="49">
        <f>$F$117*(1+$F$118)^AU$210*(AU$214&gt;0)</f>
        <v/>
      </c>
      <c r="AV249" s="49">
        <f>$F$117*(1+$F$118)^AV$210*(AV$214&gt;0)</f>
        <v/>
      </c>
      <c r="AW249" s="49">
        <f>$F$117*(1+$F$118)^AW$210*(AW$214&gt;0)</f>
        <v/>
      </c>
      <c r="AX249" s="49">
        <f>$F$117*(1+$F$118)^AX$210*(AX$214&gt;0)</f>
        <v/>
      </c>
      <c r="AY249" s="49">
        <f>$F$117*(1+$F$118)^AY$210*(AY$214&gt;0)</f>
        <v/>
      </c>
      <c r="AZ249" s="49">
        <f>$F$117*(1+$F$118)^AZ$210*(AZ$214&gt;0)</f>
        <v/>
      </c>
      <c r="BA249" s="49">
        <f>$F$117*(1+$F$118)^BA$210*(BA$214&gt;0)</f>
        <v/>
      </c>
      <c r="BB249" s="49">
        <f>$F$117*(1+$F$118)^BB$210*(BB$214&gt;0)</f>
        <v/>
      </c>
      <c r="BC249" s="49">
        <f>$F$117*(1+$F$118)^BC$210*(BC$214&gt;0)</f>
        <v/>
      </c>
      <c r="BD249" s="49">
        <f>$F$117*(1+$F$118)^BD$210*(BD$214&gt;0)</f>
        <v/>
      </c>
      <c r="BE249" s="49">
        <f>$F$117*(1+$F$118)^BE$210*(BE$214&gt;0)</f>
        <v/>
      </c>
      <c r="BF249" s="49">
        <f>$F$117*(1+$F$118)^BF$210*(BF$214&gt;0)</f>
        <v/>
      </c>
      <c r="BG249" s="49">
        <f>$F$117*(1+$F$118)^BG$210*(BG$214&gt;0)</f>
        <v/>
      </c>
    </row>
    <row r="250">
      <c r="C250" s="46" t="inlineStr">
        <is>
          <t>Revenue</t>
        </is>
      </c>
      <c r="D250" s="32" t="inlineStr">
        <is>
          <t>EUR k</t>
        </is>
      </c>
      <c r="G250" s="47">
        <f>SUM(X250:BG250)</f>
        <v/>
      </c>
      <c r="X250" s="47">
        <f>X248*X249</f>
        <v/>
      </c>
      <c r="Y250" s="47">
        <f>Y248*Y249</f>
        <v/>
      </c>
      <c r="Z250" s="47">
        <f>Z248*Z249</f>
        <v/>
      </c>
      <c r="AA250" s="47">
        <f>AA248*AA249</f>
        <v/>
      </c>
      <c r="AB250" s="47">
        <f>AB248*AB249</f>
        <v/>
      </c>
      <c r="AC250" s="47">
        <f>AC248*AC249</f>
        <v/>
      </c>
      <c r="AD250" s="47">
        <f>AD248*AD249</f>
        <v/>
      </c>
      <c r="AE250" s="47">
        <f>AE248*AE249</f>
        <v/>
      </c>
      <c r="AF250" s="47">
        <f>AF248*AF249</f>
        <v/>
      </c>
      <c r="AG250" s="47">
        <f>AG248*AG249</f>
        <v/>
      </c>
      <c r="AH250" s="47">
        <f>AH248*AH249</f>
        <v/>
      </c>
      <c r="AI250" s="47">
        <f>AI248*AI249</f>
        <v/>
      </c>
      <c r="AJ250" s="47">
        <f>AJ248*AJ249</f>
        <v/>
      </c>
      <c r="AK250" s="47">
        <f>AK248*AK249</f>
        <v/>
      </c>
      <c r="AL250" s="47">
        <f>AL248*AL249</f>
        <v/>
      </c>
      <c r="AM250" s="47">
        <f>AM248*AM249</f>
        <v/>
      </c>
      <c r="AN250" s="47">
        <f>AN248*AN249</f>
        <v/>
      </c>
      <c r="AO250" s="47">
        <f>AO248*AO249</f>
        <v/>
      </c>
      <c r="AP250" s="47">
        <f>AP248*AP249</f>
        <v/>
      </c>
      <c r="AQ250" s="47">
        <f>AQ248*AQ249</f>
        <v/>
      </c>
      <c r="AR250" s="47">
        <f>AR248*AR249</f>
        <v/>
      </c>
      <c r="AS250" s="47">
        <f>AS248*AS249</f>
        <v/>
      </c>
      <c r="AT250" s="47">
        <f>AT248*AT249</f>
        <v/>
      </c>
      <c r="AU250" s="47">
        <f>AU248*AU249</f>
        <v/>
      </c>
      <c r="AV250" s="47">
        <f>AV248*AV249</f>
        <v/>
      </c>
      <c r="AW250" s="47">
        <f>AW248*AW249</f>
        <v/>
      </c>
      <c r="AX250" s="47">
        <f>AX248*AX249</f>
        <v/>
      </c>
      <c r="AY250" s="47">
        <f>AY248*AY249</f>
        <v/>
      </c>
      <c r="AZ250" s="47">
        <f>AZ248*AZ249</f>
        <v/>
      </c>
      <c r="BA250" s="47">
        <f>BA248*BA249</f>
        <v/>
      </c>
      <c r="BB250" s="47">
        <f>BB248*BB249</f>
        <v/>
      </c>
      <c r="BC250" s="47">
        <f>BC248*BC249</f>
        <v/>
      </c>
      <c r="BD250" s="47">
        <f>BD248*BD249</f>
        <v/>
      </c>
      <c r="BE250" s="47">
        <f>BE248*BE249</f>
        <v/>
      </c>
      <c r="BF250" s="47">
        <f>BF248*BF249</f>
        <v/>
      </c>
      <c r="BG250" s="47">
        <f>BG248*BG249</f>
        <v/>
      </c>
    </row>
    <row r="251">
      <c r="C251" s="31" t="inlineStr">
        <is>
          <t>Opex index (COD year = 1)</t>
        </is>
      </c>
      <c r="D251" s="32" t="inlineStr">
        <is>
          <t>x</t>
        </is>
      </c>
      <c r="X251" s="54">
        <f>(1+$F$132)^X$210</f>
        <v/>
      </c>
      <c r="Y251" s="54">
        <f>(1+$F$132)^Y$210</f>
        <v/>
      </c>
      <c r="Z251" s="54">
        <f>(1+$F$132)^Z$210</f>
        <v/>
      </c>
      <c r="AA251" s="54">
        <f>(1+$F$132)^AA$210</f>
        <v/>
      </c>
      <c r="AB251" s="54">
        <f>(1+$F$132)^AB$210</f>
        <v/>
      </c>
      <c r="AC251" s="54">
        <f>(1+$F$132)^AC$210</f>
        <v/>
      </c>
      <c r="AD251" s="54">
        <f>(1+$F$132)^AD$210</f>
        <v/>
      </c>
      <c r="AE251" s="54">
        <f>(1+$F$132)^AE$210</f>
        <v/>
      </c>
      <c r="AF251" s="54">
        <f>(1+$F$132)^AF$210</f>
        <v/>
      </c>
      <c r="AG251" s="54">
        <f>(1+$F$132)^AG$210</f>
        <v/>
      </c>
      <c r="AH251" s="54">
        <f>(1+$F$132)^AH$210</f>
        <v/>
      </c>
      <c r="AI251" s="54">
        <f>(1+$F$132)^AI$210</f>
        <v/>
      </c>
      <c r="AJ251" s="54">
        <f>(1+$F$132)^AJ$210</f>
        <v/>
      </c>
      <c r="AK251" s="54">
        <f>(1+$F$132)^AK$210</f>
        <v/>
      </c>
      <c r="AL251" s="54">
        <f>(1+$F$132)^AL$210</f>
        <v/>
      </c>
      <c r="AM251" s="54">
        <f>(1+$F$132)^AM$210</f>
        <v/>
      </c>
      <c r="AN251" s="54">
        <f>(1+$F$132)^AN$210</f>
        <v/>
      </c>
      <c r="AO251" s="54">
        <f>(1+$F$132)^AO$210</f>
        <v/>
      </c>
      <c r="AP251" s="54">
        <f>(1+$F$132)^AP$210</f>
        <v/>
      </c>
      <c r="AQ251" s="54">
        <f>(1+$F$132)^AQ$210</f>
        <v/>
      </c>
      <c r="AR251" s="54">
        <f>(1+$F$132)^AR$210</f>
        <v/>
      </c>
      <c r="AS251" s="54">
        <f>(1+$F$132)^AS$210</f>
        <v/>
      </c>
      <c r="AT251" s="54">
        <f>(1+$F$132)^AT$210</f>
        <v/>
      </c>
      <c r="AU251" s="54">
        <f>(1+$F$132)^AU$210</f>
        <v/>
      </c>
      <c r="AV251" s="54">
        <f>(1+$F$132)^AV$210</f>
        <v/>
      </c>
      <c r="AW251" s="54">
        <f>(1+$F$132)^AW$210</f>
        <v/>
      </c>
      <c r="AX251" s="54">
        <f>(1+$F$132)^AX$210</f>
        <v/>
      </c>
      <c r="AY251" s="54">
        <f>(1+$F$132)^AY$210</f>
        <v/>
      </c>
      <c r="AZ251" s="54">
        <f>(1+$F$132)^AZ$210</f>
        <v/>
      </c>
      <c r="BA251" s="54">
        <f>(1+$F$132)^BA$210</f>
        <v/>
      </c>
      <c r="BB251" s="54">
        <f>(1+$F$132)^BB$210</f>
        <v/>
      </c>
      <c r="BC251" s="54">
        <f>(1+$F$132)^BC$210</f>
        <v/>
      </c>
      <c r="BD251" s="54">
        <f>(1+$F$132)^BD$210</f>
        <v/>
      </c>
      <c r="BE251" s="54">
        <f>(1+$F$132)^BE$210</f>
        <v/>
      </c>
      <c r="BF251" s="54">
        <f>(1+$F$132)^BF$210</f>
        <v/>
      </c>
      <c r="BG251" s="54">
        <f>(1+$F$132)^BG$210</f>
        <v/>
      </c>
    </row>
    <row r="252">
      <c r="C252" s="31" t="inlineStr">
        <is>
          <t>O&amp;M, BoP, lease, insurance, management, property tax</t>
        </is>
      </c>
      <c r="D252" s="32" t="inlineStr">
        <is>
          <t>EUR k</t>
        </is>
      </c>
      <c r="G252" s="42">
        <f>SUM(X252:BG252)</f>
        <v/>
      </c>
      <c r="X252" s="42">
        <f>-SUM($F$120:$F$125)*$F$190*X251*X$214</f>
        <v/>
      </c>
      <c r="Y252" s="42">
        <f>-SUM($F$120:$F$125)*$F$190*Y251*Y$214</f>
        <v/>
      </c>
      <c r="Z252" s="42">
        <f>-SUM($F$120:$F$125)*$F$190*Z251*Z$214</f>
        <v/>
      </c>
      <c r="AA252" s="42">
        <f>-SUM($F$120:$F$125)*$F$190*AA251*AA$214</f>
        <v/>
      </c>
      <c r="AB252" s="42">
        <f>-SUM($F$120:$F$125)*$F$190*AB251*AB$214</f>
        <v/>
      </c>
      <c r="AC252" s="42">
        <f>-SUM($F$120:$F$125)*$F$190*AC251*AC$214</f>
        <v/>
      </c>
      <c r="AD252" s="42">
        <f>-SUM($F$120:$F$125)*$F$190*AD251*AD$214</f>
        <v/>
      </c>
      <c r="AE252" s="42">
        <f>-SUM($F$120:$F$125)*$F$190*AE251*AE$214</f>
        <v/>
      </c>
      <c r="AF252" s="42">
        <f>-SUM($F$120:$F$125)*$F$190*AF251*AF$214</f>
        <v/>
      </c>
      <c r="AG252" s="42">
        <f>-SUM($F$120:$F$125)*$F$190*AG251*AG$214</f>
        <v/>
      </c>
      <c r="AH252" s="42">
        <f>-SUM($F$120:$F$125)*$F$190*AH251*AH$214</f>
        <v/>
      </c>
      <c r="AI252" s="42">
        <f>-SUM($F$120:$F$125)*$F$190*AI251*AI$214</f>
        <v/>
      </c>
      <c r="AJ252" s="42">
        <f>-SUM($F$120:$F$125)*$F$190*AJ251*AJ$214</f>
        <v/>
      </c>
      <c r="AK252" s="42">
        <f>-SUM($F$120:$F$125)*$F$190*AK251*AK$214</f>
        <v/>
      </c>
      <c r="AL252" s="42">
        <f>-SUM($F$120:$F$125)*$F$190*AL251*AL$214</f>
        <v/>
      </c>
      <c r="AM252" s="42">
        <f>-SUM($F$120:$F$125)*$F$190*AM251*AM$214</f>
        <v/>
      </c>
      <c r="AN252" s="42">
        <f>-SUM($F$120:$F$125)*$F$190*AN251*AN$214</f>
        <v/>
      </c>
      <c r="AO252" s="42">
        <f>-SUM($F$120:$F$125)*$F$190*AO251*AO$214</f>
        <v/>
      </c>
      <c r="AP252" s="42">
        <f>-SUM($F$120:$F$125)*$F$190*AP251*AP$214</f>
        <v/>
      </c>
      <c r="AQ252" s="42">
        <f>-SUM($F$120:$F$125)*$F$190*AQ251*AQ$214</f>
        <v/>
      </c>
      <c r="AR252" s="42">
        <f>-SUM($F$120:$F$125)*$F$190*AR251*AR$214</f>
        <v/>
      </c>
      <c r="AS252" s="42">
        <f>-SUM($F$120:$F$125)*$F$190*AS251*AS$214</f>
        <v/>
      </c>
      <c r="AT252" s="42">
        <f>-SUM($F$120:$F$125)*$F$190*AT251*AT$214</f>
        <v/>
      </c>
      <c r="AU252" s="42">
        <f>-SUM($F$120:$F$125)*$F$190*AU251*AU$214</f>
        <v/>
      </c>
      <c r="AV252" s="42">
        <f>-SUM($F$120:$F$125)*$F$190*AV251*AV$214</f>
        <v/>
      </c>
      <c r="AW252" s="42">
        <f>-SUM($F$120:$F$125)*$F$190*AW251*AW$214</f>
        <v/>
      </c>
      <c r="AX252" s="42">
        <f>-SUM($F$120:$F$125)*$F$190*AX251*AX$214</f>
        <v/>
      </c>
      <c r="AY252" s="42">
        <f>-SUM($F$120:$F$125)*$F$190*AY251*AY$214</f>
        <v/>
      </c>
      <c r="AZ252" s="42">
        <f>-SUM($F$120:$F$125)*$F$190*AZ251*AZ$214</f>
        <v/>
      </c>
      <c r="BA252" s="42">
        <f>-SUM($F$120:$F$125)*$F$190*BA251*BA$214</f>
        <v/>
      </c>
      <c r="BB252" s="42">
        <f>-SUM($F$120:$F$125)*$F$190*BB251*BB$214</f>
        <v/>
      </c>
      <c r="BC252" s="42">
        <f>-SUM($F$120:$F$125)*$F$190*BC251*BC$214</f>
        <v/>
      </c>
      <c r="BD252" s="42">
        <f>-SUM($F$120:$F$125)*$F$190*BD251*BD$214</f>
        <v/>
      </c>
      <c r="BE252" s="42">
        <f>-SUM($F$120:$F$125)*$F$190*BE251*BE$214</f>
        <v/>
      </c>
      <c r="BF252" s="42">
        <f>-SUM($F$120:$F$125)*$F$190*BF251*BF$214</f>
        <v/>
      </c>
      <c r="BG252" s="42">
        <f>-SUM($F$120:$F$125)*$F$190*BG251*BG$214</f>
        <v/>
      </c>
    </row>
    <row r="253">
      <c r="C253" s="31" t="inlineStr">
        <is>
          <t>Administration, audit, compliance</t>
        </is>
      </c>
      <c r="D253" s="32" t="inlineStr">
        <is>
          <t>EUR k</t>
        </is>
      </c>
      <c r="G253" s="42">
        <f>SUM(X253:BG253)</f>
        <v/>
      </c>
      <c r="X253" s="42">
        <f>-$F$126*$F$5/$F$109*X251*X$214</f>
        <v/>
      </c>
      <c r="Y253" s="42">
        <f>-$F$126*$F$5/$F$109*Y251*Y$214</f>
        <v/>
      </c>
      <c r="Z253" s="42">
        <f>-$F$126*$F$5/$F$109*Z251*Z$214</f>
        <v/>
      </c>
      <c r="AA253" s="42">
        <f>-$F$126*$F$5/$F$109*AA251*AA$214</f>
        <v/>
      </c>
      <c r="AB253" s="42">
        <f>-$F$126*$F$5/$F$109*AB251*AB$214</f>
        <v/>
      </c>
      <c r="AC253" s="42">
        <f>-$F$126*$F$5/$F$109*AC251*AC$214</f>
        <v/>
      </c>
      <c r="AD253" s="42">
        <f>-$F$126*$F$5/$F$109*AD251*AD$214</f>
        <v/>
      </c>
      <c r="AE253" s="42">
        <f>-$F$126*$F$5/$F$109*AE251*AE$214</f>
        <v/>
      </c>
      <c r="AF253" s="42">
        <f>-$F$126*$F$5/$F$109*AF251*AF$214</f>
        <v/>
      </c>
      <c r="AG253" s="42">
        <f>-$F$126*$F$5/$F$109*AG251*AG$214</f>
        <v/>
      </c>
      <c r="AH253" s="42">
        <f>-$F$126*$F$5/$F$109*AH251*AH$214</f>
        <v/>
      </c>
      <c r="AI253" s="42">
        <f>-$F$126*$F$5/$F$109*AI251*AI$214</f>
        <v/>
      </c>
      <c r="AJ253" s="42">
        <f>-$F$126*$F$5/$F$109*AJ251*AJ$214</f>
        <v/>
      </c>
      <c r="AK253" s="42">
        <f>-$F$126*$F$5/$F$109*AK251*AK$214</f>
        <v/>
      </c>
      <c r="AL253" s="42">
        <f>-$F$126*$F$5/$F$109*AL251*AL$214</f>
        <v/>
      </c>
      <c r="AM253" s="42">
        <f>-$F$126*$F$5/$F$109*AM251*AM$214</f>
        <v/>
      </c>
      <c r="AN253" s="42">
        <f>-$F$126*$F$5/$F$109*AN251*AN$214</f>
        <v/>
      </c>
      <c r="AO253" s="42">
        <f>-$F$126*$F$5/$F$109*AO251*AO$214</f>
        <v/>
      </c>
      <c r="AP253" s="42">
        <f>-$F$126*$F$5/$F$109*AP251*AP$214</f>
        <v/>
      </c>
      <c r="AQ253" s="42">
        <f>-$F$126*$F$5/$F$109*AQ251*AQ$214</f>
        <v/>
      </c>
      <c r="AR253" s="42">
        <f>-$F$126*$F$5/$F$109*AR251*AR$214</f>
        <v/>
      </c>
      <c r="AS253" s="42">
        <f>-$F$126*$F$5/$F$109*AS251*AS$214</f>
        <v/>
      </c>
      <c r="AT253" s="42">
        <f>-$F$126*$F$5/$F$109*AT251*AT$214</f>
        <v/>
      </c>
      <c r="AU253" s="42">
        <f>-$F$126*$F$5/$F$109*AU251*AU$214</f>
        <v/>
      </c>
      <c r="AV253" s="42">
        <f>-$F$126*$F$5/$F$109*AV251*AV$214</f>
        <v/>
      </c>
      <c r="AW253" s="42">
        <f>-$F$126*$F$5/$F$109*AW251*AW$214</f>
        <v/>
      </c>
      <c r="AX253" s="42">
        <f>-$F$126*$F$5/$F$109*AX251*AX$214</f>
        <v/>
      </c>
      <c r="AY253" s="42">
        <f>-$F$126*$F$5/$F$109*AY251*AY$214</f>
        <v/>
      </c>
      <c r="AZ253" s="42">
        <f>-$F$126*$F$5/$F$109*AZ251*AZ$214</f>
        <v/>
      </c>
      <c r="BA253" s="42">
        <f>-$F$126*$F$5/$F$109*BA251*BA$214</f>
        <v/>
      </c>
      <c r="BB253" s="42">
        <f>-$F$126*$F$5/$F$109*BB251*BB$214</f>
        <v/>
      </c>
      <c r="BC253" s="42">
        <f>-$F$126*$F$5/$F$109*BC251*BC$214</f>
        <v/>
      </c>
      <c r="BD253" s="42">
        <f>-$F$126*$F$5/$F$109*BD251*BD$214</f>
        <v/>
      </c>
      <c r="BE253" s="42">
        <f>-$F$126*$F$5/$F$109*BE251*BE$214</f>
        <v/>
      </c>
      <c r="BF253" s="42">
        <f>-$F$126*$F$5/$F$109*BF251*BF$214</f>
        <v/>
      </c>
      <c r="BG253" s="42">
        <f>-$F$126*$F$5/$F$109*BG251*BG$214</f>
        <v/>
      </c>
    </row>
    <row r="254">
      <c r="C254" s="31" t="inlineStr">
        <is>
          <t>Balancing and grid charges</t>
        </is>
      </c>
      <c r="D254" s="32" t="inlineStr">
        <is>
          <t>EUR k</t>
        </is>
      </c>
      <c r="G254" s="42">
        <f>SUM(X254:BG254)</f>
        <v/>
      </c>
      <c r="X254" s="42">
        <f>-X248*($F$127+$F$128)*X251</f>
        <v/>
      </c>
      <c r="Y254" s="42">
        <f>-Y248*($F$127+$F$128)*Y251</f>
        <v/>
      </c>
      <c r="Z254" s="42">
        <f>-Z248*($F$127+$F$128)*Z251</f>
        <v/>
      </c>
      <c r="AA254" s="42">
        <f>-AA248*($F$127+$F$128)*AA251</f>
        <v/>
      </c>
      <c r="AB254" s="42">
        <f>-AB248*($F$127+$F$128)*AB251</f>
        <v/>
      </c>
      <c r="AC254" s="42">
        <f>-AC248*($F$127+$F$128)*AC251</f>
        <v/>
      </c>
      <c r="AD254" s="42">
        <f>-AD248*($F$127+$F$128)*AD251</f>
        <v/>
      </c>
      <c r="AE254" s="42">
        <f>-AE248*($F$127+$F$128)*AE251</f>
        <v/>
      </c>
      <c r="AF254" s="42">
        <f>-AF248*($F$127+$F$128)*AF251</f>
        <v/>
      </c>
      <c r="AG254" s="42">
        <f>-AG248*($F$127+$F$128)*AG251</f>
        <v/>
      </c>
      <c r="AH254" s="42">
        <f>-AH248*($F$127+$F$128)*AH251</f>
        <v/>
      </c>
      <c r="AI254" s="42">
        <f>-AI248*($F$127+$F$128)*AI251</f>
        <v/>
      </c>
      <c r="AJ254" s="42">
        <f>-AJ248*($F$127+$F$128)*AJ251</f>
        <v/>
      </c>
      <c r="AK254" s="42">
        <f>-AK248*($F$127+$F$128)*AK251</f>
        <v/>
      </c>
      <c r="AL254" s="42">
        <f>-AL248*($F$127+$F$128)*AL251</f>
        <v/>
      </c>
      <c r="AM254" s="42">
        <f>-AM248*($F$127+$F$128)*AM251</f>
        <v/>
      </c>
      <c r="AN254" s="42">
        <f>-AN248*($F$127+$F$128)*AN251</f>
        <v/>
      </c>
      <c r="AO254" s="42">
        <f>-AO248*($F$127+$F$128)*AO251</f>
        <v/>
      </c>
      <c r="AP254" s="42">
        <f>-AP248*($F$127+$F$128)*AP251</f>
        <v/>
      </c>
      <c r="AQ254" s="42">
        <f>-AQ248*($F$127+$F$128)*AQ251</f>
        <v/>
      </c>
      <c r="AR254" s="42">
        <f>-AR248*($F$127+$F$128)*AR251</f>
        <v/>
      </c>
      <c r="AS254" s="42">
        <f>-AS248*($F$127+$F$128)*AS251</f>
        <v/>
      </c>
      <c r="AT254" s="42">
        <f>-AT248*($F$127+$F$128)*AT251</f>
        <v/>
      </c>
      <c r="AU254" s="42">
        <f>-AU248*($F$127+$F$128)*AU251</f>
        <v/>
      </c>
      <c r="AV254" s="42">
        <f>-AV248*($F$127+$F$128)*AV251</f>
        <v/>
      </c>
      <c r="AW254" s="42">
        <f>-AW248*($F$127+$F$128)*AW251</f>
        <v/>
      </c>
      <c r="AX254" s="42">
        <f>-AX248*($F$127+$F$128)*AX251</f>
        <v/>
      </c>
      <c r="AY254" s="42">
        <f>-AY248*($F$127+$F$128)*AY251</f>
        <v/>
      </c>
      <c r="AZ254" s="42">
        <f>-AZ248*($F$127+$F$128)*AZ251</f>
        <v/>
      </c>
      <c r="BA254" s="42">
        <f>-BA248*($F$127+$F$128)*BA251</f>
        <v/>
      </c>
      <c r="BB254" s="42">
        <f>-BB248*($F$127+$F$128)*BB251</f>
        <v/>
      </c>
      <c r="BC254" s="42">
        <f>-BC248*($F$127+$F$128)*BC251</f>
        <v/>
      </c>
      <c r="BD254" s="42">
        <f>-BD248*($F$127+$F$128)*BD251</f>
        <v/>
      </c>
      <c r="BE254" s="42">
        <f>-BE248*($F$127+$F$128)*BE251</f>
        <v/>
      </c>
      <c r="BF254" s="42">
        <f>-BF248*($F$127+$F$128)*BF251</f>
        <v/>
      </c>
      <c r="BG254" s="42">
        <f>-BG248*($F$127+$F$128)*BG251</f>
        <v/>
      </c>
    </row>
    <row r="255">
      <c r="C255" s="31" t="inlineStr">
        <is>
          <t>MEKH supervisory fee</t>
        </is>
      </c>
      <c r="D255" s="32" t="inlineStr">
        <is>
          <t>EUR k</t>
        </is>
      </c>
      <c r="G255" s="42">
        <f>SUM(X255:BG255)</f>
        <v/>
      </c>
      <c r="X255" s="42">
        <f>-X250*$F$129</f>
        <v/>
      </c>
      <c r="Y255" s="42">
        <f>-Y250*$F$129</f>
        <v/>
      </c>
      <c r="Z255" s="42">
        <f>-Z250*$F$129</f>
        <v/>
      </c>
      <c r="AA255" s="42">
        <f>-AA250*$F$129</f>
        <v/>
      </c>
      <c r="AB255" s="42">
        <f>-AB250*$F$129</f>
        <v/>
      </c>
      <c r="AC255" s="42">
        <f>-AC250*$F$129</f>
        <v/>
      </c>
      <c r="AD255" s="42">
        <f>-AD250*$F$129</f>
        <v/>
      </c>
      <c r="AE255" s="42">
        <f>-AE250*$F$129</f>
        <v/>
      </c>
      <c r="AF255" s="42">
        <f>-AF250*$F$129</f>
        <v/>
      </c>
      <c r="AG255" s="42">
        <f>-AG250*$F$129</f>
        <v/>
      </c>
      <c r="AH255" s="42">
        <f>-AH250*$F$129</f>
        <v/>
      </c>
      <c r="AI255" s="42">
        <f>-AI250*$F$129</f>
        <v/>
      </c>
      <c r="AJ255" s="42">
        <f>-AJ250*$F$129</f>
        <v/>
      </c>
      <c r="AK255" s="42">
        <f>-AK250*$F$129</f>
        <v/>
      </c>
      <c r="AL255" s="42">
        <f>-AL250*$F$129</f>
        <v/>
      </c>
      <c r="AM255" s="42">
        <f>-AM250*$F$129</f>
        <v/>
      </c>
      <c r="AN255" s="42">
        <f>-AN250*$F$129</f>
        <v/>
      </c>
      <c r="AO255" s="42">
        <f>-AO250*$F$129</f>
        <v/>
      </c>
      <c r="AP255" s="42">
        <f>-AP250*$F$129</f>
        <v/>
      </c>
      <c r="AQ255" s="42">
        <f>-AQ250*$F$129</f>
        <v/>
      </c>
      <c r="AR255" s="42">
        <f>-AR250*$F$129</f>
        <v/>
      </c>
      <c r="AS255" s="42">
        <f>-AS250*$F$129</f>
        <v/>
      </c>
      <c r="AT255" s="42">
        <f>-AT250*$F$129</f>
        <v/>
      </c>
      <c r="AU255" s="42">
        <f>-AU250*$F$129</f>
        <v/>
      </c>
      <c r="AV255" s="42">
        <f>-AV250*$F$129</f>
        <v/>
      </c>
      <c r="AW255" s="42">
        <f>-AW250*$F$129</f>
        <v/>
      </c>
      <c r="AX255" s="42">
        <f>-AX250*$F$129</f>
        <v/>
      </c>
      <c r="AY255" s="42">
        <f>-AY250*$F$129</f>
        <v/>
      </c>
      <c r="AZ255" s="42">
        <f>-AZ250*$F$129</f>
        <v/>
      </c>
      <c r="BA255" s="42">
        <f>-BA250*$F$129</f>
        <v/>
      </c>
      <c r="BB255" s="42">
        <f>-BB250*$F$129</f>
        <v/>
      </c>
      <c r="BC255" s="42">
        <f>-BC250*$F$129</f>
        <v/>
      </c>
      <c r="BD255" s="42">
        <f>-BD250*$F$129</f>
        <v/>
      </c>
      <c r="BE255" s="42">
        <f>-BE250*$F$129</f>
        <v/>
      </c>
      <c r="BF255" s="42">
        <f>-BF250*$F$129</f>
        <v/>
      </c>
      <c r="BG255" s="42">
        <f>-BG250*$F$129</f>
        <v/>
      </c>
    </row>
    <row r="256">
      <c r="C256" s="31" t="inlineStr">
        <is>
          <t>Opex contingency</t>
        </is>
      </c>
      <c r="D256" s="32" t="inlineStr">
        <is>
          <t>EUR k</t>
        </is>
      </c>
      <c r="G256" s="42">
        <f>SUM(X256:BG256)</f>
        <v/>
      </c>
      <c r="X256" s="42">
        <f>SUM(X252:X255)*$F$131</f>
        <v/>
      </c>
      <c r="Y256" s="42">
        <f>SUM(Y252:Y255)*$F$131</f>
        <v/>
      </c>
      <c r="Z256" s="42">
        <f>SUM(Z252:Z255)*$F$131</f>
        <v/>
      </c>
      <c r="AA256" s="42">
        <f>SUM(AA252:AA255)*$F$131</f>
        <v/>
      </c>
      <c r="AB256" s="42">
        <f>SUM(AB252:AB255)*$F$131</f>
        <v/>
      </c>
      <c r="AC256" s="42">
        <f>SUM(AC252:AC255)*$F$131</f>
        <v/>
      </c>
      <c r="AD256" s="42">
        <f>SUM(AD252:AD255)*$F$131</f>
        <v/>
      </c>
      <c r="AE256" s="42">
        <f>SUM(AE252:AE255)*$F$131</f>
        <v/>
      </c>
      <c r="AF256" s="42">
        <f>SUM(AF252:AF255)*$F$131</f>
        <v/>
      </c>
      <c r="AG256" s="42">
        <f>SUM(AG252:AG255)*$F$131</f>
        <v/>
      </c>
      <c r="AH256" s="42">
        <f>SUM(AH252:AH255)*$F$131</f>
        <v/>
      </c>
      <c r="AI256" s="42">
        <f>SUM(AI252:AI255)*$F$131</f>
        <v/>
      </c>
      <c r="AJ256" s="42">
        <f>SUM(AJ252:AJ255)*$F$131</f>
        <v/>
      </c>
      <c r="AK256" s="42">
        <f>SUM(AK252:AK255)*$F$131</f>
        <v/>
      </c>
      <c r="AL256" s="42">
        <f>SUM(AL252:AL255)*$F$131</f>
        <v/>
      </c>
      <c r="AM256" s="42">
        <f>SUM(AM252:AM255)*$F$131</f>
        <v/>
      </c>
      <c r="AN256" s="42">
        <f>SUM(AN252:AN255)*$F$131</f>
        <v/>
      </c>
      <c r="AO256" s="42">
        <f>SUM(AO252:AO255)*$F$131</f>
        <v/>
      </c>
      <c r="AP256" s="42">
        <f>SUM(AP252:AP255)*$F$131</f>
        <v/>
      </c>
      <c r="AQ256" s="42">
        <f>SUM(AQ252:AQ255)*$F$131</f>
        <v/>
      </c>
      <c r="AR256" s="42">
        <f>SUM(AR252:AR255)*$F$131</f>
        <v/>
      </c>
      <c r="AS256" s="42">
        <f>SUM(AS252:AS255)*$F$131</f>
        <v/>
      </c>
      <c r="AT256" s="42">
        <f>SUM(AT252:AT255)*$F$131</f>
        <v/>
      </c>
      <c r="AU256" s="42">
        <f>SUM(AU252:AU255)*$F$131</f>
        <v/>
      </c>
      <c r="AV256" s="42">
        <f>SUM(AV252:AV255)*$F$131</f>
        <v/>
      </c>
      <c r="AW256" s="42">
        <f>SUM(AW252:AW255)*$F$131</f>
        <v/>
      </c>
      <c r="AX256" s="42">
        <f>SUM(AX252:AX255)*$F$131</f>
        <v/>
      </c>
      <c r="AY256" s="42">
        <f>SUM(AY252:AY255)*$F$131</f>
        <v/>
      </c>
      <c r="AZ256" s="42">
        <f>SUM(AZ252:AZ255)*$F$131</f>
        <v/>
      </c>
      <c r="BA256" s="42">
        <f>SUM(BA252:BA255)*$F$131</f>
        <v/>
      </c>
      <c r="BB256" s="42">
        <f>SUM(BB252:BB255)*$F$131</f>
        <v/>
      </c>
      <c r="BC256" s="42">
        <f>SUM(BC252:BC255)*$F$131</f>
        <v/>
      </c>
      <c r="BD256" s="42">
        <f>SUM(BD252:BD255)*$F$131</f>
        <v/>
      </c>
      <c r="BE256" s="42">
        <f>SUM(BE252:BE255)*$F$131</f>
        <v/>
      </c>
      <c r="BF256" s="42">
        <f>SUM(BF252:BF255)*$F$131</f>
        <v/>
      </c>
      <c r="BG256" s="42">
        <f>SUM(BG252:BG255)*$F$131</f>
        <v/>
      </c>
    </row>
    <row r="257">
      <c r="C257" s="31" t="inlineStr">
        <is>
          <t>Community contribution</t>
        </is>
      </c>
      <c r="D257" s="32" t="inlineStr">
        <is>
          <t>EUR k</t>
        </is>
      </c>
      <c r="G257" s="42">
        <f>SUM(X257:BG257)</f>
        <v/>
      </c>
      <c r="X257" s="42">
        <f>-X248*$F$10</f>
        <v/>
      </c>
      <c r="Y257" s="42">
        <f>-Y248*$F$10</f>
        <v/>
      </c>
      <c r="Z257" s="42">
        <f>-Z248*$F$10</f>
        <v/>
      </c>
      <c r="AA257" s="42">
        <f>-AA248*$F$10</f>
        <v/>
      </c>
      <c r="AB257" s="42">
        <f>-AB248*$F$10</f>
        <v/>
      </c>
      <c r="AC257" s="42">
        <f>-AC248*$F$10</f>
        <v/>
      </c>
      <c r="AD257" s="42">
        <f>-AD248*$F$10</f>
        <v/>
      </c>
      <c r="AE257" s="42">
        <f>-AE248*$F$10</f>
        <v/>
      </c>
      <c r="AF257" s="42">
        <f>-AF248*$F$10</f>
        <v/>
      </c>
      <c r="AG257" s="42">
        <f>-AG248*$F$10</f>
        <v/>
      </c>
      <c r="AH257" s="42">
        <f>-AH248*$F$10</f>
        <v/>
      </c>
      <c r="AI257" s="42">
        <f>-AI248*$F$10</f>
        <v/>
      </c>
      <c r="AJ257" s="42">
        <f>-AJ248*$F$10</f>
        <v/>
      </c>
      <c r="AK257" s="42">
        <f>-AK248*$F$10</f>
        <v/>
      </c>
      <c r="AL257" s="42">
        <f>-AL248*$F$10</f>
        <v/>
      </c>
      <c r="AM257" s="42">
        <f>-AM248*$F$10</f>
        <v/>
      </c>
      <c r="AN257" s="42">
        <f>-AN248*$F$10</f>
        <v/>
      </c>
      <c r="AO257" s="42">
        <f>-AO248*$F$10</f>
        <v/>
      </c>
      <c r="AP257" s="42">
        <f>-AP248*$F$10</f>
        <v/>
      </c>
      <c r="AQ257" s="42">
        <f>-AQ248*$F$10</f>
        <v/>
      </c>
      <c r="AR257" s="42">
        <f>-AR248*$F$10</f>
        <v/>
      </c>
      <c r="AS257" s="42">
        <f>-AS248*$F$10</f>
        <v/>
      </c>
      <c r="AT257" s="42">
        <f>-AT248*$F$10</f>
        <v/>
      </c>
      <c r="AU257" s="42">
        <f>-AU248*$F$10</f>
        <v/>
      </c>
      <c r="AV257" s="42">
        <f>-AV248*$F$10</f>
        <v/>
      </c>
      <c r="AW257" s="42">
        <f>-AW248*$F$10</f>
        <v/>
      </c>
      <c r="AX257" s="42">
        <f>-AX248*$F$10</f>
        <v/>
      </c>
      <c r="AY257" s="42">
        <f>-AY248*$F$10</f>
        <v/>
      </c>
      <c r="AZ257" s="42">
        <f>-AZ248*$F$10</f>
        <v/>
      </c>
      <c r="BA257" s="42">
        <f>-BA248*$F$10</f>
        <v/>
      </c>
      <c r="BB257" s="42">
        <f>-BB248*$F$10</f>
        <v/>
      </c>
      <c r="BC257" s="42">
        <f>-BC248*$F$10</f>
        <v/>
      </c>
      <c r="BD257" s="42">
        <f>-BD248*$F$10</f>
        <v/>
      </c>
      <c r="BE257" s="42">
        <f>-BE248*$F$10</f>
        <v/>
      </c>
      <c r="BF257" s="42">
        <f>-BF248*$F$10</f>
        <v/>
      </c>
      <c r="BG257" s="42">
        <f>-BG248*$F$10</f>
        <v/>
      </c>
    </row>
    <row r="258">
      <c r="C258" s="31" t="inlineStr">
        <is>
          <t>HIPA local business tax</t>
        </is>
      </c>
      <c r="D258" s="32" t="inlineStr">
        <is>
          <t>EUR k</t>
        </is>
      </c>
      <c r="G258" s="42">
        <f>SUM(X258:BG258)</f>
        <v/>
      </c>
      <c r="X258" s="42">
        <f>-X250*$F$130</f>
        <v/>
      </c>
      <c r="Y258" s="42">
        <f>-Y250*$F$130</f>
        <v/>
      </c>
      <c r="Z258" s="42">
        <f>-Z250*$F$130</f>
        <v/>
      </c>
      <c r="AA258" s="42">
        <f>-AA250*$F$130</f>
        <v/>
      </c>
      <c r="AB258" s="42">
        <f>-AB250*$F$130</f>
        <v/>
      </c>
      <c r="AC258" s="42">
        <f>-AC250*$F$130</f>
        <v/>
      </c>
      <c r="AD258" s="42">
        <f>-AD250*$F$130</f>
        <v/>
      </c>
      <c r="AE258" s="42">
        <f>-AE250*$F$130</f>
        <v/>
      </c>
      <c r="AF258" s="42">
        <f>-AF250*$F$130</f>
        <v/>
      </c>
      <c r="AG258" s="42">
        <f>-AG250*$F$130</f>
        <v/>
      </c>
      <c r="AH258" s="42">
        <f>-AH250*$F$130</f>
        <v/>
      </c>
      <c r="AI258" s="42">
        <f>-AI250*$F$130</f>
        <v/>
      </c>
      <c r="AJ258" s="42">
        <f>-AJ250*$F$130</f>
        <v/>
      </c>
      <c r="AK258" s="42">
        <f>-AK250*$F$130</f>
        <v/>
      </c>
      <c r="AL258" s="42">
        <f>-AL250*$F$130</f>
        <v/>
      </c>
      <c r="AM258" s="42">
        <f>-AM250*$F$130</f>
        <v/>
      </c>
      <c r="AN258" s="42">
        <f>-AN250*$F$130</f>
        <v/>
      </c>
      <c r="AO258" s="42">
        <f>-AO250*$F$130</f>
        <v/>
      </c>
      <c r="AP258" s="42">
        <f>-AP250*$F$130</f>
        <v/>
      </c>
      <c r="AQ258" s="42">
        <f>-AQ250*$F$130</f>
        <v/>
      </c>
      <c r="AR258" s="42">
        <f>-AR250*$F$130</f>
        <v/>
      </c>
      <c r="AS258" s="42">
        <f>-AS250*$F$130</f>
        <v/>
      </c>
      <c r="AT258" s="42">
        <f>-AT250*$F$130</f>
        <v/>
      </c>
      <c r="AU258" s="42">
        <f>-AU250*$F$130</f>
        <v/>
      </c>
      <c r="AV258" s="42">
        <f>-AV250*$F$130</f>
        <v/>
      </c>
      <c r="AW258" s="42">
        <f>-AW250*$F$130</f>
        <v/>
      </c>
      <c r="AX258" s="42">
        <f>-AX250*$F$130</f>
        <v/>
      </c>
      <c r="AY258" s="42">
        <f>-AY250*$F$130</f>
        <v/>
      </c>
      <c r="AZ258" s="42">
        <f>-AZ250*$F$130</f>
        <v/>
      </c>
      <c r="BA258" s="42">
        <f>-BA250*$F$130</f>
        <v/>
      </c>
      <c r="BB258" s="42">
        <f>-BB250*$F$130</f>
        <v/>
      </c>
      <c r="BC258" s="42">
        <f>-BC250*$F$130</f>
        <v/>
      </c>
      <c r="BD258" s="42">
        <f>-BD250*$F$130</f>
        <v/>
      </c>
      <c r="BE258" s="42">
        <f>-BE250*$F$130</f>
        <v/>
      </c>
      <c r="BF258" s="42">
        <f>-BF250*$F$130</f>
        <v/>
      </c>
      <c r="BG258" s="42">
        <f>-BG250*$F$130</f>
        <v/>
      </c>
    </row>
    <row r="259">
      <c r="C259" s="46" t="inlineStr">
        <is>
          <t>EBITDA</t>
        </is>
      </c>
      <c r="D259" s="32" t="inlineStr">
        <is>
          <t>EUR k</t>
        </is>
      </c>
      <c r="G259" s="47">
        <f>SUM(X259:BG259)</f>
        <v/>
      </c>
      <c r="X259" s="47">
        <f>X250+SUM(X252:X258)</f>
        <v/>
      </c>
      <c r="Y259" s="47">
        <f>Y250+SUM(Y252:Y258)</f>
        <v/>
      </c>
      <c r="Z259" s="47">
        <f>Z250+SUM(Z252:Z258)</f>
        <v/>
      </c>
      <c r="AA259" s="47">
        <f>AA250+SUM(AA252:AA258)</f>
        <v/>
      </c>
      <c r="AB259" s="47">
        <f>AB250+SUM(AB252:AB258)</f>
        <v/>
      </c>
      <c r="AC259" s="47">
        <f>AC250+SUM(AC252:AC258)</f>
        <v/>
      </c>
      <c r="AD259" s="47">
        <f>AD250+SUM(AD252:AD258)</f>
        <v/>
      </c>
      <c r="AE259" s="47">
        <f>AE250+SUM(AE252:AE258)</f>
        <v/>
      </c>
      <c r="AF259" s="47">
        <f>AF250+SUM(AF252:AF258)</f>
        <v/>
      </c>
      <c r="AG259" s="47">
        <f>AG250+SUM(AG252:AG258)</f>
        <v/>
      </c>
      <c r="AH259" s="47">
        <f>AH250+SUM(AH252:AH258)</f>
        <v/>
      </c>
      <c r="AI259" s="47">
        <f>AI250+SUM(AI252:AI258)</f>
        <v/>
      </c>
      <c r="AJ259" s="47">
        <f>AJ250+SUM(AJ252:AJ258)</f>
        <v/>
      </c>
      <c r="AK259" s="47">
        <f>AK250+SUM(AK252:AK258)</f>
        <v/>
      </c>
      <c r="AL259" s="47">
        <f>AL250+SUM(AL252:AL258)</f>
        <v/>
      </c>
      <c r="AM259" s="47">
        <f>AM250+SUM(AM252:AM258)</f>
        <v/>
      </c>
      <c r="AN259" s="47">
        <f>AN250+SUM(AN252:AN258)</f>
        <v/>
      </c>
      <c r="AO259" s="47">
        <f>AO250+SUM(AO252:AO258)</f>
        <v/>
      </c>
      <c r="AP259" s="47">
        <f>AP250+SUM(AP252:AP258)</f>
        <v/>
      </c>
      <c r="AQ259" s="47">
        <f>AQ250+SUM(AQ252:AQ258)</f>
        <v/>
      </c>
      <c r="AR259" s="47">
        <f>AR250+SUM(AR252:AR258)</f>
        <v/>
      </c>
      <c r="AS259" s="47">
        <f>AS250+SUM(AS252:AS258)</f>
        <v/>
      </c>
      <c r="AT259" s="47">
        <f>AT250+SUM(AT252:AT258)</f>
        <v/>
      </c>
      <c r="AU259" s="47">
        <f>AU250+SUM(AU252:AU258)</f>
        <v/>
      </c>
      <c r="AV259" s="47">
        <f>AV250+SUM(AV252:AV258)</f>
        <v/>
      </c>
      <c r="AW259" s="47">
        <f>AW250+SUM(AW252:AW258)</f>
        <v/>
      </c>
      <c r="AX259" s="47">
        <f>AX250+SUM(AX252:AX258)</f>
        <v/>
      </c>
      <c r="AY259" s="47">
        <f>AY250+SUM(AY252:AY258)</f>
        <v/>
      </c>
      <c r="AZ259" s="47">
        <f>AZ250+SUM(AZ252:AZ258)</f>
        <v/>
      </c>
      <c r="BA259" s="47">
        <f>BA250+SUM(BA252:BA258)</f>
        <v/>
      </c>
      <c r="BB259" s="47">
        <f>BB250+SUM(BB252:BB258)</f>
        <v/>
      </c>
      <c r="BC259" s="47">
        <f>BC250+SUM(BC252:BC258)</f>
        <v/>
      </c>
      <c r="BD259" s="47">
        <f>BD250+SUM(BD252:BD258)</f>
        <v/>
      </c>
      <c r="BE259" s="47">
        <f>BE250+SUM(BE252:BE258)</f>
        <v/>
      </c>
      <c r="BF259" s="47">
        <f>BF250+SUM(BF252:BF258)</f>
        <v/>
      </c>
      <c r="BG259" s="47">
        <f>BG250+SUM(BG252:BG258)</f>
        <v/>
      </c>
    </row>
    <row r="260">
      <c r="C260" s="46" t="inlineStr">
        <is>
          <t>Unlevered pre-tax cash flow</t>
        </is>
      </c>
      <c r="D260" s="32" t="inlineStr">
        <is>
          <t>EUR k</t>
        </is>
      </c>
      <c r="G260" s="47">
        <f>SUM(X260:BG260)</f>
        <v/>
      </c>
      <c r="X260" s="47">
        <f>X246+X259</f>
        <v/>
      </c>
      <c r="Y260" s="47">
        <f>Y246+Y259</f>
        <v/>
      </c>
      <c r="Z260" s="47">
        <f>Z246+Z259</f>
        <v/>
      </c>
      <c r="AA260" s="47">
        <f>AA246+AA259</f>
        <v/>
      </c>
      <c r="AB260" s="47">
        <f>AB246+AB259</f>
        <v/>
      </c>
      <c r="AC260" s="47">
        <f>AC246+AC259</f>
        <v/>
      </c>
      <c r="AD260" s="47">
        <f>AD246+AD259</f>
        <v/>
      </c>
      <c r="AE260" s="47">
        <f>AE246+AE259</f>
        <v/>
      </c>
      <c r="AF260" s="47">
        <f>AF246+AF259</f>
        <v/>
      </c>
      <c r="AG260" s="47">
        <f>AG246+AG259</f>
        <v/>
      </c>
      <c r="AH260" s="47">
        <f>AH246+AH259</f>
        <v/>
      </c>
      <c r="AI260" s="47">
        <f>AI246+AI259</f>
        <v/>
      </c>
      <c r="AJ260" s="47">
        <f>AJ246+AJ259</f>
        <v/>
      </c>
      <c r="AK260" s="47">
        <f>AK246+AK259</f>
        <v/>
      </c>
      <c r="AL260" s="47">
        <f>AL246+AL259</f>
        <v/>
      </c>
      <c r="AM260" s="47">
        <f>AM246+AM259</f>
        <v/>
      </c>
      <c r="AN260" s="47">
        <f>AN246+AN259</f>
        <v/>
      </c>
      <c r="AO260" s="47">
        <f>AO246+AO259</f>
        <v/>
      </c>
      <c r="AP260" s="47">
        <f>AP246+AP259</f>
        <v/>
      </c>
      <c r="AQ260" s="47">
        <f>AQ246+AQ259</f>
        <v/>
      </c>
      <c r="AR260" s="47">
        <f>AR246+AR259</f>
        <v/>
      </c>
      <c r="AS260" s="47">
        <f>AS246+AS259</f>
        <v/>
      </c>
      <c r="AT260" s="47">
        <f>AT246+AT259</f>
        <v/>
      </c>
      <c r="AU260" s="47">
        <f>AU246+AU259</f>
        <v/>
      </c>
      <c r="AV260" s="47">
        <f>AV246+AV259</f>
        <v/>
      </c>
      <c r="AW260" s="47">
        <f>AW246+AW259</f>
        <v/>
      </c>
      <c r="AX260" s="47">
        <f>AX246+AX259</f>
        <v/>
      </c>
      <c r="AY260" s="47">
        <f>AY246+AY259</f>
        <v/>
      </c>
      <c r="AZ260" s="47">
        <f>AZ246+AZ259</f>
        <v/>
      </c>
      <c r="BA260" s="47">
        <f>BA246+BA259</f>
        <v/>
      </c>
      <c r="BB260" s="47">
        <f>BB246+BB259</f>
        <v/>
      </c>
      <c r="BC260" s="47">
        <f>BC246+BC259</f>
        <v/>
      </c>
      <c r="BD260" s="47">
        <f>BD246+BD259</f>
        <v/>
      </c>
      <c r="BE260" s="47">
        <f>BE246+BE259</f>
        <v/>
      </c>
      <c r="BF260" s="47">
        <f>BF246+BF259</f>
        <v/>
      </c>
      <c r="BG260" s="47">
        <f>BG246+BG259</f>
        <v/>
      </c>
    </row>
    <row r="261">
      <c r="C261" s="31" t="inlineStr">
        <is>
          <t>Discount factor to COD (buyer's rate)</t>
        </is>
      </c>
      <c r="D261" s="32" t="inlineStr">
        <is>
          <t>x</t>
        </is>
      </c>
      <c r="X261" s="54">
        <f>(1+$F$98)^(($E$41-X$209)/Days_In_Year)</f>
        <v/>
      </c>
      <c r="Y261" s="54">
        <f>(1+$F$98)^(($E$41-Y$209)/Days_In_Year)</f>
        <v/>
      </c>
      <c r="Z261" s="54">
        <f>(1+$F$98)^(($E$41-Z$209)/Days_In_Year)</f>
        <v/>
      </c>
      <c r="AA261" s="54">
        <f>(1+$F$98)^(($E$41-AA$209)/Days_In_Year)</f>
        <v/>
      </c>
      <c r="AB261" s="54">
        <f>(1+$F$98)^(($E$41-AB$209)/Days_In_Year)</f>
        <v/>
      </c>
      <c r="AC261" s="54">
        <f>(1+$F$98)^(($E$41-AC$209)/Days_In_Year)</f>
        <v/>
      </c>
      <c r="AD261" s="54">
        <f>(1+$F$98)^(($E$41-AD$209)/Days_In_Year)</f>
        <v/>
      </c>
      <c r="AE261" s="54">
        <f>(1+$F$98)^(($E$41-AE$209)/Days_In_Year)</f>
        <v/>
      </c>
      <c r="AF261" s="54">
        <f>(1+$F$98)^(($E$41-AF$209)/Days_In_Year)</f>
        <v/>
      </c>
      <c r="AG261" s="54">
        <f>(1+$F$98)^(($E$41-AG$209)/Days_In_Year)</f>
        <v/>
      </c>
      <c r="AH261" s="54">
        <f>(1+$F$98)^(($E$41-AH$209)/Days_In_Year)</f>
        <v/>
      </c>
      <c r="AI261" s="54">
        <f>(1+$F$98)^(($E$41-AI$209)/Days_In_Year)</f>
        <v/>
      </c>
      <c r="AJ261" s="54">
        <f>(1+$F$98)^(($E$41-AJ$209)/Days_In_Year)</f>
        <v/>
      </c>
      <c r="AK261" s="54">
        <f>(1+$F$98)^(($E$41-AK$209)/Days_In_Year)</f>
        <v/>
      </c>
      <c r="AL261" s="54">
        <f>(1+$F$98)^(($E$41-AL$209)/Days_In_Year)</f>
        <v/>
      </c>
      <c r="AM261" s="54">
        <f>(1+$F$98)^(($E$41-AM$209)/Days_In_Year)</f>
        <v/>
      </c>
      <c r="AN261" s="54">
        <f>(1+$F$98)^(($E$41-AN$209)/Days_In_Year)</f>
        <v/>
      </c>
      <c r="AO261" s="54">
        <f>(1+$F$98)^(($E$41-AO$209)/Days_In_Year)</f>
        <v/>
      </c>
      <c r="AP261" s="54">
        <f>(1+$F$98)^(($E$41-AP$209)/Days_In_Year)</f>
        <v/>
      </c>
      <c r="AQ261" s="54">
        <f>(1+$F$98)^(($E$41-AQ$209)/Days_In_Year)</f>
        <v/>
      </c>
      <c r="AR261" s="54">
        <f>(1+$F$98)^(($E$41-AR$209)/Days_In_Year)</f>
        <v/>
      </c>
      <c r="AS261" s="54">
        <f>(1+$F$98)^(($E$41-AS$209)/Days_In_Year)</f>
        <v/>
      </c>
      <c r="AT261" s="54">
        <f>(1+$F$98)^(($E$41-AT$209)/Days_In_Year)</f>
        <v/>
      </c>
      <c r="AU261" s="54">
        <f>(1+$F$98)^(($E$41-AU$209)/Days_In_Year)</f>
        <v/>
      </c>
      <c r="AV261" s="54">
        <f>(1+$F$98)^(($E$41-AV$209)/Days_In_Year)</f>
        <v/>
      </c>
      <c r="AW261" s="54">
        <f>(1+$F$98)^(($E$41-AW$209)/Days_In_Year)</f>
        <v/>
      </c>
      <c r="AX261" s="54">
        <f>(1+$F$98)^(($E$41-AX$209)/Days_In_Year)</f>
        <v/>
      </c>
      <c r="AY261" s="54">
        <f>(1+$F$98)^(($E$41-AY$209)/Days_In_Year)</f>
        <v/>
      </c>
      <c r="AZ261" s="54">
        <f>(1+$F$98)^(($E$41-AZ$209)/Days_In_Year)</f>
        <v/>
      </c>
      <c r="BA261" s="54">
        <f>(1+$F$98)^(($E$41-BA$209)/Days_In_Year)</f>
        <v/>
      </c>
      <c r="BB261" s="54">
        <f>(1+$F$98)^(($E$41-BB$209)/Days_In_Year)</f>
        <v/>
      </c>
      <c r="BC261" s="54">
        <f>(1+$F$98)^(($E$41-BC$209)/Days_In_Year)</f>
        <v/>
      </c>
      <c r="BD261" s="54">
        <f>(1+$F$98)^(($E$41-BD$209)/Days_In_Year)</f>
        <v/>
      </c>
      <c r="BE261" s="54">
        <f>(1+$F$98)^(($E$41-BE$209)/Days_In_Year)</f>
        <v/>
      </c>
      <c r="BF261" s="54">
        <f>(1+$F$98)^(($E$41-BF$209)/Days_In_Year)</f>
        <v/>
      </c>
      <c r="BG261" s="54">
        <f>(1+$F$98)^(($E$41-BG$209)/Days_In_Year)</f>
        <v/>
      </c>
    </row>
    <row r="262">
      <c r="C262" s="31" t="inlineStr">
        <is>
          <t>EBITDA valued at COD (total = COD price)</t>
        </is>
      </c>
      <c r="D262" s="32" t="inlineStr">
        <is>
          <t>EUR k</t>
        </is>
      </c>
      <c r="G262" s="42">
        <f>SUM(X262:BG262)</f>
        <v/>
      </c>
      <c r="X262" s="42">
        <f>X259*X261</f>
        <v/>
      </c>
      <c r="Y262" s="42">
        <f>Y259*Y261</f>
        <v/>
      </c>
      <c r="Z262" s="42">
        <f>Z259*Z261</f>
        <v/>
      </c>
      <c r="AA262" s="42">
        <f>AA259*AA261</f>
        <v/>
      </c>
      <c r="AB262" s="42">
        <f>AB259*AB261</f>
        <v/>
      </c>
      <c r="AC262" s="42">
        <f>AC259*AC261</f>
        <v/>
      </c>
      <c r="AD262" s="42">
        <f>AD259*AD261</f>
        <v/>
      </c>
      <c r="AE262" s="42">
        <f>AE259*AE261</f>
        <v/>
      </c>
      <c r="AF262" s="42">
        <f>AF259*AF261</f>
        <v/>
      </c>
      <c r="AG262" s="42">
        <f>AG259*AG261</f>
        <v/>
      </c>
      <c r="AH262" s="42">
        <f>AH259*AH261</f>
        <v/>
      </c>
      <c r="AI262" s="42">
        <f>AI259*AI261</f>
        <v/>
      </c>
      <c r="AJ262" s="42">
        <f>AJ259*AJ261</f>
        <v/>
      </c>
      <c r="AK262" s="42">
        <f>AK259*AK261</f>
        <v/>
      </c>
      <c r="AL262" s="42">
        <f>AL259*AL261</f>
        <v/>
      </c>
      <c r="AM262" s="42">
        <f>AM259*AM261</f>
        <v/>
      </c>
      <c r="AN262" s="42">
        <f>AN259*AN261</f>
        <v/>
      </c>
      <c r="AO262" s="42">
        <f>AO259*AO261</f>
        <v/>
      </c>
      <c r="AP262" s="42">
        <f>AP259*AP261</f>
        <v/>
      </c>
      <c r="AQ262" s="42">
        <f>AQ259*AQ261</f>
        <v/>
      </c>
      <c r="AR262" s="42">
        <f>AR259*AR261</f>
        <v/>
      </c>
      <c r="AS262" s="42">
        <f>AS259*AS261</f>
        <v/>
      </c>
      <c r="AT262" s="42">
        <f>AT259*AT261</f>
        <v/>
      </c>
      <c r="AU262" s="42">
        <f>AU259*AU261</f>
        <v/>
      </c>
      <c r="AV262" s="42">
        <f>AV259*AV261</f>
        <v/>
      </c>
      <c r="AW262" s="42">
        <f>AW259*AW261</f>
        <v/>
      </c>
      <c r="AX262" s="42">
        <f>AX259*AX261</f>
        <v/>
      </c>
      <c r="AY262" s="42">
        <f>AY259*AY261</f>
        <v/>
      </c>
      <c r="AZ262" s="42">
        <f>AZ259*AZ261</f>
        <v/>
      </c>
      <c r="BA262" s="42">
        <f>BA259*BA261</f>
        <v/>
      </c>
      <c r="BB262" s="42">
        <f>BB259*BB261</f>
        <v/>
      </c>
      <c r="BC262" s="42">
        <f>BC259*BC261</f>
        <v/>
      </c>
      <c r="BD262" s="42">
        <f>BD259*BD261</f>
        <v/>
      </c>
      <c r="BE262" s="42">
        <f>BE259*BE261</f>
        <v/>
      </c>
      <c r="BF262" s="42">
        <f>BF259*BF261</f>
        <v/>
      </c>
      <c r="BG262" s="42">
        <f>BG259*BG261</f>
        <v/>
      </c>
    </row>
    <row r="263">
      <c r="C263" s="46" t="inlineStr">
        <is>
          <t>COD exit: FEP cash flow (to COD, price and security at COD)</t>
        </is>
      </c>
      <c r="D263" s="32" t="inlineStr">
        <is>
          <t>EUR k</t>
        </is>
      </c>
      <c r="G263" s="47">
        <f>SUM(X263:BG263)</f>
        <v/>
      </c>
      <c r="X263" s="47">
        <f>X246*(X$210&lt;=0)+X$215*($G262+$F$72+$F$73)</f>
        <v/>
      </c>
      <c r="Y263" s="47">
        <f>Y246*(Y$210&lt;=0)+Y$215*($G262+$F$72+$F$73)</f>
        <v/>
      </c>
      <c r="Z263" s="47">
        <f>Z246*(Z$210&lt;=0)+Z$215*($G262+$F$72+$F$73)</f>
        <v/>
      </c>
      <c r="AA263" s="47">
        <f>AA246*(AA$210&lt;=0)+AA$215*($G262+$F$72+$F$73)</f>
        <v/>
      </c>
      <c r="AB263" s="47">
        <f>AB246*(AB$210&lt;=0)+AB$215*($G262+$F$72+$F$73)</f>
        <v/>
      </c>
      <c r="AC263" s="47">
        <f>AC246*(AC$210&lt;=0)+AC$215*($G262+$F$72+$F$73)</f>
        <v/>
      </c>
      <c r="AD263" s="47">
        <f>AD246*(AD$210&lt;=0)+AD$215*($G262+$F$72+$F$73)</f>
        <v/>
      </c>
      <c r="AE263" s="47">
        <f>AE246*(AE$210&lt;=0)+AE$215*($G262+$F$72+$F$73)</f>
        <v/>
      </c>
      <c r="AF263" s="47">
        <f>AF246*(AF$210&lt;=0)+AF$215*($G262+$F$72+$F$73)</f>
        <v/>
      </c>
      <c r="AG263" s="47">
        <f>AG246*(AG$210&lt;=0)+AG$215*($G262+$F$72+$F$73)</f>
        <v/>
      </c>
      <c r="AH263" s="47">
        <f>AH246*(AH$210&lt;=0)+AH$215*($G262+$F$72+$F$73)</f>
        <v/>
      </c>
      <c r="AI263" s="47">
        <f>AI246*(AI$210&lt;=0)+AI$215*($G262+$F$72+$F$73)</f>
        <v/>
      </c>
      <c r="AJ263" s="47">
        <f>AJ246*(AJ$210&lt;=0)+AJ$215*($G262+$F$72+$F$73)</f>
        <v/>
      </c>
      <c r="AK263" s="47">
        <f>AK246*(AK$210&lt;=0)+AK$215*($G262+$F$72+$F$73)</f>
        <v/>
      </c>
      <c r="AL263" s="47">
        <f>AL246*(AL$210&lt;=0)+AL$215*($G262+$F$72+$F$73)</f>
        <v/>
      </c>
      <c r="AM263" s="47">
        <f>AM246*(AM$210&lt;=0)+AM$215*($G262+$F$72+$F$73)</f>
        <v/>
      </c>
      <c r="AN263" s="47">
        <f>AN246*(AN$210&lt;=0)+AN$215*($G262+$F$72+$F$73)</f>
        <v/>
      </c>
      <c r="AO263" s="47">
        <f>AO246*(AO$210&lt;=0)+AO$215*($G262+$F$72+$F$73)</f>
        <v/>
      </c>
      <c r="AP263" s="47">
        <f>AP246*(AP$210&lt;=0)+AP$215*($G262+$F$72+$F$73)</f>
        <v/>
      </c>
      <c r="AQ263" s="47">
        <f>AQ246*(AQ$210&lt;=0)+AQ$215*($G262+$F$72+$F$73)</f>
        <v/>
      </c>
      <c r="AR263" s="47">
        <f>AR246*(AR$210&lt;=0)+AR$215*($G262+$F$72+$F$73)</f>
        <v/>
      </c>
      <c r="AS263" s="47">
        <f>AS246*(AS$210&lt;=0)+AS$215*($G262+$F$72+$F$73)</f>
        <v/>
      </c>
      <c r="AT263" s="47">
        <f>AT246*(AT$210&lt;=0)+AT$215*($G262+$F$72+$F$73)</f>
        <v/>
      </c>
      <c r="AU263" s="47">
        <f>AU246*(AU$210&lt;=0)+AU$215*($G262+$F$72+$F$73)</f>
        <v/>
      </c>
      <c r="AV263" s="47">
        <f>AV246*(AV$210&lt;=0)+AV$215*($G262+$F$72+$F$73)</f>
        <v/>
      </c>
      <c r="AW263" s="47">
        <f>AW246*(AW$210&lt;=0)+AW$215*($G262+$F$72+$F$73)</f>
        <v/>
      </c>
      <c r="AX263" s="47">
        <f>AX246*(AX$210&lt;=0)+AX$215*($G262+$F$72+$F$73)</f>
        <v/>
      </c>
      <c r="AY263" s="47">
        <f>AY246*(AY$210&lt;=0)+AY$215*($G262+$F$72+$F$73)</f>
        <v/>
      </c>
      <c r="AZ263" s="47">
        <f>AZ246*(AZ$210&lt;=0)+AZ$215*($G262+$F$72+$F$73)</f>
        <v/>
      </c>
      <c r="BA263" s="47">
        <f>BA246*(BA$210&lt;=0)+BA$215*($G262+$F$72+$F$73)</f>
        <v/>
      </c>
      <c r="BB263" s="47">
        <f>BB246*(BB$210&lt;=0)+BB$215*($G262+$F$72+$F$73)</f>
        <v/>
      </c>
      <c r="BC263" s="47">
        <f>BC246*(BC$210&lt;=0)+BC$215*($G262+$F$72+$F$73)</f>
        <v/>
      </c>
      <c r="BD263" s="47">
        <f>BD246*(BD$210&lt;=0)+BD$215*($G262+$F$72+$F$73)</f>
        <v/>
      </c>
      <c r="BE263" s="47">
        <f>BE246*(BE$210&lt;=0)+BE$215*($G262+$F$72+$F$73)</f>
        <v/>
      </c>
      <c r="BF263" s="47">
        <f>BF246*(BF$210&lt;=0)+BF$215*($G262+$F$72+$F$73)</f>
        <v/>
      </c>
      <c r="BG263" s="47">
        <f>BG246*(BG$210&lt;=0)+BG$215*($G262+$F$72+$F$73)</f>
        <v/>
      </c>
    </row>
    <row r="265">
      <c r="B265" s="28" t="n"/>
      <c r="C265" s="28" t="inlineStr">
        <is>
          <t>Checks (0 = OK)</t>
        </is>
      </c>
      <c r="D265" s="28" t="n"/>
      <c r="E265" s="29" t="inlineStr">
        <is>
          <t>Iváncsa</t>
        </is>
      </c>
      <c r="F265" s="29" t="inlineStr">
        <is>
          <t>Dunaújváros</t>
        </is>
      </c>
      <c r="G265" s="29" t="inlineStr">
        <is>
          <t>Total</t>
        </is>
      </c>
      <c r="H265" s="29" t="n"/>
    </row>
    <row r="266">
      <c r="C266" s="31" t="inlineStr">
        <is>
          <t>RtB waterfall closes (proceeds = all amounts paid out)</t>
        </is>
      </c>
      <c r="D266" s="32" t="inlineStr">
        <is>
          <t>flag</t>
        </is>
      </c>
      <c r="E266" s="53">
        <f>N(ABS(E148+E149+E153-E156-E167)&gt;Tolerance)</f>
        <v/>
      </c>
      <c r="F266" s="53">
        <f>N(ABS(F148+F149+F153-F156-F167)&gt;Tolerance)</f>
        <v/>
      </c>
      <c r="G266" s="53">
        <f>E266+F266</f>
        <v/>
      </c>
    </row>
    <row r="267">
      <c r="C267" s="31" t="inlineStr">
        <is>
          <t>Claim lines paid before the interest accrual end</t>
        </is>
      </c>
      <c r="D267" s="32" t="inlineStr">
        <is>
          <t>flag</t>
        </is>
      </c>
      <c r="E267" s="53">
        <f>COUNTIF($H$136:$H$142,"&gt;"&amp;$E$135)</f>
        <v/>
      </c>
      <c r="G267" s="53">
        <f>E267+F267</f>
        <v/>
      </c>
    </row>
    <row r="268">
      <c r="C268" s="31" t="inlineStr">
        <is>
          <t>RtB date not after the sale date</t>
        </is>
      </c>
      <c r="D268" s="32" t="inlineStr">
        <is>
          <t>flag</t>
        </is>
      </c>
      <c r="E268" s="53">
        <f>N($E$83&gt;$E$84)</f>
        <v/>
      </c>
      <c r="G268" s="53">
        <f>E268+F268</f>
        <v/>
      </c>
    </row>
    <row r="269">
      <c r="C269" s="31" t="inlineStr">
        <is>
          <t>Construction capex spread in full (timeline = capex)</t>
        </is>
      </c>
      <c r="D269" s="32" t="inlineStr">
        <is>
          <t>flag</t>
        </is>
      </c>
      <c r="E269" s="53">
        <f>N(ABS(E201+$G$220)&gt;Tolerance)</f>
        <v/>
      </c>
      <c r="F269" s="53">
        <f>N(ABS(F201+$G$244)&gt;Tolerance)</f>
        <v/>
      </c>
      <c r="G269" s="53">
        <f>E269+F269</f>
        <v/>
      </c>
    </row>
    <row r="270">
      <c r="C270" s="31" t="inlineStr">
        <is>
          <t>Investment cash flows = all-in cost to COD</t>
        </is>
      </c>
      <c r="D270" s="32" t="inlineStr">
        <is>
          <t>flag</t>
        </is>
      </c>
      <c r="E270" s="53">
        <f>N(ABS(E205+$G$222)&gt;Tolerance)</f>
        <v/>
      </c>
      <c r="F270" s="53">
        <f>N(ABS(F205+$G$246)&gt;Tolerance)</f>
        <v/>
      </c>
      <c r="G270" s="53">
        <f>E270+F270</f>
        <v/>
      </c>
    </row>
    <row r="271">
      <c r="C271" s="31" t="inlineStr">
        <is>
          <t>Operating life inside the timeline</t>
        </is>
      </c>
      <c r="D271" s="32" t="inlineStr">
        <is>
          <t>flag</t>
        </is>
      </c>
      <c r="E271" s="53">
        <f>N(ABS($G$214-$E$90)&gt;Tolerance)</f>
        <v/>
      </c>
      <c r="G271" s="53">
        <f>E271+F271</f>
        <v/>
      </c>
    </row>
    <row r="272">
      <c r="C272" s="46" t="inlineStr">
        <is>
          <t>Master check</t>
        </is>
      </c>
      <c r="D272" s="32" t="inlineStr">
        <is>
          <t>flag</t>
        </is>
      </c>
      <c r="G272" s="55">
        <f>SUM(G266:G271)</f>
        <v/>
      </c>
    </row>
    <row r="274">
      <c r="C274" s="56" t="inlineStr">
        <is>
          <t>***END***</t>
        </is>
      </c>
    </row>
  </sheetData>
  <conditionalFormatting sqref="G272">
    <cfRule type="cellIs" priority="1" operator="equal" dxfId="0">
      <formula>0</formula>
    </cfRule>
    <cfRule type="cellIs" priority="2" operator="not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2026-10-27T11:33:44Z</dcterms:created>
  <dcterms:modified xmlns:dcterms="http://purl.org/dc/terms/" xmlns:xsi="http://www.w3.org/2001/XMLSchema-instance" xsi:type="dcterms:W3CDTF">2026-10-27T12:56:58Z</dcterms:modified>
  <cp:lastModifiedBy>Zádeczki Zalán</cp:lastModifiedBy>
</cp:coreProperties>
</file>