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ebextensions/taskpanes.xml" ContentType="application/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microsoft.com/office/2011/relationships/webextensiontaskpanes" Target="xl/webextensions/taskpanes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</sheets>
  <definedNames>
    <definedName function="false" hidden="false" name="Balancing" vbProcedure="false">Inputs!$E$69</definedName>
    <definedName function="false" hidden="false" name="Bench_BESS" vbProcedure="false">Inputs!$E$8</definedName>
    <definedName function="false" hidden="false" name="Bench_Wind" vbProcedure="false">Inputs!$E$7</definedName>
    <definedName function="false" hidden="false" name="BESS_Capex" vbProcedure="false">Inputs!$E$56</definedName>
    <definedName function="false" hidden="false" name="Bid_Sec_Rate" vbProcedure="false">Inputs!$E$9</definedName>
    <definedName function="false" hidden="false" name="Capex_Civil" vbProcedure="false">Inputs!$E$49</definedName>
    <definedName function="false" hidden="false" name="Capex_Cont" vbProcedure="false">Inputs!$E$55</definedName>
    <definedName function="false" hidden="false" name="Capex_Elec" vbProcedure="false">Inputs!$E$50</definedName>
    <definedName function="false" hidden="false" name="Capex_Fdn" vbProcedure="false">Inputs!$E$48</definedName>
    <definedName function="false" hidden="false" name="Capex_Install" vbProcedure="false">Inputs!$E$47</definedName>
    <definedName function="false" hidden="false" name="Capex_Land" vbProcedure="false">Inputs!$E$52</definedName>
    <definedName function="false" hidden="false" name="Capex_Owner" vbProcedure="false">Inputs!$E$51</definedName>
    <definedName function="false" hidden="false" name="Case_CN" vbProcedure="false">Dashboard!$H$27</definedName>
    <definedName function="false" hidden="false" name="Case_EU" vbProcedure="false">Dashboard!$H$26</definedName>
    <definedName function="false" hidden="false" name="Case_OM" vbProcedure="false">Dashboard!$H$30</definedName>
    <definedName function="false" hidden="false" name="Case_P50" vbProcedure="false">Dashboard!$H$29</definedName>
    <definedName function="false" hidden="false" name="Case_PPA" vbProcedure="false">Dashboard!$H$28</definedName>
    <definedName function="false" hidden="false" name="CIT_Rate" vbProcedure="false">Inputs!$E$39</definedName>
    <definedName function="false" hidden="false" name="Clipping" vbProcedure="false">Inputs!$E$59</definedName>
    <definedName function="false" hidden="false" name="Curtailment" vbProcedure="false">Inputs!$E$58</definedName>
    <definedName function="false" hidden="false" name="Dash_BESS_Share" vbProcedure="false">Dashboard!$E$8:$G$8</definedName>
    <definedName function="false" hidden="false" name="Dash_Brownfield" vbProcedure="false">Dashboard!$E$15:$G$15</definedName>
    <definedName function="false" hidden="false" name="Dash_Case" vbProcedure="false">Dashboard!$H$25</definedName>
    <definedName function="false" hidden="false" name="Dash_Case_CN" vbProcedure="false">Dashboard!$E$27:$G$27</definedName>
    <definedName function="false" hidden="false" name="Dash_Case_EU" vbProcedure="false">Dashboard!$E$26:$G$26</definedName>
    <definedName function="false" hidden="false" name="Dash_Case_OM" vbProcedure="false">Dashboard!$E$30:$G$30</definedName>
    <definedName function="false" hidden="false" name="Dash_Case_P50" vbProcedure="false">Dashboard!$E$29:$G$29</definedName>
    <definedName function="false" hidden="false" name="Dash_Case_PPA" vbProcedure="false">Dashboard!$E$28:$G$28</definedName>
    <definedName function="false" hidden="false" name="Dash_Community" vbProcedure="false">Dashboard!$E$12:$G$12</definedName>
    <definedName function="false" hidden="false" name="Dash_DSA" vbProcedure="false">Dashboard!$E$20:$G$20</definedName>
    <definedName function="false" hidden="false" name="Dash_FEP_Share" vbProcedure="false">Dashboard!$E$19:$G$19</definedName>
    <definedName function="false" hidden="false" name="Dash_Hours" vbProcedure="false">Dashboard!$E$9:$G$9</definedName>
    <definedName function="false" hidden="false" name="Dash_JV" vbProcedure="false">Dashboard!$E$21:$G$21</definedName>
    <definedName function="false" hidden="false" name="Dash_Municipal" vbProcedure="false">Dashboard!$E$11:$G$11</definedName>
    <definedName function="false" hidden="false" name="Dash_MVA" vbProcedure="false">Dashboard!$E$6:$G$6</definedName>
    <definedName function="false" hidden="false" name="Dash_Overbuild" vbProcedure="false">Dashboard!$E$7:$G$7</definedName>
    <definedName function="false" hidden="false" name="Dash_P50" vbProcedure="false">Dashboard!$E$22:$G$22</definedName>
    <definedName function="false" hidden="false" name="Dash_Partial" vbProcedure="false">Dashboard!$E$13:$G$13</definedName>
    <definedName function="false" hidden="false" name="Dash_PB_Mult" vbProcedure="false">Dashboard!$E$14:$G$14</definedName>
    <definedName function="false" hidden="false" name="Dash_Premium" vbProcedure="false">Dashboard!$E$18:$G$18</definedName>
    <definedName function="false" hidden="false" name="Dash_Shared" vbProcedure="false">Dashboard!$E$16:$G$16</definedName>
    <definedName function="false" hidden="false" name="Dash_Shortfall" vbProcedure="false">Dashboard!$E$10:$G$10</definedName>
    <definedName function="false" hidden="false" name="Dash_Turbine" vbProcedure="false">Dashboard!$E$17:$G$17</definedName>
    <definedName function="false" hidden="false" name="Days_In_Year" vbProcedure="false">Inputs!$E$80</definedName>
    <definedName function="false" hidden="false" name="Debt_Rate" vbProcedure="false">Inputs!$E$44</definedName>
    <definedName function="false" hidden="false" name="Debt_Tenor" vbProcedure="false">Inputs!$E$45</definedName>
    <definedName function="false" hidden="false" name="Degradation" vbProcedure="false">Inputs!$E$60</definedName>
    <definedName function="false" hidden="false" name="Devex_Class" vbProcedure="false">Inputs!$G$85:$G$117</definedName>
    <definedName function="false" hidden="false" name="Devex_Date" vbProcedure="false">Inputs!$F$85:$F$117</definedName>
    <definedName function="false" hidden="false" name="Devex_Floor" vbProcedure="false">Inputs!$E$32</definedName>
    <definedName function="false" hidden="false" name="Devex_HUF" vbProcedure="false">Inputs!$E$85:$E$117</definedName>
    <definedName function="false" hidden="false" name="Discount_Rate" vbProcedure="false">Inputs!$E$77</definedName>
    <definedName function="false" hidden="false" name="DSA_Cap" vbProcedure="false">Inputs!$E$38</definedName>
    <definedName function="false" hidden="false" name="DSA_Rate" vbProcedure="false">Inputs!$E$37</definedName>
    <definedName function="false" hidden="false" name="First_Year" vbProcedure="false">Inputs!$E$78</definedName>
    <definedName function="false" hidden="false" name="Freeze_Date" vbProcedure="false">Inputs!$E$33</definedName>
    <definedName function="false" hidden="false" name="FX" vbProcedure="false">Inputs!$E$6</definedName>
    <definedName function="false" hidden="false" name="Gearing" vbProcedure="false">Inputs!$E$43</definedName>
    <definedName function="false" hidden="false" name="Grid_Charges" vbProcedure="false">Inputs!$E$70</definedName>
    <definedName function="false" hidden="false" name="HIPA_Rate" vbProcedure="false">Inputs!$E$72</definedName>
    <definedName function="false" hidden="false" name="Life" vbProcedure="false">Inputs!$E$76</definedName>
    <definedName function="false" hidden="false" name="Lump_Basis" vbProcedure="false">Inputs!$E$54</definedName>
    <definedName function="false" hidden="false" name="Master_Check" vbProcedure="false">Dashboard!$H$537</definedName>
    <definedName function="false" hidden="false" name="MEKH_Fee" vbProcedure="false">Inputs!$E$71</definedName>
    <definedName function="false" hidden="false" name="Months_In_Year" vbProcedure="false">Inputs!$E$81</definedName>
    <definedName function="false" hidden="false" name="Opex_Admin" vbProcedure="false">Inputs!$E$68</definedName>
    <definedName function="false" hidden="false" name="Opex_Cont" vbProcedure="false">Inputs!$E$73</definedName>
    <definedName function="false" hidden="false" name="Opex_Esc" vbProcedure="false">Inputs!$E$74</definedName>
    <definedName function="false" hidden="false" name="Opex_Per_MW" vbProcedure="false">Inputs!$E$63:$E$67</definedName>
    <definedName function="false" hidden="false" name="Osz1_Incl" vbProcedure="false">Inputs!$E$121:$M$121</definedName>
    <definedName function="false" hidden="false" name="Osz1_LB" vbProcedure="false">Inputs!$E$120:$M$120</definedName>
    <definedName function="false" hidden="false" name="Osz1_Pts" vbProcedure="false">Inputs!$E$122:$N$122</definedName>
    <definedName function="false" hidden="false" name="Osz1_W" vbProcedure="false">Inputs!$E$140</definedName>
    <definedName function="false" hidden="false" name="Osz2_Incl" vbProcedure="false">Inputs!$E$124:$O$124</definedName>
    <definedName function="false" hidden="false" name="Osz2_LB" vbProcedure="false">Inputs!$E$123:$O$123</definedName>
    <definedName function="false" hidden="false" name="Osz2_Pts" vbProcedure="false">Inputs!$E$125:$P$125</definedName>
    <definedName function="false" hidden="false" name="Osz2_W" vbProcedure="false">Inputs!$E$141</definedName>
    <definedName function="false" hidden="false" name="Osz3_Incl" vbProcedure="false">Inputs!$E$127:$N$127</definedName>
    <definedName function="false" hidden="false" name="Osz3_LB" vbProcedure="false">Inputs!$E$126:$N$126</definedName>
    <definedName function="false" hidden="false" name="Osz3_Pts" vbProcedure="false">Inputs!$E$128:$O$128</definedName>
    <definedName function="false" hidden="false" name="Osz3_W" vbProcedure="false">Inputs!$E$142</definedName>
    <definedName function="false" hidden="false" name="Osz4_Incl" vbProcedure="false">Inputs!$E$130:$N$130</definedName>
    <definedName function="false" hidden="false" name="Osz4_LB" vbProcedure="false">Inputs!$E$129:$N$129</definedName>
    <definedName function="false" hidden="false" name="Osz4_Pts" vbProcedure="false">Inputs!$E$131:$O$131</definedName>
    <definedName function="false" hidden="false" name="Osz4_W" vbProcedure="false">Inputs!$E$143</definedName>
    <definedName function="false" hidden="false" name="Osz5_Pts" vbProcedure="false">Inputs!$E$135</definedName>
    <definedName function="false" hidden="false" name="Osz5_W" vbProcedure="false">Inputs!$E$144</definedName>
    <definedName function="false" hidden="false" name="Osz6_Incl" vbProcedure="false">Inputs!$E$133:$N$133</definedName>
    <definedName function="false" hidden="false" name="Osz6_LB" vbProcedure="false">Inputs!$E$132:$N$132</definedName>
    <definedName function="false" hidden="false" name="Osz6_Pts" vbProcedure="false">Inputs!$E$134:$O$134</definedName>
    <definedName function="false" hidden="false" name="Osz6_W" vbProcedure="false">Inputs!$E$145</definedName>
    <definedName function="false" hidden="false" name="Osz7_Pts" vbProcedure="false">Inputs!$E$136</definedName>
    <definedName function="false" hidden="false" name="Osz7_W" vbProcedure="false">Inputs!$E$146</definedName>
    <definedName function="false" hidden="false" name="Osz8_Pts" vbProcedure="false">Inputs!$E$137</definedName>
    <definedName function="false" hidden="false" name="Osz8_W" vbProcedure="false">Inputs!$E$147</definedName>
    <definedName function="false" hidden="false" name="Osz9a_Pts" vbProcedure="false">Inputs!$E$138</definedName>
    <definedName function="false" hidden="false" name="Osz9b_Pts" vbProcedure="false">Inputs!$E$139</definedName>
    <definedName function="false" hidden="false" name="Osz9_W" vbProcedure="false">Inputs!$E$148</definedName>
    <definedName function="false" hidden="false" name="Part_Fee" vbProcedure="false">Inputs!$E$11</definedName>
    <definedName function="false" hidden="false" name="PB_Rate" vbProcedure="false">Inputs!$E$10</definedName>
    <definedName function="false" hidden="false" name="PPA_Esc" vbProcedure="false">Inputs!$E$61</definedName>
    <definedName function="false" hidden="false" name="Rate_Cash" vbProcedure="false">Inputs!$E$30</definedName>
    <definedName function="false" hidden="false" name="Rate_Devex" vbProcedure="false">Inputs!$E$31</definedName>
    <definedName function="false" hidden="false" name="Sale_Costs" vbProcedure="false">Inputs!$E$36</definedName>
    <definedName function="false" hidden="false" name="Sale_Date" vbProcedure="false">Inputs!$E$34</definedName>
    <definedName function="false" hidden="false" name="Sale_Date_A" vbProcedure="false">Inputs!$E$35</definedName>
    <definedName function="false" hidden="false" name="Share_Exempt" vbProcedure="false">Inputs!$E$40</definedName>
    <definedName function="false" hidden="false" name="Subs_Lump" vbProcedure="false">Inputs!$E$53</definedName>
    <definedName function="false" hidden="false" name="Tax_Dep_Life" vbProcedure="false">Inputs!$E$42</definedName>
    <definedName function="false" hidden="false" name="Thousand" vbProcedure="false">Inputs!$E$79</definedName>
    <definedName function="false" hidden="false" name="Tolerance" vbProcedure="false">Inputs!$E$82</definedName>
    <definedName function="false" hidden="false" name="TSO_Rate" vbProcedure="false">Inputs!$E$12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<sst xmlns="http://schemas.openxmlformats.org/spreadsheetml/2006/main" count="1505" uniqueCount="608">
  <si>
    <t xml:space="preserve">HU wind projects</t>
  </si>
  <si>
    <t xml:space="preserve">Master check (0 = OK; checks at the end of the detail)</t>
  </si>
  <si>
    <t xml:space="preserve">flag</t>
  </si>
  <si>
    <t xml:space="preserve">x</t>
  </si>
  <si>
    <t xml:space="preserve">Key inputs: the bids</t>
  </si>
  <si>
    <t xml:space="preserve">Bora</t>
  </si>
  <si>
    <t xml:space="preserve">Iváncsa</t>
  </si>
  <si>
    <t xml:space="preserve">Dunaújváros</t>
  </si>
  <si>
    <t xml:space="preserve">Total</t>
  </si>
  <si>
    <t xml:space="preserve">Net connection capacity</t>
  </si>
  <si>
    <t xml:space="preserve">MVA</t>
  </si>
  <si>
    <t xml:space="preserve">Overbuild (ÖSZ-3)</t>
  </si>
  <si>
    <t xml:space="preserve">%</t>
  </si>
  <si>
    <t xml:space="preserve">BESS power, share of MVA (ÖSZ-4)</t>
  </si>
  <si>
    <t xml:space="preserve">BESS duration</t>
  </si>
  <si>
    <t xml:space="preserve">h</t>
  </si>
  <si>
    <t xml:space="preserve">Wind built below the bid</t>
  </si>
  <si>
    <t xml:space="preserve">Municipal one-off (ÖSZ-1), at COD</t>
  </si>
  <si>
    <t xml:space="preserve">EUR k/MVA</t>
  </si>
  <si>
    <t xml:space="preserve">Community contribution (ÖSZ-2)</t>
  </si>
  <si>
    <t xml:space="preserve">EUR/MWh</t>
  </si>
  <si>
    <t xml:space="preserve">Partial award accepted (ÖSZ-5)</t>
  </si>
  <si>
    <t xml:space="preserve">Performance security multiple (ÖSZ-6)</t>
  </si>
  <si>
    <t xml:space="preserve">Brownfield site (ÖSZ-7)</t>
  </si>
  <si>
    <t xml:space="preserve">Shared connection (ÖSZ-8)</t>
  </si>
  <si>
    <t xml:space="preserve">Turbine route (EU or CN; EU scores ÖSZ-9)</t>
  </si>
  <si>
    <t xml:space="preserve">text</t>
  </si>
  <si>
    <t xml:space="preserve">CN</t>
  </si>
  <si>
    <t xml:space="preserve">RtB premium</t>
  </si>
  <si>
    <t xml:space="preserve">FEP share of distributable proceeds</t>
  </si>
  <si>
    <t xml:space="preserve">Developer success fee (DSA) on</t>
  </si>
  <si>
    <t xml:space="preserve">JV with a developer (1 = yes; shareholder-loan claims apply)</t>
  </si>
  <si>
    <t xml:space="preserve">Net P50 hours (project wind study)</t>
  </si>
  <si>
    <t xml:space="preserve">h/yr</t>
  </si>
  <si>
    <t xml:space="preserve">Case: turbine price, PPA, O&amp;M</t>
  </si>
  <si>
    <t xml:space="preserve">Base</t>
  </si>
  <si>
    <t xml:space="preserve">Low</t>
  </si>
  <si>
    <t xml:space="preserve">High</t>
  </si>
  <si>
    <t xml:space="preserve">Live</t>
  </si>
  <si>
    <t xml:space="preserve">Case selected (Base, Low or High)</t>
  </si>
  <si>
    <t xml:space="preserve">case</t>
  </si>
  <si>
    <t xml:space="preserve">Turbine supply incl. transport, EU route</t>
  </si>
  <si>
    <t xml:space="preserve">EUR k/MW</t>
  </si>
  <si>
    <t xml:space="preserve">Bora Dashboard H8 / Inputs G162</t>
  </si>
  <si>
    <t xml:space="preserve">Turbine supply incl. transport, CN route</t>
  </si>
  <si>
    <t xml:space="preserve">Bora Inputs H162</t>
  </si>
  <si>
    <t xml:space="preserve">PPA price in the COD year</t>
  </si>
  <si>
    <t xml:space="preserve">Bora Dashboard H9</t>
  </si>
  <si>
    <t xml:space="preserve">Net P50 hours (not used: project P50 in row 22)</t>
  </si>
  <si>
    <t xml:space="preserve">Bora Dashboard H10</t>
  </si>
  <si>
    <t xml:space="preserve">O&amp;M full-service contract</t>
  </si>
  <si>
    <t xml:space="preserve">EUR k/MW/yr</t>
  </si>
  <si>
    <t xml:space="preserve">Bora Dashboard H11</t>
  </si>
  <si>
    <t xml:space="preserve">Bid points and capacity</t>
  </si>
  <si>
    <t xml:space="preserve">Points – municipal one-off</t>
  </si>
  <si>
    <t xml:space="preserve">points</t>
  </si>
  <si>
    <t xml:space="preserve">Points – community contribution</t>
  </si>
  <si>
    <t xml:space="preserve">Points – overbuild</t>
  </si>
  <si>
    <t xml:space="preserve">Points – BESS</t>
  </si>
  <si>
    <t xml:space="preserve">Points – partial award</t>
  </si>
  <si>
    <t xml:space="preserve">Points – performance security</t>
  </si>
  <si>
    <t xml:space="preserve">Points – brownfield</t>
  </si>
  <si>
    <t xml:space="preserve">Points – shared connection</t>
  </si>
  <si>
    <t xml:space="preserve">Points – EU turbines</t>
  </si>
  <si>
    <t xml:space="preserve">Points – EU transformers</t>
  </si>
  <si>
    <t xml:space="preserve">Points total</t>
  </si>
  <si>
    <t xml:space="preserve">Wind committed in the bid</t>
  </si>
  <si>
    <t xml:space="preserve">MW</t>
  </si>
  <si>
    <t xml:space="preserve">BESS energy</t>
  </si>
  <si>
    <t xml:space="preserve">MWh</t>
  </si>
  <si>
    <t xml:space="preserve">Wind built (committed less the build shortfall)</t>
  </si>
  <si>
    <t xml:space="preserve">Guarantees, securities and connection fees, DEVEX (HUF)</t>
  </si>
  <si>
    <t xml:space="preserve">Date</t>
  </si>
  <si>
    <t xml:space="preserve">Participation fee</t>
  </si>
  <si>
    <t xml:space="preserve">HUF</t>
  </si>
  <si>
    <t xml:space="preserve">Bid security</t>
  </si>
  <si>
    <t xml:space="preserve">Performance security payable (bid security deducted)</t>
  </si>
  <si>
    <t xml:space="preserve">TSO connection-request security</t>
  </si>
  <si>
    <t xml:space="preserve">Direct connection fee (per point ÷ bids sharing it)</t>
  </si>
  <si>
    <t xml:space="preserve">Indirect connection fee, payable (TSO security deducted)</t>
  </si>
  <si>
    <t xml:space="preserve">DEVEX – development (devex items excl. land)</t>
  </si>
  <si>
    <t xml:space="preserve">DEVEX – land (reservation and purchase)</t>
  </si>
  <si>
    <t xml:space="preserve">Signing fee and DD</t>
  </si>
  <si>
    <t xml:space="preserve">Total cash to RtB (incl. signing and DD)</t>
  </si>
  <si>
    <t xml:space="preserve">Guarantees, securities and connection fees, DEVEX (EUR k)</t>
  </si>
  <si>
    <t xml:space="preserve">EUR k</t>
  </si>
  <si>
    <t xml:space="preserve">Cash to RtB by nature: sunk, returned, or borne by the buyer (EUR k)</t>
  </si>
  <si>
    <t xml:space="preserve">Who bears it</t>
  </si>
  <si>
    <t xml:space="preserve">Sunk fees and devex (signing and DD, participation fee, development devex)</t>
  </si>
  <si>
    <t xml:space="preserve">FEP – sunk; recovered only via the claims at the sale</t>
  </si>
  <si>
    <t xml:space="preserve">Securities and land, returned or reimbursed at cost (bid, performance, TSO; land)</t>
  </si>
  <si>
    <t xml:space="preserve">FEP – cash out, returned or reimbursed at the sale</t>
  </si>
  <si>
    <t xml:space="preserve">Grid connection fees (direct + indirect, payable at HCSSZ)</t>
  </si>
  <si>
    <t xml:space="preserve">Buyer at RtB; FEP pays only if no buyer is found</t>
  </si>
  <si>
    <t xml:space="preserve">Total cash to RtB (= total above)</t>
  </si>
  <si>
    <t xml:space="preserve">Case B: FEP pre-funds everything</t>
  </si>
  <si>
    <t xml:space="preserve">Grid connection fees, share of the total</t>
  </si>
  <si>
    <t xml:space="preserve">FEP exposure if the buyer pays the grid connection fees</t>
  </si>
  <si>
    <t xml:space="preserve">Case A: FEP funds sunk fees, devex and securities only; the Case A detail counts the devex paid by sale A</t>
  </si>
  <si>
    <t xml:space="preserve">Capex breakdown to COD</t>
  </si>
  <si>
    <t xml:space="preserve">Turbines (route price, live case)</t>
  </si>
  <si>
    <t xml:space="preserve">Installation and erection</t>
  </si>
  <si>
    <t xml:space="preserve">Foundations</t>
  </si>
  <si>
    <t xml:space="preserve">Balance of plant – civil</t>
  </si>
  <si>
    <t xml:space="preserve">Balance of plant – electrical</t>
  </si>
  <si>
    <t xml:space="preserve">Owner's costs, engineering, PM, construction insurance</t>
  </si>
  <si>
    <t xml:space="preserve">Land purchase and easements</t>
  </si>
  <si>
    <t xml:space="preserve">Substation and 132 kV bay (scaled by MVA)</t>
  </si>
  <si>
    <t xml:space="preserve">Contingency (not on BESS)</t>
  </si>
  <si>
    <t xml:space="preserve">BESS (on BESS energy; points only, no BESS revenue or opex modelled)</t>
  </si>
  <si>
    <t xml:space="preserve">Construction capex</t>
  </si>
  <si>
    <t xml:space="preserve">Connection fees (TSO security, direct, indirect)</t>
  </si>
  <si>
    <t xml:space="preserve">TSO connection-request security (returned)</t>
  </si>
  <si>
    <t xml:space="preserve">Bid security (returned)</t>
  </si>
  <si>
    <t xml:space="preserve">Performance security: 0 (returned)</t>
  </si>
  <si>
    <t xml:space="preserve">Municipal one-off</t>
  </si>
  <si>
    <t xml:space="preserve">Land</t>
  </si>
  <si>
    <t xml:space="preserve">Developer premium paid for the RtB project (150 k€/MVA × MVA; replaces FEP's devex, which the buyer does not bear)</t>
  </si>
  <si>
    <t xml:space="preserve">All-in cost to COD for a buyer (securities excluded: returned)</t>
  </si>
  <si>
    <t xml:space="preserve">All-in cost per MW built</t>
  </si>
  <si>
    <t xml:space="preserve">All-in cost per MVA</t>
  </si>
  <si>
    <t xml:space="preserve">Devex breakdown (BORA_Devex 02-Oct-26 items × the scale; tender fee and securities above)</t>
  </si>
  <si>
    <t xml:space="preserve">Development devex (incl. contingency)</t>
  </si>
  <si>
    <t xml:space="preserve">Devex total (= DEVEX lines above; devex items × scale)</t>
  </si>
  <si>
    <t xml:space="preserve">Returns RTB COD HTM</t>
  </si>
  <si>
    <t xml:space="preserve">RTB exit, Case A: buyer pays the grid connection fees (FEP does not pre-fund)</t>
  </si>
  <si>
    <t xml:space="preserve">Grid connection fees paid by the buyer (not FEP cash)</t>
  </si>
  <si>
    <t xml:space="preserve">Total FEP cash out to RtB (peak exposure)</t>
  </si>
  <si>
    <t xml:space="preserve">Total proceeds to FEP at the sale</t>
  </si>
  <si>
    <t xml:space="preserve">FEP profit, post-tax</t>
  </si>
  <si>
    <t xml:space="preserve">MOIC, pre-tax</t>
  </si>
  <si>
    <t xml:space="preserve">IRR, pre-tax</t>
  </si>
  <si>
    <t xml:space="preserve">MOIC, post-tax</t>
  </si>
  <si>
    <t xml:space="preserve">IRR, post-tax</t>
  </si>
  <si>
    <t xml:space="preserve">RTB exit, Case B: FEP pre-funds the grid connection fees, buyer reimburses them at the sale</t>
  </si>
  <si>
    <t xml:space="preserve">COD exit (as the RtB buyer: pays the RtB price, securities and fees at the Case B sale, builds, sells at COD)</t>
  </si>
  <si>
    <t xml:space="preserve">Connection fees (direct, indirect; the TSO security is credited against the indirect fee)</t>
  </si>
  <si>
    <t xml:space="preserve">Development devex: 0 (FEP's cost, replaced by the RtB premium paid at the sale)</t>
  </si>
  <si>
    <t xml:space="preserve">RtB premium paid to FEP at the sale (150 k€/MVA × MVA)</t>
  </si>
  <si>
    <t xml:space="preserve">Total costs to COD (= all-in cost to COD for a buyer)</t>
  </si>
  <si>
    <t xml:space="preserve">Sale price at COD</t>
  </si>
  <si>
    <t xml:space="preserve">Buyer profit (sale price at COD less the costs above)</t>
  </si>
  <si>
    <t xml:space="preserve">Hold to maturity (as the RtB buyer; EBITDA, CIT, optional debt)</t>
  </si>
  <si>
    <t xml:space="preserve">Total capex and costs to COD (= all-in cost to COD for a buyer)</t>
  </si>
  <si>
    <t xml:space="preserve">Total revenue over the life</t>
  </si>
  <si>
    <t xml:space="preserve">Total opex over the life</t>
  </si>
  <si>
    <t xml:space="preserve">Total EBITDA over the life</t>
  </si>
  <si>
    <t xml:space="preserve">Project IRR, pre-tax</t>
  </si>
  <si>
    <t xml:space="preserve">NPV at the discount rate, at the first year end</t>
  </si>
  <si>
    <t xml:space="preserve">CIT over the life, unlevered</t>
  </si>
  <si>
    <t xml:space="preserve">Project IRR, post-tax</t>
  </si>
  <si>
    <t xml:space="preserve">Debt drawn at COD (gearing × all-in cost)</t>
  </si>
  <si>
    <t xml:space="preserve">Equity IRR, post-tax (geared)</t>
  </si>
  <si>
    <t xml:space="preserve">Minimum DSCR</t>
  </si>
  <si>
    <t xml:space="preserve">Annual cash flow per project (EUR k)</t>
  </si>
  <si>
    <t xml:space="preserve">Year</t>
  </si>
  <si>
    <t xml:space="preserve">year</t>
  </si>
  <si>
    <t xml:space="preserve">Spending (RtB purchase, capex, fees, securities), net</t>
  </si>
  <si>
    <t xml:space="preserve">Revenue</t>
  </si>
  <si>
    <t xml:space="preserve">Opex</t>
  </si>
  <si>
    <t xml:space="preserve">EBITDA</t>
  </si>
  <si>
    <t xml:space="preserve">Net cash flow</t>
  </si>
  <si>
    <t xml:space="preserve">Net cash flow, post-tax</t>
  </si>
  <si>
    <t xml:space="preserve">Equity cash flow, post-tax (geared)</t>
  </si>
  <si>
    <t xml:space="preserve">Cumulative net cash flow</t>
  </si>
  <si>
    <t xml:space="preserve">Detailed calculations: claims, waterfall, dated flows, timelines, checks – expand the group</t>
  </si>
  <si>
    <t xml:space="preserve">RtB exit, Case B: FEP claims at the sale (interest to the freeze, act/365, capitalised 31-Dec)</t>
  </si>
  <si>
    <t xml:space="preserve">Interest accrual end (earlier of freeze and sale)</t>
  </si>
  <si>
    <t xml:space="preserve">date</t>
  </si>
  <si>
    <t xml:space="preserve">Accrual factor in the end year, cash rate</t>
  </si>
  <si>
    <t xml:space="preserve">Accrual factor in the end year, devex rate</t>
  </si>
  <si>
    <t xml:space="preserve">Days to the first 31-Dec from bid submission</t>
  </si>
  <si>
    <t xml:space="preserve">days</t>
  </si>
  <si>
    <t xml:space="preserve">Accrual factor from bid submission</t>
  </si>
  <si>
    <t xml:space="preserve">Days to the first 31-Dec from performance security posting</t>
  </si>
  <si>
    <t xml:space="preserve">Accrual factor from performance security posting</t>
  </si>
  <si>
    <t xml:space="preserve">Days to the first 31-Dec from TSO security payment</t>
  </si>
  <si>
    <t xml:space="preserve">Accrual factor from TSO security payment</t>
  </si>
  <si>
    <t xml:space="preserve">Days to the first 31-Dec from connection agreement (HCSSZ)</t>
  </si>
  <si>
    <t xml:space="preserve">Accrual factor from connection agreement (HCSSZ)</t>
  </si>
  <si>
    <t xml:space="preserve">Days to the first 31-Dec from land payment (amount-weighted)</t>
  </si>
  <si>
    <t xml:space="preserve">Accrual factor from land payment (amount-weighted)</t>
  </si>
  <si>
    <t xml:space="preserve">Days to the first 31-Dec from development devex payment (amount-weighted)</t>
  </si>
  <si>
    <t xml:space="preserve">Accrual factor from development devex payment (amount-weighted)</t>
  </si>
  <si>
    <t xml:space="preserve">Claim on FEP's shareholder loan (JV only): participation fee (not reimbursed)</t>
  </si>
  <si>
    <t xml:space="preserve">Claim on FEP's shareholder loan (JV only): bid security (cash)</t>
  </si>
  <si>
    <t xml:space="preserve">Claim on FEP's shareholder loan (JV only): performance security payable (cash)</t>
  </si>
  <si>
    <t xml:space="preserve">Claim on FEP's shareholder loan (JV only): TSO connection-request security</t>
  </si>
  <si>
    <t xml:space="preserve">Claim on FEP's shareholder loan (JV only): direct connection fee</t>
  </si>
  <si>
    <t xml:space="preserve">Claim on FEP's shareholder loan (JV only): indirect connection fee, payable</t>
  </si>
  <si>
    <t xml:space="preserve">Claim on FEP's shareholder loan (JV only): land, MAX(20 % accrued, 1× principal)</t>
  </si>
  <si>
    <t xml:space="preserve">Claim on FEP's shareholder loan (JV only): development devex, MAX(20 % accrued, 1× principal)</t>
  </si>
  <si>
    <t xml:space="preserve">Total FEP claims on its shareholder loans (JV only)</t>
  </si>
  <si>
    <t xml:space="preserve">Developer success fee due (DSA, capped)</t>
  </si>
  <si>
    <t xml:space="preserve">RtB exit, Case A: buyer pays the grid connection fees directly (FEP does not pre-fund them)</t>
  </si>
  <si>
    <t xml:space="preserve">Grid connection fees paid by the buyer at HCSSZ (direct + indirect, payable)</t>
  </si>
  <si>
    <t xml:space="preserve">Case A devex – land: items paid by sale A (devex file, unscaled)</t>
  </si>
  <si>
    <t xml:space="preserve">Case A devex – land: amount-weighted payment date</t>
  </si>
  <si>
    <t xml:space="preserve">Case A devex – land (× scale)</t>
  </si>
  <si>
    <t xml:space="preserve">Case A devex – development: items paid by sale A (devex file, unscaled)</t>
  </si>
  <si>
    <t xml:space="preserve">Case A devex – development: amount-weighted payment date</t>
  </si>
  <si>
    <t xml:space="preserve">Case A devex – development (× scale)</t>
  </si>
  <si>
    <t xml:space="preserve">FEP cash out to RtB, Case A (peak exposure)</t>
  </si>
  <si>
    <t xml:space="preserve">Case A: interest accrual end (earlier of freeze and sale A)</t>
  </si>
  <si>
    <t xml:space="preserve">Case A: start of the accrual end year</t>
  </si>
  <si>
    <t xml:space="preserve">Case A, from bid submission: factor in the payment year (if before the end year)</t>
  </si>
  <si>
    <t xml:space="preserve">Case A, from bid submission: factor in the end year (to the accrual end)</t>
  </si>
  <si>
    <t xml:space="preserve">Case A, from bid submission: accrual factor</t>
  </si>
  <si>
    <t xml:space="preserve">Case A, from performance security posting: factor in the payment year (if before the end year)</t>
  </si>
  <si>
    <t xml:space="preserve">Case A, from performance security posting: factor in the end year (to the accrual end)</t>
  </si>
  <si>
    <t xml:space="preserve">Case A, from performance security posting: accrual factor</t>
  </si>
  <si>
    <t xml:space="preserve">Case A, from TSO security payment: factor in the payment year (if before the end year)</t>
  </si>
  <si>
    <t xml:space="preserve">Case A, from TSO security payment: factor in the end year (to the accrual end)</t>
  </si>
  <si>
    <t xml:space="preserve">Case A, from TSO security payment: accrual factor</t>
  </si>
  <si>
    <t xml:space="preserve">Case A, from land payment (amount-weighted): factor in the payment year (if before the end year)</t>
  </si>
  <si>
    <t xml:space="preserve">Case A, from land payment (amount-weighted): factor in the end year (to the accrual end)</t>
  </si>
  <si>
    <t xml:space="preserve">Case A, from land payment (amount-weighted): accrual factor</t>
  </si>
  <si>
    <t xml:space="preserve">Case A, from development devex payment (amount-weighted): factor in the payment year (if before the end year)</t>
  </si>
  <si>
    <t xml:space="preserve">Case A, from development devex payment (amount-weighted): factor in the end year (to the accrual end)</t>
  </si>
  <si>
    <t xml:space="preserve">Case A, from development devex payment (amount-weighted): accrual factor</t>
  </si>
  <si>
    <t xml:space="preserve">Case A: claim on FEP's shareholder loan (JV only): participation fee (not reimbursed)</t>
  </si>
  <si>
    <t xml:space="preserve">Case A: claim on FEP's shareholder loan (JV only): bid security (cash)</t>
  </si>
  <si>
    <t xml:space="preserve">Case A: claim on FEP's shareholder loan (JV only): performance security payable (cash)</t>
  </si>
  <si>
    <t xml:space="preserve">Case A: claim on FEP's shareholder loan (JV only): TSO connection-request security</t>
  </si>
  <si>
    <t xml:space="preserve">Case A: claim on FEP's shareholder loan (JV only): land, MAX(20 % accrued, 1× principal)</t>
  </si>
  <si>
    <t xml:space="preserve">Case A: claim on FEP's shareholder loan (JV only): development devex, MAX(20 % accrued, 1× principal)</t>
  </si>
  <si>
    <t xml:space="preserve">Total FEP claims on its shareholder loans, Case A (JV only; no connection-fee claims)</t>
  </si>
  <si>
    <t xml:space="preserve">Case A: developer success fee due (DSA to sale A, capped)</t>
  </si>
  <si>
    <t xml:space="preserve">Waterfall at the sale, Case A</t>
  </si>
  <si>
    <t xml:space="preserve">Buyer reimburses securities at cost (no connection fees to reimburse)</t>
  </si>
  <si>
    <t xml:space="preserve">Buyer pays the land at cost (on top of the premium)</t>
  </si>
  <si>
    <t xml:space="preserve">Total proceeds</t>
  </si>
  <si>
    <t xml:space="preserve">Less sale costs</t>
  </si>
  <si>
    <t xml:space="preserve">Less securities repaid to FEP</t>
  </si>
  <si>
    <t xml:space="preserve">Less land repaid to FEP at cost</t>
  </si>
  <si>
    <t xml:space="preserve">Less development devex repaid to FEP (loan principal, JV only)</t>
  </si>
  <si>
    <t xml:space="preserve">Less FEP claims at 12 % on FEP's shareholder loan (JV only)</t>
  </si>
  <si>
    <t xml:space="preserve">Less FEP land and devex return on FEP's shareholder loan (JV only)</t>
  </si>
  <si>
    <t xml:space="preserve">Less developer success fee (DSA)</t>
  </si>
  <si>
    <t xml:space="preserve">Distributable proceeds</t>
  </si>
  <si>
    <t xml:space="preserve">FEP share of distributable</t>
  </si>
  <si>
    <t xml:space="preserve">Developer share of distributable</t>
  </si>
  <si>
    <t xml:space="preserve">FEP profit, Case A (at sale A): what the buyer pays, less deductions</t>
  </si>
  <si>
    <t xml:space="preserve">Date: Bora</t>
  </si>
  <si>
    <t xml:space="preserve">RtB premium paid by the buyer (150 k EUR/MVA × MVA)</t>
  </si>
  <si>
    <t xml:space="preserve">Land: 0 (bought by the RtB buyer at cost; FEP's land outlay is repaid, not deducted)</t>
  </si>
  <si>
    <t xml:space="preserve">Bid security: 0 (paid back to FEP at the sale)</t>
  </si>
  <si>
    <t xml:space="preserve">Performance security: 0 (paid back to FEP at the sale)</t>
  </si>
  <si>
    <t xml:space="preserve">Less: sale costs</t>
  </si>
  <si>
    <t xml:space="preserve">Less: developer success fee (DSA)</t>
  </si>
  <si>
    <t xml:space="preserve">Less: developer share of distributable proceeds</t>
  </si>
  <si>
    <t xml:space="preserve">Development devex repaid to FEP (loan principal, JV only)</t>
  </si>
  <si>
    <t xml:space="preserve">FEP claims at 12 % on FEP's shareholder loan (interest, JV only)</t>
  </si>
  <si>
    <t xml:space="preserve">FEP land and devex return on FEP's shareholder loan (JV only)</t>
  </si>
  <si>
    <t xml:space="preserve">FEP receipts at sale A (devex repaid + claims + return + FEP share)</t>
  </si>
  <si>
    <t xml:space="preserve">Less: signing fee and DD, Exit fees</t>
  </si>
  <si>
    <t xml:space="preserve">Less: participation fee (not reimbursed)</t>
  </si>
  <si>
    <t xml:space="preserve">Less: development devex</t>
  </si>
  <si>
    <t xml:space="preserve">FEP profit, pre-tax</t>
  </si>
  <si>
    <t xml:space="preserve">CIT on the exit gain (0 while the participation exemption flag is on)</t>
  </si>
  <si>
    <t xml:space="preserve">CIT on the interest of FEP's shareholder loans (JV only; paid yearly as capitalised)</t>
  </si>
  <si>
    <t xml:space="preserve">MOIC, pre-tax (dated cash flows below)</t>
  </si>
  <si>
    <t xml:space="preserve">IRR, pre-tax (dated cash flows below)</t>
  </si>
  <si>
    <t xml:space="preserve">Memo: pre-tax profit vs Case B (connection-fee claims no longer earned, FEP share)</t>
  </si>
  <si>
    <t xml:space="preserve">Memo: FEP dated cash flows, Case A, for MOIC and IRR (securities are paid and repaid at cost: net zero, excluded from the profit above)</t>
  </si>
  <si>
    <t xml:space="preserve">Factor to the first 31-Dec: Bora</t>
  </si>
  <si>
    <t xml:space="preserve">Factor to the first 31-Dec: Iváncsa</t>
  </si>
  <si>
    <t xml:space="preserve">Factor to the first 31-Dec: Dunaújváros</t>
  </si>
  <si>
    <t xml:space="preserve">Performance security payable</t>
  </si>
  <si>
    <t xml:space="preserve">Development devex</t>
  </si>
  <si>
    <t xml:space="preserve">FEP receipts at sale A (receipts above + securities and land repaid)</t>
  </si>
  <si>
    <t xml:space="preserve">CIT on the interest capitalised at 31-Dec-2026</t>
  </si>
  <si>
    <t xml:space="preserve">CIT on the interest capitalised at 31-Dec-2027</t>
  </si>
  <si>
    <t xml:space="preserve">CIT on the interest capitalised at 31-Dec-2028</t>
  </si>
  <si>
    <t xml:space="preserve">CIT on the rest at the sale (stub to the accrual end, devex floor top-up)</t>
  </si>
  <si>
    <t xml:space="preserve">MOIC, post-tax (dated cash flows incl. the CIT rows)</t>
  </si>
  <si>
    <t xml:space="preserve">IRR, post-tax (dated cash flows incl. the CIT rows)</t>
  </si>
  <si>
    <t xml:space="preserve">RtB exit, Case B: waterfall at the sale</t>
  </si>
  <si>
    <t xml:space="preserve">Buyer reimburses securities and connection fees at cost</t>
  </si>
  <si>
    <t xml:space="preserve">Less securities and fees repaid to FEP</t>
  </si>
  <si>
    <t xml:space="preserve">FEP profit, Case B (at the sale): what the buyer pays, less deductions</t>
  </si>
  <si>
    <t xml:space="preserve">FEP receipts at the sale (devex repaid + claims + return + FEP share)</t>
  </si>
  <si>
    <t xml:space="preserve">Memo: FEP dated cash flows, Case B, for MOIC and IRR (securities and connection fees are paid and repaid at cost: net zero, excluded from the profit above)</t>
  </si>
  <si>
    <t xml:space="preserve">Direct connection fee</t>
  </si>
  <si>
    <t xml:space="preserve">Indirect connection fee, payable</t>
  </si>
  <si>
    <t xml:space="preserve">FEP receipts at the sale (receipts above + securities, fees and land repaid)</t>
  </si>
  <si>
    <t xml:space="preserve">Annual timeline</t>
  </si>
  <si>
    <t xml:space="preserve">Year end</t>
  </si>
  <si>
    <t xml:space="preserve">Bora: annual cash flow (EUR k)</t>
  </si>
  <si>
    <t xml:space="preserve">Value</t>
  </si>
  <si>
    <t xml:space="preserve">Years from the COD year</t>
  </si>
  <si>
    <t xml:space="preserve">years</t>
  </si>
  <si>
    <t xml:space="preserve">Construction months by year end (value: construction period)</t>
  </si>
  <si>
    <t xml:space="preserve">months</t>
  </si>
  <si>
    <t xml:space="preserve">Construction share of the year (NTP to COD)</t>
  </si>
  <si>
    <t xml:space="preserve">Months operated by year end (value: operating life)</t>
  </si>
  <si>
    <t xml:space="preserve">Operating share of the year (COD to end of life)</t>
  </si>
  <si>
    <t xml:space="preserve">COD year flag</t>
  </si>
  <si>
    <t xml:space="preserve">Buyer pays at the Case B sale: RtB premium, land at cost, securities and connection fees reimbursed to FEP</t>
  </si>
  <si>
    <t xml:space="preserve">Performance security released (bid security included)</t>
  </si>
  <si>
    <t xml:space="preserve">Construction capex (straight-line NTP to COD)</t>
  </si>
  <si>
    <t xml:space="preserve">Municipal one-off at COD</t>
  </si>
  <si>
    <t xml:space="preserve">Investment cash flow</t>
  </si>
  <si>
    <t xml:space="preserve">Degradation factor (from the first full year)</t>
  </si>
  <si>
    <t xml:space="preserve">Net generation</t>
  </si>
  <si>
    <t xml:space="preserve">GWh</t>
  </si>
  <si>
    <t xml:space="preserve">PPA price</t>
  </si>
  <si>
    <t xml:space="preserve">Opex index (COD year = 1)</t>
  </si>
  <si>
    <t xml:space="preserve">O&amp;M, BoP, lease, insurance, management, property tax</t>
  </si>
  <si>
    <t xml:space="preserve">Administration, audit, compliance</t>
  </si>
  <si>
    <t xml:space="preserve">Balancing and grid charges</t>
  </si>
  <si>
    <t xml:space="preserve">MEKH supervisory fee</t>
  </si>
  <si>
    <t xml:space="preserve">Opex contingency</t>
  </si>
  <si>
    <t xml:space="preserve">Community contribution</t>
  </si>
  <si>
    <t xml:space="preserve">HIPA local business tax</t>
  </si>
  <si>
    <t xml:space="preserve">Total opex</t>
  </si>
  <si>
    <t xml:space="preserve">Unlevered pre-tax cash flow</t>
  </si>
  <si>
    <t xml:space="preserve">Tax depreciation (straight line on the all-in cost from the COD year)</t>
  </si>
  <si>
    <t xml:space="preserve">CIT, unlevered (no loss carry-forward)</t>
  </si>
  <si>
    <t xml:space="preserve">Unlevered post-tax cash flow</t>
  </si>
  <si>
    <t xml:space="preserve">Debt drawn at COD (gearing × all-in cost; no interest during construction)</t>
  </si>
  <si>
    <t xml:space="preserve">Debt service, annuity (interest + principal)</t>
  </si>
  <si>
    <t xml:space="preserve">Interest (on the opening balance)</t>
  </si>
  <si>
    <t xml:space="preserve">Principal repaid (annuity − interest)</t>
  </si>
  <si>
    <t xml:space="preserve">Debt balance, closing</t>
  </si>
  <si>
    <t xml:space="preserve">CIT, levered (interest deductible; no loss carry-forward)</t>
  </si>
  <si>
    <t xml:space="preserve">DSCR (EBITDA ÷ debt service)</t>
  </si>
  <si>
    <t xml:space="preserve">Discount factor to COD (buyer's rate)</t>
  </si>
  <si>
    <t xml:space="preserve">EBITDA valued at COD (total = COD price)</t>
  </si>
  <si>
    <t xml:space="preserve">COD exit: buyer's cash flow (to COD, price and securities at COD)</t>
  </si>
  <si>
    <t xml:space="preserve">FEP shareholder loans to the JV (RtB cases): balance at 31-Dec and interest capitalised, taxed yearly</t>
  </si>
  <si>
    <t xml:space="preserve">Case B: loan balance at 31-Dec, cash lines</t>
  </si>
  <si>
    <t xml:space="preserve">Case B: loan balance at 31-Dec, land and devex</t>
  </si>
  <si>
    <t xml:space="preserve">Case B: loans drawn in the year</t>
  </si>
  <si>
    <t xml:space="preserve">Case B: interest capitalised in the year (taxable at FEP)</t>
  </si>
  <si>
    <t xml:space="preserve">Case A: loan balance at 31-Dec, cash lines</t>
  </si>
  <si>
    <t xml:space="preserve">Case A: loan balance at 31-Dec, land and devex</t>
  </si>
  <si>
    <t xml:space="preserve">Case A: loans drawn in the year</t>
  </si>
  <si>
    <t xml:space="preserve">Case A: interest capitalised in the year (taxable at FEP)</t>
  </si>
  <si>
    <t xml:space="preserve">Iváncsa: annual cash flow (EUR k)</t>
  </si>
  <si>
    <t xml:space="preserve">Dunaújváros: annual cash flow (EUR k)</t>
  </si>
  <si>
    <t xml:space="preserve">COD exit: tax on the gain (price and profit: totals of the cash-flow blocks above)</t>
  </si>
  <si>
    <t xml:space="preserve">Buyer profit, post-tax</t>
  </si>
  <si>
    <t xml:space="preserve">Checks (0 = OK)</t>
  </si>
  <si>
    <t xml:space="preserve">Case B dated cash flows tie to the post-tax profit</t>
  </si>
  <si>
    <t xml:space="preserve">Claim lines paid before the accrual end year</t>
  </si>
  <si>
    <t xml:space="preserve">Turbine route is EU or CN</t>
  </si>
  <si>
    <t xml:space="preserve">Devex items × scale = project devex (land + development)</t>
  </si>
  <si>
    <t xml:space="preserve">Construction capex spread in full (timeline = capex)</t>
  </si>
  <si>
    <t xml:space="preserve">Investment cash flows = all-in cost to COD for a buyer (RtB price, capex, fees, municipal, land)</t>
  </si>
  <si>
    <t xml:space="preserve">Operating life inside the timeline</t>
  </si>
  <si>
    <t xml:space="preserve">Sale date A before the HCSSZ date (Case A exits before the connection fees)</t>
  </si>
  <si>
    <t xml:space="preserve">COD cost stack = timeline investment flows</t>
  </si>
  <si>
    <t xml:space="preserve">Case A dated cash flows tie to the post-tax profit</t>
  </si>
  <si>
    <t xml:space="preserve">Debt repaid by the end of the tenor (closing balance in the last timeline year = 0)</t>
  </si>
  <si>
    <t xml:space="preserve">RtB loan CIT: the rest taxed at the sale is ≤ 0 (yearly schedule does not over-accrue), Case B + Case A</t>
  </si>
  <si>
    <t xml:space="preserve">No errors in the summary block</t>
  </si>
  <si>
    <t xml:space="preserve">Master check</t>
  </si>
  <si>
    <t xml:space="preserve">***END***</t>
  </si>
  <si>
    <t xml:space="preserve">HU wind bids – other inputs (blue) with sources</t>
  </si>
  <si>
    <t xml:space="preserve">Inputs</t>
  </si>
  <si>
    <t xml:space="preserve">Source</t>
  </si>
  <si>
    <t xml:space="preserve">Tender and grid (all projects; value in column E)</t>
  </si>
  <si>
    <t xml:space="preserve">FX rate</t>
  </si>
  <si>
    <t xml:space="preserve">HUF/EUR</t>
  </si>
  <si>
    <t xml:space="preserve">Bora Inputs E11; Bid_Cash E45</t>
  </si>
  <si>
    <t xml:space="preserve">Security base: benchmark investment, wind</t>
  </si>
  <si>
    <t xml:space="preserve">HUF/MW</t>
  </si>
  <si>
    <t xml:space="preserve">Bora Inputs E75; Bid_Cash E46</t>
  </si>
  <si>
    <t xml:space="preserve">Security base: benchmark investment, BESS</t>
  </si>
  <si>
    <t xml:space="preserve">HUF/MWh</t>
  </si>
  <si>
    <t xml:space="preserve">Bora Inputs E89; Bid_Cash E47</t>
  </si>
  <si>
    <t xml:space="preserve">Bid security, share of base</t>
  </si>
  <si>
    <t xml:space="preserve">Bora Inputs E76; Bid_Cash E49</t>
  </si>
  <si>
    <t xml:space="preserve">Performance security, minimum share of base</t>
  </si>
  <si>
    <t xml:space="preserve">Bora Inputs E77; Bid_Cash E50</t>
  </si>
  <si>
    <t xml:space="preserve">Participation fee per bid</t>
  </si>
  <si>
    <t xml:space="preserve">Bora Inputs E81; Bid_Cash E48</t>
  </si>
  <si>
    <t xml:space="preserve">HUF/MVA</t>
  </si>
  <si>
    <t xml:space="preserve">Bora Inputs E83; Bid_Cash E51</t>
  </si>
  <si>
    <t xml:space="preserve">Per project: fees, devex, dates</t>
  </si>
  <si>
    <t xml:space="preserve">Indirect connection fee</t>
  </si>
  <si>
    <t xml:space="preserve">Bora Inputs G290; Bid_Cash E52</t>
  </si>
  <si>
    <t xml:space="preserve">Direct connection fee per connection point</t>
  </si>
  <si>
    <t xml:space="preserve">Bora Inputs G291; Bid_Cash E53</t>
  </si>
  <si>
    <t xml:space="preserve">Bids sharing the connection point</t>
  </si>
  <si>
    <t xml:space="preserve">count</t>
  </si>
  <si>
    <t xml:space="preserve">Bora: 2 bids per point (SPEC §22.2)</t>
  </si>
  <si>
    <t xml:space="preserve">Bora E24+E25: 400 × 50/200; Bid_Cash E55</t>
  </si>
  <si>
    <t xml:space="preserve">Devex scale (bid MVA ÷ 200 MVA of the devex file)</t>
  </si>
  <si>
    <t xml:space="preserve">SPEC §26.2: 50/200; 1 = the full devex file</t>
  </si>
  <si>
    <t xml:space="preserve">EU transformers ≥ 80 % (ÖSZ-9)</t>
  </si>
  <si>
    <t xml:space="preserve">Bid_Cash E16; SPEC §23.1</t>
  </si>
  <si>
    <t xml:space="preserve">Signing fee and DD paid</t>
  </si>
  <si>
    <t xml:space="preserve">Bora Inputs E27; Bid_Cash E34</t>
  </si>
  <si>
    <t xml:space="preserve">Bid submission: fee paid, bid security posted</t>
  </si>
  <si>
    <t xml:space="preserve">Bora Inputs E95; Bid_Cash E35</t>
  </si>
  <si>
    <t xml:space="preserve">Performance security posted</t>
  </si>
  <si>
    <t xml:space="preserve">Bora Deposits K10 (E96 + 17 d); Bid_Cash E36</t>
  </si>
  <si>
    <t xml:space="preserve">TSO security paid</t>
  </si>
  <si>
    <t xml:space="preserve">Bora Inputs E97; Bid_Cash E37</t>
  </si>
  <si>
    <t xml:space="preserve">Connection agreement (HCSSZ): fees paid</t>
  </si>
  <si>
    <t xml:space="preserve">Bora Inputs E99; Bid_Cash E39</t>
  </si>
  <si>
    <t xml:space="preserve">Notice to proceed</t>
  </si>
  <si>
    <t xml:space="preserve">Bora Inputs E154; Bid_Cash E40</t>
  </si>
  <si>
    <t xml:space="preserve">COD</t>
  </si>
  <si>
    <t xml:space="preserve">Bora Inputs E155; Bid_Cash E41</t>
  </si>
  <si>
    <t xml:space="preserve">Performance security released</t>
  </si>
  <si>
    <t xml:space="preserve">Bid_Cash E42 (Kiírás XII.13, estimate)</t>
  </si>
  <si>
    <t xml:space="preserve">DSA accrual start</t>
  </si>
  <si>
    <t xml:space="preserve">Bora Inputs E70; others: signing (DSA off)</t>
  </si>
  <si>
    <t xml:space="preserve">RtB exit terms (all projects; value in column E)</t>
  </si>
  <si>
    <t xml:space="preserve">Claim rate, cash lines (incl. cash-posted securities)</t>
  </si>
  <si>
    <t xml:space="preserve">Devex file V18; SPEC §21.1</t>
  </si>
  <si>
    <t xml:space="preserve">Claim rate, devex</t>
  </si>
  <si>
    <t xml:space="preserve">Devex file V19</t>
  </si>
  <si>
    <t xml:space="preserve">Devex minimum return multiple</t>
  </si>
  <si>
    <t xml:space="preserve">Devex file V20</t>
  </si>
  <si>
    <t xml:space="preserve">Interest freeze date</t>
  </si>
  <si>
    <t xml:space="preserve">Devex file V24</t>
  </si>
  <si>
    <t xml:space="preserve">Sale date, Case B (RtB exit after HCSSZ)</t>
  </si>
  <si>
    <t xml:space="preserve">Bora Inputs E58; SPEC §21.1</t>
  </si>
  <si>
    <t xml:space="preserve">Sale date, Case A (before HCSSZ)</t>
  </si>
  <si>
    <t xml:space="preserve">SPEC §25.2 (user, 28-Oct-2026)</t>
  </si>
  <si>
    <t xml:space="preserve">Sale costs per project</t>
  </si>
  <si>
    <t xml:space="preserve">SPEC §21.1</t>
  </si>
  <si>
    <t xml:space="preserve">Developer success fee (on committed MW, 30/360)</t>
  </si>
  <si>
    <t xml:space="preserve">Bora Inputs E36</t>
  </si>
  <si>
    <t xml:space="preserve">Developer success fee cap</t>
  </si>
  <si>
    <t xml:space="preserve">Bora Inputs E37</t>
  </si>
  <si>
    <t xml:space="preserve">Corporate income tax (operating profit; exit gains)</t>
  </si>
  <si>
    <t xml:space="preserve">SPEC §27 (exits exempt by the flag below)</t>
  </si>
  <si>
    <t xml:space="preserve">Share deal, participation exemption on the share gain (1 = on); claims taxed as interest</t>
  </si>
  <si>
    <t xml:space="preserve">user, 27-Oct-2026 (share deal)</t>
  </si>
  <si>
    <t xml:space="preserve">Tax and debt (hold case)</t>
  </si>
  <si>
    <t xml:space="preserve">Tax depreciation life (straight line on the all-in cost to COD, from the COD year)</t>
  </si>
  <si>
    <t xml:space="preserve">HU CIT Act Annex 2, 5 % p.a. power plants – to confirm</t>
  </si>
  <si>
    <t xml:space="preserve">Gearing (debt ÷ all-in cost to COD)</t>
  </si>
  <si>
    <t xml:space="preserve">user, 27-Oct-2026</t>
  </si>
  <si>
    <t xml:space="preserve">Debt interest rate</t>
  </si>
  <si>
    <t xml:space="preserve">Bora model Inputs G220</t>
  </si>
  <si>
    <t xml:space="preserve">Debt tenor (annuity from the first full operating year)</t>
  </si>
  <si>
    <t xml:space="preserve">Bora model Inputs G222</t>
  </si>
  <si>
    <t xml:space="preserve">Capex (per MW of wind built unless stated; turbines: case table on the Dashboard)</t>
  </si>
  <si>
    <t xml:space="preserve">Turbine installation and erection</t>
  </si>
  <si>
    <t xml:space="preserve">Bora Inputs G163</t>
  </si>
  <si>
    <t xml:space="preserve">Bora Inputs G164</t>
  </si>
  <si>
    <t xml:space="preserve">Bora Inputs G165</t>
  </si>
  <si>
    <t xml:space="preserve">Bora Inputs G166</t>
  </si>
  <si>
    <t xml:space="preserve">Bora Inputs G169</t>
  </si>
  <si>
    <t xml:space="preserve">Land is in the devex (Inputs rows 85, 86, 116) and bought by the RtB buyer at cost</t>
  </si>
  <si>
    <t xml:space="preserve">On-site substation and 132 kV bay (lump sum)</t>
  </si>
  <si>
    <t xml:space="preserve">Bora Inputs G167</t>
  </si>
  <si>
    <t xml:space="preserve">Source basis of the lump sums</t>
  </si>
  <si>
    <t xml:space="preserve">Bora Inputs E305</t>
  </si>
  <si>
    <t xml:space="preserve">Capex contingency (not on BESS)</t>
  </si>
  <si>
    <t xml:space="preserve">Bora Inputs G173</t>
  </si>
  <si>
    <t xml:space="preserve">BESS capex</t>
  </si>
  <si>
    <t xml:space="preserve">EUR k/MWh</t>
  </si>
  <si>
    <t xml:space="preserve">CLAUDE.md standing assumption, 15-Oct-26</t>
  </si>
  <si>
    <t xml:space="preserve">Generation (hours and PPA price: case table on the Dashboard)</t>
  </si>
  <si>
    <t xml:space="preserve">Curtailment</t>
  </si>
  <si>
    <t xml:space="preserve">Bora Inputs G183</t>
  </si>
  <si>
    <t xml:space="preserve">Clipping</t>
  </si>
  <si>
    <t xml:space="preserve">Bora Dash_Clip_Override (user, 26-Oct-26)</t>
  </si>
  <si>
    <t xml:space="preserve">Degradation</t>
  </si>
  <si>
    <t xml:space="preserve">% p.a.</t>
  </si>
  <si>
    <t xml:space="preserve">Bora Inputs G184</t>
  </si>
  <si>
    <t xml:space="preserve">PPA escalation</t>
  </si>
  <si>
    <t xml:space="preserve">Bora Inputs G194</t>
  </si>
  <si>
    <t xml:space="preserve">Opex (COD-year prices; O&amp;M contract: case table on the Dashboard)</t>
  </si>
  <si>
    <t xml:space="preserve">Balance of plant maintenance</t>
  </si>
  <si>
    <t xml:space="preserve">Bora Inputs G204</t>
  </si>
  <si>
    <t xml:space="preserve">Land lease</t>
  </si>
  <si>
    <t xml:space="preserve">Bora Inputs G205</t>
  </si>
  <si>
    <t xml:space="preserve">Operational insurance</t>
  </si>
  <si>
    <t xml:space="preserve">Bora Inputs G206</t>
  </si>
  <si>
    <t xml:space="preserve">Asset and commercial management</t>
  </si>
  <si>
    <t xml:space="preserve">Bora Inputs G207</t>
  </si>
  <si>
    <t xml:space="preserve">Property tax</t>
  </si>
  <si>
    <t xml:space="preserve">Bora Inputs G208</t>
  </si>
  <si>
    <t xml:space="preserve">Administration, audit, compliance (at the source basis)</t>
  </si>
  <si>
    <t xml:space="preserve">EUR k/yr</t>
  </si>
  <si>
    <t xml:space="preserve">Bora Inputs G209</t>
  </si>
  <si>
    <t xml:space="preserve">Balancing cost</t>
  </si>
  <si>
    <t xml:space="preserve">Bora Inputs G196</t>
  </si>
  <si>
    <t xml:space="preserve">Grid use-of-system charges</t>
  </si>
  <si>
    <t xml:space="preserve">Bora Inputs G197</t>
  </si>
  <si>
    <t xml:space="preserve">% of rev.</t>
  </si>
  <si>
    <t xml:space="preserve">Bora Inputs G198</t>
  </si>
  <si>
    <t xml:space="preserve">Bora Inputs G212</t>
  </si>
  <si>
    <t xml:space="preserve">Opex contingency (not on community, HIPA)</t>
  </si>
  <si>
    <t xml:space="preserve">Bora Inputs G210</t>
  </si>
  <si>
    <t xml:space="preserve">Opex escalation</t>
  </si>
  <si>
    <t xml:space="preserve">Bora Inputs G211</t>
  </si>
  <si>
    <t xml:space="preserve">Valuation, timeline and constants</t>
  </si>
  <si>
    <t xml:space="preserve">Operating life from COD</t>
  </si>
  <si>
    <t xml:space="preserve">Bora Inputs G157</t>
  </si>
  <si>
    <t xml:space="preserve">Discount rate (buyer's pre-tax return at COD)</t>
  </si>
  <si>
    <t xml:space="preserve">Bora Inputs G226</t>
  </si>
  <si>
    <t xml:space="preserve">First year of the annual timeline</t>
  </si>
  <si>
    <t xml:space="preserve">Year of the first signing</t>
  </si>
  <si>
    <t xml:space="preserve">Thousand</t>
  </si>
  <si>
    <t xml:space="preserve">Constant</t>
  </si>
  <si>
    <t xml:space="preserve">Days in a year (act/365)</t>
  </si>
  <si>
    <t xml:space="preserve">Months in a year</t>
  </si>
  <si>
    <t xml:space="preserve">Check tolerance</t>
  </si>
  <si>
    <t xml:space="preserve">Devex items (BORA_Devex 02-Oct-26; all projects × the scale): HUF | date | class</t>
  </si>
  <si>
    <t xml:space="preserve">Capacity allocation process - Awarding – Land reservation fee</t>
  </si>
  <si>
    <t xml:space="preserve">BORA_Devex 02-Oct-26 row 14</t>
  </si>
  <si>
    <t xml:space="preserve">Capacity allocation process - Awarding – Land purchase price</t>
  </si>
  <si>
    <t xml:space="preserve">BORA_Devex 02-Oct-26 row 15</t>
  </si>
  <si>
    <t xml:space="preserve">Grid connection plan – Design fee</t>
  </si>
  <si>
    <t xml:space="preserve">Devex</t>
  </si>
  <si>
    <t xml:space="preserve">BORA_Devex 02-Oct-26 row 16</t>
  </si>
  <si>
    <t xml:space="preserve">Grid connection plan – Administrative fee</t>
  </si>
  <si>
    <t xml:space="preserve">BORA_Devex 02-Oct-26 row 17</t>
  </si>
  <si>
    <t xml:space="preserve">Land contracting (additional land) – Legal fee, agent fee</t>
  </si>
  <si>
    <t xml:space="preserve">BORA_Devex 02-Oct-26 row 20</t>
  </si>
  <si>
    <t xml:space="preserve">Wind measurement – Met Masts</t>
  </si>
  <si>
    <t xml:space="preserve">BORA_Devex 02-Oct-26 row 21</t>
  </si>
  <si>
    <t xml:space="preserve">Wind measurement – Design fee</t>
  </si>
  <si>
    <t xml:space="preserve">BORA_Devex 02-Oct-26 row 22</t>
  </si>
  <si>
    <t xml:space="preserve">Wind measurement – EYA</t>
  </si>
  <si>
    <t xml:space="preserve">BORA_Devex 02-Oct-26 row 23</t>
  </si>
  <si>
    <t xml:space="preserve">Land reclassification – Administrative fee</t>
  </si>
  <si>
    <t xml:space="preserve">BORA_Devex 02-Oct-26 row 24</t>
  </si>
  <si>
    <t xml:space="preserve">Land reclassification – Report fee</t>
  </si>
  <si>
    <t xml:space="preserve">BORA_Devex 02-Oct-26 row 25</t>
  </si>
  <si>
    <t xml:space="preserve">Zoning plan modification – Design fee</t>
  </si>
  <si>
    <t xml:space="preserve">BORA_Devex 02-Oct-26 row 26</t>
  </si>
  <si>
    <t xml:space="preserve">Municipality donation – Donation</t>
  </si>
  <si>
    <t xml:space="preserve">BORA_Devex 02-Oct-26 row 27</t>
  </si>
  <si>
    <t xml:space="preserve">Environmental assessment – Bird-bat monitoring</t>
  </si>
  <si>
    <t xml:space="preserve">BORA_Devex 02-Oct-26 row 28</t>
  </si>
  <si>
    <t xml:space="preserve">Environmental assessment – Administrative fee</t>
  </si>
  <si>
    <t xml:space="preserve">BORA_Devex 02-Oct-26 row 29</t>
  </si>
  <si>
    <t xml:space="preserve">Environmental assessment – Assessment fee</t>
  </si>
  <si>
    <t xml:space="preserve">BORA_Devex 02-Oct-26 row 30</t>
  </si>
  <si>
    <t xml:space="preserve">Other project development – Geotechnical assessment fee</t>
  </si>
  <si>
    <t xml:space="preserve">BORA_Devex 02-Oct-26 row 31</t>
  </si>
  <si>
    <t xml:space="preserve">Other project development – Archaeological</t>
  </si>
  <si>
    <t xml:space="preserve">BORA_Devex 02-Oct-26 row 32</t>
  </si>
  <si>
    <t xml:space="preserve">Other project development – Topography</t>
  </si>
  <si>
    <t xml:space="preserve">BORA_Devex 02-Oct-26 row 33</t>
  </si>
  <si>
    <t xml:space="preserve">Building permit - Turbines – Administrative fee</t>
  </si>
  <si>
    <t xml:space="preserve">BORA_Devex 02-Oct-26 row 34</t>
  </si>
  <si>
    <t xml:space="preserve">Building permit - Turbines – Design fee</t>
  </si>
  <si>
    <t xml:space="preserve">BORA_Devex 02-Oct-26 row 35</t>
  </si>
  <si>
    <t xml:space="preserve">Cable right – Administrative fee</t>
  </si>
  <si>
    <t xml:space="preserve">BORA_Devex 02-Oct-26 row 36</t>
  </si>
  <si>
    <t xml:space="preserve">Cable right – Design fee</t>
  </si>
  <si>
    <t xml:space="preserve">BORA_Devex 02-Oct-26 row 37</t>
  </si>
  <si>
    <t xml:space="preserve">Cable right – Compensation</t>
  </si>
  <si>
    <t xml:space="preserve">BORA_Devex 02-Oct-26 row 38</t>
  </si>
  <si>
    <t xml:space="preserve">Building permit - Substation, switching station – Administrative fee</t>
  </si>
  <si>
    <t xml:space="preserve">BORA_Devex 02-Oct-26 row 39</t>
  </si>
  <si>
    <t xml:space="preserve">Building permit - Substation, switching station – Design fee</t>
  </si>
  <si>
    <t xml:space="preserve">BORA_Devex 02-Oct-26 row 40</t>
  </si>
  <si>
    <t xml:space="preserve">Building permit - BESS – Administrative fee</t>
  </si>
  <si>
    <t xml:space="preserve">BORA_Devex 02-Oct-26 row 41</t>
  </si>
  <si>
    <t xml:space="preserve">Building permit - BESS – Design fee</t>
  </si>
  <si>
    <t xml:space="preserve">BORA_Devex 02-Oct-26 row 42</t>
  </si>
  <si>
    <t xml:space="preserve">HEPURA permit – Administrative fee</t>
  </si>
  <si>
    <t xml:space="preserve">BORA_Devex 02-Oct-26 row 43</t>
  </si>
  <si>
    <t xml:space="preserve">HEPURA permit – Report fee</t>
  </si>
  <si>
    <t xml:space="preserve">BORA_Devex 02-Oct-26 row 44</t>
  </si>
  <si>
    <t xml:space="preserve">Legal costs – Legal costs</t>
  </si>
  <si>
    <t xml:space="preserve">BORA_Devex 02-Oct-26 row 45; continuous: 31-Dec-27</t>
  </si>
  <si>
    <t xml:space="preserve">Financial costs – Financial costs</t>
  </si>
  <si>
    <t xml:space="preserve">BORA_Devex 02-Oct-26 row 46; continuous: 31-Dec-27</t>
  </si>
  <si>
    <t xml:space="preserve">RtB – Land purchase price</t>
  </si>
  <si>
    <t xml:space="preserve">BORA_Devex 02-Oct-26 row 47</t>
  </si>
  <si>
    <t xml:space="preserve">Contingency – Contingency</t>
  </si>
  <si>
    <t xml:space="preserve">BORA_Devex 02-Oct-26 row 48; continuous: 31-Dec-27</t>
  </si>
  <si>
    <t xml:space="preserve">Band tables for the points (ÖSZ, Kiírás Annex 4) – expand the group</t>
  </si>
  <si>
    <t xml:space="preserve">Values →</t>
  </si>
  <si>
    <t xml:space="preserve">Osz1_LB</t>
  </si>
  <si>
    <t xml:space="preserve">Osz1_Incl</t>
  </si>
  <si>
    <t xml:space="preserve">Osz1_Pts</t>
  </si>
  <si>
    <t xml:space="preserve">Osz2_LB</t>
  </si>
  <si>
    <t xml:space="preserve">Osz2_Incl</t>
  </si>
  <si>
    <t xml:space="preserve">Osz2_Pts</t>
  </si>
  <si>
    <t xml:space="preserve">Osz3_LB</t>
  </si>
  <si>
    <t xml:space="preserve">Osz3_Incl</t>
  </si>
  <si>
    <t xml:space="preserve">Osz3_Pts</t>
  </si>
  <si>
    <t xml:space="preserve">Osz4_LB</t>
  </si>
  <si>
    <t xml:space="preserve">Osz4_Incl</t>
  </si>
  <si>
    <t xml:space="preserve">Osz4_Pts</t>
  </si>
  <si>
    <t xml:space="preserve">Kiírás Annex 4, ÖSZ-4: 2&lt;x&lt;5:10 … 40≤x&lt;50:90, 50&lt;x:100 (x = 50 % not defined; scored 90)</t>
  </si>
  <si>
    <t xml:space="preserve">Osz6_LB</t>
  </si>
  <si>
    <t xml:space="preserve">Osz6_Incl</t>
  </si>
  <si>
    <t xml:space="preserve">Kiírás Annex 4, ÖSZ-6: 100 pts only if x &gt; 200 % (strict); 190≤x&lt;200: 90</t>
  </si>
  <si>
    <t xml:space="preserve">Osz6_Pts</t>
  </si>
  <si>
    <t xml:space="preserve">Osz5_Pts</t>
  </si>
  <si>
    <t xml:space="preserve">Osz7_Pts</t>
  </si>
  <si>
    <t xml:space="preserve">Osz8_Pts</t>
  </si>
  <si>
    <t xml:space="preserve">Osz9a_Pts</t>
  </si>
  <si>
    <t xml:space="preserve">Osz9b_Pts</t>
  </si>
  <si>
    <t xml:space="preserve">Osz1_W</t>
  </si>
  <si>
    <t xml:space="preserve">Osz2_W</t>
  </si>
  <si>
    <t xml:space="preserve">Osz3_W</t>
  </si>
  <si>
    <t xml:space="preserve">Osz4_W</t>
  </si>
  <si>
    <t xml:space="preserve">Osz5_W</t>
  </si>
  <si>
    <t xml:space="preserve">Osz6_W</t>
  </si>
  <si>
    <t xml:space="preserve">Osz7_W</t>
  </si>
  <si>
    <t xml:space="preserve">Osz8_W</t>
  </si>
  <si>
    <t xml:space="preserve">Osz9_W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</si>
</sst>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&quot;CHECK &quot;0;&quot;CHECK -&quot;0;&quot;OK&quot;"/>
    <numFmt numFmtId="166" formatCode="#,##0;\(#,##0\);\–"/>
    <numFmt numFmtId="167" formatCode="0.0%;\(0.0%\);\–"/>
    <numFmt numFmtId="168" formatCode="#,##0.0;\(#,##0.0\);\–"/>
    <numFmt numFmtId="169" formatCode="0"/>
    <numFmt numFmtId="170" formatCode="0.00\x"/>
    <numFmt numFmtId="171" formatCode="#,##0"/>
    <numFmt numFmtId="172" formatCode="d\-mmm\-yy"/>
    <numFmt numFmtId="173" formatCode="0.0%"/>
    <numFmt numFmtId="174" formatCode="0.0000"/>
    <numFmt numFmtId="175" formatCode="_(* #,##0.00_);_(* \(#,##0.00\);_(* \-??_);_(@_)"/>
    <numFmt numFmtId="176" formatCode="_-* #,##0.00_-;\-* #,##0.00_-;_-* \-??_-;_-@_-"/>
    <numFmt numFmtId="177" formatCode="#,##0.00;\(#,##0.00\);\–"/>
    <numFmt numFmtId="178" formatCode="0;\-0;\–"/>
    <numFmt numFmtId="179" formatCode="0.000;\(0.000\);\–"/>
    <numFmt numFmtId="180" formatCode="0.00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sz val="10"/>
      <color rgb="FF000000"/>
      <name val="Aptos Narrow"/>
      <family val="0"/>
      <charset val="1"/>
    </font>
    <font>
      <sz val="10"/>
      <color rgb="FF0000FF"/>
      <name val="Aptos Narrow"/>
      <family val="0"/>
      <charset val="1"/>
    </font>
    <font>
      <b val="true"/>
      <sz val="10"/>
      <color rgb="FF000000"/>
      <name val="Aptos Narrow"/>
      <family val="2"/>
      <charset val="1"/>
    </font>
    <font>
      <b val="true"/>
      <i val="true"/>
      <sz val="10"/>
      <color rgb="FF808080"/>
      <name val="Aptos Narrow"/>
      <family val="2"/>
      <charset val="1"/>
    </font>
    <font>
      <i val="true"/>
      <sz val="10"/>
      <color rgb="FF808080"/>
      <name val="Aptos Narrow"/>
      <family val="2"/>
      <charset val="1"/>
    </font>
    <font>
      <b val="true"/>
      <sz val="11"/>
      <color theme="1"/>
      <name val="Calibri"/>
      <family val="2"/>
      <charset val="238"/>
    </font>
    <font>
      <b val="true"/>
      <sz val="10"/>
      <color rgb="FFFFFFFF"/>
      <name val="Aptos Narrow"/>
      <family val="2"/>
      <charset val="1"/>
    </font>
    <font>
      <b val="true"/>
      <sz val="10"/>
      <color rgb="FFFFFFFF"/>
      <name val="Aptos Narrow"/>
      <family val="2"/>
      <charset val="238"/>
    </font>
    <font>
      <b val="true"/>
      <sz val="10"/>
      <color rgb="FF3C3C3B"/>
      <name val="Aptos Narrow"/>
      <family val="2"/>
      <charset val="1"/>
    </font>
    <font>
      <b val="true"/>
      <sz val="10"/>
      <color rgb="FF3C3C3B"/>
      <name val="Aptos Narrow"/>
      <family val="0"/>
      <charset val="1"/>
    </font>
    <font>
      <b val="true"/>
      <i val="true"/>
      <sz val="10"/>
      <color rgb="FF808080"/>
      <name val="Aptos Narrow"/>
      <family val="0"/>
      <charset val="1"/>
    </font>
    <font>
      <sz val="10"/>
      <color rgb="FF808080"/>
      <name val="Aptos Narrow"/>
      <family val="0"/>
      <charset val="1"/>
    </font>
    <font>
      <i val="true"/>
      <sz val="10"/>
      <color rgb="FF000000"/>
      <name val="Aptos Narrow"/>
      <family val="2"/>
      <charset val="1"/>
    </font>
    <font>
      <sz val="10"/>
      <name val="Arial"/>
      <family val="0"/>
      <charset val="1"/>
    </font>
    <font>
      <b val="true"/>
      <sz val="10"/>
      <color rgb="FF808080"/>
      <name val="Aptos Narrow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DEADA"/>
      </patternFill>
    </fill>
    <fill>
      <patternFill patternType="solid">
        <fgColor theme="0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theme="9" tint="0.7998"/>
        <bgColor rgb="FFFDE9D9"/>
      </patternFill>
    </fill>
    <fill>
      <patternFill patternType="solid">
        <fgColor rgb="FFFDE9D9"/>
        <bgColor rgb="FFFDEADA"/>
      </patternFill>
    </fill>
    <fill>
      <patternFill patternType="solid">
        <fgColor rgb="FFE6F4EC"/>
        <bgColor rgb="FFF2F2F2"/>
      </patternFill>
    </fill>
    <fill>
      <patternFill patternType="solid">
        <fgColor theme="0" tint="-0.05"/>
        <bgColor rgb="FFE6F4E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75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7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4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7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7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7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0" fillId="0" borderId="0" xfId="15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9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0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b val="1"/>
        <color rgb="FF00B050"/>
      </font>
    </dxf>
    <dxf>
      <font>
        <b val="1"/>
        <color rgb="FFFF000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DEADA"/>
      <rgbColor rgb="FF99CCFF"/>
      <rgbColor rgb="FFFF99CC"/>
      <rgbColor rgb="FFCC99FF"/>
      <rgbColor rgb="FFFDE9D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S539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E128" activeCellId="0" sqref="E128"/>
    </sheetView>
  </sheetViews>
  <sheetFormatPr defaultColWidth="8.66796875" defaultRowHeight="14.25" zeroHeight="false" outlineLevelRow="1" outlineLevelCol="0"/>
  <cols>
    <col collapsed="false" customWidth="true" hidden="false" outlineLevel="0" max="2" min="1" style="0" width="2"/>
    <col collapsed="false" customWidth="true" hidden="false" outlineLevel="0" max="3" min="3" style="0" width="56"/>
    <col collapsed="false" customWidth="true" hidden="false" outlineLevel="0" max="4" min="4" style="0" width="10"/>
    <col collapsed="false" customWidth="true" hidden="false" outlineLevel="0" max="7" min="5" style="0" width="13"/>
    <col collapsed="false" customWidth="true" hidden="false" outlineLevel="0" max="8" min="8" style="0" width="15"/>
    <col collapsed="false" customWidth="true" hidden="false" outlineLevel="0" max="9" min="9" style="0" width="2"/>
    <col collapsed="false" customWidth="true" hidden="false" outlineLevel="0" max="45" min="10" style="0" width="10"/>
  </cols>
  <sheetData>
    <row r="2" customFormat="false" ht="14.25" hidden="false" customHeight="false" outlineLevel="0" collapsed="false">
      <c r="C2" s="1" t="s">
        <v>0</v>
      </c>
    </row>
    <row r="3" customFormat="false" ht="14.25" hidden="false" customHeight="false" outlineLevel="0" collapsed="false">
      <c r="C3" s="1" t="s">
        <v>1</v>
      </c>
      <c r="D3" s="2" t="s">
        <v>2</v>
      </c>
      <c r="H3" s="3" t="n">
        <f aca="false">Master_Check</f>
        <v>0</v>
      </c>
    </row>
    <row r="5" customFormat="false" ht="14.25" hidden="false" customHeight="false" outlineLevel="0" collapsed="false">
      <c r="B5" s="4" t="s">
        <v>3</v>
      </c>
      <c r="C5" s="4" t="s">
        <v>4</v>
      </c>
      <c r="D5" s="4"/>
      <c r="E5" s="5" t="s">
        <v>5</v>
      </c>
      <c r="F5" s="5" t="s">
        <v>6</v>
      </c>
      <c r="G5" s="5" t="s">
        <v>7</v>
      </c>
      <c r="H5" s="5" t="s">
        <v>8</v>
      </c>
    </row>
    <row r="6" customFormat="false" ht="14.25" hidden="false" customHeight="false" outlineLevel="0" collapsed="false">
      <c r="C6" s="6" t="s">
        <v>9</v>
      </c>
      <c r="D6" s="2" t="s">
        <v>10</v>
      </c>
      <c r="E6" s="7" t="n">
        <v>50</v>
      </c>
      <c r="F6" s="7" t="n">
        <v>50</v>
      </c>
      <c r="G6" s="7" t="n">
        <v>50</v>
      </c>
      <c r="H6" s="8" t="n">
        <f aca="false">SUM(E6:G6)</f>
        <v>150</v>
      </c>
    </row>
    <row r="7" customFormat="false" ht="14.25" hidden="false" customHeight="false" outlineLevel="0" collapsed="false">
      <c r="C7" s="6" t="s">
        <v>11</v>
      </c>
      <c r="D7" s="2" t="s">
        <v>12</v>
      </c>
      <c r="E7" s="9" t="n">
        <v>0.2</v>
      </c>
      <c r="F7" s="9" t="n">
        <v>0.4</v>
      </c>
      <c r="G7" s="9" t="n">
        <v>0.4</v>
      </c>
    </row>
    <row r="8" customFormat="false" ht="14.25" hidden="false" customHeight="false" outlineLevel="0" collapsed="false">
      <c r="C8" s="6" t="s">
        <v>13</v>
      </c>
      <c r="D8" s="2" t="s">
        <v>12</v>
      </c>
      <c r="E8" s="9" t="n">
        <v>0.1</v>
      </c>
      <c r="F8" s="9" t="n">
        <v>0.2</v>
      </c>
      <c r="G8" s="9" t="n">
        <v>0.2</v>
      </c>
    </row>
    <row r="9" customFormat="false" ht="14.25" hidden="false" customHeight="false" outlineLevel="0" collapsed="false">
      <c r="C9" s="6" t="s">
        <v>14</v>
      </c>
      <c r="D9" s="2" t="s">
        <v>15</v>
      </c>
      <c r="E9" s="7" t="n">
        <v>4</v>
      </c>
      <c r="F9" s="7" t="n">
        <v>4</v>
      </c>
      <c r="G9" s="7" t="n">
        <v>4</v>
      </c>
    </row>
    <row r="10" customFormat="false" ht="14.25" hidden="false" customHeight="false" outlineLevel="0" collapsed="false">
      <c r="C10" s="6" t="s">
        <v>16</v>
      </c>
      <c r="D10" s="2" t="s">
        <v>12</v>
      </c>
      <c r="E10" s="9" t="n">
        <v>0.1</v>
      </c>
      <c r="F10" s="9" t="n">
        <v>0.1</v>
      </c>
      <c r="G10" s="9" t="n">
        <v>0.1</v>
      </c>
    </row>
    <row r="11" customFormat="false" ht="14.25" hidden="false" customHeight="false" outlineLevel="0" collapsed="false">
      <c r="C11" s="6" t="s">
        <v>17</v>
      </c>
      <c r="D11" s="2" t="s">
        <v>18</v>
      </c>
      <c r="E11" s="7" t="n">
        <v>20</v>
      </c>
      <c r="F11" s="7" t="n">
        <v>50</v>
      </c>
      <c r="G11" s="7" t="n">
        <v>50</v>
      </c>
    </row>
    <row r="12" customFormat="false" ht="14.25" hidden="false" customHeight="false" outlineLevel="0" collapsed="false">
      <c r="C12" s="6" t="s">
        <v>19</v>
      </c>
      <c r="D12" s="2" t="s">
        <v>20</v>
      </c>
      <c r="E12" s="10" t="n">
        <v>0</v>
      </c>
      <c r="F12" s="10" t="n">
        <v>3</v>
      </c>
      <c r="G12" s="10" t="n">
        <v>3</v>
      </c>
    </row>
    <row r="13" customFormat="false" ht="14.25" hidden="false" customHeight="false" outlineLevel="0" collapsed="false">
      <c r="C13" s="6" t="s">
        <v>21</v>
      </c>
      <c r="D13" s="2" t="s">
        <v>2</v>
      </c>
      <c r="E13" s="11" t="n">
        <v>1</v>
      </c>
      <c r="F13" s="11" t="n">
        <v>1</v>
      </c>
      <c r="G13" s="11" t="n">
        <v>1</v>
      </c>
    </row>
    <row r="14" customFormat="false" ht="14.25" hidden="false" customHeight="false" outlineLevel="0" collapsed="false">
      <c r="C14" s="6" t="s">
        <v>22</v>
      </c>
      <c r="D14" s="2" t="s">
        <v>3</v>
      </c>
      <c r="E14" s="12" t="n">
        <v>1</v>
      </c>
      <c r="F14" s="12" t="n">
        <v>1</v>
      </c>
      <c r="G14" s="12" t="n">
        <v>1</v>
      </c>
    </row>
    <row r="15" customFormat="false" ht="14.25" hidden="false" customHeight="false" outlineLevel="0" collapsed="false">
      <c r="C15" s="6" t="s">
        <v>23</v>
      </c>
      <c r="D15" s="2" t="s">
        <v>2</v>
      </c>
      <c r="E15" s="11" t="n">
        <v>0</v>
      </c>
      <c r="F15" s="11" t="n">
        <v>0</v>
      </c>
      <c r="G15" s="11" t="n">
        <v>0</v>
      </c>
    </row>
    <row r="16" customFormat="false" ht="14.25" hidden="false" customHeight="false" outlineLevel="0" collapsed="false">
      <c r="C16" s="6" t="s">
        <v>24</v>
      </c>
      <c r="D16" s="2" t="s">
        <v>2</v>
      </c>
      <c r="E16" s="11" t="n">
        <v>1</v>
      </c>
      <c r="F16" s="11" t="n">
        <v>1</v>
      </c>
      <c r="G16" s="11" t="n">
        <v>1</v>
      </c>
    </row>
    <row r="17" customFormat="false" ht="14.25" hidden="false" customHeight="false" outlineLevel="0" collapsed="false">
      <c r="C17" s="6" t="s">
        <v>25</v>
      </c>
      <c r="D17" s="2" t="s">
        <v>26</v>
      </c>
      <c r="E17" s="13" t="s">
        <v>27</v>
      </c>
      <c r="F17" s="13" t="s">
        <v>27</v>
      </c>
      <c r="G17" s="13" t="s">
        <v>27</v>
      </c>
    </row>
    <row r="18" customFormat="false" ht="14.25" hidden="false" customHeight="false" outlineLevel="0" collapsed="false">
      <c r="C18" s="6" t="s">
        <v>28</v>
      </c>
      <c r="D18" s="2" t="s">
        <v>18</v>
      </c>
      <c r="E18" s="7" t="n">
        <v>150</v>
      </c>
      <c r="F18" s="7" t="n">
        <v>150</v>
      </c>
      <c r="G18" s="7" t="n">
        <v>150</v>
      </c>
    </row>
    <row r="19" customFormat="false" ht="14.25" hidden="false" customHeight="false" outlineLevel="0" collapsed="false">
      <c r="C19" s="6" t="s">
        <v>29</v>
      </c>
      <c r="D19" s="2" t="s">
        <v>12</v>
      </c>
      <c r="E19" s="9" t="n">
        <v>0.7</v>
      </c>
      <c r="F19" s="9" t="n">
        <v>1</v>
      </c>
      <c r="G19" s="9" t="n">
        <v>1</v>
      </c>
    </row>
    <row r="20" customFormat="false" ht="14.25" hidden="false" customHeight="false" outlineLevel="0" collapsed="false">
      <c r="C20" s="6" t="s">
        <v>30</v>
      </c>
      <c r="D20" s="2" t="s">
        <v>2</v>
      </c>
      <c r="E20" s="11" t="n">
        <v>1</v>
      </c>
      <c r="F20" s="11" t="n">
        <v>0</v>
      </c>
      <c r="G20" s="11" t="n">
        <v>0</v>
      </c>
    </row>
    <row r="21" customFormat="false" ht="14.25" hidden="false" customHeight="false" outlineLevel="0" collapsed="false">
      <c r="C21" s="6" t="s">
        <v>31</v>
      </c>
      <c r="D21" s="2" t="s">
        <v>2</v>
      </c>
      <c r="E21" s="11" t="n">
        <v>1</v>
      </c>
      <c r="F21" s="11" t="n">
        <v>0</v>
      </c>
      <c r="G21" s="11" t="n">
        <v>0</v>
      </c>
    </row>
    <row r="22" customFormat="false" ht="14.25" hidden="false" customHeight="false" outlineLevel="0" collapsed="false">
      <c r="C22" s="6" t="s">
        <v>32</v>
      </c>
      <c r="D22" s="2" t="s">
        <v>33</v>
      </c>
      <c r="E22" s="14" t="n">
        <v>2500</v>
      </c>
      <c r="F22" s="14" t="n">
        <v>2500</v>
      </c>
      <c r="G22" s="14" t="n">
        <v>2500</v>
      </c>
    </row>
    <row r="24" customFormat="false" ht="14.25" hidden="false" customHeight="false" outlineLevel="0" collapsed="false">
      <c r="B24" s="4" t="s">
        <v>3</v>
      </c>
      <c r="C24" s="4" t="s">
        <v>34</v>
      </c>
      <c r="D24" s="4"/>
      <c r="E24" s="5" t="s">
        <v>35</v>
      </c>
      <c r="F24" s="5" t="s">
        <v>36</v>
      </c>
      <c r="G24" s="5" t="s">
        <v>37</v>
      </c>
      <c r="H24" s="5" t="s">
        <v>38</v>
      </c>
    </row>
    <row r="25" customFormat="false" ht="14.25" hidden="false" customHeight="false" outlineLevel="0" collapsed="false">
      <c r="C25" s="1" t="s">
        <v>39</v>
      </c>
      <c r="D25" s="2" t="s">
        <v>40</v>
      </c>
      <c r="H25" s="13" t="s">
        <v>35</v>
      </c>
    </row>
    <row r="26" customFormat="false" ht="14.25" hidden="false" customHeight="false" outlineLevel="0" collapsed="false">
      <c r="C26" s="6" t="s">
        <v>41</v>
      </c>
      <c r="D26" s="2" t="s">
        <v>42</v>
      </c>
      <c r="E26" s="7" t="n">
        <v>850</v>
      </c>
      <c r="F26" s="7" t="n">
        <v>950</v>
      </c>
      <c r="G26" s="7" t="n">
        <v>800</v>
      </c>
      <c r="H26" s="15" t="n">
        <f aca="false">INDEX(E26:G26,MATCH(Dash_Case,$E$24:$G$24,0))</f>
        <v>850</v>
      </c>
      <c r="J26" s="2" t="s">
        <v>43</v>
      </c>
    </row>
    <row r="27" customFormat="false" ht="14.25" hidden="false" customHeight="false" outlineLevel="0" collapsed="false">
      <c r="C27" s="6" t="s">
        <v>44</v>
      </c>
      <c r="D27" s="2" t="s">
        <v>42</v>
      </c>
      <c r="E27" s="7" t="n">
        <v>500</v>
      </c>
      <c r="F27" s="7" t="n">
        <v>600</v>
      </c>
      <c r="G27" s="7" t="n">
        <v>480</v>
      </c>
      <c r="H27" s="15" t="n">
        <f aca="false">INDEX(E27:G27,MATCH(Dash_Case,$E$24:$G$24,0))</f>
        <v>500</v>
      </c>
      <c r="J27" s="2" t="s">
        <v>45</v>
      </c>
    </row>
    <row r="28" customFormat="false" ht="14.25" hidden="false" customHeight="false" outlineLevel="0" collapsed="false">
      <c r="C28" s="6" t="s">
        <v>46</v>
      </c>
      <c r="D28" s="2" t="s">
        <v>20</v>
      </c>
      <c r="E28" s="10" t="n">
        <v>90</v>
      </c>
      <c r="F28" s="10" t="n">
        <v>90</v>
      </c>
      <c r="G28" s="10" t="n">
        <v>100</v>
      </c>
      <c r="H28" s="16" t="n">
        <f aca="false">INDEX(E28:G28,MATCH(Dash_Case,$E$24:$G$24,0))</f>
        <v>90</v>
      </c>
      <c r="J28" s="2" t="s">
        <v>47</v>
      </c>
    </row>
    <row r="29" customFormat="false" ht="14.25" hidden="false" customHeight="false" outlineLevel="0" collapsed="false">
      <c r="C29" s="6" t="s">
        <v>48</v>
      </c>
      <c r="D29" s="2" t="s">
        <v>33</v>
      </c>
      <c r="E29" s="7" t="n">
        <v>2400</v>
      </c>
      <c r="F29" s="7" t="n">
        <v>2350</v>
      </c>
      <c r="G29" s="7" t="n">
        <v>2500</v>
      </c>
      <c r="H29" s="15" t="n">
        <f aca="false">INDEX(E29:G29,MATCH(Dash_Case,$E$24:$G$24,0))</f>
        <v>2400</v>
      </c>
      <c r="J29" s="2" t="s">
        <v>49</v>
      </c>
    </row>
    <row r="30" customFormat="false" ht="14.25" hidden="false" customHeight="false" outlineLevel="0" collapsed="false">
      <c r="C30" s="6" t="s">
        <v>50</v>
      </c>
      <c r="D30" s="2" t="s">
        <v>51</v>
      </c>
      <c r="E30" s="10" t="n">
        <v>12</v>
      </c>
      <c r="F30" s="10" t="n">
        <v>12</v>
      </c>
      <c r="G30" s="10" t="n">
        <v>10</v>
      </c>
      <c r="H30" s="16" t="n">
        <f aca="false">INDEX(E30:G30,MATCH(Dash_Case,$E$24:$G$24,0))</f>
        <v>12</v>
      </c>
      <c r="J30" s="2" t="s">
        <v>52</v>
      </c>
    </row>
    <row r="32" customFormat="false" ht="14.25" hidden="false" customHeight="false" outlineLevel="0" collapsed="false">
      <c r="B32" s="4" t="s">
        <v>3</v>
      </c>
      <c r="C32" s="4" t="s">
        <v>53</v>
      </c>
      <c r="D32" s="4"/>
      <c r="E32" s="5" t="s">
        <v>5</v>
      </c>
      <c r="F32" s="5" t="s">
        <v>6</v>
      </c>
      <c r="G32" s="5" t="s">
        <v>7</v>
      </c>
      <c r="H32" s="5" t="s">
        <v>8</v>
      </c>
    </row>
    <row r="33" customFormat="false" ht="14.25" hidden="false" customHeight="false" outlineLevel="0" collapsed="false">
      <c r="C33" s="6" t="s">
        <v>54</v>
      </c>
      <c r="D33" s="2" t="s">
        <v>55</v>
      </c>
      <c r="E33" s="17" t="n">
        <f aca="false">INDEX(Osz1_Pts,1+SUMPRODUCT((Osz1_LB&lt;E11)+(Osz1_LB=E11)*Osz1_Incl))*Osz1_W</f>
        <v>4</v>
      </c>
      <c r="F33" s="17" t="n">
        <f aca="false">INDEX(Osz1_Pts,1+SUMPRODUCT((Osz1_LB&lt;F11)+(Osz1_LB=F11)*Osz1_Incl))*Osz1_W</f>
        <v>20</v>
      </c>
      <c r="G33" s="17" t="n">
        <f aca="false">INDEX(Osz1_Pts,1+SUMPRODUCT((Osz1_LB&lt;G11)+(Osz1_LB=G11)*Osz1_Incl))*Osz1_W</f>
        <v>20</v>
      </c>
    </row>
    <row r="34" customFormat="false" ht="14.25" hidden="false" customHeight="false" outlineLevel="0" collapsed="false">
      <c r="C34" s="6" t="s">
        <v>56</v>
      </c>
      <c r="D34" s="2" t="s">
        <v>55</v>
      </c>
      <c r="E34" s="17" t="n">
        <f aca="false">INDEX(Osz2_Pts,1+SUMPRODUCT((Osz2_LB&lt;E12)+(Osz2_LB=E12)*Osz2_Incl))*Osz2_W</f>
        <v>0</v>
      </c>
      <c r="F34" s="17" t="n">
        <f aca="false">INDEX(Osz2_Pts,1+SUMPRODUCT((Osz2_LB&lt;F12)+(Osz2_LB=F12)*Osz2_Incl))*Osz2_W</f>
        <v>15</v>
      </c>
      <c r="G34" s="17" t="n">
        <f aca="false">INDEX(Osz2_Pts,1+SUMPRODUCT((Osz2_LB&lt;G12)+(Osz2_LB=G12)*Osz2_Incl))*Osz2_W</f>
        <v>15</v>
      </c>
    </row>
    <row r="35" customFormat="false" ht="14.25" hidden="false" customHeight="false" outlineLevel="0" collapsed="false">
      <c r="C35" s="6" t="s">
        <v>57</v>
      </c>
      <c r="D35" s="2" t="s">
        <v>55</v>
      </c>
      <c r="E35" s="17" t="n">
        <f aca="false">INDEX(Osz3_Pts,1+SUMPRODUCT((Osz3_LB&lt;E7)+(Osz3_LB=E7)*Osz3_Incl))*Osz3_W</f>
        <v>5</v>
      </c>
      <c r="F35" s="17" t="n">
        <f aca="false">INDEX(Osz3_Pts,1+SUMPRODUCT((Osz3_LB&lt;F7)+(Osz3_LB=F7)*Osz3_Incl))*Osz3_W</f>
        <v>9</v>
      </c>
      <c r="G35" s="17" t="n">
        <f aca="false">INDEX(Osz3_Pts,1+SUMPRODUCT((Osz3_LB&lt;G7)+(Osz3_LB=G7)*Osz3_Incl))*Osz3_W</f>
        <v>9</v>
      </c>
    </row>
    <row r="36" customFormat="false" ht="14.25" hidden="false" customHeight="false" outlineLevel="0" collapsed="false">
      <c r="C36" s="6" t="s">
        <v>58</v>
      </c>
      <c r="D36" s="2" t="s">
        <v>55</v>
      </c>
      <c r="E36" s="17" t="n">
        <f aca="false" t="array" ref="E36:E36">INDEX(Osz4_Pts,1+SUMPRODUCT((Osz4_LB&lt;E8)+(Osz4_LB=E8)*Osz4_Incl))*Osz4_W</f>
        <v>4.5</v>
      </c>
      <c r="F36" s="17" t="n">
        <f aca="false" t="array" ref="F36:F36">INDEX(Osz4_Pts,1+SUMPRODUCT((Osz4_LB&lt;F8)+(Osz4_LB=F8)*Osz4_Incl))*Osz4_W</f>
        <v>7.5</v>
      </c>
      <c r="G36" s="17" t="n">
        <f aca="false" t="array" ref="G36:G36">INDEX(Osz4_Pts,1+SUMPRODUCT((Osz4_LB&lt;G8)+(Osz4_LB=G8)*Osz4_Incl))*Osz4_W</f>
        <v>7.5</v>
      </c>
    </row>
    <row r="37" customFormat="false" ht="14.25" hidden="false" customHeight="false" outlineLevel="0" collapsed="false">
      <c r="C37" s="6" t="s">
        <v>59</v>
      </c>
      <c r="D37" s="2" t="s">
        <v>55</v>
      </c>
      <c r="E37" s="17" t="n">
        <f aca="false">E13*Osz5_Pts*Osz5_W</f>
        <v>5</v>
      </c>
      <c r="F37" s="17" t="n">
        <f aca="false">F13*Osz5_Pts*Osz5_W</f>
        <v>5</v>
      </c>
      <c r="G37" s="17" t="n">
        <f aca="false">G13*Osz5_Pts*Osz5_W</f>
        <v>5</v>
      </c>
    </row>
    <row r="38" customFormat="false" ht="14.25" hidden="false" customHeight="false" outlineLevel="0" collapsed="false">
      <c r="C38" s="6" t="s">
        <v>60</v>
      </c>
      <c r="D38" s="2" t="s">
        <v>55</v>
      </c>
      <c r="E38" s="17" t="n">
        <f aca="false">INDEX(Osz6_Pts,1+SUMPRODUCT((Osz6_LB&lt;E14)+(Osz6_LB=E14)*Osz6_Incl))*Osz6_W</f>
        <v>0</v>
      </c>
      <c r="F38" s="17" t="n">
        <f aca="false">INDEX(Osz6_Pts,1+SUMPRODUCT((Osz6_LB&lt;F14)+(Osz6_LB=F14)*Osz6_Incl))*Osz6_W</f>
        <v>0</v>
      </c>
      <c r="G38" s="17" t="n">
        <f aca="false">INDEX(Osz6_Pts,1+SUMPRODUCT((Osz6_LB&lt;G14)+(Osz6_LB=G14)*Osz6_Incl))*Osz6_W</f>
        <v>0</v>
      </c>
    </row>
    <row r="39" customFormat="false" ht="14.25" hidden="false" customHeight="false" outlineLevel="0" collapsed="false">
      <c r="C39" s="6" t="s">
        <v>61</v>
      </c>
      <c r="D39" s="2" t="s">
        <v>55</v>
      </c>
      <c r="E39" s="17" t="n">
        <f aca="false">E15*Osz7_Pts*Osz7_W</f>
        <v>0</v>
      </c>
      <c r="F39" s="17" t="n">
        <f aca="false">F15*Osz7_Pts*Osz7_W</f>
        <v>0</v>
      </c>
      <c r="G39" s="17" t="n">
        <f aca="false">G15*Osz7_Pts*Osz7_W</f>
        <v>0</v>
      </c>
    </row>
    <row r="40" customFormat="false" ht="14.25" hidden="false" customHeight="false" outlineLevel="0" collapsed="false">
      <c r="C40" s="6" t="s">
        <v>62</v>
      </c>
      <c r="D40" s="2" t="s">
        <v>55</v>
      </c>
      <c r="E40" s="17" t="n">
        <f aca="false">E16*Osz8_Pts*Osz8_W</f>
        <v>5</v>
      </c>
      <c r="F40" s="17" t="n">
        <f aca="false">F16*Osz8_Pts*Osz8_W</f>
        <v>5</v>
      </c>
      <c r="G40" s="17" t="n">
        <f aca="false">G16*Osz8_Pts*Osz8_W</f>
        <v>5</v>
      </c>
    </row>
    <row r="41" customFormat="false" ht="14.25" hidden="false" customHeight="false" outlineLevel="0" collapsed="false">
      <c r="C41" s="6" t="s">
        <v>63</v>
      </c>
      <c r="D41" s="2" t="s">
        <v>55</v>
      </c>
      <c r="E41" s="17" t="n">
        <f aca="false">N(E17="EU")*Osz9a_Pts*Osz9_W</f>
        <v>0</v>
      </c>
      <c r="F41" s="17" t="n">
        <f aca="false">N(F17="EU")*Osz9a_Pts*Osz9_W</f>
        <v>0</v>
      </c>
      <c r="G41" s="17" t="n">
        <f aca="false">N(G17="EU")*Osz9a_Pts*Osz9_W</f>
        <v>0</v>
      </c>
    </row>
    <row r="42" customFormat="false" ht="14.25" hidden="false" customHeight="false" outlineLevel="0" collapsed="false">
      <c r="C42" s="6" t="s">
        <v>64</v>
      </c>
      <c r="D42" s="2" t="s">
        <v>55</v>
      </c>
      <c r="E42" s="17" t="n">
        <f aca="false">Inputs!E$19*Osz9b_Pts*Osz9_W</f>
        <v>0</v>
      </c>
      <c r="F42" s="17" t="n">
        <f aca="false">Inputs!F$19*Osz9b_Pts*Osz9_W</f>
        <v>0</v>
      </c>
      <c r="G42" s="17" t="n">
        <f aca="false">Inputs!G$19*Osz9b_Pts*Osz9_W</f>
        <v>0</v>
      </c>
    </row>
    <row r="43" customFormat="false" ht="14.25" hidden="false" customHeight="false" outlineLevel="0" collapsed="false">
      <c r="C43" s="1" t="s">
        <v>65</v>
      </c>
      <c r="D43" s="2" t="s">
        <v>55</v>
      </c>
      <c r="E43" s="18" t="n">
        <f aca="false">SUM(E33:E42)</f>
        <v>23.5</v>
      </c>
      <c r="F43" s="18" t="n">
        <f aca="false">SUM(F33:F42)</f>
        <v>61.5</v>
      </c>
      <c r="G43" s="18" t="n">
        <f aca="false">SUM(G33:G42)</f>
        <v>61.5</v>
      </c>
    </row>
    <row r="44" customFormat="false" ht="14.25" hidden="false" customHeight="false" outlineLevel="0" collapsed="false">
      <c r="C44" s="6" t="s">
        <v>66</v>
      </c>
      <c r="D44" s="2" t="s">
        <v>67</v>
      </c>
      <c r="E44" s="17" t="n">
        <f aca="false">E6*(1+E7)</f>
        <v>60</v>
      </c>
      <c r="F44" s="17" t="n">
        <f aca="false">F6*(1+F7)</f>
        <v>70</v>
      </c>
      <c r="G44" s="17" t="n">
        <f aca="false">G6*(1+G7)</f>
        <v>70</v>
      </c>
      <c r="H44" s="17" t="n">
        <f aca="false">SUM(E44:G44)</f>
        <v>200</v>
      </c>
    </row>
    <row r="45" customFormat="false" ht="14.25" hidden="false" customHeight="false" outlineLevel="0" collapsed="false">
      <c r="C45" s="6" t="s">
        <v>68</v>
      </c>
      <c r="D45" s="2" t="s">
        <v>69</v>
      </c>
      <c r="E45" s="17" t="n">
        <f aca="false">E6*E8*E9</f>
        <v>20</v>
      </c>
      <c r="F45" s="17" t="n">
        <f aca="false">F6*F8*F9</f>
        <v>40</v>
      </c>
      <c r="G45" s="17" t="n">
        <f aca="false">G6*G8*G9</f>
        <v>40</v>
      </c>
      <c r="H45" s="17" t="n">
        <f aca="false">SUM(E45:G45)</f>
        <v>100</v>
      </c>
    </row>
    <row r="46" customFormat="false" ht="14.25" hidden="false" customHeight="false" outlineLevel="0" collapsed="false">
      <c r="C46" s="6" t="s">
        <v>70</v>
      </c>
      <c r="D46" s="2" t="s">
        <v>67</v>
      </c>
      <c r="E46" s="17" t="n">
        <f aca="false">E44*(1-E10)</f>
        <v>54</v>
      </c>
      <c r="F46" s="17" t="n">
        <f aca="false">F44*(1-F10)</f>
        <v>63</v>
      </c>
      <c r="G46" s="17" t="n">
        <f aca="false">G44*(1-G10)</f>
        <v>63</v>
      </c>
      <c r="H46" s="17" t="n">
        <f aca="false">SUM(E46:G46)</f>
        <v>180</v>
      </c>
    </row>
    <row r="47" customFormat="false" ht="14.25" hidden="false" customHeight="false" outlineLevel="0" collapsed="false">
      <c r="K47" s="19"/>
      <c r="L47" s="19"/>
      <c r="M47" s="19"/>
    </row>
    <row r="48" customFormat="false" ht="14.25" hidden="false" customHeight="false" outlineLevel="0" collapsed="false">
      <c r="B48" s="4" t="s">
        <v>3</v>
      </c>
      <c r="C48" s="4" t="s">
        <v>71</v>
      </c>
      <c r="D48" s="4"/>
      <c r="E48" s="5" t="s">
        <v>5</v>
      </c>
      <c r="F48" s="5" t="s">
        <v>6</v>
      </c>
      <c r="G48" s="5" t="s">
        <v>7</v>
      </c>
      <c r="H48" s="5" t="s">
        <v>8</v>
      </c>
      <c r="J48" s="5" t="s">
        <v>72</v>
      </c>
      <c r="K48" s="20"/>
      <c r="L48" s="20"/>
      <c r="M48" s="19"/>
    </row>
    <row r="49" customFormat="false" ht="14.25" hidden="false" customHeight="false" outlineLevel="0" collapsed="false">
      <c r="C49" s="21" t="s">
        <v>73</v>
      </c>
      <c r="D49" s="22" t="s">
        <v>74</v>
      </c>
      <c r="E49" s="23" t="n">
        <f aca="false">Part_Fee</f>
        <v>3000000</v>
      </c>
      <c r="F49" s="23" t="n">
        <f aca="false">Part_Fee</f>
        <v>3000000</v>
      </c>
      <c r="G49" s="23" t="n">
        <f aca="false">Part_Fee</f>
        <v>3000000</v>
      </c>
      <c r="H49" s="23" t="n">
        <f aca="false">SUM(E49:G49)</f>
        <v>9000000</v>
      </c>
      <c r="J49" s="24" t="n">
        <f aca="false">Inputs!E$21</f>
        <v>46325</v>
      </c>
      <c r="K49" s="25"/>
      <c r="L49" s="25"/>
      <c r="M49" s="19"/>
    </row>
    <row r="50" customFormat="false" ht="14.25" hidden="false" customHeight="false" outlineLevel="0" collapsed="false">
      <c r="C50" s="21" t="s">
        <v>75</v>
      </c>
      <c r="D50" s="22" t="s">
        <v>74</v>
      </c>
      <c r="E50" s="23" t="n">
        <f aca="false">Bid_Sec_Rate*(E44*Bench_Wind+E45*Bench_BESS)</f>
        <v>141800000</v>
      </c>
      <c r="F50" s="23" t="n">
        <f aca="false">Bid_Sec_Rate*(F44*Bench_Wind+F45*Bench_BESS)</f>
        <v>182100000</v>
      </c>
      <c r="G50" s="23" t="n">
        <f aca="false">Bid_Sec_Rate*(G44*Bench_Wind+G45*Bench_BESS)</f>
        <v>182100000</v>
      </c>
      <c r="H50" s="23" t="n">
        <f aca="false">SUM(E50:G50)</f>
        <v>506000000</v>
      </c>
      <c r="J50" s="24" t="n">
        <f aca="false">Inputs!E$21</f>
        <v>46325</v>
      </c>
      <c r="K50" s="25"/>
      <c r="L50" s="25"/>
      <c r="M50" s="19"/>
    </row>
    <row r="51" customFormat="false" ht="14.25" hidden="false" customHeight="false" outlineLevel="0" collapsed="false">
      <c r="C51" s="21" t="s">
        <v>76</v>
      </c>
      <c r="D51" s="22" t="s">
        <v>74</v>
      </c>
      <c r="E51" s="23" t="n">
        <f aca="false">PB_Rate*E14*(E44*Bench_Wind+E45*Bench_BESS)-E50</f>
        <v>567200000</v>
      </c>
      <c r="F51" s="23" t="n">
        <f aca="false">PB_Rate*F14*(F44*Bench_Wind+F45*Bench_BESS)-F50</f>
        <v>728400000</v>
      </c>
      <c r="G51" s="23" t="n">
        <f aca="false">PB_Rate*G14*(G44*Bench_Wind+G45*Bench_BESS)-G50</f>
        <v>728400000</v>
      </c>
      <c r="H51" s="23" t="n">
        <f aca="false">SUM(E51:G51)</f>
        <v>2024000000</v>
      </c>
      <c r="J51" s="24" t="n">
        <f aca="false">Inputs!E$22</f>
        <v>46402</v>
      </c>
      <c r="K51" s="25"/>
      <c r="L51" s="25"/>
      <c r="M51" s="19"/>
    </row>
    <row r="52" customFormat="false" ht="14.25" hidden="false" customHeight="false" outlineLevel="0" collapsed="false">
      <c r="C52" s="26" t="s">
        <v>77</v>
      </c>
      <c r="D52" s="27" t="s">
        <v>74</v>
      </c>
      <c r="E52" s="28" t="n">
        <f aca="false">TSO_Rate*E6</f>
        <v>225000000</v>
      </c>
      <c r="F52" s="28" t="n">
        <f aca="false">TSO_Rate*F6</f>
        <v>225000000</v>
      </c>
      <c r="G52" s="28" t="n">
        <f aca="false">TSO_Rate*G6</f>
        <v>225000000</v>
      </c>
      <c r="H52" s="28" t="n">
        <f aca="false">SUM(E52:G52)</f>
        <v>675000000</v>
      </c>
      <c r="J52" s="24" t="n">
        <f aca="false">Inputs!E$23</f>
        <v>46402</v>
      </c>
      <c r="K52" s="25"/>
      <c r="L52" s="25"/>
      <c r="M52" s="19"/>
    </row>
    <row r="53" customFormat="false" ht="14.25" hidden="false" customHeight="false" outlineLevel="0" collapsed="false">
      <c r="C53" s="29" t="s">
        <v>78</v>
      </c>
      <c r="D53" s="30" t="s">
        <v>74</v>
      </c>
      <c r="E53" s="31" t="n">
        <f aca="false">Inputs!E$15/Inputs!E$16</f>
        <v>254172902</v>
      </c>
      <c r="F53" s="31" t="n">
        <f aca="false">Inputs!F$15/Inputs!F$16</f>
        <v>460000000</v>
      </c>
      <c r="G53" s="31" t="n">
        <f aca="false">Inputs!G$15/Inputs!G$16</f>
        <v>460000000</v>
      </c>
      <c r="H53" s="31" t="n">
        <f aca="false">SUM(E53:G53)</f>
        <v>1174172902</v>
      </c>
      <c r="J53" s="24" t="n">
        <f aca="false">Inputs!E$24</f>
        <v>47027</v>
      </c>
      <c r="K53" s="25"/>
      <c r="L53" s="25"/>
      <c r="M53" s="19"/>
    </row>
    <row r="54" customFormat="false" ht="14.25" hidden="false" customHeight="false" outlineLevel="0" collapsed="false">
      <c r="C54" s="29" t="s">
        <v>79</v>
      </c>
      <c r="D54" s="30" t="s">
        <v>74</v>
      </c>
      <c r="E54" s="31" t="n">
        <f aca="false">Inputs!E$14*E6-E52</f>
        <v>3428565300</v>
      </c>
      <c r="F54" s="31" t="n">
        <f aca="false">Inputs!F$14*F6-F52</f>
        <v>766334000</v>
      </c>
      <c r="G54" s="31" t="n">
        <f aca="false">Inputs!G$14*G6-G52</f>
        <v>766334000</v>
      </c>
      <c r="H54" s="31" t="n">
        <f aca="false">SUM(E54:G54)</f>
        <v>4961233300</v>
      </c>
      <c r="J54" s="24" t="n">
        <f aca="false">Inputs!E$24</f>
        <v>47027</v>
      </c>
      <c r="K54" s="25"/>
      <c r="L54" s="25"/>
      <c r="M54" s="19"/>
    </row>
    <row r="55" customFormat="false" ht="14.25" hidden="false" customHeight="false" outlineLevel="0" collapsed="false">
      <c r="C55" s="6" t="s">
        <v>80</v>
      </c>
      <c r="D55" s="2" t="s">
        <v>74</v>
      </c>
      <c r="E55" s="8" t="n">
        <f aca="false">SUMIF(Devex_Class,"Devex",Devex_HUF)*Inputs!E$18</f>
        <v>255901067.967347</v>
      </c>
      <c r="F55" s="8" t="n">
        <f aca="false">SUMIF(Devex_Class,"Devex",Devex_HUF)*Inputs!F$18</f>
        <v>255901067.967347</v>
      </c>
      <c r="G55" s="8" t="n">
        <f aca="false">SUMIF(Devex_Class,"Devex",Devex_HUF)*Inputs!G$18</f>
        <v>255901067.967347</v>
      </c>
      <c r="H55" s="8" t="n">
        <f aca="false">SUM(E55:G55)</f>
        <v>767703203.902041</v>
      </c>
      <c r="J55" s="24" t="n">
        <f aca="false">SUMPRODUCT((Devex_Class="Devex")*Devex_HUF,Devex_Date)/SUMIF(Devex_Class,"Devex",Devex_HUF)</f>
        <v>46714.1242758881</v>
      </c>
      <c r="K55" s="25"/>
      <c r="L55" s="25"/>
      <c r="M55" s="19"/>
    </row>
    <row r="56" customFormat="false" ht="14.25" hidden="false" customHeight="false" outlineLevel="0" collapsed="false">
      <c r="C56" s="6" t="s">
        <v>81</v>
      </c>
      <c r="D56" s="2" t="s">
        <v>74</v>
      </c>
      <c r="E56" s="8" t="n">
        <f aca="false">SUMIF(Devex_Class,"Land",Devex_HUF)*Inputs!E$18</f>
        <v>39347625</v>
      </c>
      <c r="F56" s="8" t="n">
        <f aca="false">SUMIF(Devex_Class,"Land",Devex_HUF)*Inputs!F$18</f>
        <v>39347625</v>
      </c>
      <c r="G56" s="8" t="n">
        <f aca="false">SUMIF(Devex_Class,"Land",Devex_HUF)*Inputs!G$18</f>
        <v>39347625</v>
      </c>
      <c r="H56" s="8" t="n">
        <f aca="false">SUM(E56:G56)</f>
        <v>118042875</v>
      </c>
      <c r="J56" s="24" t="n">
        <f aca="false">SUMPRODUCT((Devex_Class="Land")*Devex_HUF,Devex_Date)/SUMIF(Devex_Class,"Land",Devex_HUF)</f>
        <v>46877.176865821</v>
      </c>
      <c r="K56" s="25"/>
      <c r="L56" s="25"/>
      <c r="M56" s="19"/>
    </row>
    <row r="57" customFormat="false" ht="14.25" hidden="false" customHeight="false" outlineLevel="0" collapsed="false">
      <c r="C57" s="6" t="s">
        <v>82</v>
      </c>
      <c r="D57" s="2" t="s">
        <v>74</v>
      </c>
      <c r="E57" s="8" t="n">
        <f aca="false">Inputs!E$17*FX*Thousand</f>
        <v>36500000</v>
      </c>
      <c r="F57" s="8" t="n">
        <f aca="false">Inputs!F$17*FX*Thousand</f>
        <v>54750000</v>
      </c>
      <c r="G57" s="8" t="n">
        <f aca="false">Inputs!G$17*FX*Thousand</f>
        <v>54750000</v>
      </c>
      <c r="H57" s="8" t="n">
        <f aca="false">SUM(E57:G57)</f>
        <v>146000000</v>
      </c>
      <c r="J57" s="24" t="n">
        <f aca="false">Inputs!E$20</f>
        <v>46234</v>
      </c>
      <c r="K57" s="25"/>
      <c r="L57" s="25"/>
      <c r="M57" s="19"/>
    </row>
    <row r="58" customFormat="false" ht="14.25" hidden="false" customHeight="false" outlineLevel="0" collapsed="false">
      <c r="C58" s="1" t="s">
        <v>83</v>
      </c>
      <c r="D58" s="2" t="s">
        <v>74</v>
      </c>
      <c r="E58" s="32" t="n">
        <f aca="false">SUM(E49:E57)</f>
        <v>4951486894.96735</v>
      </c>
      <c r="F58" s="32" t="n">
        <f aca="false">SUM(F49:F57)</f>
        <v>2714832692.96735</v>
      </c>
      <c r="G58" s="32" t="n">
        <f aca="false">SUM(G49:G57)</f>
        <v>2714832692.96735</v>
      </c>
      <c r="H58" s="32" t="n">
        <f aca="false">SUM(E58:G58)</f>
        <v>10381152280.902</v>
      </c>
      <c r="K58" s="19"/>
      <c r="L58" s="19"/>
      <c r="M58" s="19"/>
    </row>
    <row r="59" customFormat="false" ht="14.25" hidden="false" customHeight="false" outlineLevel="0" collapsed="false">
      <c r="K59" s="19"/>
      <c r="L59" s="19"/>
      <c r="M59" s="19"/>
    </row>
    <row r="60" customFormat="false" ht="14.25" hidden="false" customHeight="false" outlineLevel="0" collapsed="false">
      <c r="B60" s="4" t="s">
        <v>3</v>
      </c>
      <c r="C60" s="4" t="s">
        <v>84</v>
      </c>
      <c r="D60" s="4"/>
      <c r="E60" s="5" t="s">
        <v>5</v>
      </c>
      <c r="F60" s="5" t="s">
        <v>6</v>
      </c>
      <c r="G60" s="5" t="s">
        <v>7</v>
      </c>
      <c r="H60" s="5" t="s">
        <v>8</v>
      </c>
      <c r="J60" s="5" t="s">
        <v>72</v>
      </c>
      <c r="K60" s="20"/>
      <c r="L60" s="20"/>
      <c r="M60" s="19"/>
    </row>
    <row r="61" customFormat="false" ht="14.25" hidden="false" customHeight="false" outlineLevel="0" collapsed="false">
      <c r="C61" s="21" t="s">
        <v>73</v>
      </c>
      <c r="D61" s="22" t="s">
        <v>85</v>
      </c>
      <c r="E61" s="33" t="n">
        <f aca="false">E49/FX/Thousand</f>
        <v>8.21917808219178</v>
      </c>
      <c r="F61" s="33" t="n">
        <f aca="false">F49/FX/Thousand</f>
        <v>8.21917808219178</v>
      </c>
      <c r="G61" s="33" t="n">
        <f aca="false">G49/FX/Thousand</f>
        <v>8.21917808219178</v>
      </c>
      <c r="H61" s="33" t="n">
        <f aca="false">SUM(E61:G61)</f>
        <v>24.6575342465753</v>
      </c>
      <c r="J61" s="24" t="n">
        <f aca="false">Inputs!E$21</f>
        <v>46325</v>
      </c>
      <c r="K61" s="25"/>
      <c r="L61" s="25"/>
      <c r="M61" s="19"/>
    </row>
    <row r="62" customFormat="false" ht="14.25" hidden="false" customHeight="false" outlineLevel="0" collapsed="false">
      <c r="C62" s="21" t="s">
        <v>75</v>
      </c>
      <c r="D62" s="22" t="s">
        <v>85</v>
      </c>
      <c r="E62" s="23" t="n">
        <f aca="false">E50/FX/Thousand</f>
        <v>388.493150684932</v>
      </c>
      <c r="F62" s="23" t="n">
        <f aca="false">F50/FX/Thousand</f>
        <v>498.904109589041</v>
      </c>
      <c r="G62" s="23" t="n">
        <f aca="false">G50/FX/Thousand</f>
        <v>498.904109589041</v>
      </c>
      <c r="H62" s="23" t="n">
        <f aca="false">SUM(E62:G62)</f>
        <v>1386.30136986301</v>
      </c>
      <c r="J62" s="24" t="n">
        <f aca="false">Inputs!E$21</f>
        <v>46325</v>
      </c>
      <c r="K62" s="25"/>
      <c r="L62" s="25"/>
      <c r="M62" s="19"/>
    </row>
    <row r="63" customFormat="false" ht="14.25" hidden="false" customHeight="false" outlineLevel="0" collapsed="false">
      <c r="C63" s="21" t="s">
        <v>76</v>
      </c>
      <c r="D63" s="22" t="s">
        <v>85</v>
      </c>
      <c r="E63" s="23" t="n">
        <f aca="false">E51/FX/Thousand</f>
        <v>1553.97260273973</v>
      </c>
      <c r="F63" s="23" t="n">
        <f aca="false">F51/FX/Thousand</f>
        <v>1995.61643835616</v>
      </c>
      <c r="G63" s="23" t="n">
        <f aca="false">G51/FX/Thousand</f>
        <v>1995.61643835616</v>
      </c>
      <c r="H63" s="23" t="n">
        <f aca="false">SUM(E63:G63)</f>
        <v>5545.20547945205</v>
      </c>
      <c r="J63" s="24" t="n">
        <f aca="false">Inputs!E$22</f>
        <v>46402</v>
      </c>
      <c r="K63" s="25"/>
      <c r="L63" s="25"/>
      <c r="M63" s="19"/>
    </row>
    <row r="64" customFormat="false" ht="14.25" hidden="false" customHeight="false" outlineLevel="0" collapsed="false">
      <c r="C64" s="26" t="s">
        <v>77</v>
      </c>
      <c r="D64" s="27" t="s">
        <v>85</v>
      </c>
      <c r="E64" s="28" t="n">
        <f aca="false">E52/FX/Thousand</f>
        <v>616.438356164384</v>
      </c>
      <c r="F64" s="28" t="n">
        <f aca="false">F52/FX/Thousand</f>
        <v>616.438356164384</v>
      </c>
      <c r="G64" s="28" t="n">
        <f aca="false">G52/FX/Thousand</f>
        <v>616.438356164384</v>
      </c>
      <c r="H64" s="28" t="n">
        <f aca="false">SUM(E64:G64)</f>
        <v>1849.31506849315</v>
      </c>
      <c r="J64" s="24" t="n">
        <f aca="false">Inputs!E$23</f>
        <v>46402</v>
      </c>
      <c r="K64" s="24"/>
      <c r="L64" s="24"/>
    </row>
    <row r="65" customFormat="false" ht="14.25" hidden="false" customHeight="false" outlineLevel="0" collapsed="false">
      <c r="C65" s="29" t="s">
        <v>78</v>
      </c>
      <c r="D65" s="30" t="s">
        <v>85</v>
      </c>
      <c r="E65" s="31" t="n">
        <f aca="false">E53/FX/Thousand</f>
        <v>696.364115068493</v>
      </c>
      <c r="F65" s="31" t="n">
        <f aca="false">F53/FX/Thousand</f>
        <v>1260.27397260274</v>
      </c>
      <c r="G65" s="31" t="n">
        <f aca="false">G53/FX/Thousand</f>
        <v>1260.27397260274</v>
      </c>
      <c r="H65" s="31" t="n">
        <f aca="false">SUM(E65:G65)</f>
        <v>3216.91206027397</v>
      </c>
      <c r="J65" s="24" t="n">
        <f aca="false">Inputs!E$24</f>
        <v>47027</v>
      </c>
      <c r="K65" s="24"/>
      <c r="L65" s="24"/>
    </row>
    <row r="66" customFormat="false" ht="14.25" hidden="false" customHeight="false" outlineLevel="0" collapsed="false">
      <c r="C66" s="29" t="s">
        <v>79</v>
      </c>
      <c r="D66" s="30" t="s">
        <v>85</v>
      </c>
      <c r="E66" s="31" t="n">
        <f aca="false">E54/FX/Thousand</f>
        <v>9393.3295890411</v>
      </c>
      <c r="F66" s="31" t="n">
        <f aca="false">F54/FX/Thousand</f>
        <v>2099.54520547945</v>
      </c>
      <c r="G66" s="31" t="n">
        <f aca="false">G54/FX/Thousand</f>
        <v>2099.54520547945</v>
      </c>
      <c r="H66" s="31" t="n">
        <f aca="false">SUM(E66:G66)</f>
        <v>13592.42</v>
      </c>
      <c r="J66" s="24" t="n">
        <f aca="false">Inputs!E$24</f>
        <v>47027</v>
      </c>
      <c r="K66" s="24"/>
      <c r="L66" s="24"/>
    </row>
    <row r="67" customFormat="false" ht="14.25" hidden="false" customHeight="false" outlineLevel="0" collapsed="false">
      <c r="C67" s="6" t="s">
        <v>80</v>
      </c>
      <c r="D67" s="2" t="s">
        <v>85</v>
      </c>
      <c r="E67" s="8" t="n">
        <f aca="false">E55/FX/Thousand</f>
        <v>701.098816348896</v>
      </c>
      <c r="F67" s="8" t="n">
        <f aca="false">F55/FX/Thousand</f>
        <v>701.098816348896</v>
      </c>
      <c r="G67" s="8" t="n">
        <f aca="false">G55/FX/Thousand</f>
        <v>701.098816348896</v>
      </c>
      <c r="H67" s="8" t="n">
        <f aca="false">SUM(E67:G67)</f>
        <v>2103.29644904669</v>
      </c>
      <c r="J67" s="24" t="n">
        <f aca="false">J55</f>
        <v>46714.1242758881</v>
      </c>
      <c r="K67" s="24"/>
      <c r="L67" s="24"/>
    </row>
    <row r="68" customFormat="false" ht="14.25" hidden="false" customHeight="false" outlineLevel="0" collapsed="false">
      <c r="C68" s="6" t="s">
        <v>81</v>
      </c>
      <c r="D68" s="2" t="s">
        <v>85</v>
      </c>
      <c r="E68" s="8" t="n">
        <f aca="false">E56/FX/Thousand</f>
        <v>107.801712328767</v>
      </c>
      <c r="F68" s="8" t="n">
        <f aca="false">F56/FX/Thousand</f>
        <v>107.801712328767</v>
      </c>
      <c r="G68" s="8" t="n">
        <f aca="false">G56/FX/Thousand</f>
        <v>107.801712328767</v>
      </c>
      <c r="H68" s="8" t="n">
        <f aca="false">SUM(E68:G68)</f>
        <v>323.405136986301</v>
      </c>
      <c r="J68" s="24" t="n">
        <f aca="false">J56</f>
        <v>46877.176865821</v>
      </c>
      <c r="K68" s="24"/>
      <c r="L68" s="24"/>
    </row>
    <row r="69" customFormat="false" ht="14.25" hidden="false" customHeight="false" outlineLevel="0" collapsed="false">
      <c r="C69" s="6" t="s">
        <v>82</v>
      </c>
      <c r="D69" s="2" t="s">
        <v>85</v>
      </c>
      <c r="E69" s="8" t="n">
        <f aca="false">E57/FX/Thousand</f>
        <v>100</v>
      </c>
      <c r="F69" s="8" t="n">
        <f aca="false">F57/FX/Thousand</f>
        <v>150</v>
      </c>
      <c r="G69" s="8" t="n">
        <f aca="false">G57/FX/Thousand</f>
        <v>150</v>
      </c>
      <c r="H69" s="8" t="n">
        <f aca="false">SUM(E69:G69)</f>
        <v>400</v>
      </c>
      <c r="J69" s="24" t="n">
        <f aca="false">Inputs!E$20</f>
        <v>46234</v>
      </c>
      <c r="K69" s="24"/>
      <c r="L69" s="24"/>
    </row>
    <row r="70" customFormat="false" ht="14.25" hidden="false" customHeight="false" outlineLevel="0" collapsed="false">
      <c r="C70" s="1" t="s">
        <v>83</v>
      </c>
      <c r="D70" s="2" t="s">
        <v>85</v>
      </c>
      <c r="E70" s="32" t="n">
        <f aca="false">SUM(E61:E69)</f>
        <v>13565.7175204585</v>
      </c>
      <c r="F70" s="32" t="n">
        <f aca="false">SUM(F61:F69)</f>
        <v>7437.89778895164</v>
      </c>
      <c r="G70" s="32" t="n">
        <f aca="false">SUM(G61:G69)</f>
        <v>7437.89778895164</v>
      </c>
      <c r="H70" s="32" t="n">
        <f aca="false">SUM(E70:G70)</f>
        <v>28441.5130983618</v>
      </c>
    </row>
    <row r="72" customFormat="false" ht="14.25" hidden="false" customHeight="false" outlineLevel="0" collapsed="false">
      <c r="B72" s="4" t="s">
        <v>3</v>
      </c>
      <c r="C72" s="4" t="s">
        <v>86</v>
      </c>
      <c r="D72" s="4"/>
      <c r="E72" s="5" t="s">
        <v>5</v>
      </c>
      <c r="F72" s="5" t="s">
        <v>6</v>
      </c>
      <c r="G72" s="5" t="s">
        <v>7</v>
      </c>
      <c r="H72" s="5" t="s">
        <v>8</v>
      </c>
      <c r="J72" s="5" t="s">
        <v>87</v>
      </c>
    </row>
    <row r="73" customFormat="false" ht="14.25" hidden="false" customHeight="false" outlineLevel="0" collapsed="false">
      <c r="C73" s="6" t="s">
        <v>88</v>
      </c>
      <c r="D73" s="2" t="s">
        <v>85</v>
      </c>
      <c r="E73" s="8" t="n">
        <f aca="false">E61+E67+E69</f>
        <v>809.317994431088</v>
      </c>
      <c r="F73" s="8" t="n">
        <f aca="false">F61+F67+F69</f>
        <v>859.317994431088</v>
      </c>
      <c r="G73" s="8" t="n">
        <f aca="false">G61+G67+G69</f>
        <v>859.317994431088</v>
      </c>
      <c r="H73" s="8" t="n">
        <f aca="false">SUM(E73:G73)</f>
        <v>2527.95398329326</v>
      </c>
      <c r="J73" s="34" t="s">
        <v>89</v>
      </c>
    </row>
    <row r="74" customFormat="false" ht="14.25" hidden="false" customHeight="false" outlineLevel="0" collapsed="false">
      <c r="C74" s="6" t="s">
        <v>90</v>
      </c>
      <c r="D74" s="2" t="s">
        <v>85</v>
      </c>
      <c r="E74" s="8" t="n">
        <f aca="false">SUM(E62:E64)+E68</f>
        <v>2666.70582191781</v>
      </c>
      <c r="F74" s="8" t="n">
        <f aca="false">SUM(F62:F64)+F68</f>
        <v>3218.76061643836</v>
      </c>
      <c r="G74" s="8" t="n">
        <f aca="false">SUM(G62:G64)+G68</f>
        <v>3218.76061643836</v>
      </c>
      <c r="H74" s="8" t="n">
        <f aca="false">SUM(E74:G74)</f>
        <v>9104.22705479452</v>
      </c>
      <c r="J74" s="34" t="s">
        <v>91</v>
      </c>
    </row>
    <row r="75" customFormat="false" ht="14.25" hidden="false" customHeight="false" outlineLevel="0" collapsed="false">
      <c r="C75" s="6" t="s">
        <v>92</v>
      </c>
      <c r="D75" s="2" t="s">
        <v>85</v>
      </c>
      <c r="E75" s="35" t="n">
        <f aca="false">E65+E66</f>
        <v>10089.6937041096</v>
      </c>
      <c r="F75" s="35" t="n">
        <f aca="false">F65+F66</f>
        <v>3359.81917808219</v>
      </c>
      <c r="G75" s="35" t="n">
        <f aca="false">G65+G66</f>
        <v>3359.81917808219</v>
      </c>
      <c r="H75" s="35" t="n">
        <f aca="false">SUM(E75:G75)</f>
        <v>16809.332060274</v>
      </c>
      <c r="J75" s="34" t="s">
        <v>93</v>
      </c>
    </row>
    <row r="76" customFormat="false" ht="14.25" hidden="false" customHeight="false" outlineLevel="0" collapsed="false">
      <c r="C76" s="1" t="s">
        <v>94</v>
      </c>
      <c r="D76" s="2" t="s">
        <v>85</v>
      </c>
      <c r="E76" s="15" t="n">
        <f aca="false">SUM(E73:E75)</f>
        <v>13565.7175204585</v>
      </c>
      <c r="F76" s="15" t="n">
        <f aca="false">SUM(F73:F75)</f>
        <v>7437.89778895164</v>
      </c>
      <c r="G76" s="15" t="n">
        <f aca="false">SUM(G73:G75)</f>
        <v>7437.89778895164</v>
      </c>
      <c r="H76" s="15" t="n">
        <f aca="false">SUM(E76:G76)</f>
        <v>28441.5130983618</v>
      </c>
      <c r="J76" s="34" t="s">
        <v>95</v>
      </c>
    </row>
    <row r="77" customFormat="false" ht="14.25" hidden="false" customHeight="false" outlineLevel="0" collapsed="false">
      <c r="C77" s="0" t="s">
        <v>96</v>
      </c>
      <c r="D77" s="0" t="s">
        <v>12</v>
      </c>
      <c r="E77" s="36" t="n">
        <f aca="false">E75/E76</f>
        <v>0.743764101596049</v>
      </c>
      <c r="F77" s="36" t="n">
        <f aca="false">F75/F76</f>
        <v>0.451716233997315</v>
      </c>
      <c r="G77" s="36" t="n">
        <f aca="false">G75/G76</f>
        <v>0.451716233997315</v>
      </c>
      <c r="H77" s="36" t="n">
        <f aca="false">H75/H76</f>
        <v>0.591013987270677</v>
      </c>
      <c r="J77" s="34"/>
    </row>
    <row r="78" customFormat="false" ht="14.25" hidden="false" customHeight="false" outlineLevel="0" collapsed="false">
      <c r="C78" s="1" t="s">
        <v>97</v>
      </c>
      <c r="D78" s="2" t="s">
        <v>85</v>
      </c>
      <c r="E78" s="32" t="n">
        <f aca="false">E76-E75</f>
        <v>3476.0238163489</v>
      </c>
      <c r="F78" s="32" t="n">
        <f aca="false">F76-F75</f>
        <v>4078.07861086944</v>
      </c>
      <c r="G78" s="32" t="n">
        <f aca="false">G76-G75</f>
        <v>4078.07861086944</v>
      </c>
      <c r="H78" s="32" t="n">
        <f aca="false">SUM(E78:G78)</f>
        <v>11632.1810380878</v>
      </c>
      <c r="J78" s="34" t="s">
        <v>98</v>
      </c>
    </row>
    <row r="80" customFormat="false" ht="14.25" hidden="false" customHeight="false" outlineLevel="0" collapsed="false">
      <c r="B80" s="4" t="s">
        <v>3</v>
      </c>
      <c r="C80" s="4" t="s">
        <v>99</v>
      </c>
      <c r="D80" s="4"/>
      <c r="E80" s="5" t="s">
        <v>5</v>
      </c>
      <c r="F80" s="5" t="s">
        <v>6</v>
      </c>
      <c r="G80" s="5" t="s">
        <v>7</v>
      </c>
      <c r="H80" s="5" t="s">
        <v>8</v>
      </c>
    </row>
    <row r="81" customFormat="false" ht="14.25" hidden="false" customHeight="false" outlineLevel="0" collapsed="false">
      <c r="C81" s="6" t="s">
        <v>100</v>
      </c>
      <c r="D81" s="2" t="s">
        <v>85</v>
      </c>
      <c r="E81" s="8" t="n">
        <f aca="false">IF(E17="EU",Case_EU,Case_CN)*E46</f>
        <v>27000</v>
      </c>
      <c r="F81" s="8" t="n">
        <f aca="false">IF(F17="EU",Case_EU,Case_CN)*F46</f>
        <v>31500</v>
      </c>
      <c r="G81" s="8" t="n">
        <f aca="false">IF(G17="EU",Case_EU,Case_CN)*G46</f>
        <v>31500</v>
      </c>
      <c r="H81" s="8" t="n">
        <f aca="false">SUM(E81:G81)</f>
        <v>90000</v>
      </c>
    </row>
    <row r="82" customFormat="false" ht="14.25" hidden="false" customHeight="false" outlineLevel="0" collapsed="false">
      <c r="C82" s="6" t="s">
        <v>101</v>
      </c>
      <c r="D82" s="2" t="s">
        <v>85</v>
      </c>
      <c r="E82" s="8" t="n">
        <f aca="false">Capex_Install*E46</f>
        <v>4320</v>
      </c>
      <c r="F82" s="8" t="n">
        <f aca="false">Capex_Install*F46</f>
        <v>5040</v>
      </c>
      <c r="G82" s="8" t="n">
        <f aca="false">Capex_Install*G46</f>
        <v>5040</v>
      </c>
      <c r="H82" s="8" t="n">
        <f aca="false">SUM(E82:G82)</f>
        <v>14400</v>
      </c>
    </row>
    <row r="83" customFormat="false" ht="14.25" hidden="false" customHeight="false" outlineLevel="0" collapsed="false">
      <c r="C83" s="6" t="s">
        <v>102</v>
      </c>
      <c r="D83" s="2" t="s">
        <v>85</v>
      </c>
      <c r="E83" s="8" t="n">
        <f aca="false">Capex_Fdn*E46</f>
        <v>4860</v>
      </c>
      <c r="F83" s="8" t="n">
        <f aca="false">Capex_Fdn*F46</f>
        <v>5670</v>
      </c>
      <c r="G83" s="8" t="n">
        <f aca="false">Capex_Fdn*G46</f>
        <v>5670</v>
      </c>
      <c r="H83" s="8" t="n">
        <f aca="false">SUM(E83:G83)</f>
        <v>16200</v>
      </c>
    </row>
    <row r="84" customFormat="false" ht="14.25" hidden="false" customHeight="false" outlineLevel="0" collapsed="false">
      <c r="C84" s="6" t="s">
        <v>103</v>
      </c>
      <c r="D84" s="2" t="s">
        <v>85</v>
      </c>
      <c r="E84" s="8" t="n">
        <f aca="false">Capex_Civil*E46</f>
        <v>3780</v>
      </c>
      <c r="F84" s="8" t="n">
        <f aca="false">Capex_Civil*F46</f>
        <v>4410</v>
      </c>
      <c r="G84" s="8" t="n">
        <f aca="false">Capex_Civil*G46</f>
        <v>4410</v>
      </c>
      <c r="H84" s="8" t="n">
        <f aca="false">SUM(E84:G84)</f>
        <v>12600</v>
      </c>
    </row>
    <row r="85" customFormat="false" ht="14.25" hidden="false" customHeight="false" outlineLevel="0" collapsed="false">
      <c r="C85" s="6" t="s">
        <v>104</v>
      </c>
      <c r="D85" s="2" t="s">
        <v>85</v>
      </c>
      <c r="E85" s="8" t="n">
        <f aca="false">Capex_Elec*E46</f>
        <v>3240</v>
      </c>
      <c r="F85" s="8" t="n">
        <f aca="false">Capex_Elec*F46</f>
        <v>3780</v>
      </c>
      <c r="G85" s="8" t="n">
        <f aca="false">Capex_Elec*G46</f>
        <v>3780</v>
      </c>
      <c r="H85" s="8" t="n">
        <f aca="false">SUM(E85:G85)</f>
        <v>10800</v>
      </c>
    </row>
    <row r="86" customFormat="false" ht="14.25" hidden="false" customHeight="false" outlineLevel="0" collapsed="false">
      <c r="C86" s="6" t="s">
        <v>105</v>
      </c>
      <c r="D86" s="2" t="s">
        <v>85</v>
      </c>
      <c r="E86" s="8" t="n">
        <f aca="false">Capex_Owner*E46</f>
        <v>2160</v>
      </c>
      <c r="F86" s="8" t="n">
        <f aca="false">Capex_Owner*F46</f>
        <v>2520</v>
      </c>
      <c r="G86" s="8" t="n">
        <f aca="false">Capex_Owner*G46</f>
        <v>2520</v>
      </c>
      <c r="H86" s="8" t="n">
        <f aca="false">SUM(E86:G86)</f>
        <v>7200</v>
      </c>
    </row>
    <row r="87" customFormat="false" ht="14.25" hidden="false" customHeight="false" outlineLevel="0" collapsed="false">
      <c r="C87" s="6" t="s">
        <v>106</v>
      </c>
      <c r="D87" s="2" t="s">
        <v>85</v>
      </c>
      <c r="E87" s="8" t="n">
        <f aca="false">Capex_Land*E46</f>
        <v>0</v>
      </c>
      <c r="F87" s="8" t="n">
        <f aca="false">Capex_Land*F46</f>
        <v>0</v>
      </c>
      <c r="G87" s="8" t="n">
        <f aca="false">Capex_Land*G46</f>
        <v>0</v>
      </c>
      <c r="H87" s="8" t="n">
        <f aca="false">SUM(E87:G87)</f>
        <v>0</v>
      </c>
    </row>
    <row r="88" customFormat="false" ht="14.25" hidden="false" customHeight="false" outlineLevel="0" collapsed="false">
      <c r="C88" s="6" t="s">
        <v>107</v>
      </c>
      <c r="D88" s="2" t="s">
        <v>85</v>
      </c>
      <c r="E88" s="8" t="n">
        <f aca="false">Subs_Lump*E6/Lump_Basis</f>
        <v>3000</v>
      </c>
      <c r="F88" s="8" t="n">
        <f aca="false">Subs_Lump*F6/Lump_Basis</f>
        <v>3000</v>
      </c>
      <c r="G88" s="8" t="n">
        <f aca="false">Subs_Lump*G6/Lump_Basis</f>
        <v>3000</v>
      </c>
      <c r="H88" s="8" t="n">
        <f aca="false">SUM(E88:G88)</f>
        <v>9000</v>
      </c>
    </row>
    <row r="89" customFormat="false" ht="14.25" hidden="false" customHeight="false" outlineLevel="0" collapsed="false">
      <c r="C89" s="6" t="s">
        <v>108</v>
      </c>
      <c r="D89" s="2" t="s">
        <v>85</v>
      </c>
      <c r="E89" s="8" t="n">
        <f aca="false">SUM(E81:E88)*Capex_Cont</f>
        <v>2418</v>
      </c>
      <c r="F89" s="8" t="n">
        <f aca="false">SUM(F81:F88)*Capex_Cont</f>
        <v>2796</v>
      </c>
      <c r="G89" s="8" t="n">
        <f aca="false">SUM(G81:G88)*Capex_Cont</f>
        <v>2796</v>
      </c>
      <c r="H89" s="8" t="n">
        <f aca="false">SUM(E89:G89)</f>
        <v>8010</v>
      </c>
    </row>
    <row r="90" customFormat="false" ht="14.25" hidden="false" customHeight="false" outlineLevel="0" collapsed="false">
      <c r="C90" s="6" t="s">
        <v>109</v>
      </c>
      <c r="D90" s="2" t="s">
        <v>85</v>
      </c>
      <c r="E90" s="8" t="n">
        <f aca="false">BESS_Capex*E45</f>
        <v>2000</v>
      </c>
      <c r="F90" s="8" t="n">
        <f aca="false">BESS_Capex*F45</f>
        <v>4000</v>
      </c>
      <c r="G90" s="8" t="n">
        <f aca="false">BESS_Capex*G45</f>
        <v>4000</v>
      </c>
      <c r="H90" s="8" t="n">
        <f aca="false">SUM(E90:G90)</f>
        <v>10000</v>
      </c>
    </row>
    <row r="91" customFormat="false" ht="14.25" hidden="false" customHeight="false" outlineLevel="0" collapsed="false">
      <c r="C91" s="1" t="s">
        <v>110</v>
      </c>
      <c r="D91" s="2" t="s">
        <v>85</v>
      </c>
      <c r="E91" s="32" t="n">
        <f aca="false">SUM(E81:E90)</f>
        <v>52778</v>
      </c>
      <c r="F91" s="32" t="n">
        <f aca="false">SUM(F81:F90)</f>
        <v>62716</v>
      </c>
      <c r="G91" s="32" t="n">
        <f aca="false">SUM(G81:G90)</f>
        <v>62716</v>
      </c>
      <c r="H91" s="32" t="n">
        <f aca="false">SUM(E91:G91)</f>
        <v>178210</v>
      </c>
    </row>
    <row r="92" customFormat="false" ht="14.25" hidden="false" customHeight="false" outlineLevel="0" collapsed="false">
      <c r="C92" s="29" t="s">
        <v>111</v>
      </c>
      <c r="D92" s="30" t="s">
        <v>85</v>
      </c>
      <c r="E92" s="31" t="n">
        <f aca="false">E64+E65+E66</f>
        <v>10706.132060274</v>
      </c>
      <c r="F92" s="31" t="n">
        <f aca="false">F64+F65+F66</f>
        <v>3976.25753424658</v>
      </c>
      <c r="G92" s="31" t="n">
        <f aca="false">G64+G65+G66</f>
        <v>3976.25753424658</v>
      </c>
      <c r="H92" s="31" t="n">
        <f aca="false">SUM(E92:G92)</f>
        <v>18658.6471287671</v>
      </c>
    </row>
    <row r="93" customFormat="false" ht="14.25" hidden="false" customHeight="false" outlineLevel="0" collapsed="false">
      <c r="C93" s="29" t="s">
        <v>112</v>
      </c>
      <c r="D93" s="30" t="s">
        <v>85</v>
      </c>
      <c r="E93" s="31" t="n">
        <f aca="false">0</f>
        <v>0</v>
      </c>
      <c r="F93" s="31" t="n">
        <f aca="false">0</f>
        <v>0</v>
      </c>
      <c r="G93" s="31" t="n">
        <f aca="false">0</f>
        <v>0</v>
      </c>
      <c r="H93" s="31" t="n">
        <f aca="false">SUM(E93:G93)</f>
        <v>0</v>
      </c>
    </row>
    <row r="94" customFormat="false" ht="14.25" hidden="false" customHeight="false" outlineLevel="0" collapsed="false">
      <c r="C94" s="29" t="s">
        <v>113</v>
      </c>
      <c r="D94" s="30" t="s">
        <v>85</v>
      </c>
      <c r="E94" s="31" t="n">
        <f aca="false">0</f>
        <v>0</v>
      </c>
      <c r="F94" s="31" t="n">
        <f aca="false">0</f>
        <v>0</v>
      </c>
      <c r="G94" s="31" t="n">
        <f aca="false">0</f>
        <v>0</v>
      </c>
      <c r="H94" s="31" t="n">
        <f aca="false">SUM(E94:G94)</f>
        <v>0</v>
      </c>
    </row>
    <row r="95" customFormat="false" ht="14.25" hidden="false" customHeight="false" outlineLevel="0" collapsed="false">
      <c r="C95" s="29" t="s">
        <v>114</v>
      </c>
      <c r="D95" s="30" t="s">
        <v>85</v>
      </c>
      <c r="E95" s="31" t="n">
        <f aca="false">0</f>
        <v>0</v>
      </c>
      <c r="F95" s="31" t="n">
        <f aca="false">0</f>
        <v>0</v>
      </c>
      <c r="G95" s="31" t="n">
        <f aca="false">0</f>
        <v>0</v>
      </c>
      <c r="H95" s="31" t="n">
        <f aca="false">SUM(E95:G95)</f>
        <v>0</v>
      </c>
    </row>
    <row r="96" customFormat="false" ht="14.25" hidden="false" customHeight="false" outlineLevel="0" collapsed="false">
      <c r="C96" s="6" t="s">
        <v>115</v>
      </c>
      <c r="D96" s="2" t="s">
        <v>85</v>
      </c>
      <c r="E96" s="8" t="n">
        <f aca="false">E11*E6</f>
        <v>1000</v>
      </c>
      <c r="F96" s="8" t="n">
        <f aca="false">F11*F6</f>
        <v>2500</v>
      </c>
      <c r="G96" s="8" t="n">
        <f aca="false">G11*G6</f>
        <v>2500</v>
      </c>
      <c r="H96" s="8" t="n">
        <f aca="false">SUM(E96:G96)</f>
        <v>6000</v>
      </c>
    </row>
    <row r="97" customFormat="false" ht="14.25" hidden="false" customHeight="false" outlineLevel="0" collapsed="false">
      <c r="C97" s="6" t="s">
        <v>116</v>
      </c>
      <c r="D97" s="2" t="s">
        <v>85</v>
      </c>
      <c r="E97" s="8" t="n">
        <f aca="false">E68</f>
        <v>107.801712328767</v>
      </c>
      <c r="F97" s="8" t="n">
        <f aca="false">F68</f>
        <v>107.801712328767</v>
      </c>
      <c r="G97" s="8" t="n">
        <f aca="false">G68</f>
        <v>107.801712328767</v>
      </c>
      <c r="H97" s="8" t="n">
        <f aca="false">SUM(E97:G97)</f>
        <v>323.405136986301</v>
      </c>
    </row>
    <row r="98" customFormat="false" ht="14.25" hidden="false" customHeight="false" outlineLevel="0" collapsed="false">
      <c r="C98" s="6" t="s">
        <v>117</v>
      </c>
      <c r="D98" s="2" t="s">
        <v>85</v>
      </c>
      <c r="E98" s="8" t="n">
        <f aca="false">E18*E6</f>
        <v>7500</v>
      </c>
      <c r="F98" s="8" t="n">
        <f aca="false">F18*F6</f>
        <v>7500</v>
      </c>
      <c r="G98" s="8" t="n">
        <f aca="false">G18*G6</f>
        <v>7500</v>
      </c>
      <c r="H98" s="8" t="n">
        <f aca="false">SUM(E98:G98)</f>
        <v>22500</v>
      </c>
    </row>
    <row r="99" customFormat="false" ht="14.25" hidden="false" customHeight="false" outlineLevel="0" collapsed="false">
      <c r="C99" s="1" t="s">
        <v>118</v>
      </c>
      <c r="D99" s="2" t="s">
        <v>85</v>
      </c>
      <c r="E99" s="32" t="n">
        <f aca="false">E91+SUM(E92:E98)</f>
        <v>72091.9337726027</v>
      </c>
      <c r="F99" s="32" t="n">
        <f aca="false">F91+SUM(F92:F98)</f>
        <v>76800.0592465753</v>
      </c>
      <c r="G99" s="32" t="n">
        <f aca="false">G91+SUM(G92:G98)</f>
        <v>76800.0592465753</v>
      </c>
      <c r="H99" s="32" t="n">
        <f aca="false">SUM(E99:G99)</f>
        <v>225692.052265753</v>
      </c>
    </row>
    <row r="100" customFormat="false" ht="14.25" hidden="false" customHeight="false" outlineLevel="0" collapsed="false">
      <c r="C100" s="6" t="s">
        <v>119</v>
      </c>
      <c r="D100" s="2" t="s">
        <v>42</v>
      </c>
      <c r="E100" s="17" t="n">
        <f aca="false">E99/E46</f>
        <v>1335.03581060375</v>
      </c>
      <c r="F100" s="17" t="n">
        <f aca="false">F99/F46</f>
        <v>1219.04855946945</v>
      </c>
      <c r="G100" s="17" t="n">
        <f aca="false">G99/G46</f>
        <v>1219.04855946945</v>
      </c>
      <c r="H100" s="17" t="n">
        <f aca="false">H99/H46</f>
        <v>1253.84473480974</v>
      </c>
    </row>
    <row r="101" s="37" customFormat="true" ht="14.25" hidden="false" customHeight="false" outlineLevel="0" collapsed="false">
      <c r="C101" s="6" t="s">
        <v>120</v>
      </c>
      <c r="D101" s="2" t="s">
        <v>18</v>
      </c>
      <c r="E101" s="17" t="n">
        <f aca="false">E99/E6</f>
        <v>1441.83867545205</v>
      </c>
      <c r="F101" s="17" t="n">
        <f aca="false">F99/F6</f>
        <v>1536.00118493151</v>
      </c>
      <c r="G101" s="17" t="n">
        <f aca="false">G99/G6</f>
        <v>1536.00118493151</v>
      </c>
      <c r="H101" s="17" t="n">
        <f aca="false">H99/H6</f>
        <v>1504.61368177169</v>
      </c>
    </row>
    <row r="103" customFormat="false" ht="14.25" hidden="false" customHeight="false" outlineLevel="0" collapsed="false">
      <c r="B103" s="4" t="s">
        <v>3</v>
      </c>
      <c r="C103" s="4" t="s">
        <v>121</v>
      </c>
      <c r="D103" s="4"/>
      <c r="E103" s="5" t="s">
        <v>5</v>
      </c>
      <c r="F103" s="5" t="s">
        <v>6</v>
      </c>
      <c r="G103" s="5" t="s">
        <v>7</v>
      </c>
      <c r="H103" s="5" t="s">
        <v>8</v>
      </c>
    </row>
    <row r="104" customFormat="false" ht="14.25" hidden="false" customHeight="false" outlineLevel="0" collapsed="false">
      <c r="C104" s="6" t="s">
        <v>116</v>
      </c>
      <c r="D104" s="2" t="s">
        <v>85</v>
      </c>
      <c r="E104" s="17" t="n">
        <f aca="false">E68</f>
        <v>107.801712328767</v>
      </c>
      <c r="F104" s="17" t="n">
        <f aca="false">F68</f>
        <v>107.801712328767</v>
      </c>
      <c r="G104" s="17" t="n">
        <f aca="false">G68</f>
        <v>107.801712328767</v>
      </c>
      <c r="H104" s="17" t="n">
        <f aca="false">SUM(E104:G104)</f>
        <v>323.405136986301</v>
      </c>
    </row>
    <row r="105" customFormat="false" ht="14.25" hidden="false" customHeight="false" outlineLevel="0" collapsed="false">
      <c r="C105" s="6" t="s">
        <v>122</v>
      </c>
      <c r="D105" s="2" t="s">
        <v>85</v>
      </c>
      <c r="E105" s="17" t="n">
        <f aca="false">E67</f>
        <v>701.098816348896</v>
      </c>
      <c r="F105" s="17" t="n">
        <f aca="false">F67</f>
        <v>701.098816348896</v>
      </c>
      <c r="G105" s="17" t="n">
        <f aca="false">G67</f>
        <v>701.098816348896</v>
      </c>
      <c r="H105" s="17" t="n">
        <f aca="false">SUM(E105:G105)</f>
        <v>2103.29644904669</v>
      </c>
    </row>
    <row r="106" customFormat="false" ht="14.25" hidden="false" customHeight="false" outlineLevel="0" collapsed="false">
      <c r="C106" s="1" t="s">
        <v>123</v>
      </c>
      <c r="D106" s="2" t="s">
        <v>85</v>
      </c>
      <c r="E106" s="18" t="n">
        <f aca="false">SUM(E104:E105)</f>
        <v>808.900528677663</v>
      </c>
      <c r="F106" s="18" t="n">
        <f aca="false">SUM(F104:F105)</f>
        <v>808.900528677663</v>
      </c>
      <c r="G106" s="18" t="n">
        <f aca="false">SUM(G104:G105)</f>
        <v>808.900528677663</v>
      </c>
      <c r="H106" s="18" t="n">
        <f aca="false">SUM(E106:G106)</f>
        <v>2426.70158603299</v>
      </c>
    </row>
    <row r="108" customFormat="false" ht="14.25" hidden="false" customHeight="false" outlineLevel="0" collapsed="false">
      <c r="A108" s="37"/>
      <c r="B108" s="38" t="s">
        <v>3</v>
      </c>
      <c r="C108" s="39" t="s">
        <v>124</v>
      </c>
      <c r="D108" s="38"/>
      <c r="E108" s="40" t="s">
        <v>5</v>
      </c>
      <c r="F108" s="40" t="s">
        <v>6</v>
      </c>
      <c r="G108" s="40" t="s">
        <v>7</v>
      </c>
      <c r="H108" s="40" t="s">
        <v>8</v>
      </c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</row>
    <row r="109" customFormat="false" ht="14.25" hidden="false" customHeight="false" outlineLevel="0" collapsed="false">
      <c r="C109" s="41" t="s">
        <v>125</v>
      </c>
      <c r="D109" s="42"/>
      <c r="E109" s="43"/>
      <c r="F109" s="43"/>
      <c r="G109" s="43"/>
      <c r="H109" s="43"/>
    </row>
    <row r="110" customFormat="false" ht="14.25" hidden="false" customHeight="false" outlineLevel="0" collapsed="false">
      <c r="C110" s="6" t="s">
        <v>126</v>
      </c>
      <c r="D110" s="2" t="s">
        <v>85</v>
      </c>
      <c r="E110" s="8" t="n">
        <f aca="false">E217</f>
        <v>10089.6937041096</v>
      </c>
      <c r="F110" s="8" t="n">
        <f aca="false">F217</f>
        <v>3359.81917808219</v>
      </c>
      <c r="G110" s="8" t="n">
        <f aca="false">G217</f>
        <v>3359.81917808219</v>
      </c>
      <c r="H110" s="8" t="n">
        <f aca="false">SUM(E110:G110)</f>
        <v>16809.332060274</v>
      </c>
    </row>
    <row r="111" customFormat="false" ht="14.25" hidden="false" customHeight="false" outlineLevel="0" collapsed="false">
      <c r="C111" s="44" t="s">
        <v>127</v>
      </c>
      <c r="D111" s="45" t="s">
        <v>85</v>
      </c>
      <c r="E111" s="46" t="n">
        <f aca="false">E224</f>
        <v>3391.64025470506</v>
      </c>
      <c r="F111" s="46" t="n">
        <f aca="false">F224</f>
        <v>3993.69504922561</v>
      </c>
      <c r="G111" s="46" t="n">
        <f aca="false">G224</f>
        <v>3993.69504922561</v>
      </c>
      <c r="H111" s="46" t="n">
        <f aca="false">SUM(E111:G111)</f>
        <v>11379.0303531563</v>
      </c>
    </row>
    <row r="112" customFormat="false" ht="14.25" hidden="false" customHeight="false" outlineLevel="0" collapsed="false">
      <c r="C112" s="6" t="s">
        <v>128</v>
      </c>
      <c r="D112" s="2" t="s">
        <v>85</v>
      </c>
      <c r="E112" s="8" t="n">
        <f aca="false">E296</f>
        <v>8068.95924048218</v>
      </c>
      <c r="F112" s="8" t="n">
        <f aca="false">F296</f>
        <v>10406.2948630137</v>
      </c>
      <c r="G112" s="8" t="n">
        <f aca="false">G296</f>
        <v>10406.2948630137</v>
      </c>
      <c r="H112" s="8" t="n">
        <f aca="false">SUM(E112:G112)</f>
        <v>28881.5489665096</v>
      </c>
    </row>
    <row r="113" customFormat="false" ht="14.25" hidden="false" customHeight="false" outlineLevel="0" collapsed="false">
      <c r="C113" s="44" t="s">
        <v>129</v>
      </c>
      <c r="D113" s="45" t="s">
        <v>85</v>
      </c>
      <c r="E113" s="46" t="n">
        <f aca="false">E284</f>
        <v>4483.71155100206</v>
      </c>
      <c r="F113" s="46" t="n">
        <f aca="false">F284</f>
        <v>6412.59981378809</v>
      </c>
      <c r="G113" s="46" t="n">
        <f aca="false">G284</f>
        <v>6412.59981378809</v>
      </c>
      <c r="H113" s="46" t="n">
        <f aca="false">SUM(E113:G113)</f>
        <v>17308.9111785782</v>
      </c>
    </row>
    <row r="114" customFormat="false" ht="14.25" hidden="false" customHeight="false" outlineLevel="0" collapsed="false">
      <c r="C114" s="6" t="s">
        <v>130</v>
      </c>
      <c r="D114" s="2" t="s">
        <v>3</v>
      </c>
      <c r="E114" s="47" t="n">
        <f aca="false">E285</f>
        <v>2.37907284809717</v>
      </c>
      <c r="F114" s="47" t="n">
        <f aca="false">F285</f>
        <v>2.60568088818687</v>
      </c>
      <c r="G114" s="47" t="n">
        <f aca="false">G285</f>
        <v>2.60568088818687</v>
      </c>
      <c r="H114" s="47" t="n">
        <f aca="false">H285</f>
        <v>2.53813796695766</v>
      </c>
    </row>
    <row r="115" customFormat="false" ht="14.25" hidden="false" customHeight="false" outlineLevel="0" collapsed="false">
      <c r="C115" s="6" t="s">
        <v>131</v>
      </c>
      <c r="D115" s="2" t="s">
        <v>12</v>
      </c>
      <c r="E115" s="48" t="n">
        <f aca="false">E286</f>
        <v>0.710305043746515</v>
      </c>
      <c r="F115" s="48" t="n">
        <f aca="false">F286</f>
        <v>0.789921152442643</v>
      </c>
      <c r="G115" s="48" t="n">
        <f aca="false">G286</f>
        <v>0.789921152442643</v>
      </c>
      <c r="H115" s="49" t="n">
        <f aca="false">H286</f>
        <v>0.766962263093306</v>
      </c>
    </row>
    <row r="116" customFormat="false" ht="14.25" hidden="false" customHeight="false" outlineLevel="0" collapsed="false">
      <c r="C116" s="6" t="s">
        <v>132</v>
      </c>
      <c r="D116" s="2" t="s">
        <v>3</v>
      </c>
      <c r="E116" s="47" t="n">
        <f aca="false">E302</f>
        <v>2.25060022049752</v>
      </c>
      <c r="F116" s="47" t="n">
        <f aca="false">F302</f>
        <v>2.60568088818687</v>
      </c>
      <c r="G116" s="47" t="n">
        <f aca="false">G302</f>
        <v>2.60568088818687</v>
      </c>
      <c r="H116" s="47" t="n">
        <f aca="false">H302</f>
        <v>2.49567553186786</v>
      </c>
    </row>
    <row r="117" customFormat="false" ht="14.25" hidden="false" customHeight="false" outlineLevel="0" collapsed="false">
      <c r="C117" s="6" t="s">
        <v>133</v>
      </c>
      <c r="D117" s="2" t="s">
        <v>12</v>
      </c>
      <c r="E117" s="48" t="n">
        <f aca="false">E303</f>
        <v>0.681940556156356</v>
      </c>
      <c r="F117" s="48" t="n">
        <f aca="false">F303</f>
        <v>0.789921152442643</v>
      </c>
      <c r="G117" s="48" t="n">
        <f aca="false">G303</f>
        <v>0.789921152442643</v>
      </c>
      <c r="H117" s="49" t="n">
        <f aca="false">H303</f>
        <v>0.75881111235611</v>
      </c>
    </row>
    <row r="118" customFormat="false" ht="14.25" hidden="false" customHeight="false" outlineLevel="0" collapsed="false">
      <c r="C118" s="41" t="s">
        <v>134</v>
      </c>
      <c r="D118" s="42"/>
      <c r="E118" s="43"/>
      <c r="F118" s="43"/>
      <c r="G118" s="43"/>
      <c r="H118" s="43"/>
    </row>
    <row r="119" customFormat="false" ht="14.25" hidden="false" customHeight="false" outlineLevel="0" collapsed="false">
      <c r="C119" s="44" t="s">
        <v>127</v>
      </c>
      <c r="D119" s="50" t="s">
        <v>85</v>
      </c>
      <c r="E119" s="46" t="n">
        <f aca="false">E70</f>
        <v>13565.7175204585</v>
      </c>
      <c r="F119" s="46" t="n">
        <f aca="false">F70</f>
        <v>7437.89778895164</v>
      </c>
      <c r="G119" s="46" t="n">
        <f aca="false">G70</f>
        <v>7437.89778895164</v>
      </c>
      <c r="H119" s="46" t="n">
        <f aca="false">SUM(E119:G119)</f>
        <v>28441.5130983618</v>
      </c>
    </row>
    <row r="120" customFormat="false" ht="14.25" hidden="false" customHeight="false" outlineLevel="0" collapsed="false">
      <c r="C120" s="6" t="s">
        <v>128</v>
      </c>
      <c r="D120" s="2" t="s">
        <v>85</v>
      </c>
      <c r="E120" s="8" t="n">
        <f aca="false">E353</f>
        <v>18508.4026310823</v>
      </c>
      <c r="F120" s="8" t="n">
        <f aca="false">F353</f>
        <v>13828.5797945205</v>
      </c>
      <c r="G120" s="8" t="n">
        <f aca="false">G353</f>
        <v>13828.5797945205</v>
      </c>
      <c r="H120" s="8" t="n">
        <f aca="false">SUM(E120:G120)</f>
        <v>46165.5622201234</v>
      </c>
    </row>
    <row r="121" customFormat="false" ht="14.25" hidden="false" customHeight="false" outlineLevel="0" collapsed="false">
      <c r="C121" s="44" t="s">
        <v>129</v>
      </c>
      <c r="D121" s="45" t="s">
        <v>85</v>
      </c>
      <c r="E121" s="46" t="n">
        <f aca="false">E340</f>
        <v>4556.22338054871</v>
      </c>
      <c r="F121" s="46" t="n">
        <f aca="false">F340</f>
        <v>6390.68200556891</v>
      </c>
      <c r="G121" s="46" t="n">
        <f aca="false">G340</f>
        <v>6390.68200556891</v>
      </c>
      <c r="H121" s="15" t="n">
        <f aca="false">SUM(E121:G121)</f>
        <v>17337.5873916865</v>
      </c>
    </row>
    <row r="122" customFormat="false" ht="14.25" hidden="false" customHeight="false" outlineLevel="0" collapsed="false">
      <c r="C122" s="6" t="s">
        <v>130</v>
      </c>
      <c r="D122" s="2" t="s">
        <v>3</v>
      </c>
      <c r="E122" s="47" t="n">
        <f aca="false">E341</f>
        <v>1.36435117443436</v>
      </c>
      <c r="F122" s="47" t="n">
        <f aca="false">F341</f>
        <v>1.85920540815467</v>
      </c>
      <c r="G122" s="47" t="n">
        <f aca="false">G341</f>
        <v>1.85920540815467</v>
      </c>
      <c r="H122" s="47" t="n">
        <f aca="false">H341</f>
        <v>1.62317532335446</v>
      </c>
    </row>
    <row r="123" customFormat="false" ht="14.25" hidden="false" customHeight="false" outlineLevel="0" collapsed="false">
      <c r="C123" s="6" t="s">
        <v>131</v>
      </c>
      <c r="D123" s="2" t="s">
        <v>12</v>
      </c>
      <c r="E123" s="48" t="n">
        <f aca="false">E342</f>
        <v>0.239328818089513</v>
      </c>
      <c r="F123" s="48" t="n">
        <f aca="false">F342</f>
        <v>0.36981874472502</v>
      </c>
      <c r="G123" s="48" t="n">
        <f aca="false">G342</f>
        <v>0.36981874472502</v>
      </c>
      <c r="H123" s="49" t="n">
        <f aca="false">H342</f>
        <v>0.322624026934453</v>
      </c>
    </row>
    <row r="124" customFormat="false" ht="14.25" hidden="false" customHeight="false" outlineLevel="0" collapsed="false">
      <c r="C124" s="6" t="s">
        <v>132</v>
      </c>
      <c r="D124" s="2" t="s">
        <v>3</v>
      </c>
      <c r="E124" s="47" t="n">
        <f aca="false">E359</f>
        <v>1.32655998025358</v>
      </c>
      <c r="F124" s="47" t="n">
        <f aca="false">F359</f>
        <v>1.85920540815467</v>
      </c>
      <c r="G124" s="47" t="n">
        <f aca="false">G359</f>
        <v>1.85920540815467</v>
      </c>
      <c r="H124" s="47" t="n">
        <f aca="false">H359</f>
        <v>1.60141537846024</v>
      </c>
    </row>
    <row r="125" customFormat="false" ht="14.25" hidden="false" customHeight="false" outlineLevel="0" collapsed="false">
      <c r="C125" s="6" t="s">
        <v>133</v>
      </c>
      <c r="D125" s="2" t="s">
        <v>12</v>
      </c>
      <c r="E125" s="48" t="n">
        <f aca="false">E360</f>
        <v>0.220265172384283</v>
      </c>
      <c r="F125" s="48" t="n">
        <f aca="false">F360</f>
        <v>0.36981874472502</v>
      </c>
      <c r="G125" s="48" t="n">
        <f aca="false">G360</f>
        <v>0.36981874472502</v>
      </c>
      <c r="H125" s="49" t="n">
        <f aca="false">H360</f>
        <v>0.315646572053133</v>
      </c>
    </row>
    <row r="126" customFormat="false" ht="14.25" hidden="false" customHeight="false" outlineLevel="0" collapsed="false">
      <c r="C126" s="41" t="s">
        <v>135</v>
      </c>
      <c r="D126" s="42"/>
      <c r="E126" s="43"/>
      <c r="F126" s="43"/>
      <c r="G126" s="43"/>
      <c r="H126" s="43"/>
    </row>
    <row r="127" customFormat="false" ht="14.25" hidden="false" customHeight="false" outlineLevel="0" collapsed="false">
      <c r="C127" s="6" t="s">
        <v>110</v>
      </c>
      <c r="D127" s="2" t="s">
        <v>85</v>
      </c>
      <c r="E127" s="8" t="n">
        <f aca="false">E91</f>
        <v>52778</v>
      </c>
      <c r="F127" s="8" t="n">
        <f aca="false">F91</f>
        <v>62716</v>
      </c>
      <c r="G127" s="8" t="n">
        <f aca="false">G91</f>
        <v>62716</v>
      </c>
      <c r="H127" s="8" t="n">
        <f aca="false">SUM(E127:G127)</f>
        <v>178210</v>
      </c>
    </row>
    <row r="128" customFormat="false" ht="14.25" hidden="false" customHeight="false" outlineLevel="0" collapsed="false">
      <c r="C128" s="6" t="s">
        <v>136</v>
      </c>
      <c r="D128" s="2" t="s">
        <v>85</v>
      </c>
      <c r="E128" s="8" t="n">
        <f aca="false">E92</f>
        <v>10706.132060274</v>
      </c>
      <c r="F128" s="8" t="n">
        <f aca="false">F92</f>
        <v>3976.25753424658</v>
      </c>
      <c r="G128" s="8" t="n">
        <f aca="false">G92</f>
        <v>3976.25753424658</v>
      </c>
      <c r="H128" s="8" t="n">
        <f aca="false">SUM(E128:G128)</f>
        <v>18658.6471287671</v>
      </c>
    </row>
    <row r="129" customFormat="false" ht="14.25" hidden="false" customHeight="false" outlineLevel="0" collapsed="false">
      <c r="C129" s="6" t="s">
        <v>115</v>
      </c>
      <c r="D129" s="2" t="s">
        <v>85</v>
      </c>
      <c r="E129" s="8" t="n">
        <f aca="false">E96</f>
        <v>1000</v>
      </c>
      <c r="F129" s="8" t="n">
        <f aca="false">F96</f>
        <v>2500</v>
      </c>
      <c r="G129" s="8" t="n">
        <f aca="false">G96</f>
        <v>2500</v>
      </c>
      <c r="H129" s="8" t="n">
        <f aca="false">SUM(E129:G129)</f>
        <v>6000</v>
      </c>
    </row>
    <row r="130" customFormat="false" ht="14.25" hidden="false" customHeight="false" outlineLevel="0" collapsed="false">
      <c r="C130" s="6" t="s">
        <v>116</v>
      </c>
      <c r="D130" s="2" t="s">
        <v>85</v>
      </c>
      <c r="E130" s="8" t="n">
        <f aca="false">E68</f>
        <v>107.801712328767</v>
      </c>
      <c r="F130" s="8" t="n">
        <f aca="false">F68</f>
        <v>107.801712328767</v>
      </c>
      <c r="G130" s="8" t="n">
        <f aca="false">G68</f>
        <v>107.801712328767</v>
      </c>
      <c r="H130" s="8" t="n">
        <f aca="false">SUM(E130:G130)</f>
        <v>323.405136986301</v>
      </c>
    </row>
    <row r="131" customFormat="false" ht="14.25" hidden="false" customHeight="false" outlineLevel="0" collapsed="false">
      <c r="C131" s="6" t="s">
        <v>137</v>
      </c>
      <c r="D131" s="2" t="s">
        <v>85</v>
      </c>
      <c r="E131" s="8" t="n">
        <f aca="false">0</f>
        <v>0</v>
      </c>
      <c r="F131" s="8" t="n">
        <f aca="false">0</f>
        <v>0</v>
      </c>
      <c r="G131" s="8" t="n">
        <f aca="false">0</f>
        <v>0</v>
      </c>
      <c r="H131" s="8" t="n">
        <f aca="false">SUM(E131:G131)</f>
        <v>0</v>
      </c>
    </row>
    <row r="132" customFormat="false" ht="14.25" hidden="false" customHeight="false" outlineLevel="0" collapsed="false">
      <c r="C132" s="6" t="s">
        <v>138</v>
      </c>
      <c r="D132" s="2" t="s">
        <v>85</v>
      </c>
      <c r="E132" s="8" t="n">
        <f aca="false">E98</f>
        <v>7500</v>
      </c>
      <c r="F132" s="8" t="n">
        <f aca="false">F98</f>
        <v>7500</v>
      </c>
      <c r="G132" s="8" t="n">
        <f aca="false">G98</f>
        <v>7500</v>
      </c>
      <c r="H132" s="8" t="n">
        <f aca="false">SUM(E132:G132)</f>
        <v>22500</v>
      </c>
    </row>
    <row r="133" customFormat="false" ht="14.25" hidden="false" customHeight="false" outlineLevel="0" collapsed="false">
      <c r="C133" s="1" t="s">
        <v>139</v>
      </c>
      <c r="D133" s="51" t="s">
        <v>85</v>
      </c>
      <c r="E133" s="15" t="n">
        <f aca="false">SUM(E127:E132)</f>
        <v>72091.9337726027</v>
      </c>
      <c r="F133" s="15" t="n">
        <f aca="false">SUM(F127:F132)</f>
        <v>76800.0592465753</v>
      </c>
      <c r="G133" s="15" t="n">
        <f aca="false">SUM(G127:G132)</f>
        <v>76800.0592465753</v>
      </c>
      <c r="H133" s="15" t="n">
        <f aca="false">SUM(E133:G133)</f>
        <v>225692.052265753</v>
      </c>
    </row>
    <row r="134" customFormat="false" ht="14.25" hidden="false" customHeight="false" outlineLevel="0" collapsed="false">
      <c r="C134" s="6" t="s">
        <v>140</v>
      </c>
      <c r="D134" s="2" t="s">
        <v>85</v>
      </c>
      <c r="E134" s="8" t="n">
        <f aca="false">$H$405</f>
        <v>104654.654246613</v>
      </c>
      <c r="F134" s="8" t="n">
        <f aca="false">$H$456</f>
        <v>117317.066600666</v>
      </c>
      <c r="G134" s="8" t="n">
        <f aca="false">$H$507</f>
        <v>117317.066600666</v>
      </c>
      <c r="H134" s="8" t="n">
        <f aca="false">SUM(E134:G134)</f>
        <v>339288.787447944</v>
      </c>
    </row>
    <row r="135" customFormat="false" ht="14.25" hidden="false" customHeight="false" outlineLevel="0" collapsed="false">
      <c r="C135" s="1" t="s">
        <v>141</v>
      </c>
      <c r="D135" s="2" t="s">
        <v>85</v>
      </c>
      <c r="E135" s="15" t="n">
        <f aca="false">E521</f>
        <v>32562.7204740098</v>
      </c>
      <c r="F135" s="15" t="n">
        <f aca="false">F521</f>
        <v>40517.0073540907</v>
      </c>
      <c r="G135" s="15" t="n">
        <f aca="false">G521</f>
        <v>40517.0073540907</v>
      </c>
      <c r="H135" s="15" t="n">
        <f aca="false">SUM(E135:G135)</f>
        <v>113596.735182191</v>
      </c>
    </row>
    <row r="136" customFormat="false" ht="14.25" hidden="false" customHeight="false" outlineLevel="0" collapsed="false">
      <c r="C136" s="6" t="s">
        <v>130</v>
      </c>
      <c r="D136" s="2" t="s">
        <v>3</v>
      </c>
      <c r="E136" s="47" t="n">
        <f aca="false">SUMIF($J$406:$AS$406,"&gt;0")/-SUMIF($J$406:$AS$406,"&lt;0")</f>
        <v>1.54416402320072</v>
      </c>
      <c r="F136" s="47" t="n">
        <f aca="false">SUMIF($J$457:$AS$457,"&gt;0")/-SUMIF($J$457:$AS$457,"&lt;0")</f>
        <v>1.66295709686981</v>
      </c>
      <c r="G136" s="47" t="n">
        <f aca="false">SUMIF($J$508:$AS$508,"&gt;0")/-SUMIF($J$508:$AS$508,"&lt;0")</f>
        <v>1.66295709686981</v>
      </c>
    </row>
    <row r="137" customFormat="false" ht="14.25" hidden="false" customHeight="false" outlineLevel="0" collapsed="false">
      <c r="C137" s="6" t="s">
        <v>131</v>
      </c>
      <c r="D137" s="2" t="s">
        <v>12</v>
      </c>
      <c r="E137" s="48" t="n">
        <f aca="false">XIRR($J$406:$AS$406,$J$364:$AS$364)</f>
        <v>0.313748749420723</v>
      </c>
      <c r="F137" s="48" t="n">
        <f aca="false">XIRR($J$457:$AS$457,$J$364:$AS$364)</f>
        <v>0.394817994781512</v>
      </c>
      <c r="G137" s="48" t="n">
        <f aca="false">XIRR($J$508:$AS$508,$J$364:$AS$364)</f>
        <v>0.394817994781512</v>
      </c>
      <c r="J137" s="52"/>
    </row>
    <row r="138" customFormat="false" ht="14.25" hidden="false" customHeight="false" outlineLevel="0" collapsed="false">
      <c r="C138" s="41" t="s">
        <v>142</v>
      </c>
      <c r="D138" s="42"/>
      <c r="E138" s="43"/>
      <c r="F138" s="43"/>
      <c r="G138" s="43"/>
      <c r="H138" s="43"/>
    </row>
    <row r="139" customFormat="false" ht="14.25" hidden="false" customHeight="false" outlineLevel="0" collapsed="false">
      <c r="C139" s="6" t="s">
        <v>143</v>
      </c>
      <c r="D139" s="2" t="s">
        <v>85</v>
      </c>
      <c r="E139" s="8" t="n">
        <f aca="false">E99</f>
        <v>72091.9337726027</v>
      </c>
      <c r="F139" s="8" t="n">
        <f aca="false">F99</f>
        <v>76800.0592465753</v>
      </c>
      <c r="G139" s="8" t="n">
        <f aca="false">G99</f>
        <v>76800.0592465753</v>
      </c>
      <c r="H139" s="8" t="n">
        <f aca="false">SUM(E139:G139)</f>
        <v>225692.052265753</v>
      </c>
    </row>
    <row r="140" customFormat="false" ht="14.25" hidden="false" customHeight="false" outlineLevel="0" collapsed="false">
      <c r="C140" s="6" t="s">
        <v>144</v>
      </c>
      <c r="D140" s="2" t="s">
        <v>85</v>
      </c>
      <c r="E140" s="8" t="n">
        <f aca="false">$H$381</f>
        <v>382397.730625247</v>
      </c>
      <c r="F140" s="8" t="n">
        <f aca="false">$H$432</f>
        <v>446130.685729454</v>
      </c>
      <c r="G140" s="8" t="n">
        <f aca="false">$H$483</f>
        <v>446130.685729454</v>
      </c>
      <c r="H140" s="8" t="n">
        <f aca="false">SUM(E140:G140)</f>
        <v>1274659.10208416</v>
      </c>
    </row>
    <row r="141" customFormat="false" ht="14.25" hidden="false" customHeight="false" outlineLevel="0" collapsed="false">
      <c r="C141" s="6" t="s">
        <v>145</v>
      </c>
      <c r="D141" s="2" t="s">
        <v>85</v>
      </c>
      <c r="E141" s="8" t="n">
        <f aca="false">$H$390</f>
        <v>-101080.469164597</v>
      </c>
      <c r="F141" s="8" t="n">
        <f aca="false">$H$441</f>
        <v>-130425.697623429</v>
      </c>
      <c r="G141" s="8" t="n">
        <f aca="false">$H$492</f>
        <v>-130425.697623429</v>
      </c>
      <c r="H141" s="8" t="n">
        <f aca="false">SUM(E141:G141)</f>
        <v>-361931.864411456</v>
      </c>
    </row>
    <row r="142" customFormat="false" ht="14.25" hidden="false" customHeight="false" outlineLevel="0" collapsed="false">
      <c r="C142" s="6" t="s">
        <v>146</v>
      </c>
      <c r="D142" s="2" t="s">
        <v>85</v>
      </c>
      <c r="E142" s="8" t="n">
        <f aca="false">$H$391</f>
        <v>281317.26146065</v>
      </c>
      <c r="F142" s="8" t="n">
        <f aca="false">$H$442</f>
        <v>315704.988106025</v>
      </c>
      <c r="G142" s="8" t="n">
        <f aca="false">$H$493</f>
        <v>315704.988106025</v>
      </c>
      <c r="H142" s="8" t="n">
        <f aca="false">SUM(E142:G142)</f>
        <v>912727.2376727</v>
      </c>
    </row>
    <row r="143" customFormat="false" ht="14.25" hidden="false" customHeight="false" outlineLevel="0" collapsed="false">
      <c r="C143" s="1" t="s">
        <v>147</v>
      </c>
      <c r="D143" s="2" t="s">
        <v>12</v>
      </c>
      <c r="E143" s="53" t="n">
        <f aca="false">XIRR($J$392:$AS$392,$J$364:$AS$364)</f>
        <v>0.112566927188828</v>
      </c>
      <c r="F143" s="53" t="n">
        <f aca="false">XIRR($J$443:$AS$443,$J$364:$AS$364)</f>
        <v>0.119923687881452</v>
      </c>
      <c r="G143" s="53" t="n">
        <f aca="false">XIRR($J$494:$AS$494,$J$364:$AS$364)</f>
        <v>0.119923687881452</v>
      </c>
    </row>
    <row r="144" customFormat="false" ht="14.25" hidden="false" customHeight="false" outlineLevel="0" collapsed="false">
      <c r="C144" s="6" t="s">
        <v>148</v>
      </c>
      <c r="D144" s="2" t="s">
        <v>85</v>
      </c>
      <c r="E144" s="8" t="n">
        <f aca="false">XNPV(Discount_Rate,$J$392:$AS$392,$J$364:$AS$364)</f>
        <v>19561.2549092521</v>
      </c>
      <c r="F144" s="8" t="n">
        <f aca="false">XNPV(Discount_Rate,$J$443:$AS$443,$J$364:$AS$364)</f>
        <v>25408.5413585676</v>
      </c>
      <c r="G144" s="8" t="n">
        <f aca="false">XNPV(Discount_Rate,$J$494:$AS$494,$J$364:$AS$364)</f>
        <v>25408.5413585676</v>
      </c>
      <c r="H144" s="8" t="n">
        <f aca="false">SUM(E144:G144)</f>
        <v>70378.3376263873</v>
      </c>
    </row>
    <row r="145" customFormat="false" ht="14.25" hidden="false" customHeight="false" outlineLevel="0" collapsed="false">
      <c r="C145" s="6" t="s">
        <v>149</v>
      </c>
      <c r="D145" s="2" t="s">
        <v>85</v>
      </c>
      <c r="E145" s="8" t="n">
        <f aca="false">$H$394</f>
        <v>-31383.7991532071</v>
      </c>
      <c r="F145" s="8" t="n">
        <f aca="false">$H$445</f>
        <v>-35835.7393289174</v>
      </c>
      <c r="G145" s="8" t="n">
        <f aca="false">$H$496</f>
        <v>-35835.7393289174</v>
      </c>
      <c r="H145" s="8" t="n">
        <f aca="false">SUM(E145:G145)</f>
        <v>-103055.277811042</v>
      </c>
    </row>
    <row r="146" customFormat="false" ht="14.25" hidden="false" customHeight="false" outlineLevel="0" collapsed="false">
      <c r="C146" s="1" t="s">
        <v>150</v>
      </c>
      <c r="D146" s="2" t="s">
        <v>12</v>
      </c>
      <c r="E146" s="53" t="n">
        <f aca="false">XIRR($J$395:$AS$395,$J$364:$AS$364)</f>
        <v>0.101337684958125</v>
      </c>
      <c r="F146" s="53" t="n">
        <f aca="false">XIRR($J$446:$AS$446,$J$364:$AS$364)</f>
        <v>0.107877032780603</v>
      </c>
      <c r="G146" s="53" t="n">
        <f aca="false">XIRR($J$497:$AS$497,$J$364:$AS$364)</f>
        <v>0.107877032780603</v>
      </c>
    </row>
    <row r="147" customFormat="false" ht="14.25" hidden="false" customHeight="false" outlineLevel="0" collapsed="false">
      <c r="C147" s="6" t="s">
        <v>151</v>
      </c>
      <c r="D147" s="2" t="s">
        <v>85</v>
      </c>
      <c r="E147" s="8" t="n">
        <f aca="false">$H$396</f>
        <v>43255.1602635616</v>
      </c>
      <c r="F147" s="8" t="n">
        <f aca="false">$H$447</f>
        <v>46080.0355479452</v>
      </c>
      <c r="G147" s="8" t="n">
        <f aca="false">$H$498</f>
        <v>46080.0355479452</v>
      </c>
      <c r="H147" s="8" t="n">
        <f aca="false">SUM(E147:G147)</f>
        <v>135415.231359452</v>
      </c>
    </row>
    <row r="148" customFormat="false" ht="14.25" hidden="false" customHeight="false" outlineLevel="0" collapsed="false">
      <c r="C148" s="1" t="s">
        <v>152</v>
      </c>
      <c r="D148" s="2" t="s">
        <v>12</v>
      </c>
      <c r="E148" s="53" t="n">
        <f aca="false">XIRR($J$402:$AS$402,$J$364:$AS$364)</f>
        <v>0.129339851713017</v>
      </c>
      <c r="F148" s="53" t="n">
        <f aca="false">XIRR($J$453:$AS$453,$J$364:$AS$364)</f>
        <v>0.140065375053908</v>
      </c>
      <c r="G148" s="53" t="n">
        <f aca="false">XIRR($J$504:$AS$504,$J$364:$AS$364)</f>
        <v>0.140065375053908</v>
      </c>
    </row>
    <row r="149" customFormat="false" ht="14.25" hidden="false" customHeight="false" outlineLevel="0" collapsed="false">
      <c r="C149" s="6" t="s">
        <v>153</v>
      </c>
      <c r="D149" s="2" t="s">
        <v>3</v>
      </c>
      <c r="E149" s="47" t="n">
        <f aca="false">$H$403</f>
        <v>2.18972555710294</v>
      </c>
      <c r="F149" s="47" t="n">
        <f aca="false">$H$454</f>
        <v>2.29945255944663</v>
      </c>
      <c r="G149" s="47" t="n">
        <f aca="false">$H$505</f>
        <v>2.29945255944663</v>
      </c>
      <c r="H149" s="47"/>
    </row>
    <row r="154" customFormat="false" ht="14.25" hidden="false" customHeight="false" outlineLevel="0" collapsed="false">
      <c r="B154" s="4" t="s">
        <v>3</v>
      </c>
      <c r="C154" s="4" t="s">
        <v>154</v>
      </c>
      <c r="D154" s="4"/>
      <c r="E154" s="5"/>
      <c r="F154" s="5"/>
      <c r="G154" s="5"/>
      <c r="H154" s="5" t="s">
        <v>8</v>
      </c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</row>
    <row r="155" customFormat="false" ht="14.25" hidden="false" customHeight="false" outlineLevel="0" collapsed="false">
      <c r="C155" s="6" t="s">
        <v>155</v>
      </c>
      <c r="D155" s="2" t="s">
        <v>156</v>
      </c>
      <c r="J155" s="54" t="n">
        <f aca="false">J363</f>
        <v>2026</v>
      </c>
      <c r="K155" s="54" t="n">
        <f aca="false">K363</f>
        <v>2027</v>
      </c>
      <c r="L155" s="54" t="n">
        <f aca="false">L363</f>
        <v>2028</v>
      </c>
      <c r="M155" s="54" t="n">
        <f aca="false">M363</f>
        <v>2029</v>
      </c>
      <c r="N155" s="54" t="n">
        <f aca="false">N363</f>
        <v>2030</v>
      </c>
      <c r="O155" s="54" t="n">
        <f aca="false">O363</f>
        <v>2031</v>
      </c>
      <c r="P155" s="54" t="n">
        <f aca="false">P363</f>
        <v>2032</v>
      </c>
      <c r="Q155" s="54" t="n">
        <f aca="false">Q363</f>
        <v>2033</v>
      </c>
      <c r="R155" s="54" t="n">
        <f aca="false">R363</f>
        <v>2034</v>
      </c>
      <c r="S155" s="54" t="n">
        <f aca="false">S363</f>
        <v>2035</v>
      </c>
      <c r="T155" s="54" t="n">
        <f aca="false">T363</f>
        <v>2036</v>
      </c>
      <c r="U155" s="54" t="n">
        <f aca="false">U363</f>
        <v>2037</v>
      </c>
      <c r="V155" s="54" t="n">
        <f aca="false">V363</f>
        <v>2038</v>
      </c>
      <c r="W155" s="54" t="n">
        <f aca="false">W363</f>
        <v>2039</v>
      </c>
      <c r="X155" s="54" t="n">
        <f aca="false">X363</f>
        <v>2040</v>
      </c>
      <c r="Y155" s="54" t="n">
        <f aca="false">Y363</f>
        <v>2041</v>
      </c>
      <c r="Z155" s="54" t="n">
        <f aca="false">Z363</f>
        <v>2042</v>
      </c>
      <c r="AA155" s="54" t="n">
        <f aca="false">AA363</f>
        <v>2043</v>
      </c>
      <c r="AB155" s="54" t="n">
        <f aca="false">AB363</f>
        <v>2044</v>
      </c>
      <c r="AC155" s="54" t="n">
        <f aca="false">AC363</f>
        <v>2045</v>
      </c>
      <c r="AD155" s="54" t="n">
        <f aca="false">AD363</f>
        <v>2046</v>
      </c>
      <c r="AE155" s="54" t="n">
        <f aca="false">AE363</f>
        <v>2047</v>
      </c>
      <c r="AF155" s="54" t="n">
        <f aca="false">AF363</f>
        <v>2048</v>
      </c>
      <c r="AG155" s="54" t="n">
        <f aca="false">AG363</f>
        <v>2049</v>
      </c>
      <c r="AH155" s="54" t="n">
        <f aca="false">AH363</f>
        <v>2050</v>
      </c>
      <c r="AI155" s="54" t="n">
        <f aca="false">AI363</f>
        <v>2051</v>
      </c>
      <c r="AJ155" s="54" t="n">
        <f aca="false">AJ363</f>
        <v>2052</v>
      </c>
      <c r="AK155" s="54" t="n">
        <f aca="false">AK363</f>
        <v>2053</v>
      </c>
      <c r="AL155" s="54" t="n">
        <f aca="false">AL363</f>
        <v>2054</v>
      </c>
      <c r="AM155" s="54" t="n">
        <f aca="false">AM363</f>
        <v>2055</v>
      </c>
      <c r="AN155" s="54" t="n">
        <f aca="false">AN363</f>
        <v>2056</v>
      </c>
      <c r="AO155" s="54" t="n">
        <f aca="false">AO363</f>
        <v>2057</v>
      </c>
      <c r="AP155" s="54" t="n">
        <f aca="false">AP363</f>
        <v>2058</v>
      </c>
      <c r="AQ155" s="54" t="n">
        <f aca="false">AQ363</f>
        <v>2059</v>
      </c>
      <c r="AR155" s="54" t="n">
        <f aca="false">AR363</f>
        <v>2060</v>
      </c>
      <c r="AS155" s="54" t="n">
        <f aca="false">AS363</f>
        <v>2061</v>
      </c>
    </row>
    <row r="157" customFormat="false" ht="14.25" hidden="false" customHeight="false" outlineLevel="0" collapsed="false">
      <c r="C157" s="42" t="s">
        <v>5</v>
      </c>
      <c r="D157" s="42"/>
      <c r="E157" s="43"/>
      <c r="F157" s="43"/>
      <c r="G157" s="43"/>
      <c r="H157" s="43"/>
      <c r="J157" s="43"/>
      <c r="K157" s="43"/>
      <c r="L157" s="43"/>
      <c r="M157" s="43"/>
      <c r="N157" s="43"/>
      <c r="O157" s="43"/>
      <c r="P157" s="43"/>
      <c r="Q157" s="43"/>
      <c r="R157" s="43"/>
      <c r="S157" s="43"/>
      <c r="T157" s="43"/>
      <c r="U157" s="43"/>
      <c r="V157" s="43"/>
      <c r="W157" s="43"/>
      <c r="X157" s="43"/>
      <c r="Y157" s="43"/>
      <c r="Z157" s="43"/>
      <c r="AA157" s="43"/>
      <c r="AB157" s="43"/>
      <c r="AC157" s="43"/>
      <c r="AD157" s="43"/>
      <c r="AE157" s="43"/>
      <c r="AF157" s="43"/>
      <c r="AG157" s="43"/>
      <c r="AH157" s="43"/>
      <c r="AI157" s="43"/>
      <c r="AJ157" s="43"/>
      <c r="AK157" s="43"/>
      <c r="AL157" s="43"/>
      <c r="AM157" s="43"/>
      <c r="AN157" s="43"/>
      <c r="AO157" s="43"/>
      <c r="AP157" s="43"/>
      <c r="AQ157" s="43"/>
      <c r="AR157" s="43"/>
      <c r="AS157" s="43"/>
    </row>
    <row r="158" customFormat="false" ht="14.25" hidden="false" customHeight="false" outlineLevel="0" collapsed="false">
      <c r="C158" s="6" t="s">
        <v>157</v>
      </c>
      <c r="D158" s="2" t="s">
        <v>85</v>
      </c>
      <c r="H158" s="8" t="n">
        <f aca="false">SUM(J158:AS158)</f>
        <v>-72091.9337726027</v>
      </c>
      <c r="J158" s="8" t="n">
        <f aca="false">J377</f>
        <v>0</v>
      </c>
      <c r="K158" s="8" t="n">
        <f aca="false">K377</f>
        <v>0</v>
      </c>
      <c r="L158" s="8" t="n">
        <f aca="false">L377</f>
        <v>0</v>
      </c>
      <c r="M158" s="8" t="n">
        <f aca="false">M377</f>
        <v>-33450.8995260274</v>
      </c>
      <c r="N158" s="8" t="n">
        <f aca="false">N377</f>
        <v>-26389</v>
      </c>
      <c r="O158" s="8" t="n">
        <f aca="false">O377</f>
        <v>-14194.5</v>
      </c>
      <c r="P158" s="8" t="n">
        <f aca="false">P377</f>
        <v>0</v>
      </c>
      <c r="Q158" s="8" t="n">
        <f aca="false">Q377</f>
        <v>1942.46575342466</v>
      </c>
      <c r="R158" s="8" t="n">
        <f aca="false">R377</f>
        <v>0</v>
      </c>
      <c r="S158" s="8" t="n">
        <f aca="false">S377</f>
        <v>0</v>
      </c>
      <c r="T158" s="8" t="n">
        <f aca="false">T377</f>
        <v>0</v>
      </c>
      <c r="U158" s="8" t="n">
        <f aca="false">U377</f>
        <v>0</v>
      </c>
      <c r="V158" s="8" t="n">
        <f aca="false">V377</f>
        <v>0</v>
      </c>
      <c r="W158" s="8" t="n">
        <f aca="false">W377</f>
        <v>0</v>
      </c>
      <c r="X158" s="8" t="n">
        <f aca="false">X377</f>
        <v>0</v>
      </c>
      <c r="Y158" s="8" t="n">
        <f aca="false">Y377</f>
        <v>0</v>
      </c>
      <c r="Z158" s="8" t="n">
        <f aca="false">Z377</f>
        <v>0</v>
      </c>
      <c r="AA158" s="8" t="n">
        <f aca="false">AA377</f>
        <v>0</v>
      </c>
      <c r="AB158" s="8" t="n">
        <f aca="false">AB377</f>
        <v>0</v>
      </c>
      <c r="AC158" s="8" t="n">
        <f aca="false">AC377</f>
        <v>0</v>
      </c>
      <c r="AD158" s="8" t="n">
        <f aca="false">AD377</f>
        <v>0</v>
      </c>
      <c r="AE158" s="8" t="n">
        <f aca="false">AE377</f>
        <v>0</v>
      </c>
      <c r="AF158" s="8" t="n">
        <f aca="false">AF377</f>
        <v>0</v>
      </c>
      <c r="AG158" s="8" t="n">
        <f aca="false">AG377</f>
        <v>0</v>
      </c>
      <c r="AH158" s="8" t="n">
        <f aca="false">AH377</f>
        <v>0</v>
      </c>
      <c r="AI158" s="8" t="n">
        <f aca="false">AI377</f>
        <v>0</v>
      </c>
      <c r="AJ158" s="8" t="n">
        <f aca="false">AJ377</f>
        <v>0</v>
      </c>
      <c r="AK158" s="8" t="n">
        <f aca="false">AK377</f>
        <v>0</v>
      </c>
      <c r="AL158" s="8" t="n">
        <f aca="false">AL377</f>
        <v>0</v>
      </c>
      <c r="AM158" s="8" t="n">
        <f aca="false">AM377</f>
        <v>0</v>
      </c>
      <c r="AN158" s="8" t="n">
        <f aca="false">AN377</f>
        <v>0</v>
      </c>
      <c r="AO158" s="8" t="n">
        <f aca="false">AO377</f>
        <v>0</v>
      </c>
      <c r="AP158" s="8" t="n">
        <f aca="false">AP377</f>
        <v>0</v>
      </c>
      <c r="AQ158" s="8" t="n">
        <f aca="false">AQ377</f>
        <v>0</v>
      </c>
      <c r="AR158" s="8" t="n">
        <f aca="false">AR377</f>
        <v>0</v>
      </c>
      <c r="AS158" s="8" t="n">
        <f aca="false">AS377</f>
        <v>0</v>
      </c>
    </row>
    <row r="159" customFormat="false" ht="14.25" hidden="false" customHeight="false" outlineLevel="0" collapsed="false">
      <c r="C159" s="6" t="s">
        <v>158</v>
      </c>
      <c r="D159" s="2" t="s">
        <v>85</v>
      </c>
      <c r="H159" s="8" t="n">
        <f aca="false">SUM(J159:AS159)</f>
        <v>382397.730625247</v>
      </c>
      <c r="J159" s="8" t="n">
        <f aca="false">J381</f>
        <v>0</v>
      </c>
      <c r="K159" s="8" t="n">
        <f aca="false">K381</f>
        <v>0</v>
      </c>
      <c r="L159" s="8" t="n">
        <f aca="false">L381</f>
        <v>0</v>
      </c>
      <c r="M159" s="8" t="n">
        <f aca="false">M381</f>
        <v>0</v>
      </c>
      <c r="N159" s="8" t="n">
        <f aca="false">N381</f>
        <v>0</v>
      </c>
      <c r="O159" s="8" t="n">
        <f aca="false">O381</f>
        <v>5715.36</v>
      </c>
      <c r="P159" s="8" t="n">
        <f aca="false">P381</f>
        <v>11545.0272</v>
      </c>
      <c r="Q159" s="8" t="n">
        <f aca="false">Q381</f>
        <v>11625.496039584</v>
      </c>
      <c r="R159" s="8" t="n">
        <f aca="false">R381</f>
        <v>11706.5257469799</v>
      </c>
      <c r="S159" s="8" t="n">
        <f aca="false">S381</f>
        <v>11788.1202314363</v>
      </c>
      <c r="T159" s="8" t="n">
        <f aca="false">T381</f>
        <v>11870.2834294495</v>
      </c>
      <c r="U159" s="8" t="n">
        <f aca="false">U381</f>
        <v>11953.0193049527</v>
      </c>
      <c r="V159" s="8" t="n">
        <f aca="false">V381</f>
        <v>12036.3318495082</v>
      </c>
      <c r="W159" s="8" t="n">
        <f aca="false">W381</f>
        <v>12120.2250824993</v>
      </c>
      <c r="X159" s="8" t="n">
        <f aca="false">X381</f>
        <v>12204.7030513243</v>
      </c>
      <c r="Y159" s="8" t="n">
        <f aca="false">Y381</f>
        <v>12289.7698315921</v>
      </c>
      <c r="Z159" s="8" t="n">
        <f aca="false">Z381</f>
        <v>12375.4295273183</v>
      </c>
      <c r="AA159" s="8" t="n">
        <f aca="false">AA381</f>
        <v>12461.6862711237</v>
      </c>
      <c r="AB159" s="8" t="n">
        <f aca="false">AB381</f>
        <v>12548.5442244334</v>
      </c>
      <c r="AC159" s="8" t="n">
        <f aca="false">AC381</f>
        <v>12636.0075776777</v>
      </c>
      <c r="AD159" s="8" t="n">
        <f aca="false">AD381</f>
        <v>12724.0805504941</v>
      </c>
      <c r="AE159" s="8" t="n">
        <f aca="false">AE381</f>
        <v>12812.7673919311</v>
      </c>
      <c r="AF159" s="8" t="n">
        <f aca="false">AF381</f>
        <v>12902.0723806528</v>
      </c>
      <c r="AG159" s="8" t="n">
        <f aca="false">AG381</f>
        <v>12991.999825146</v>
      </c>
      <c r="AH159" s="8" t="n">
        <f aca="false">AH381</f>
        <v>13082.5540639272</v>
      </c>
      <c r="AI159" s="8" t="n">
        <f aca="false">AI381</f>
        <v>13173.7394657528</v>
      </c>
      <c r="AJ159" s="8" t="n">
        <f aca="false">AJ381</f>
        <v>13265.5604298291</v>
      </c>
      <c r="AK159" s="8" t="n">
        <f aca="false">AK381</f>
        <v>13358.021386025</v>
      </c>
      <c r="AL159" s="8" t="n">
        <f aca="false">AL381</f>
        <v>13451.1267950856</v>
      </c>
      <c r="AM159" s="8" t="n">
        <f aca="false">AM381</f>
        <v>13544.8811488474</v>
      </c>
      <c r="AN159" s="8" t="n">
        <f aca="false">AN381</f>
        <v>13639.2889704548</v>
      </c>
      <c r="AO159" s="8" t="n">
        <f aca="false">AO381</f>
        <v>13734.3548145789</v>
      </c>
      <c r="AP159" s="8" t="n">
        <f aca="false">AP381</f>
        <v>13830.0832676365</v>
      </c>
      <c r="AQ159" s="8" t="n">
        <f aca="false">AQ381</f>
        <v>13926.4789480119</v>
      </c>
      <c r="AR159" s="8" t="n">
        <f aca="false">AR381</f>
        <v>14023.5465062796</v>
      </c>
      <c r="AS159" s="8" t="n">
        <f aca="false">AS381</f>
        <v>7060.64531271418</v>
      </c>
    </row>
    <row r="160" customFormat="false" ht="14.25" hidden="false" customHeight="false" outlineLevel="0" collapsed="false">
      <c r="C160" s="6" t="s">
        <v>159</v>
      </c>
      <c r="D160" s="2" t="s">
        <v>85</v>
      </c>
      <c r="H160" s="8" t="n">
        <f aca="false">SUM(J160:AS160)</f>
        <v>-101080.469164597</v>
      </c>
      <c r="J160" s="8" t="n">
        <f aca="false">J390</f>
        <v>0</v>
      </c>
      <c r="K160" s="8" t="n">
        <f aca="false">K390</f>
        <v>0</v>
      </c>
      <c r="L160" s="8" t="n">
        <f aca="false">L390</f>
        <v>0</v>
      </c>
      <c r="M160" s="8" t="n">
        <f aca="false">M390</f>
        <v>0</v>
      </c>
      <c r="N160" s="8" t="n">
        <f aca="false">N390</f>
        <v>0</v>
      </c>
      <c r="O160" s="8" t="n">
        <f aca="false">O390</f>
        <v>-1182.141828</v>
      </c>
      <c r="P160" s="8" t="n">
        <f aca="false">P390</f>
        <v>-2419.78149756</v>
      </c>
      <c r="Q160" s="8" t="n">
        <f aca="false">Q390</f>
        <v>-2473.79268847324</v>
      </c>
      <c r="R160" s="8" t="n">
        <f aca="false">R390</f>
        <v>-2529.07754013253</v>
      </c>
      <c r="S160" s="8" t="n">
        <f aca="false">S390</f>
        <v>-2585.66667091693</v>
      </c>
      <c r="T160" s="8" t="n">
        <f aca="false">T390</f>
        <v>-2643.59144103106</v>
      </c>
      <c r="U160" s="8" t="n">
        <f aca="false">U390</f>
        <v>-2702.88397055478</v>
      </c>
      <c r="V160" s="8" t="n">
        <f aca="false">V390</f>
        <v>-2763.57715793331</v>
      </c>
      <c r="W160" s="8" t="n">
        <f aca="false">W390</f>
        <v>-2825.70469891879</v>
      </c>
      <c r="X160" s="8" t="n">
        <f aca="false">X390</f>
        <v>-2889.30110597403</v>
      </c>
      <c r="Y160" s="8" t="n">
        <f aca="false">Y390</f>
        <v>-2954.40172814999</v>
      </c>
      <c r="Z160" s="8" t="n">
        <f aca="false">Z390</f>
        <v>-3021.04277144858</v>
      </c>
      <c r="AA160" s="8" t="n">
        <f aca="false">AA390</f>
        <v>-3089.26131968243</v>
      </c>
      <c r="AB160" s="8" t="n">
        <f aca="false">AB390</f>
        <v>-3159.09535584409</v>
      </c>
      <c r="AC160" s="8" t="n">
        <f aca="false">AC390</f>
        <v>-3230.58378399692</v>
      </c>
      <c r="AD160" s="8" t="n">
        <f aca="false">AD390</f>
        <v>-3303.76645170053</v>
      </c>
      <c r="AE160" s="8" t="n">
        <f aca="false">AE390</f>
        <v>-3378.68417298384</v>
      </c>
      <c r="AF160" s="8" t="n">
        <f aca="false">AF390</f>
        <v>-3455.37875187918</v>
      </c>
      <c r="AG160" s="8" t="n">
        <f aca="false">AG390</f>
        <v>-3533.89300653108</v>
      </c>
      <c r="AH160" s="8" t="n">
        <f aca="false">AH390</f>
        <v>-3614.27079389397</v>
      </c>
      <c r="AI160" s="8" t="n">
        <f aca="false">AI390</f>
        <v>-3696.55703503309</v>
      </c>
      <c r="AJ160" s="8" t="n">
        <f aca="false">AJ390</f>
        <v>-3780.79774104342</v>
      </c>
      <c r="AK160" s="8" t="n">
        <f aca="false">AK390</f>
        <v>-3867.04003960174</v>
      </c>
      <c r="AL160" s="8" t="n">
        <f aca="false">AL390</f>
        <v>-3955.33220216742</v>
      </c>
      <c r="AM160" s="8" t="n">
        <f aca="false">AM390</f>
        <v>-4045.72367184764</v>
      </c>
      <c r="AN160" s="8" t="n">
        <f aca="false">AN390</f>
        <v>-4138.26509194355</v>
      </c>
      <c r="AO160" s="8" t="n">
        <f aca="false">AO390</f>
        <v>-4233.00833519381</v>
      </c>
      <c r="AP160" s="8" t="n">
        <f aca="false">AP390</f>
        <v>-4330.00653373281</v>
      </c>
      <c r="AQ160" s="8" t="n">
        <f aca="false">AQ390</f>
        <v>-4429.31410978088</v>
      </c>
      <c r="AR160" s="8" t="n">
        <f aca="false">AR390</f>
        <v>-4530.98680708456</v>
      </c>
      <c r="AS160" s="8" t="n">
        <f aca="false">AS390</f>
        <v>-2317.54086156264</v>
      </c>
    </row>
    <row r="161" customFormat="false" ht="14.25" hidden="false" customHeight="false" outlineLevel="0" collapsed="false">
      <c r="C161" s="6" t="s">
        <v>160</v>
      </c>
      <c r="D161" s="2" t="s">
        <v>85</v>
      </c>
      <c r="H161" s="8" t="n">
        <f aca="false">SUM(J161:AS161)</f>
        <v>281317.26146065</v>
      </c>
      <c r="J161" s="8" t="n">
        <f aca="false">J391</f>
        <v>0</v>
      </c>
      <c r="K161" s="8" t="n">
        <f aca="false">K391</f>
        <v>0</v>
      </c>
      <c r="L161" s="8" t="n">
        <f aca="false">L391</f>
        <v>0</v>
      </c>
      <c r="M161" s="8" t="n">
        <f aca="false">M391</f>
        <v>0</v>
      </c>
      <c r="N161" s="8" t="n">
        <f aca="false">N391</f>
        <v>0</v>
      </c>
      <c r="O161" s="8" t="n">
        <f aca="false">O391</f>
        <v>4533.218172</v>
      </c>
      <c r="P161" s="8" t="n">
        <f aca="false">P391</f>
        <v>9125.24570244</v>
      </c>
      <c r="Q161" s="8" t="n">
        <f aca="false">Q391</f>
        <v>9151.70335111076</v>
      </c>
      <c r="R161" s="8" t="n">
        <f aca="false">R391</f>
        <v>9177.44820684737</v>
      </c>
      <c r="S161" s="8" t="n">
        <f aca="false">S391</f>
        <v>9202.45356051942</v>
      </c>
      <c r="T161" s="8" t="n">
        <f aca="false">T391</f>
        <v>9226.6919884184</v>
      </c>
      <c r="U161" s="8" t="n">
        <f aca="false">U391</f>
        <v>9250.13533439795</v>
      </c>
      <c r="V161" s="8" t="n">
        <f aca="false">V391</f>
        <v>9272.75469157493</v>
      </c>
      <c r="W161" s="8" t="n">
        <f aca="false">W391</f>
        <v>9294.52038358052</v>
      </c>
      <c r="X161" s="8" t="n">
        <f aca="false">X391</f>
        <v>9315.40194535031</v>
      </c>
      <c r="Y161" s="8" t="n">
        <f aca="false">Y391</f>
        <v>9335.36810344208</v>
      </c>
      <c r="Z161" s="8" t="n">
        <f aca="false">Z391</f>
        <v>9354.38675586968</v>
      </c>
      <c r="AA161" s="8" t="n">
        <f aca="false">AA391</f>
        <v>9372.42495144124</v>
      </c>
      <c r="AB161" s="8" t="n">
        <f aca="false">AB391</f>
        <v>9389.44886858932</v>
      </c>
      <c r="AC161" s="8" t="n">
        <f aca="false">AC391</f>
        <v>9405.42379368079</v>
      </c>
      <c r="AD161" s="8" t="n">
        <f aca="false">AD391</f>
        <v>9420.31409879359</v>
      </c>
      <c r="AE161" s="8" t="n">
        <f aca="false">AE391</f>
        <v>9434.08321894722</v>
      </c>
      <c r="AF161" s="8" t="n">
        <f aca="false">AF391</f>
        <v>9446.69362877364</v>
      </c>
      <c r="AG161" s="8" t="n">
        <f aca="false">AG391</f>
        <v>9458.1068186149</v>
      </c>
      <c r="AH161" s="8" t="n">
        <f aca="false">AH391</f>
        <v>9468.28327003328</v>
      </c>
      <c r="AI161" s="8" t="n">
        <f aca="false">AI391</f>
        <v>9477.18243071973</v>
      </c>
      <c r="AJ161" s="8" t="n">
        <f aca="false">AJ391</f>
        <v>9484.7626887857</v>
      </c>
      <c r="AK161" s="8" t="n">
        <f aca="false">AK391</f>
        <v>9490.98134642328</v>
      </c>
      <c r="AL161" s="8" t="n">
        <f aca="false">AL391</f>
        <v>9495.7945929182</v>
      </c>
      <c r="AM161" s="8" t="n">
        <f aca="false">AM391</f>
        <v>9499.15747699973</v>
      </c>
      <c r="AN161" s="8" t="n">
        <f aca="false">AN391</f>
        <v>9501.02387851128</v>
      </c>
      <c r="AO161" s="8" t="n">
        <f aca="false">AO391</f>
        <v>9501.34647938509</v>
      </c>
      <c r="AP161" s="8" t="n">
        <f aca="false">AP391</f>
        <v>9500.07673390371</v>
      </c>
      <c r="AQ161" s="8" t="n">
        <f aca="false">AQ391</f>
        <v>9497.16483823106</v>
      </c>
      <c r="AR161" s="8" t="n">
        <f aca="false">AR391</f>
        <v>9492.55969919502</v>
      </c>
      <c r="AS161" s="8" t="n">
        <f aca="false">AS391</f>
        <v>4743.10445115153</v>
      </c>
    </row>
    <row r="162" customFormat="false" ht="14.25" hidden="false" customHeight="false" outlineLevel="0" collapsed="false">
      <c r="C162" s="1" t="s">
        <v>161</v>
      </c>
      <c r="D162" s="2" t="s">
        <v>85</v>
      </c>
      <c r="H162" s="15" t="n">
        <f aca="false">SUM(J162:AS162)</f>
        <v>209225.327688047</v>
      </c>
      <c r="J162" s="15" t="n">
        <f aca="false">J392</f>
        <v>0</v>
      </c>
      <c r="K162" s="15" t="n">
        <f aca="false">K392</f>
        <v>0</v>
      </c>
      <c r="L162" s="15" t="n">
        <f aca="false">L392</f>
        <v>0</v>
      </c>
      <c r="M162" s="15" t="n">
        <f aca="false">M392</f>
        <v>-33450.8995260274</v>
      </c>
      <c r="N162" s="15" t="n">
        <f aca="false">N392</f>
        <v>-26389</v>
      </c>
      <c r="O162" s="15" t="n">
        <f aca="false">O392</f>
        <v>-9661.281828</v>
      </c>
      <c r="P162" s="15" t="n">
        <f aca="false">P392</f>
        <v>9125.24570244</v>
      </c>
      <c r="Q162" s="15" t="n">
        <f aca="false">Q392</f>
        <v>11094.1691045354</v>
      </c>
      <c r="R162" s="15" t="n">
        <f aca="false">R392</f>
        <v>9177.44820684737</v>
      </c>
      <c r="S162" s="15" t="n">
        <f aca="false">S392</f>
        <v>9202.45356051942</v>
      </c>
      <c r="T162" s="15" t="n">
        <f aca="false">T392</f>
        <v>9226.6919884184</v>
      </c>
      <c r="U162" s="15" t="n">
        <f aca="false">U392</f>
        <v>9250.13533439795</v>
      </c>
      <c r="V162" s="15" t="n">
        <f aca="false">V392</f>
        <v>9272.75469157493</v>
      </c>
      <c r="W162" s="15" t="n">
        <f aca="false">W392</f>
        <v>9294.52038358052</v>
      </c>
      <c r="X162" s="15" t="n">
        <f aca="false">X392</f>
        <v>9315.40194535031</v>
      </c>
      <c r="Y162" s="15" t="n">
        <f aca="false">Y392</f>
        <v>9335.36810344208</v>
      </c>
      <c r="Z162" s="15" t="n">
        <f aca="false">Z392</f>
        <v>9354.38675586968</v>
      </c>
      <c r="AA162" s="15" t="n">
        <f aca="false">AA392</f>
        <v>9372.42495144124</v>
      </c>
      <c r="AB162" s="15" t="n">
        <f aca="false">AB392</f>
        <v>9389.44886858932</v>
      </c>
      <c r="AC162" s="15" t="n">
        <f aca="false">AC392</f>
        <v>9405.42379368079</v>
      </c>
      <c r="AD162" s="15" t="n">
        <f aca="false">AD392</f>
        <v>9420.31409879359</v>
      </c>
      <c r="AE162" s="15" t="n">
        <f aca="false">AE392</f>
        <v>9434.08321894722</v>
      </c>
      <c r="AF162" s="15" t="n">
        <f aca="false">AF392</f>
        <v>9446.69362877364</v>
      </c>
      <c r="AG162" s="15" t="n">
        <f aca="false">AG392</f>
        <v>9458.1068186149</v>
      </c>
      <c r="AH162" s="15" t="n">
        <f aca="false">AH392</f>
        <v>9468.28327003328</v>
      </c>
      <c r="AI162" s="15" t="n">
        <f aca="false">AI392</f>
        <v>9477.18243071973</v>
      </c>
      <c r="AJ162" s="15" t="n">
        <f aca="false">AJ392</f>
        <v>9484.7626887857</v>
      </c>
      <c r="AK162" s="15" t="n">
        <f aca="false">AK392</f>
        <v>9490.98134642328</v>
      </c>
      <c r="AL162" s="15" t="n">
        <f aca="false">AL392</f>
        <v>9495.7945929182</v>
      </c>
      <c r="AM162" s="15" t="n">
        <f aca="false">AM392</f>
        <v>9499.15747699973</v>
      </c>
      <c r="AN162" s="15" t="n">
        <f aca="false">AN392</f>
        <v>9501.02387851128</v>
      </c>
      <c r="AO162" s="15" t="n">
        <f aca="false">AO392</f>
        <v>9501.34647938509</v>
      </c>
      <c r="AP162" s="15" t="n">
        <f aca="false">AP392</f>
        <v>9500.07673390371</v>
      </c>
      <c r="AQ162" s="15" t="n">
        <f aca="false">AQ392</f>
        <v>9497.16483823106</v>
      </c>
      <c r="AR162" s="15" t="n">
        <f aca="false">AR392</f>
        <v>9492.55969919502</v>
      </c>
      <c r="AS162" s="15" t="n">
        <f aca="false">AS392</f>
        <v>4743.10445115153</v>
      </c>
    </row>
    <row r="163" customFormat="false" ht="14.25" hidden="false" customHeight="false" outlineLevel="0" collapsed="false">
      <c r="C163" s="1" t="s">
        <v>162</v>
      </c>
      <c r="D163" s="2" t="s">
        <v>85</v>
      </c>
      <c r="H163" s="15" t="n">
        <f aca="false">SUM(J163:AS163)</f>
        <v>177841.52853484</v>
      </c>
      <c r="J163" s="15" t="n">
        <f aca="false">J395</f>
        <v>0</v>
      </c>
      <c r="K163" s="15" t="n">
        <f aca="false">K395</f>
        <v>0</v>
      </c>
      <c r="L163" s="15" t="n">
        <f aca="false">L395</f>
        <v>0</v>
      </c>
      <c r="M163" s="15" t="n">
        <f aca="false">M395</f>
        <v>-33450.8995260274</v>
      </c>
      <c r="N163" s="15" t="n">
        <f aca="false">N395</f>
        <v>-26389</v>
      </c>
      <c r="O163" s="15" t="n">
        <f aca="false">O395</f>
        <v>-9800.57505050548</v>
      </c>
      <c r="P163" s="15" t="n">
        <f aca="false">P395</f>
        <v>8297.14835036852</v>
      </c>
      <c r="Q163" s="15" t="n">
        <f aca="false">Q395</f>
        <v>10262.1031051633</v>
      </c>
      <c r="R163" s="15" t="n">
        <f aca="false">R395</f>
        <v>8341.52047911478</v>
      </c>
      <c r="S163" s="15" t="n">
        <f aca="false">S395</f>
        <v>8362.77502973603</v>
      </c>
      <c r="T163" s="15" t="n">
        <f aca="false">T395</f>
        <v>8383.37769345016</v>
      </c>
      <c r="U163" s="15" t="n">
        <f aca="false">U395</f>
        <v>8403.30453753278</v>
      </c>
      <c r="V163" s="15" t="n">
        <f aca="false">V395</f>
        <v>8422.53099113321</v>
      </c>
      <c r="W163" s="15" t="n">
        <f aca="false">W395</f>
        <v>8441.03182933797</v>
      </c>
      <c r="X163" s="15" t="n">
        <f aca="false">X395</f>
        <v>8458.78115684229</v>
      </c>
      <c r="Y163" s="15" t="n">
        <f aca="false">Y395</f>
        <v>8475.75239122029</v>
      </c>
      <c r="Z163" s="15" t="n">
        <f aca="false">Z395</f>
        <v>8491.91824578375</v>
      </c>
      <c r="AA163" s="15" t="n">
        <f aca="false">AA395</f>
        <v>8507.25071201958</v>
      </c>
      <c r="AB163" s="15" t="n">
        <f aca="false">AB395</f>
        <v>8521.72104159544</v>
      </c>
      <c r="AC163" s="15" t="n">
        <f aca="false">AC395</f>
        <v>8535.29972792319</v>
      </c>
      <c r="AD163" s="15" t="n">
        <f aca="false">AD395</f>
        <v>8547.95648726908</v>
      </c>
      <c r="AE163" s="15" t="n">
        <f aca="false">AE395</f>
        <v>8559.66023939966</v>
      </c>
      <c r="AF163" s="15" t="n">
        <f aca="false">AF395</f>
        <v>8570.37908775212</v>
      </c>
      <c r="AG163" s="15" t="n">
        <f aca="false">AG395</f>
        <v>8580.08029911718</v>
      </c>
      <c r="AH163" s="15" t="n">
        <f aca="false">AH395</f>
        <v>8588.7302828228</v>
      </c>
      <c r="AI163" s="15" t="n">
        <f aca="false">AI395</f>
        <v>8055.60506611177</v>
      </c>
      <c r="AJ163" s="15" t="n">
        <f aca="false">AJ395</f>
        <v>8062.04828546784</v>
      </c>
      <c r="AK163" s="15" t="n">
        <f aca="false">AK395</f>
        <v>8067.33414445979</v>
      </c>
      <c r="AL163" s="15" t="n">
        <f aca="false">AL395</f>
        <v>8071.42540398047</v>
      </c>
      <c r="AM163" s="15" t="n">
        <f aca="false">AM395</f>
        <v>8074.28385544977</v>
      </c>
      <c r="AN163" s="15" t="n">
        <f aca="false">AN395</f>
        <v>8075.87029673459</v>
      </c>
      <c r="AO163" s="15" t="n">
        <f aca="false">AO395</f>
        <v>8076.14450747733</v>
      </c>
      <c r="AP163" s="15" t="n">
        <f aca="false">AP395</f>
        <v>8075.06522381815</v>
      </c>
      <c r="AQ163" s="15" t="n">
        <f aca="false">AQ395</f>
        <v>8072.5901124964</v>
      </c>
      <c r="AR163" s="15" t="n">
        <f aca="false">AR395</f>
        <v>8068.67574431577</v>
      </c>
      <c r="AS163" s="15" t="n">
        <f aca="false">AS395</f>
        <v>4031.6387834788</v>
      </c>
    </row>
    <row r="164" customFormat="false" ht="14.25" hidden="false" customHeight="false" outlineLevel="0" collapsed="false">
      <c r="C164" s="1" t="s">
        <v>163</v>
      </c>
      <c r="D164" s="2" t="s">
        <v>85</v>
      </c>
      <c r="H164" s="15" t="n">
        <f aca="false">SUM(J164:AS164)</f>
        <v>161475.325852493</v>
      </c>
      <c r="J164" s="15" t="n">
        <f aca="false">J402</f>
        <v>0</v>
      </c>
      <c r="K164" s="15" t="n">
        <f aca="false">K402</f>
        <v>0</v>
      </c>
      <c r="L164" s="15" t="n">
        <f aca="false">L402</f>
        <v>0</v>
      </c>
      <c r="M164" s="15" t="n">
        <f aca="false">M402</f>
        <v>-33450.8995260274</v>
      </c>
      <c r="N164" s="15" t="n">
        <f aca="false">N402</f>
        <v>-26389</v>
      </c>
      <c r="O164" s="15" t="n">
        <f aca="false">O402</f>
        <v>33454.5852130562</v>
      </c>
      <c r="P164" s="15" t="n">
        <f aca="false">P402</f>
        <v>4454.26096164922</v>
      </c>
      <c r="Q164" s="15" t="n">
        <f aca="false">Q402</f>
        <v>6404.18164336263</v>
      </c>
      <c r="R164" s="15" t="n">
        <f aca="false">R402</f>
        <v>4467.81324057864</v>
      </c>
      <c r="S164" s="15" t="n">
        <f aca="false">S402</f>
        <v>4472.49272562766</v>
      </c>
      <c r="T164" s="15" t="n">
        <f aca="false">T402</f>
        <v>4475.69157049095</v>
      </c>
      <c r="U164" s="15" t="n">
        <f aca="false">U402</f>
        <v>4477.34440478019</v>
      </c>
      <c r="V164" s="15" t="n">
        <f aca="false">V402</f>
        <v>4477.38314809758</v>
      </c>
      <c r="W164" s="15" t="n">
        <f aca="false">W402</f>
        <v>4475.73689050513</v>
      </c>
      <c r="X164" s="15" t="n">
        <f aca="false">X402</f>
        <v>4472.33176742239</v>
      </c>
      <c r="Y164" s="15" t="n">
        <f aca="false">Y402</f>
        <v>4467.09082868398</v>
      </c>
      <c r="Z164" s="15" t="n">
        <f aca="false">Z402</f>
        <v>4459.93390147521</v>
      </c>
      <c r="AA164" s="15" t="n">
        <f aca="false">AA402</f>
        <v>4450.77744685018</v>
      </c>
      <c r="AB164" s="15" t="n">
        <f aca="false">AB402</f>
        <v>4439.53440952216</v>
      </c>
      <c r="AC164" s="15" t="n">
        <f aca="false">AC402</f>
        <v>4426.11406060083</v>
      </c>
      <c r="AD164" s="15" t="n">
        <f aca="false">AD402</f>
        <v>4410.42183293517</v>
      </c>
      <c r="AE164" s="15" t="n">
        <f aca="false">AE402</f>
        <v>8559.66023939966</v>
      </c>
      <c r="AF164" s="15" t="n">
        <f aca="false">AF402</f>
        <v>8570.37908775212</v>
      </c>
      <c r="AG164" s="15" t="n">
        <f aca="false">AG402</f>
        <v>8580.08029911718</v>
      </c>
      <c r="AH164" s="15" t="n">
        <f aca="false">AH402</f>
        <v>8588.7302828228</v>
      </c>
      <c r="AI164" s="15" t="n">
        <f aca="false">AI402</f>
        <v>8055.60506611177</v>
      </c>
      <c r="AJ164" s="15" t="n">
        <f aca="false">AJ402</f>
        <v>8062.04828546784</v>
      </c>
      <c r="AK164" s="15" t="n">
        <f aca="false">AK402</f>
        <v>8067.33414445979</v>
      </c>
      <c r="AL164" s="15" t="n">
        <f aca="false">AL402</f>
        <v>8071.42540398047</v>
      </c>
      <c r="AM164" s="15" t="n">
        <f aca="false">AM402</f>
        <v>8074.28385544977</v>
      </c>
      <c r="AN164" s="15" t="n">
        <f aca="false">AN402</f>
        <v>8075.87029673459</v>
      </c>
      <c r="AO164" s="15" t="n">
        <f aca="false">AO402</f>
        <v>8076.14450747733</v>
      </c>
      <c r="AP164" s="15" t="n">
        <f aca="false">AP402</f>
        <v>8075.06522381815</v>
      </c>
      <c r="AQ164" s="15" t="n">
        <f aca="false">AQ402</f>
        <v>8072.5901124964</v>
      </c>
      <c r="AR164" s="15" t="n">
        <f aca="false">AR402</f>
        <v>8068.67574431577</v>
      </c>
      <c r="AS164" s="15" t="n">
        <f aca="false">AS402</f>
        <v>4031.6387834788</v>
      </c>
    </row>
    <row r="165" customFormat="false" ht="14.25" hidden="false" customHeight="false" outlineLevel="0" collapsed="false">
      <c r="C165" s="6" t="s">
        <v>164</v>
      </c>
      <c r="D165" s="2" t="s">
        <v>85</v>
      </c>
      <c r="J165" s="8" t="n">
        <f aca="false">SUM($J162:J162)</f>
        <v>0</v>
      </c>
      <c r="K165" s="8" t="n">
        <f aca="false">SUM($J162:K162)</f>
        <v>0</v>
      </c>
      <c r="L165" s="8" t="n">
        <f aca="false">SUM($J162:L162)</f>
        <v>0</v>
      </c>
      <c r="M165" s="8" t="n">
        <f aca="false">SUM($J162:M162)</f>
        <v>-33450.8995260274</v>
      </c>
      <c r="N165" s="8" t="n">
        <f aca="false">SUM($J162:N162)</f>
        <v>-59839.8995260274</v>
      </c>
      <c r="O165" s="8" t="n">
        <f aca="false">SUM($J162:O162)</f>
        <v>-69501.1813540274</v>
      </c>
      <c r="P165" s="8" t="n">
        <f aca="false">SUM($J162:P162)</f>
        <v>-60375.9356515874</v>
      </c>
      <c r="Q165" s="8" t="n">
        <f aca="false">SUM($J162:Q162)</f>
        <v>-49281.766547052</v>
      </c>
      <c r="R165" s="8" t="n">
        <f aca="false">SUM($J162:R162)</f>
        <v>-40104.3183402046</v>
      </c>
      <c r="S165" s="8" t="n">
        <f aca="false">SUM($J162:S162)</f>
        <v>-30901.8647796852</v>
      </c>
      <c r="T165" s="8" t="n">
        <f aca="false">SUM($J162:T162)</f>
        <v>-21675.1727912668</v>
      </c>
      <c r="U165" s="8" t="n">
        <f aca="false">SUM($J162:U162)</f>
        <v>-12425.0374568688</v>
      </c>
      <c r="V165" s="8" t="n">
        <f aca="false">SUM($J162:V162)</f>
        <v>-3152.28276529391</v>
      </c>
      <c r="W165" s="8" t="n">
        <f aca="false">SUM($J162:W162)</f>
        <v>6142.23761828661</v>
      </c>
      <c r="X165" s="8" t="n">
        <f aca="false">SUM($J162:X162)</f>
        <v>15457.6395636369</v>
      </c>
      <c r="Y165" s="8" t="n">
        <f aca="false">SUM($J162:Y162)</f>
        <v>24793.007667079</v>
      </c>
      <c r="Z165" s="8" t="n">
        <f aca="false">SUM($J162:Z162)</f>
        <v>34147.3944229487</v>
      </c>
      <c r="AA165" s="8" t="n">
        <f aca="false">SUM($J162:AA162)</f>
        <v>43519.8193743899</v>
      </c>
      <c r="AB165" s="8" t="n">
        <f aca="false">SUM($J162:AB162)</f>
        <v>52909.2682429792</v>
      </c>
      <c r="AC165" s="8" t="n">
        <f aca="false">SUM($J162:AC162)</f>
        <v>62314.69203666</v>
      </c>
      <c r="AD165" s="8" t="n">
        <f aca="false">SUM($J162:AD162)</f>
        <v>71735.0061354536</v>
      </c>
      <c r="AE165" s="8" t="n">
        <f aca="false">SUM($J162:AE162)</f>
        <v>81169.0893544008</v>
      </c>
      <c r="AF165" s="8" t="n">
        <f aca="false">SUM($J162:AF162)</f>
        <v>90615.7829831745</v>
      </c>
      <c r="AG165" s="8" t="n">
        <f aca="false">SUM($J162:AG162)</f>
        <v>100073.889801789</v>
      </c>
      <c r="AH165" s="8" t="n">
        <f aca="false">SUM($J162:AH162)</f>
        <v>109542.173071823</v>
      </c>
      <c r="AI165" s="8" t="n">
        <f aca="false">SUM($J162:AI162)</f>
        <v>119019.355502542</v>
      </c>
      <c r="AJ165" s="8" t="n">
        <f aca="false">SUM($J162:AJ162)</f>
        <v>128504.118191328</v>
      </c>
      <c r="AK165" s="8" t="n">
        <f aca="false">SUM($J162:AK162)</f>
        <v>137995.099537751</v>
      </c>
      <c r="AL165" s="8" t="n">
        <f aca="false">SUM($J162:AL162)</f>
        <v>147490.89413067</v>
      </c>
      <c r="AM165" s="8" t="n">
        <f aca="false">SUM($J162:AM162)</f>
        <v>156990.051607669</v>
      </c>
      <c r="AN165" s="8" t="n">
        <f aca="false">SUM($J162:AN162)</f>
        <v>166491.075486181</v>
      </c>
      <c r="AO165" s="8" t="n">
        <f aca="false">SUM($J162:AO162)</f>
        <v>175992.421965566</v>
      </c>
      <c r="AP165" s="8" t="n">
        <f aca="false">SUM($J162:AP162)</f>
        <v>185492.498699469</v>
      </c>
      <c r="AQ165" s="8" t="n">
        <f aca="false">SUM($J162:AQ162)</f>
        <v>194989.6635377</v>
      </c>
      <c r="AR165" s="8" t="n">
        <f aca="false">SUM($J162:AR162)</f>
        <v>204482.223236895</v>
      </c>
      <c r="AS165" s="8" t="n">
        <f aca="false">SUM($J162:AS162)</f>
        <v>209225.327688047</v>
      </c>
    </row>
    <row r="167" customFormat="false" ht="14.25" hidden="false" customHeight="false" outlineLevel="0" collapsed="false">
      <c r="C167" s="42" t="s">
        <v>6</v>
      </c>
      <c r="D167" s="42"/>
      <c r="E167" s="43"/>
      <c r="F167" s="43"/>
      <c r="G167" s="43"/>
      <c r="H167" s="43"/>
      <c r="J167" s="43"/>
      <c r="K167" s="43"/>
      <c r="L167" s="43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43"/>
      <c r="X167" s="43"/>
      <c r="Y167" s="43"/>
      <c r="Z167" s="43"/>
      <c r="AA167" s="43"/>
      <c r="AB167" s="43"/>
      <c r="AC167" s="43"/>
      <c r="AD167" s="43"/>
      <c r="AE167" s="43"/>
      <c r="AF167" s="43"/>
      <c r="AG167" s="43"/>
      <c r="AH167" s="43"/>
      <c r="AI167" s="43"/>
      <c r="AJ167" s="43"/>
      <c r="AK167" s="43"/>
      <c r="AL167" s="43"/>
      <c r="AM167" s="43"/>
      <c r="AN167" s="43"/>
      <c r="AO167" s="43"/>
      <c r="AP167" s="43"/>
      <c r="AQ167" s="43"/>
      <c r="AR167" s="43"/>
      <c r="AS167" s="43"/>
    </row>
    <row r="168" customFormat="false" ht="14.25" hidden="false" customHeight="false" outlineLevel="0" collapsed="false">
      <c r="C168" s="6" t="s">
        <v>157</v>
      </c>
      <c r="D168" s="2" t="s">
        <v>85</v>
      </c>
      <c r="H168" s="8" t="n">
        <f aca="false">SUM(J168:AS168)</f>
        <v>-76800.0592465753</v>
      </c>
      <c r="J168" s="8" t="n">
        <f aca="false">J428</f>
        <v>0</v>
      </c>
      <c r="K168" s="8" t="n">
        <f aca="false">K428</f>
        <v>0</v>
      </c>
      <c r="L168" s="8" t="n">
        <f aca="false">L428</f>
        <v>0</v>
      </c>
      <c r="M168" s="8" t="n">
        <f aca="false">M428</f>
        <v>-29757.5797945206</v>
      </c>
      <c r="N168" s="8" t="n">
        <f aca="false">N428</f>
        <v>-31358</v>
      </c>
      <c r="O168" s="8" t="n">
        <f aca="false">O428</f>
        <v>-18179</v>
      </c>
      <c r="P168" s="8" t="n">
        <f aca="false">P428</f>
        <v>0</v>
      </c>
      <c r="Q168" s="8" t="n">
        <f aca="false">Q428</f>
        <v>2494.52054794521</v>
      </c>
      <c r="R168" s="8" t="n">
        <f aca="false">R428</f>
        <v>0</v>
      </c>
      <c r="S168" s="8" t="n">
        <f aca="false">S428</f>
        <v>0</v>
      </c>
      <c r="T168" s="8" t="n">
        <f aca="false">T428</f>
        <v>0</v>
      </c>
      <c r="U168" s="8" t="n">
        <f aca="false">U428</f>
        <v>0</v>
      </c>
      <c r="V168" s="8" t="n">
        <f aca="false">V428</f>
        <v>0</v>
      </c>
      <c r="W168" s="8" t="n">
        <f aca="false">W428</f>
        <v>0</v>
      </c>
      <c r="X168" s="8" t="n">
        <f aca="false">X428</f>
        <v>0</v>
      </c>
      <c r="Y168" s="8" t="n">
        <f aca="false">Y428</f>
        <v>0</v>
      </c>
      <c r="Z168" s="8" t="n">
        <f aca="false">Z428</f>
        <v>0</v>
      </c>
      <c r="AA168" s="8" t="n">
        <f aca="false">AA428</f>
        <v>0</v>
      </c>
      <c r="AB168" s="8" t="n">
        <f aca="false">AB428</f>
        <v>0</v>
      </c>
      <c r="AC168" s="8" t="n">
        <f aca="false">AC428</f>
        <v>0</v>
      </c>
      <c r="AD168" s="8" t="n">
        <f aca="false">AD428</f>
        <v>0</v>
      </c>
      <c r="AE168" s="8" t="n">
        <f aca="false">AE428</f>
        <v>0</v>
      </c>
      <c r="AF168" s="8" t="n">
        <f aca="false">AF428</f>
        <v>0</v>
      </c>
      <c r="AG168" s="8" t="n">
        <f aca="false">AG428</f>
        <v>0</v>
      </c>
      <c r="AH168" s="8" t="n">
        <f aca="false">AH428</f>
        <v>0</v>
      </c>
      <c r="AI168" s="8" t="n">
        <f aca="false">AI428</f>
        <v>0</v>
      </c>
      <c r="AJ168" s="8" t="n">
        <f aca="false">AJ428</f>
        <v>0</v>
      </c>
      <c r="AK168" s="8" t="n">
        <f aca="false">AK428</f>
        <v>0</v>
      </c>
      <c r="AL168" s="8" t="n">
        <f aca="false">AL428</f>
        <v>0</v>
      </c>
      <c r="AM168" s="8" t="n">
        <f aca="false">AM428</f>
        <v>0</v>
      </c>
      <c r="AN168" s="8" t="n">
        <f aca="false">AN428</f>
        <v>0</v>
      </c>
      <c r="AO168" s="8" t="n">
        <f aca="false">AO428</f>
        <v>0</v>
      </c>
      <c r="AP168" s="8" t="n">
        <f aca="false">AP428</f>
        <v>0</v>
      </c>
      <c r="AQ168" s="8" t="n">
        <f aca="false">AQ428</f>
        <v>0</v>
      </c>
      <c r="AR168" s="8" t="n">
        <f aca="false">AR428</f>
        <v>0</v>
      </c>
      <c r="AS168" s="8" t="n">
        <f aca="false">AS428</f>
        <v>0</v>
      </c>
    </row>
    <row r="169" customFormat="false" ht="14.25" hidden="false" customHeight="false" outlineLevel="0" collapsed="false">
      <c r="C169" s="6" t="s">
        <v>158</v>
      </c>
      <c r="D169" s="2" t="s">
        <v>85</v>
      </c>
      <c r="H169" s="8" t="n">
        <f aca="false">SUM(J169:AS169)</f>
        <v>446130.685729454</v>
      </c>
      <c r="J169" s="8" t="n">
        <f aca="false">J432</f>
        <v>0</v>
      </c>
      <c r="K169" s="8" t="n">
        <f aca="false">K432</f>
        <v>0</v>
      </c>
      <c r="L169" s="8" t="n">
        <f aca="false">L432</f>
        <v>0</v>
      </c>
      <c r="M169" s="8" t="n">
        <f aca="false">M432</f>
        <v>0</v>
      </c>
      <c r="N169" s="8" t="n">
        <f aca="false">N432</f>
        <v>0</v>
      </c>
      <c r="O169" s="8" t="n">
        <f aca="false">O432</f>
        <v>6667.92</v>
      </c>
      <c r="P169" s="8" t="n">
        <f aca="false">P432</f>
        <v>13469.1984</v>
      </c>
      <c r="Q169" s="8" t="n">
        <f aca="false">Q432</f>
        <v>13563.078712848</v>
      </c>
      <c r="R169" s="8" t="n">
        <f aca="false">R432</f>
        <v>13657.6133714766</v>
      </c>
      <c r="S169" s="8" t="n">
        <f aca="false">S432</f>
        <v>13752.8069366757</v>
      </c>
      <c r="T169" s="8" t="n">
        <f aca="false">T432</f>
        <v>13848.6640010244</v>
      </c>
      <c r="U169" s="8" t="n">
        <f aca="false">U432</f>
        <v>13945.1891891115</v>
      </c>
      <c r="V169" s="8" t="n">
        <f aca="false">V432</f>
        <v>14042.3871577596</v>
      </c>
      <c r="W169" s="8" t="n">
        <f aca="false">W432</f>
        <v>14140.2625962492</v>
      </c>
      <c r="X169" s="8" t="n">
        <f aca="false">X432</f>
        <v>14238.8202265451</v>
      </c>
      <c r="Y169" s="8" t="n">
        <f aca="false">Y432</f>
        <v>14338.0648035241</v>
      </c>
      <c r="Z169" s="8" t="n">
        <f aca="false">Z432</f>
        <v>14438.0011152046</v>
      </c>
      <c r="AA169" s="8" t="n">
        <f aca="false">AA432</f>
        <v>14538.6339829776</v>
      </c>
      <c r="AB169" s="8" t="n">
        <f aca="false">AB432</f>
        <v>14639.968261839</v>
      </c>
      <c r="AC169" s="8" t="n">
        <f aca="false">AC432</f>
        <v>14742.008840624</v>
      </c>
      <c r="AD169" s="8" t="n">
        <f aca="false">AD432</f>
        <v>14844.7606422431</v>
      </c>
      <c r="AE169" s="8" t="n">
        <f aca="false">AE432</f>
        <v>14948.2286239196</v>
      </c>
      <c r="AF169" s="8" t="n">
        <f aca="false">AF432</f>
        <v>15052.4177774283</v>
      </c>
      <c r="AG169" s="8" t="n">
        <f aca="false">AG432</f>
        <v>15157.333129337</v>
      </c>
      <c r="AH169" s="8" t="n">
        <f aca="false">AH432</f>
        <v>15262.9797412485</v>
      </c>
      <c r="AI169" s="8" t="n">
        <f aca="false">AI432</f>
        <v>15369.362710045</v>
      </c>
      <c r="AJ169" s="8" t="n">
        <f aca="false">AJ432</f>
        <v>15476.487168134</v>
      </c>
      <c r="AK169" s="8" t="n">
        <f aca="false">AK432</f>
        <v>15584.3582836959</v>
      </c>
      <c r="AL169" s="8" t="n">
        <f aca="false">AL432</f>
        <v>15692.9812609332</v>
      </c>
      <c r="AM169" s="8" t="n">
        <f aca="false">AM432</f>
        <v>15802.3613403219</v>
      </c>
      <c r="AN169" s="8" t="n">
        <f aca="false">AN432</f>
        <v>15912.503798864</v>
      </c>
      <c r="AO169" s="8" t="n">
        <f aca="false">AO432</f>
        <v>16023.4139503421</v>
      </c>
      <c r="AP169" s="8" t="n">
        <f aca="false">AP432</f>
        <v>16135.0971455759</v>
      </c>
      <c r="AQ169" s="8" t="n">
        <f aca="false">AQ432</f>
        <v>16247.5587726806</v>
      </c>
      <c r="AR169" s="8" t="n">
        <f aca="false">AR432</f>
        <v>16360.8042573262</v>
      </c>
      <c r="AS169" s="8" t="n">
        <f aca="false">AS432</f>
        <v>8237.41953149987</v>
      </c>
    </row>
    <row r="170" customFormat="false" ht="14.25" hidden="false" customHeight="false" outlineLevel="0" collapsed="false">
      <c r="C170" s="6" t="s">
        <v>159</v>
      </c>
      <c r="D170" s="2" t="s">
        <v>85</v>
      </c>
      <c r="H170" s="8" t="n">
        <f aca="false">SUM(J170:AS170)</f>
        <v>-130425.697623429</v>
      </c>
      <c r="J170" s="8" t="n">
        <f aca="false">J441</f>
        <v>0</v>
      </c>
      <c r="K170" s="8" t="n">
        <f aca="false">K441</f>
        <v>0</v>
      </c>
      <c r="L170" s="8" t="n">
        <f aca="false">L441</f>
        <v>0</v>
      </c>
      <c r="M170" s="8" t="n">
        <f aca="false">M441</f>
        <v>0</v>
      </c>
      <c r="N170" s="8" t="n">
        <f aca="false">N441</f>
        <v>0</v>
      </c>
      <c r="O170" s="8" t="n">
        <f aca="false">O441</f>
        <v>-1598.148216</v>
      </c>
      <c r="P170" s="8" t="n">
        <f aca="false">P441</f>
        <v>-3260.87985132</v>
      </c>
      <c r="Q170" s="8" t="n">
        <f aca="false">Q441</f>
        <v>-3322.39115932295</v>
      </c>
      <c r="R170" s="8" t="n">
        <f aca="false">R441</f>
        <v>-3385.38820151339</v>
      </c>
      <c r="S170" s="8" t="n">
        <f aca="false">S441</f>
        <v>-3449.90658222877</v>
      </c>
      <c r="T170" s="8" t="n">
        <f aca="false">T441</f>
        <v>-3515.98276867813</v>
      </c>
      <c r="U170" s="8" t="n">
        <f aca="false">U441</f>
        <v>-3583.65411193425</v>
      </c>
      <c r="V170" s="8" t="n">
        <f aca="false">V441</f>
        <v>-3652.95886843809</v>
      </c>
      <c r="W170" s="8" t="n">
        <f aca="false">W441</f>
        <v>-3723.93622202803</v>
      </c>
      <c r="X170" s="8" t="n">
        <f aca="false">X441</f>
        <v>-3796.62630650685</v>
      </c>
      <c r="Y170" s="8" t="n">
        <f aca="false">Y441</f>
        <v>-3871.07022875947</v>
      </c>
      <c r="Z170" s="8" t="n">
        <f aca="false">Z441</f>
        <v>-3947.31009243507</v>
      </c>
      <c r="AA170" s="8" t="n">
        <f aca="false">AA441</f>
        <v>-4025.38902220729</v>
      </c>
      <c r="AB170" s="8" t="n">
        <f aca="false">AB441</f>
        <v>-4105.3511886267</v>
      </c>
      <c r="AC170" s="8" t="n">
        <f aca="false">AC441</f>
        <v>-4187.24183358009</v>
      </c>
      <c r="AD170" s="8" t="n">
        <f aca="false">AD441</f>
        <v>-4271.10729637127</v>
      </c>
      <c r="AE170" s="8" t="n">
        <f aca="false">AE441</f>
        <v>-4356.99504043889</v>
      </c>
      <c r="AF170" s="8" t="n">
        <f aca="false">AF441</f>
        <v>-4444.95368072645</v>
      </c>
      <c r="AG170" s="8" t="n">
        <f aca="false">AG441</f>
        <v>-4535.0330117209</v>
      </c>
      <c r="AH170" s="8" t="n">
        <f aca="false">AH441</f>
        <v>-4627.28403617592</v>
      </c>
      <c r="AI170" s="8" t="n">
        <f aca="false">AI441</f>
        <v>-4721.75899453672</v>
      </c>
      <c r="AJ170" s="8" t="n">
        <f aca="false">AJ441</f>
        <v>-4818.51139508354</v>
      </c>
      <c r="AK170" s="8" t="n">
        <f aca="false">AK441</f>
        <v>-4917.59604481147</v>
      </c>
      <c r="AL170" s="8" t="n">
        <f aca="false">AL441</f>
        <v>-5019.06908106463</v>
      </c>
      <c r="AM170" s="8" t="n">
        <f aca="false">AM441</f>
        <v>-5122.98800394303</v>
      </c>
      <c r="AN170" s="8" t="n">
        <f aca="false">AN441</f>
        <v>-5229.41170950133</v>
      </c>
      <c r="AO170" s="8" t="n">
        <f aca="false">AO441</f>
        <v>-5338.40052375853</v>
      </c>
      <c r="AP170" s="8" t="n">
        <f aca="false">AP441</f>
        <v>-5450.01623753884</v>
      </c>
      <c r="AQ170" s="8" t="n">
        <f aca="false">AQ441</f>
        <v>-5564.32214216366</v>
      </c>
      <c r="AR170" s="8" t="n">
        <f aca="false">AR441</f>
        <v>-5681.38306601601</v>
      </c>
      <c r="AS170" s="8" t="n">
        <f aca="false">AS441</f>
        <v>-2900.63270599912</v>
      </c>
    </row>
    <row r="171" customFormat="false" ht="14.25" hidden="false" customHeight="false" outlineLevel="0" collapsed="false">
      <c r="C171" s="6" t="s">
        <v>160</v>
      </c>
      <c r="D171" s="2" t="s">
        <v>85</v>
      </c>
      <c r="H171" s="8" t="n">
        <f aca="false">SUM(J171:AS171)</f>
        <v>315704.988106025</v>
      </c>
      <c r="J171" s="8" t="n">
        <f aca="false">J442</f>
        <v>0</v>
      </c>
      <c r="K171" s="8" t="n">
        <f aca="false">K442</f>
        <v>0</v>
      </c>
      <c r="L171" s="8" t="n">
        <f aca="false">L442</f>
        <v>0</v>
      </c>
      <c r="M171" s="8" t="n">
        <f aca="false">M442</f>
        <v>0</v>
      </c>
      <c r="N171" s="8" t="n">
        <f aca="false">N442</f>
        <v>0</v>
      </c>
      <c r="O171" s="8" t="n">
        <f aca="false">O442</f>
        <v>5069.771784</v>
      </c>
      <c r="P171" s="8" t="n">
        <f aca="false">P442</f>
        <v>10208.31854868</v>
      </c>
      <c r="Q171" s="8" t="n">
        <f aca="false">Q442</f>
        <v>10240.6875535251</v>
      </c>
      <c r="R171" s="8" t="n">
        <f aca="false">R442</f>
        <v>10272.2251699632</v>
      </c>
      <c r="S171" s="8" t="n">
        <f aca="false">S442</f>
        <v>10302.900354447</v>
      </c>
      <c r="T171" s="8" t="n">
        <f aca="false">T442</f>
        <v>10332.6812323462</v>
      </c>
      <c r="U171" s="8" t="n">
        <f aca="false">U442</f>
        <v>10361.5350771773</v>
      </c>
      <c r="V171" s="8" t="n">
        <f aca="false">V442</f>
        <v>10389.4282893215</v>
      </c>
      <c r="W171" s="8" t="n">
        <f aca="false">W442</f>
        <v>10416.3263742212</v>
      </c>
      <c r="X171" s="8" t="n">
        <f aca="false">X442</f>
        <v>10442.1939200382</v>
      </c>
      <c r="Y171" s="8" t="n">
        <f aca="false">Y442</f>
        <v>10466.9945747646</v>
      </c>
      <c r="Z171" s="8" t="n">
        <f aca="false">Z442</f>
        <v>10490.6910227696</v>
      </c>
      <c r="AA171" s="8" t="n">
        <f aca="false">AA442</f>
        <v>10513.2449607703</v>
      </c>
      <c r="AB171" s="8" t="n">
        <f aca="false">AB442</f>
        <v>10534.6170732123</v>
      </c>
      <c r="AC171" s="8" t="n">
        <f aca="false">AC442</f>
        <v>10554.7670070439</v>
      </c>
      <c r="AD171" s="8" t="n">
        <f aca="false">AD442</f>
        <v>10573.6533458719</v>
      </c>
      <c r="AE171" s="8" t="n">
        <f aca="false">AE442</f>
        <v>10591.2335834807</v>
      </c>
      <c r="AF171" s="8" t="n">
        <f aca="false">AF442</f>
        <v>10607.4640967019</v>
      </c>
      <c r="AG171" s="8" t="n">
        <f aca="false">AG442</f>
        <v>10622.3001176161</v>
      </c>
      <c r="AH171" s="8" t="n">
        <f aca="false">AH442</f>
        <v>10635.6957050725</v>
      </c>
      <c r="AI171" s="8" t="n">
        <f aca="false">AI442</f>
        <v>10647.6037155082</v>
      </c>
      <c r="AJ171" s="8" t="n">
        <f aca="false">AJ442</f>
        <v>10657.9757730504</v>
      </c>
      <c r="AK171" s="8" t="n">
        <f aca="false">AK442</f>
        <v>10666.7622388844</v>
      </c>
      <c r="AL171" s="8" t="n">
        <f aca="false">AL442</f>
        <v>10673.9121798686</v>
      </c>
      <c r="AM171" s="8" t="n">
        <f aca="false">AM442</f>
        <v>10679.3733363789</v>
      </c>
      <c r="AN171" s="8" t="n">
        <f aca="false">AN442</f>
        <v>10683.0920893626</v>
      </c>
      <c r="AO171" s="8" t="n">
        <f aca="false">AO442</f>
        <v>10685.0134265835</v>
      </c>
      <c r="AP171" s="8" t="n">
        <f aca="false">AP442</f>
        <v>10685.0809080371</v>
      </c>
      <c r="AQ171" s="8" t="n">
        <f aca="false">AQ442</f>
        <v>10683.2366305169</v>
      </c>
      <c r="AR171" s="8" t="n">
        <f aca="false">AR442</f>
        <v>10679.4211913102</v>
      </c>
      <c r="AS171" s="8" t="n">
        <f aca="false">AS442</f>
        <v>5336.78682550075</v>
      </c>
    </row>
    <row r="172" customFormat="false" ht="14.25" hidden="false" customHeight="false" outlineLevel="0" collapsed="false">
      <c r="C172" s="1" t="s">
        <v>161</v>
      </c>
      <c r="D172" s="2" t="s">
        <v>85</v>
      </c>
      <c r="H172" s="15" t="n">
        <f aca="false">SUM(J172:AS172)</f>
        <v>238904.92885945</v>
      </c>
      <c r="J172" s="15" t="n">
        <f aca="false">J443</f>
        <v>0</v>
      </c>
      <c r="K172" s="15" t="n">
        <f aca="false">K443</f>
        <v>0</v>
      </c>
      <c r="L172" s="15" t="n">
        <f aca="false">L443</f>
        <v>0</v>
      </c>
      <c r="M172" s="15" t="n">
        <f aca="false">M443</f>
        <v>-29757.5797945206</v>
      </c>
      <c r="N172" s="15" t="n">
        <f aca="false">N443</f>
        <v>-31358</v>
      </c>
      <c r="O172" s="15" t="n">
        <f aca="false">O443</f>
        <v>-13109.228216</v>
      </c>
      <c r="P172" s="15" t="n">
        <f aca="false">P443</f>
        <v>10208.31854868</v>
      </c>
      <c r="Q172" s="15" t="n">
        <f aca="false">Q443</f>
        <v>12735.2081014703</v>
      </c>
      <c r="R172" s="15" t="n">
        <f aca="false">R443</f>
        <v>10272.2251699632</v>
      </c>
      <c r="S172" s="15" t="n">
        <f aca="false">S443</f>
        <v>10302.900354447</v>
      </c>
      <c r="T172" s="15" t="n">
        <f aca="false">T443</f>
        <v>10332.6812323462</v>
      </c>
      <c r="U172" s="15" t="n">
        <f aca="false">U443</f>
        <v>10361.5350771773</v>
      </c>
      <c r="V172" s="15" t="n">
        <f aca="false">V443</f>
        <v>10389.4282893215</v>
      </c>
      <c r="W172" s="15" t="n">
        <f aca="false">W443</f>
        <v>10416.3263742212</v>
      </c>
      <c r="X172" s="15" t="n">
        <f aca="false">X443</f>
        <v>10442.1939200382</v>
      </c>
      <c r="Y172" s="15" t="n">
        <f aca="false">Y443</f>
        <v>10466.9945747646</v>
      </c>
      <c r="Z172" s="15" t="n">
        <f aca="false">Z443</f>
        <v>10490.6910227696</v>
      </c>
      <c r="AA172" s="15" t="n">
        <f aca="false">AA443</f>
        <v>10513.2449607703</v>
      </c>
      <c r="AB172" s="15" t="n">
        <f aca="false">AB443</f>
        <v>10534.6170732123</v>
      </c>
      <c r="AC172" s="15" t="n">
        <f aca="false">AC443</f>
        <v>10554.7670070439</v>
      </c>
      <c r="AD172" s="15" t="n">
        <f aca="false">AD443</f>
        <v>10573.6533458719</v>
      </c>
      <c r="AE172" s="15" t="n">
        <f aca="false">AE443</f>
        <v>10591.2335834807</v>
      </c>
      <c r="AF172" s="15" t="n">
        <f aca="false">AF443</f>
        <v>10607.4640967019</v>
      </c>
      <c r="AG172" s="15" t="n">
        <f aca="false">AG443</f>
        <v>10622.3001176161</v>
      </c>
      <c r="AH172" s="15" t="n">
        <f aca="false">AH443</f>
        <v>10635.6957050725</v>
      </c>
      <c r="AI172" s="15" t="n">
        <f aca="false">AI443</f>
        <v>10647.6037155082</v>
      </c>
      <c r="AJ172" s="15" t="n">
        <f aca="false">AJ443</f>
        <v>10657.9757730504</v>
      </c>
      <c r="AK172" s="15" t="n">
        <f aca="false">AK443</f>
        <v>10666.7622388844</v>
      </c>
      <c r="AL172" s="15" t="n">
        <f aca="false">AL443</f>
        <v>10673.9121798686</v>
      </c>
      <c r="AM172" s="15" t="n">
        <f aca="false">AM443</f>
        <v>10679.3733363789</v>
      </c>
      <c r="AN172" s="15" t="n">
        <f aca="false">AN443</f>
        <v>10683.0920893626</v>
      </c>
      <c r="AO172" s="15" t="n">
        <f aca="false">AO443</f>
        <v>10685.0134265835</v>
      </c>
      <c r="AP172" s="15" t="n">
        <f aca="false">AP443</f>
        <v>10685.0809080371</v>
      </c>
      <c r="AQ172" s="15" t="n">
        <f aca="false">AQ443</f>
        <v>10683.2366305169</v>
      </c>
      <c r="AR172" s="15" t="n">
        <f aca="false">AR443</f>
        <v>10679.4211913102</v>
      </c>
      <c r="AS172" s="15" t="n">
        <f aca="false">AS443</f>
        <v>5336.78682550075</v>
      </c>
    </row>
    <row r="173" customFormat="false" ht="14.25" hidden="false" customHeight="false" outlineLevel="0" collapsed="false">
      <c r="C173" s="1" t="s">
        <v>162</v>
      </c>
      <c r="D173" s="2" t="s">
        <v>85</v>
      </c>
      <c r="H173" s="15" t="n">
        <f aca="false">SUM(J173:AS173)</f>
        <v>203069.189530532</v>
      </c>
      <c r="J173" s="15" t="n">
        <f aca="false">J446</f>
        <v>0</v>
      </c>
      <c r="K173" s="15" t="n">
        <f aca="false">K446</f>
        <v>0</v>
      </c>
      <c r="L173" s="15" t="n">
        <f aca="false">L446</f>
        <v>0</v>
      </c>
      <c r="M173" s="15" t="n">
        <f aca="false">M446</f>
        <v>-29757.5797945206</v>
      </c>
      <c r="N173" s="15" t="n">
        <f aca="false">N446</f>
        <v>-31358</v>
      </c>
      <c r="O173" s="15" t="n">
        <f aca="false">O446</f>
        <v>-13293.6935392507</v>
      </c>
      <c r="P173" s="15" t="n">
        <f aca="false">P446</f>
        <v>9253.07121072731</v>
      </c>
      <c r="Q173" s="15" t="n">
        <f aca="false">Q446</f>
        <v>11775.1054127908</v>
      </c>
      <c r="R173" s="15" t="n">
        <f aca="false">R446</f>
        <v>9307.391838818</v>
      </c>
      <c r="S173" s="15" t="n">
        <f aca="false">S446</f>
        <v>9333.46574562924</v>
      </c>
      <c r="T173" s="15" t="n">
        <f aca="false">T446</f>
        <v>9358.77949184362</v>
      </c>
      <c r="U173" s="15" t="n">
        <f aca="false">U446</f>
        <v>9383.30525994999</v>
      </c>
      <c r="V173" s="15" t="n">
        <f aca="false">V446</f>
        <v>9407.01449027262</v>
      </c>
      <c r="W173" s="15" t="n">
        <f aca="false">W446</f>
        <v>9429.87786243732</v>
      </c>
      <c r="X173" s="15" t="n">
        <f aca="false">X446</f>
        <v>9451.8652763818</v>
      </c>
      <c r="Y173" s="15" t="n">
        <f aca="false">Y446</f>
        <v>9472.94583289924</v>
      </c>
      <c r="Z173" s="15" t="n">
        <f aca="false">Z446</f>
        <v>9493.08781370345</v>
      </c>
      <c r="AA173" s="15" t="n">
        <f aca="false">AA446</f>
        <v>9512.25866100409</v>
      </c>
      <c r="AB173" s="15" t="n">
        <f aca="false">AB446</f>
        <v>9530.42495657974</v>
      </c>
      <c r="AC173" s="15" t="n">
        <f aca="false">AC446</f>
        <v>9547.55240033664</v>
      </c>
      <c r="AD173" s="15" t="n">
        <f aca="false">AD446</f>
        <v>9563.6057883404</v>
      </c>
      <c r="AE173" s="15" t="n">
        <f aca="false">AE446</f>
        <v>9578.5489903079</v>
      </c>
      <c r="AF173" s="15" t="n">
        <f aca="false">AF446</f>
        <v>9592.34492654589</v>
      </c>
      <c r="AG173" s="15" t="n">
        <f aca="false">AG446</f>
        <v>9604.95554432298</v>
      </c>
      <c r="AH173" s="15" t="n">
        <f aca="false">AH446</f>
        <v>9616.34179366096</v>
      </c>
      <c r="AI173" s="15" t="n">
        <f aca="false">AI446</f>
        <v>9050.463158182</v>
      </c>
      <c r="AJ173" s="15" t="n">
        <f aca="false">AJ446</f>
        <v>9059.27940709287</v>
      </c>
      <c r="AK173" s="15" t="n">
        <f aca="false">AK446</f>
        <v>9066.74790305173</v>
      </c>
      <c r="AL173" s="15" t="n">
        <f aca="false">AL446</f>
        <v>9072.8253528883</v>
      </c>
      <c r="AM173" s="15" t="n">
        <f aca="false">AM446</f>
        <v>9077.46733592206</v>
      </c>
      <c r="AN173" s="15" t="n">
        <f aca="false">AN446</f>
        <v>9080.62827595824</v>
      </c>
      <c r="AO173" s="15" t="n">
        <f aca="false">AO446</f>
        <v>9082.26141259599</v>
      </c>
      <c r="AP173" s="15" t="n">
        <f aca="false">AP446</f>
        <v>9082.31877183154</v>
      </c>
      <c r="AQ173" s="15" t="n">
        <f aca="false">AQ446</f>
        <v>9080.75113593939</v>
      </c>
      <c r="AR173" s="15" t="n">
        <f aca="false">AR446</f>
        <v>9077.50801261365</v>
      </c>
      <c r="AS173" s="15" t="n">
        <f aca="false">AS446</f>
        <v>4536.26880167564</v>
      </c>
    </row>
    <row r="174" customFormat="false" ht="14.25" hidden="false" customHeight="false" outlineLevel="0" collapsed="false">
      <c r="C174" s="1" t="s">
        <v>163</v>
      </c>
      <c r="D174" s="2" t="s">
        <v>85</v>
      </c>
      <c r="H174" s="15" t="n">
        <f aca="false">SUM(J174:AS174)</f>
        <v>185634.15526428</v>
      </c>
      <c r="J174" s="15" t="n">
        <f aca="false">J453</f>
        <v>0</v>
      </c>
      <c r="K174" s="15" t="n">
        <f aca="false">K453</f>
        <v>0</v>
      </c>
      <c r="L174" s="15" t="n">
        <f aca="false">L453</f>
        <v>0</v>
      </c>
      <c r="M174" s="15" t="n">
        <f aca="false">M453</f>
        <v>-29757.5797945206</v>
      </c>
      <c r="N174" s="15" t="n">
        <f aca="false">N453</f>
        <v>-31358</v>
      </c>
      <c r="O174" s="15" t="n">
        <f aca="false">O453</f>
        <v>32786.3420086945</v>
      </c>
      <c r="P174" s="15" t="n">
        <f aca="false">P453</f>
        <v>5159.21543953256</v>
      </c>
      <c r="Q174" s="15" t="n">
        <f aca="false">Q453</f>
        <v>7665.23373464301</v>
      </c>
      <c r="R174" s="15" t="n">
        <f aca="false">R453</f>
        <v>5180.70345836949</v>
      </c>
      <c r="S174" s="15" t="n">
        <f aca="false">S453</f>
        <v>5189.11982776499</v>
      </c>
      <c r="T174" s="15" t="n">
        <f aca="false">T453</f>
        <v>5195.89315969284</v>
      </c>
      <c r="U174" s="15" t="n">
        <f aca="false">U453</f>
        <v>5200.95149279836</v>
      </c>
      <c r="V174" s="15" t="n">
        <f aca="false">V453</f>
        <v>5204.21991637009</v>
      </c>
      <c r="W174" s="15" t="n">
        <f aca="false">W453</f>
        <v>5205.62044144634</v>
      </c>
      <c r="X174" s="15" t="n">
        <f aca="false">X453</f>
        <v>5205.07186594796</v>
      </c>
      <c r="Y174" s="15" t="n">
        <f aca="false">Y453</f>
        <v>5202.48963355039</v>
      </c>
      <c r="Z174" s="15" t="n">
        <f aca="false">Z453</f>
        <v>5197.78568599385</v>
      </c>
      <c r="AA174" s="15" t="n">
        <f aca="false">AA453</f>
        <v>5190.86830851569</v>
      </c>
      <c r="AB174" s="15" t="n">
        <f aca="false">AB453</f>
        <v>5181.64196807361</v>
      </c>
      <c r="AC174" s="15" t="n">
        <f aca="false">AC453</f>
        <v>5170.00714401188</v>
      </c>
      <c r="AD174" s="15" t="n">
        <f aca="false">AD453</f>
        <v>5155.86015080609</v>
      </c>
      <c r="AE174" s="15" t="n">
        <f aca="false">AE453</f>
        <v>9578.5489903079</v>
      </c>
      <c r="AF174" s="15" t="n">
        <f aca="false">AF453</f>
        <v>9592.34492654589</v>
      </c>
      <c r="AG174" s="15" t="n">
        <f aca="false">AG453</f>
        <v>9604.95554432298</v>
      </c>
      <c r="AH174" s="15" t="n">
        <f aca="false">AH453</f>
        <v>9616.34179366096</v>
      </c>
      <c r="AI174" s="15" t="n">
        <f aca="false">AI453</f>
        <v>9050.463158182</v>
      </c>
      <c r="AJ174" s="15" t="n">
        <f aca="false">AJ453</f>
        <v>9059.27940709287</v>
      </c>
      <c r="AK174" s="15" t="n">
        <f aca="false">AK453</f>
        <v>9066.74790305173</v>
      </c>
      <c r="AL174" s="15" t="n">
        <f aca="false">AL453</f>
        <v>9072.8253528883</v>
      </c>
      <c r="AM174" s="15" t="n">
        <f aca="false">AM453</f>
        <v>9077.46733592206</v>
      </c>
      <c r="AN174" s="15" t="n">
        <f aca="false">AN453</f>
        <v>9080.62827595824</v>
      </c>
      <c r="AO174" s="15" t="n">
        <f aca="false">AO453</f>
        <v>9082.26141259599</v>
      </c>
      <c r="AP174" s="15" t="n">
        <f aca="false">AP453</f>
        <v>9082.31877183154</v>
      </c>
      <c r="AQ174" s="15" t="n">
        <f aca="false">AQ453</f>
        <v>9080.75113593939</v>
      </c>
      <c r="AR174" s="15" t="n">
        <f aca="false">AR453</f>
        <v>9077.50801261365</v>
      </c>
      <c r="AS174" s="15" t="n">
        <f aca="false">AS453</f>
        <v>4536.26880167564</v>
      </c>
    </row>
    <row r="175" customFormat="false" ht="14.25" hidden="false" customHeight="false" outlineLevel="0" collapsed="false">
      <c r="C175" s="6" t="s">
        <v>164</v>
      </c>
      <c r="D175" s="2" t="s">
        <v>85</v>
      </c>
      <c r="J175" s="8" t="n">
        <f aca="false">SUM($J172:J172)</f>
        <v>0</v>
      </c>
      <c r="K175" s="8" t="n">
        <f aca="false">SUM($J172:K172)</f>
        <v>0</v>
      </c>
      <c r="L175" s="8" t="n">
        <f aca="false">SUM($J172:L172)</f>
        <v>0</v>
      </c>
      <c r="M175" s="8" t="n">
        <f aca="false">SUM($J172:M172)</f>
        <v>-29757.5797945206</v>
      </c>
      <c r="N175" s="8" t="n">
        <f aca="false">SUM($J172:N172)</f>
        <v>-61115.5797945206</v>
      </c>
      <c r="O175" s="8" t="n">
        <f aca="false">SUM($J172:O172)</f>
        <v>-74224.8080105205</v>
      </c>
      <c r="P175" s="8" t="n">
        <f aca="false">SUM($J172:P172)</f>
        <v>-64016.4894618405</v>
      </c>
      <c r="Q175" s="8" t="n">
        <f aca="false">SUM($J172:Q172)</f>
        <v>-51281.2813603703</v>
      </c>
      <c r="R175" s="8" t="n">
        <f aca="false">SUM($J172:R172)</f>
        <v>-41009.0561904071</v>
      </c>
      <c r="S175" s="8" t="n">
        <f aca="false">SUM($J172:S172)</f>
        <v>-30706.1558359602</v>
      </c>
      <c r="T175" s="8" t="n">
        <f aca="false">SUM($J172:T172)</f>
        <v>-20373.4746036139</v>
      </c>
      <c r="U175" s="8" t="n">
        <f aca="false">SUM($J172:U172)</f>
        <v>-10011.9395264367</v>
      </c>
      <c r="V175" s="8" t="n">
        <f aca="false">SUM($J172:V172)</f>
        <v>377.488762884879</v>
      </c>
      <c r="W175" s="8" t="n">
        <f aca="false">SUM($J172:W172)</f>
        <v>10793.8151371061</v>
      </c>
      <c r="X175" s="8" t="n">
        <f aca="false">SUM($J172:X172)</f>
        <v>21236.0090571443</v>
      </c>
      <c r="Y175" s="8" t="n">
        <f aca="false">SUM($J172:Y172)</f>
        <v>31703.0036319089</v>
      </c>
      <c r="Z175" s="8" t="n">
        <f aca="false">SUM($J172:Z172)</f>
        <v>42193.6946546785</v>
      </c>
      <c r="AA175" s="8" t="n">
        <f aca="false">SUM($J172:AA172)</f>
        <v>52706.9396154488</v>
      </c>
      <c r="AB175" s="8" t="n">
        <f aca="false">SUM($J172:AB172)</f>
        <v>63241.5566886611</v>
      </c>
      <c r="AC175" s="8" t="n">
        <f aca="false">SUM($J172:AC172)</f>
        <v>73796.323695705</v>
      </c>
      <c r="AD175" s="8" t="n">
        <f aca="false">SUM($J172:AD172)</f>
        <v>84369.9770415768</v>
      </c>
      <c r="AE175" s="8" t="n">
        <f aca="false">SUM($J172:AE172)</f>
        <v>94961.2106250575</v>
      </c>
      <c r="AF175" s="8" t="n">
        <f aca="false">SUM($J172:AF172)</f>
        <v>105568.674721759</v>
      </c>
      <c r="AG175" s="8" t="n">
        <f aca="false">SUM($J172:AG172)</f>
        <v>116190.974839375</v>
      </c>
      <c r="AH175" s="8" t="n">
        <f aca="false">SUM($J172:AH172)</f>
        <v>126826.670544448</v>
      </c>
      <c r="AI175" s="8" t="n">
        <f aca="false">SUM($J172:AI172)</f>
        <v>137474.274259956</v>
      </c>
      <c r="AJ175" s="8" t="n">
        <f aca="false">SUM($J172:AJ172)</f>
        <v>148132.250033007</v>
      </c>
      <c r="AK175" s="8" t="n">
        <f aca="false">SUM($J172:AK172)</f>
        <v>158799.012271891</v>
      </c>
      <c r="AL175" s="8" t="n">
        <f aca="false">SUM($J172:AL172)</f>
        <v>169472.92445176</v>
      </c>
      <c r="AM175" s="8" t="n">
        <f aca="false">SUM($J172:AM172)</f>
        <v>180152.297788139</v>
      </c>
      <c r="AN175" s="8" t="n">
        <f aca="false">SUM($J172:AN172)</f>
        <v>190835.389877501</v>
      </c>
      <c r="AO175" s="8" t="n">
        <f aca="false">SUM($J172:AO172)</f>
        <v>201520.403304085</v>
      </c>
      <c r="AP175" s="8" t="n">
        <f aca="false">SUM($J172:AP172)</f>
        <v>212205.484212122</v>
      </c>
      <c r="AQ175" s="8" t="n">
        <f aca="false">SUM($J172:AQ172)</f>
        <v>222888.720842639</v>
      </c>
      <c r="AR175" s="8" t="n">
        <f aca="false">SUM($J172:AR172)</f>
        <v>233568.142033949</v>
      </c>
      <c r="AS175" s="8" t="n">
        <f aca="false">SUM($J172:AS172)</f>
        <v>238904.92885945</v>
      </c>
    </row>
    <row r="177" customFormat="false" ht="14.25" hidden="false" customHeight="false" outlineLevel="0" collapsed="false">
      <c r="C177" s="42" t="s">
        <v>7</v>
      </c>
      <c r="D177" s="42"/>
      <c r="E177" s="43"/>
      <c r="F177" s="43"/>
      <c r="G177" s="43"/>
      <c r="H177" s="43"/>
      <c r="J177" s="43"/>
      <c r="K177" s="43"/>
      <c r="L177" s="43"/>
      <c r="M177" s="43"/>
      <c r="N177" s="43"/>
      <c r="O177" s="43"/>
      <c r="P177" s="43"/>
      <c r="Q177" s="43"/>
      <c r="R177" s="43"/>
      <c r="S177" s="43"/>
      <c r="T177" s="43"/>
      <c r="U177" s="43"/>
      <c r="V177" s="43"/>
      <c r="W177" s="43"/>
      <c r="X177" s="43"/>
      <c r="Y177" s="43"/>
      <c r="Z177" s="43"/>
      <c r="AA177" s="43"/>
      <c r="AB177" s="43"/>
      <c r="AC177" s="43"/>
      <c r="AD177" s="43"/>
      <c r="AE177" s="43"/>
      <c r="AF177" s="43"/>
      <c r="AG177" s="43"/>
      <c r="AH177" s="43"/>
      <c r="AI177" s="43"/>
      <c r="AJ177" s="43"/>
      <c r="AK177" s="43"/>
      <c r="AL177" s="43"/>
      <c r="AM177" s="43"/>
      <c r="AN177" s="43"/>
      <c r="AO177" s="43"/>
      <c r="AP177" s="43"/>
      <c r="AQ177" s="43"/>
      <c r="AR177" s="43"/>
      <c r="AS177" s="43"/>
    </row>
    <row r="178" customFormat="false" ht="14.25" hidden="false" customHeight="false" outlineLevel="0" collapsed="false">
      <c r="C178" s="6" t="s">
        <v>157</v>
      </c>
      <c r="D178" s="2" t="s">
        <v>85</v>
      </c>
      <c r="H178" s="8" t="n">
        <f aca="false">SUM(J178:AS178)</f>
        <v>-76800.0592465753</v>
      </c>
      <c r="J178" s="8" t="n">
        <f aca="false">J479</f>
        <v>0</v>
      </c>
      <c r="K178" s="8" t="n">
        <f aca="false">K479</f>
        <v>0</v>
      </c>
      <c r="L178" s="8" t="n">
        <f aca="false">L479</f>
        <v>0</v>
      </c>
      <c r="M178" s="8" t="n">
        <f aca="false">M479</f>
        <v>-29757.5797945206</v>
      </c>
      <c r="N178" s="8" t="n">
        <f aca="false">N479</f>
        <v>-31358</v>
      </c>
      <c r="O178" s="8" t="n">
        <f aca="false">O479</f>
        <v>-18179</v>
      </c>
      <c r="P178" s="8" t="n">
        <f aca="false">P479</f>
        <v>0</v>
      </c>
      <c r="Q178" s="8" t="n">
        <f aca="false">Q479</f>
        <v>2494.52054794521</v>
      </c>
      <c r="R178" s="8" t="n">
        <f aca="false">R479</f>
        <v>0</v>
      </c>
      <c r="S178" s="8" t="n">
        <f aca="false">S479</f>
        <v>0</v>
      </c>
      <c r="T178" s="8" t="n">
        <f aca="false">T479</f>
        <v>0</v>
      </c>
      <c r="U178" s="8" t="n">
        <f aca="false">U479</f>
        <v>0</v>
      </c>
      <c r="V178" s="8" t="n">
        <f aca="false">V479</f>
        <v>0</v>
      </c>
      <c r="W178" s="8" t="n">
        <f aca="false">W479</f>
        <v>0</v>
      </c>
      <c r="X178" s="8" t="n">
        <f aca="false">X479</f>
        <v>0</v>
      </c>
      <c r="Y178" s="8" t="n">
        <f aca="false">Y479</f>
        <v>0</v>
      </c>
      <c r="Z178" s="8" t="n">
        <f aca="false">Z479</f>
        <v>0</v>
      </c>
      <c r="AA178" s="8" t="n">
        <f aca="false">AA479</f>
        <v>0</v>
      </c>
      <c r="AB178" s="8" t="n">
        <f aca="false">AB479</f>
        <v>0</v>
      </c>
      <c r="AC178" s="8" t="n">
        <f aca="false">AC479</f>
        <v>0</v>
      </c>
      <c r="AD178" s="8" t="n">
        <f aca="false">AD479</f>
        <v>0</v>
      </c>
      <c r="AE178" s="8" t="n">
        <f aca="false">AE479</f>
        <v>0</v>
      </c>
      <c r="AF178" s="8" t="n">
        <f aca="false">AF479</f>
        <v>0</v>
      </c>
      <c r="AG178" s="8" t="n">
        <f aca="false">AG479</f>
        <v>0</v>
      </c>
      <c r="AH178" s="8" t="n">
        <f aca="false">AH479</f>
        <v>0</v>
      </c>
      <c r="AI178" s="8" t="n">
        <f aca="false">AI479</f>
        <v>0</v>
      </c>
      <c r="AJ178" s="8" t="n">
        <f aca="false">AJ479</f>
        <v>0</v>
      </c>
      <c r="AK178" s="8" t="n">
        <f aca="false">AK479</f>
        <v>0</v>
      </c>
      <c r="AL178" s="8" t="n">
        <f aca="false">AL479</f>
        <v>0</v>
      </c>
      <c r="AM178" s="8" t="n">
        <f aca="false">AM479</f>
        <v>0</v>
      </c>
      <c r="AN178" s="8" t="n">
        <f aca="false">AN479</f>
        <v>0</v>
      </c>
      <c r="AO178" s="8" t="n">
        <f aca="false">AO479</f>
        <v>0</v>
      </c>
      <c r="AP178" s="8" t="n">
        <f aca="false">AP479</f>
        <v>0</v>
      </c>
      <c r="AQ178" s="8" t="n">
        <f aca="false">AQ479</f>
        <v>0</v>
      </c>
      <c r="AR178" s="8" t="n">
        <f aca="false">AR479</f>
        <v>0</v>
      </c>
      <c r="AS178" s="8" t="n">
        <f aca="false">AS479</f>
        <v>0</v>
      </c>
    </row>
    <row r="179" customFormat="false" ht="14.25" hidden="false" customHeight="false" outlineLevel="0" collapsed="false">
      <c r="C179" s="6" t="s">
        <v>158</v>
      </c>
      <c r="D179" s="2" t="s">
        <v>85</v>
      </c>
      <c r="H179" s="8" t="n">
        <f aca="false">SUM(J179:AS179)</f>
        <v>446130.685729454</v>
      </c>
      <c r="J179" s="8" t="n">
        <f aca="false">J483</f>
        <v>0</v>
      </c>
      <c r="K179" s="8" t="n">
        <f aca="false">K483</f>
        <v>0</v>
      </c>
      <c r="L179" s="8" t="n">
        <f aca="false">L483</f>
        <v>0</v>
      </c>
      <c r="M179" s="8" t="n">
        <f aca="false">M483</f>
        <v>0</v>
      </c>
      <c r="N179" s="8" t="n">
        <f aca="false">N483</f>
        <v>0</v>
      </c>
      <c r="O179" s="8" t="n">
        <f aca="false">O483</f>
        <v>6667.92</v>
      </c>
      <c r="P179" s="8" t="n">
        <f aca="false">P483</f>
        <v>13469.1984</v>
      </c>
      <c r="Q179" s="8" t="n">
        <f aca="false">Q483</f>
        <v>13563.078712848</v>
      </c>
      <c r="R179" s="8" t="n">
        <f aca="false">R483</f>
        <v>13657.6133714766</v>
      </c>
      <c r="S179" s="8" t="n">
        <f aca="false">S483</f>
        <v>13752.8069366757</v>
      </c>
      <c r="T179" s="8" t="n">
        <f aca="false">T483</f>
        <v>13848.6640010244</v>
      </c>
      <c r="U179" s="8" t="n">
        <f aca="false">U483</f>
        <v>13945.1891891115</v>
      </c>
      <c r="V179" s="8" t="n">
        <f aca="false">V483</f>
        <v>14042.3871577596</v>
      </c>
      <c r="W179" s="8" t="n">
        <f aca="false">W483</f>
        <v>14140.2625962492</v>
      </c>
      <c r="X179" s="8" t="n">
        <f aca="false">X483</f>
        <v>14238.8202265451</v>
      </c>
      <c r="Y179" s="8" t="n">
        <f aca="false">Y483</f>
        <v>14338.0648035241</v>
      </c>
      <c r="Z179" s="8" t="n">
        <f aca="false">Z483</f>
        <v>14438.0011152046</v>
      </c>
      <c r="AA179" s="8" t="n">
        <f aca="false">AA483</f>
        <v>14538.6339829776</v>
      </c>
      <c r="AB179" s="8" t="n">
        <f aca="false">AB483</f>
        <v>14639.968261839</v>
      </c>
      <c r="AC179" s="8" t="n">
        <f aca="false">AC483</f>
        <v>14742.008840624</v>
      </c>
      <c r="AD179" s="8" t="n">
        <f aca="false">AD483</f>
        <v>14844.7606422431</v>
      </c>
      <c r="AE179" s="8" t="n">
        <f aca="false">AE483</f>
        <v>14948.2286239196</v>
      </c>
      <c r="AF179" s="8" t="n">
        <f aca="false">AF483</f>
        <v>15052.4177774283</v>
      </c>
      <c r="AG179" s="8" t="n">
        <f aca="false">AG483</f>
        <v>15157.333129337</v>
      </c>
      <c r="AH179" s="8" t="n">
        <f aca="false">AH483</f>
        <v>15262.9797412485</v>
      </c>
      <c r="AI179" s="8" t="n">
        <f aca="false">AI483</f>
        <v>15369.362710045</v>
      </c>
      <c r="AJ179" s="8" t="n">
        <f aca="false">AJ483</f>
        <v>15476.487168134</v>
      </c>
      <c r="AK179" s="8" t="n">
        <f aca="false">AK483</f>
        <v>15584.3582836959</v>
      </c>
      <c r="AL179" s="8" t="n">
        <f aca="false">AL483</f>
        <v>15692.9812609332</v>
      </c>
      <c r="AM179" s="8" t="n">
        <f aca="false">AM483</f>
        <v>15802.3613403219</v>
      </c>
      <c r="AN179" s="8" t="n">
        <f aca="false">AN483</f>
        <v>15912.503798864</v>
      </c>
      <c r="AO179" s="8" t="n">
        <f aca="false">AO483</f>
        <v>16023.4139503421</v>
      </c>
      <c r="AP179" s="8" t="n">
        <f aca="false">AP483</f>
        <v>16135.0971455759</v>
      </c>
      <c r="AQ179" s="8" t="n">
        <f aca="false">AQ483</f>
        <v>16247.5587726806</v>
      </c>
      <c r="AR179" s="8" t="n">
        <f aca="false">AR483</f>
        <v>16360.8042573262</v>
      </c>
      <c r="AS179" s="8" t="n">
        <f aca="false">AS483</f>
        <v>8237.41953149987</v>
      </c>
    </row>
    <row r="180" customFormat="false" ht="14.25" hidden="false" customHeight="false" outlineLevel="0" collapsed="false">
      <c r="C180" s="6" t="s">
        <v>159</v>
      </c>
      <c r="D180" s="2" t="s">
        <v>85</v>
      </c>
      <c r="H180" s="8" t="n">
        <f aca="false">SUM(J180:AS180)</f>
        <v>-130425.697623429</v>
      </c>
      <c r="J180" s="8" t="n">
        <f aca="false">J492</f>
        <v>0</v>
      </c>
      <c r="K180" s="8" t="n">
        <f aca="false">K492</f>
        <v>0</v>
      </c>
      <c r="L180" s="8" t="n">
        <f aca="false">L492</f>
        <v>0</v>
      </c>
      <c r="M180" s="8" t="n">
        <f aca="false">M492</f>
        <v>0</v>
      </c>
      <c r="N180" s="8" t="n">
        <f aca="false">N492</f>
        <v>0</v>
      </c>
      <c r="O180" s="8" t="n">
        <f aca="false">O492</f>
        <v>-1598.148216</v>
      </c>
      <c r="P180" s="8" t="n">
        <f aca="false">P492</f>
        <v>-3260.87985132</v>
      </c>
      <c r="Q180" s="8" t="n">
        <f aca="false">Q492</f>
        <v>-3322.39115932295</v>
      </c>
      <c r="R180" s="8" t="n">
        <f aca="false">R492</f>
        <v>-3385.38820151339</v>
      </c>
      <c r="S180" s="8" t="n">
        <f aca="false">S492</f>
        <v>-3449.90658222877</v>
      </c>
      <c r="T180" s="8" t="n">
        <f aca="false">T492</f>
        <v>-3515.98276867813</v>
      </c>
      <c r="U180" s="8" t="n">
        <f aca="false">U492</f>
        <v>-3583.65411193425</v>
      </c>
      <c r="V180" s="8" t="n">
        <f aca="false">V492</f>
        <v>-3652.95886843809</v>
      </c>
      <c r="W180" s="8" t="n">
        <f aca="false">W492</f>
        <v>-3723.93622202803</v>
      </c>
      <c r="X180" s="8" t="n">
        <f aca="false">X492</f>
        <v>-3796.62630650685</v>
      </c>
      <c r="Y180" s="8" t="n">
        <f aca="false">Y492</f>
        <v>-3871.07022875947</v>
      </c>
      <c r="Z180" s="8" t="n">
        <f aca="false">Z492</f>
        <v>-3947.31009243507</v>
      </c>
      <c r="AA180" s="8" t="n">
        <f aca="false">AA492</f>
        <v>-4025.38902220729</v>
      </c>
      <c r="AB180" s="8" t="n">
        <f aca="false">AB492</f>
        <v>-4105.3511886267</v>
      </c>
      <c r="AC180" s="8" t="n">
        <f aca="false">AC492</f>
        <v>-4187.24183358009</v>
      </c>
      <c r="AD180" s="8" t="n">
        <f aca="false">AD492</f>
        <v>-4271.10729637127</v>
      </c>
      <c r="AE180" s="8" t="n">
        <f aca="false">AE492</f>
        <v>-4356.99504043889</v>
      </c>
      <c r="AF180" s="8" t="n">
        <f aca="false">AF492</f>
        <v>-4444.95368072645</v>
      </c>
      <c r="AG180" s="8" t="n">
        <f aca="false">AG492</f>
        <v>-4535.0330117209</v>
      </c>
      <c r="AH180" s="8" t="n">
        <f aca="false">AH492</f>
        <v>-4627.28403617592</v>
      </c>
      <c r="AI180" s="8" t="n">
        <f aca="false">AI492</f>
        <v>-4721.75899453672</v>
      </c>
      <c r="AJ180" s="8" t="n">
        <f aca="false">AJ492</f>
        <v>-4818.51139508354</v>
      </c>
      <c r="AK180" s="8" t="n">
        <f aca="false">AK492</f>
        <v>-4917.59604481147</v>
      </c>
      <c r="AL180" s="8" t="n">
        <f aca="false">AL492</f>
        <v>-5019.06908106463</v>
      </c>
      <c r="AM180" s="8" t="n">
        <f aca="false">AM492</f>
        <v>-5122.98800394303</v>
      </c>
      <c r="AN180" s="8" t="n">
        <f aca="false">AN492</f>
        <v>-5229.41170950133</v>
      </c>
      <c r="AO180" s="8" t="n">
        <f aca="false">AO492</f>
        <v>-5338.40052375853</v>
      </c>
      <c r="AP180" s="8" t="n">
        <f aca="false">AP492</f>
        <v>-5450.01623753884</v>
      </c>
      <c r="AQ180" s="8" t="n">
        <f aca="false">AQ492</f>
        <v>-5564.32214216366</v>
      </c>
      <c r="AR180" s="8" t="n">
        <f aca="false">AR492</f>
        <v>-5681.38306601601</v>
      </c>
      <c r="AS180" s="8" t="n">
        <f aca="false">AS492</f>
        <v>-2900.63270599912</v>
      </c>
    </row>
    <row r="181" customFormat="false" ht="14.25" hidden="false" customHeight="false" outlineLevel="0" collapsed="false">
      <c r="C181" s="6" t="s">
        <v>160</v>
      </c>
      <c r="D181" s="2" t="s">
        <v>85</v>
      </c>
      <c r="H181" s="8" t="n">
        <f aca="false">SUM(J181:AS181)</f>
        <v>315704.988106025</v>
      </c>
      <c r="J181" s="8" t="n">
        <f aca="false">J493</f>
        <v>0</v>
      </c>
      <c r="K181" s="8" t="n">
        <f aca="false">K493</f>
        <v>0</v>
      </c>
      <c r="L181" s="8" t="n">
        <f aca="false">L493</f>
        <v>0</v>
      </c>
      <c r="M181" s="8" t="n">
        <f aca="false">M493</f>
        <v>0</v>
      </c>
      <c r="N181" s="8" t="n">
        <f aca="false">N493</f>
        <v>0</v>
      </c>
      <c r="O181" s="8" t="n">
        <f aca="false">O493</f>
        <v>5069.771784</v>
      </c>
      <c r="P181" s="8" t="n">
        <f aca="false">P493</f>
        <v>10208.31854868</v>
      </c>
      <c r="Q181" s="8" t="n">
        <f aca="false">Q493</f>
        <v>10240.6875535251</v>
      </c>
      <c r="R181" s="8" t="n">
        <f aca="false">R493</f>
        <v>10272.2251699632</v>
      </c>
      <c r="S181" s="8" t="n">
        <f aca="false">S493</f>
        <v>10302.900354447</v>
      </c>
      <c r="T181" s="8" t="n">
        <f aca="false">T493</f>
        <v>10332.6812323462</v>
      </c>
      <c r="U181" s="8" t="n">
        <f aca="false">U493</f>
        <v>10361.5350771773</v>
      </c>
      <c r="V181" s="8" t="n">
        <f aca="false">V493</f>
        <v>10389.4282893215</v>
      </c>
      <c r="W181" s="8" t="n">
        <f aca="false">W493</f>
        <v>10416.3263742212</v>
      </c>
      <c r="X181" s="8" t="n">
        <f aca="false">X493</f>
        <v>10442.1939200382</v>
      </c>
      <c r="Y181" s="8" t="n">
        <f aca="false">Y493</f>
        <v>10466.9945747646</v>
      </c>
      <c r="Z181" s="8" t="n">
        <f aca="false">Z493</f>
        <v>10490.6910227696</v>
      </c>
      <c r="AA181" s="8" t="n">
        <f aca="false">AA493</f>
        <v>10513.2449607703</v>
      </c>
      <c r="AB181" s="8" t="n">
        <f aca="false">AB493</f>
        <v>10534.6170732123</v>
      </c>
      <c r="AC181" s="8" t="n">
        <f aca="false">AC493</f>
        <v>10554.7670070439</v>
      </c>
      <c r="AD181" s="8" t="n">
        <f aca="false">AD493</f>
        <v>10573.6533458719</v>
      </c>
      <c r="AE181" s="8" t="n">
        <f aca="false">AE493</f>
        <v>10591.2335834807</v>
      </c>
      <c r="AF181" s="8" t="n">
        <f aca="false">AF493</f>
        <v>10607.4640967019</v>
      </c>
      <c r="AG181" s="8" t="n">
        <f aca="false">AG493</f>
        <v>10622.3001176161</v>
      </c>
      <c r="AH181" s="8" t="n">
        <f aca="false">AH493</f>
        <v>10635.6957050725</v>
      </c>
      <c r="AI181" s="8" t="n">
        <f aca="false">AI493</f>
        <v>10647.6037155082</v>
      </c>
      <c r="AJ181" s="8" t="n">
        <f aca="false">AJ493</f>
        <v>10657.9757730504</v>
      </c>
      <c r="AK181" s="8" t="n">
        <f aca="false">AK493</f>
        <v>10666.7622388844</v>
      </c>
      <c r="AL181" s="8" t="n">
        <f aca="false">AL493</f>
        <v>10673.9121798686</v>
      </c>
      <c r="AM181" s="8" t="n">
        <f aca="false">AM493</f>
        <v>10679.3733363789</v>
      </c>
      <c r="AN181" s="8" t="n">
        <f aca="false">AN493</f>
        <v>10683.0920893626</v>
      </c>
      <c r="AO181" s="8" t="n">
        <f aca="false">AO493</f>
        <v>10685.0134265835</v>
      </c>
      <c r="AP181" s="8" t="n">
        <f aca="false">AP493</f>
        <v>10685.0809080371</v>
      </c>
      <c r="AQ181" s="8" t="n">
        <f aca="false">AQ493</f>
        <v>10683.2366305169</v>
      </c>
      <c r="AR181" s="8" t="n">
        <f aca="false">AR493</f>
        <v>10679.4211913102</v>
      </c>
      <c r="AS181" s="8" t="n">
        <f aca="false">AS493</f>
        <v>5336.78682550075</v>
      </c>
    </row>
    <row r="182" customFormat="false" ht="14.25" hidden="false" customHeight="false" outlineLevel="0" collapsed="false">
      <c r="C182" s="1" t="s">
        <v>161</v>
      </c>
      <c r="D182" s="2" t="s">
        <v>85</v>
      </c>
      <c r="H182" s="15" t="n">
        <f aca="false">SUM(J182:AS182)</f>
        <v>238904.92885945</v>
      </c>
      <c r="J182" s="15" t="n">
        <f aca="false">J494</f>
        <v>0</v>
      </c>
      <c r="K182" s="15" t="n">
        <f aca="false">K494</f>
        <v>0</v>
      </c>
      <c r="L182" s="15" t="n">
        <f aca="false">L494</f>
        <v>0</v>
      </c>
      <c r="M182" s="15" t="n">
        <f aca="false">M494</f>
        <v>-29757.5797945206</v>
      </c>
      <c r="N182" s="15" t="n">
        <f aca="false">N494</f>
        <v>-31358</v>
      </c>
      <c r="O182" s="15" t="n">
        <f aca="false">O494</f>
        <v>-13109.228216</v>
      </c>
      <c r="P182" s="15" t="n">
        <f aca="false">P494</f>
        <v>10208.31854868</v>
      </c>
      <c r="Q182" s="15" t="n">
        <f aca="false">Q494</f>
        <v>12735.2081014703</v>
      </c>
      <c r="R182" s="15" t="n">
        <f aca="false">R494</f>
        <v>10272.2251699632</v>
      </c>
      <c r="S182" s="15" t="n">
        <f aca="false">S494</f>
        <v>10302.900354447</v>
      </c>
      <c r="T182" s="15" t="n">
        <f aca="false">T494</f>
        <v>10332.6812323462</v>
      </c>
      <c r="U182" s="15" t="n">
        <f aca="false">U494</f>
        <v>10361.5350771773</v>
      </c>
      <c r="V182" s="15" t="n">
        <f aca="false">V494</f>
        <v>10389.4282893215</v>
      </c>
      <c r="W182" s="15" t="n">
        <f aca="false">W494</f>
        <v>10416.3263742212</v>
      </c>
      <c r="X182" s="15" t="n">
        <f aca="false">X494</f>
        <v>10442.1939200382</v>
      </c>
      <c r="Y182" s="15" t="n">
        <f aca="false">Y494</f>
        <v>10466.9945747646</v>
      </c>
      <c r="Z182" s="15" t="n">
        <f aca="false">Z494</f>
        <v>10490.6910227696</v>
      </c>
      <c r="AA182" s="15" t="n">
        <f aca="false">AA494</f>
        <v>10513.2449607703</v>
      </c>
      <c r="AB182" s="15" t="n">
        <f aca="false">AB494</f>
        <v>10534.6170732123</v>
      </c>
      <c r="AC182" s="15" t="n">
        <f aca="false">AC494</f>
        <v>10554.7670070439</v>
      </c>
      <c r="AD182" s="15" t="n">
        <f aca="false">AD494</f>
        <v>10573.6533458719</v>
      </c>
      <c r="AE182" s="15" t="n">
        <f aca="false">AE494</f>
        <v>10591.2335834807</v>
      </c>
      <c r="AF182" s="15" t="n">
        <f aca="false">AF494</f>
        <v>10607.4640967019</v>
      </c>
      <c r="AG182" s="15" t="n">
        <f aca="false">AG494</f>
        <v>10622.3001176161</v>
      </c>
      <c r="AH182" s="15" t="n">
        <f aca="false">AH494</f>
        <v>10635.6957050725</v>
      </c>
      <c r="AI182" s="15" t="n">
        <f aca="false">AI494</f>
        <v>10647.6037155082</v>
      </c>
      <c r="AJ182" s="15" t="n">
        <f aca="false">AJ494</f>
        <v>10657.9757730504</v>
      </c>
      <c r="AK182" s="15" t="n">
        <f aca="false">AK494</f>
        <v>10666.7622388844</v>
      </c>
      <c r="AL182" s="15" t="n">
        <f aca="false">AL494</f>
        <v>10673.9121798686</v>
      </c>
      <c r="AM182" s="15" t="n">
        <f aca="false">AM494</f>
        <v>10679.3733363789</v>
      </c>
      <c r="AN182" s="15" t="n">
        <f aca="false">AN494</f>
        <v>10683.0920893626</v>
      </c>
      <c r="AO182" s="15" t="n">
        <f aca="false">AO494</f>
        <v>10685.0134265835</v>
      </c>
      <c r="AP182" s="15" t="n">
        <f aca="false">AP494</f>
        <v>10685.0809080371</v>
      </c>
      <c r="AQ182" s="15" t="n">
        <f aca="false">AQ494</f>
        <v>10683.2366305169</v>
      </c>
      <c r="AR182" s="15" t="n">
        <f aca="false">AR494</f>
        <v>10679.4211913102</v>
      </c>
      <c r="AS182" s="15" t="n">
        <f aca="false">AS494</f>
        <v>5336.78682550075</v>
      </c>
    </row>
    <row r="183" customFormat="false" ht="14.25" hidden="false" customHeight="false" outlineLevel="0" collapsed="false">
      <c r="C183" s="1" t="s">
        <v>162</v>
      </c>
      <c r="D183" s="2" t="s">
        <v>85</v>
      </c>
      <c r="H183" s="15" t="n">
        <f aca="false">SUM(J183:AS183)</f>
        <v>203069.189530532</v>
      </c>
      <c r="J183" s="15" t="n">
        <f aca="false">J497</f>
        <v>0</v>
      </c>
      <c r="K183" s="15" t="n">
        <f aca="false">K497</f>
        <v>0</v>
      </c>
      <c r="L183" s="15" t="n">
        <f aca="false">L497</f>
        <v>0</v>
      </c>
      <c r="M183" s="15" t="n">
        <f aca="false">M497</f>
        <v>-29757.5797945206</v>
      </c>
      <c r="N183" s="15" t="n">
        <f aca="false">N497</f>
        <v>-31358</v>
      </c>
      <c r="O183" s="15" t="n">
        <f aca="false">O497</f>
        <v>-13293.6935392507</v>
      </c>
      <c r="P183" s="15" t="n">
        <f aca="false">P497</f>
        <v>9253.07121072731</v>
      </c>
      <c r="Q183" s="15" t="n">
        <f aca="false">Q497</f>
        <v>11775.1054127908</v>
      </c>
      <c r="R183" s="15" t="n">
        <f aca="false">R497</f>
        <v>9307.391838818</v>
      </c>
      <c r="S183" s="15" t="n">
        <f aca="false">S497</f>
        <v>9333.46574562924</v>
      </c>
      <c r="T183" s="15" t="n">
        <f aca="false">T497</f>
        <v>9358.77949184362</v>
      </c>
      <c r="U183" s="15" t="n">
        <f aca="false">U497</f>
        <v>9383.30525994999</v>
      </c>
      <c r="V183" s="15" t="n">
        <f aca="false">V497</f>
        <v>9407.01449027262</v>
      </c>
      <c r="W183" s="15" t="n">
        <f aca="false">W497</f>
        <v>9429.87786243732</v>
      </c>
      <c r="X183" s="15" t="n">
        <f aca="false">X497</f>
        <v>9451.8652763818</v>
      </c>
      <c r="Y183" s="15" t="n">
        <f aca="false">Y497</f>
        <v>9472.94583289924</v>
      </c>
      <c r="Z183" s="15" t="n">
        <f aca="false">Z497</f>
        <v>9493.08781370345</v>
      </c>
      <c r="AA183" s="15" t="n">
        <f aca="false">AA497</f>
        <v>9512.25866100409</v>
      </c>
      <c r="AB183" s="15" t="n">
        <f aca="false">AB497</f>
        <v>9530.42495657974</v>
      </c>
      <c r="AC183" s="15" t="n">
        <f aca="false">AC497</f>
        <v>9547.55240033664</v>
      </c>
      <c r="AD183" s="15" t="n">
        <f aca="false">AD497</f>
        <v>9563.6057883404</v>
      </c>
      <c r="AE183" s="15" t="n">
        <f aca="false">AE497</f>
        <v>9578.5489903079</v>
      </c>
      <c r="AF183" s="15" t="n">
        <f aca="false">AF497</f>
        <v>9592.34492654589</v>
      </c>
      <c r="AG183" s="15" t="n">
        <f aca="false">AG497</f>
        <v>9604.95554432298</v>
      </c>
      <c r="AH183" s="15" t="n">
        <f aca="false">AH497</f>
        <v>9616.34179366096</v>
      </c>
      <c r="AI183" s="15" t="n">
        <f aca="false">AI497</f>
        <v>9050.463158182</v>
      </c>
      <c r="AJ183" s="15" t="n">
        <f aca="false">AJ497</f>
        <v>9059.27940709287</v>
      </c>
      <c r="AK183" s="15" t="n">
        <f aca="false">AK497</f>
        <v>9066.74790305173</v>
      </c>
      <c r="AL183" s="15" t="n">
        <f aca="false">AL497</f>
        <v>9072.8253528883</v>
      </c>
      <c r="AM183" s="15" t="n">
        <f aca="false">AM497</f>
        <v>9077.46733592206</v>
      </c>
      <c r="AN183" s="15" t="n">
        <f aca="false">AN497</f>
        <v>9080.62827595824</v>
      </c>
      <c r="AO183" s="15" t="n">
        <f aca="false">AO497</f>
        <v>9082.26141259599</v>
      </c>
      <c r="AP183" s="15" t="n">
        <f aca="false">AP497</f>
        <v>9082.31877183154</v>
      </c>
      <c r="AQ183" s="15" t="n">
        <f aca="false">AQ497</f>
        <v>9080.75113593939</v>
      </c>
      <c r="AR183" s="15" t="n">
        <f aca="false">AR497</f>
        <v>9077.50801261365</v>
      </c>
      <c r="AS183" s="15" t="n">
        <f aca="false">AS497</f>
        <v>4536.26880167564</v>
      </c>
    </row>
    <row r="184" customFormat="false" ht="14.25" hidden="false" customHeight="false" outlineLevel="0" collapsed="false">
      <c r="C184" s="1" t="s">
        <v>163</v>
      </c>
      <c r="D184" s="2" t="s">
        <v>85</v>
      </c>
      <c r="H184" s="15" t="n">
        <f aca="false">SUM(J184:AS184)</f>
        <v>185634.15526428</v>
      </c>
      <c r="J184" s="15" t="n">
        <f aca="false">J504</f>
        <v>0</v>
      </c>
      <c r="K184" s="15" t="n">
        <f aca="false">K504</f>
        <v>0</v>
      </c>
      <c r="L184" s="15" t="n">
        <f aca="false">L504</f>
        <v>0</v>
      </c>
      <c r="M184" s="15" t="n">
        <f aca="false">M504</f>
        <v>-29757.5797945206</v>
      </c>
      <c r="N184" s="15" t="n">
        <f aca="false">N504</f>
        <v>-31358</v>
      </c>
      <c r="O184" s="15" t="n">
        <f aca="false">O504</f>
        <v>32786.3420086945</v>
      </c>
      <c r="P184" s="15" t="n">
        <f aca="false">P504</f>
        <v>5159.21543953256</v>
      </c>
      <c r="Q184" s="15" t="n">
        <f aca="false">Q504</f>
        <v>7665.23373464301</v>
      </c>
      <c r="R184" s="15" t="n">
        <f aca="false">R504</f>
        <v>5180.70345836949</v>
      </c>
      <c r="S184" s="15" t="n">
        <f aca="false">S504</f>
        <v>5189.11982776499</v>
      </c>
      <c r="T184" s="15" t="n">
        <f aca="false">T504</f>
        <v>5195.89315969284</v>
      </c>
      <c r="U184" s="15" t="n">
        <f aca="false">U504</f>
        <v>5200.95149279836</v>
      </c>
      <c r="V184" s="15" t="n">
        <f aca="false">V504</f>
        <v>5204.21991637009</v>
      </c>
      <c r="W184" s="15" t="n">
        <f aca="false">W504</f>
        <v>5205.62044144634</v>
      </c>
      <c r="X184" s="15" t="n">
        <f aca="false">X504</f>
        <v>5205.07186594796</v>
      </c>
      <c r="Y184" s="15" t="n">
        <f aca="false">Y504</f>
        <v>5202.48963355039</v>
      </c>
      <c r="Z184" s="15" t="n">
        <f aca="false">Z504</f>
        <v>5197.78568599385</v>
      </c>
      <c r="AA184" s="15" t="n">
        <f aca="false">AA504</f>
        <v>5190.86830851569</v>
      </c>
      <c r="AB184" s="15" t="n">
        <f aca="false">AB504</f>
        <v>5181.64196807361</v>
      </c>
      <c r="AC184" s="15" t="n">
        <f aca="false">AC504</f>
        <v>5170.00714401188</v>
      </c>
      <c r="AD184" s="15" t="n">
        <f aca="false">AD504</f>
        <v>5155.86015080609</v>
      </c>
      <c r="AE184" s="15" t="n">
        <f aca="false">AE504</f>
        <v>9578.5489903079</v>
      </c>
      <c r="AF184" s="15" t="n">
        <f aca="false">AF504</f>
        <v>9592.34492654589</v>
      </c>
      <c r="AG184" s="15" t="n">
        <f aca="false">AG504</f>
        <v>9604.95554432298</v>
      </c>
      <c r="AH184" s="15" t="n">
        <f aca="false">AH504</f>
        <v>9616.34179366096</v>
      </c>
      <c r="AI184" s="15" t="n">
        <f aca="false">AI504</f>
        <v>9050.463158182</v>
      </c>
      <c r="AJ184" s="15" t="n">
        <f aca="false">AJ504</f>
        <v>9059.27940709287</v>
      </c>
      <c r="AK184" s="15" t="n">
        <f aca="false">AK504</f>
        <v>9066.74790305173</v>
      </c>
      <c r="AL184" s="15" t="n">
        <f aca="false">AL504</f>
        <v>9072.8253528883</v>
      </c>
      <c r="AM184" s="15" t="n">
        <f aca="false">AM504</f>
        <v>9077.46733592206</v>
      </c>
      <c r="AN184" s="15" t="n">
        <f aca="false">AN504</f>
        <v>9080.62827595824</v>
      </c>
      <c r="AO184" s="15" t="n">
        <f aca="false">AO504</f>
        <v>9082.26141259599</v>
      </c>
      <c r="AP184" s="15" t="n">
        <f aca="false">AP504</f>
        <v>9082.31877183154</v>
      </c>
      <c r="AQ184" s="15" t="n">
        <f aca="false">AQ504</f>
        <v>9080.75113593939</v>
      </c>
      <c r="AR184" s="15" t="n">
        <f aca="false">AR504</f>
        <v>9077.50801261365</v>
      </c>
      <c r="AS184" s="15" t="n">
        <f aca="false">AS504</f>
        <v>4536.26880167564</v>
      </c>
    </row>
    <row r="185" customFormat="false" ht="14.25" hidden="false" customHeight="false" outlineLevel="0" collapsed="false">
      <c r="C185" s="6" t="s">
        <v>164</v>
      </c>
      <c r="D185" s="2" t="s">
        <v>85</v>
      </c>
      <c r="J185" s="8" t="n">
        <f aca="false">SUM($J182:J182)</f>
        <v>0</v>
      </c>
      <c r="K185" s="8" t="n">
        <f aca="false">SUM($J182:K182)</f>
        <v>0</v>
      </c>
      <c r="L185" s="8" t="n">
        <f aca="false">SUM($J182:L182)</f>
        <v>0</v>
      </c>
      <c r="M185" s="8" t="n">
        <f aca="false">SUM($J182:M182)</f>
        <v>-29757.5797945206</v>
      </c>
      <c r="N185" s="8" t="n">
        <f aca="false">SUM($J182:N182)</f>
        <v>-61115.5797945206</v>
      </c>
      <c r="O185" s="8" t="n">
        <f aca="false">SUM($J182:O182)</f>
        <v>-74224.8080105205</v>
      </c>
      <c r="P185" s="8" t="n">
        <f aca="false">SUM($J182:P182)</f>
        <v>-64016.4894618405</v>
      </c>
      <c r="Q185" s="8" t="n">
        <f aca="false">SUM($J182:Q182)</f>
        <v>-51281.2813603703</v>
      </c>
      <c r="R185" s="8" t="n">
        <f aca="false">SUM($J182:R182)</f>
        <v>-41009.0561904071</v>
      </c>
      <c r="S185" s="8" t="n">
        <f aca="false">SUM($J182:S182)</f>
        <v>-30706.1558359602</v>
      </c>
      <c r="T185" s="8" t="n">
        <f aca="false">SUM($J182:T182)</f>
        <v>-20373.4746036139</v>
      </c>
      <c r="U185" s="8" t="n">
        <f aca="false">SUM($J182:U182)</f>
        <v>-10011.9395264367</v>
      </c>
      <c r="V185" s="8" t="n">
        <f aca="false">SUM($J182:V182)</f>
        <v>377.488762884879</v>
      </c>
      <c r="W185" s="8" t="n">
        <f aca="false">SUM($J182:W182)</f>
        <v>10793.8151371061</v>
      </c>
      <c r="X185" s="8" t="n">
        <f aca="false">SUM($J182:X182)</f>
        <v>21236.0090571443</v>
      </c>
      <c r="Y185" s="8" t="n">
        <f aca="false">SUM($J182:Y182)</f>
        <v>31703.0036319089</v>
      </c>
      <c r="Z185" s="8" t="n">
        <f aca="false">SUM($J182:Z182)</f>
        <v>42193.6946546785</v>
      </c>
      <c r="AA185" s="8" t="n">
        <f aca="false">SUM($J182:AA182)</f>
        <v>52706.9396154488</v>
      </c>
      <c r="AB185" s="8" t="n">
        <f aca="false">SUM($J182:AB182)</f>
        <v>63241.5566886611</v>
      </c>
      <c r="AC185" s="8" t="n">
        <f aca="false">SUM($J182:AC182)</f>
        <v>73796.323695705</v>
      </c>
      <c r="AD185" s="8" t="n">
        <f aca="false">SUM($J182:AD182)</f>
        <v>84369.9770415768</v>
      </c>
      <c r="AE185" s="8" t="n">
        <f aca="false">SUM($J182:AE182)</f>
        <v>94961.2106250575</v>
      </c>
      <c r="AF185" s="8" t="n">
        <f aca="false">SUM($J182:AF182)</f>
        <v>105568.674721759</v>
      </c>
      <c r="AG185" s="8" t="n">
        <f aca="false">SUM($J182:AG182)</f>
        <v>116190.974839375</v>
      </c>
      <c r="AH185" s="8" t="n">
        <f aca="false">SUM($J182:AH182)</f>
        <v>126826.670544448</v>
      </c>
      <c r="AI185" s="8" t="n">
        <f aca="false">SUM($J182:AI182)</f>
        <v>137474.274259956</v>
      </c>
      <c r="AJ185" s="8" t="n">
        <f aca="false">SUM($J182:AJ182)</f>
        <v>148132.250033007</v>
      </c>
      <c r="AK185" s="8" t="n">
        <f aca="false">SUM($J182:AK182)</f>
        <v>158799.012271891</v>
      </c>
      <c r="AL185" s="8" t="n">
        <f aca="false">SUM($J182:AL182)</f>
        <v>169472.92445176</v>
      </c>
      <c r="AM185" s="8" t="n">
        <f aca="false">SUM($J182:AM182)</f>
        <v>180152.297788139</v>
      </c>
      <c r="AN185" s="8" t="n">
        <f aca="false">SUM($J182:AN182)</f>
        <v>190835.389877501</v>
      </c>
      <c r="AO185" s="8" t="n">
        <f aca="false">SUM($J182:AO182)</f>
        <v>201520.403304085</v>
      </c>
      <c r="AP185" s="8" t="n">
        <f aca="false">SUM($J182:AP182)</f>
        <v>212205.484212122</v>
      </c>
      <c r="AQ185" s="8" t="n">
        <f aca="false">SUM($J182:AQ182)</f>
        <v>222888.720842639</v>
      </c>
      <c r="AR185" s="8" t="n">
        <f aca="false">SUM($J182:AR182)</f>
        <v>233568.142033949</v>
      </c>
      <c r="AS185" s="8" t="n">
        <f aca="false">SUM($J182:AS182)</f>
        <v>238904.92885945</v>
      </c>
    </row>
    <row r="187" customFormat="false" ht="14.25" hidden="false" customHeight="false" outlineLevel="0" collapsed="false">
      <c r="B187" s="4" t="s">
        <v>3</v>
      </c>
      <c r="C187" s="4" t="s">
        <v>165</v>
      </c>
      <c r="D187" s="4"/>
      <c r="E187" s="5" t="s">
        <v>5</v>
      </c>
      <c r="F187" s="5" t="s">
        <v>6</v>
      </c>
      <c r="G187" s="5" t="s">
        <v>7</v>
      </c>
      <c r="H187" s="5" t="s">
        <v>8</v>
      </c>
    </row>
    <row r="189" customFormat="false" ht="14.25" hidden="false" customHeight="false" outlineLevel="0" collapsed="false">
      <c r="B189" s="4" t="s">
        <v>3</v>
      </c>
      <c r="C189" s="4" t="s">
        <v>166</v>
      </c>
      <c r="D189" s="4"/>
      <c r="E189" s="5" t="s">
        <v>5</v>
      </c>
      <c r="F189" s="5" t="s">
        <v>6</v>
      </c>
      <c r="G189" s="5" t="s">
        <v>7</v>
      </c>
      <c r="H189" s="5" t="s">
        <v>8</v>
      </c>
    </row>
    <row r="190" customFormat="false" ht="14.25" hidden="false" customHeight="false" outlineLevel="0" collapsed="false">
      <c r="C190" s="55" t="s">
        <v>167</v>
      </c>
      <c r="D190" s="56" t="s">
        <v>168</v>
      </c>
      <c r="E190" s="57" t="n">
        <f aca="false">MIN(Freeze_Date,Sale_Date)</f>
        <v>47299</v>
      </c>
      <c r="F190" s="57" t="n">
        <f aca="false">MIN(Freeze_Date,Sale_Date)</f>
        <v>47299</v>
      </c>
      <c r="G190" s="57" t="n">
        <f aca="false">MIN(Freeze_Date,Sale_Date)</f>
        <v>47299</v>
      </c>
      <c r="H190" s="58"/>
    </row>
    <row r="191" customFormat="false" ht="14.25" hidden="false" customHeight="false" outlineLevel="0" collapsed="false">
      <c r="C191" s="55" t="s">
        <v>169</v>
      </c>
      <c r="D191" s="56" t="s">
        <v>3</v>
      </c>
      <c r="E191" s="59" t="n">
        <f aca="false">1+Rate_Cash*(E190-DATE(YEAR(E190),1,1)+1)/Days_In_Year</f>
        <v>1.05950684931507</v>
      </c>
      <c r="F191" s="59" t="n">
        <f aca="false">1+Rate_Cash*(F190-DATE(YEAR(F190),1,1)+1)/Days_In_Year</f>
        <v>1.05950684931507</v>
      </c>
      <c r="G191" s="59" t="n">
        <f aca="false">1+Rate_Cash*(G190-DATE(YEAR(G190),1,1)+1)/Days_In_Year</f>
        <v>1.05950684931507</v>
      </c>
      <c r="H191" s="58"/>
    </row>
    <row r="192" customFormat="false" ht="14.25" hidden="false" customHeight="false" outlineLevel="0" collapsed="false">
      <c r="C192" s="55" t="s">
        <v>170</v>
      </c>
      <c r="D192" s="56" t="s">
        <v>3</v>
      </c>
      <c r="E192" s="59" t="n">
        <f aca="false">1+Rate_Devex*(E190-DATE(YEAR(E190),1,1)+1)/Days_In_Year</f>
        <v>1.09917808219178</v>
      </c>
      <c r="F192" s="59" t="n">
        <f aca="false">1+Rate_Devex*(F190-DATE(YEAR(F190),1,1)+1)/Days_In_Year</f>
        <v>1.09917808219178</v>
      </c>
      <c r="G192" s="59" t="n">
        <f aca="false">1+Rate_Devex*(G190-DATE(YEAR(G190),1,1)+1)/Days_In_Year</f>
        <v>1.09917808219178</v>
      </c>
      <c r="H192" s="58"/>
    </row>
    <row r="193" customFormat="false" ht="14.25" hidden="false" customHeight="false" outlineLevel="0" collapsed="false">
      <c r="C193" s="55" t="s">
        <v>171</v>
      </c>
      <c r="D193" s="56" t="s">
        <v>172</v>
      </c>
      <c r="E193" s="60" t="n">
        <f aca="false">DATE(YEAR(Inputs!E$21)+1,1,1)-Inputs!E$21</f>
        <v>63</v>
      </c>
      <c r="F193" s="60" t="n">
        <f aca="false">DATE(YEAR(Inputs!F$21)+1,1,1)-Inputs!F$21</f>
        <v>63</v>
      </c>
      <c r="G193" s="60" t="n">
        <f aca="false">DATE(YEAR(Inputs!G$21)+1,1,1)-Inputs!G$21</f>
        <v>63</v>
      </c>
      <c r="H193" s="58"/>
    </row>
    <row r="194" customFormat="false" ht="14.25" hidden="false" customHeight="false" outlineLevel="0" collapsed="false">
      <c r="C194" s="55" t="s">
        <v>173</v>
      </c>
      <c r="D194" s="56" t="s">
        <v>3</v>
      </c>
      <c r="E194" s="59" t="n">
        <f aca="false">(1+Rate_Cash*E193/Days_In_Year)*(1+Rate_Cash)^(YEAR(E190)-YEAR(Inputs!E$21)-1)*E191</f>
        <v>1.35657301688182</v>
      </c>
      <c r="F194" s="59" t="n">
        <f aca="false">(1+Rate_Cash*F193/Days_In_Year)*(1+Rate_Cash)^(YEAR(F190)-YEAR(Inputs!F$21)-1)*F191</f>
        <v>1.35657301688182</v>
      </c>
      <c r="G194" s="59" t="n">
        <f aca="false">(1+Rate_Cash*G193/Days_In_Year)*(1+Rate_Cash)^(YEAR(G190)-YEAR(Inputs!G$21)-1)*G191</f>
        <v>1.35657301688182</v>
      </c>
      <c r="H194" s="58"/>
    </row>
    <row r="195" customFormat="false" ht="14.25" hidden="false" customHeight="false" outlineLevel="0" collapsed="false">
      <c r="C195" s="55" t="s">
        <v>174</v>
      </c>
      <c r="D195" s="56" t="s">
        <v>172</v>
      </c>
      <c r="E195" s="60" t="n">
        <f aca="false">DATE(YEAR(Inputs!E$22)+1,1,1)-Inputs!E$22</f>
        <v>351</v>
      </c>
      <c r="F195" s="60" t="n">
        <f aca="false">DATE(YEAR(Inputs!F$22)+1,1,1)-Inputs!F$22</f>
        <v>351</v>
      </c>
      <c r="G195" s="60" t="n">
        <f aca="false">DATE(YEAR(Inputs!G$22)+1,1,1)-Inputs!G$22</f>
        <v>351</v>
      </c>
      <c r="H195" s="58"/>
    </row>
    <row r="196" customFormat="false" ht="14.25" hidden="false" customHeight="false" outlineLevel="0" collapsed="false">
      <c r="C196" s="55" t="s">
        <v>175</v>
      </c>
      <c r="D196" s="56" t="s">
        <v>3</v>
      </c>
      <c r="E196" s="59" t="n">
        <f aca="false">(1+Rate_Cash*E195/Days_In_Year)*(1+Rate_Cash)^(YEAR(E190)-YEAR(Inputs!E$22)-1)*E191</f>
        <v>1.32358356140364</v>
      </c>
      <c r="F196" s="59" t="n">
        <f aca="false">(1+Rate_Cash*F195/Days_In_Year)*(1+Rate_Cash)^(YEAR(F190)-YEAR(Inputs!F$22)-1)*F191</f>
        <v>1.32358356140364</v>
      </c>
      <c r="G196" s="59" t="n">
        <f aca="false">(1+Rate_Cash*G195/Days_In_Year)*(1+Rate_Cash)^(YEAR(G190)-YEAR(Inputs!G$22)-1)*G191</f>
        <v>1.32358356140364</v>
      </c>
      <c r="H196" s="58"/>
    </row>
    <row r="197" customFormat="false" ht="14.25" hidden="false" customHeight="false" outlineLevel="0" collapsed="false">
      <c r="C197" s="55" t="s">
        <v>176</v>
      </c>
      <c r="D197" s="56" t="s">
        <v>172</v>
      </c>
      <c r="E197" s="60" t="n">
        <f aca="false">DATE(YEAR(Inputs!E$23)+1,1,1)-Inputs!E$23</f>
        <v>351</v>
      </c>
      <c r="F197" s="60" t="n">
        <f aca="false">DATE(YEAR(Inputs!F$23)+1,1,1)-Inputs!F$23</f>
        <v>351</v>
      </c>
      <c r="G197" s="60" t="n">
        <f aca="false">DATE(YEAR(Inputs!G$23)+1,1,1)-Inputs!G$23</f>
        <v>351</v>
      </c>
      <c r="H197" s="58"/>
    </row>
    <row r="198" customFormat="false" ht="14.25" hidden="false" customHeight="false" outlineLevel="0" collapsed="false">
      <c r="C198" s="55" t="s">
        <v>177</v>
      </c>
      <c r="D198" s="56" t="s">
        <v>3</v>
      </c>
      <c r="E198" s="59" t="n">
        <f aca="false">(1+Rate_Cash*E197/Days_In_Year)*(1+Rate_Cash)^(YEAR(E190)-YEAR(Inputs!E$23)-1)*E191</f>
        <v>1.32358356140364</v>
      </c>
      <c r="F198" s="59" t="n">
        <f aca="false">(1+Rate_Cash*F197/Days_In_Year)*(1+Rate_Cash)^(YEAR(F190)-YEAR(Inputs!F$23)-1)*F191</f>
        <v>1.32358356140364</v>
      </c>
      <c r="G198" s="59" t="n">
        <f aca="false">(1+Rate_Cash*G197/Days_In_Year)*(1+Rate_Cash)^(YEAR(G190)-YEAR(Inputs!G$23)-1)*G191</f>
        <v>1.32358356140364</v>
      </c>
      <c r="H198" s="58"/>
    </row>
    <row r="199" customFormat="false" ht="14.25" hidden="false" customHeight="false" outlineLevel="0" collapsed="false">
      <c r="C199" s="55" t="s">
        <v>178</v>
      </c>
      <c r="D199" s="56" t="s">
        <v>172</v>
      </c>
      <c r="E199" s="60" t="n">
        <f aca="false">DATE(YEAR(Inputs!E$24)+1,1,1)-Inputs!E$24</f>
        <v>92</v>
      </c>
      <c r="F199" s="60" t="n">
        <f aca="false">DATE(YEAR(Inputs!F$24)+1,1,1)-Inputs!F$24</f>
        <v>92</v>
      </c>
      <c r="G199" s="60" t="n">
        <f aca="false">DATE(YEAR(Inputs!G$24)+1,1,1)-Inputs!G$24</f>
        <v>92</v>
      </c>
      <c r="H199" s="58"/>
    </row>
    <row r="200" customFormat="false" ht="14.25" hidden="false" customHeight="false" outlineLevel="0" collapsed="false">
      <c r="C200" s="55" t="s">
        <v>179</v>
      </c>
      <c r="D200" s="56" t="s">
        <v>3</v>
      </c>
      <c r="E200" s="59" t="n">
        <f aca="false">(1+Rate_Cash*E199/Days_In_Year)*(1+Rate_Cash)^(YEAR(E190)-YEAR(Inputs!E$24)-1)*E191</f>
        <v>1.09155330305874</v>
      </c>
      <c r="F200" s="59" t="n">
        <f aca="false">(1+Rate_Cash*F199/Days_In_Year)*(1+Rate_Cash)^(YEAR(F190)-YEAR(Inputs!F$24)-1)*F191</f>
        <v>1.09155330305874</v>
      </c>
      <c r="G200" s="59" t="n">
        <f aca="false">(1+Rate_Cash*G199/Days_In_Year)*(1+Rate_Cash)^(YEAR(G190)-YEAR(Inputs!G$24)-1)*G191</f>
        <v>1.09155330305874</v>
      </c>
      <c r="H200" s="58"/>
    </row>
    <row r="201" customFormat="false" ht="14.25" hidden="false" customHeight="false" outlineLevel="0" collapsed="false">
      <c r="C201" s="55" t="s">
        <v>180</v>
      </c>
      <c r="D201" s="56" t="s">
        <v>172</v>
      </c>
      <c r="E201" s="60" t="n">
        <f aca="false">DATE(YEAR($J$56)+1,1,1)-$J$56</f>
        <v>241.823134179002</v>
      </c>
      <c r="F201" s="60" t="n">
        <f aca="false">DATE(YEAR($J$56)+1,1,1)-$J$56</f>
        <v>241.823134179002</v>
      </c>
      <c r="G201" s="60" t="n">
        <f aca="false">DATE(YEAR($J$56)+1,1,1)-$J$56</f>
        <v>241.823134179002</v>
      </c>
      <c r="H201" s="58"/>
    </row>
    <row r="202" customFormat="false" ht="14.25" hidden="false" customHeight="false" outlineLevel="0" collapsed="false">
      <c r="C202" s="55" t="s">
        <v>181</v>
      </c>
      <c r="D202" s="56" t="s">
        <v>3</v>
      </c>
      <c r="E202" s="59" t="n">
        <f aca="false">(1+Rate_Devex*E201/Days_In_Year)*(1+Rate_Devex)^(YEAR(E190)-YEAR($J$56)-1)*E192</f>
        <v>1.24482558293506</v>
      </c>
      <c r="F202" s="59" t="n">
        <f aca="false">(1+Rate_Devex*F201/Days_In_Year)*(1+Rate_Devex)^(YEAR(F190)-YEAR($J$56)-1)*F192</f>
        <v>1.24482558293506</v>
      </c>
      <c r="G202" s="59" t="n">
        <f aca="false">(1+Rate_Devex*G201/Days_In_Year)*(1+Rate_Devex)^(YEAR(G190)-YEAR($J$56)-1)*G192</f>
        <v>1.24482558293506</v>
      </c>
      <c r="H202" s="58"/>
    </row>
    <row r="203" customFormat="false" ht="14.25" hidden="false" customHeight="false" outlineLevel="0" collapsed="false">
      <c r="C203" s="55" t="s">
        <v>182</v>
      </c>
      <c r="D203" s="56" t="s">
        <v>172</v>
      </c>
      <c r="E203" s="60" t="n">
        <f aca="false">DATE(YEAR($J$55)+1,1,1)-$J$55</f>
        <v>38.8757241119529</v>
      </c>
      <c r="F203" s="60" t="n">
        <f aca="false">DATE(YEAR($J$55)+1,1,1)-$J$55</f>
        <v>38.8757241119529</v>
      </c>
      <c r="G203" s="60" t="n">
        <f aca="false">DATE(YEAR($J$55)+1,1,1)-$J$55</f>
        <v>38.8757241119529</v>
      </c>
      <c r="H203" s="58"/>
    </row>
    <row r="204" customFormat="false" ht="14.25" hidden="false" customHeight="false" outlineLevel="0" collapsed="false">
      <c r="C204" s="55" t="s">
        <v>183</v>
      </c>
      <c r="D204" s="56" t="s">
        <v>3</v>
      </c>
      <c r="E204" s="59" t="n">
        <f aca="false">(1+Rate_Devex*E203/Days_In_Year)*(1+Rate_Devex)^(YEAR(E190)-YEAR($J$55)-1)*E192</f>
        <v>1.34711102062895</v>
      </c>
      <c r="F204" s="59" t="n">
        <f aca="false">(1+Rate_Devex*F203/Days_In_Year)*(1+Rate_Devex)^(YEAR(F190)-YEAR($J$55)-1)*F192</f>
        <v>1.34711102062895</v>
      </c>
      <c r="G204" s="59" t="n">
        <f aca="false">(1+Rate_Devex*G203/Days_In_Year)*(1+Rate_Devex)^(YEAR(G190)-YEAR($J$55)-1)*G192</f>
        <v>1.34711102062895</v>
      </c>
      <c r="H204" s="58"/>
    </row>
    <row r="205" customFormat="false" ht="14.25" hidden="false" customHeight="false" outlineLevel="0" collapsed="false">
      <c r="C205" s="55" t="s">
        <v>184</v>
      </c>
      <c r="D205" s="56" t="s">
        <v>85</v>
      </c>
      <c r="E205" s="61" t="n">
        <f aca="false">E$21*E61*(E194-1)</f>
        <v>2.93073712505603</v>
      </c>
      <c r="F205" s="61" t="n">
        <f aca="false">F$21*F61*(F194-1)</f>
        <v>0</v>
      </c>
      <c r="G205" s="61" t="n">
        <f aca="false">G$21*G61*(G194-1)</f>
        <v>0</v>
      </c>
      <c r="H205" s="61" t="n">
        <f aca="false">SUM(E205:G205)</f>
        <v>2.93073712505603</v>
      </c>
    </row>
    <row r="206" customFormat="false" ht="14.25" hidden="false" customHeight="false" outlineLevel="0" collapsed="false">
      <c r="C206" s="55" t="s">
        <v>185</v>
      </c>
      <c r="D206" s="56" t="s">
        <v>85</v>
      </c>
      <c r="E206" s="62" t="n">
        <f aca="false">E$21*E62*(E194-1)</f>
        <v>138.526174777648</v>
      </c>
      <c r="F206" s="62" t="n">
        <f aca="false">F$21*F62*(F194-1)</f>
        <v>0</v>
      </c>
      <c r="G206" s="62" t="n">
        <f aca="false">G$21*G62*(G194-1)</f>
        <v>0</v>
      </c>
      <c r="H206" s="62" t="n">
        <f aca="false">SUM(E206:G206)</f>
        <v>138.526174777648</v>
      </c>
    </row>
    <row r="207" customFormat="false" ht="14.25" hidden="false" customHeight="false" outlineLevel="0" collapsed="false">
      <c r="C207" s="55" t="s">
        <v>186</v>
      </c>
      <c r="D207" s="56" t="s">
        <v>85</v>
      </c>
      <c r="E207" s="62" t="n">
        <f aca="false">E$21*E63*(E196-1)</f>
        <v>502.839989118205</v>
      </c>
      <c r="F207" s="62" t="n">
        <f aca="false">F$21*F63*(F196-1)</f>
        <v>0</v>
      </c>
      <c r="G207" s="62" t="n">
        <f aca="false">G$21*G63*(G196-1)</f>
        <v>0</v>
      </c>
      <c r="H207" s="62" t="n">
        <f aca="false">SUM(E207:G207)</f>
        <v>502.839989118205</v>
      </c>
    </row>
    <row r="208" customFormat="false" ht="14.25" hidden="false" customHeight="false" outlineLevel="0" collapsed="false">
      <c r="C208" s="55" t="s">
        <v>187</v>
      </c>
      <c r="D208" s="56" t="s">
        <v>85</v>
      </c>
      <c r="E208" s="62" t="n">
        <f aca="false">E$21*E64*(E198-1)</f>
        <v>199.469318673477</v>
      </c>
      <c r="F208" s="62" t="n">
        <f aca="false">F$21*F64*(F198-1)</f>
        <v>0</v>
      </c>
      <c r="G208" s="62" t="n">
        <f aca="false">G$21*G64*(G198-1)</f>
        <v>0</v>
      </c>
      <c r="H208" s="62" t="n">
        <f aca="false">SUM(E208:G208)</f>
        <v>199.469318673477</v>
      </c>
    </row>
    <row r="209" customFormat="false" ht="14.25" hidden="false" customHeight="false" outlineLevel="0" collapsed="false">
      <c r="C209" s="55" t="s">
        <v>188</v>
      </c>
      <c r="D209" s="56" t="s">
        <v>85</v>
      </c>
      <c r="E209" s="62" t="n">
        <f aca="false">E$21*E65*(E200-1)</f>
        <v>63.7544348660937</v>
      </c>
      <c r="F209" s="62" t="n">
        <f aca="false">F$21*F65*(F200-1)</f>
        <v>0</v>
      </c>
      <c r="G209" s="62" t="n">
        <f aca="false">G$21*G65*(G200-1)</f>
        <v>0</v>
      </c>
      <c r="H209" s="62" t="n">
        <f aca="false">SUM(E209:G209)</f>
        <v>63.7544348660937</v>
      </c>
    </row>
    <row r="210" customFormat="false" ht="14.25" hidden="false" customHeight="false" outlineLevel="0" collapsed="false">
      <c r="C210" s="55" t="s">
        <v>189</v>
      </c>
      <c r="D210" s="56" t="s">
        <v>85</v>
      </c>
      <c r="E210" s="62" t="n">
        <f aca="false">E$21*E66*(E200-1)</f>
        <v>859.990350596064</v>
      </c>
      <c r="F210" s="62" t="n">
        <f aca="false">F$21*F66*(F200-1)</f>
        <v>0</v>
      </c>
      <c r="G210" s="62" t="n">
        <f aca="false">G$21*G66*(G200-1)</f>
        <v>0</v>
      </c>
      <c r="H210" s="62" t="n">
        <f aca="false">SUM(E210:G210)</f>
        <v>859.990350596064</v>
      </c>
    </row>
    <row r="211" customFormat="false" ht="14.25" hidden="false" customHeight="false" outlineLevel="0" collapsed="false">
      <c r="C211" s="55" t="s">
        <v>190</v>
      </c>
      <c r="D211" s="56" t="s">
        <v>85</v>
      </c>
      <c r="E211" s="62" t="n">
        <f aca="false">E$21*E68*MAX(E202-1,Devex_Floor-1)</f>
        <v>107.801712328767</v>
      </c>
      <c r="F211" s="62" t="n">
        <f aca="false">F$21*F68*MAX(F202-1,Devex_Floor-1)</f>
        <v>0</v>
      </c>
      <c r="G211" s="62" t="n">
        <f aca="false">G$21*G68*MAX(G202-1,Devex_Floor-1)</f>
        <v>0</v>
      </c>
      <c r="H211" s="62" t="n">
        <f aca="false">SUM(E211:G211)</f>
        <v>107.801712328767</v>
      </c>
    </row>
    <row r="212" customFormat="false" ht="14.25" hidden="false" customHeight="false" outlineLevel="0" collapsed="false">
      <c r="C212" s="55" t="s">
        <v>191</v>
      </c>
      <c r="D212" s="56" t="s">
        <v>85</v>
      </c>
      <c r="E212" s="62" t="n">
        <f aca="false">E$21*E67*MAX(E204-1,Devex_Floor-1)</f>
        <v>701.098816348896</v>
      </c>
      <c r="F212" s="62" t="n">
        <f aca="false">F$21*F67*MAX(F204-1,Devex_Floor-1)</f>
        <v>0</v>
      </c>
      <c r="G212" s="62" t="n">
        <f aca="false">G$21*G67*MAX(G204-1,Devex_Floor-1)</f>
        <v>0</v>
      </c>
      <c r="H212" s="62" t="n">
        <f aca="false">SUM(E212:G212)</f>
        <v>701.098816348896</v>
      </c>
    </row>
    <row r="213" customFormat="false" ht="14.25" hidden="false" customHeight="false" outlineLevel="0" collapsed="false">
      <c r="C213" s="63" t="s">
        <v>192</v>
      </c>
      <c r="D213" s="56" t="s">
        <v>85</v>
      </c>
      <c r="E213" s="64" t="n">
        <f aca="false">SUM(E205:E212)</f>
        <v>2576.41153383421</v>
      </c>
      <c r="F213" s="64" t="n">
        <f aca="false">SUM(F205:F212)</f>
        <v>0</v>
      </c>
      <c r="G213" s="64" t="n">
        <f aca="false">SUM(G205:G212)</f>
        <v>0</v>
      </c>
      <c r="H213" s="64" t="n">
        <f aca="false">SUM(E213:G213)</f>
        <v>2576.41153383421</v>
      </c>
    </row>
    <row r="214" customFormat="false" ht="14.25" hidden="false" customHeight="false" outlineLevel="0" collapsed="false">
      <c r="C214" s="55" t="s">
        <v>193</v>
      </c>
      <c r="D214" s="56" t="s">
        <v>85</v>
      </c>
      <c r="E214" s="62" t="n">
        <f aca="false">E20*MIN(DSA_Rate*YEARFRAC(Inputs!E$28,Sale_Date),DSA_Cap)*E44</f>
        <v>437.5</v>
      </c>
      <c r="F214" s="62" t="n">
        <f aca="false">F20*MIN(DSA_Rate*YEARFRAC(Inputs!F$28,Sale_Date),DSA_Cap)*F44</f>
        <v>0</v>
      </c>
      <c r="G214" s="62" t="n">
        <f aca="false">G20*MIN(DSA_Rate*YEARFRAC(Inputs!G$28,Sale_Date),DSA_Cap)*G44</f>
        <v>0</v>
      </c>
      <c r="H214" s="62" t="n">
        <f aca="false">SUM(E214:G214)</f>
        <v>437.5</v>
      </c>
    </row>
    <row r="216" customFormat="false" ht="14.25" hidden="false" customHeight="false" outlineLevel="0" collapsed="false">
      <c r="B216" s="4" t="s">
        <v>3</v>
      </c>
      <c r="C216" s="4" t="s">
        <v>194</v>
      </c>
      <c r="D216" s="4"/>
      <c r="E216" s="5" t="s">
        <v>5</v>
      </c>
      <c r="F216" s="5" t="s">
        <v>6</v>
      </c>
      <c r="G216" s="5" t="s">
        <v>7</v>
      </c>
      <c r="H216" s="5" t="s">
        <v>8</v>
      </c>
    </row>
    <row r="217" customFormat="false" ht="14.25" hidden="false" customHeight="false" outlineLevel="0" collapsed="false">
      <c r="C217" s="55" t="s">
        <v>195</v>
      </c>
      <c r="D217" s="56" t="s">
        <v>85</v>
      </c>
      <c r="E217" s="62" t="n">
        <f aca="false">E65+E66</f>
        <v>10089.6937041096</v>
      </c>
      <c r="F217" s="62" t="n">
        <f aca="false">F65+F66</f>
        <v>3359.81917808219</v>
      </c>
      <c r="G217" s="62" t="n">
        <f aca="false">G65+G66</f>
        <v>3359.81917808219</v>
      </c>
      <c r="H217" s="62" t="n">
        <f aca="false">SUM(E217:G217)</f>
        <v>16809.332060274</v>
      </c>
    </row>
    <row r="218" customFormat="false" ht="14.25" hidden="false" customHeight="false" outlineLevel="0" collapsed="false">
      <c r="C218" s="55" t="s">
        <v>196</v>
      </c>
      <c r="D218" s="56" t="s">
        <v>74</v>
      </c>
      <c r="E218" s="62" t="n">
        <f aca="false">SUMIFS(Devex_HUF,Devex_Class,"Land",Devex_Date,"&lt;="&amp;Sale_Date_A)</f>
        <v>66190500</v>
      </c>
      <c r="F218" s="62" t="n">
        <f aca="false">SUMIFS(Devex_HUF,Devex_Class,"Land",Devex_Date,"&lt;="&amp;Sale_Date_A)</f>
        <v>66190500</v>
      </c>
      <c r="G218" s="62" t="n">
        <f aca="false">SUMIFS(Devex_HUF,Devex_Class,"Land",Devex_Date,"&lt;="&amp;Sale_Date_A)</f>
        <v>66190500</v>
      </c>
      <c r="H218" s="62"/>
    </row>
    <row r="219" customFormat="false" ht="14.25" hidden="false" customHeight="false" outlineLevel="0" collapsed="false">
      <c r="C219" s="55" t="s">
        <v>197</v>
      </c>
      <c r="D219" s="56" t="s">
        <v>168</v>
      </c>
      <c r="E219" s="57" t="n">
        <f aca="false">SUMPRODUCT((Devex_Class="Land")*(Devex_Date&lt;=Sale_Date_A)*Devex_HUF,Devex_Date)/E218</f>
        <v>46431</v>
      </c>
      <c r="F219" s="57" t="n">
        <f aca="false">SUMPRODUCT((Devex_Class="Land")*(Devex_Date&lt;=Sale_Date_A)*Devex_HUF,Devex_Date)/F218</f>
        <v>46431</v>
      </c>
      <c r="G219" s="57" t="n">
        <f aca="false">SUMPRODUCT((Devex_Class="Land")*(Devex_Date&lt;=Sale_Date_A)*Devex_HUF,Devex_Date)/G218</f>
        <v>46431</v>
      </c>
      <c r="H219" s="58"/>
    </row>
    <row r="220" customFormat="false" ht="14.25" hidden="false" customHeight="false" outlineLevel="0" collapsed="false">
      <c r="C220" s="55" t="s">
        <v>198</v>
      </c>
      <c r="D220" s="56" t="s">
        <v>85</v>
      </c>
      <c r="E220" s="62" t="n">
        <f aca="false">E218/FX/Thousand*Inputs!E$18</f>
        <v>45.3359589041096</v>
      </c>
      <c r="F220" s="62" t="n">
        <f aca="false">F218/FX/Thousand*Inputs!F$18</f>
        <v>45.3359589041096</v>
      </c>
      <c r="G220" s="62" t="n">
        <f aca="false">G218/FX/Thousand*Inputs!G$18</f>
        <v>45.3359589041096</v>
      </c>
      <c r="H220" s="62" t="n">
        <f aca="false">SUM(E220:G220)</f>
        <v>136.007876712329</v>
      </c>
    </row>
    <row r="221" customFormat="false" ht="14.25" hidden="false" customHeight="false" outlineLevel="0" collapsed="false">
      <c r="C221" s="55" t="s">
        <v>199</v>
      </c>
      <c r="D221" s="56" t="s">
        <v>74</v>
      </c>
      <c r="E221" s="62" t="n">
        <f aca="false">SUMIFS(Devex_HUF,Devex_Class,"Devex",Devex_Date,"&lt;="&amp;Sale_Date_A)</f>
        <v>991604271.869388</v>
      </c>
      <c r="F221" s="62" t="n">
        <f aca="false">SUMIFS(Devex_HUF,Devex_Class,"Devex",Devex_Date,"&lt;="&amp;Sale_Date_A)</f>
        <v>991604271.869388</v>
      </c>
      <c r="G221" s="62" t="n">
        <f aca="false">SUMIFS(Devex_HUF,Devex_Class,"Devex",Devex_Date,"&lt;="&amp;Sale_Date_A)</f>
        <v>991604271.869388</v>
      </c>
      <c r="H221" s="62"/>
    </row>
    <row r="222" customFormat="false" ht="14.25" hidden="false" customHeight="false" outlineLevel="0" collapsed="false">
      <c r="C222" s="55" t="s">
        <v>200</v>
      </c>
      <c r="D222" s="56" t="s">
        <v>168</v>
      </c>
      <c r="E222" s="57" t="n">
        <f aca="false">SUMPRODUCT((Devex_Class="Devex")*(Devex_Date&lt;=Sale_Date_A)*Devex_HUF,Devex_Date)/E221</f>
        <v>46701.5587560279</v>
      </c>
      <c r="F222" s="57" t="n">
        <f aca="false">SUMPRODUCT((Devex_Class="Devex")*(Devex_Date&lt;=Sale_Date_A)*Devex_HUF,Devex_Date)/F221</f>
        <v>46701.5587560279</v>
      </c>
      <c r="G222" s="57" t="n">
        <f aca="false">SUMPRODUCT((Devex_Class="Devex")*(Devex_Date&lt;=Sale_Date_A)*Devex_HUF,Devex_Date)/G221</f>
        <v>46701.5587560279</v>
      </c>
      <c r="H222" s="58"/>
    </row>
    <row r="223" customFormat="false" ht="14.25" hidden="false" customHeight="false" outlineLevel="0" collapsed="false">
      <c r="C223" s="55" t="s">
        <v>201</v>
      </c>
      <c r="D223" s="56" t="s">
        <v>85</v>
      </c>
      <c r="E223" s="62" t="n">
        <f aca="false">E221/FX/Thousand*Inputs!E$18</f>
        <v>679.181008129718</v>
      </c>
      <c r="F223" s="62" t="n">
        <f aca="false">F221/FX/Thousand*Inputs!F$18</f>
        <v>679.181008129718</v>
      </c>
      <c r="G223" s="62" t="n">
        <f aca="false">G221/FX/Thousand*Inputs!G$18</f>
        <v>679.181008129718</v>
      </c>
      <c r="H223" s="62" t="n">
        <f aca="false">SUM(E223:G223)</f>
        <v>2037.54302438915</v>
      </c>
    </row>
    <row r="224" customFormat="false" ht="14.25" hidden="false" customHeight="false" outlineLevel="0" collapsed="false">
      <c r="C224" s="55" t="s">
        <v>202</v>
      </c>
      <c r="D224" s="56" t="s">
        <v>85</v>
      </c>
      <c r="E224" s="62" t="n">
        <f aca="false">E61+SUM(E62:E64)+E220+E223+E69</f>
        <v>3391.64025470506</v>
      </c>
      <c r="F224" s="62" t="n">
        <f aca="false">F61+SUM(F62:F64)+F220+F223+F69</f>
        <v>3993.69504922561</v>
      </c>
      <c r="G224" s="62" t="n">
        <f aca="false">G61+SUM(G62:G64)+G220+G223+G69</f>
        <v>3993.69504922561</v>
      </c>
      <c r="H224" s="62" t="n">
        <f aca="false">SUM(E224:G224)</f>
        <v>11379.0303531563</v>
      </c>
    </row>
    <row r="225" customFormat="false" ht="14.25" hidden="false" customHeight="false" outlineLevel="0" collapsed="false">
      <c r="C225" s="55" t="s">
        <v>203</v>
      </c>
      <c r="D225" s="56" t="s">
        <v>168</v>
      </c>
      <c r="E225" s="57" t="n">
        <f aca="false">MIN(Freeze_Date,Sale_Date_A)</f>
        <v>47026</v>
      </c>
      <c r="F225" s="57" t="n">
        <f aca="false">MIN(Freeze_Date,Sale_Date_A)</f>
        <v>47026</v>
      </c>
      <c r="G225" s="57" t="n">
        <f aca="false">MIN(Freeze_Date,Sale_Date_A)</f>
        <v>47026</v>
      </c>
      <c r="H225" s="58"/>
    </row>
    <row r="226" customFormat="false" ht="14.25" hidden="false" customHeight="false" outlineLevel="0" collapsed="false">
      <c r="C226" s="55" t="s">
        <v>204</v>
      </c>
      <c r="D226" s="56" t="s">
        <v>168</v>
      </c>
      <c r="E226" s="57" t="n">
        <f aca="false">DATE(YEAR(E225),1,1)</f>
        <v>46753</v>
      </c>
      <c r="F226" s="57" t="n">
        <f aca="false">DATE(YEAR(F225),1,1)</f>
        <v>46753</v>
      </c>
      <c r="G226" s="57" t="n">
        <f aca="false">DATE(YEAR(G225),1,1)</f>
        <v>46753</v>
      </c>
      <c r="H226" s="58"/>
    </row>
    <row r="227" customFormat="false" ht="14.25" hidden="false" customHeight="false" outlineLevel="0" collapsed="false">
      <c r="C227" s="55" t="s">
        <v>205</v>
      </c>
      <c r="D227" s="56" t="s">
        <v>3</v>
      </c>
      <c r="E227" s="59" t="n">
        <f aca="false">1+Rate_Cash*(DATE(YEAR(Inputs!E$21)+1,1,1)-Inputs!E$21)*(Inputs!E$21&lt;E226)/Days_In_Year</f>
        <v>1.02071232876712</v>
      </c>
      <c r="F227" s="59" t="n">
        <f aca="false">1+Rate_Cash*(DATE(YEAR(Inputs!F$21)+1,1,1)-Inputs!F$21)*(Inputs!F$21&lt;F226)/Days_In_Year</f>
        <v>1.02071232876712</v>
      </c>
      <c r="G227" s="59" t="n">
        <f aca="false">1+Rate_Cash*(DATE(YEAR(Inputs!G$21)+1,1,1)-Inputs!G$21)*(Inputs!G$21&lt;G226)/Days_In_Year</f>
        <v>1.02071232876712</v>
      </c>
      <c r="H227" s="58"/>
    </row>
    <row r="228" customFormat="false" ht="14.25" hidden="false" customHeight="false" outlineLevel="0" collapsed="false">
      <c r="C228" s="55" t="s">
        <v>206</v>
      </c>
      <c r="D228" s="56" t="s">
        <v>3</v>
      </c>
      <c r="E228" s="59" t="n">
        <f aca="false">1+Rate_Cash*MAX(0,E225-MAX(Inputs!E$21,E226)+1)/Days_In_Year</f>
        <v>1.09008219178082</v>
      </c>
      <c r="F228" s="59" t="n">
        <f aca="false">1+Rate_Cash*MAX(0,F225-MAX(Inputs!F$21,F226)+1)/Days_In_Year</f>
        <v>1.09008219178082</v>
      </c>
      <c r="G228" s="59" t="n">
        <f aca="false">1+Rate_Cash*MAX(0,G225-MAX(Inputs!G$21,G226)+1)/Days_In_Year</f>
        <v>1.09008219178082</v>
      </c>
      <c r="H228" s="58"/>
    </row>
    <row r="229" customFormat="false" ht="14.25" hidden="false" customHeight="false" outlineLevel="0" collapsed="false">
      <c r="C229" s="55" t="s">
        <v>207</v>
      </c>
      <c r="D229" s="56" t="s">
        <v>3</v>
      </c>
      <c r="E229" s="59" t="n">
        <f aca="false">E227*(1+Rate_Cash)^MAX(0,YEAR(E226)-YEAR(Inputs!E$21)-1)*E228</f>
        <v>1.24617957242259</v>
      </c>
      <c r="F229" s="59" t="n">
        <f aca="false">F227*(1+Rate_Cash)^MAX(0,YEAR(F226)-YEAR(Inputs!F$21)-1)*F228</f>
        <v>1.24617957242259</v>
      </c>
      <c r="G229" s="59" t="n">
        <f aca="false">G227*(1+Rate_Cash)^MAX(0,YEAR(G226)-YEAR(Inputs!G$21)-1)*G228</f>
        <v>1.24617957242259</v>
      </c>
      <c r="H229" s="58"/>
    </row>
    <row r="230" customFormat="false" ht="14.25" hidden="false" customHeight="false" outlineLevel="0" collapsed="false">
      <c r="C230" s="55" t="s">
        <v>208</v>
      </c>
      <c r="D230" s="56" t="s">
        <v>3</v>
      </c>
      <c r="E230" s="59" t="n">
        <f aca="false">1+Rate_Cash*(DATE(YEAR(Inputs!E$22)+1,1,1)-Inputs!E$22)*(Inputs!E$22&lt;E226)/Days_In_Year</f>
        <v>1.11539726027397</v>
      </c>
      <c r="F230" s="59" t="n">
        <f aca="false">1+Rate_Cash*(DATE(YEAR(Inputs!F$22)+1,1,1)-Inputs!F$22)*(Inputs!F$22&lt;F226)/Days_In_Year</f>
        <v>1.11539726027397</v>
      </c>
      <c r="G230" s="59" t="n">
        <f aca="false">1+Rate_Cash*(DATE(YEAR(Inputs!G$22)+1,1,1)-Inputs!G$22)*(Inputs!G$22&lt;G226)/Days_In_Year</f>
        <v>1.11539726027397</v>
      </c>
      <c r="H230" s="58"/>
    </row>
    <row r="231" customFormat="false" ht="14.25" hidden="false" customHeight="false" outlineLevel="0" collapsed="false">
      <c r="C231" s="55" t="s">
        <v>209</v>
      </c>
      <c r="D231" s="56" t="s">
        <v>3</v>
      </c>
      <c r="E231" s="59" t="n">
        <f aca="false">1+Rate_Cash*MAX(0,E225-MAX(Inputs!E$22,E226)+1)/Days_In_Year</f>
        <v>1.09008219178082</v>
      </c>
      <c r="F231" s="59" t="n">
        <f aca="false">1+Rate_Cash*MAX(0,F225-MAX(Inputs!F$22,F226)+1)/Days_In_Year</f>
        <v>1.09008219178082</v>
      </c>
      <c r="G231" s="59" t="n">
        <f aca="false">1+Rate_Cash*MAX(0,G225-MAX(Inputs!G$22,G226)+1)/Days_In_Year</f>
        <v>1.09008219178082</v>
      </c>
      <c r="H231" s="58"/>
    </row>
    <row r="232" customFormat="false" ht="14.25" hidden="false" customHeight="false" outlineLevel="0" collapsed="false">
      <c r="C232" s="55" t="s">
        <v>210</v>
      </c>
      <c r="D232" s="56" t="s">
        <v>3</v>
      </c>
      <c r="E232" s="59" t="n">
        <f aca="false">E230*(1+Rate_Cash)^MAX(0,YEAR(E226)-YEAR(Inputs!E$22)-1)*E231</f>
        <v>1.21587469018578</v>
      </c>
      <c r="F232" s="59" t="n">
        <f aca="false">F230*(1+Rate_Cash)^MAX(0,YEAR(F226)-YEAR(Inputs!F$22)-1)*F231</f>
        <v>1.21587469018578</v>
      </c>
      <c r="G232" s="59" t="n">
        <f aca="false">G230*(1+Rate_Cash)^MAX(0,YEAR(G226)-YEAR(Inputs!G$22)-1)*G231</f>
        <v>1.21587469018578</v>
      </c>
      <c r="H232" s="58"/>
    </row>
    <row r="233" customFormat="false" ht="14.25" hidden="false" customHeight="false" outlineLevel="0" collapsed="false">
      <c r="C233" s="55" t="s">
        <v>211</v>
      </c>
      <c r="D233" s="56" t="s">
        <v>3</v>
      </c>
      <c r="E233" s="59" t="n">
        <f aca="false">1+Rate_Cash*(DATE(YEAR(Inputs!E$23)+1,1,1)-Inputs!E$23)*(Inputs!E$23&lt;E226)/Days_In_Year</f>
        <v>1.11539726027397</v>
      </c>
      <c r="F233" s="59" t="n">
        <f aca="false">1+Rate_Cash*(DATE(YEAR(Inputs!F$23)+1,1,1)-Inputs!F$23)*(Inputs!F$23&lt;F226)/Days_In_Year</f>
        <v>1.11539726027397</v>
      </c>
      <c r="G233" s="59" t="n">
        <f aca="false">1+Rate_Cash*(DATE(YEAR(Inputs!G$23)+1,1,1)-Inputs!G$23)*(Inputs!G$23&lt;G226)/Days_In_Year</f>
        <v>1.11539726027397</v>
      </c>
      <c r="H233" s="58"/>
    </row>
    <row r="234" customFormat="false" ht="14.25" hidden="false" customHeight="false" outlineLevel="0" collapsed="false">
      <c r="C234" s="55" t="s">
        <v>212</v>
      </c>
      <c r="D234" s="56" t="s">
        <v>3</v>
      </c>
      <c r="E234" s="59" t="n">
        <f aca="false">1+Rate_Cash*MAX(0,E225-MAX(Inputs!E$23,E226)+1)/Days_In_Year</f>
        <v>1.09008219178082</v>
      </c>
      <c r="F234" s="59" t="n">
        <f aca="false">1+Rate_Cash*MAX(0,F225-MAX(Inputs!F$23,F226)+1)/Days_In_Year</f>
        <v>1.09008219178082</v>
      </c>
      <c r="G234" s="59" t="n">
        <f aca="false">1+Rate_Cash*MAX(0,G225-MAX(Inputs!G$23,G226)+1)/Days_In_Year</f>
        <v>1.09008219178082</v>
      </c>
      <c r="H234" s="58"/>
    </row>
    <row r="235" customFormat="false" ht="14.25" hidden="false" customHeight="false" outlineLevel="0" collapsed="false">
      <c r="C235" s="55" t="s">
        <v>213</v>
      </c>
      <c r="D235" s="56" t="s">
        <v>3</v>
      </c>
      <c r="E235" s="59" t="n">
        <f aca="false">E233*(1+Rate_Cash)^MAX(0,YEAR(E226)-YEAR(Inputs!E$23)-1)*E234</f>
        <v>1.21587469018578</v>
      </c>
      <c r="F235" s="59" t="n">
        <f aca="false">F233*(1+Rate_Cash)^MAX(0,YEAR(F226)-YEAR(Inputs!F$23)-1)*F234</f>
        <v>1.21587469018578</v>
      </c>
      <c r="G235" s="59" t="n">
        <f aca="false">G233*(1+Rate_Cash)^MAX(0,YEAR(G226)-YEAR(Inputs!G$23)-1)*G234</f>
        <v>1.21587469018578</v>
      </c>
      <c r="H235" s="58"/>
    </row>
    <row r="236" customFormat="false" ht="14.25" hidden="false" customHeight="false" outlineLevel="0" collapsed="false">
      <c r="C236" s="55" t="s">
        <v>214</v>
      </c>
      <c r="D236" s="56" t="s">
        <v>3</v>
      </c>
      <c r="E236" s="59" t="n">
        <f aca="false">1+Rate_Devex*(DATE(YEAR(E219)+1,1,1)-E219)*(E219&lt;E226)/Days_In_Year</f>
        <v>1.17643835616438</v>
      </c>
      <c r="F236" s="59" t="n">
        <f aca="false">1+Rate_Devex*(DATE(YEAR(F219)+1,1,1)-F219)*(F219&lt;F226)/Days_In_Year</f>
        <v>1.17643835616438</v>
      </c>
      <c r="G236" s="59" t="n">
        <f aca="false">1+Rate_Devex*(DATE(YEAR(G219)+1,1,1)-G219)*(G219&lt;G226)/Days_In_Year</f>
        <v>1.17643835616438</v>
      </c>
      <c r="H236" s="58"/>
    </row>
    <row r="237" customFormat="false" ht="14.25" hidden="false" customHeight="false" outlineLevel="0" collapsed="false">
      <c r="C237" s="55" t="s">
        <v>215</v>
      </c>
      <c r="D237" s="56" t="s">
        <v>3</v>
      </c>
      <c r="E237" s="59" t="n">
        <f aca="false">1+Rate_Devex*MAX(0,E225-MAX(E219,E226)+1)/Days_In_Year</f>
        <v>1.15013698630137</v>
      </c>
      <c r="F237" s="59" t="n">
        <f aca="false">1+Rate_Devex*MAX(0,F225-MAX(F219,F226)+1)/Days_In_Year</f>
        <v>1.15013698630137</v>
      </c>
      <c r="G237" s="59" t="n">
        <f aca="false">1+Rate_Devex*MAX(0,G225-MAX(G219,G226)+1)/Days_In_Year</f>
        <v>1.15013698630137</v>
      </c>
      <c r="H237" s="58"/>
    </row>
    <row r="238" customFormat="false" ht="14.25" hidden="false" customHeight="false" outlineLevel="0" collapsed="false">
      <c r="C238" s="55" t="s">
        <v>216</v>
      </c>
      <c r="D238" s="56" t="s">
        <v>3</v>
      </c>
      <c r="E238" s="59" t="n">
        <f aca="false">E236*(1+Rate_Devex)^MAX(0,YEAR(E226)-YEAR(E219)-1)*E237</f>
        <v>1.35306526552824</v>
      </c>
      <c r="F238" s="59" t="n">
        <f aca="false">F236*(1+Rate_Devex)^MAX(0,YEAR(F226)-YEAR(F219)-1)*F237</f>
        <v>1.35306526552824</v>
      </c>
      <c r="G238" s="59" t="n">
        <f aca="false">G236*(1+Rate_Devex)^MAX(0,YEAR(G226)-YEAR(G219)-1)*G237</f>
        <v>1.35306526552824</v>
      </c>
      <c r="H238" s="58"/>
    </row>
    <row r="239" customFormat="false" ht="14.25" hidden="false" customHeight="false" outlineLevel="0" collapsed="false">
      <c r="C239" s="55" t="s">
        <v>217</v>
      </c>
      <c r="D239" s="56" t="s">
        <v>3</v>
      </c>
      <c r="E239" s="59" t="n">
        <f aca="false">1+Rate_Devex*(DATE(YEAR(E222)+1,1,1)-E222)*(E222&lt;E226)/Days_In_Year</f>
        <v>1.02818698299841</v>
      </c>
      <c r="F239" s="59" t="n">
        <f aca="false">1+Rate_Devex*(DATE(YEAR(F222)+1,1,1)-F222)*(F222&lt;F226)/Days_In_Year</f>
        <v>1.02818698299841</v>
      </c>
      <c r="G239" s="59" t="n">
        <f aca="false">1+Rate_Devex*(DATE(YEAR(G222)+1,1,1)-G222)*(G222&lt;G226)/Days_In_Year</f>
        <v>1.02818698299841</v>
      </c>
      <c r="H239" s="58"/>
    </row>
    <row r="240" customFormat="false" ht="14.25" hidden="false" customHeight="false" outlineLevel="0" collapsed="false">
      <c r="C240" s="55" t="s">
        <v>218</v>
      </c>
      <c r="D240" s="56" t="s">
        <v>3</v>
      </c>
      <c r="E240" s="59" t="n">
        <f aca="false">1+Rate_Devex*MAX(0,E225-MAX(E222,E226)+1)/Days_In_Year</f>
        <v>1.15013698630137</v>
      </c>
      <c r="F240" s="59" t="n">
        <f aca="false">1+Rate_Devex*MAX(0,F225-MAX(F222,F226)+1)/Days_In_Year</f>
        <v>1.15013698630137</v>
      </c>
      <c r="G240" s="59" t="n">
        <f aca="false">1+Rate_Devex*MAX(0,G225-MAX(G222,G226)+1)/Days_In_Year</f>
        <v>1.15013698630137</v>
      </c>
      <c r="H240" s="58"/>
    </row>
    <row r="241" customFormat="false" ht="14.25" hidden="false" customHeight="false" outlineLevel="0" collapsed="false">
      <c r="C241" s="55" t="s">
        <v>219</v>
      </c>
      <c r="D241" s="56" t="s">
        <v>3</v>
      </c>
      <c r="E241" s="59" t="n">
        <f aca="false">E239*(1+Rate_Devex)^MAX(0,YEAR(E226)-YEAR(E222)-1)*E240</f>
        <v>1.18255587798009</v>
      </c>
      <c r="F241" s="59" t="n">
        <f aca="false">F239*(1+Rate_Devex)^MAX(0,YEAR(F226)-YEAR(F222)-1)*F240</f>
        <v>1.18255587798009</v>
      </c>
      <c r="G241" s="59" t="n">
        <f aca="false">G239*(1+Rate_Devex)^MAX(0,YEAR(G226)-YEAR(G222)-1)*G240</f>
        <v>1.18255587798009</v>
      </c>
      <c r="H241" s="58"/>
    </row>
    <row r="242" customFormat="false" ht="14.25" hidden="false" customHeight="false" outlineLevel="0" collapsed="false">
      <c r="C242" s="55" t="s">
        <v>220</v>
      </c>
      <c r="D242" s="56" t="s">
        <v>85</v>
      </c>
      <c r="E242" s="61" t="n">
        <f aca="false">E$21*E61*(E229-1)</f>
        <v>2.02339374593912</v>
      </c>
      <c r="F242" s="61" t="n">
        <f aca="false">F$21*F61*(F229-1)</f>
        <v>0</v>
      </c>
      <c r="G242" s="61" t="n">
        <f aca="false">G$21*G61*(G229-1)</f>
        <v>0</v>
      </c>
      <c r="H242" s="61" t="n">
        <f aca="false">SUM(E242:G242)</f>
        <v>2.02339374593912</v>
      </c>
    </row>
    <row r="243" customFormat="false" ht="14.25" hidden="false" customHeight="false" outlineLevel="0" collapsed="false">
      <c r="C243" s="55" t="s">
        <v>221</v>
      </c>
      <c r="D243" s="56" t="s">
        <v>85</v>
      </c>
      <c r="E243" s="61" t="n">
        <f aca="false">E$21*E62*(E229-1)</f>
        <v>95.6390777247226</v>
      </c>
      <c r="F243" s="61" t="n">
        <f aca="false">F$21*F62*(F229-1)</f>
        <v>0</v>
      </c>
      <c r="G243" s="61" t="n">
        <f aca="false">G$21*G62*(G229-1)</f>
        <v>0</v>
      </c>
      <c r="H243" s="61" t="n">
        <f aca="false">SUM(E243:G243)</f>
        <v>95.6390777247226</v>
      </c>
    </row>
    <row r="244" customFormat="false" ht="14.25" hidden="false" customHeight="false" outlineLevel="0" collapsed="false">
      <c r="C244" s="55" t="s">
        <v>222</v>
      </c>
      <c r="D244" s="56" t="s">
        <v>85</v>
      </c>
      <c r="E244" s="61" t="n">
        <f aca="false">E$21*E63*(E232-1)</f>
        <v>335.463354173622</v>
      </c>
      <c r="F244" s="61" t="n">
        <f aca="false">F$21*F63*(F232-1)</f>
        <v>0</v>
      </c>
      <c r="G244" s="61" t="n">
        <f aca="false">G$21*G63*(G232-1)</f>
        <v>0</v>
      </c>
      <c r="H244" s="61" t="n">
        <f aca="false">SUM(E244:G244)</f>
        <v>335.463354173622</v>
      </c>
    </row>
    <row r="245" customFormat="false" ht="14.25" hidden="false" customHeight="false" outlineLevel="0" collapsed="false">
      <c r="C245" s="55" t="s">
        <v>223</v>
      </c>
      <c r="D245" s="56" t="s">
        <v>85</v>
      </c>
      <c r="E245" s="61" t="n">
        <f aca="false">E$21*E64*(E235-1)</f>
        <v>133.073439155615</v>
      </c>
      <c r="F245" s="61" t="n">
        <f aca="false">F$21*F64*(F235-1)</f>
        <v>0</v>
      </c>
      <c r="G245" s="61" t="n">
        <f aca="false">G$21*G64*(G235-1)</f>
        <v>0</v>
      </c>
      <c r="H245" s="61" t="n">
        <f aca="false">SUM(E245:G245)</f>
        <v>133.073439155615</v>
      </c>
    </row>
    <row r="246" customFormat="false" ht="14.25" hidden="false" customHeight="false" outlineLevel="0" collapsed="false">
      <c r="C246" s="55" t="s">
        <v>224</v>
      </c>
      <c r="D246" s="56" t="s">
        <v>85</v>
      </c>
      <c r="E246" s="61" t="n">
        <f aca="false">E$21*E220*MAX(E238-1,Devex_Floor-1)</f>
        <v>45.3359589041096</v>
      </c>
      <c r="F246" s="61" t="n">
        <f aca="false">F$21*F220*MAX(F238-1,Devex_Floor-1)</f>
        <v>0</v>
      </c>
      <c r="G246" s="61" t="n">
        <f aca="false">G$21*G220*MAX(G238-1,Devex_Floor-1)</f>
        <v>0</v>
      </c>
      <c r="H246" s="61" t="n">
        <f aca="false">SUM(E246:G246)</f>
        <v>45.3359589041096</v>
      </c>
    </row>
    <row r="247" customFormat="false" ht="14.25" hidden="false" customHeight="false" outlineLevel="0" collapsed="false">
      <c r="C247" s="55" t="s">
        <v>225</v>
      </c>
      <c r="D247" s="56" t="s">
        <v>85</v>
      </c>
      <c r="E247" s="61" t="n">
        <f aca="false">E$21*E223*MAX(E241-1,Devex_Floor-1)</f>
        <v>679.181008129718</v>
      </c>
      <c r="F247" s="61" t="n">
        <f aca="false">F$21*F223*MAX(F241-1,Devex_Floor-1)</f>
        <v>0</v>
      </c>
      <c r="G247" s="61" t="n">
        <f aca="false">G$21*G223*MAX(G241-1,Devex_Floor-1)</f>
        <v>0</v>
      </c>
      <c r="H247" s="61" t="n">
        <f aca="false">SUM(E247:G247)</f>
        <v>679.181008129718</v>
      </c>
    </row>
    <row r="248" customFormat="false" ht="14.25" hidden="false" customHeight="false" outlineLevel="0" collapsed="false">
      <c r="C248" s="65" t="s">
        <v>226</v>
      </c>
      <c r="D248" s="66" t="s">
        <v>85</v>
      </c>
      <c r="E248" s="67" t="n">
        <f aca="false">SUM(E242:E247)</f>
        <v>1290.71623183373</v>
      </c>
      <c r="F248" s="67" t="n">
        <f aca="false">SUM(F242:F247)</f>
        <v>0</v>
      </c>
      <c r="G248" s="67" t="n">
        <f aca="false">SUM(G242:G247)</f>
        <v>0</v>
      </c>
      <c r="H248" s="67" t="n">
        <f aca="false">SUM(E248:G248)</f>
        <v>1290.71623183373</v>
      </c>
    </row>
    <row r="249" customFormat="false" ht="14.25" hidden="false" customHeight="false" outlineLevel="0" collapsed="false">
      <c r="C249" s="55" t="s">
        <v>227</v>
      </c>
      <c r="D249" s="56" t="s">
        <v>85</v>
      </c>
      <c r="E249" s="61" t="n">
        <f aca="false">E20*MIN(DSA_Rate*YEARFRAC(Inputs!E$28,Sale_Date_A),DSA_Cap)*E44</f>
        <v>287.5</v>
      </c>
      <c r="F249" s="61" t="n">
        <f aca="false">F20*MIN(DSA_Rate*YEARFRAC(Inputs!F$28,Sale_Date_A),DSA_Cap)*F44</f>
        <v>0</v>
      </c>
      <c r="G249" s="61" t="n">
        <f aca="false">G20*MIN(DSA_Rate*YEARFRAC(Inputs!G$28,Sale_Date_A),DSA_Cap)*G44</f>
        <v>0</v>
      </c>
      <c r="H249" s="61" t="n">
        <f aca="false">SUM(E249:G249)</f>
        <v>287.5</v>
      </c>
    </row>
    <row r="250" customFormat="false" ht="14.25" hidden="false" customHeight="false" outlineLevel="0" collapsed="false">
      <c r="C250" s="41" t="s">
        <v>228</v>
      </c>
      <c r="D250" s="42"/>
      <c r="E250" s="43"/>
      <c r="F250" s="43"/>
      <c r="G250" s="43"/>
      <c r="H250" s="43"/>
    </row>
    <row r="251" customFormat="false" ht="14.25" hidden="false" customHeight="false" outlineLevel="0" collapsed="false">
      <c r="C251" s="6" t="s">
        <v>28</v>
      </c>
      <c r="D251" s="2" t="s">
        <v>85</v>
      </c>
      <c r="E251" s="8" t="n">
        <f aca="false">E98</f>
        <v>7500</v>
      </c>
      <c r="F251" s="8" t="n">
        <f aca="false">F98</f>
        <v>7500</v>
      </c>
      <c r="G251" s="8" t="n">
        <f aca="false">G98</f>
        <v>7500</v>
      </c>
      <c r="H251" s="8" t="n">
        <f aca="false">SUM(E251:G251)</f>
        <v>22500</v>
      </c>
    </row>
    <row r="252" customFormat="false" ht="14.25" hidden="false" customHeight="false" outlineLevel="0" collapsed="false">
      <c r="C252" s="6" t="s">
        <v>229</v>
      </c>
      <c r="D252" s="2" t="s">
        <v>85</v>
      </c>
      <c r="E252" s="8" t="n">
        <f aca="false">SUM(E62:E64)</f>
        <v>2558.90410958904</v>
      </c>
      <c r="F252" s="8" t="n">
        <f aca="false">SUM(F62:F64)</f>
        <v>3110.95890410959</v>
      </c>
      <c r="G252" s="8" t="n">
        <f aca="false">SUM(G62:G64)</f>
        <v>3110.95890410959</v>
      </c>
      <c r="H252" s="8" t="n">
        <f aca="false">SUM(E252:G252)</f>
        <v>8780.82191780822</v>
      </c>
    </row>
    <row r="253" customFormat="false" ht="14.25" hidden="false" customHeight="false" outlineLevel="0" collapsed="false">
      <c r="C253" s="6" t="s">
        <v>230</v>
      </c>
      <c r="D253" s="2" t="s">
        <v>85</v>
      </c>
      <c r="E253" s="8" t="n">
        <f aca="false">E220</f>
        <v>45.3359589041096</v>
      </c>
      <c r="F253" s="8" t="n">
        <f aca="false">F220</f>
        <v>45.3359589041096</v>
      </c>
      <c r="G253" s="8" t="n">
        <f aca="false">G220</f>
        <v>45.3359589041096</v>
      </c>
      <c r="H253" s="8" t="n">
        <f aca="false">SUM(E253:G253)</f>
        <v>136.007876712329</v>
      </c>
    </row>
    <row r="254" customFormat="false" ht="14.25" hidden="false" customHeight="false" outlineLevel="0" collapsed="false">
      <c r="C254" s="6" t="s">
        <v>231</v>
      </c>
      <c r="D254" s="2" t="s">
        <v>85</v>
      </c>
      <c r="E254" s="8" t="n">
        <f aca="false">SUM(E251:E253)</f>
        <v>10104.2400684932</v>
      </c>
      <c r="F254" s="8" t="n">
        <f aca="false">SUM(F251:F253)</f>
        <v>10656.2948630137</v>
      </c>
      <c r="G254" s="8" t="n">
        <f aca="false">SUM(G251:G253)</f>
        <v>10656.2948630137</v>
      </c>
      <c r="H254" s="8" t="n">
        <f aca="false">SUM(E254:G254)</f>
        <v>31416.8297945206</v>
      </c>
    </row>
    <row r="255" customFormat="false" ht="14.25" hidden="false" customHeight="false" outlineLevel="0" collapsed="false">
      <c r="C255" s="6" t="s">
        <v>232</v>
      </c>
      <c r="D255" s="2" t="s">
        <v>85</v>
      </c>
      <c r="E255" s="8" t="n">
        <f aca="false">-MIN(E254,Sale_Costs)</f>
        <v>-250</v>
      </c>
      <c r="F255" s="8" t="n">
        <f aca="false">-MIN(F254,Sale_Costs)</f>
        <v>-250</v>
      </c>
      <c r="G255" s="8" t="n">
        <f aca="false">-MIN(G254,Sale_Costs)</f>
        <v>-250</v>
      </c>
      <c r="H255" s="8" t="n">
        <f aca="false">SUM(E255:G255)</f>
        <v>-750</v>
      </c>
    </row>
    <row r="256" customFormat="false" ht="14.25" hidden="false" customHeight="false" outlineLevel="0" collapsed="false">
      <c r="C256" s="6" t="s">
        <v>233</v>
      </c>
      <c r="D256" s="2" t="s">
        <v>85</v>
      </c>
      <c r="E256" s="8" t="n">
        <f aca="false">-MIN(SUM(E254:E255),E252)</f>
        <v>-2558.90410958904</v>
      </c>
      <c r="F256" s="8" t="n">
        <f aca="false">-MIN(SUM(F254:F255),F252)</f>
        <v>-3110.95890410959</v>
      </c>
      <c r="G256" s="8" t="n">
        <f aca="false">-MIN(SUM(G254:G255),G252)</f>
        <v>-3110.95890410959</v>
      </c>
      <c r="H256" s="8" t="n">
        <f aca="false">SUM(E256:G256)</f>
        <v>-8780.82191780822</v>
      </c>
    </row>
    <row r="257" customFormat="false" ht="14.25" hidden="false" customHeight="false" outlineLevel="0" collapsed="false">
      <c r="C257" s="6" t="s">
        <v>234</v>
      </c>
      <c r="D257" s="2" t="s">
        <v>85</v>
      </c>
      <c r="E257" s="8" t="n">
        <f aca="false">-MIN(SUM(E254:E256),E253)</f>
        <v>-45.3359589041096</v>
      </c>
      <c r="F257" s="8" t="n">
        <f aca="false">-MIN(SUM(F254:F256),F253)</f>
        <v>-45.3359589041096</v>
      </c>
      <c r="G257" s="8" t="n">
        <f aca="false">-MIN(SUM(G254:G256),G253)</f>
        <v>-45.3359589041096</v>
      </c>
      <c r="H257" s="8" t="n">
        <f aca="false">SUM(E257:G257)</f>
        <v>-136.007876712329</v>
      </c>
    </row>
    <row r="258" customFormat="false" ht="14.25" hidden="false" customHeight="false" outlineLevel="0" collapsed="false">
      <c r="C258" s="6" t="s">
        <v>235</v>
      </c>
      <c r="D258" s="2" t="s">
        <v>85</v>
      </c>
      <c r="E258" s="8" t="n">
        <f aca="false">-MIN(SUM(E254:E257),E223*E$21)</f>
        <v>-679.181008129718</v>
      </c>
      <c r="F258" s="8" t="n">
        <f aca="false">-MIN(SUM(F254:F257),F223*F$21)</f>
        <v>-0</v>
      </c>
      <c r="G258" s="8" t="n">
        <f aca="false">-MIN(SUM(G254:G257),G223*G$21)</f>
        <v>-0</v>
      </c>
      <c r="H258" s="8" t="n">
        <f aca="false">SUM(E258:G258)</f>
        <v>-679.181008129718</v>
      </c>
    </row>
    <row r="259" customFormat="false" ht="14.25" hidden="false" customHeight="false" outlineLevel="0" collapsed="false">
      <c r="C259" s="6" t="s">
        <v>236</v>
      </c>
      <c r="D259" s="2" t="s">
        <v>85</v>
      </c>
      <c r="E259" s="8" t="n">
        <f aca="false">-MIN(SUM(E254:E258),SUM(E242:E245))</f>
        <v>-566.199264799899</v>
      </c>
      <c r="F259" s="8" t="n">
        <f aca="false">-MIN(SUM(F254:F258),SUM(F242:F245))</f>
        <v>-0</v>
      </c>
      <c r="G259" s="8" t="n">
        <f aca="false">-MIN(SUM(G254:G258),SUM(G242:G245))</f>
        <v>-0</v>
      </c>
      <c r="H259" s="8" t="n">
        <f aca="false">SUM(E259:G259)</f>
        <v>-566.199264799899</v>
      </c>
    </row>
    <row r="260" customFormat="false" ht="14.25" hidden="false" customHeight="false" outlineLevel="0" collapsed="false">
      <c r="C260" s="6" t="s">
        <v>237</v>
      </c>
      <c r="D260" s="2" t="s">
        <v>85</v>
      </c>
      <c r="E260" s="8" t="n">
        <f aca="false">-MIN(SUM(E254:E259),SUM(E246:E247))</f>
        <v>-724.516967033827</v>
      </c>
      <c r="F260" s="8" t="n">
        <f aca="false">-MIN(SUM(F254:F259),SUM(F246:F247))</f>
        <v>-0</v>
      </c>
      <c r="G260" s="8" t="n">
        <f aca="false">-MIN(SUM(G254:G259),SUM(G246:G247))</f>
        <v>-0</v>
      </c>
      <c r="H260" s="8" t="n">
        <f aca="false">SUM(E260:G260)</f>
        <v>-724.516967033827</v>
      </c>
    </row>
    <row r="261" customFormat="false" ht="14.25" hidden="false" customHeight="false" outlineLevel="0" collapsed="false">
      <c r="C261" s="6" t="s">
        <v>238</v>
      </c>
      <c r="D261" s="2" t="s">
        <v>85</v>
      </c>
      <c r="E261" s="8" t="n">
        <f aca="false">-MIN(SUM(E254:E260),E249)</f>
        <v>-287.5</v>
      </c>
      <c r="F261" s="8" t="n">
        <f aca="false">-MIN(SUM(F254:F260),F249)</f>
        <v>-0</v>
      </c>
      <c r="G261" s="8" t="n">
        <f aca="false">-MIN(SUM(G254:G260),G249)</f>
        <v>-0</v>
      </c>
      <c r="H261" s="8" t="n">
        <f aca="false">SUM(E261:G261)</f>
        <v>-287.5</v>
      </c>
    </row>
    <row r="262" customFormat="false" ht="14.25" hidden="false" customHeight="false" outlineLevel="0" collapsed="false">
      <c r="C262" s="6" t="s">
        <v>239</v>
      </c>
      <c r="D262" s="2" t="s">
        <v>85</v>
      </c>
      <c r="E262" s="8" t="n">
        <f aca="false">SUM(E254:E261)</f>
        <v>4992.60276003656</v>
      </c>
      <c r="F262" s="8" t="n">
        <f aca="false">SUM(F254:F261)</f>
        <v>7250</v>
      </c>
      <c r="G262" s="8" t="n">
        <f aca="false">SUM(G254:G261)</f>
        <v>7250</v>
      </c>
      <c r="H262" s="8" t="n">
        <f aca="false">SUM(E262:G262)</f>
        <v>19492.6027600366</v>
      </c>
    </row>
    <row r="263" customFormat="false" ht="14.25" hidden="false" customHeight="false" outlineLevel="0" collapsed="false">
      <c r="C263" s="6" t="s">
        <v>240</v>
      </c>
      <c r="D263" s="2" t="s">
        <v>85</v>
      </c>
      <c r="E263" s="8" t="n">
        <f aca="false">E262*E19</f>
        <v>3494.82193202559</v>
      </c>
      <c r="F263" s="8" t="n">
        <f aca="false">F262*F19</f>
        <v>7250</v>
      </c>
      <c r="G263" s="8" t="n">
        <f aca="false">G262*G19</f>
        <v>7250</v>
      </c>
      <c r="H263" s="8" t="n">
        <f aca="false">SUM(E263:G263)</f>
        <v>17994.8219320256</v>
      </c>
    </row>
    <row r="264" customFormat="false" ht="14.25" hidden="false" customHeight="false" outlineLevel="0" collapsed="false">
      <c r="C264" s="6" t="s">
        <v>241</v>
      </c>
      <c r="D264" s="2" t="s">
        <v>85</v>
      </c>
      <c r="E264" s="8" t="n">
        <f aca="false">E262-E263</f>
        <v>1497.78082801097</v>
      </c>
      <c r="F264" s="8" t="n">
        <f aca="false">F262-F263</f>
        <v>0</v>
      </c>
      <c r="G264" s="8" t="n">
        <f aca="false">G262-G263</f>
        <v>0</v>
      </c>
      <c r="H264" s="8" t="n">
        <f aca="false">SUM(E264:G264)</f>
        <v>1497.78082801097</v>
      </c>
    </row>
    <row r="265" customFormat="false" ht="14.25" hidden="false" customHeight="false" outlineLevel="0" collapsed="false">
      <c r="C265" s="42" t="s">
        <v>242</v>
      </c>
      <c r="D265" s="42"/>
      <c r="E265" s="43" t="s">
        <v>5</v>
      </c>
      <c r="F265" s="43" t="s">
        <v>6</v>
      </c>
      <c r="G265" s="43" t="s">
        <v>7</v>
      </c>
      <c r="H265" s="43" t="s">
        <v>8</v>
      </c>
      <c r="J265" s="43" t="s">
        <v>243</v>
      </c>
      <c r="K265" s="43" t="s">
        <v>6</v>
      </c>
      <c r="L265" s="43" t="s">
        <v>7</v>
      </c>
    </row>
    <row r="266" customFormat="false" ht="14.25" hidden="false" customHeight="false" outlineLevel="0" collapsed="false">
      <c r="C266" s="6" t="s">
        <v>244</v>
      </c>
      <c r="D266" s="2" t="s">
        <v>85</v>
      </c>
      <c r="E266" s="8" t="n">
        <f aca="false">E98</f>
        <v>7500</v>
      </c>
      <c r="F266" s="8" t="n">
        <f aca="false">F98</f>
        <v>7500</v>
      </c>
      <c r="G266" s="8" t="n">
        <f aca="false">G98</f>
        <v>7500</v>
      </c>
      <c r="H266" s="8" t="n">
        <f aca="false">SUM(E266:G266)</f>
        <v>22500</v>
      </c>
      <c r="J266" s="24"/>
      <c r="K266" s="24"/>
      <c r="L266" s="24"/>
    </row>
    <row r="267" customFormat="false" ht="14.25" hidden="false" customHeight="false" outlineLevel="0" collapsed="false">
      <c r="C267" s="6" t="s">
        <v>245</v>
      </c>
      <c r="D267" s="2" t="s">
        <v>85</v>
      </c>
      <c r="E267" s="8" t="n">
        <f aca="false">0</f>
        <v>0</v>
      </c>
      <c r="F267" s="8" t="n">
        <f aca="false">0</f>
        <v>0</v>
      </c>
      <c r="G267" s="8" t="n">
        <f aca="false">0</f>
        <v>0</v>
      </c>
      <c r="H267" s="8" t="n">
        <f aca="false">SUM(E267:G267)</f>
        <v>0</v>
      </c>
      <c r="J267" s="24"/>
      <c r="K267" s="24"/>
      <c r="L267" s="24"/>
    </row>
    <row r="268" customFormat="false" ht="14.25" hidden="false" customHeight="false" outlineLevel="0" collapsed="false">
      <c r="C268" s="6" t="s">
        <v>246</v>
      </c>
      <c r="D268" s="2" t="s">
        <v>85</v>
      </c>
      <c r="E268" s="8" t="n">
        <f aca="false">0</f>
        <v>0</v>
      </c>
      <c r="F268" s="8" t="n">
        <f aca="false">0</f>
        <v>0</v>
      </c>
      <c r="G268" s="8" t="n">
        <f aca="false">0</f>
        <v>0</v>
      </c>
      <c r="H268" s="8" t="n">
        <f aca="false">SUM(E268:G268)</f>
        <v>0</v>
      </c>
      <c r="J268" s="24"/>
      <c r="K268" s="24"/>
      <c r="L268" s="24"/>
    </row>
    <row r="269" customFormat="false" ht="14.25" hidden="false" customHeight="false" outlineLevel="0" collapsed="false">
      <c r="C269" s="6" t="s">
        <v>247</v>
      </c>
      <c r="D269" s="2" t="s">
        <v>85</v>
      </c>
      <c r="E269" s="8" t="n">
        <f aca="false">0</f>
        <v>0</v>
      </c>
      <c r="F269" s="8" t="n">
        <f aca="false">0</f>
        <v>0</v>
      </c>
      <c r="G269" s="8" t="n">
        <f aca="false">0</f>
        <v>0</v>
      </c>
      <c r="H269" s="8" t="n">
        <f aca="false">SUM(E269:G269)</f>
        <v>0</v>
      </c>
      <c r="J269" s="24"/>
      <c r="K269" s="24"/>
      <c r="L269" s="24"/>
    </row>
    <row r="270" customFormat="false" ht="14.25" hidden="false" customHeight="false" outlineLevel="0" collapsed="false">
      <c r="C270" s="6" t="s">
        <v>248</v>
      </c>
      <c r="D270" s="2" t="s">
        <v>85</v>
      </c>
      <c r="E270" s="8" t="n">
        <f aca="false">E255</f>
        <v>-250</v>
      </c>
      <c r="F270" s="8" t="n">
        <f aca="false">F255</f>
        <v>-250</v>
      </c>
      <c r="G270" s="8" t="n">
        <f aca="false">G255</f>
        <v>-250</v>
      </c>
      <c r="H270" s="8" t="n">
        <f aca="false">SUM(E270:G270)</f>
        <v>-750</v>
      </c>
      <c r="J270" s="24"/>
      <c r="K270" s="24"/>
      <c r="L270" s="24"/>
    </row>
    <row r="271" customFormat="false" ht="14.25" hidden="false" customHeight="false" outlineLevel="0" collapsed="false">
      <c r="C271" s="6" t="s">
        <v>249</v>
      </c>
      <c r="D271" s="2" t="s">
        <v>85</v>
      </c>
      <c r="E271" s="8" t="n">
        <f aca="false">E261</f>
        <v>-287.5</v>
      </c>
      <c r="F271" s="8" t="n">
        <f aca="false">F261</f>
        <v>-0</v>
      </c>
      <c r="G271" s="8" t="n">
        <f aca="false">G261</f>
        <v>-0</v>
      </c>
      <c r="H271" s="8" t="n">
        <f aca="false">SUM(E271:G271)</f>
        <v>-287.5</v>
      </c>
      <c r="J271" s="24"/>
      <c r="K271" s="24"/>
      <c r="L271" s="24"/>
    </row>
    <row r="272" customFormat="false" ht="14.25" hidden="false" customHeight="false" outlineLevel="0" collapsed="false">
      <c r="C272" s="6" t="s">
        <v>250</v>
      </c>
      <c r="D272" s="2" t="s">
        <v>85</v>
      </c>
      <c r="E272" s="8" t="n">
        <f aca="false">-E264</f>
        <v>-1497.78082801097</v>
      </c>
      <c r="F272" s="8" t="n">
        <f aca="false">-F264</f>
        <v>-0</v>
      </c>
      <c r="G272" s="8" t="n">
        <f aca="false">-G264</f>
        <v>-0</v>
      </c>
      <c r="H272" s="8" t="n">
        <f aca="false">SUM(E272:G272)</f>
        <v>-1497.78082801097</v>
      </c>
      <c r="J272" s="24"/>
      <c r="K272" s="24"/>
      <c r="L272" s="24"/>
    </row>
    <row r="273" customFormat="false" ht="14.25" hidden="false" customHeight="false" outlineLevel="0" collapsed="false">
      <c r="C273" s="6" t="s">
        <v>251</v>
      </c>
      <c r="D273" s="68" t="s">
        <v>85</v>
      </c>
      <c r="E273" s="8" t="n">
        <f aca="false">-E258</f>
        <v>679.181008129718</v>
      </c>
      <c r="F273" s="8" t="n">
        <f aca="false">-F258</f>
        <v>0</v>
      </c>
      <c r="G273" s="8" t="n">
        <f aca="false">-G258</f>
        <v>0</v>
      </c>
      <c r="H273" s="8" t="n">
        <f aca="false">SUM(E273:G273)</f>
        <v>679.181008129718</v>
      </c>
      <c r="J273" s="24"/>
      <c r="K273" s="24"/>
      <c r="L273" s="24"/>
    </row>
    <row r="274" customFormat="false" ht="14.25" hidden="false" customHeight="false" outlineLevel="0" collapsed="false">
      <c r="C274" s="6" t="s">
        <v>252</v>
      </c>
      <c r="D274" s="68" t="s">
        <v>85</v>
      </c>
      <c r="E274" s="8" t="n">
        <f aca="false">-E259</f>
        <v>566.199264799899</v>
      </c>
      <c r="F274" s="8" t="n">
        <f aca="false">-F259</f>
        <v>0</v>
      </c>
      <c r="G274" s="8" t="n">
        <f aca="false">-G259</f>
        <v>0</v>
      </c>
      <c r="H274" s="8" t="n">
        <f aca="false">SUM(E274:G274)</f>
        <v>566.199264799899</v>
      </c>
      <c r="J274" s="24"/>
      <c r="K274" s="24"/>
      <c r="L274" s="24"/>
    </row>
    <row r="275" customFormat="false" ht="14.25" hidden="false" customHeight="false" outlineLevel="0" collapsed="false">
      <c r="C275" s="6" t="s">
        <v>253</v>
      </c>
      <c r="D275" s="68" t="s">
        <v>85</v>
      </c>
      <c r="E275" s="8" t="n">
        <f aca="false">-E260</f>
        <v>724.516967033827</v>
      </c>
      <c r="F275" s="8" t="n">
        <f aca="false">-F260</f>
        <v>0</v>
      </c>
      <c r="G275" s="8" t="n">
        <f aca="false">-G260</f>
        <v>0</v>
      </c>
      <c r="H275" s="8" t="n">
        <f aca="false">SUM(E275:G275)</f>
        <v>724.516967033827</v>
      </c>
      <c r="J275" s="24"/>
      <c r="K275" s="24"/>
      <c r="L275" s="24"/>
    </row>
    <row r="276" customFormat="false" ht="14.25" hidden="false" customHeight="false" outlineLevel="0" collapsed="false">
      <c r="C276" s="6" t="s">
        <v>29</v>
      </c>
      <c r="D276" s="68" t="s">
        <v>85</v>
      </c>
      <c r="E276" s="8" t="n">
        <f aca="false">E263</f>
        <v>3494.82193202559</v>
      </c>
      <c r="F276" s="8" t="n">
        <f aca="false">F263</f>
        <v>7250</v>
      </c>
      <c r="G276" s="8" t="n">
        <f aca="false">G263</f>
        <v>7250</v>
      </c>
      <c r="H276" s="8" t="n">
        <f aca="false">SUM(E276:G276)</f>
        <v>17994.8219320256</v>
      </c>
      <c r="J276" s="24"/>
      <c r="K276" s="24"/>
      <c r="L276" s="24"/>
    </row>
    <row r="277" customFormat="false" ht="14.25" hidden="false" customHeight="false" outlineLevel="0" collapsed="false">
      <c r="C277" s="44" t="s">
        <v>254</v>
      </c>
      <c r="D277" s="45" t="s">
        <v>85</v>
      </c>
      <c r="E277" s="69" t="n">
        <f aca="false">SUM(E273:E276)</f>
        <v>5464.71917198903</v>
      </c>
      <c r="F277" s="69" t="n">
        <f aca="false">SUM(F273:F276)</f>
        <v>7250</v>
      </c>
      <c r="G277" s="69" t="n">
        <f aca="false">SUM(G273:G276)</f>
        <v>7250</v>
      </c>
      <c r="H277" s="69" t="n">
        <f aca="false">SUM(E277:G277)</f>
        <v>19964.719171989</v>
      </c>
    </row>
    <row r="278" customFormat="false" ht="14.25" hidden="false" customHeight="false" outlineLevel="0" collapsed="false">
      <c r="C278" s="6" t="s">
        <v>255</v>
      </c>
      <c r="D278" s="2" t="s">
        <v>85</v>
      </c>
      <c r="E278" s="8" t="n">
        <f aca="false">-E69</f>
        <v>-100</v>
      </c>
      <c r="F278" s="8" t="n">
        <f aca="false">-F69</f>
        <v>-150</v>
      </c>
      <c r="G278" s="8" t="n">
        <f aca="false">-G69</f>
        <v>-150</v>
      </c>
      <c r="H278" s="8" t="n">
        <f aca="false">SUM(E278:G278)</f>
        <v>-400</v>
      </c>
      <c r="J278" s="24"/>
      <c r="K278" s="24"/>
      <c r="L278" s="24"/>
    </row>
    <row r="279" customFormat="false" ht="14.25" hidden="false" customHeight="false" outlineLevel="0" collapsed="false">
      <c r="C279" s="6" t="s">
        <v>256</v>
      </c>
      <c r="D279" s="2" t="s">
        <v>85</v>
      </c>
      <c r="E279" s="8" t="n">
        <f aca="false">-E61</f>
        <v>-8.21917808219178</v>
      </c>
      <c r="F279" s="8" t="n">
        <f aca="false">-F61</f>
        <v>-8.21917808219178</v>
      </c>
      <c r="G279" s="8" t="n">
        <f aca="false">-G61</f>
        <v>-8.21917808219178</v>
      </c>
      <c r="H279" s="8" t="n">
        <f aca="false">SUM(E279:G279)</f>
        <v>-24.6575342465753</v>
      </c>
      <c r="J279" s="24"/>
      <c r="K279" s="24"/>
      <c r="L279" s="24"/>
    </row>
    <row r="280" customFormat="false" ht="14.25" hidden="false" customHeight="false" outlineLevel="0" collapsed="false">
      <c r="C280" s="6" t="s">
        <v>257</v>
      </c>
      <c r="D280" s="2" t="s">
        <v>85</v>
      </c>
      <c r="E280" s="8" t="n">
        <f aca="false">-E223</f>
        <v>-679.181008129718</v>
      </c>
      <c r="F280" s="8" t="n">
        <f aca="false">-F223</f>
        <v>-679.181008129718</v>
      </c>
      <c r="G280" s="8" t="n">
        <f aca="false">-G223</f>
        <v>-679.181008129718</v>
      </c>
      <c r="H280" s="8" t="n">
        <f aca="false">SUM(E280:G280)</f>
        <v>-2037.54302438915</v>
      </c>
      <c r="J280" s="24"/>
      <c r="K280" s="24"/>
      <c r="L280" s="24"/>
    </row>
    <row r="281" customFormat="false" ht="14.25" hidden="false" customHeight="false" outlineLevel="0" collapsed="false">
      <c r="C281" s="44" t="s">
        <v>258</v>
      </c>
      <c r="D281" s="45" t="s">
        <v>85</v>
      </c>
      <c r="E281" s="69" t="n">
        <f aca="false">E277+SUM(E278:E280)</f>
        <v>4677.31898577712</v>
      </c>
      <c r="F281" s="69" t="n">
        <f aca="false">F277+SUM(F278:F280)</f>
        <v>6412.59981378809</v>
      </c>
      <c r="G281" s="69" t="n">
        <f aca="false">G277+SUM(G278:G280)</f>
        <v>6412.59981378809</v>
      </c>
      <c r="H281" s="69" t="n">
        <f aca="false">SUM(E281:G281)</f>
        <v>17502.5186133533</v>
      </c>
    </row>
    <row r="282" customFormat="false" ht="14.25" hidden="false" customHeight="false" outlineLevel="0" collapsed="false">
      <c r="C282" s="1" t="s">
        <v>259</v>
      </c>
      <c r="D282" s="2" t="s">
        <v>85</v>
      </c>
      <c r="E282" s="32" t="n">
        <f aca="false">-MAX(0,E281)*CIT_Rate*(1-Share_Exempt)</f>
        <v>-0</v>
      </c>
      <c r="F282" s="32" t="n">
        <f aca="false">-MAX(0,F281)*CIT_Rate*(1-Share_Exempt)</f>
        <v>-0</v>
      </c>
      <c r="G282" s="32" t="n">
        <f aca="false">-MAX(0,G281)*CIT_Rate*(1-Share_Exempt)</f>
        <v>-0</v>
      </c>
      <c r="H282" s="32" t="n">
        <f aca="false">SUM(E282:G282)</f>
        <v>0</v>
      </c>
    </row>
    <row r="283" customFormat="false" ht="14.25" hidden="false" customHeight="false" outlineLevel="0" collapsed="false">
      <c r="C283" s="1" t="s">
        <v>260</v>
      </c>
      <c r="D283" s="2" t="s">
        <v>85</v>
      </c>
      <c r="E283" s="32" t="n">
        <f aca="false">-E248*CIT_Rate*E$21</f>
        <v>-193.607434775059</v>
      </c>
      <c r="F283" s="32" t="n">
        <f aca="false">-F248*CIT_Rate*F$21</f>
        <v>-0</v>
      </c>
      <c r="G283" s="32" t="n">
        <f aca="false">-G248*CIT_Rate*G$21</f>
        <v>-0</v>
      </c>
      <c r="H283" s="32" t="n">
        <f aca="false">SUM(E283:G283)</f>
        <v>-193.607434775059</v>
      </c>
    </row>
    <row r="284" customFormat="false" ht="14.25" hidden="false" customHeight="false" outlineLevel="0" collapsed="false">
      <c r="C284" s="44" t="s">
        <v>129</v>
      </c>
      <c r="D284" s="45" t="s">
        <v>85</v>
      </c>
      <c r="E284" s="69" t="n">
        <f aca="false">E281+E282+E283</f>
        <v>4483.71155100206</v>
      </c>
      <c r="F284" s="69" t="n">
        <f aca="false">F281+F282+F283</f>
        <v>6412.59981378809</v>
      </c>
      <c r="G284" s="69" t="n">
        <f aca="false">G281+G282+G283</f>
        <v>6412.59981378809</v>
      </c>
      <c r="H284" s="69" t="n">
        <f aca="false">SUM(E284:G284)</f>
        <v>17308.9111785782</v>
      </c>
    </row>
    <row r="285" customFormat="false" ht="14.25" hidden="false" customHeight="false" outlineLevel="0" collapsed="false">
      <c r="C285" s="6" t="s">
        <v>261</v>
      </c>
      <c r="D285" s="2" t="s">
        <v>3</v>
      </c>
      <c r="E285" s="47" t="n">
        <f aca="false">SUMIF(E289:E296,"&gt;0")/-SUMIF(E289:E296,"&lt;0")</f>
        <v>2.37907284809717</v>
      </c>
      <c r="F285" s="47" t="n">
        <f aca="false">SUMIF(F289:F296,"&gt;0")/-SUMIF(F289:F296,"&lt;0")</f>
        <v>2.60568088818687</v>
      </c>
      <c r="G285" s="47" t="n">
        <f aca="false">SUMIF(G289:G296,"&gt;0")/-SUMIF(G289:G296,"&lt;0")</f>
        <v>2.60568088818687</v>
      </c>
      <c r="H285" s="47" t="n">
        <f aca="false">SUMIF(H289:H296,"&gt;0")/-SUMIF(H289:H296,"&lt;0")</f>
        <v>2.53813796695766</v>
      </c>
    </row>
    <row r="286" customFormat="false" ht="14.25" hidden="false" customHeight="false" outlineLevel="0" collapsed="false">
      <c r="C286" s="6" t="s">
        <v>262</v>
      </c>
      <c r="D286" s="2" t="s">
        <v>12</v>
      </c>
      <c r="E286" s="48" t="n">
        <f aca="false">XIRR(E289:E296,J289:J296)</f>
        <v>0.710305043746515</v>
      </c>
      <c r="F286" s="48" t="n">
        <f aca="false">XIRR(F289:F296,K289:K296)</f>
        <v>0.789921152442643</v>
      </c>
      <c r="G286" s="48" t="n">
        <f aca="false">XIRR(G289:G296,L289:L296)</f>
        <v>0.789921152442643</v>
      </c>
      <c r="H286" s="49" t="n">
        <f aca="false">XIRR(H289:H296,J289:J296)</f>
        <v>0.766962263093306</v>
      </c>
    </row>
    <row r="287" customFormat="false" ht="14.25" hidden="false" customHeight="false" outlineLevel="0" collapsed="false">
      <c r="C287" s="70" t="s">
        <v>263</v>
      </c>
      <c r="D287" s="34" t="s">
        <v>85</v>
      </c>
      <c r="E287" s="8" t="n">
        <f aca="false">E281-E337</f>
        <v>-265.366124846721</v>
      </c>
      <c r="F287" s="8" t="n">
        <f aca="false">F281-F337</f>
        <v>21.9178082191811</v>
      </c>
      <c r="G287" s="8" t="n">
        <f aca="false">G281-G337</f>
        <v>21.9178082191811</v>
      </c>
      <c r="H287" s="8" t="n">
        <f aca="false">SUM(E287:G287)</f>
        <v>-221.530508408358</v>
      </c>
    </row>
    <row r="288" customFormat="false" ht="14.25" hidden="false" customHeight="false" outlineLevel="0" collapsed="false">
      <c r="C288" s="42" t="s">
        <v>264</v>
      </c>
      <c r="D288" s="42"/>
      <c r="E288" s="43"/>
      <c r="F288" s="43"/>
      <c r="G288" s="43"/>
      <c r="H288" s="43"/>
      <c r="J288" s="43" t="s">
        <v>243</v>
      </c>
      <c r="K288" s="43" t="s">
        <v>6</v>
      </c>
      <c r="L288" s="43" t="s">
        <v>7</v>
      </c>
      <c r="M288" s="43" t="s">
        <v>265</v>
      </c>
      <c r="N288" s="43" t="s">
        <v>266</v>
      </c>
      <c r="O288" s="43" t="s">
        <v>267</v>
      </c>
    </row>
    <row r="289" customFormat="false" ht="14.25" hidden="false" customHeight="false" outlineLevel="1" collapsed="false">
      <c r="C289" s="6" t="s">
        <v>82</v>
      </c>
      <c r="D289" s="2" t="s">
        <v>85</v>
      </c>
      <c r="E289" s="8" t="n">
        <f aca="false">-E69</f>
        <v>-100</v>
      </c>
      <c r="F289" s="8" t="n">
        <f aca="false">-F69</f>
        <v>-150</v>
      </c>
      <c r="G289" s="8" t="n">
        <f aca="false">-G69</f>
        <v>-150</v>
      </c>
      <c r="H289" s="8" t="n">
        <f aca="false">SUM(E289:G289)</f>
        <v>-400</v>
      </c>
      <c r="J289" s="24" t="n">
        <f aca="false">Inputs!E$20</f>
        <v>46234</v>
      </c>
      <c r="K289" s="24" t="n">
        <f aca="false">Inputs!F$20</f>
        <v>46234</v>
      </c>
      <c r="L289" s="24" t="n">
        <f aca="false">Inputs!G$20</f>
        <v>46234</v>
      </c>
    </row>
    <row r="290" customFormat="false" ht="14.25" hidden="false" customHeight="false" outlineLevel="1" collapsed="false">
      <c r="C290" s="6" t="s">
        <v>73</v>
      </c>
      <c r="D290" s="2" t="s">
        <v>85</v>
      </c>
      <c r="E290" s="8" t="n">
        <f aca="false">-E61</f>
        <v>-8.21917808219178</v>
      </c>
      <c r="F290" s="8" t="n">
        <f aca="false">-F61</f>
        <v>-8.21917808219178</v>
      </c>
      <c r="G290" s="8" t="n">
        <f aca="false">-G61</f>
        <v>-8.21917808219178</v>
      </c>
      <c r="H290" s="8" t="n">
        <f aca="false">SUM(E290:G290)</f>
        <v>-24.6575342465753</v>
      </c>
      <c r="J290" s="24" t="n">
        <f aca="false">Inputs!E$21</f>
        <v>46325</v>
      </c>
      <c r="K290" s="24" t="n">
        <f aca="false">Inputs!F$21</f>
        <v>46325</v>
      </c>
      <c r="L290" s="24" t="n">
        <f aca="false">Inputs!G$21</f>
        <v>46325</v>
      </c>
      <c r="M290" s="71" t="n">
        <f aca="false">1+Rate_Cash*(DATE(YEAR(J290)+1,1,1)-J290)/Days_In_Year</f>
        <v>1.02071232876712</v>
      </c>
      <c r="N290" s="71" t="n">
        <f aca="false">1+Rate_Cash*(DATE(YEAR(K290)+1,1,1)-K290)/Days_In_Year</f>
        <v>1.02071232876712</v>
      </c>
      <c r="O290" s="71" t="n">
        <f aca="false">1+Rate_Cash*(DATE(YEAR(L290)+1,1,1)-L290)/Days_In_Year</f>
        <v>1.02071232876712</v>
      </c>
    </row>
    <row r="291" customFormat="false" ht="14.25" hidden="false" customHeight="false" outlineLevel="1" collapsed="false">
      <c r="C291" s="6" t="s">
        <v>75</v>
      </c>
      <c r="D291" s="2" t="s">
        <v>85</v>
      </c>
      <c r="E291" s="8" t="n">
        <f aca="false">-E62</f>
        <v>-388.493150684932</v>
      </c>
      <c r="F291" s="8" t="n">
        <f aca="false">-F62</f>
        <v>-498.904109589041</v>
      </c>
      <c r="G291" s="8" t="n">
        <f aca="false">-G62</f>
        <v>-498.904109589041</v>
      </c>
      <c r="H291" s="8" t="n">
        <f aca="false">SUM(E291:G291)</f>
        <v>-1386.30136986301</v>
      </c>
      <c r="J291" s="24" t="n">
        <f aca="false">Inputs!E$21</f>
        <v>46325</v>
      </c>
      <c r="K291" s="24" t="n">
        <f aca="false">Inputs!F$21</f>
        <v>46325</v>
      </c>
      <c r="L291" s="24" t="n">
        <f aca="false">Inputs!G$21</f>
        <v>46325</v>
      </c>
      <c r="M291" s="71" t="n">
        <f aca="false">1+Rate_Cash*(DATE(YEAR(J291)+1,1,1)-J291)/Days_In_Year</f>
        <v>1.02071232876712</v>
      </c>
      <c r="N291" s="71" t="n">
        <f aca="false">1+Rate_Cash*(DATE(YEAR(K291)+1,1,1)-K291)/Days_In_Year</f>
        <v>1.02071232876712</v>
      </c>
      <c r="O291" s="71" t="n">
        <f aca="false">1+Rate_Cash*(DATE(YEAR(L291)+1,1,1)-L291)/Days_In_Year</f>
        <v>1.02071232876712</v>
      </c>
    </row>
    <row r="292" customFormat="false" ht="14.25" hidden="false" customHeight="false" outlineLevel="1" collapsed="false">
      <c r="C292" s="6" t="s">
        <v>268</v>
      </c>
      <c r="D292" s="2" t="s">
        <v>85</v>
      </c>
      <c r="E292" s="8" t="n">
        <f aca="false">-E63</f>
        <v>-1553.97260273973</v>
      </c>
      <c r="F292" s="8" t="n">
        <f aca="false">-F63</f>
        <v>-1995.61643835616</v>
      </c>
      <c r="G292" s="8" t="n">
        <f aca="false">-G63</f>
        <v>-1995.61643835616</v>
      </c>
      <c r="H292" s="8" t="n">
        <f aca="false">SUM(E292:G292)</f>
        <v>-5545.20547945205</v>
      </c>
      <c r="J292" s="24" t="n">
        <f aca="false">Inputs!E$22</f>
        <v>46402</v>
      </c>
      <c r="K292" s="24" t="n">
        <f aca="false">Inputs!F$22</f>
        <v>46402</v>
      </c>
      <c r="L292" s="24" t="n">
        <f aca="false">Inputs!G$22</f>
        <v>46402</v>
      </c>
      <c r="M292" s="71" t="n">
        <f aca="false">1+Rate_Cash*(DATE(YEAR(J292)+1,1,1)-J292)/Days_In_Year</f>
        <v>1.11539726027397</v>
      </c>
      <c r="N292" s="71" t="n">
        <f aca="false">1+Rate_Cash*(DATE(YEAR(K292)+1,1,1)-K292)/Days_In_Year</f>
        <v>1.11539726027397</v>
      </c>
      <c r="O292" s="71" t="n">
        <f aca="false">1+Rate_Cash*(DATE(YEAR(L292)+1,1,1)-L292)/Days_In_Year</f>
        <v>1.11539726027397</v>
      </c>
    </row>
    <row r="293" customFormat="false" ht="14.25" hidden="false" customHeight="false" outlineLevel="1" collapsed="false">
      <c r="C293" s="6" t="s">
        <v>77</v>
      </c>
      <c r="D293" s="2" t="s">
        <v>85</v>
      </c>
      <c r="E293" s="8" t="n">
        <f aca="false">-E64</f>
        <v>-616.438356164384</v>
      </c>
      <c r="F293" s="8" t="n">
        <f aca="false">-F64</f>
        <v>-616.438356164384</v>
      </c>
      <c r="G293" s="8" t="n">
        <f aca="false">-G64</f>
        <v>-616.438356164384</v>
      </c>
      <c r="H293" s="8" t="n">
        <f aca="false">SUM(E293:G293)</f>
        <v>-1849.31506849315</v>
      </c>
      <c r="J293" s="24" t="n">
        <f aca="false">Inputs!E$23</f>
        <v>46402</v>
      </c>
      <c r="K293" s="24" t="n">
        <f aca="false">Inputs!F$23</f>
        <v>46402</v>
      </c>
      <c r="L293" s="24" t="n">
        <f aca="false">Inputs!G$23</f>
        <v>46402</v>
      </c>
      <c r="M293" s="71" t="n">
        <f aca="false">1+Rate_Cash*(DATE(YEAR(J293)+1,1,1)-J293)/Days_In_Year</f>
        <v>1.11539726027397</v>
      </c>
      <c r="N293" s="71" t="n">
        <f aca="false">1+Rate_Cash*(DATE(YEAR(K293)+1,1,1)-K293)/Days_In_Year</f>
        <v>1.11539726027397</v>
      </c>
      <c r="O293" s="71" t="n">
        <f aca="false">1+Rate_Cash*(DATE(YEAR(L293)+1,1,1)-L293)/Days_In_Year</f>
        <v>1.11539726027397</v>
      </c>
    </row>
    <row r="294" customFormat="false" ht="14.25" hidden="false" customHeight="false" outlineLevel="1" collapsed="false">
      <c r="C294" s="6" t="s">
        <v>116</v>
      </c>
      <c r="D294" s="2" t="s">
        <v>85</v>
      </c>
      <c r="E294" s="8" t="n">
        <f aca="false">-E220</f>
        <v>-45.3359589041096</v>
      </c>
      <c r="F294" s="8" t="n">
        <f aca="false">-F220</f>
        <v>-45.3359589041096</v>
      </c>
      <c r="G294" s="8" t="n">
        <f aca="false">-G220</f>
        <v>-45.3359589041096</v>
      </c>
      <c r="H294" s="8" t="n">
        <f aca="false">SUM(E294:G294)</f>
        <v>-136.007876712329</v>
      </c>
      <c r="J294" s="24" t="n">
        <f aca="false">E219</f>
        <v>46431</v>
      </c>
      <c r="K294" s="24" t="n">
        <f aca="false">F219</f>
        <v>46431</v>
      </c>
      <c r="L294" s="24" t="n">
        <f aca="false">G219</f>
        <v>46431</v>
      </c>
      <c r="M294" s="71" t="n">
        <f aca="false">1+Rate_Devex*(DATE(YEAR(J294)+1,1,1)-J294)/Days_In_Year</f>
        <v>1.17643835616438</v>
      </c>
      <c r="N294" s="71" t="n">
        <f aca="false">1+Rate_Devex*(DATE(YEAR(K294)+1,1,1)-K294)/Days_In_Year</f>
        <v>1.17643835616438</v>
      </c>
      <c r="O294" s="71" t="n">
        <f aca="false">1+Rate_Devex*(DATE(YEAR(L294)+1,1,1)-L294)/Days_In_Year</f>
        <v>1.17643835616438</v>
      </c>
    </row>
    <row r="295" customFormat="false" ht="14.25" hidden="false" customHeight="false" outlineLevel="1" collapsed="false">
      <c r="C295" s="6" t="s">
        <v>269</v>
      </c>
      <c r="D295" s="2" t="s">
        <v>85</v>
      </c>
      <c r="E295" s="8" t="n">
        <f aca="false">-E223</f>
        <v>-679.181008129718</v>
      </c>
      <c r="F295" s="8" t="n">
        <f aca="false">-F223</f>
        <v>-679.181008129718</v>
      </c>
      <c r="G295" s="8" t="n">
        <f aca="false">-G223</f>
        <v>-679.181008129718</v>
      </c>
      <c r="H295" s="8" t="n">
        <f aca="false">SUM(E295:G295)</f>
        <v>-2037.54302438915</v>
      </c>
      <c r="J295" s="24" t="n">
        <f aca="false">E222</f>
        <v>46701.5587560279</v>
      </c>
      <c r="K295" s="24" t="n">
        <f aca="false">F222</f>
        <v>46701.5587560279</v>
      </c>
      <c r="L295" s="24" t="n">
        <f aca="false">G222</f>
        <v>46701.5587560279</v>
      </c>
      <c r="M295" s="71" t="n">
        <f aca="false">1+Rate_Devex*(DATE(YEAR(J295)+1,1,1)-J295)/Days_In_Year</f>
        <v>1.02818698299841</v>
      </c>
      <c r="N295" s="71" t="n">
        <f aca="false">1+Rate_Devex*(DATE(YEAR(K295)+1,1,1)-K295)/Days_In_Year</f>
        <v>1.02818698299841</v>
      </c>
      <c r="O295" s="71" t="n">
        <f aca="false">1+Rate_Devex*(DATE(YEAR(L295)+1,1,1)-L295)/Days_In_Year</f>
        <v>1.02818698299841</v>
      </c>
    </row>
    <row r="296" customFormat="false" ht="14.25" hidden="false" customHeight="false" outlineLevel="1" collapsed="false">
      <c r="C296" s="6" t="s">
        <v>270</v>
      </c>
      <c r="D296" s="2" t="s">
        <v>85</v>
      </c>
      <c r="E296" s="8" t="n">
        <f aca="false">E277-E256-E257</f>
        <v>8068.95924048218</v>
      </c>
      <c r="F296" s="8" t="n">
        <f aca="false">F277-F256-F257</f>
        <v>10406.2948630137</v>
      </c>
      <c r="G296" s="8" t="n">
        <f aca="false">G277-G256-G257</f>
        <v>10406.2948630137</v>
      </c>
      <c r="H296" s="8" t="n">
        <f aca="false">SUM(E296:G296)</f>
        <v>28881.5489665096</v>
      </c>
      <c r="J296" s="24" t="n">
        <f aca="false">Sale_Date_A</f>
        <v>47026</v>
      </c>
      <c r="K296" s="24" t="n">
        <f aca="false">Sale_Date_A</f>
        <v>47026</v>
      </c>
      <c r="L296" s="24" t="n">
        <f aca="false">Sale_Date_A</f>
        <v>47026</v>
      </c>
    </row>
    <row r="297" customFormat="false" ht="14.25" hidden="false" customHeight="false" outlineLevel="0" collapsed="false">
      <c r="C297" s="6" t="s">
        <v>271</v>
      </c>
      <c r="D297" s="2" t="s">
        <v>85</v>
      </c>
      <c r="E297" s="8" t="n">
        <f aca="false">-J$415*CIT_Rate*E$21</f>
        <v>-1.23252542690937</v>
      </c>
      <c r="F297" s="8" t="n">
        <f aca="false">-J$466*CIT_Rate*F$21</f>
        <v>-0</v>
      </c>
      <c r="G297" s="8" t="n">
        <f aca="false">-J$517*CIT_Rate*G$21</f>
        <v>-0</v>
      </c>
      <c r="H297" s="8" t="n">
        <f aca="false">SUM(E297:G297)</f>
        <v>-1.23252542690937</v>
      </c>
      <c r="J297" s="24" t="n">
        <f aca="false">J$364</f>
        <v>46387</v>
      </c>
      <c r="K297" s="24" t="n">
        <f aca="false">J$364</f>
        <v>46387</v>
      </c>
      <c r="L297" s="24" t="n">
        <f aca="false">J$364</f>
        <v>46387</v>
      </c>
    </row>
    <row r="298" customFormat="false" ht="14.25" hidden="false" customHeight="false" outlineLevel="0" collapsed="false">
      <c r="C298" s="6" t="s">
        <v>272</v>
      </c>
      <c r="D298" s="2" t="s">
        <v>85</v>
      </c>
      <c r="E298" s="8" t="n">
        <f aca="false">-K$415*CIT_Rate*E$21</f>
        <v>-48.9291065569347</v>
      </c>
      <c r="F298" s="8" t="n">
        <f aca="false">-K$466*CIT_Rate*F$21</f>
        <v>-0</v>
      </c>
      <c r="G298" s="8" t="n">
        <f aca="false">-K$517*CIT_Rate*G$21</f>
        <v>-0</v>
      </c>
      <c r="H298" s="8" t="n">
        <f aca="false">SUM(E298:G298)</f>
        <v>-48.9291065569347</v>
      </c>
      <c r="J298" s="24" t="n">
        <f aca="false">K$364</f>
        <v>46752</v>
      </c>
      <c r="K298" s="24" t="n">
        <f aca="false">K$364</f>
        <v>46752</v>
      </c>
      <c r="L298" s="24" t="n">
        <f aca="false">K$364</f>
        <v>46752</v>
      </c>
    </row>
    <row r="299" customFormat="false" ht="14.25" hidden="false" customHeight="false" outlineLevel="0" collapsed="false">
      <c r="C299" s="6" t="s">
        <v>273</v>
      </c>
      <c r="D299" s="2" t="s">
        <v>85</v>
      </c>
      <c r="E299" s="8" t="n">
        <f aca="false">-L$415*CIT_Rate*E$21</f>
        <v>0</v>
      </c>
      <c r="F299" s="8" t="n">
        <f aca="false">-L$466*CIT_Rate*F$21</f>
        <v>-0</v>
      </c>
      <c r="G299" s="8" t="n">
        <f aca="false">-L$517*CIT_Rate*G$21</f>
        <v>-0</v>
      </c>
      <c r="H299" s="8" t="n">
        <f aca="false">SUM(E299:G299)</f>
        <v>0</v>
      </c>
      <c r="J299" s="24" t="n">
        <f aca="false">L$364</f>
        <v>47118</v>
      </c>
      <c r="K299" s="24" t="n">
        <f aca="false">L$364</f>
        <v>47118</v>
      </c>
      <c r="L299" s="24" t="n">
        <f aca="false">L$364</f>
        <v>47118</v>
      </c>
    </row>
    <row r="300" customFormat="false" ht="14.25" hidden="false" customHeight="false" outlineLevel="0" collapsed="false">
      <c r="C300" s="6" t="s">
        <v>274</v>
      </c>
      <c r="D300" s="2" t="s">
        <v>85</v>
      </c>
      <c r="E300" s="8" t="n">
        <f aca="false">-E248*CIT_Rate*E$21-SUM(E297:E299)</f>
        <v>-143.445802791215</v>
      </c>
      <c r="F300" s="8" t="n">
        <f aca="false">-F248*CIT_Rate*F$21-SUM(F297:F299)</f>
        <v>-0</v>
      </c>
      <c r="G300" s="8" t="n">
        <f aca="false">-G248*CIT_Rate*G$21-SUM(G297:G299)</f>
        <v>-0</v>
      </c>
      <c r="H300" s="8" t="n">
        <f aca="false">SUM(E300:G300)</f>
        <v>-143.445802791215</v>
      </c>
      <c r="J300" s="24" t="n">
        <f aca="false">Sale_Date_A</f>
        <v>47026</v>
      </c>
      <c r="K300" s="24" t="n">
        <f aca="false">Sale_Date_A</f>
        <v>47026</v>
      </c>
      <c r="L300" s="24" t="n">
        <f aca="false">Sale_Date_A</f>
        <v>47026</v>
      </c>
    </row>
    <row r="301" customFormat="false" ht="14.25" hidden="false" customHeight="false" outlineLevel="0" collapsed="false">
      <c r="C301" s="6" t="s">
        <v>259</v>
      </c>
      <c r="D301" s="2" t="s">
        <v>85</v>
      </c>
      <c r="E301" s="8" t="n">
        <f aca="false">E282</f>
        <v>-0</v>
      </c>
      <c r="F301" s="8" t="n">
        <f aca="false">F282</f>
        <v>-0</v>
      </c>
      <c r="G301" s="8" t="n">
        <f aca="false">G282</f>
        <v>-0</v>
      </c>
      <c r="H301" s="8" t="n">
        <f aca="false">SUM(E301:G301)</f>
        <v>0</v>
      </c>
      <c r="J301" s="24" t="n">
        <f aca="false">Sale_Date_A</f>
        <v>47026</v>
      </c>
      <c r="K301" s="24" t="n">
        <f aca="false">Sale_Date_A</f>
        <v>47026</v>
      </c>
      <c r="L301" s="24" t="n">
        <f aca="false">Sale_Date_A</f>
        <v>47026</v>
      </c>
    </row>
    <row r="302" customFormat="false" ht="14.25" hidden="false" customHeight="false" outlineLevel="0" collapsed="false">
      <c r="C302" s="6" t="s">
        <v>275</v>
      </c>
      <c r="D302" s="2" t="s">
        <v>3</v>
      </c>
      <c r="E302" s="47" t="n">
        <f aca="false">SUMIF(E289:E301,"&gt;0")/-SUMIF(E289:E301,"&lt;0")</f>
        <v>2.25060022049752</v>
      </c>
      <c r="F302" s="47" t="n">
        <f aca="false">SUMIF(F289:F301,"&gt;0")/-SUMIF(F289:F301,"&lt;0")</f>
        <v>2.60568088818687</v>
      </c>
      <c r="G302" s="47" t="n">
        <f aca="false">SUMIF(G289:G301,"&gt;0")/-SUMIF(G289:G301,"&lt;0")</f>
        <v>2.60568088818687</v>
      </c>
      <c r="H302" s="47" t="n">
        <f aca="false">SUMIF(H289:H301,"&gt;0")/-SUMIF(H289:H301,"&lt;0")</f>
        <v>2.49567553186786</v>
      </c>
      <c r="J302" s="24"/>
      <c r="K302" s="24"/>
      <c r="L302" s="24"/>
    </row>
    <row r="303" customFormat="false" ht="14.25" hidden="false" customHeight="false" outlineLevel="0" collapsed="false">
      <c r="C303" s="6" t="s">
        <v>276</v>
      </c>
      <c r="D303" s="2" t="s">
        <v>12</v>
      </c>
      <c r="E303" s="48" t="n">
        <f aca="false">XIRR(E289:E301,J289:J301)</f>
        <v>0.681940556156356</v>
      </c>
      <c r="F303" s="48" t="n">
        <f aca="false">XIRR(F289:F301,K289:K301)</f>
        <v>0.789921152442643</v>
      </c>
      <c r="G303" s="48" t="n">
        <f aca="false">XIRR(G289:G301,L289:L301)</f>
        <v>0.789921152442643</v>
      </c>
      <c r="H303" s="49" t="n">
        <f aca="false">XIRR(H289:H301,J289:J301)</f>
        <v>0.75881111235611</v>
      </c>
      <c r="J303" s="24"/>
      <c r="K303" s="24"/>
      <c r="L303" s="24"/>
    </row>
    <row r="305" customFormat="false" ht="14.25" hidden="false" customHeight="false" outlineLevel="0" collapsed="false">
      <c r="B305" s="4" t="s">
        <v>3</v>
      </c>
      <c r="C305" s="4" t="s">
        <v>277</v>
      </c>
      <c r="D305" s="4"/>
      <c r="E305" s="5" t="s">
        <v>5</v>
      </c>
      <c r="F305" s="5" t="s">
        <v>6</v>
      </c>
      <c r="G305" s="5" t="s">
        <v>7</v>
      </c>
      <c r="H305" s="5" t="s">
        <v>8</v>
      </c>
    </row>
    <row r="306" customFormat="false" ht="14.25" hidden="false" customHeight="false" outlineLevel="0" collapsed="false">
      <c r="C306" s="6" t="s">
        <v>28</v>
      </c>
      <c r="D306" s="2" t="s">
        <v>85</v>
      </c>
      <c r="E306" s="8" t="n">
        <f aca="false">E98</f>
        <v>7500</v>
      </c>
      <c r="F306" s="8" t="n">
        <f aca="false">F98</f>
        <v>7500</v>
      </c>
      <c r="G306" s="8" t="n">
        <f aca="false">G98</f>
        <v>7500</v>
      </c>
      <c r="H306" s="8" t="n">
        <f aca="false">SUM(E306:G306)</f>
        <v>22500</v>
      </c>
    </row>
    <row r="307" customFormat="false" ht="14.25" hidden="false" customHeight="false" outlineLevel="0" collapsed="false">
      <c r="C307" s="6" t="s">
        <v>278</v>
      </c>
      <c r="D307" s="2" t="s">
        <v>85</v>
      </c>
      <c r="E307" s="8" t="n">
        <f aca="false">SUM(E62:E66)</f>
        <v>12648.5978136986</v>
      </c>
      <c r="F307" s="8" t="n">
        <f aca="false">SUM(F62:F66)</f>
        <v>6470.77808219178</v>
      </c>
      <c r="G307" s="8" t="n">
        <f aca="false">SUM(G62:G66)</f>
        <v>6470.77808219178</v>
      </c>
      <c r="H307" s="8" t="n">
        <f aca="false">SUM(E307:G307)</f>
        <v>25590.1539780822</v>
      </c>
    </row>
    <row r="308" customFormat="false" ht="14.25" hidden="false" customHeight="false" outlineLevel="0" collapsed="false">
      <c r="C308" s="1" t="s">
        <v>230</v>
      </c>
      <c r="D308" s="2" t="s">
        <v>85</v>
      </c>
      <c r="E308" s="15" t="n">
        <f aca="false">E68</f>
        <v>107.801712328767</v>
      </c>
      <c r="F308" s="15" t="n">
        <f aca="false">F68</f>
        <v>107.801712328767</v>
      </c>
      <c r="G308" s="15" t="n">
        <f aca="false">G68</f>
        <v>107.801712328767</v>
      </c>
      <c r="H308" s="15" t="n">
        <f aca="false">SUM(E308:G308)</f>
        <v>323.405136986301</v>
      </c>
    </row>
    <row r="309" customFormat="false" ht="14.25" hidden="false" customHeight="false" outlineLevel="0" collapsed="false">
      <c r="C309" s="6" t="s">
        <v>231</v>
      </c>
      <c r="D309" s="2" t="s">
        <v>85</v>
      </c>
      <c r="E309" s="8" t="n">
        <f aca="false">SUM(E306:E308)</f>
        <v>20256.3995260274</v>
      </c>
      <c r="F309" s="8" t="n">
        <f aca="false">SUM(F306:F308)</f>
        <v>14078.5797945205</v>
      </c>
      <c r="G309" s="8" t="n">
        <f aca="false">SUM(G306:G308)</f>
        <v>14078.5797945205</v>
      </c>
      <c r="H309" s="8" t="n">
        <f aca="false">SUM(E309:G309)</f>
        <v>48413.5591150685</v>
      </c>
    </row>
    <row r="310" customFormat="false" ht="14.25" hidden="false" customHeight="false" outlineLevel="0" collapsed="false">
      <c r="C310" s="6" t="s">
        <v>232</v>
      </c>
      <c r="D310" s="2" t="s">
        <v>85</v>
      </c>
      <c r="E310" s="8" t="n">
        <f aca="false">-MIN(E309,Sale_Costs)</f>
        <v>-250</v>
      </c>
      <c r="F310" s="8" t="n">
        <f aca="false">-MIN(F309,Sale_Costs)</f>
        <v>-250</v>
      </c>
      <c r="G310" s="8" t="n">
        <f aca="false">-MIN(G309,Sale_Costs)</f>
        <v>-250</v>
      </c>
      <c r="H310" s="8" t="n">
        <f aca="false">SUM(E310:G310)</f>
        <v>-750</v>
      </c>
    </row>
    <row r="311" customFormat="false" ht="14.25" hidden="false" customHeight="false" outlineLevel="0" collapsed="false">
      <c r="C311" s="6" t="s">
        <v>279</v>
      </c>
      <c r="D311" s="2" t="s">
        <v>85</v>
      </c>
      <c r="E311" s="8" t="n">
        <f aca="false">-MIN(SUM(E309:E310),E307)</f>
        <v>-12648.5978136986</v>
      </c>
      <c r="F311" s="8" t="n">
        <f aca="false">-MIN(SUM(F309:F310),F307)</f>
        <v>-6470.77808219178</v>
      </c>
      <c r="G311" s="8" t="n">
        <f aca="false">-MIN(SUM(G309:G310),G307)</f>
        <v>-6470.77808219178</v>
      </c>
      <c r="H311" s="8" t="n">
        <f aca="false">SUM(E311:G311)</f>
        <v>-25590.1539780822</v>
      </c>
    </row>
    <row r="312" customFormat="false" ht="14.25" hidden="false" customHeight="false" outlineLevel="0" collapsed="false">
      <c r="C312" s="6" t="s">
        <v>234</v>
      </c>
      <c r="D312" s="2" t="s">
        <v>85</v>
      </c>
      <c r="E312" s="8" t="n">
        <f aca="false">-MIN(SUM(E309:E311),E308)</f>
        <v>-107.801712328767</v>
      </c>
      <c r="F312" s="8" t="n">
        <f aca="false">-MIN(SUM(F309:F311),F308)</f>
        <v>-107.801712328767</v>
      </c>
      <c r="G312" s="8" t="n">
        <f aca="false">-MIN(SUM(G309:G311),G308)</f>
        <v>-107.801712328767</v>
      </c>
      <c r="H312" s="8" t="n">
        <f aca="false">SUM(E312:G312)</f>
        <v>-323.405136986301</v>
      </c>
    </row>
    <row r="313" customFormat="false" ht="14.25" hidden="false" customHeight="false" outlineLevel="0" collapsed="false">
      <c r="C313" s="6" t="s">
        <v>235</v>
      </c>
      <c r="D313" s="2" t="s">
        <v>85</v>
      </c>
      <c r="E313" s="8" t="n">
        <f aca="false">-MIN(SUM(E309:E312),E67*E$21)</f>
        <v>-701.098816348896</v>
      </c>
      <c r="F313" s="8" t="n">
        <f aca="false">-MIN(SUM(F309:F312),F67*F$21)</f>
        <v>-0</v>
      </c>
      <c r="G313" s="8" t="n">
        <f aca="false">-MIN(SUM(G309:G312),G67*G$21)</f>
        <v>-0</v>
      </c>
      <c r="H313" s="8" t="n">
        <f aca="false">SUM(E313:G313)</f>
        <v>-701.098816348896</v>
      </c>
    </row>
    <row r="314" customFormat="false" ht="14.25" hidden="false" customHeight="false" outlineLevel="0" collapsed="false">
      <c r="C314" s="6" t="s">
        <v>236</v>
      </c>
      <c r="D314" s="2" t="s">
        <v>85</v>
      </c>
      <c r="E314" s="8" t="n">
        <f aca="false">-MIN(SUM(E309:E313),SUM(E205:E210))</f>
        <v>-1767.51100515654</v>
      </c>
      <c r="F314" s="8" t="n">
        <f aca="false">-MIN(SUM(F309:F313),SUM(F205:F210))</f>
        <v>-0</v>
      </c>
      <c r="G314" s="8" t="n">
        <f aca="false">-MIN(SUM(G309:G313),SUM(G205:G210))</f>
        <v>-0</v>
      </c>
      <c r="H314" s="8" t="n">
        <f aca="false">SUM(E314:G314)</f>
        <v>-1767.51100515654</v>
      </c>
      <c r="N314" s="72"/>
    </row>
    <row r="315" customFormat="false" ht="14.25" hidden="false" customHeight="false" outlineLevel="0" collapsed="false">
      <c r="C315" s="6" t="s">
        <v>237</v>
      </c>
      <c r="D315" s="2" t="s">
        <v>85</v>
      </c>
      <c r="E315" s="8" t="n">
        <f aca="false">-MIN(SUM(E309:E314),SUM(E211:E212))</f>
        <v>-808.900528677663</v>
      </c>
      <c r="F315" s="8" t="n">
        <f aca="false">-MIN(SUM(F309:F314),SUM(F211:F212))</f>
        <v>-0</v>
      </c>
      <c r="G315" s="8" t="n">
        <f aca="false">-MIN(SUM(G309:G314),SUM(G211:G212))</f>
        <v>-0</v>
      </c>
      <c r="H315" s="8" t="n">
        <f aca="false">SUM(E315:G315)</f>
        <v>-808.900528677663</v>
      </c>
      <c r="N315" s="72"/>
    </row>
    <row r="316" customFormat="false" ht="14.25" hidden="false" customHeight="false" outlineLevel="0" collapsed="false">
      <c r="C316" s="6" t="s">
        <v>238</v>
      </c>
      <c r="D316" s="2" t="s">
        <v>85</v>
      </c>
      <c r="E316" s="8" t="n">
        <f aca="false">-MIN(SUM(E309:E315),E214)</f>
        <v>-437.5</v>
      </c>
      <c r="F316" s="8" t="n">
        <f aca="false">-MIN(SUM(F309:F315),F214)</f>
        <v>-0</v>
      </c>
      <c r="G316" s="8" t="n">
        <f aca="false">-MIN(SUM(G309:G315),G214)</f>
        <v>-0</v>
      </c>
      <c r="H316" s="8" t="n">
        <f aca="false">SUM(E316:G316)</f>
        <v>-437.5</v>
      </c>
    </row>
    <row r="317" customFormat="false" ht="14.25" hidden="false" customHeight="false" outlineLevel="0" collapsed="false">
      <c r="C317" s="1" t="s">
        <v>239</v>
      </c>
      <c r="D317" s="2" t="s">
        <v>85</v>
      </c>
      <c r="E317" s="32" t="n">
        <f aca="false">SUM(E309:E316)</f>
        <v>3534.9896498169</v>
      </c>
      <c r="F317" s="32" t="n">
        <f aca="false">SUM(F309:F316)</f>
        <v>7250</v>
      </c>
      <c r="G317" s="32" t="n">
        <f aca="false">SUM(G309:G316)</f>
        <v>7250</v>
      </c>
      <c r="H317" s="32" t="n">
        <f aca="false">SUM(E317:G317)</f>
        <v>18034.9896498169</v>
      </c>
    </row>
    <row r="318" customFormat="false" ht="14.25" hidden="false" customHeight="false" outlineLevel="0" collapsed="false">
      <c r="C318" s="6" t="s">
        <v>240</v>
      </c>
      <c r="D318" s="2" t="s">
        <v>85</v>
      </c>
      <c r="E318" s="8" t="n">
        <f aca="false">E317*E19</f>
        <v>2474.49275487183</v>
      </c>
      <c r="F318" s="8" t="n">
        <f aca="false">F317*F19</f>
        <v>7250</v>
      </c>
      <c r="G318" s="8" t="n">
        <f aca="false">G317*G19</f>
        <v>7250</v>
      </c>
      <c r="H318" s="8" t="n">
        <f aca="false">SUM(E318:G318)</f>
        <v>16974.4927548718</v>
      </c>
    </row>
    <row r="319" customFormat="false" ht="14.25" hidden="false" customHeight="false" outlineLevel="0" collapsed="false">
      <c r="C319" s="6" t="s">
        <v>241</v>
      </c>
      <c r="D319" s="2" t="s">
        <v>85</v>
      </c>
      <c r="E319" s="8" t="n">
        <f aca="false">E317-E318</f>
        <v>1060.49689494507</v>
      </c>
      <c r="F319" s="8" t="n">
        <f aca="false">F317-F318</f>
        <v>0</v>
      </c>
      <c r="G319" s="8" t="n">
        <f aca="false">G317-G318</f>
        <v>0</v>
      </c>
      <c r="H319" s="8" t="n">
        <f aca="false">SUM(E319:G319)</f>
        <v>1060.49689494507</v>
      </c>
    </row>
    <row r="321" customFormat="false" ht="14.25" hidden="false" customHeight="false" outlineLevel="0" collapsed="false">
      <c r="C321" s="42" t="s">
        <v>280</v>
      </c>
      <c r="D321" s="42"/>
      <c r="E321" s="43" t="s">
        <v>5</v>
      </c>
      <c r="F321" s="43" t="s">
        <v>6</v>
      </c>
      <c r="G321" s="43" t="s">
        <v>7</v>
      </c>
      <c r="H321" s="43" t="s">
        <v>8</v>
      </c>
      <c r="J321" s="43"/>
      <c r="K321" s="43"/>
      <c r="L321" s="43"/>
    </row>
    <row r="322" customFormat="false" ht="14.25" hidden="false" customHeight="false" outlineLevel="0" collapsed="false">
      <c r="C322" s="6" t="s">
        <v>244</v>
      </c>
      <c r="D322" s="2" t="s">
        <v>85</v>
      </c>
      <c r="E322" s="8" t="n">
        <f aca="false">E98</f>
        <v>7500</v>
      </c>
      <c r="F322" s="8" t="n">
        <f aca="false">F98</f>
        <v>7500</v>
      </c>
      <c r="G322" s="8" t="n">
        <f aca="false">G98</f>
        <v>7500</v>
      </c>
      <c r="H322" s="8" t="n">
        <f aca="false">SUM(E322:G322)</f>
        <v>22500</v>
      </c>
      <c r="J322" s="24"/>
      <c r="K322" s="24"/>
      <c r="L322" s="24"/>
    </row>
    <row r="323" customFormat="false" ht="14.25" hidden="false" customHeight="false" outlineLevel="0" collapsed="false">
      <c r="C323" s="6" t="s">
        <v>245</v>
      </c>
      <c r="D323" s="2" t="s">
        <v>85</v>
      </c>
      <c r="E323" s="8" t="n">
        <f aca="false">0</f>
        <v>0</v>
      </c>
      <c r="F323" s="8" t="n">
        <f aca="false">0</f>
        <v>0</v>
      </c>
      <c r="G323" s="8" t="n">
        <f aca="false">0</f>
        <v>0</v>
      </c>
      <c r="H323" s="8" t="n">
        <f aca="false">SUM(E323:G323)</f>
        <v>0</v>
      </c>
      <c r="J323" s="24"/>
      <c r="K323" s="24"/>
      <c r="L323" s="24"/>
    </row>
    <row r="324" customFormat="false" ht="14.25" hidden="false" customHeight="false" outlineLevel="0" collapsed="false">
      <c r="C324" s="6" t="s">
        <v>246</v>
      </c>
      <c r="D324" s="2" t="s">
        <v>85</v>
      </c>
      <c r="E324" s="8" t="n">
        <f aca="false">0</f>
        <v>0</v>
      </c>
      <c r="F324" s="8" t="n">
        <f aca="false">0</f>
        <v>0</v>
      </c>
      <c r="G324" s="8" t="n">
        <f aca="false">0</f>
        <v>0</v>
      </c>
      <c r="H324" s="8" t="n">
        <f aca="false">SUM(E324:G324)</f>
        <v>0</v>
      </c>
      <c r="J324" s="24"/>
      <c r="K324" s="24"/>
      <c r="L324" s="24"/>
    </row>
    <row r="325" customFormat="false" ht="14.25" hidden="false" customHeight="false" outlineLevel="0" collapsed="false">
      <c r="C325" s="6" t="s">
        <v>247</v>
      </c>
      <c r="D325" s="2" t="s">
        <v>85</v>
      </c>
      <c r="E325" s="8" t="n">
        <f aca="false">0</f>
        <v>0</v>
      </c>
      <c r="F325" s="8" t="n">
        <f aca="false">0</f>
        <v>0</v>
      </c>
      <c r="G325" s="8" t="n">
        <f aca="false">0</f>
        <v>0</v>
      </c>
      <c r="H325" s="8" t="n">
        <f aca="false">SUM(E325:G325)</f>
        <v>0</v>
      </c>
      <c r="J325" s="24"/>
      <c r="K325" s="24"/>
      <c r="L325" s="24"/>
    </row>
    <row r="326" customFormat="false" ht="14.25" hidden="false" customHeight="false" outlineLevel="0" collapsed="false">
      <c r="C326" s="6" t="s">
        <v>248</v>
      </c>
      <c r="D326" s="2" t="s">
        <v>85</v>
      </c>
      <c r="E326" s="8" t="n">
        <f aca="false">E310</f>
        <v>-250</v>
      </c>
      <c r="F326" s="8" t="n">
        <f aca="false">F310</f>
        <v>-250</v>
      </c>
      <c r="G326" s="8" t="n">
        <f aca="false">G310</f>
        <v>-250</v>
      </c>
      <c r="H326" s="8" t="n">
        <f aca="false">SUM(E326:G326)</f>
        <v>-750</v>
      </c>
      <c r="J326" s="24"/>
      <c r="K326" s="24"/>
      <c r="L326" s="24"/>
    </row>
    <row r="327" customFormat="false" ht="14.25" hidden="false" customHeight="false" outlineLevel="0" collapsed="false">
      <c r="C327" s="6" t="s">
        <v>249</v>
      </c>
      <c r="D327" s="2" t="s">
        <v>85</v>
      </c>
      <c r="E327" s="8" t="n">
        <f aca="false">E316</f>
        <v>-437.5</v>
      </c>
      <c r="F327" s="8" t="n">
        <f aca="false">F316</f>
        <v>-0</v>
      </c>
      <c r="G327" s="8" t="n">
        <f aca="false">G316</f>
        <v>-0</v>
      </c>
      <c r="H327" s="8" t="n">
        <f aca="false">SUM(E327:G327)</f>
        <v>-437.5</v>
      </c>
      <c r="J327" s="24"/>
      <c r="K327" s="24"/>
      <c r="L327" s="24"/>
    </row>
    <row r="328" customFormat="false" ht="14.25" hidden="false" customHeight="false" outlineLevel="0" collapsed="false">
      <c r="C328" s="6" t="s">
        <v>250</v>
      </c>
      <c r="D328" s="2" t="s">
        <v>85</v>
      </c>
      <c r="E328" s="8" t="n">
        <f aca="false">-E319</f>
        <v>-1060.49689494507</v>
      </c>
      <c r="F328" s="8" t="n">
        <f aca="false">-F319</f>
        <v>-0</v>
      </c>
      <c r="G328" s="8" t="n">
        <f aca="false">-G319</f>
        <v>-0</v>
      </c>
      <c r="H328" s="8" t="n">
        <f aca="false">SUM(E328:G328)</f>
        <v>-1060.49689494507</v>
      </c>
      <c r="J328" s="24"/>
      <c r="K328" s="24"/>
      <c r="L328" s="24"/>
    </row>
    <row r="329" customFormat="false" ht="14.25" hidden="false" customHeight="false" outlineLevel="0" collapsed="false">
      <c r="C329" s="6" t="s">
        <v>251</v>
      </c>
      <c r="D329" s="68" t="s">
        <v>85</v>
      </c>
      <c r="E329" s="8" t="n">
        <f aca="false">-E313</f>
        <v>701.098816348896</v>
      </c>
      <c r="F329" s="8" t="n">
        <f aca="false">-F313</f>
        <v>0</v>
      </c>
      <c r="G329" s="8" t="n">
        <f aca="false">-G313</f>
        <v>0</v>
      </c>
      <c r="H329" s="8" t="n">
        <f aca="false">SUM(E329:G329)</f>
        <v>701.098816348896</v>
      </c>
      <c r="J329" s="24"/>
      <c r="K329" s="24"/>
      <c r="L329" s="24"/>
    </row>
    <row r="330" customFormat="false" ht="14.25" hidden="false" customHeight="false" outlineLevel="0" collapsed="false">
      <c r="C330" s="6" t="s">
        <v>252</v>
      </c>
      <c r="D330" s="68" t="s">
        <v>85</v>
      </c>
      <c r="E330" s="8" t="n">
        <f aca="false">-E314</f>
        <v>1767.51100515654</v>
      </c>
      <c r="F330" s="8" t="n">
        <f aca="false">-F314</f>
        <v>0</v>
      </c>
      <c r="G330" s="8" t="n">
        <f aca="false">-G314</f>
        <v>0</v>
      </c>
      <c r="H330" s="8" t="n">
        <f aca="false">SUM(E330:G330)</f>
        <v>1767.51100515654</v>
      </c>
      <c r="J330" s="24"/>
      <c r="K330" s="24"/>
      <c r="L330" s="24"/>
    </row>
    <row r="331" customFormat="false" ht="14.25" hidden="false" customHeight="false" outlineLevel="0" collapsed="false">
      <c r="C331" s="6" t="s">
        <v>253</v>
      </c>
      <c r="D331" s="68" t="s">
        <v>85</v>
      </c>
      <c r="E331" s="8" t="n">
        <f aca="false">-E315</f>
        <v>808.900528677663</v>
      </c>
      <c r="F331" s="8" t="n">
        <f aca="false">-F315</f>
        <v>0</v>
      </c>
      <c r="G331" s="8" t="n">
        <f aca="false">-G315</f>
        <v>0</v>
      </c>
      <c r="H331" s="8" t="n">
        <f aca="false">SUM(E331:G331)</f>
        <v>808.900528677663</v>
      </c>
      <c r="J331" s="24"/>
      <c r="K331" s="24"/>
      <c r="L331" s="24"/>
    </row>
    <row r="332" customFormat="false" ht="14.25" hidden="false" customHeight="false" outlineLevel="0" collapsed="false">
      <c r="C332" s="6" t="s">
        <v>29</v>
      </c>
      <c r="D332" s="68" t="s">
        <v>85</v>
      </c>
      <c r="E332" s="8" t="n">
        <f aca="false">E318</f>
        <v>2474.49275487183</v>
      </c>
      <c r="F332" s="8" t="n">
        <f aca="false">F318</f>
        <v>7250</v>
      </c>
      <c r="G332" s="8" t="n">
        <f aca="false">G318</f>
        <v>7250</v>
      </c>
      <c r="H332" s="8" t="n">
        <f aca="false">SUM(E332:G332)</f>
        <v>16974.4927548718</v>
      </c>
      <c r="J332" s="24"/>
      <c r="K332" s="24"/>
      <c r="L332" s="24"/>
    </row>
    <row r="333" customFormat="false" ht="14.25" hidden="false" customHeight="false" outlineLevel="0" collapsed="false">
      <c r="C333" s="44" t="s">
        <v>281</v>
      </c>
      <c r="D333" s="45" t="s">
        <v>85</v>
      </c>
      <c r="E333" s="69" t="n">
        <f aca="false">SUM(E329:E332)</f>
        <v>5752.00310505493</v>
      </c>
      <c r="F333" s="69" t="n">
        <f aca="false">SUM(F329:F332)</f>
        <v>7250</v>
      </c>
      <c r="G333" s="69" t="n">
        <f aca="false">SUM(G329:G332)</f>
        <v>7250</v>
      </c>
      <c r="H333" s="69" t="n">
        <f aca="false">SUM(E333:G333)</f>
        <v>20252.0031050549</v>
      </c>
    </row>
    <row r="334" customFormat="false" ht="14.25" hidden="false" customHeight="false" outlineLevel="0" collapsed="false">
      <c r="C334" s="6" t="s">
        <v>255</v>
      </c>
      <c r="D334" s="2" t="s">
        <v>85</v>
      </c>
      <c r="E334" s="8" t="n">
        <f aca="false">-E69</f>
        <v>-100</v>
      </c>
      <c r="F334" s="8" t="n">
        <f aca="false">-F69</f>
        <v>-150</v>
      </c>
      <c r="G334" s="8" t="n">
        <f aca="false">-G69</f>
        <v>-150</v>
      </c>
      <c r="H334" s="8" t="n">
        <f aca="false">SUM(E334:G334)</f>
        <v>-400</v>
      </c>
      <c r="J334" s="24"/>
      <c r="K334" s="24"/>
      <c r="L334" s="24"/>
    </row>
    <row r="335" customFormat="false" ht="14.25" hidden="false" customHeight="false" outlineLevel="0" collapsed="false">
      <c r="C335" s="6" t="s">
        <v>256</v>
      </c>
      <c r="D335" s="2" t="s">
        <v>85</v>
      </c>
      <c r="E335" s="8" t="n">
        <f aca="false">-E61</f>
        <v>-8.21917808219178</v>
      </c>
      <c r="F335" s="8" t="n">
        <f aca="false">-F61</f>
        <v>-8.21917808219178</v>
      </c>
      <c r="G335" s="8" t="n">
        <f aca="false">-G61</f>
        <v>-8.21917808219178</v>
      </c>
      <c r="H335" s="8" t="n">
        <f aca="false">SUM(E335:G335)</f>
        <v>-24.6575342465753</v>
      </c>
      <c r="J335" s="24"/>
      <c r="K335" s="24"/>
      <c r="L335" s="24"/>
    </row>
    <row r="336" customFormat="false" ht="14.25" hidden="false" customHeight="false" outlineLevel="0" collapsed="false">
      <c r="C336" s="6" t="s">
        <v>257</v>
      </c>
      <c r="D336" s="2" t="s">
        <v>85</v>
      </c>
      <c r="E336" s="8" t="n">
        <f aca="false">-E67</f>
        <v>-701.098816348896</v>
      </c>
      <c r="F336" s="8" t="n">
        <f aca="false">-F67</f>
        <v>-701.098816348896</v>
      </c>
      <c r="G336" s="8" t="n">
        <f aca="false">-G67</f>
        <v>-701.098816348896</v>
      </c>
      <c r="H336" s="8" t="n">
        <f aca="false">SUM(E336:G336)</f>
        <v>-2103.29644904669</v>
      </c>
      <c r="J336" s="24"/>
      <c r="K336" s="24"/>
      <c r="L336" s="24"/>
    </row>
    <row r="337" customFormat="false" ht="14.25" hidden="false" customHeight="false" outlineLevel="0" collapsed="false">
      <c r="C337" s="44" t="s">
        <v>258</v>
      </c>
      <c r="D337" s="45" t="s">
        <v>85</v>
      </c>
      <c r="E337" s="69" t="n">
        <f aca="false">E333+SUM(E334:E336)</f>
        <v>4942.68511062384</v>
      </c>
      <c r="F337" s="69" t="n">
        <f aca="false">F333+SUM(F334:F336)</f>
        <v>6390.68200556891</v>
      </c>
      <c r="G337" s="69" t="n">
        <f aca="false">G333+SUM(G334:G336)</f>
        <v>6390.68200556891</v>
      </c>
      <c r="H337" s="69" t="n">
        <f aca="false">SUM(E337:G337)</f>
        <v>17724.0491217617</v>
      </c>
    </row>
    <row r="338" customFormat="false" ht="14.25" hidden="false" customHeight="false" outlineLevel="0" collapsed="false">
      <c r="C338" s="1" t="s">
        <v>259</v>
      </c>
      <c r="D338" s="2" t="s">
        <v>85</v>
      </c>
      <c r="E338" s="32" t="n">
        <f aca="false">-MAX(0,E337)*CIT_Rate*(1-Share_Exempt)</f>
        <v>-0</v>
      </c>
      <c r="F338" s="32" t="n">
        <f aca="false">-MAX(0,F337)*CIT_Rate*(1-Share_Exempt)</f>
        <v>-0</v>
      </c>
      <c r="G338" s="32" t="n">
        <f aca="false">-MAX(0,G337)*CIT_Rate*(1-Share_Exempt)</f>
        <v>-0</v>
      </c>
      <c r="H338" s="32" t="n">
        <f aca="false">SUM(E338:G338)</f>
        <v>0</v>
      </c>
    </row>
    <row r="339" customFormat="false" ht="14.25" hidden="false" customHeight="false" outlineLevel="0" collapsed="false">
      <c r="C339" s="1" t="s">
        <v>260</v>
      </c>
      <c r="D339" s="2" t="s">
        <v>85</v>
      </c>
      <c r="E339" s="32" t="n">
        <f aca="false">-E213*CIT_Rate*E$21</f>
        <v>-386.461730075131</v>
      </c>
      <c r="F339" s="32" t="n">
        <f aca="false">-F213*CIT_Rate*F$21</f>
        <v>-0</v>
      </c>
      <c r="G339" s="32" t="n">
        <f aca="false">-G213*CIT_Rate*G$21</f>
        <v>-0</v>
      </c>
      <c r="H339" s="32" t="n">
        <f aca="false">SUM(E339:G339)</f>
        <v>-386.461730075131</v>
      </c>
    </row>
    <row r="340" customFormat="false" ht="14.25" hidden="false" customHeight="false" outlineLevel="0" collapsed="false">
      <c r="C340" s="44" t="s">
        <v>129</v>
      </c>
      <c r="D340" s="45" t="s">
        <v>85</v>
      </c>
      <c r="E340" s="69" t="n">
        <f aca="false">E337+E338+E339</f>
        <v>4556.22338054871</v>
      </c>
      <c r="F340" s="69" t="n">
        <f aca="false">F337+F338+F339</f>
        <v>6390.68200556891</v>
      </c>
      <c r="G340" s="69" t="n">
        <f aca="false">G337+G338+G339</f>
        <v>6390.68200556891</v>
      </c>
      <c r="H340" s="69" t="n">
        <f aca="false">SUM(E340:G340)</f>
        <v>17337.5873916865</v>
      </c>
    </row>
    <row r="341" customFormat="false" ht="14.25" hidden="false" customHeight="false" outlineLevel="0" collapsed="false">
      <c r="C341" s="6" t="s">
        <v>261</v>
      </c>
      <c r="D341" s="2" t="s">
        <v>3</v>
      </c>
      <c r="E341" s="47" t="n">
        <f aca="false">SUMIF(E344:E353,"&gt;0")/-SUMIF(E344:E353,"&lt;0")</f>
        <v>1.36435117443436</v>
      </c>
      <c r="F341" s="47" t="n">
        <f aca="false">SUMIF(F344:F353,"&gt;0")/-SUMIF(F344:F353,"&lt;0")</f>
        <v>1.85920540815467</v>
      </c>
      <c r="G341" s="47" t="n">
        <f aca="false">SUMIF(G344:G353,"&gt;0")/-SUMIF(G344:G353,"&lt;0")</f>
        <v>1.85920540815467</v>
      </c>
      <c r="H341" s="47" t="n">
        <f aca="false">SUMIF(H344:H353,"&gt;0")/-SUMIF(H344:H353,"&lt;0")</f>
        <v>1.62317532335446</v>
      </c>
    </row>
    <row r="342" customFormat="false" ht="14.25" hidden="false" customHeight="false" outlineLevel="0" collapsed="false">
      <c r="C342" s="6" t="s">
        <v>262</v>
      </c>
      <c r="D342" s="2" t="s">
        <v>12</v>
      </c>
      <c r="E342" s="48" t="n">
        <f aca="false">XIRR(E344:E353,J344:J353)</f>
        <v>0.239328818089513</v>
      </c>
      <c r="F342" s="48" t="n">
        <f aca="false">XIRR(F344:F353,K344:K353)</f>
        <v>0.36981874472502</v>
      </c>
      <c r="G342" s="48" t="n">
        <f aca="false">XIRR(G344:G353,L344:L353)</f>
        <v>0.36981874472502</v>
      </c>
      <c r="H342" s="49" t="n">
        <f aca="false">XIRR(H344:H353,J344:J353)</f>
        <v>0.322624026934453</v>
      </c>
    </row>
    <row r="343" customFormat="false" ht="14.25" hidden="false" customHeight="false" outlineLevel="0" collapsed="false">
      <c r="C343" s="42" t="s">
        <v>282</v>
      </c>
      <c r="D343" s="42"/>
      <c r="E343" s="43"/>
      <c r="F343" s="43"/>
      <c r="G343" s="43"/>
      <c r="H343" s="43"/>
      <c r="J343" s="43" t="s">
        <v>243</v>
      </c>
      <c r="K343" s="43" t="s">
        <v>6</v>
      </c>
      <c r="L343" s="43" t="s">
        <v>7</v>
      </c>
      <c r="M343" s="43" t="s">
        <v>265</v>
      </c>
      <c r="N343" s="43" t="s">
        <v>266</v>
      </c>
      <c r="O343" s="43" t="s">
        <v>267</v>
      </c>
    </row>
    <row r="344" customFormat="false" ht="14.25" hidden="false" customHeight="false" outlineLevel="1" collapsed="false">
      <c r="C344" s="6" t="s">
        <v>82</v>
      </c>
      <c r="D344" s="2" t="s">
        <v>85</v>
      </c>
      <c r="E344" s="8" t="n">
        <f aca="false">-E69</f>
        <v>-100</v>
      </c>
      <c r="F344" s="8" t="n">
        <f aca="false">-F69</f>
        <v>-150</v>
      </c>
      <c r="G344" s="8" t="n">
        <f aca="false">-G69</f>
        <v>-150</v>
      </c>
      <c r="H344" s="8" t="n">
        <f aca="false">SUM(E344:G344)</f>
        <v>-400</v>
      </c>
      <c r="J344" s="24" t="n">
        <f aca="false">Inputs!E$20</f>
        <v>46234</v>
      </c>
      <c r="K344" s="24" t="n">
        <f aca="false">Inputs!F$20</f>
        <v>46234</v>
      </c>
      <c r="L344" s="24" t="n">
        <f aca="false">Inputs!G$20</f>
        <v>46234</v>
      </c>
    </row>
    <row r="345" customFormat="false" ht="14.25" hidden="false" customHeight="false" outlineLevel="1" collapsed="false">
      <c r="C345" s="6" t="s">
        <v>73</v>
      </c>
      <c r="D345" s="2" t="s">
        <v>85</v>
      </c>
      <c r="E345" s="8" t="n">
        <f aca="false">-E61</f>
        <v>-8.21917808219178</v>
      </c>
      <c r="F345" s="8" t="n">
        <f aca="false">-F61</f>
        <v>-8.21917808219178</v>
      </c>
      <c r="G345" s="8" t="n">
        <f aca="false">-G61</f>
        <v>-8.21917808219178</v>
      </c>
      <c r="H345" s="8" t="n">
        <f aca="false">SUM(E345:G345)</f>
        <v>-24.6575342465753</v>
      </c>
      <c r="J345" s="24" t="n">
        <f aca="false">Inputs!E$21</f>
        <v>46325</v>
      </c>
      <c r="K345" s="24" t="n">
        <f aca="false">Inputs!F$21</f>
        <v>46325</v>
      </c>
      <c r="L345" s="24" t="n">
        <f aca="false">Inputs!G$21</f>
        <v>46325</v>
      </c>
      <c r="M345" s="71" t="n">
        <f aca="false">1+Rate_Cash*(DATE(YEAR(J345)+1,1,1)-J345)/Days_In_Year</f>
        <v>1.02071232876712</v>
      </c>
      <c r="N345" s="71" t="n">
        <f aca="false">1+Rate_Cash*(DATE(YEAR(K345)+1,1,1)-K345)/Days_In_Year</f>
        <v>1.02071232876712</v>
      </c>
      <c r="O345" s="71" t="n">
        <f aca="false">1+Rate_Cash*(DATE(YEAR(L345)+1,1,1)-L345)/Days_In_Year</f>
        <v>1.02071232876712</v>
      </c>
    </row>
    <row r="346" customFormat="false" ht="14.25" hidden="false" customHeight="false" outlineLevel="1" collapsed="false">
      <c r="C346" s="6" t="s">
        <v>75</v>
      </c>
      <c r="D346" s="2" t="s">
        <v>85</v>
      </c>
      <c r="E346" s="8" t="n">
        <f aca="false">-E62</f>
        <v>-388.493150684932</v>
      </c>
      <c r="F346" s="8" t="n">
        <f aca="false">-F62</f>
        <v>-498.904109589041</v>
      </c>
      <c r="G346" s="8" t="n">
        <f aca="false">-G62</f>
        <v>-498.904109589041</v>
      </c>
      <c r="H346" s="8" t="n">
        <f aca="false">SUM(E346:G346)</f>
        <v>-1386.30136986301</v>
      </c>
      <c r="J346" s="24" t="n">
        <f aca="false">Inputs!E$21</f>
        <v>46325</v>
      </c>
      <c r="K346" s="24" t="n">
        <f aca="false">Inputs!F$21</f>
        <v>46325</v>
      </c>
      <c r="L346" s="24" t="n">
        <f aca="false">Inputs!G$21</f>
        <v>46325</v>
      </c>
      <c r="M346" s="71" t="n">
        <f aca="false">1+Rate_Cash*(DATE(YEAR(J346)+1,1,1)-J346)/Days_In_Year</f>
        <v>1.02071232876712</v>
      </c>
      <c r="N346" s="71" t="n">
        <f aca="false">1+Rate_Cash*(DATE(YEAR(K346)+1,1,1)-K346)/Days_In_Year</f>
        <v>1.02071232876712</v>
      </c>
      <c r="O346" s="71" t="n">
        <f aca="false">1+Rate_Cash*(DATE(YEAR(L346)+1,1,1)-L346)/Days_In_Year</f>
        <v>1.02071232876712</v>
      </c>
    </row>
    <row r="347" customFormat="false" ht="14.25" hidden="false" customHeight="false" outlineLevel="1" collapsed="false">
      <c r="C347" s="6" t="s">
        <v>268</v>
      </c>
      <c r="D347" s="2" t="s">
        <v>85</v>
      </c>
      <c r="E347" s="8" t="n">
        <f aca="false">-E63</f>
        <v>-1553.97260273973</v>
      </c>
      <c r="F347" s="8" t="n">
        <f aca="false">-F63</f>
        <v>-1995.61643835616</v>
      </c>
      <c r="G347" s="8" t="n">
        <f aca="false">-G63</f>
        <v>-1995.61643835616</v>
      </c>
      <c r="H347" s="8" t="n">
        <f aca="false">SUM(E347:G347)</f>
        <v>-5545.20547945205</v>
      </c>
      <c r="J347" s="24" t="n">
        <f aca="false">Inputs!E$22</f>
        <v>46402</v>
      </c>
      <c r="K347" s="24" t="n">
        <f aca="false">Inputs!F$22</f>
        <v>46402</v>
      </c>
      <c r="L347" s="24" t="n">
        <f aca="false">Inputs!G$22</f>
        <v>46402</v>
      </c>
      <c r="M347" s="71" t="n">
        <f aca="false">1+Rate_Cash*(DATE(YEAR(J347)+1,1,1)-J347)/Days_In_Year</f>
        <v>1.11539726027397</v>
      </c>
      <c r="N347" s="71" t="n">
        <f aca="false">1+Rate_Cash*(DATE(YEAR(K347)+1,1,1)-K347)/Days_In_Year</f>
        <v>1.11539726027397</v>
      </c>
      <c r="O347" s="71" t="n">
        <f aca="false">1+Rate_Cash*(DATE(YEAR(L347)+1,1,1)-L347)/Days_In_Year</f>
        <v>1.11539726027397</v>
      </c>
    </row>
    <row r="348" customFormat="false" ht="14.25" hidden="false" customHeight="false" outlineLevel="1" collapsed="false">
      <c r="C348" s="6" t="s">
        <v>77</v>
      </c>
      <c r="D348" s="2" t="s">
        <v>85</v>
      </c>
      <c r="E348" s="8" t="n">
        <f aca="false">-E64</f>
        <v>-616.438356164384</v>
      </c>
      <c r="F348" s="8" t="n">
        <f aca="false">-F64</f>
        <v>-616.438356164384</v>
      </c>
      <c r="G348" s="8" t="n">
        <f aca="false">-G64</f>
        <v>-616.438356164384</v>
      </c>
      <c r="H348" s="8" t="n">
        <f aca="false">SUM(E348:G348)</f>
        <v>-1849.31506849315</v>
      </c>
      <c r="J348" s="24" t="n">
        <f aca="false">Inputs!E$23</f>
        <v>46402</v>
      </c>
      <c r="K348" s="24" t="n">
        <f aca="false">Inputs!F$23</f>
        <v>46402</v>
      </c>
      <c r="L348" s="24" t="n">
        <f aca="false">Inputs!G$23</f>
        <v>46402</v>
      </c>
      <c r="M348" s="71" t="n">
        <f aca="false">1+Rate_Cash*(DATE(YEAR(J348)+1,1,1)-J348)/Days_In_Year</f>
        <v>1.11539726027397</v>
      </c>
      <c r="N348" s="71" t="n">
        <f aca="false">1+Rate_Cash*(DATE(YEAR(K348)+1,1,1)-K348)/Days_In_Year</f>
        <v>1.11539726027397</v>
      </c>
      <c r="O348" s="71" t="n">
        <f aca="false">1+Rate_Cash*(DATE(YEAR(L348)+1,1,1)-L348)/Days_In_Year</f>
        <v>1.11539726027397</v>
      </c>
    </row>
    <row r="349" customFormat="false" ht="14.25" hidden="false" customHeight="false" outlineLevel="1" collapsed="false">
      <c r="C349" s="6" t="s">
        <v>283</v>
      </c>
      <c r="D349" s="2" t="s">
        <v>85</v>
      </c>
      <c r="E349" s="8" t="n">
        <f aca="false">-E65</f>
        <v>-696.364115068493</v>
      </c>
      <c r="F349" s="8" t="n">
        <f aca="false">-F65</f>
        <v>-1260.27397260274</v>
      </c>
      <c r="G349" s="8" t="n">
        <f aca="false">-G65</f>
        <v>-1260.27397260274</v>
      </c>
      <c r="H349" s="8" t="n">
        <f aca="false">SUM(E349:G349)</f>
        <v>-3216.91206027397</v>
      </c>
      <c r="J349" s="24" t="n">
        <f aca="false">Inputs!E$24</f>
        <v>47027</v>
      </c>
      <c r="K349" s="24" t="n">
        <f aca="false">Inputs!F$24</f>
        <v>47027</v>
      </c>
      <c r="L349" s="24" t="n">
        <f aca="false">Inputs!G$24</f>
        <v>47027</v>
      </c>
      <c r="M349" s="71" t="n">
        <f aca="false">1+Rate_Cash*(DATE(YEAR(J349)+1,1,1)-J349)/Days_In_Year</f>
        <v>1.03024657534247</v>
      </c>
      <c r="N349" s="71" t="n">
        <f aca="false">1+Rate_Cash*(DATE(YEAR(K349)+1,1,1)-K349)/Days_In_Year</f>
        <v>1.03024657534247</v>
      </c>
      <c r="O349" s="71" t="n">
        <f aca="false">1+Rate_Cash*(DATE(YEAR(L349)+1,1,1)-L349)/Days_In_Year</f>
        <v>1.03024657534247</v>
      </c>
    </row>
    <row r="350" customFormat="false" ht="14.25" hidden="false" customHeight="false" outlineLevel="1" collapsed="false">
      <c r="C350" s="6" t="s">
        <v>284</v>
      </c>
      <c r="D350" s="2" t="s">
        <v>85</v>
      </c>
      <c r="E350" s="8" t="n">
        <f aca="false">-E66</f>
        <v>-9393.3295890411</v>
      </c>
      <c r="F350" s="8" t="n">
        <f aca="false">-F66</f>
        <v>-2099.54520547945</v>
      </c>
      <c r="G350" s="8" t="n">
        <f aca="false">-G66</f>
        <v>-2099.54520547945</v>
      </c>
      <c r="H350" s="8" t="n">
        <f aca="false">SUM(E350:G350)</f>
        <v>-13592.42</v>
      </c>
      <c r="J350" s="24" t="n">
        <f aca="false">Inputs!E$24</f>
        <v>47027</v>
      </c>
      <c r="K350" s="24" t="n">
        <f aca="false">Inputs!F$24</f>
        <v>47027</v>
      </c>
      <c r="L350" s="24" t="n">
        <f aca="false">Inputs!G$24</f>
        <v>47027</v>
      </c>
      <c r="M350" s="71" t="n">
        <f aca="false">1+Rate_Cash*(DATE(YEAR(J350)+1,1,1)-J350)/Days_In_Year</f>
        <v>1.03024657534247</v>
      </c>
      <c r="N350" s="71" t="n">
        <f aca="false">1+Rate_Cash*(DATE(YEAR(K350)+1,1,1)-K350)/Days_In_Year</f>
        <v>1.03024657534247</v>
      </c>
      <c r="O350" s="71" t="n">
        <f aca="false">1+Rate_Cash*(DATE(YEAR(L350)+1,1,1)-L350)/Days_In_Year</f>
        <v>1.03024657534247</v>
      </c>
    </row>
    <row r="351" customFormat="false" ht="14.25" hidden="false" customHeight="false" outlineLevel="1" collapsed="false">
      <c r="C351" s="6" t="s">
        <v>116</v>
      </c>
      <c r="D351" s="2" t="s">
        <v>85</v>
      </c>
      <c r="E351" s="8" t="n">
        <f aca="false">-E68</f>
        <v>-107.801712328767</v>
      </c>
      <c r="F351" s="8" t="n">
        <f aca="false">-F68</f>
        <v>-107.801712328767</v>
      </c>
      <c r="G351" s="8" t="n">
        <f aca="false">-G68</f>
        <v>-107.801712328767</v>
      </c>
      <c r="H351" s="8" t="n">
        <f aca="false">SUM(E351:G351)</f>
        <v>-323.405136986301</v>
      </c>
      <c r="J351" s="24" t="n">
        <f aca="false">$J$56</f>
        <v>46877.176865821</v>
      </c>
      <c r="K351" s="24" t="n">
        <f aca="false">$J$56</f>
        <v>46877.176865821</v>
      </c>
      <c r="L351" s="24" t="n">
        <f aca="false">$J$56</f>
        <v>46877.176865821</v>
      </c>
      <c r="M351" s="71" t="n">
        <f aca="false">1+Rate_Devex*(DATE(YEAR(J351)+1,1,1)-J351)/Days_In_Year</f>
        <v>1.1325058269474</v>
      </c>
      <c r="N351" s="71" t="n">
        <f aca="false">1+Rate_Devex*(DATE(YEAR(K351)+1,1,1)-K351)/Days_In_Year</f>
        <v>1.1325058269474</v>
      </c>
      <c r="O351" s="71" t="n">
        <f aca="false">1+Rate_Devex*(DATE(YEAR(L351)+1,1,1)-L351)/Days_In_Year</f>
        <v>1.1325058269474</v>
      </c>
    </row>
    <row r="352" customFormat="false" ht="14.25" hidden="false" customHeight="false" outlineLevel="1" collapsed="false">
      <c r="C352" s="6" t="s">
        <v>269</v>
      </c>
      <c r="D352" s="2" t="s">
        <v>85</v>
      </c>
      <c r="E352" s="8" t="n">
        <f aca="false">-E67</f>
        <v>-701.098816348896</v>
      </c>
      <c r="F352" s="8" t="n">
        <f aca="false">-F67</f>
        <v>-701.098816348896</v>
      </c>
      <c r="G352" s="8" t="n">
        <f aca="false">-G67</f>
        <v>-701.098816348896</v>
      </c>
      <c r="H352" s="8" t="n">
        <f aca="false">SUM(E352:G352)</f>
        <v>-2103.29644904669</v>
      </c>
      <c r="J352" s="24" t="n">
        <f aca="false">$J$55</f>
        <v>46714.1242758881</v>
      </c>
      <c r="K352" s="24" t="n">
        <f aca="false">$J$55</f>
        <v>46714.1242758881</v>
      </c>
      <c r="L352" s="24" t="n">
        <f aca="false">$J$55</f>
        <v>46714.1242758881</v>
      </c>
      <c r="M352" s="71" t="n">
        <f aca="false">1+Rate_Devex*(DATE(YEAR(J352)+1,1,1)-J352)/Days_In_Year</f>
        <v>1.02130176663669</v>
      </c>
      <c r="N352" s="71" t="n">
        <f aca="false">1+Rate_Devex*(DATE(YEAR(K352)+1,1,1)-K352)/Days_In_Year</f>
        <v>1.02130176663669</v>
      </c>
      <c r="O352" s="71" t="n">
        <f aca="false">1+Rate_Devex*(DATE(YEAR(L352)+1,1,1)-L352)/Days_In_Year</f>
        <v>1.02130176663669</v>
      </c>
    </row>
    <row r="353" customFormat="false" ht="14.25" hidden="false" customHeight="false" outlineLevel="1" collapsed="false">
      <c r="C353" s="6" t="s">
        <v>285</v>
      </c>
      <c r="D353" s="2" t="s">
        <v>85</v>
      </c>
      <c r="E353" s="8" t="n">
        <f aca="false">E333-E311-E312</f>
        <v>18508.4026310823</v>
      </c>
      <c r="F353" s="8" t="n">
        <f aca="false">F333-F311-F312</f>
        <v>13828.5797945205</v>
      </c>
      <c r="G353" s="8" t="n">
        <f aca="false">G333-G311-G312</f>
        <v>13828.5797945205</v>
      </c>
      <c r="H353" s="8" t="n">
        <f aca="false">SUM(E353:G353)</f>
        <v>46165.5622201234</v>
      </c>
      <c r="J353" s="24" t="n">
        <f aca="false">Sale_Date</f>
        <v>47391</v>
      </c>
      <c r="K353" s="24" t="n">
        <f aca="false">Sale_Date</f>
        <v>47391</v>
      </c>
      <c r="L353" s="24" t="n">
        <f aca="false">Sale_Date</f>
        <v>47391</v>
      </c>
    </row>
    <row r="354" customFormat="false" ht="14.25" hidden="false" customHeight="false" outlineLevel="0" collapsed="false">
      <c r="C354" s="6" t="s">
        <v>271</v>
      </c>
      <c r="D354" s="2" t="s">
        <v>85</v>
      </c>
      <c r="E354" s="8" t="n">
        <f aca="false">-J$411*CIT_Rate*E$21</f>
        <v>-1.23252542690937</v>
      </c>
      <c r="F354" s="8" t="n">
        <f aca="false">-J$462*CIT_Rate*F$21</f>
        <v>-0</v>
      </c>
      <c r="G354" s="8" t="n">
        <f aca="false">-J$513*CIT_Rate*G$21</f>
        <v>-0</v>
      </c>
      <c r="H354" s="8" t="n">
        <f aca="false">SUM(E354:G354)</f>
        <v>-1.23252542690937</v>
      </c>
      <c r="J354" s="24" t="n">
        <f aca="false">J$364</f>
        <v>46387</v>
      </c>
      <c r="K354" s="24" t="n">
        <f aca="false">J$364</f>
        <v>46387</v>
      </c>
      <c r="L354" s="24" t="n">
        <f aca="false">J$364</f>
        <v>46387</v>
      </c>
    </row>
    <row r="355" customFormat="false" ht="14.25" hidden="false" customHeight="false" outlineLevel="0" collapsed="false">
      <c r="C355" s="6" t="s">
        <v>272</v>
      </c>
      <c r="D355" s="2" t="s">
        <v>85</v>
      </c>
      <c r="E355" s="8" t="n">
        <f aca="false">-K$411*CIT_Rate*E$21</f>
        <v>-47.0978432242265</v>
      </c>
      <c r="F355" s="8" t="n">
        <f aca="false">-K$462*CIT_Rate*F$21</f>
        <v>-0</v>
      </c>
      <c r="G355" s="8" t="n">
        <f aca="false">-K$513*CIT_Rate*G$21</f>
        <v>-0</v>
      </c>
      <c r="H355" s="8" t="n">
        <f aca="false">SUM(E355:G355)</f>
        <v>-47.0978432242265</v>
      </c>
      <c r="J355" s="24" t="n">
        <f aca="false">K$364</f>
        <v>46752</v>
      </c>
      <c r="K355" s="24" t="n">
        <f aca="false">K$364</f>
        <v>46752</v>
      </c>
      <c r="L355" s="24" t="n">
        <f aca="false">K$364</f>
        <v>46752</v>
      </c>
    </row>
    <row r="356" customFormat="false" ht="14.25" hidden="false" customHeight="false" outlineLevel="0" collapsed="false">
      <c r="C356" s="6" t="s">
        <v>273</v>
      </c>
      <c r="D356" s="2" t="s">
        <v>85</v>
      </c>
      <c r="E356" s="8" t="n">
        <f aca="false">-L$411*CIT_Rate*E$21</f>
        <v>-121.13949900352</v>
      </c>
      <c r="F356" s="8" t="n">
        <f aca="false">-L$462*CIT_Rate*F$21</f>
        <v>-0</v>
      </c>
      <c r="G356" s="8" t="n">
        <f aca="false">-L$513*CIT_Rate*G$21</f>
        <v>-0</v>
      </c>
      <c r="H356" s="8" t="n">
        <f aca="false">SUM(E356:G356)</f>
        <v>-121.13949900352</v>
      </c>
      <c r="J356" s="24" t="n">
        <f aca="false">L$364</f>
        <v>47118</v>
      </c>
      <c r="K356" s="24" t="n">
        <f aca="false">L$364</f>
        <v>47118</v>
      </c>
      <c r="L356" s="24" t="n">
        <f aca="false">L$364</f>
        <v>47118</v>
      </c>
    </row>
    <row r="357" customFormat="false" ht="14.25" hidden="false" customHeight="false" outlineLevel="0" collapsed="false">
      <c r="C357" s="6" t="s">
        <v>274</v>
      </c>
      <c r="D357" s="2" t="s">
        <v>85</v>
      </c>
      <c r="E357" s="8" t="n">
        <f aca="false">-E213*CIT_Rate*E$21-SUM(E354:E356)</f>
        <v>-216.991862420476</v>
      </c>
      <c r="F357" s="8" t="n">
        <f aca="false">-F213*CIT_Rate*F$21-SUM(F354:F356)</f>
        <v>-0</v>
      </c>
      <c r="G357" s="8" t="n">
        <f aca="false">-G213*CIT_Rate*G$21-SUM(G354:G356)</f>
        <v>-0</v>
      </c>
      <c r="H357" s="8" t="n">
        <f aca="false">SUM(E357:G357)</f>
        <v>-216.991862420476</v>
      </c>
      <c r="J357" s="24" t="n">
        <f aca="false">Sale_Date</f>
        <v>47391</v>
      </c>
      <c r="K357" s="24" t="n">
        <f aca="false">Sale_Date</f>
        <v>47391</v>
      </c>
      <c r="L357" s="24" t="n">
        <f aca="false">Sale_Date</f>
        <v>47391</v>
      </c>
    </row>
    <row r="358" customFormat="false" ht="14.25" hidden="false" customHeight="false" outlineLevel="0" collapsed="false">
      <c r="C358" s="6" t="s">
        <v>259</v>
      </c>
      <c r="D358" s="2" t="s">
        <v>85</v>
      </c>
      <c r="E358" s="8" t="n">
        <f aca="false">E338</f>
        <v>-0</v>
      </c>
      <c r="F358" s="8" t="n">
        <f aca="false">F338</f>
        <v>-0</v>
      </c>
      <c r="G358" s="8" t="n">
        <f aca="false">G338</f>
        <v>-0</v>
      </c>
      <c r="H358" s="8" t="n">
        <f aca="false">SUM(E358:G358)</f>
        <v>0</v>
      </c>
      <c r="J358" s="24" t="n">
        <f aca="false">Sale_Date</f>
        <v>47391</v>
      </c>
      <c r="K358" s="24" t="n">
        <f aca="false">Sale_Date</f>
        <v>47391</v>
      </c>
      <c r="L358" s="24" t="n">
        <f aca="false">Sale_Date</f>
        <v>47391</v>
      </c>
    </row>
    <row r="359" customFormat="false" ht="14.25" hidden="false" customHeight="false" outlineLevel="0" collapsed="false">
      <c r="C359" s="6" t="s">
        <v>275</v>
      </c>
      <c r="D359" s="2" t="s">
        <v>3</v>
      </c>
      <c r="E359" s="47" t="n">
        <f aca="false">SUMIF(E344:E358,"&gt;0")/-SUMIF(E344:E358,"&lt;0")</f>
        <v>1.32655998025358</v>
      </c>
      <c r="F359" s="47" t="n">
        <f aca="false">SUMIF(F344:F358,"&gt;0")/-SUMIF(F344:F358,"&lt;0")</f>
        <v>1.85920540815467</v>
      </c>
      <c r="G359" s="47" t="n">
        <f aca="false">SUMIF(G344:G358,"&gt;0")/-SUMIF(G344:G358,"&lt;0")</f>
        <v>1.85920540815467</v>
      </c>
      <c r="H359" s="47" t="n">
        <f aca="false">SUMIF(H344:H358,"&gt;0")/-SUMIF(H344:H358,"&lt;0")</f>
        <v>1.60141537846024</v>
      </c>
      <c r="J359" s="24"/>
      <c r="K359" s="24"/>
      <c r="L359" s="24"/>
    </row>
    <row r="360" customFormat="false" ht="14.25" hidden="false" customHeight="false" outlineLevel="0" collapsed="false">
      <c r="C360" s="6" t="s">
        <v>276</v>
      </c>
      <c r="D360" s="2" t="s">
        <v>12</v>
      </c>
      <c r="E360" s="48" t="n">
        <f aca="false">XIRR(E344:E358,J344:J358)</f>
        <v>0.220265172384283</v>
      </c>
      <c r="F360" s="48" t="n">
        <f aca="false">XIRR(F344:F358,K344:K358)</f>
        <v>0.36981874472502</v>
      </c>
      <c r="G360" s="48" t="n">
        <f aca="false">XIRR(G344:G358,L344:L358)</f>
        <v>0.36981874472502</v>
      </c>
      <c r="H360" s="49" t="n">
        <f aca="false">XIRR(H344:H358,J344:J358)</f>
        <v>0.315646572053133</v>
      </c>
      <c r="J360" s="24"/>
      <c r="K360" s="24"/>
      <c r="L360" s="24"/>
    </row>
    <row r="361" customFormat="false" ht="14.25" hidden="false" customHeight="false" outlineLevel="0" collapsed="false">
      <c r="C361" s="1"/>
      <c r="D361" s="2"/>
      <c r="E361" s="15"/>
      <c r="F361" s="15"/>
      <c r="G361" s="15"/>
      <c r="H361" s="15"/>
    </row>
    <row r="362" customFormat="false" ht="14.25" hidden="false" customHeight="false" outlineLevel="0" collapsed="false">
      <c r="B362" s="4" t="s">
        <v>3</v>
      </c>
      <c r="C362" s="4" t="s">
        <v>286</v>
      </c>
      <c r="D362" s="4"/>
      <c r="E362" s="73"/>
      <c r="F362" s="73"/>
      <c r="G362" s="73"/>
      <c r="H362" s="5" t="s">
        <v>8</v>
      </c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</row>
    <row r="363" customFormat="false" ht="14.25" hidden="false" customHeight="false" outlineLevel="0" collapsed="false">
      <c r="C363" s="6" t="s">
        <v>155</v>
      </c>
      <c r="D363" s="2" t="s">
        <v>156</v>
      </c>
      <c r="J363" s="74" t="n">
        <f aca="false">First_Year+COLUMN()-COLUMN($J$1)</f>
        <v>2026</v>
      </c>
      <c r="K363" s="74" t="n">
        <f aca="false">First_Year+COLUMN()-COLUMN($J$1)</f>
        <v>2027</v>
      </c>
      <c r="L363" s="74" t="n">
        <f aca="false">First_Year+COLUMN()-COLUMN($J$1)</f>
        <v>2028</v>
      </c>
      <c r="M363" s="74" t="n">
        <f aca="false">First_Year+COLUMN()-COLUMN($J$1)</f>
        <v>2029</v>
      </c>
      <c r="N363" s="74" t="n">
        <f aca="false">First_Year+COLUMN()-COLUMN($J$1)</f>
        <v>2030</v>
      </c>
      <c r="O363" s="74" t="n">
        <f aca="false">First_Year+COLUMN()-COLUMN($J$1)</f>
        <v>2031</v>
      </c>
      <c r="P363" s="74" t="n">
        <f aca="false">First_Year+COLUMN()-COLUMN($J$1)</f>
        <v>2032</v>
      </c>
      <c r="Q363" s="74" t="n">
        <f aca="false">First_Year+COLUMN()-COLUMN($J$1)</f>
        <v>2033</v>
      </c>
      <c r="R363" s="74" t="n">
        <f aca="false">First_Year+COLUMN()-COLUMN($J$1)</f>
        <v>2034</v>
      </c>
      <c r="S363" s="74" t="n">
        <f aca="false">First_Year+COLUMN()-COLUMN($J$1)</f>
        <v>2035</v>
      </c>
      <c r="T363" s="74" t="n">
        <f aca="false">First_Year+COLUMN()-COLUMN($J$1)</f>
        <v>2036</v>
      </c>
      <c r="U363" s="74" t="n">
        <f aca="false">First_Year+COLUMN()-COLUMN($J$1)</f>
        <v>2037</v>
      </c>
      <c r="V363" s="74" t="n">
        <f aca="false">First_Year+COLUMN()-COLUMN($J$1)</f>
        <v>2038</v>
      </c>
      <c r="W363" s="74" t="n">
        <f aca="false">First_Year+COLUMN()-COLUMN($J$1)</f>
        <v>2039</v>
      </c>
      <c r="X363" s="74" t="n">
        <f aca="false">First_Year+COLUMN()-COLUMN($J$1)</f>
        <v>2040</v>
      </c>
      <c r="Y363" s="74" t="n">
        <f aca="false">First_Year+COLUMN()-COLUMN($J$1)</f>
        <v>2041</v>
      </c>
      <c r="Z363" s="74" t="n">
        <f aca="false">First_Year+COLUMN()-COLUMN($J$1)</f>
        <v>2042</v>
      </c>
      <c r="AA363" s="74" t="n">
        <f aca="false">First_Year+COLUMN()-COLUMN($J$1)</f>
        <v>2043</v>
      </c>
      <c r="AB363" s="74" t="n">
        <f aca="false">First_Year+COLUMN()-COLUMN($J$1)</f>
        <v>2044</v>
      </c>
      <c r="AC363" s="74" t="n">
        <f aca="false">First_Year+COLUMN()-COLUMN($J$1)</f>
        <v>2045</v>
      </c>
      <c r="AD363" s="74" t="n">
        <f aca="false">First_Year+COLUMN()-COLUMN($J$1)</f>
        <v>2046</v>
      </c>
      <c r="AE363" s="74" t="n">
        <f aca="false">First_Year+COLUMN()-COLUMN($J$1)</f>
        <v>2047</v>
      </c>
      <c r="AF363" s="74" t="n">
        <f aca="false">First_Year+COLUMN()-COLUMN($J$1)</f>
        <v>2048</v>
      </c>
      <c r="AG363" s="74" t="n">
        <f aca="false">First_Year+COLUMN()-COLUMN($J$1)</f>
        <v>2049</v>
      </c>
      <c r="AH363" s="74" t="n">
        <f aca="false">First_Year+COLUMN()-COLUMN($J$1)</f>
        <v>2050</v>
      </c>
      <c r="AI363" s="74" t="n">
        <f aca="false">First_Year+COLUMN()-COLUMN($J$1)</f>
        <v>2051</v>
      </c>
      <c r="AJ363" s="74" t="n">
        <f aca="false">First_Year+COLUMN()-COLUMN($J$1)</f>
        <v>2052</v>
      </c>
      <c r="AK363" s="74" t="n">
        <f aca="false">First_Year+COLUMN()-COLUMN($J$1)</f>
        <v>2053</v>
      </c>
      <c r="AL363" s="74" t="n">
        <f aca="false">First_Year+COLUMN()-COLUMN($J$1)</f>
        <v>2054</v>
      </c>
      <c r="AM363" s="74" t="n">
        <f aca="false">First_Year+COLUMN()-COLUMN($J$1)</f>
        <v>2055</v>
      </c>
      <c r="AN363" s="74" t="n">
        <f aca="false">First_Year+COLUMN()-COLUMN($J$1)</f>
        <v>2056</v>
      </c>
      <c r="AO363" s="74" t="n">
        <f aca="false">First_Year+COLUMN()-COLUMN($J$1)</f>
        <v>2057</v>
      </c>
      <c r="AP363" s="74" t="n">
        <f aca="false">First_Year+COLUMN()-COLUMN($J$1)</f>
        <v>2058</v>
      </c>
      <c r="AQ363" s="74" t="n">
        <f aca="false">First_Year+COLUMN()-COLUMN($J$1)</f>
        <v>2059</v>
      </c>
      <c r="AR363" s="74" t="n">
        <f aca="false">First_Year+COLUMN()-COLUMN($J$1)</f>
        <v>2060</v>
      </c>
      <c r="AS363" s="74" t="n">
        <f aca="false">First_Year+COLUMN()-COLUMN($J$1)</f>
        <v>2061</v>
      </c>
    </row>
    <row r="364" customFormat="false" ht="14.25" hidden="false" customHeight="false" outlineLevel="0" collapsed="false">
      <c r="C364" s="6" t="s">
        <v>287</v>
      </c>
      <c r="D364" s="2" t="s">
        <v>168</v>
      </c>
      <c r="J364" s="24" t="n">
        <f aca="false">DATE(J363+1,1,1)-1</f>
        <v>46387</v>
      </c>
      <c r="K364" s="24" t="n">
        <f aca="false">DATE(K363+1,1,1)-1</f>
        <v>46752</v>
      </c>
      <c r="L364" s="24" t="n">
        <f aca="false">DATE(L363+1,1,1)-1</f>
        <v>47118</v>
      </c>
      <c r="M364" s="24" t="n">
        <f aca="false">DATE(M363+1,1,1)-1</f>
        <v>47483</v>
      </c>
      <c r="N364" s="24" t="n">
        <f aca="false">DATE(N363+1,1,1)-1</f>
        <v>47848</v>
      </c>
      <c r="O364" s="24" t="n">
        <f aca="false">DATE(O363+1,1,1)-1</f>
        <v>48213</v>
      </c>
      <c r="P364" s="24" t="n">
        <f aca="false">DATE(P363+1,1,1)-1</f>
        <v>48579</v>
      </c>
      <c r="Q364" s="24" t="n">
        <f aca="false">DATE(Q363+1,1,1)-1</f>
        <v>48944</v>
      </c>
      <c r="R364" s="24" t="n">
        <f aca="false">DATE(R363+1,1,1)-1</f>
        <v>49309</v>
      </c>
      <c r="S364" s="24" t="n">
        <f aca="false">DATE(S363+1,1,1)-1</f>
        <v>49674</v>
      </c>
      <c r="T364" s="24" t="n">
        <f aca="false">DATE(T363+1,1,1)-1</f>
        <v>50040</v>
      </c>
      <c r="U364" s="24" t="n">
        <f aca="false">DATE(U363+1,1,1)-1</f>
        <v>50405</v>
      </c>
      <c r="V364" s="24" t="n">
        <f aca="false">DATE(V363+1,1,1)-1</f>
        <v>50770</v>
      </c>
      <c r="W364" s="24" t="n">
        <f aca="false">DATE(W363+1,1,1)-1</f>
        <v>51135</v>
      </c>
      <c r="X364" s="24" t="n">
        <f aca="false">DATE(X363+1,1,1)-1</f>
        <v>51501</v>
      </c>
      <c r="Y364" s="24" t="n">
        <f aca="false">DATE(Y363+1,1,1)-1</f>
        <v>51866</v>
      </c>
      <c r="Z364" s="24" t="n">
        <f aca="false">DATE(Z363+1,1,1)-1</f>
        <v>52231</v>
      </c>
      <c r="AA364" s="24" t="n">
        <f aca="false">DATE(AA363+1,1,1)-1</f>
        <v>52596</v>
      </c>
      <c r="AB364" s="24" t="n">
        <f aca="false">DATE(AB363+1,1,1)-1</f>
        <v>52962</v>
      </c>
      <c r="AC364" s="24" t="n">
        <f aca="false">DATE(AC363+1,1,1)-1</f>
        <v>53327</v>
      </c>
      <c r="AD364" s="24" t="n">
        <f aca="false">DATE(AD363+1,1,1)-1</f>
        <v>53692</v>
      </c>
      <c r="AE364" s="24" t="n">
        <f aca="false">DATE(AE363+1,1,1)-1</f>
        <v>54057</v>
      </c>
      <c r="AF364" s="24" t="n">
        <f aca="false">DATE(AF363+1,1,1)-1</f>
        <v>54423</v>
      </c>
      <c r="AG364" s="24" t="n">
        <f aca="false">DATE(AG363+1,1,1)-1</f>
        <v>54788</v>
      </c>
      <c r="AH364" s="24" t="n">
        <f aca="false">DATE(AH363+1,1,1)-1</f>
        <v>55153</v>
      </c>
      <c r="AI364" s="24" t="n">
        <f aca="false">DATE(AI363+1,1,1)-1</f>
        <v>55518</v>
      </c>
      <c r="AJ364" s="24" t="n">
        <f aca="false">DATE(AJ363+1,1,1)-1</f>
        <v>55884</v>
      </c>
      <c r="AK364" s="24" t="n">
        <f aca="false">DATE(AK363+1,1,1)-1</f>
        <v>56249</v>
      </c>
      <c r="AL364" s="24" t="n">
        <f aca="false">DATE(AL363+1,1,1)-1</f>
        <v>56614</v>
      </c>
      <c r="AM364" s="24" t="n">
        <f aca="false">DATE(AM363+1,1,1)-1</f>
        <v>56979</v>
      </c>
      <c r="AN364" s="24" t="n">
        <f aca="false">DATE(AN363+1,1,1)-1</f>
        <v>57345</v>
      </c>
      <c r="AO364" s="24" t="n">
        <f aca="false">DATE(AO363+1,1,1)-1</f>
        <v>57710</v>
      </c>
      <c r="AP364" s="24" t="n">
        <f aca="false">DATE(AP363+1,1,1)-1</f>
        <v>58075</v>
      </c>
      <c r="AQ364" s="24" t="n">
        <f aca="false">DATE(AQ363+1,1,1)-1</f>
        <v>58440</v>
      </c>
      <c r="AR364" s="24" t="n">
        <f aca="false">DATE(AR363+1,1,1)-1</f>
        <v>58806</v>
      </c>
      <c r="AS364" s="24" t="n">
        <f aca="false">DATE(AS363+1,1,1)-1</f>
        <v>59171</v>
      </c>
    </row>
    <row r="366" customFormat="false" ht="14.25" hidden="false" customHeight="false" outlineLevel="0" collapsed="false">
      <c r="B366" s="4" t="s">
        <v>3</v>
      </c>
      <c r="C366" s="4" t="s">
        <v>288</v>
      </c>
      <c r="D366" s="4"/>
      <c r="E366" s="5" t="s">
        <v>289</v>
      </c>
      <c r="F366" s="5"/>
      <c r="G366" s="5"/>
      <c r="H366" s="5" t="s">
        <v>8</v>
      </c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</row>
    <row r="367" customFormat="false" ht="14.25" hidden="false" customHeight="false" outlineLevel="0" collapsed="false">
      <c r="C367" s="6" t="s">
        <v>290</v>
      </c>
      <c r="D367" s="2" t="s">
        <v>291</v>
      </c>
      <c r="J367" s="74" t="n">
        <f aca="false">J$363-YEAR(Inputs!$E$26)</f>
        <v>-5</v>
      </c>
      <c r="K367" s="74" t="n">
        <f aca="false">K$363-YEAR(Inputs!$E$26)</f>
        <v>-4</v>
      </c>
      <c r="L367" s="74" t="n">
        <f aca="false">L$363-YEAR(Inputs!$E$26)</f>
        <v>-3</v>
      </c>
      <c r="M367" s="74" t="n">
        <f aca="false">M$363-YEAR(Inputs!$E$26)</f>
        <v>-2</v>
      </c>
      <c r="N367" s="74" t="n">
        <f aca="false">N$363-YEAR(Inputs!$E$26)</f>
        <v>-1</v>
      </c>
      <c r="O367" s="74" t="n">
        <f aca="false">O$363-YEAR(Inputs!$E$26)</f>
        <v>0</v>
      </c>
      <c r="P367" s="74" t="n">
        <f aca="false">P$363-YEAR(Inputs!$E$26)</f>
        <v>1</v>
      </c>
      <c r="Q367" s="74" t="n">
        <f aca="false">Q$363-YEAR(Inputs!$E$26)</f>
        <v>2</v>
      </c>
      <c r="R367" s="74" t="n">
        <f aca="false">R$363-YEAR(Inputs!$E$26)</f>
        <v>3</v>
      </c>
      <c r="S367" s="74" t="n">
        <f aca="false">S$363-YEAR(Inputs!$E$26)</f>
        <v>4</v>
      </c>
      <c r="T367" s="74" t="n">
        <f aca="false">T$363-YEAR(Inputs!$E$26)</f>
        <v>5</v>
      </c>
      <c r="U367" s="74" t="n">
        <f aca="false">U$363-YEAR(Inputs!$E$26)</f>
        <v>6</v>
      </c>
      <c r="V367" s="74" t="n">
        <f aca="false">V$363-YEAR(Inputs!$E$26)</f>
        <v>7</v>
      </c>
      <c r="W367" s="74" t="n">
        <f aca="false">W$363-YEAR(Inputs!$E$26)</f>
        <v>8</v>
      </c>
      <c r="X367" s="74" t="n">
        <f aca="false">X$363-YEAR(Inputs!$E$26)</f>
        <v>9</v>
      </c>
      <c r="Y367" s="74" t="n">
        <f aca="false">Y$363-YEAR(Inputs!$E$26)</f>
        <v>10</v>
      </c>
      <c r="Z367" s="74" t="n">
        <f aca="false">Z$363-YEAR(Inputs!$E$26)</f>
        <v>11</v>
      </c>
      <c r="AA367" s="74" t="n">
        <f aca="false">AA$363-YEAR(Inputs!$E$26)</f>
        <v>12</v>
      </c>
      <c r="AB367" s="74" t="n">
        <f aca="false">AB$363-YEAR(Inputs!$E$26)</f>
        <v>13</v>
      </c>
      <c r="AC367" s="74" t="n">
        <f aca="false">AC$363-YEAR(Inputs!$E$26)</f>
        <v>14</v>
      </c>
      <c r="AD367" s="74" t="n">
        <f aca="false">AD$363-YEAR(Inputs!$E$26)</f>
        <v>15</v>
      </c>
      <c r="AE367" s="74" t="n">
        <f aca="false">AE$363-YEAR(Inputs!$E$26)</f>
        <v>16</v>
      </c>
      <c r="AF367" s="74" t="n">
        <f aca="false">AF$363-YEAR(Inputs!$E$26)</f>
        <v>17</v>
      </c>
      <c r="AG367" s="74" t="n">
        <f aca="false">AG$363-YEAR(Inputs!$E$26)</f>
        <v>18</v>
      </c>
      <c r="AH367" s="74" t="n">
        <f aca="false">AH$363-YEAR(Inputs!$E$26)</f>
        <v>19</v>
      </c>
      <c r="AI367" s="74" t="n">
        <f aca="false">AI$363-YEAR(Inputs!$E$26)</f>
        <v>20</v>
      </c>
      <c r="AJ367" s="74" t="n">
        <f aca="false">AJ$363-YEAR(Inputs!$E$26)</f>
        <v>21</v>
      </c>
      <c r="AK367" s="74" t="n">
        <f aca="false">AK$363-YEAR(Inputs!$E$26)</f>
        <v>22</v>
      </c>
      <c r="AL367" s="74" t="n">
        <f aca="false">AL$363-YEAR(Inputs!$E$26)</f>
        <v>23</v>
      </c>
      <c r="AM367" s="74" t="n">
        <f aca="false">AM$363-YEAR(Inputs!$E$26)</f>
        <v>24</v>
      </c>
      <c r="AN367" s="74" t="n">
        <f aca="false">AN$363-YEAR(Inputs!$E$26)</f>
        <v>25</v>
      </c>
      <c r="AO367" s="74" t="n">
        <f aca="false">AO$363-YEAR(Inputs!$E$26)</f>
        <v>26</v>
      </c>
      <c r="AP367" s="74" t="n">
        <f aca="false">AP$363-YEAR(Inputs!$E$26)</f>
        <v>27</v>
      </c>
      <c r="AQ367" s="74" t="n">
        <f aca="false">AQ$363-YEAR(Inputs!$E$26)</f>
        <v>28</v>
      </c>
      <c r="AR367" s="74" t="n">
        <f aca="false">AR$363-YEAR(Inputs!$E$26)</f>
        <v>29</v>
      </c>
      <c r="AS367" s="74" t="n">
        <f aca="false">AS$363-YEAR(Inputs!$E$26)</f>
        <v>30</v>
      </c>
    </row>
    <row r="368" customFormat="false" ht="14.25" hidden="false" customHeight="false" outlineLevel="0" collapsed="false">
      <c r="C368" s="6" t="s">
        <v>292</v>
      </c>
      <c r="D368" s="2" t="s">
        <v>293</v>
      </c>
      <c r="E368" s="74" t="n">
        <f aca="false">DATEDIF(Inputs!$E$25,Inputs!$E$26,"m")</f>
        <v>24</v>
      </c>
      <c r="J368" s="74" t="n">
        <f aca="false">(J$363+1-YEAR(Inputs!$E$25))*Months_In_Year-MONTH(Inputs!$E$25)</f>
        <v>-30</v>
      </c>
      <c r="K368" s="74" t="n">
        <f aca="false">(K$363+1-YEAR(Inputs!$E$25))*Months_In_Year-MONTH(Inputs!$E$25)</f>
        <v>-18</v>
      </c>
      <c r="L368" s="74" t="n">
        <f aca="false">(L$363+1-YEAR(Inputs!$E$25))*Months_In_Year-MONTH(Inputs!$E$25)</f>
        <v>-6</v>
      </c>
      <c r="M368" s="74" t="n">
        <f aca="false">(M$363+1-YEAR(Inputs!$E$25))*Months_In_Year-MONTH(Inputs!$E$25)</f>
        <v>6</v>
      </c>
      <c r="N368" s="74" t="n">
        <f aca="false">(N$363+1-YEAR(Inputs!$E$25))*Months_In_Year-MONTH(Inputs!$E$25)</f>
        <v>18</v>
      </c>
      <c r="O368" s="74" t="n">
        <f aca="false">(O$363+1-YEAR(Inputs!$E$25))*Months_In_Year-MONTH(Inputs!$E$25)</f>
        <v>30</v>
      </c>
      <c r="P368" s="74" t="n">
        <f aca="false">(P$363+1-YEAR(Inputs!$E$25))*Months_In_Year-MONTH(Inputs!$E$25)</f>
        <v>42</v>
      </c>
      <c r="Q368" s="74" t="n">
        <f aca="false">(Q$363+1-YEAR(Inputs!$E$25))*Months_In_Year-MONTH(Inputs!$E$25)</f>
        <v>54</v>
      </c>
      <c r="R368" s="74" t="n">
        <f aca="false">(R$363+1-YEAR(Inputs!$E$25))*Months_In_Year-MONTH(Inputs!$E$25)</f>
        <v>66</v>
      </c>
      <c r="S368" s="74" t="n">
        <f aca="false">(S$363+1-YEAR(Inputs!$E$25))*Months_In_Year-MONTH(Inputs!$E$25)</f>
        <v>78</v>
      </c>
      <c r="T368" s="74" t="n">
        <f aca="false">(T$363+1-YEAR(Inputs!$E$25))*Months_In_Year-MONTH(Inputs!$E$25)</f>
        <v>90</v>
      </c>
      <c r="U368" s="74" t="n">
        <f aca="false">(U$363+1-YEAR(Inputs!$E$25))*Months_In_Year-MONTH(Inputs!$E$25)</f>
        <v>102</v>
      </c>
      <c r="V368" s="74" t="n">
        <f aca="false">(V$363+1-YEAR(Inputs!$E$25))*Months_In_Year-MONTH(Inputs!$E$25)</f>
        <v>114</v>
      </c>
      <c r="W368" s="74" t="n">
        <f aca="false">(W$363+1-YEAR(Inputs!$E$25))*Months_In_Year-MONTH(Inputs!$E$25)</f>
        <v>126</v>
      </c>
      <c r="X368" s="74" t="n">
        <f aca="false">(X$363+1-YEAR(Inputs!$E$25))*Months_In_Year-MONTH(Inputs!$E$25)</f>
        <v>138</v>
      </c>
      <c r="Y368" s="74" t="n">
        <f aca="false">(Y$363+1-YEAR(Inputs!$E$25))*Months_In_Year-MONTH(Inputs!$E$25)</f>
        <v>150</v>
      </c>
      <c r="Z368" s="74" t="n">
        <f aca="false">(Z$363+1-YEAR(Inputs!$E$25))*Months_In_Year-MONTH(Inputs!$E$25)</f>
        <v>162</v>
      </c>
      <c r="AA368" s="74" t="n">
        <f aca="false">(AA$363+1-YEAR(Inputs!$E$25))*Months_In_Year-MONTH(Inputs!$E$25)</f>
        <v>174</v>
      </c>
      <c r="AB368" s="74" t="n">
        <f aca="false">(AB$363+1-YEAR(Inputs!$E$25))*Months_In_Year-MONTH(Inputs!$E$25)</f>
        <v>186</v>
      </c>
      <c r="AC368" s="74" t="n">
        <f aca="false">(AC$363+1-YEAR(Inputs!$E$25))*Months_In_Year-MONTH(Inputs!$E$25)</f>
        <v>198</v>
      </c>
      <c r="AD368" s="74" t="n">
        <f aca="false">(AD$363+1-YEAR(Inputs!$E$25))*Months_In_Year-MONTH(Inputs!$E$25)</f>
        <v>210</v>
      </c>
      <c r="AE368" s="74" t="n">
        <f aca="false">(AE$363+1-YEAR(Inputs!$E$25))*Months_In_Year-MONTH(Inputs!$E$25)</f>
        <v>222</v>
      </c>
      <c r="AF368" s="74" t="n">
        <f aca="false">(AF$363+1-YEAR(Inputs!$E$25))*Months_In_Year-MONTH(Inputs!$E$25)</f>
        <v>234</v>
      </c>
      <c r="AG368" s="74" t="n">
        <f aca="false">(AG$363+1-YEAR(Inputs!$E$25))*Months_In_Year-MONTH(Inputs!$E$25)</f>
        <v>246</v>
      </c>
      <c r="AH368" s="74" t="n">
        <f aca="false">(AH$363+1-YEAR(Inputs!$E$25))*Months_In_Year-MONTH(Inputs!$E$25)</f>
        <v>258</v>
      </c>
      <c r="AI368" s="74" t="n">
        <f aca="false">(AI$363+1-YEAR(Inputs!$E$25))*Months_In_Year-MONTH(Inputs!$E$25)</f>
        <v>270</v>
      </c>
      <c r="AJ368" s="74" t="n">
        <f aca="false">(AJ$363+1-YEAR(Inputs!$E$25))*Months_In_Year-MONTH(Inputs!$E$25)</f>
        <v>282</v>
      </c>
      <c r="AK368" s="74" t="n">
        <f aca="false">(AK$363+1-YEAR(Inputs!$E$25))*Months_In_Year-MONTH(Inputs!$E$25)</f>
        <v>294</v>
      </c>
      <c r="AL368" s="74" t="n">
        <f aca="false">(AL$363+1-YEAR(Inputs!$E$25))*Months_In_Year-MONTH(Inputs!$E$25)</f>
        <v>306</v>
      </c>
      <c r="AM368" s="74" t="n">
        <f aca="false">(AM$363+1-YEAR(Inputs!$E$25))*Months_In_Year-MONTH(Inputs!$E$25)</f>
        <v>318</v>
      </c>
      <c r="AN368" s="74" t="n">
        <f aca="false">(AN$363+1-YEAR(Inputs!$E$25))*Months_In_Year-MONTH(Inputs!$E$25)</f>
        <v>330</v>
      </c>
      <c r="AO368" s="74" t="n">
        <f aca="false">(AO$363+1-YEAR(Inputs!$E$25))*Months_In_Year-MONTH(Inputs!$E$25)</f>
        <v>342</v>
      </c>
      <c r="AP368" s="74" t="n">
        <f aca="false">(AP$363+1-YEAR(Inputs!$E$25))*Months_In_Year-MONTH(Inputs!$E$25)</f>
        <v>354</v>
      </c>
      <c r="AQ368" s="74" t="n">
        <f aca="false">(AQ$363+1-YEAR(Inputs!$E$25))*Months_In_Year-MONTH(Inputs!$E$25)</f>
        <v>366</v>
      </c>
      <c r="AR368" s="74" t="n">
        <f aca="false">(AR$363+1-YEAR(Inputs!$E$25))*Months_In_Year-MONTH(Inputs!$E$25)</f>
        <v>378</v>
      </c>
      <c r="AS368" s="74" t="n">
        <f aca="false">(AS$363+1-YEAR(Inputs!$E$25))*Months_In_Year-MONTH(Inputs!$E$25)</f>
        <v>390</v>
      </c>
    </row>
    <row r="369" customFormat="false" ht="14.25" hidden="false" customHeight="false" outlineLevel="0" collapsed="false">
      <c r="C369" s="6" t="s">
        <v>294</v>
      </c>
      <c r="D369" s="2" t="s">
        <v>12</v>
      </c>
      <c r="H369" s="75" t="n">
        <f aca="false">SUM(J369:AS369)</f>
        <v>1</v>
      </c>
      <c r="J369" s="48" t="n">
        <f aca="false">MAX(0,MIN(J368,$E368)-MAX(J368-Months_In_Year,0))/$E368</f>
        <v>0</v>
      </c>
      <c r="K369" s="48" t="n">
        <f aca="false">MAX(0,MIN(K368,$E368)-MAX(K368-Months_In_Year,0))/$E368</f>
        <v>0</v>
      </c>
      <c r="L369" s="48" t="n">
        <f aca="false">MAX(0,MIN(L368,$E368)-MAX(L368-Months_In_Year,0))/$E368</f>
        <v>0</v>
      </c>
      <c r="M369" s="48" t="n">
        <f aca="false">MAX(0,MIN(M368,$E368)-MAX(M368-Months_In_Year,0))/$E368</f>
        <v>0.25</v>
      </c>
      <c r="N369" s="48" t="n">
        <f aca="false">MAX(0,MIN(N368,$E368)-MAX(N368-Months_In_Year,0))/$E368</f>
        <v>0.5</v>
      </c>
      <c r="O369" s="48" t="n">
        <f aca="false">MAX(0,MIN(O368,$E368)-MAX(O368-Months_In_Year,0))/$E368</f>
        <v>0.25</v>
      </c>
      <c r="P369" s="48" t="n">
        <f aca="false">MAX(0,MIN(P368,$E368)-MAX(P368-Months_In_Year,0))/$E368</f>
        <v>0</v>
      </c>
      <c r="Q369" s="48" t="n">
        <f aca="false">MAX(0,MIN(Q368,$E368)-MAX(Q368-Months_In_Year,0))/$E368</f>
        <v>0</v>
      </c>
      <c r="R369" s="48" t="n">
        <f aca="false">MAX(0,MIN(R368,$E368)-MAX(R368-Months_In_Year,0))/$E368</f>
        <v>0</v>
      </c>
      <c r="S369" s="48" t="n">
        <f aca="false">MAX(0,MIN(S368,$E368)-MAX(S368-Months_In_Year,0))/$E368</f>
        <v>0</v>
      </c>
      <c r="T369" s="48" t="n">
        <f aca="false">MAX(0,MIN(T368,$E368)-MAX(T368-Months_In_Year,0))/$E368</f>
        <v>0</v>
      </c>
      <c r="U369" s="48" t="n">
        <f aca="false">MAX(0,MIN(U368,$E368)-MAX(U368-Months_In_Year,0))/$E368</f>
        <v>0</v>
      </c>
      <c r="V369" s="48" t="n">
        <f aca="false">MAX(0,MIN(V368,$E368)-MAX(V368-Months_In_Year,0))/$E368</f>
        <v>0</v>
      </c>
      <c r="W369" s="48" t="n">
        <f aca="false">MAX(0,MIN(W368,$E368)-MAX(W368-Months_In_Year,0))/$E368</f>
        <v>0</v>
      </c>
      <c r="X369" s="48" t="n">
        <f aca="false">MAX(0,MIN(X368,$E368)-MAX(X368-Months_In_Year,0))/$E368</f>
        <v>0</v>
      </c>
      <c r="Y369" s="48" t="n">
        <f aca="false">MAX(0,MIN(Y368,$E368)-MAX(Y368-Months_In_Year,0))/$E368</f>
        <v>0</v>
      </c>
      <c r="Z369" s="48" t="n">
        <f aca="false">MAX(0,MIN(Z368,$E368)-MAX(Z368-Months_In_Year,0))/$E368</f>
        <v>0</v>
      </c>
      <c r="AA369" s="48" t="n">
        <f aca="false">MAX(0,MIN(AA368,$E368)-MAX(AA368-Months_In_Year,0))/$E368</f>
        <v>0</v>
      </c>
      <c r="AB369" s="48" t="n">
        <f aca="false">MAX(0,MIN(AB368,$E368)-MAX(AB368-Months_In_Year,0))/$E368</f>
        <v>0</v>
      </c>
      <c r="AC369" s="48" t="n">
        <f aca="false">MAX(0,MIN(AC368,$E368)-MAX(AC368-Months_In_Year,0))/$E368</f>
        <v>0</v>
      </c>
      <c r="AD369" s="48" t="n">
        <f aca="false">MAX(0,MIN(AD368,$E368)-MAX(AD368-Months_In_Year,0))/$E368</f>
        <v>0</v>
      </c>
      <c r="AE369" s="48" t="n">
        <f aca="false">MAX(0,MIN(AE368,$E368)-MAX(AE368-Months_In_Year,0))/$E368</f>
        <v>0</v>
      </c>
      <c r="AF369" s="48" t="n">
        <f aca="false">MAX(0,MIN(AF368,$E368)-MAX(AF368-Months_In_Year,0))/$E368</f>
        <v>0</v>
      </c>
      <c r="AG369" s="48" t="n">
        <f aca="false">MAX(0,MIN(AG368,$E368)-MAX(AG368-Months_In_Year,0))/$E368</f>
        <v>0</v>
      </c>
      <c r="AH369" s="48" t="n">
        <f aca="false">MAX(0,MIN(AH368,$E368)-MAX(AH368-Months_In_Year,0))/$E368</f>
        <v>0</v>
      </c>
      <c r="AI369" s="48" t="n">
        <f aca="false">MAX(0,MIN(AI368,$E368)-MAX(AI368-Months_In_Year,0))/$E368</f>
        <v>0</v>
      </c>
      <c r="AJ369" s="48" t="n">
        <f aca="false">MAX(0,MIN(AJ368,$E368)-MAX(AJ368-Months_In_Year,0))/$E368</f>
        <v>0</v>
      </c>
      <c r="AK369" s="48" t="n">
        <f aca="false">MAX(0,MIN(AK368,$E368)-MAX(AK368-Months_In_Year,0))/$E368</f>
        <v>0</v>
      </c>
      <c r="AL369" s="48" t="n">
        <f aca="false">MAX(0,MIN(AL368,$E368)-MAX(AL368-Months_In_Year,0))/$E368</f>
        <v>0</v>
      </c>
      <c r="AM369" s="48" t="n">
        <f aca="false">MAX(0,MIN(AM368,$E368)-MAX(AM368-Months_In_Year,0))/$E368</f>
        <v>0</v>
      </c>
      <c r="AN369" s="48" t="n">
        <f aca="false">MAX(0,MIN(AN368,$E368)-MAX(AN368-Months_In_Year,0))/$E368</f>
        <v>0</v>
      </c>
      <c r="AO369" s="48" t="n">
        <f aca="false">MAX(0,MIN(AO368,$E368)-MAX(AO368-Months_In_Year,0))/$E368</f>
        <v>0</v>
      </c>
      <c r="AP369" s="48" t="n">
        <f aca="false">MAX(0,MIN(AP368,$E368)-MAX(AP368-Months_In_Year,0))/$E368</f>
        <v>0</v>
      </c>
      <c r="AQ369" s="48" t="n">
        <f aca="false">MAX(0,MIN(AQ368,$E368)-MAX(AQ368-Months_In_Year,0))/$E368</f>
        <v>0</v>
      </c>
      <c r="AR369" s="48" t="n">
        <f aca="false">MAX(0,MIN(AR368,$E368)-MAX(AR368-Months_In_Year,0))/$E368</f>
        <v>0</v>
      </c>
      <c r="AS369" s="48" t="n">
        <f aca="false">MAX(0,MIN(AS368,$E368)-MAX(AS368-Months_In_Year,0))/$E368</f>
        <v>0</v>
      </c>
    </row>
    <row r="370" customFormat="false" ht="14.25" hidden="false" customHeight="false" outlineLevel="0" collapsed="false">
      <c r="C370" s="6" t="s">
        <v>295</v>
      </c>
      <c r="D370" s="2" t="s">
        <v>293</v>
      </c>
      <c r="E370" s="74" t="n">
        <f aca="false">Life*Months_In_Year</f>
        <v>360</v>
      </c>
      <c r="J370" s="74" t="n">
        <f aca="false">(J$363+1-YEAR(Inputs!$E$26))*Months_In_Year-MONTH(Inputs!$E$26)</f>
        <v>-54</v>
      </c>
      <c r="K370" s="74" t="n">
        <f aca="false">(K$363+1-YEAR(Inputs!$E$26))*Months_In_Year-MONTH(Inputs!$E$26)</f>
        <v>-42</v>
      </c>
      <c r="L370" s="74" t="n">
        <f aca="false">(L$363+1-YEAR(Inputs!$E$26))*Months_In_Year-MONTH(Inputs!$E$26)</f>
        <v>-30</v>
      </c>
      <c r="M370" s="74" t="n">
        <f aca="false">(M$363+1-YEAR(Inputs!$E$26))*Months_In_Year-MONTH(Inputs!$E$26)</f>
        <v>-18</v>
      </c>
      <c r="N370" s="74" t="n">
        <f aca="false">(N$363+1-YEAR(Inputs!$E$26))*Months_In_Year-MONTH(Inputs!$E$26)</f>
        <v>-6</v>
      </c>
      <c r="O370" s="74" t="n">
        <f aca="false">(O$363+1-YEAR(Inputs!$E$26))*Months_In_Year-MONTH(Inputs!$E$26)</f>
        <v>6</v>
      </c>
      <c r="P370" s="74" t="n">
        <f aca="false">(P$363+1-YEAR(Inputs!$E$26))*Months_In_Year-MONTH(Inputs!$E$26)</f>
        <v>18</v>
      </c>
      <c r="Q370" s="74" t="n">
        <f aca="false">(Q$363+1-YEAR(Inputs!$E$26))*Months_In_Year-MONTH(Inputs!$E$26)</f>
        <v>30</v>
      </c>
      <c r="R370" s="74" t="n">
        <f aca="false">(R$363+1-YEAR(Inputs!$E$26))*Months_In_Year-MONTH(Inputs!$E$26)</f>
        <v>42</v>
      </c>
      <c r="S370" s="74" t="n">
        <f aca="false">(S$363+1-YEAR(Inputs!$E$26))*Months_In_Year-MONTH(Inputs!$E$26)</f>
        <v>54</v>
      </c>
      <c r="T370" s="74" t="n">
        <f aca="false">(T$363+1-YEAR(Inputs!$E$26))*Months_In_Year-MONTH(Inputs!$E$26)</f>
        <v>66</v>
      </c>
      <c r="U370" s="74" t="n">
        <f aca="false">(U$363+1-YEAR(Inputs!$E$26))*Months_In_Year-MONTH(Inputs!$E$26)</f>
        <v>78</v>
      </c>
      <c r="V370" s="74" t="n">
        <f aca="false">(V$363+1-YEAR(Inputs!$E$26))*Months_In_Year-MONTH(Inputs!$E$26)</f>
        <v>90</v>
      </c>
      <c r="W370" s="74" t="n">
        <f aca="false">(W$363+1-YEAR(Inputs!$E$26))*Months_In_Year-MONTH(Inputs!$E$26)</f>
        <v>102</v>
      </c>
      <c r="X370" s="74" t="n">
        <f aca="false">(X$363+1-YEAR(Inputs!$E$26))*Months_In_Year-MONTH(Inputs!$E$26)</f>
        <v>114</v>
      </c>
      <c r="Y370" s="74" t="n">
        <f aca="false">(Y$363+1-YEAR(Inputs!$E$26))*Months_In_Year-MONTH(Inputs!$E$26)</f>
        <v>126</v>
      </c>
      <c r="Z370" s="74" t="n">
        <f aca="false">(Z$363+1-YEAR(Inputs!$E$26))*Months_In_Year-MONTH(Inputs!$E$26)</f>
        <v>138</v>
      </c>
      <c r="AA370" s="74" t="n">
        <f aca="false">(AA$363+1-YEAR(Inputs!$E$26))*Months_In_Year-MONTH(Inputs!$E$26)</f>
        <v>150</v>
      </c>
      <c r="AB370" s="74" t="n">
        <f aca="false">(AB$363+1-YEAR(Inputs!$E$26))*Months_In_Year-MONTH(Inputs!$E$26)</f>
        <v>162</v>
      </c>
      <c r="AC370" s="74" t="n">
        <f aca="false">(AC$363+1-YEAR(Inputs!$E$26))*Months_In_Year-MONTH(Inputs!$E$26)</f>
        <v>174</v>
      </c>
      <c r="AD370" s="74" t="n">
        <f aca="false">(AD$363+1-YEAR(Inputs!$E$26))*Months_In_Year-MONTH(Inputs!$E$26)</f>
        <v>186</v>
      </c>
      <c r="AE370" s="74" t="n">
        <f aca="false">(AE$363+1-YEAR(Inputs!$E$26))*Months_In_Year-MONTH(Inputs!$E$26)</f>
        <v>198</v>
      </c>
      <c r="AF370" s="74" t="n">
        <f aca="false">(AF$363+1-YEAR(Inputs!$E$26))*Months_In_Year-MONTH(Inputs!$E$26)</f>
        <v>210</v>
      </c>
      <c r="AG370" s="74" t="n">
        <f aca="false">(AG$363+1-YEAR(Inputs!$E$26))*Months_In_Year-MONTH(Inputs!$E$26)</f>
        <v>222</v>
      </c>
      <c r="AH370" s="74" t="n">
        <f aca="false">(AH$363+1-YEAR(Inputs!$E$26))*Months_In_Year-MONTH(Inputs!$E$26)</f>
        <v>234</v>
      </c>
      <c r="AI370" s="74" t="n">
        <f aca="false">(AI$363+1-YEAR(Inputs!$E$26))*Months_In_Year-MONTH(Inputs!$E$26)</f>
        <v>246</v>
      </c>
      <c r="AJ370" s="74" t="n">
        <f aca="false">(AJ$363+1-YEAR(Inputs!$E$26))*Months_In_Year-MONTH(Inputs!$E$26)</f>
        <v>258</v>
      </c>
      <c r="AK370" s="74" t="n">
        <f aca="false">(AK$363+1-YEAR(Inputs!$E$26))*Months_In_Year-MONTH(Inputs!$E$26)</f>
        <v>270</v>
      </c>
      <c r="AL370" s="74" t="n">
        <f aca="false">(AL$363+1-YEAR(Inputs!$E$26))*Months_In_Year-MONTH(Inputs!$E$26)</f>
        <v>282</v>
      </c>
      <c r="AM370" s="74" t="n">
        <f aca="false">(AM$363+1-YEAR(Inputs!$E$26))*Months_In_Year-MONTH(Inputs!$E$26)</f>
        <v>294</v>
      </c>
      <c r="AN370" s="74" t="n">
        <f aca="false">(AN$363+1-YEAR(Inputs!$E$26))*Months_In_Year-MONTH(Inputs!$E$26)</f>
        <v>306</v>
      </c>
      <c r="AO370" s="74" t="n">
        <f aca="false">(AO$363+1-YEAR(Inputs!$E$26))*Months_In_Year-MONTH(Inputs!$E$26)</f>
        <v>318</v>
      </c>
      <c r="AP370" s="74" t="n">
        <f aca="false">(AP$363+1-YEAR(Inputs!$E$26))*Months_In_Year-MONTH(Inputs!$E$26)</f>
        <v>330</v>
      </c>
      <c r="AQ370" s="74" t="n">
        <f aca="false">(AQ$363+1-YEAR(Inputs!$E$26))*Months_In_Year-MONTH(Inputs!$E$26)</f>
        <v>342</v>
      </c>
      <c r="AR370" s="74" t="n">
        <f aca="false">(AR$363+1-YEAR(Inputs!$E$26))*Months_In_Year-MONTH(Inputs!$E$26)</f>
        <v>354</v>
      </c>
      <c r="AS370" s="74" t="n">
        <f aca="false">(AS$363+1-YEAR(Inputs!$E$26))*Months_In_Year-MONTH(Inputs!$E$26)</f>
        <v>366</v>
      </c>
    </row>
    <row r="371" customFormat="false" ht="14.25" hidden="false" customHeight="false" outlineLevel="0" collapsed="false">
      <c r="C371" s="6" t="s">
        <v>296</v>
      </c>
      <c r="D371" s="2" t="s">
        <v>12</v>
      </c>
      <c r="H371" s="75" t="n">
        <f aca="false">SUM(J371:AS371)</f>
        <v>30</v>
      </c>
      <c r="J371" s="48" t="n">
        <f aca="false">MAX(0,MIN(J370,$E370)-MAX(J370-Months_In_Year,0))/Months_In_Year</f>
        <v>0</v>
      </c>
      <c r="K371" s="48" t="n">
        <f aca="false">MAX(0,MIN(K370,$E370)-MAX(K370-Months_In_Year,0))/Months_In_Year</f>
        <v>0</v>
      </c>
      <c r="L371" s="48" t="n">
        <f aca="false">MAX(0,MIN(L370,$E370)-MAX(L370-Months_In_Year,0))/Months_In_Year</f>
        <v>0</v>
      </c>
      <c r="M371" s="48" t="n">
        <f aca="false">MAX(0,MIN(M370,$E370)-MAX(M370-Months_In_Year,0))/Months_In_Year</f>
        <v>0</v>
      </c>
      <c r="N371" s="48" t="n">
        <f aca="false">MAX(0,MIN(N370,$E370)-MAX(N370-Months_In_Year,0))/Months_In_Year</f>
        <v>0</v>
      </c>
      <c r="O371" s="48" t="n">
        <f aca="false">MAX(0,MIN(O370,$E370)-MAX(O370-Months_In_Year,0))/Months_In_Year</f>
        <v>0.5</v>
      </c>
      <c r="P371" s="48" t="n">
        <f aca="false">MAX(0,MIN(P370,$E370)-MAX(P370-Months_In_Year,0))/Months_In_Year</f>
        <v>1</v>
      </c>
      <c r="Q371" s="48" t="n">
        <f aca="false">MAX(0,MIN(Q370,$E370)-MAX(Q370-Months_In_Year,0))/Months_In_Year</f>
        <v>1</v>
      </c>
      <c r="R371" s="48" t="n">
        <f aca="false">MAX(0,MIN(R370,$E370)-MAX(R370-Months_In_Year,0))/Months_In_Year</f>
        <v>1</v>
      </c>
      <c r="S371" s="48" t="n">
        <f aca="false">MAX(0,MIN(S370,$E370)-MAX(S370-Months_In_Year,0))/Months_In_Year</f>
        <v>1</v>
      </c>
      <c r="T371" s="48" t="n">
        <f aca="false">MAX(0,MIN(T370,$E370)-MAX(T370-Months_In_Year,0))/Months_In_Year</f>
        <v>1</v>
      </c>
      <c r="U371" s="48" t="n">
        <f aca="false">MAX(0,MIN(U370,$E370)-MAX(U370-Months_In_Year,0))/Months_In_Year</f>
        <v>1</v>
      </c>
      <c r="V371" s="48" t="n">
        <f aca="false">MAX(0,MIN(V370,$E370)-MAX(V370-Months_In_Year,0))/Months_In_Year</f>
        <v>1</v>
      </c>
      <c r="W371" s="48" t="n">
        <f aca="false">MAX(0,MIN(W370,$E370)-MAX(W370-Months_In_Year,0))/Months_In_Year</f>
        <v>1</v>
      </c>
      <c r="X371" s="48" t="n">
        <f aca="false">MAX(0,MIN(X370,$E370)-MAX(X370-Months_In_Year,0))/Months_In_Year</f>
        <v>1</v>
      </c>
      <c r="Y371" s="48" t="n">
        <f aca="false">MAX(0,MIN(Y370,$E370)-MAX(Y370-Months_In_Year,0))/Months_In_Year</f>
        <v>1</v>
      </c>
      <c r="Z371" s="48" t="n">
        <f aca="false">MAX(0,MIN(Z370,$E370)-MAX(Z370-Months_In_Year,0))/Months_In_Year</f>
        <v>1</v>
      </c>
      <c r="AA371" s="48" t="n">
        <f aca="false">MAX(0,MIN(AA370,$E370)-MAX(AA370-Months_In_Year,0))/Months_In_Year</f>
        <v>1</v>
      </c>
      <c r="AB371" s="48" t="n">
        <f aca="false">MAX(0,MIN(AB370,$E370)-MAX(AB370-Months_In_Year,0))/Months_In_Year</f>
        <v>1</v>
      </c>
      <c r="AC371" s="48" t="n">
        <f aca="false">MAX(0,MIN(AC370,$E370)-MAX(AC370-Months_In_Year,0))/Months_In_Year</f>
        <v>1</v>
      </c>
      <c r="AD371" s="48" t="n">
        <f aca="false">MAX(0,MIN(AD370,$E370)-MAX(AD370-Months_In_Year,0))/Months_In_Year</f>
        <v>1</v>
      </c>
      <c r="AE371" s="48" t="n">
        <f aca="false">MAX(0,MIN(AE370,$E370)-MAX(AE370-Months_In_Year,0))/Months_In_Year</f>
        <v>1</v>
      </c>
      <c r="AF371" s="48" t="n">
        <f aca="false">MAX(0,MIN(AF370,$E370)-MAX(AF370-Months_In_Year,0))/Months_In_Year</f>
        <v>1</v>
      </c>
      <c r="AG371" s="48" t="n">
        <f aca="false">MAX(0,MIN(AG370,$E370)-MAX(AG370-Months_In_Year,0))/Months_In_Year</f>
        <v>1</v>
      </c>
      <c r="AH371" s="48" t="n">
        <f aca="false">MAX(0,MIN(AH370,$E370)-MAX(AH370-Months_In_Year,0))/Months_In_Year</f>
        <v>1</v>
      </c>
      <c r="AI371" s="48" t="n">
        <f aca="false">MAX(0,MIN(AI370,$E370)-MAX(AI370-Months_In_Year,0))/Months_In_Year</f>
        <v>1</v>
      </c>
      <c r="AJ371" s="48" t="n">
        <f aca="false">MAX(0,MIN(AJ370,$E370)-MAX(AJ370-Months_In_Year,0))/Months_In_Year</f>
        <v>1</v>
      </c>
      <c r="AK371" s="48" t="n">
        <f aca="false">MAX(0,MIN(AK370,$E370)-MAX(AK370-Months_In_Year,0))/Months_In_Year</f>
        <v>1</v>
      </c>
      <c r="AL371" s="48" t="n">
        <f aca="false">MAX(0,MIN(AL370,$E370)-MAX(AL370-Months_In_Year,0))/Months_In_Year</f>
        <v>1</v>
      </c>
      <c r="AM371" s="48" t="n">
        <f aca="false">MAX(0,MIN(AM370,$E370)-MAX(AM370-Months_In_Year,0))/Months_In_Year</f>
        <v>1</v>
      </c>
      <c r="AN371" s="48" t="n">
        <f aca="false">MAX(0,MIN(AN370,$E370)-MAX(AN370-Months_In_Year,0))/Months_In_Year</f>
        <v>1</v>
      </c>
      <c r="AO371" s="48" t="n">
        <f aca="false">MAX(0,MIN(AO370,$E370)-MAX(AO370-Months_In_Year,0))/Months_In_Year</f>
        <v>1</v>
      </c>
      <c r="AP371" s="48" t="n">
        <f aca="false">MAX(0,MIN(AP370,$E370)-MAX(AP370-Months_In_Year,0))/Months_In_Year</f>
        <v>1</v>
      </c>
      <c r="AQ371" s="48" t="n">
        <f aca="false">MAX(0,MIN(AQ370,$E370)-MAX(AQ370-Months_In_Year,0))/Months_In_Year</f>
        <v>1</v>
      </c>
      <c r="AR371" s="48" t="n">
        <f aca="false">MAX(0,MIN(AR370,$E370)-MAX(AR370-Months_In_Year,0))/Months_In_Year</f>
        <v>1</v>
      </c>
      <c r="AS371" s="48" t="n">
        <f aca="false">MAX(0,MIN(AS370,$E370)-MAX(AS370-Months_In_Year,0))/Months_In_Year</f>
        <v>0.5</v>
      </c>
    </row>
    <row r="372" customFormat="false" ht="14.25" hidden="false" customHeight="false" outlineLevel="0" collapsed="false">
      <c r="C372" s="6" t="s">
        <v>297</v>
      </c>
      <c r="D372" s="2" t="s">
        <v>2</v>
      </c>
      <c r="J372" s="76" t="n">
        <f aca="false">N(J367=0)</f>
        <v>0</v>
      </c>
      <c r="K372" s="76" t="n">
        <f aca="false">N(K367=0)</f>
        <v>0</v>
      </c>
      <c r="L372" s="76" t="n">
        <f aca="false">N(L367=0)</f>
        <v>0</v>
      </c>
      <c r="M372" s="76" t="n">
        <f aca="false">N(M367=0)</f>
        <v>0</v>
      </c>
      <c r="N372" s="76" t="n">
        <f aca="false">N(N367=0)</f>
        <v>0</v>
      </c>
      <c r="O372" s="76" t="n">
        <f aca="false">N(O367=0)</f>
        <v>1</v>
      </c>
      <c r="P372" s="76" t="n">
        <f aca="false">N(P367=0)</f>
        <v>0</v>
      </c>
      <c r="Q372" s="76" t="n">
        <f aca="false">N(Q367=0)</f>
        <v>0</v>
      </c>
      <c r="R372" s="76" t="n">
        <f aca="false">N(R367=0)</f>
        <v>0</v>
      </c>
      <c r="S372" s="76" t="n">
        <f aca="false">N(S367=0)</f>
        <v>0</v>
      </c>
      <c r="T372" s="76" t="n">
        <f aca="false">N(T367=0)</f>
        <v>0</v>
      </c>
      <c r="U372" s="76" t="n">
        <f aca="false">N(U367=0)</f>
        <v>0</v>
      </c>
      <c r="V372" s="76" t="n">
        <f aca="false">N(V367=0)</f>
        <v>0</v>
      </c>
      <c r="W372" s="76" t="n">
        <f aca="false">N(W367=0)</f>
        <v>0</v>
      </c>
      <c r="X372" s="76" t="n">
        <f aca="false">N(X367=0)</f>
        <v>0</v>
      </c>
      <c r="Y372" s="76" t="n">
        <f aca="false">N(Y367=0)</f>
        <v>0</v>
      </c>
      <c r="Z372" s="76" t="n">
        <f aca="false">N(Z367=0)</f>
        <v>0</v>
      </c>
      <c r="AA372" s="76" t="n">
        <f aca="false">N(AA367=0)</f>
        <v>0</v>
      </c>
      <c r="AB372" s="76" t="n">
        <f aca="false">N(AB367=0)</f>
        <v>0</v>
      </c>
      <c r="AC372" s="76" t="n">
        <f aca="false">N(AC367=0)</f>
        <v>0</v>
      </c>
      <c r="AD372" s="76" t="n">
        <f aca="false">N(AD367=0)</f>
        <v>0</v>
      </c>
      <c r="AE372" s="76" t="n">
        <f aca="false">N(AE367=0)</f>
        <v>0</v>
      </c>
      <c r="AF372" s="76" t="n">
        <f aca="false">N(AF367=0)</f>
        <v>0</v>
      </c>
      <c r="AG372" s="76" t="n">
        <f aca="false">N(AG367=0)</f>
        <v>0</v>
      </c>
      <c r="AH372" s="76" t="n">
        <f aca="false">N(AH367=0)</f>
        <v>0</v>
      </c>
      <c r="AI372" s="76" t="n">
        <f aca="false">N(AI367=0)</f>
        <v>0</v>
      </c>
      <c r="AJ372" s="76" t="n">
        <f aca="false">N(AJ367=0)</f>
        <v>0</v>
      </c>
      <c r="AK372" s="76" t="n">
        <f aca="false">N(AK367=0)</f>
        <v>0</v>
      </c>
      <c r="AL372" s="76" t="n">
        <f aca="false">N(AL367=0)</f>
        <v>0</v>
      </c>
      <c r="AM372" s="76" t="n">
        <f aca="false">N(AM367=0)</f>
        <v>0</v>
      </c>
      <c r="AN372" s="76" t="n">
        <f aca="false">N(AN367=0)</f>
        <v>0</v>
      </c>
      <c r="AO372" s="76" t="n">
        <f aca="false">N(AO367=0)</f>
        <v>0</v>
      </c>
      <c r="AP372" s="76" t="n">
        <f aca="false">N(AP367=0)</f>
        <v>0</v>
      </c>
      <c r="AQ372" s="76" t="n">
        <f aca="false">N(AQ367=0)</f>
        <v>0</v>
      </c>
      <c r="AR372" s="76" t="n">
        <f aca="false">N(AR367=0)</f>
        <v>0</v>
      </c>
      <c r="AS372" s="76" t="n">
        <f aca="false">N(AS367=0)</f>
        <v>0</v>
      </c>
    </row>
    <row r="373" customFormat="false" ht="14.25" hidden="false" customHeight="false" outlineLevel="0" collapsed="false">
      <c r="C373" s="6" t="s">
        <v>298</v>
      </c>
      <c r="D373" s="2" t="s">
        <v>85</v>
      </c>
      <c r="H373" s="8" t="n">
        <f aca="false">SUM(J373:AS373)</f>
        <v>-20256.3995260274</v>
      </c>
      <c r="J373" s="8" t="n">
        <f aca="false">-($E$98+$E$68+$E$62+$E$63+$E$92)*(J$363=YEAR(Sale_Date))</f>
        <v>-0</v>
      </c>
      <c r="K373" s="8" t="n">
        <f aca="false">-($E$98+$E$68+$E$62+$E$63+$E$92)*(K$363=YEAR(Sale_Date))</f>
        <v>-0</v>
      </c>
      <c r="L373" s="8" t="n">
        <f aca="false">-($E$98+$E$68+$E$62+$E$63+$E$92)*(L$363=YEAR(Sale_Date))</f>
        <v>-0</v>
      </c>
      <c r="M373" s="8" t="n">
        <f aca="false">-($E$98+$E$68+$E$62+$E$63+$E$92)*(M$363=YEAR(Sale_Date))</f>
        <v>-20256.3995260274</v>
      </c>
      <c r="N373" s="8" t="n">
        <f aca="false">-($E$98+$E$68+$E$62+$E$63+$E$92)*(N$363=YEAR(Sale_Date))</f>
        <v>-0</v>
      </c>
      <c r="O373" s="8" t="n">
        <f aca="false">-($E$98+$E$68+$E$62+$E$63+$E$92)*(O$363=YEAR(Sale_Date))</f>
        <v>-0</v>
      </c>
      <c r="P373" s="8" t="n">
        <f aca="false">-($E$98+$E$68+$E$62+$E$63+$E$92)*(P$363=YEAR(Sale_Date))</f>
        <v>-0</v>
      </c>
      <c r="Q373" s="8" t="n">
        <f aca="false">-($E$98+$E$68+$E$62+$E$63+$E$92)*(Q$363=YEAR(Sale_Date))</f>
        <v>-0</v>
      </c>
      <c r="R373" s="8" t="n">
        <f aca="false">-($E$98+$E$68+$E$62+$E$63+$E$92)*(R$363=YEAR(Sale_Date))</f>
        <v>-0</v>
      </c>
      <c r="S373" s="8" t="n">
        <f aca="false">-($E$98+$E$68+$E$62+$E$63+$E$92)*(S$363=YEAR(Sale_Date))</f>
        <v>-0</v>
      </c>
      <c r="T373" s="8" t="n">
        <f aca="false">-($E$98+$E$68+$E$62+$E$63+$E$92)*(T$363=YEAR(Sale_Date))</f>
        <v>-0</v>
      </c>
      <c r="U373" s="8" t="n">
        <f aca="false">-($E$98+$E$68+$E$62+$E$63+$E$92)*(U$363=YEAR(Sale_Date))</f>
        <v>-0</v>
      </c>
      <c r="V373" s="8" t="n">
        <f aca="false">-($E$98+$E$68+$E$62+$E$63+$E$92)*(V$363=YEAR(Sale_Date))</f>
        <v>-0</v>
      </c>
      <c r="W373" s="8" t="n">
        <f aca="false">-($E$98+$E$68+$E$62+$E$63+$E$92)*(W$363=YEAR(Sale_Date))</f>
        <v>-0</v>
      </c>
      <c r="X373" s="8" t="n">
        <f aca="false">-($E$98+$E$68+$E$62+$E$63+$E$92)*(X$363=YEAR(Sale_Date))</f>
        <v>-0</v>
      </c>
      <c r="Y373" s="8" t="n">
        <f aca="false">-($E$98+$E$68+$E$62+$E$63+$E$92)*(Y$363=YEAR(Sale_Date))</f>
        <v>-0</v>
      </c>
      <c r="Z373" s="8" t="n">
        <f aca="false">-($E$98+$E$68+$E$62+$E$63+$E$92)*(Z$363=YEAR(Sale_Date))</f>
        <v>-0</v>
      </c>
      <c r="AA373" s="8" t="n">
        <f aca="false">-($E$98+$E$68+$E$62+$E$63+$E$92)*(AA$363=YEAR(Sale_Date))</f>
        <v>-0</v>
      </c>
      <c r="AB373" s="8" t="n">
        <f aca="false">-($E$98+$E$68+$E$62+$E$63+$E$92)*(AB$363=YEAR(Sale_Date))</f>
        <v>-0</v>
      </c>
      <c r="AC373" s="8" t="n">
        <f aca="false">-($E$98+$E$68+$E$62+$E$63+$E$92)*(AC$363=YEAR(Sale_Date))</f>
        <v>-0</v>
      </c>
      <c r="AD373" s="8" t="n">
        <f aca="false">-($E$98+$E$68+$E$62+$E$63+$E$92)*(AD$363=YEAR(Sale_Date))</f>
        <v>-0</v>
      </c>
      <c r="AE373" s="8" t="n">
        <f aca="false">-($E$98+$E$68+$E$62+$E$63+$E$92)*(AE$363=YEAR(Sale_Date))</f>
        <v>-0</v>
      </c>
      <c r="AF373" s="8" t="n">
        <f aca="false">-($E$98+$E$68+$E$62+$E$63+$E$92)*(AF$363=YEAR(Sale_Date))</f>
        <v>-0</v>
      </c>
      <c r="AG373" s="8" t="n">
        <f aca="false">-($E$98+$E$68+$E$62+$E$63+$E$92)*(AG$363=YEAR(Sale_Date))</f>
        <v>-0</v>
      </c>
      <c r="AH373" s="8" t="n">
        <f aca="false">-($E$98+$E$68+$E$62+$E$63+$E$92)*(AH$363=YEAR(Sale_Date))</f>
        <v>-0</v>
      </c>
      <c r="AI373" s="8" t="n">
        <f aca="false">-($E$98+$E$68+$E$62+$E$63+$E$92)*(AI$363=YEAR(Sale_Date))</f>
        <v>-0</v>
      </c>
      <c r="AJ373" s="8" t="n">
        <f aca="false">-($E$98+$E$68+$E$62+$E$63+$E$92)*(AJ$363=YEAR(Sale_Date))</f>
        <v>-0</v>
      </c>
      <c r="AK373" s="8" t="n">
        <f aca="false">-($E$98+$E$68+$E$62+$E$63+$E$92)*(AK$363=YEAR(Sale_Date))</f>
        <v>-0</v>
      </c>
      <c r="AL373" s="8" t="n">
        <f aca="false">-($E$98+$E$68+$E$62+$E$63+$E$92)*(AL$363=YEAR(Sale_Date))</f>
        <v>-0</v>
      </c>
      <c r="AM373" s="8" t="n">
        <f aca="false">-($E$98+$E$68+$E$62+$E$63+$E$92)*(AM$363=YEAR(Sale_Date))</f>
        <v>-0</v>
      </c>
      <c r="AN373" s="8" t="n">
        <f aca="false">-($E$98+$E$68+$E$62+$E$63+$E$92)*(AN$363=YEAR(Sale_Date))</f>
        <v>-0</v>
      </c>
      <c r="AO373" s="8" t="n">
        <f aca="false">-($E$98+$E$68+$E$62+$E$63+$E$92)*(AO$363=YEAR(Sale_Date))</f>
        <v>-0</v>
      </c>
      <c r="AP373" s="8" t="n">
        <f aca="false">-($E$98+$E$68+$E$62+$E$63+$E$92)*(AP$363=YEAR(Sale_Date))</f>
        <v>-0</v>
      </c>
      <c r="AQ373" s="8" t="n">
        <f aca="false">-($E$98+$E$68+$E$62+$E$63+$E$92)*(AQ$363=YEAR(Sale_Date))</f>
        <v>-0</v>
      </c>
      <c r="AR373" s="8" t="n">
        <f aca="false">-($E$98+$E$68+$E$62+$E$63+$E$92)*(AR$363=YEAR(Sale_Date))</f>
        <v>-0</v>
      </c>
      <c r="AS373" s="8" t="n">
        <f aca="false">-($E$98+$E$68+$E$62+$E$63+$E$92)*(AS$363=YEAR(Sale_Date))</f>
        <v>-0</v>
      </c>
    </row>
    <row r="374" customFormat="false" ht="14.25" hidden="false" customHeight="false" outlineLevel="0" collapsed="false">
      <c r="C374" s="6" t="s">
        <v>299</v>
      </c>
      <c r="D374" s="2" t="s">
        <v>85</v>
      </c>
      <c r="H374" s="8" t="n">
        <f aca="false">SUM(J374:AS374)</f>
        <v>1942.46575342466</v>
      </c>
      <c r="J374" s="8" t="n">
        <f aca="false">($E$62+$E$63)*(J$363=YEAR(Inputs!$E$27))</f>
        <v>0</v>
      </c>
      <c r="K374" s="8" t="n">
        <f aca="false">($E$62+$E$63)*(K$363=YEAR(Inputs!$E$27))</f>
        <v>0</v>
      </c>
      <c r="L374" s="8" t="n">
        <f aca="false">($E$62+$E$63)*(L$363=YEAR(Inputs!$E$27))</f>
        <v>0</v>
      </c>
      <c r="M374" s="8" t="n">
        <f aca="false">($E$62+$E$63)*(M$363=YEAR(Inputs!$E$27))</f>
        <v>0</v>
      </c>
      <c r="N374" s="8" t="n">
        <f aca="false">($E$62+$E$63)*(N$363=YEAR(Inputs!$E$27))</f>
        <v>0</v>
      </c>
      <c r="O374" s="8" t="n">
        <f aca="false">($E$62+$E$63)*(O$363=YEAR(Inputs!$E$27))</f>
        <v>0</v>
      </c>
      <c r="P374" s="8" t="n">
        <f aca="false">($E$62+$E$63)*(P$363=YEAR(Inputs!$E$27))</f>
        <v>0</v>
      </c>
      <c r="Q374" s="8" t="n">
        <f aca="false">($E$62+$E$63)*(Q$363=YEAR(Inputs!$E$27))</f>
        <v>1942.46575342466</v>
      </c>
      <c r="R374" s="8" t="n">
        <f aca="false">($E$62+$E$63)*(R$363=YEAR(Inputs!$E$27))</f>
        <v>0</v>
      </c>
      <c r="S374" s="8" t="n">
        <f aca="false">($E$62+$E$63)*(S$363=YEAR(Inputs!$E$27))</f>
        <v>0</v>
      </c>
      <c r="T374" s="8" t="n">
        <f aca="false">($E$62+$E$63)*(T$363=YEAR(Inputs!$E$27))</f>
        <v>0</v>
      </c>
      <c r="U374" s="8" t="n">
        <f aca="false">($E$62+$E$63)*(U$363=YEAR(Inputs!$E$27))</f>
        <v>0</v>
      </c>
      <c r="V374" s="8" t="n">
        <f aca="false">($E$62+$E$63)*(V$363=YEAR(Inputs!$E$27))</f>
        <v>0</v>
      </c>
      <c r="W374" s="8" t="n">
        <f aca="false">($E$62+$E$63)*(W$363=YEAR(Inputs!$E$27))</f>
        <v>0</v>
      </c>
      <c r="X374" s="8" t="n">
        <f aca="false">($E$62+$E$63)*(X$363=YEAR(Inputs!$E$27))</f>
        <v>0</v>
      </c>
      <c r="Y374" s="8" t="n">
        <f aca="false">($E$62+$E$63)*(Y$363=YEAR(Inputs!$E$27))</f>
        <v>0</v>
      </c>
      <c r="Z374" s="8" t="n">
        <f aca="false">($E$62+$E$63)*(Z$363=YEAR(Inputs!$E$27))</f>
        <v>0</v>
      </c>
      <c r="AA374" s="8" t="n">
        <f aca="false">($E$62+$E$63)*(AA$363=YEAR(Inputs!$E$27))</f>
        <v>0</v>
      </c>
      <c r="AB374" s="8" t="n">
        <f aca="false">($E$62+$E$63)*(AB$363=YEAR(Inputs!$E$27))</f>
        <v>0</v>
      </c>
      <c r="AC374" s="8" t="n">
        <f aca="false">($E$62+$E$63)*(AC$363=YEAR(Inputs!$E$27))</f>
        <v>0</v>
      </c>
      <c r="AD374" s="8" t="n">
        <f aca="false">($E$62+$E$63)*(AD$363=YEAR(Inputs!$E$27))</f>
        <v>0</v>
      </c>
      <c r="AE374" s="8" t="n">
        <f aca="false">($E$62+$E$63)*(AE$363=YEAR(Inputs!$E$27))</f>
        <v>0</v>
      </c>
      <c r="AF374" s="8" t="n">
        <f aca="false">($E$62+$E$63)*(AF$363=YEAR(Inputs!$E$27))</f>
        <v>0</v>
      </c>
      <c r="AG374" s="8" t="n">
        <f aca="false">($E$62+$E$63)*(AG$363=YEAR(Inputs!$E$27))</f>
        <v>0</v>
      </c>
      <c r="AH374" s="8" t="n">
        <f aca="false">($E$62+$E$63)*(AH$363=YEAR(Inputs!$E$27))</f>
        <v>0</v>
      </c>
      <c r="AI374" s="8" t="n">
        <f aca="false">($E$62+$E$63)*(AI$363=YEAR(Inputs!$E$27))</f>
        <v>0</v>
      </c>
      <c r="AJ374" s="8" t="n">
        <f aca="false">($E$62+$E$63)*(AJ$363=YEAR(Inputs!$E$27))</f>
        <v>0</v>
      </c>
      <c r="AK374" s="8" t="n">
        <f aca="false">($E$62+$E$63)*(AK$363=YEAR(Inputs!$E$27))</f>
        <v>0</v>
      </c>
      <c r="AL374" s="8" t="n">
        <f aca="false">($E$62+$E$63)*(AL$363=YEAR(Inputs!$E$27))</f>
        <v>0</v>
      </c>
      <c r="AM374" s="8" t="n">
        <f aca="false">($E$62+$E$63)*(AM$363=YEAR(Inputs!$E$27))</f>
        <v>0</v>
      </c>
      <c r="AN374" s="8" t="n">
        <f aca="false">($E$62+$E$63)*(AN$363=YEAR(Inputs!$E$27))</f>
        <v>0</v>
      </c>
      <c r="AO374" s="8" t="n">
        <f aca="false">($E$62+$E$63)*(AO$363=YEAR(Inputs!$E$27))</f>
        <v>0</v>
      </c>
      <c r="AP374" s="8" t="n">
        <f aca="false">($E$62+$E$63)*(AP$363=YEAR(Inputs!$E$27))</f>
        <v>0</v>
      </c>
      <c r="AQ374" s="8" t="n">
        <f aca="false">($E$62+$E$63)*(AQ$363=YEAR(Inputs!$E$27))</f>
        <v>0</v>
      </c>
      <c r="AR374" s="8" t="n">
        <f aca="false">($E$62+$E$63)*(AR$363=YEAR(Inputs!$E$27))</f>
        <v>0</v>
      </c>
      <c r="AS374" s="8" t="n">
        <f aca="false">($E$62+$E$63)*(AS$363=YEAR(Inputs!$E$27))</f>
        <v>0</v>
      </c>
    </row>
    <row r="375" customFormat="false" ht="14.25" hidden="false" customHeight="false" outlineLevel="0" collapsed="false">
      <c r="C375" s="6" t="s">
        <v>300</v>
      </c>
      <c r="D375" s="2" t="s">
        <v>85</v>
      </c>
      <c r="H375" s="8" t="n">
        <f aca="false">SUM(J375:AS375)</f>
        <v>-52778</v>
      </c>
      <c r="J375" s="8" t="n">
        <f aca="false">-$E$91*J369</f>
        <v>-0</v>
      </c>
      <c r="K375" s="8" t="n">
        <f aca="false">-$E$91*K369</f>
        <v>-0</v>
      </c>
      <c r="L375" s="8" t="n">
        <f aca="false">-$E$91*L369</f>
        <v>-0</v>
      </c>
      <c r="M375" s="8" t="n">
        <f aca="false">-$E$91*M369</f>
        <v>-13194.5</v>
      </c>
      <c r="N375" s="8" t="n">
        <f aca="false">-$E$91*N369</f>
        <v>-26389</v>
      </c>
      <c r="O375" s="8" t="n">
        <f aca="false">-$E$91*O369</f>
        <v>-13194.5</v>
      </c>
      <c r="P375" s="8" t="n">
        <f aca="false">-$E$91*P369</f>
        <v>-0</v>
      </c>
      <c r="Q375" s="8" t="n">
        <f aca="false">-$E$91*Q369</f>
        <v>-0</v>
      </c>
      <c r="R375" s="8" t="n">
        <f aca="false">-$E$91*R369</f>
        <v>-0</v>
      </c>
      <c r="S375" s="8" t="n">
        <f aca="false">-$E$91*S369</f>
        <v>-0</v>
      </c>
      <c r="T375" s="8" t="n">
        <f aca="false">-$E$91*T369</f>
        <v>-0</v>
      </c>
      <c r="U375" s="8" t="n">
        <f aca="false">-$E$91*U369</f>
        <v>-0</v>
      </c>
      <c r="V375" s="8" t="n">
        <f aca="false">-$E$91*V369</f>
        <v>-0</v>
      </c>
      <c r="W375" s="8" t="n">
        <f aca="false">-$E$91*W369</f>
        <v>-0</v>
      </c>
      <c r="X375" s="8" t="n">
        <f aca="false">-$E$91*X369</f>
        <v>-0</v>
      </c>
      <c r="Y375" s="8" t="n">
        <f aca="false">-$E$91*Y369</f>
        <v>-0</v>
      </c>
      <c r="Z375" s="8" t="n">
        <f aca="false">-$E$91*Z369</f>
        <v>-0</v>
      </c>
      <c r="AA375" s="8" t="n">
        <f aca="false">-$E$91*AA369</f>
        <v>-0</v>
      </c>
      <c r="AB375" s="8" t="n">
        <f aca="false">-$E$91*AB369</f>
        <v>-0</v>
      </c>
      <c r="AC375" s="8" t="n">
        <f aca="false">-$E$91*AC369</f>
        <v>-0</v>
      </c>
      <c r="AD375" s="8" t="n">
        <f aca="false">-$E$91*AD369</f>
        <v>-0</v>
      </c>
      <c r="AE375" s="8" t="n">
        <f aca="false">-$E$91*AE369</f>
        <v>-0</v>
      </c>
      <c r="AF375" s="8" t="n">
        <f aca="false">-$E$91*AF369</f>
        <v>-0</v>
      </c>
      <c r="AG375" s="8" t="n">
        <f aca="false">-$E$91*AG369</f>
        <v>-0</v>
      </c>
      <c r="AH375" s="8" t="n">
        <f aca="false">-$E$91*AH369</f>
        <v>-0</v>
      </c>
      <c r="AI375" s="8" t="n">
        <f aca="false">-$E$91*AI369</f>
        <v>-0</v>
      </c>
      <c r="AJ375" s="8" t="n">
        <f aca="false">-$E$91*AJ369</f>
        <v>-0</v>
      </c>
      <c r="AK375" s="8" t="n">
        <f aca="false">-$E$91*AK369</f>
        <v>-0</v>
      </c>
      <c r="AL375" s="8" t="n">
        <f aca="false">-$E$91*AL369</f>
        <v>-0</v>
      </c>
      <c r="AM375" s="8" t="n">
        <f aca="false">-$E$91*AM369</f>
        <v>-0</v>
      </c>
      <c r="AN375" s="8" t="n">
        <f aca="false">-$E$91*AN369</f>
        <v>-0</v>
      </c>
      <c r="AO375" s="8" t="n">
        <f aca="false">-$E$91*AO369</f>
        <v>-0</v>
      </c>
      <c r="AP375" s="8" t="n">
        <f aca="false">-$E$91*AP369</f>
        <v>-0</v>
      </c>
      <c r="AQ375" s="8" t="n">
        <f aca="false">-$E$91*AQ369</f>
        <v>-0</v>
      </c>
      <c r="AR375" s="8" t="n">
        <f aca="false">-$E$91*AR369</f>
        <v>-0</v>
      </c>
      <c r="AS375" s="8" t="n">
        <f aca="false">-$E$91*AS369</f>
        <v>-0</v>
      </c>
    </row>
    <row r="376" customFormat="false" ht="14.25" hidden="false" customHeight="false" outlineLevel="0" collapsed="false">
      <c r="C376" s="6" t="s">
        <v>301</v>
      </c>
      <c r="D376" s="2" t="s">
        <v>85</v>
      </c>
      <c r="H376" s="8" t="n">
        <f aca="false">SUM(J376:AS376)</f>
        <v>-1000</v>
      </c>
      <c r="J376" s="8" t="n">
        <f aca="false">-$E$96*J372</f>
        <v>-0</v>
      </c>
      <c r="K376" s="8" t="n">
        <f aca="false">-$E$96*K372</f>
        <v>-0</v>
      </c>
      <c r="L376" s="8" t="n">
        <f aca="false">-$E$96*L372</f>
        <v>-0</v>
      </c>
      <c r="M376" s="8" t="n">
        <f aca="false">-$E$96*M372</f>
        <v>-0</v>
      </c>
      <c r="N376" s="8" t="n">
        <f aca="false">-$E$96*N372</f>
        <v>-0</v>
      </c>
      <c r="O376" s="8" t="n">
        <f aca="false">-$E$96*O372</f>
        <v>-1000</v>
      </c>
      <c r="P376" s="8" t="n">
        <f aca="false">-$E$96*P372</f>
        <v>-0</v>
      </c>
      <c r="Q376" s="8" t="n">
        <f aca="false">-$E$96*Q372</f>
        <v>-0</v>
      </c>
      <c r="R376" s="8" t="n">
        <f aca="false">-$E$96*R372</f>
        <v>-0</v>
      </c>
      <c r="S376" s="8" t="n">
        <f aca="false">-$E$96*S372</f>
        <v>-0</v>
      </c>
      <c r="T376" s="8" t="n">
        <f aca="false">-$E$96*T372</f>
        <v>-0</v>
      </c>
      <c r="U376" s="8" t="n">
        <f aca="false">-$E$96*U372</f>
        <v>-0</v>
      </c>
      <c r="V376" s="8" t="n">
        <f aca="false">-$E$96*V372</f>
        <v>-0</v>
      </c>
      <c r="W376" s="8" t="n">
        <f aca="false">-$E$96*W372</f>
        <v>-0</v>
      </c>
      <c r="X376" s="8" t="n">
        <f aca="false">-$E$96*X372</f>
        <v>-0</v>
      </c>
      <c r="Y376" s="8" t="n">
        <f aca="false">-$E$96*Y372</f>
        <v>-0</v>
      </c>
      <c r="Z376" s="8" t="n">
        <f aca="false">-$E$96*Z372</f>
        <v>-0</v>
      </c>
      <c r="AA376" s="8" t="n">
        <f aca="false">-$E$96*AA372</f>
        <v>-0</v>
      </c>
      <c r="AB376" s="8" t="n">
        <f aca="false">-$E$96*AB372</f>
        <v>-0</v>
      </c>
      <c r="AC376" s="8" t="n">
        <f aca="false">-$E$96*AC372</f>
        <v>-0</v>
      </c>
      <c r="AD376" s="8" t="n">
        <f aca="false">-$E$96*AD372</f>
        <v>-0</v>
      </c>
      <c r="AE376" s="8" t="n">
        <f aca="false">-$E$96*AE372</f>
        <v>-0</v>
      </c>
      <c r="AF376" s="8" t="n">
        <f aca="false">-$E$96*AF372</f>
        <v>-0</v>
      </c>
      <c r="AG376" s="8" t="n">
        <f aca="false">-$E$96*AG372</f>
        <v>-0</v>
      </c>
      <c r="AH376" s="8" t="n">
        <f aca="false">-$E$96*AH372</f>
        <v>-0</v>
      </c>
      <c r="AI376" s="8" t="n">
        <f aca="false">-$E$96*AI372</f>
        <v>-0</v>
      </c>
      <c r="AJ376" s="8" t="n">
        <f aca="false">-$E$96*AJ372</f>
        <v>-0</v>
      </c>
      <c r="AK376" s="8" t="n">
        <f aca="false">-$E$96*AK372</f>
        <v>-0</v>
      </c>
      <c r="AL376" s="8" t="n">
        <f aca="false">-$E$96*AL372</f>
        <v>-0</v>
      </c>
      <c r="AM376" s="8" t="n">
        <f aca="false">-$E$96*AM372</f>
        <v>-0</v>
      </c>
      <c r="AN376" s="8" t="n">
        <f aca="false">-$E$96*AN372</f>
        <v>-0</v>
      </c>
      <c r="AO376" s="8" t="n">
        <f aca="false">-$E$96*AO372</f>
        <v>-0</v>
      </c>
      <c r="AP376" s="8" t="n">
        <f aca="false">-$E$96*AP372</f>
        <v>-0</v>
      </c>
      <c r="AQ376" s="8" t="n">
        <f aca="false">-$E$96*AQ372</f>
        <v>-0</v>
      </c>
      <c r="AR376" s="8" t="n">
        <f aca="false">-$E$96*AR372</f>
        <v>-0</v>
      </c>
      <c r="AS376" s="8" t="n">
        <f aca="false">-$E$96*AS372</f>
        <v>-0</v>
      </c>
    </row>
    <row r="377" customFormat="false" ht="14.25" hidden="false" customHeight="false" outlineLevel="0" collapsed="false">
      <c r="C377" s="1" t="s">
        <v>302</v>
      </c>
      <c r="D377" s="2" t="s">
        <v>85</v>
      </c>
      <c r="H377" s="15" t="n">
        <f aca="false">SUM(J377:AS377)</f>
        <v>-72091.9337726027</v>
      </c>
      <c r="J377" s="15" t="n">
        <f aca="false">SUM(J373:J376)</f>
        <v>0</v>
      </c>
      <c r="K377" s="15" t="n">
        <f aca="false">SUM(K373:K376)</f>
        <v>0</v>
      </c>
      <c r="L377" s="15" t="n">
        <f aca="false">SUM(L373:L376)</f>
        <v>0</v>
      </c>
      <c r="M377" s="15" t="n">
        <f aca="false">SUM(M373:M376)</f>
        <v>-33450.8995260274</v>
      </c>
      <c r="N377" s="15" t="n">
        <f aca="false">SUM(N373:N376)</f>
        <v>-26389</v>
      </c>
      <c r="O377" s="15" t="n">
        <f aca="false">SUM(O373:O376)</f>
        <v>-14194.5</v>
      </c>
      <c r="P377" s="15" t="n">
        <f aca="false">SUM(P373:P376)</f>
        <v>0</v>
      </c>
      <c r="Q377" s="15" t="n">
        <f aca="false">SUM(Q373:Q376)</f>
        <v>1942.46575342466</v>
      </c>
      <c r="R377" s="15" t="n">
        <f aca="false">SUM(R373:R376)</f>
        <v>0</v>
      </c>
      <c r="S377" s="15" t="n">
        <f aca="false">SUM(S373:S376)</f>
        <v>0</v>
      </c>
      <c r="T377" s="15" t="n">
        <f aca="false">SUM(T373:T376)</f>
        <v>0</v>
      </c>
      <c r="U377" s="15" t="n">
        <f aca="false">SUM(U373:U376)</f>
        <v>0</v>
      </c>
      <c r="V377" s="15" t="n">
        <f aca="false">SUM(V373:V376)</f>
        <v>0</v>
      </c>
      <c r="W377" s="15" t="n">
        <f aca="false">SUM(W373:W376)</f>
        <v>0</v>
      </c>
      <c r="X377" s="15" t="n">
        <f aca="false">SUM(X373:X376)</f>
        <v>0</v>
      </c>
      <c r="Y377" s="15" t="n">
        <f aca="false">SUM(Y373:Y376)</f>
        <v>0</v>
      </c>
      <c r="Z377" s="15" t="n">
        <f aca="false">SUM(Z373:Z376)</f>
        <v>0</v>
      </c>
      <c r="AA377" s="15" t="n">
        <f aca="false">SUM(AA373:AA376)</f>
        <v>0</v>
      </c>
      <c r="AB377" s="15" t="n">
        <f aca="false">SUM(AB373:AB376)</f>
        <v>0</v>
      </c>
      <c r="AC377" s="15" t="n">
        <f aca="false">SUM(AC373:AC376)</f>
        <v>0</v>
      </c>
      <c r="AD377" s="15" t="n">
        <f aca="false">SUM(AD373:AD376)</f>
        <v>0</v>
      </c>
      <c r="AE377" s="15" t="n">
        <f aca="false">SUM(AE373:AE376)</f>
        <v>0</v>
      </c>
      <c r="AF377" s="15" t="n">
        <f aca="false">SUM(AF373:AF376)</f>
        <v>0</v>
      </c>
      <c r="AG377" s="15" t="n">
        <f aca="false">SUM(AG373:AG376)</f>
        <v>0</v>
      </c>
      <c r="AH377" s="15" t="n">
        <f aca="false">SUM(AH373:AH376)</f>
        <v>0</v>
      </c>
      <c r="AI377" s="15" t="n">
        <f aca="false">SUM(AI373:AI376)</f>
        <v>0</v>
      </c>
      <c r="AJ377" s="15" t="n">
        <f aca="false">SUM(AJ373:AJ376)</f>
        <v>0</v>
      </c>
      <c r="AK377" s="15" t="n">
        <f aca="false">SUM(AK373:AK376)</f>
        <v>0</v>
      </c>
      <c r="AL377" s="15" t="n">
        <f aca="false">SUM(AL373:AL376)</f>
        <v>0</v>
      </c>
      <c r="AM377" s="15" t="n">
        <f aca="false">SUM(AM373:AM376)</f>
        <v>0</v>
      </c>
      <c r="AN377" s="15" t="n">
        <f aca="false">SUM(AN373:AN376)</f>
        <v>0</v>
      </c>
      <c r="AO377" s="15" t="n">
        <f aca="false">SUM(AO373:AO376)</f>
        <v>0</v>
      </c>
      <c r="AP377" s="15" t="n">
        <f aca="false">SUM(AP373:AP376)</f>
        <v>0</v>
      </c>
      <c r="AQ377" s="15" t="n">
        <f aca="false">SUM(AQ373:AQ376)</f>
        <v>0</v>
      </c>
      <c r="AR377" s="15" t="n">
        <f aca="false">SUM(AR373:AR376)</f>
        <v>0</v>
      </c>
      <c r="AS377" s="15" t="n">
        <f aca="false">SUM(AS373:AS376)</f>
        <v>0</v>
      </c>
    </row>
    <row r="378" customFormat="false" ht="14.25" hidden="false" customHeight="false" outlineLevel="0" collapsed="false">
      <c r="C378" s="6" t="s">
        <v>303</v>
      </c>
      <c r="D378" s="2" t="s">
        <v>3</v>
      </c>
      <c r="J378" s="77" t="n">
        <f aca="false">(1-Degradation)^MAX(J367-1,0)</f>
        <v>1</v>
      </c>
      <c r="K378" s="77" t="n">
        <f aca="false">(1-Degradation)^MAX(K367-1,0)</f>
        <v>1</v>
      </c>
      <c r="L378" s="77" t="n">
        <f aca="false">(1-Degradation)^MAX(L367-1,0)</f>
        <v>1</v>
      </c>
      <c r="M378" s="77" t="n">
        <f aca="false">(1-Degradation)^MAX(M367-1,0)</f>
        <v>1</v>
      </c>
      <c r="N378" s="77" t="n">
        <f aca="false">(1-Degradation)^MAX(N367-1,0)</f>
        <v>1</v>
      </c>
      <c r="O378" s="77" t="n">
        <f aca="false">(1-Degradation)^MAX(O367-1,0)</f>
        <v>1</v>
      </c>
      <c r="P378" s="77" t="n">
        <f aca="false">(1-Degradation)^MAX(P367-1,0)</f>
        <v>1</v>
      </c>
      <c r="Q378" s="77" t="n">
        <f aca="false">(1-Degradation)^MAX(Q367-1,0)</f>
        <v>0.997</v>
      </c>
      <c r="R378" s="77" t="n">
        <f aca="false">(1-Degradation)^MAX(R367-1,0)</f>
        <v>0.994009</v>
      </c>
      <c r="S378" s="77" t="n">
        <f aca="false">(1-Degradation)^MAX(S367-1,0)</f>
        <v>0.991026973</v>
      </c>
      <c r="T378" s="77" t="n">
        <f aca="false">(1-Degradation)^MAX(T367-1,0)</f>
        <v>0.988053892081</v>
      </c>
      <c r="U378" s="77" t="n">
        <f aca="false">(1-Degradation)^MAX(U367-1,0)</f>
        <v>0.985089730404757</v>
      </c>
      <c r="V378" s="77" t="n">
        <f aca="false">(1-Degradation)^MAX(V367-1,0)</f>
        <v>0.982134461213543</v>
      </c>
      <c r="W378" s="77" t="n">
        <f aca="false">(1-Degradation)^MAX(W367-1,0)</f>
        <v>0.979188057829902</v>
      </c>
      <c r="X378" s="77" t="n">
        <f aca="false">(1-Degradation)^MAX(X367-1,0)</f>
        <v>0.976250493656412</v>
      </c>
      <c r="Y378" s="77" t="n">
        <f aca="false">(1-Degradation)^MAX(Y367-1,0)</f>
        <v>0.973321742175443</v>
      </c>
      <c r="Z378" s="77" t="n">
        <f aca="false">(1-Degradation)^MAX(Z367-1,0)</f>
        <v>0.970401776948917</v>
      </c>
      <c r="AA378" s="77" t="n">
        <f aca="false">(1-Degradation)^MAX(AA367-1,0)</f>
        <v>0.96749057161807</v>
      </c>
      <c r="AB378" s="77" t="n">
        <f aca="false">(1-Degradation)^MAX(AB367-1,0)</f>
        <v>0.964588099903216</v>
      </c>
      <c r="AC378" s="77" t="n">
        <f aca="false">(1-Degradation)^MAX(AC367-1,0)</f>
        <v>0.961694335603506</v>
      </c>
      <c r="AD378" s="77" t="n">
        <f aca="false">(1-Degradation)^MAX(AD367-1,0)</f>
        <v>0.958809252596696</v>
      </c>
      <c r="AE378" s="77" t="n">
        <f aca="false">(1-Degradation)^MAX(AE367-1,0)</f>
        <v>0.955932824838906</v>
      </c>
      <c r="AF378" s="77" t="n">
        <f aca="false">(1-Degradation)^MAX(AF367-1,0)</f>
        <v>0.953065026364389</v>
      </c>
      <c r="AG378" s="77" t="n">
        <f aca="false">(1-Degradation)^MAX(AG367-1,0)</f>
        <v>0.950205831285296</v>
      </c>
      <c r="AH378" s="77" t="n">
        <f aca="false">(1-Degradation)^MAX(AH367-1,0)</f>
        <v>0.94735521379144</v>
      </c>
      <c r="AI378" s="77" t="n">
        <f aca="false">(1-Degradation)^MAX(AI367-1,0)</f>
        <v>0.944513148150066</v>
      </c>
      <c r="AJ378" s="77" t="n">
        <f aca="false">(1-Degradation)^MAX(AJ367-1,0)</f>
        <v>0.941679608705615</v>
      </c>
      <c r="AK378" s="77" t="n">
        <f aca="false">(1-Degradation)^MAX(AK367-1,0)</f>
        <v>0.938854569879498</v>
      </c>
      <c r="AL378" s="77" t="n">
        <f aca="false">(1-Degradation)^MAX(AL367-1,0)</f>
        <v>0.93603800616986</v>
      </c>
      <c r="AM378" s="77" t="n">
        <f aca="false">(1-Degradation)^MAX(AM367-1,0)</f>
        <v>0.93322989215135</v>
      </c>
      <c r="AN378" s="77" t="n">
        <f aca="false">(1-Degradation)^MAX(AN367-1,0)</f>
        <v>0.930430202474896</v>
      </c>
      <c r="AO378" s="77" t="n">
        <f aca="false">(1-Degradation)^MAX(AO367-1,0)</f>
        <v>0.927638911867472</v>
      </c>
      <c r="AP378" s="77" t="n">
        <f aca="false">(1-Degradation)^MAX(AP367-1,0)</f>
        <v>0.924855995131869</v>
      </c>
      <c r="AQ378" s="77" t="n">
        <f aca="false">(1-Degradation)^MAX(AQ367-1,0)</f>
        <v>0.922081427146474</v>
      </c>
      <c r="AR378" s="77" t="n">
        <f aca="false">(1-Degradation)^MAX(AR367-1,0)</f>
        <v>0.919315182865034</v>
      </c>
      <c r="AS378" s="77" t="n">
        <f aca="false">(1-Degradation)^MAX(AS367-1,0)</f>
        <v>0.916557237316439</v>
      </c>
    </row>
    <row r="379" customFormat="false" ht="14.25" hidden="false" customHeight="false" outlineLevel="0" collapsed="false">
      <c r="C379" s="6" t="s">
        <v>304</v>
      </c>
      <c r="D379" s="2" t="s">
        <v>305</v>
      </c>
      <c r="H379" s="17" t="n">
        <f aca="false">SUM(J379:AS379)</f>
        <v>3654.34185176978</v>
      </c>
      <c r="J379" s="17" t="n">
        <f aca="false">$E$46*$E$22*(1-Curtailment)*(1-Clipping)*J371*J378/Thousand</f>
        <v>0</v>
      </c>
      <c r="K379" s="17" t="n">
        <f aca="false">$E$46*$E$22*(1-Curtailment)*(1-Clipping)*K371*K378/Thousand</f>
        <v>0</v>
      </c>
      <c r="L379" s="17" t="n">
        <f aca="false">$E$46*$E$22*(1-Curtailment)*(1-Clipping)*L371*L378/Thousand</f>
        <v>0</v>
      </c>
      <c r="M379" s="17" t="n">
        <f aca="false">$E$46*$E$22*(1-Curtailment)*(1-Clipping)*M371*M378/Thousand</f>
        <v>0</v>
      </c>
      <c r="N379" s="17" t="n">
        <f aca="false">$E$46*$E$22*(1-Curtailment)*(1-Clipping)*N371*N378/Thousand</f>
        <v>0</v>
      </c>
      <c r="O379" s="17" t="n">
        <f aca="false">$E$46*$E$22*(1-Curtailment)*(1-Clipping)*O371*O378/Thousand</f>
        <v>63.504</v>
      </c>
      <c r="P379" s="17" t="n">
        <f aca="false">$E$46*$E$22*(1-Curtailment)*(1-Clipping)*P371*P378/Thousand</f>
        <v>127.008</v>
      </c>
      <c r="Q379" s="17" t="n">
        <f aca="false">$E$46*$E$22*(1-Curtailment)*(1-Clipping)*Q371*Q378/Thousand</f>
        <v>126.626976</v>
      </c>
      <c r="R379" s="17" t="n">
        <f aca="false">$E$46*$E$22*(1-Curtailment)*(1-Clipping)*R371*R378/Thousand</f>
        <v>126.247095072</v>
      </c>
      <c r="S379" s="17" t="n">
        <f aca="false">$E$46*$E$22*(1-Curtailment)*(1-Clipping)*S371*S378/Thousand</f>
        <v>125.868353786784</v>
      </c>
      <c r="T379" s="17" t="n">
        <f aca="false">$E$46*$E$22*(1-Curtailment)*(1-Clipping)*T371*T378/Thousand</f>
        <v>125.490748725424</v>
      </c>
      <c r="U379" s="17" t="n">
        <f aca="false">$E$46*$E$22*(1-Curtailment)*(1-Clipping)*U371*U378/Thousand</f>
        <v>125.114276479247</v>
      </c>
      <c r="V379" s="17" t="n">
        <f aca="false">$E$46*$E$22*(1-Curtailment)*(1-Clipping)*V371*V378/Thousand</f>
        <v>124.73893364981</v>
      </c>
      <c r="W379" s="17" t="n">
        <f aca="false">$E$46*$E$22*(1-Curtailment)*(1-Clipping)*W371*W378/Thousand</f>
        <v>124.36471684886</v>
      </c>
      <c r="X379" s="17" t="n">
        <f aca="false">$E$46*$E$22*(1-Curtailment)*(1-Clipping)*X371*X378/Thousand</f>
        <v>123.991622698314</v>
      </c>
      <c r="Y379" s="17" t="n">
        <f aca="false">$E$46*$E$22*(1-Curtailment)*(1-Clipping)*Y371*Y378/Thousand</f>
        <v>123.619647830219</v>
      </c>
      <c r="Z379" s="17" t="n">
        <f aca="false">$E$46*$E$22*(1-Curtailment)*(1-Clipping)*Z371*Z378/Thousand</f>
        <v>123.248788886728</v>
      </c>
      <c r="AA379" s="17" t="n">
        <f aca="false">$E$46*$E$22*(1-Curtailment)*(1-Clipping)*AA371*AA378/Thousand</f>
        <v>122.879042520068</v>
      </c>
      <c r="AB379" s="17" t="n">
        <f aca="false">$E$46*$E$22*(1-Curtailment)*(1-Clipping)*AB371*AB378/Thousand</f>
        <v>122.510405392508</v>
      </c>
      <c r="AC379" s="17" t="n">
        <f aca="false">$E$46*$E$22*(1-Curtailment)*(1-Clipping)*AC371*AC378/Thousand</f>
        <v>122.14287417633</v>
      </c>
      <c r="AD379" s="17" t="n">
        <f aca="false">$E$46*$E$22*(1-Curtailment)*(1-Clipping)*AD371*AD378/Thousand</f>
        <v>121.776445553801</v>
      </c>
      <c r="AE379" s="17" t="n">
        <f aca="false">$E$46*$E$22*(1-Curtailment)*(1-Clipping)*AE371*AE378/Thousand</f>
        <v>121.41111621714</v>
      </c>
      <c r="AF379" s="17" t="n">
        <f aca="false">$E$46*$E$22*(1-Curtailment)*(1-Clipping)*AF371*AF378/Thousand</f>
        <v>121.046882868488</v>
      </c>
      <c r="AG379" s="17" t="n">
        <f aca="false">$E$46*$E$22*(1-Curtailment)*(1-Clipping)*AG371*AG378/Thousand</f>
        <v>120.683742219883</v>
      </c>
      <c r="AH379" s="17" t="n">
        <f aca="false">$E$46*$E$22*(1-Curtailment)*(1-Clipping)*AH371*AH378/Thousand</f>
        <v>120.321690993223</v>
      </c>
      <c r="AI379" s="17" t="n">
        <f aca="false">$E$46*$E$22*(1-Curtailment)*(1-Clipping)*AI371*AI378/Thousand</f>
        <v>119.960725920244</v>
      </c>
      <c r="AJ379" s="17" t="n">
        <f aca="false">$E$46*$E$22*(1-Curtailment)*(1-Clipping)*AJ371*AJ378/Thousand</f>
        <v>119.600843742483</v>
      </c>
      <c r="AK379" s="17" t="n">
        <f aca="false">$E$46*$E$22*(1-Curtailment)*(1-Clipping)*AK371*AK378/Thousand</f>
        <v>119.242041211255</v>
      </c>
      <c r="AL379" s="17" t="n">
        <f aca="false">$E$46*$E$22*(1-Curtailment)*(1-Clipping)*AL371*AL378/Thousand</f>
        <v>118.884315087622</v>
      </c>
      <c r="AM379" s="17" t="n">
        <f aca="false">$E$46*$E$22*(1-Curtailment)*(1-Clipping)*AM371*AM378/Thousand</f>
        <v>118.527662142359</v>
      </c>
      <c r="AN379" s="17" t="n">
        <f aca="false">$E$46*$E$22*(1-Curtailment)*(1-Clipping)*AN371*AN378/Thousand</f>
        <v>118.172079155932</v>
      </c>
      <c r="AO379" s="17" t="n">
        <f aca="false">$E$46*$E$22*(1-Curtailment)*(1-Clipping)*AO371*AO378/Thousand</f>
        <v>117.817562918464</v>
      </c>
      <c r="AP379" s="17" t="n">
        <f aca="false">$E$46*$E$22*(1-Curtailment)*(1-Clipping)*AP371*AP378/Thousand</f>
        <v>117.464110229708</v>
      </c>
      <c r="AQ379" s="17" t="n">
        <f aca="false">$E$46*$E$22*(1-Curtailment)*(1-Clipping)*AQ371*AQ378/Thousand</f>
        <v>117.111717899019</v>
      </c>
      <c r="AR379" s="17" t="n">
        <f aca="false">$E$46*$E$22*(1-Curtailment)*(1-Clipping)*AR371*AR378/Thousand</f>
        <v>116.760382745322</v>
      </c>
      <c r="AS379" s="17" t="n">
        <f aca="false">$E$46*$E$22*(1-Curtailment)*(1-Clipping)*AS371*AS378/Thousand</f>
        <v>58.2050507985431</v>
      </c>
    </row>
    <row r="380" customFormat="false" ht="14.25" hidden="false" customHeight="false" outlineLevel="0" collapsed="false">
      <c r="C380" s="6" t="s">
        <v>306</v>
      </c>
      <c r="D380" s="2" t="s">
        <v>20</v>
      </c>
      <c r="J380" s="17" t="n">
        <f aca="false">Case_PPA*(1+PPA_Esc)^J367*(J371&gt;0)</f>
        <v>0</v>
      </c>
      <c r="K380" s="17" t="n">
        <f aca="false">Case_PPA*(1+PPA_Esc)^K367*(K371&gt;0)</f>
        <v>0</v>
      </c>
      <c r="L380" s="17" t="n">
        <f aca="false">Case_PPA*(1+PPA_Esc)^L367*(L371&gt;0)</f>
        <v>0</v>
      </c>
      <c r="M380" s="17" t="n">
        <f aca="false">Case_PPA*(1+PPA_Esc)^M367*(M371&gt;0)</f>
        <v>0</v>
      </c>
      <c r="N380" s="17" t="n">
        <f aca="false">Case_PPA*(1+PPA_Esc)^N367*(N371&gt;0)</f>
        <v>0</v>
      </c>
      <c r="O380" s="17" t="n">
        <f aca="false">Case_PPA*(1+PPA_Esc)^O367*(O371&gt;0)</f>
        <v>90</v>
      </c>
      <c r="P380" s="17" t="n">
        <f aca="false">Case_PPA*(1+PPA_Esc)^P367*(P371&gt;0)</f>
        <v>90.9</v>
      </c>
      <c r="Q380" s="17" t="n">
        <f aca="false">Case_PPA*(1+PPA_Esc)^Q367*(Q371&gt;0)</f>
        <v>91.809</v>
      </c>
      <c r="R380" s="17" t="n">
        <f aca="false">Case_PPA*(1+PPA_Esc)^R367*(R371&gt;0)</f>
        <v>92.72709</v>
      </c>
      <c r="S380" s="17" t="n">
        <f aca="false">Case_PPA*(1+PPA_Esc)^S367*(S371&gt;0)</f>
        <v>93.6543609</v>
      </c>
      <c r="T380" s="17" t="n">
        <f aca="false">Case_PPA*(1+PPA_Esc)^T367*(T371&gt;0)</f>
        <v>94.590904509</v>
      </c>
      <c r="U380" s="17" t="n">
        <f aca="false">Case_PPA*(1+PPA_Esc)^U367*(U371&gt;0)</f>
        <v>95.53681355409</v>
      </c>
      <c r="V380" s="17" t="n">
        <f aca="false">Case_PPA*(1+PPA_Esc)^V367*(V371&gt;0)</f>
        <v>96.4921816896309</v>
      </c>
      <c r="W380" s="17" t="n">
        <f aca="false">Case_PPA*(1+PPA_Esc)^W367*(W371&gt;0)</f>
        <v>97.4571035065272</v>
      </c>
      <c r="X380" s="17" t="n">
        <f aca="false">Case_PPA*(1+PPA_Esc)^X367*(X371&gt;0)</f>
        <v>98.4316745415925</v>
      </c>
      <c r="Y380" s="17" t="n">
        <f aca="false">Case_PPA*(1+PPA_Esc)^Y367*(Y371&gt;0)</f>
        <v>99.4159912870084</v>
      </c>
      <c r="Z380" s="17" t="n">
        <f aca="false">Case_PPA*(1+PPA_Esc)^Z367*(Z371&gt;0)</f>
        <v>100.410151199878</v>
      </c>
      <c r="AA380" s="17" t="n">
        <f aca="false">Case_PPA*(1+PPA_Esc)^AA367*(AA371&gt;0)</f>
        <v>101.414252711877</v>
      </c>
      <c r="AB380" s="17" t="n">
        <f aca="false">Case_PPA*(1+PPA_Esc)^AB367*(AB371&gt;0)</f>
        <v>102.428395238996</v>
      </c>
      <c r="AC380" s="17" t="n">
        <f aca="false">Case_PPA*(1+PPA_Esc)^AC367*(AC371&gt;0)</f>
        <v>103.452679191386</v>
      </c>
      <c r="AD380" s="17" t="n">
        <f aca="false">Case_PPA*(1+PPA_Esc)^AD367*(AD371&gt;0)</f>
        <v>104.4872059833</v>
      </c>
      <c r="AE380" s="17" t="n">
        <f aca="false">Case_PPA*(1+PPA_Esc)^AE367*(AE371&gt;0)</f>
        <v>105.532078043133</v>
      </c>
      <c r="AF380" s="17" t="n">
        <f aca="false">Case_PPA*(1+PPA_Esc)^AF367*(AF371&gt;0)</f>
        <v>106.587398823564</v>
      </c>
      <c r="AG380" s="17" t="n">
        <f aca="false">Case_PPA*(1+PPA_Esc)^AG367*(AG371&gt;0)</f>
        <v>107.6532728118</v>
      </c>
      <c r="AH380" s="17" t="n">
        <f aca="false">Case_PPA*(1+PPA_Esc)^AH367*(AH371&gt;0)</f>
        <v>108.729805539918</v>
      </c>
      <c r="AI380" s="17" t="n">
        <f aca="false">Case_PPA*(1+PPA_Esc)^AI367*(AI371&gt;0)</f>
        <v>109.817103595317</v>
      </c>
      <c r="AJ380" s="17" t="n">
        <f aca="false">Case_PPA*(1+PPA_Esc)^AJ367*(AJ371&gt;0)</f>
        <v>110.91527463127</v>
      </c>
      <c r="AK380" s="17" t="n">
        <f aca="false">Case_PPA*(1+PPA_Esc)^AK367*(AK371&gt;0)</f>
        <v>112.024427377583</v>
      </c>
      <c r="AL380" s="17" t="n">
        <f aca="false">Case_PPA*(1+PPA_Esc)^AL367*(AL371&gt;0)</f>
        <v>113.144671651359</v>
      </c>
      <c r="AM380" s="17" t="n">
        <f aca="false">Case_PPA*(1+PPA_Esc)^AM367*(AM371&gt;0)</f>
        <v>114.276118367872</v>
      </c>
      <c r="AN380" s="17" t="n">
        <f aca="false">Case_PPA*(1+PPA_Esc)^AN367*(AN371&gt;0)</f>
        <v>115.418879551551</v>
      </c>
      <c r="AO380" s="17" t="n">
        <f aca="false">Case_PPA*(1+PPA_Esc)^AO367*(AO371&gt;0)</f>
        <v>116.573068347067</v>
      </c>
      <c r="AP380" s="17" t="n">
        <f aca="false">Case_PPA*(1+PPA_Esc)^AP367*(AP371&gt;0)</f>
        <v>117.738799030537</v>
      </c>
      <c r="AQ380" s="17" t="n">
        <f aca="false">Case_PPA*(1+PPA_Esc)^AQ367*(AQ371&gt;0)</f>
        <v>118.916187020843</v>
      </c>
      <c r="AR380" s="17" t="n">
        <f aca="false">Case_PPA*(1+PPA_Esc)^AR367*(AR371&gt;0)</f>
        <v>120.105348891051</v>
      </c>
      <c r="AS380" s="17" t="n">
        <f aca="false">Case_PPA*(1+PPA_Esc)^AS367*(AS371&gt;0)</f>
        <v>121.306402379962</v>
      </c>
    </row>
    <row r="381" customFormat="false" ht="14.25" hidden="false" customHeight="false" outlineLevel="0" collapsed="false">
      <c r="C381" s="1" t="s">
        <v>158</v>
      </c>
      <c r="D381" s="2" t="s">
        <v>85</v>
      </c>
      <c r="H381" s="32" t="n">
        <f aca="false">SUM(J381:AS381)</f>
        <v>382397.730625247</v>
      </c>
      <c r="J381" s="32" t="n">
        <f aca="false">J379*J380</f>
        <v>0</v>
      </c>
      <c r="K381" s="32" t="n">
        <f aca="false">K379*K380</f>
        <v>0</v>
      </c>
      <c r="L381" s="32" t="n">
        <f aca="false">L379*L380</f>
        <v>0</v>
      </c>
      <c r="M381" s="32" t="n">
        <f aca="false">M379*M380</f>
        <v>0</v>
      </c>
      <c r="N381" s="32" t="n">
        <f aca="false">N379*N380</f>
        <v>0</v>
      </c>
      <c r="O381" s="32" t="n">
        <f aca="false">O379*O380</f>
        <v>5715.36</v>
      </c>
      <c r="P381" s="32" t="n">
        <f aca="false">P379*P380</f>
        <v>11545.0272</v>
      </c>
      <c r="Q381" s="32" t="n">
        <f aca="false">Q379*Q380</f>
        <v>11625.496039584</v>
      </c>
      <c r="R381" s="32" t="n">
        <f aca="false">R379*R380</f>
        <v>11706.5257469799</v>
      </c>
      <c r="S381" s="32" t="n">
        <f aca="false">S379*S380</f>
        <v>11788.1202314363</v>
      </c>
      <c r="T381" s="32" t="n">
        <f aca="false">T379*T380</f>
        <v>11870.2834294495</v>
      </c>
      <c r="U381" s="32" t="n">
        <f aca="false">U379*U380</f>
        <v>11953.0193049527</v>
      </c>
      <c r="V381" s="32" t="n">
        <f aca="false">V379*V380</f>
        <v>12036.3318495082</v>
      </c>
      <c r="W381" s="32" t="n">
        <f aca="false">W379*W380</f>
        <v>12120.2250824993</v>
      </c>
      <c r="X381" s="32" t="n">
        <f aca="false">X379*X380</f>
        <v>12204.7030513243</v>
      </c>
      <c r="Y381" s="32" t="n">
        <f aca="false">Y379*Y380</f>
        <v>12289.7698315921</v>
      </c>
      <c r="Z381" s="32" t="n">
        <f aca="false">Z379*Z380</f>
        <v>12375.4295273183</v>
      </c>
      <c r="AA381" s="32" t="n">
        <f aca="false">AA379*AA380</f>
        <v>12461.6862711237</v>
      </c>
      <c r="AB381" s="32" t="n">
        <f aca="false">AB379*AB380</f>
        <v>12548.5442244334</v>
      </c>
      <c r="AC381" s="32" t="n">
        <f aca="false">AC379*AC380</f>
        <v>12636.0075776777</v>
      </c>
      <c r="AD381" s="32" t="n">
        <f aca="false">AD379*AD380</f>
        <v>12724.0805504941</v>
      </c>
      <c r="AE381" s="32" t="n">
        <f aca="false">AE379*AE380</f>
        <v>12812.7673919311</v>
      </c>
      <c r="AF381" s="32" t="n">
        <f aca="false">AF379*AF380</f>
        <v>12902.0723806528</v>
      </c>
      <c r="AG381" s="32" t="n">
        <f aca="false">AG379*AG380</f>
        <v>12991.999825146</v>
      </c>
      <c r="AH381" s="32" t="n">
        <f aca="false">AH379*AH380</f>
        <v>13082.5540639272</v>
      </c>
      <c r="AI381" s="32" t="n">
        <f aca="false">AI379*AI380</f>
        <v>13173.7394657528</v>
      </c>
      <c r="AJ381" s="32" t="n">
        <f aca="false">AJ379*AJ380</f>
        <v>13265.5604298291</v>
      </c>
      <c r="AK381" s="32" t="n">
        <f aca="false">AK379*AK380</f>
        <v>13358.021386025</v>
      </c>
      <c r="AL381" s="32" t="n">
        <f aca="false">AL379*AL380</f>
        <v>13451.1267950856</v>
      </c>
      <c r="AM381" s="32" t="n">
        <f aca="false">AM379*AM380</f>
        <v>13544.8811488474</v>
      </c>
      <c r="AN381" s="32" t="n">
        <f aca="false">AN379*AN380</f>
        <v>13639.2889704548</v>
      </c>
      <c r="AO381" s="32" t="n">
        <f aca="false">AO379*AO380</f>
        <v>13734.3548145789</v>
      </c>
      <c r="AP381" s="32" t="n">
        <f aca="false">AP379*AP380</f>
        <v>13830.0832676365</v>
      </c>
      <c r="AQ381" s="32" t="n">
        <f aca="false">AQ379*AQ380</f>
        <v>13926.4789480119</v>
      </c>
      <c r="AR381" s="32" t="n">
        <f aca="false">AR379*AR380</f>
        <v>14023.5465062796</v>
      </c>
      <c r="AS381" s="32" t="n">
        <f aca="false">AS379*AS380</f>
        <v>7060.64531271418</v>
      </c>
    </row>
    <row r="382" customFormat="false" ht="14.25" hidden="false" customHeight="false" outlineLevel="0" collapsed="false">
      <c r="C382" s="6" t="s">
        <v>307</v>
      </c>
      <c r="D382" s="2" t="s">
        <v>3</v>
      </c>
      <c r="J382" s="77" t="n">
        <f aca="false">(1+Opex_Esc)^J367</f>
        <v>0.883854287609517</v>
      </c>
      <c r="K382" s="77" t="n">
        <f aca="false">(1+Opex_Esc)^K367</f>
        <v>0.905950644799755</v>
      </c>
      <c r="L382" s="77" t="n">
        <f aca="false">(1+Opex_Esc)^L367</f>
        <v>0.928599410919749</v>
      </c>
      <c r="M382" s="77" t="n">
        <f aca="false">(1+Opex_Esc)^M367</f>
        <v>0.951814396192743</v>
      </c>
      <c r="N382" s="77" t="n">
        <f aca="false">(1+Opex_Esc)^N367</f>
        <v>0.975609756097561</v>
      </c>
      <c r="O382" s="77" t="n">
        <f aca="false">(1+Opex_Esc)^O367</f>
        <v>1</v>
      </c>
      <c r="P382" s="77" t="n">
        <f aca="false">(1+Opex_Esc)^P367</f>
        <v>1.025</v>
      </c>
      <c r="Q382" s="77" t="n">
        <f aca="false">(1+Opex_Esc)^Q367</f>
        <v>1.050625</v>
      </c>
      <c r="R382" s="77" t="n">
        <f aca="false">(1+Opex_Esc)^R367</f>
        <v>1.076890625</v>
      </c>
      <c r="S382" s="77" t="n">
        <f aca="false">(1+Opex_Esc)^S367</f>
        <v>1.103812890625</v>
      </c>
      <c r="T382" s="77" t="n">
        <f aca="false">(1+Opex_Esc)^T367</f>
        <v>1.13140821289062</v>
      </c>
      <c r="U382" s="77" t="n">
        <f aca="false">(1+Opex_Esc)^U367</f>
        <v>1.15969341821289</v>
      </c>
      <c r="V382" s="77" t="n">
        <f aca="false">(1+Opex_Esc)^V367</f>
        <v>1.18868575366821</v>
      </c>
      <c r="W382" s="77" t="n">
        <f aca="false">(1+Opex_Esc)^W367</f>
        <v>1.21840289750992</v>
      </c>
      <c r="X382" s="77" t="n">
        <f aca="false">(1+Opex_Esc)^X367</f>
        <v>1.24886296994767</v>
      </c>
      <c r="Y382" s="77" t="n">
        <f aca="false">(1+Opex_Esc)^Y367</f>
        <v>1.28008454419636</v>
      </c>
      <c r="Z382" s="77" t="n">
        <f aca="false">(1+Opex_Esc)^Z367</f>
        <v>1.31208665780127</v>
      </c>
      <c r="AA382" s="77" t="n">
        <f aca="false">(1+Opex_Esc)^AA367</f>
        <v>1.3448888242463</v>
      </c>
      <c r="AB382" s="77" t="n">
        <f aca="false">(1+Opex_Esc)^AB367</f>
        <v>1.37851104485245</v>
      </c>
      <c r="AC382" s="77" t="n">
        <f aca="false">(1+Opex_Esc)^AC367</f>
        <v>1.41297382097377</v>
      </c>
      <c r="AD382" s="77" t="n">
        <f aca="false">(1+Opex_Esc)^AD367</f>
        <v>1.44829816649811</v>
      </c>
      <c r="AE382" s="77" t="n">
        <f aca="false">(1+Opex_Esc)^AE367</f>
        <v>1.48450562066056</v>
      </c>
      <c r="AF382" s="77" t="n">
        <f aca="false">(1+Opex_Esc)^AF367</f>
        <v>1.52161826117708</v>
      </c>
      <c r="AG382" s="77" t="n">
        <f aca="false">(1+Opex_Esc)^AG367</f>
        <v>1.5596587177065</v>
      </c>
      <c r="AH382" s="77" t="n">
        <f aca="false">(1+Opex_Esc)^AH367</f>
        <v>1.59865018564917</v>
      </c>
      <c r="AI382" s="77" t="n">
        <f aca="false">(1+Opex_Esc)^AI367</f>
        <v>1.63861644029039</v>
      </c>
      <c r="AJ382" s="77" t="n">
        <f aca="false">(1+Opex_Esc)^AJ367</f>
        <v>1.67958185129765</v>
      </c>
      <c r="AK382" s="77" t="n">
        <f aca="false">(1+Opex_Esc)^AK367</f>
        <v>1.7215713975801</v>
      </c>
      <c r="AL382" s="77" t="n">
        <f aca="false">(1+Opex_Esc)^AL367</f>
        <v>1.7646106825196</v>
      </c>
      <c r="AM382" s="77" t="n">
        <f aca="false">(1+Opex_Esc)^AM367</f>
        <v>1.80872594958259</v>
      </c>
      <c r="AN382" s="77" t="n">
        <f aca="false">(1+Opex_Esc)^AN367</f>
        <v>1.85394409832215</v>
      </c>
      <c r="AO382" s="77" t="n">
        <f aca="false">(1+Opex_Esc)^AO367</f>
        <v>1.90029270078021</v>
      </c>
      <c r="AP382" s="77" t="n">
        <f aca="false">(1+Opex_Esc)^AP367</f>
        <v>1.94780001829971</v>
      </c>
      <c r="AQ382" s="77" t="n">
        <f aca="false">(1+Opex_Esc)^AQ367</f>
        <v>1.9964950187572</v>
      </c>
      <c r="AR382" s="77" t="n">
        <f aca="false">(1+Opex_Esc)^AR367</f>
        <v>2.04640739422613</v>
      </c>
      <c r="AS382" s="77" t="n">
        <f aca="false">(1+Opex_Esc)^AS367</f>
        <v>2.09756757908179</v>
      </c>
    </row>
    <row r="383" customFormat="false" ht="14.25" hidden="false" customHeight="false" outlineLevel="0" collapsed="false">
      <c r="C383" s="6" t="s">
        <v>308</v>
      </c>
      <c r="D383" s="2" t="s">
        <v>85</v>
      </c>
      <c r="H383" s="8" t="n">
        <f aca="false">SUM(J383:AS383)</f>
        <v>-60009.5073862969</v>
      </c>
      <c r="J383" s="8" t="n">
        <f aca="false">-(Case_OM+SUM(Opex_Per_MW))*$E$46*J382*J371</f>
        <v>-0</v>
      </c>
      <c r="K383" s="8" t="n">
        <f aca="false">-(Case_OM+SUM(Opex_Per_MW))*$E$46*K382*K371</f>
        <v>-0</v>
      </c>
      <c r="L383" s="8" t="n">
        <f aca="false">-(Case_OM+SUM(Opex_Per_MW))*$E$46*L382*L371</f>
        <v>-0</v>
      </c>
      <c r="M383" s="8" t="n">
        <f aca="false">-(Case_OM+SUM(Opex_Per_MW))*$E$46*M382*M371</f>
        <v>-0</v>
      </c>
      <c r="N383" s="8" t="n">
        <f aca="false">-(Case_OM+SUM(Opex_Per_MW))*$E$46*N382*N371</f>
        <v>-0</v>
      </c>
      <c r="O383" s="8" t="n">
        <f aca="false">-(Case_OM+SUM(Opex_Per_MW))*$E$46*O382*O371</f>
        <v>-675</v>
      </c>
      <c r="P383" s="8" t="n">
        <f aca="false">-(Case_OM+SUM(Opex_Per_MW))*$E$46*P382*P371</f>
        <v>-1383.75</v>
      </c>
      <c r="Q383" s="8" t="n">
        <f aca="false">-(Case_OM+SUM(Opex_Per_MW))*$E$46*Q382*Q371</f>
        <v>-1418.34375</v>
      </c>
      <c r="R383" s="8" t="n">
        <f aca="false">-(Case_OM+SUM(Opex_Per_MW))*$E$46*R382*R371</f>
        <v>-1453.80234375</v>
      </c>
      <c r="S383" s="8" t="n">
        <f aca="false">-(Case_OM+SUM(Opex_Per_MW))*$E$46*S382*S371</f>
        <v>-1490.14740234375</v>
      </c>
      <c r="T383" s="8" t="n">
        <f aca="false">-(Case_OM+SUM(Opex_Per_MW))*$E$46*T382*T371</f>
        <v>-1527.40108740234</v>
      </c>
      <c r="U383" s="8" t="n">
        <f aca="false">-(Case_OM+SUM(Opex_Per_MW))*$E$46*U382*U371</f>
        <v>-1565.5861145874</v>
      </c>
      <c r="V383" s="8" t="n">
        <f aca="false">-(Case_OM+SUM(Opex_Per_MW))*$E$46*V382*V371</f>
        <v>-1604.72576745209</v>
      </c>
      <c r="W383" s="8" t="n">
        <f aca="false">-(Case_OM+SUM(Opex_Per_MW))*$E$46*W382*W371</f>
        <v>-1644.84391163839</v>
      </c>
      <c r="X383" s="8" t="n">
        <f aca="false">-(Case_OM+SUM(Opex_Per_MW))*$E$46*X382*X371</f>
        <v>-1685.96500942935</v>
      </c>
      <c r="Y383" s="8" t="n">
        <f aca="false">-(Case_OM+SUM(Opex_Per_MW))*$E$46*Y382*Y371</f>
        <v>-1728.11413466508</v>
      </c>
      <c r="Z383" s="8" t="n">
        <f aca="false">-(Case_OM+SUM(Opex_Per_MW))*$E$46*Z382*Z371</f>
        <v>-1771.31698803171</v>
      </c>
      <c r="AA383" s="8" t="n">
        <f aca="false">-(Case_OM+SUM(Opex_Per_MW))*$E$46*AA382*AA371</f>
        <v>-1815.5999127325</v>
      </c>
      <c r="AB383" s="8" t="n">
        <f aca="false">-(Case_OM+SUM(Opex_Per_MW))*$E$46*AB382*AB371</f>
        <v>-1860.98991055081</v>
      </c>
      <c r="AC383" s="8" t="n">
        <f aca="false">-(Case_OM+SUM(Opex_Per_MW))*$E$46*AC382*AC371</f>
        <v>-1907.51465831458</v>
      </c>
      <c r="AD383" s="8" t="n">
        <f aca="false">-(Case_OM+SUM(Opex_Per_MW))*$E$46*AD382*AD371</f>
        <v>-1955.20252477245</v>
      </c>
      <c r="AE383" s="8" t="n">
        <f aca="false">-(Case_OM+SUM(Opex_Per_MW))*$E$46*AE382*AE371</f>
        <v>-2004.08258789176</v>
      </c>
      <c r="AF383" s="8" t="n">
        <f aca="false">-(Case_OM+SUM(Opex_Per_MW))*$E$46*AF382*AF371</f>
        <v>-2054.18465258905</v>
      </c>
      <c r="AG383" s="8" t="n">
        <f aca="false">-(Case_OM+SUM(Opex_Per_MW))*$E$46*AG382*AG371</f>
        <v>-2105.53926890378</v>
      </c>
      <c r="AH383" s="8" t="n">
        <f aca="false">-(Case_OM+SUM(Opex_Per_MW))*$E$46*AH382*AH371</f>
        <v>-2158.17775062637</v>
      </c>
      <c r="AI383" s="8" t="n">
        <f aca="false">-(Case_OM+SUM(Opex_Per_MW))*$E$46*AI382*AI371</f>
        <v>-2212.13219439203</v>
      </c>
      <c r="AJ383" s="8" t="n">
        <f aca="false">-(Case_OM+SUM(Opex_Per_MW))*$E$46*AJ382*AJ371</f>
        <v>-2267.43549925183</v>
      </c>
      <c r="AK383" s="8" t="n">
        <f aca="false">-(Case_OM+SUM(Opex_Per_MW))*$E$46*AK382*AK371</f>
        <v>-2324.12138673313</v>
      </c>
      <c r="AL383" s="8" t="n">
        <f aca="false">-(Case_OM+SUM(Opex_Per_MW))*$E$46*AL382*AL371</f>
        <v>-2382.22442140146</v>
      </c>
      <c r="AM383" s="8" t="n">
        <f aca="false">-(Case_OM+SUM(Opex_Per_MW))*$E$46*AM382*AM371</f>
        <v>-2441.78003193649</v>
      </c>
      <c r="AN383" s="8" t="n">
        <f aca="false">-(Case_OM+SUM(Opex_Per_MW))*$E$46*AN382*AN371</f>
        <v>-2502.82453273491</v>
      </c>
      <c r="AO383" s="8" t="n">
        <f aca="false">-(Case_OM+SUM(Opex_Per_MW))*$E$46*AO382*AO371</f>
        <v>-2565.39514605328</v>
      </c>
      <c r="AP383" s="8" t="n">
        <f aca="false">-(Case_OM+SUM(Opex_Per_MW))*$E$46*AP382*AP371</f>
        <v>-2629.53002470461</v>
      </c>
      <c r="AQ383" s="8" t="n">
        <f aca="false">-(Case_OM+SUM(Opex_Per_MW))*$E$46*AQ382*AQ371</f>
        <v>-2695.26827532222</v>
      </c>
      <c r="AR383" s="8" t="n">
        <f aca="false">-(Case_OM+SUM(Opex_Per_MW))*$E$46*AR382*AR371</f>
        <v>-2762.64998220528</v>
      </c>
      <c r="AS383" s="8" t="n">
        <f aca="false">-(Case_OM+SUM(Opex_Per_MW))*$E$46*AS382*AS371</f>
        <v>-1415.85811588021</v>
      </c>
    </row>
    <row r="384" customFormat="false" ht="14.25" hidden="false" customHeight="false" outlineLevel="0" collapsed="false">
      <c r="C384" s="6" t="s">
        <v>309</v>
      </c>
      <c r="D384" s="2" t="s">
        <v>85</v>
      </c>
      <c r="H384" s="8" t="n">
        <f aca="false">SUM(J384:AS384)</f>
        <v>-1666.93076073047</v>
      </c>
      <c r="J384" s="8" t="n">
        <f aca="false">-Opex_Admin*$E$6/Lump_Basis*J382*J371</f>
        <v>-0</v>
      </c>
      <c r="K384" s="8" t="n">
        <f aca="false">-Opex_Admin*$E$6/Lump_Basis*K382*K371</f>
        <v>-0</v>
      </c>
      <c r="L384" s="8" t="n">
        <f aca="false">-Opex_Admin*$E$6/Lump_Basis*L382*L371</f>
        <v>-0</v>
      </c>
      <c r="M384" s="8" t="n">
        <f aca="false">-Opex_Admin*$E$6/Lump_Basis*M382*M371</f>
        <v>-0</v>
      </c>
      <c r="N384" s="8" t="n">
        <f aca="false">-Opex_Admin*$E$6/Lump_Basis*N382*N371</f>
        <v>-0</v>
      </c>
      <c r="O384" s="8" t="n">
        <f aca="false">-Opex_Admin*$E$6/Lump_Basis*O382*O371</f>
        <v>-18.75</v>
      </c>
      <c r="P384" s="8" t="n">
        <f aca="false">-Opex_Admin*$E$6/Lump_Basis*P382*P371</f>
        <v>-38.4375</v>
      </c>
      <c r="Q384" s="8" t="n">
        <f aca="false">-Opex_Admin*$E$6/Lump_Basis*Q382*Q371</f>
        <v>-39.3984375</v>
      </c>
      <c r="R384" s="8" t="n">
        <f aca="false">-Opex_Admin*$E$6/Lump_Basis*R382*R371</f>
        <v>-40.3833984375</v>
      </c>
      <c r="S384" s="8" t="n">
        <f aca="false">-Opex_Admin*$E$6/Lump_Basis*S382*S371</f>
        <v>-41.3929833984375</v>
      </c>
      <c r="T384" s="8" t="n">
        <f aca="false">-Opex_Admin*$E$6/Lump_Basis*T382*T371</f>
        <v>-42.4278079833984</v>
      </c>
      <c r="U384" s="8" t="n">
        <f aca="false">-Opex_Admin*$E$6/Lump_Basis*U382*U371</f>
        <v>-43.4885031829834</v>
      </c>
      <c r="V384" s="8" t="n">
        <f aca="false">-Opex_Admin*$E$6/Lump_Basis*V382*V371</f>
        <v>-44.575715762558</v>
      </c>
      <c r="W384" s="8" t="n">
        <f aca="false">-Opex_Admin*$E$6/Lump_Basis*W382*W371</f>
        <v>-45.6901086566219</v>
      </c>
      <c r="X384" s="8" t="n">
        <f aca="false">-Opex_Admin*$E$6/Lump_Basis*X382*X371</f>
        <v>-46.8323613730374</v>
      </c>
      <c r="Y384" s="8" t="n">
        <f aca="false">-Opex_Admin*$E$6/Lump_Basis*Y382*Y371</f>
        <v>-48.0031704073634</v>
      </c>
      <c r="Z384" s="8" t="n">
        <f aca="false">-Opex_Admin*$E$6/Lump_Basis*Z382*Z371</f>
        <v>-49.2032496675475</v>
      </c>
      <c r="AA384" s="8" t="n">
        <f aca="false">-Opex_Admin*$E$6/Lump_Basis*AA382*AA371</f>
        <v>-50.4333309092361</v>
      </c>
      <c r="AB384" s="8" t="n">
        <f aca="false">-Opex_Admin*$E$6/Lump_Basis*AB382*AB371</f>
        <v>-51.694164181967</v>
      </c>
      <c r="AC384" s="8" t="n">
        <f aca="false">-Opex_Admin*$E$6/Lump_Basis*AC382*AC371</f>
        <v>-52.9865182865162</v>
      </c>
      <c r="AD384" s="8" t="n">
        <f aca="false">-Opex_Admin*$E$6/Lump_Basis*AD382*AD371</f>
        <v>-54.3111812436791</v>
      </c>
      <c r="AE384" s="8" t="n">
        <f aca="false">-Opex_Admin*$E$6/Lump_Basis*AE382*AE371</f>
        <v>-55.6689607747711</v>
      </c>
      <c r="AF384" s="8" t="n">
        <f aca="false">-Opex_Admin*$E$6/Lump_Basis*AF382*AF371</f>
        <v>-57.0606847941404</v>
      </c>
      <c r="AG384" s="8" t="n">
        <f aca="false">-Opex_Admin*$E$6/Lump_Basis*AG382*AG371</f>
        <v>-58.4872019139939</v>
      </c>
      <c r="AH384" s="8" t="n">
        <f aca="false">-Opex_Admin*$E$6/Lump_Basis*AH382*AH371</f>
        <v>-59.9493819618437</v>
      </c>
      <c r="AI384" s="8" t="n">
        <f aca="false">-Opex_Admin*$E$6/Lump_Basis*AI382*AI371</f>
        <v>-61.4481165108898</v>
      </c>
      <c r="AJ384" s="8" t="n">
        <f aca="false">-Opex_Admin*$E$6/Lump_Basis*AJ382*AJ371</f>
        <v>-62.984319423662</v>
      </c>
      <c r="AK384" s="8" t="n">
        <f aca="false">-Opex_Admin*$E$6/Lump_Basis*AK382*AK371</f>
        <v>-64.5589274092536</v>
      </c>
      <c r="AL384" s="8" t="n">
        <f aca="false">-Opex_Admin*$E$6/Lump_Basis*AL382*AL371</f>
        <v>-66.1729005944849</v>
      </c>
      <c r="AM384" s="8" t="n">
        <f aca="false">-Opex_Admin*$E$6/Lump_Basis*AM382*AM371</f>
        <v>-67.827223109347</v>
      </c>
      <c r="AN384" s="8" t="n">
        <f aca="false">-Opex_Admin*$E$6/Lump_Basis*AN382*AN371</f>
        <v>-69.5229036870807</v>
      </c>
      <c r="AO384" s="8" t="n">
        <f aca="false">-Opex_Admin*$E$6/Lump_Basis*AO382*AO371</f>
        <v>-71.2609762792577</v>
      </c>
      <c r="AP384" s="8" t="n">
        <f aca="false">-Opex_Admin*$E$6/Lump_Basis*AP382*AP371</f>
        <v>-73.0425006862391</v>
      </c>
      <c r="AQ384" s="8" t="n">
        <f aca="false">-Opex_Admin*$E$6/Lump_Basis*AQ382*AQ371</f>
        <v>-74.8685632033951</v>
      </c>
      <c r="AR384" s="8" t="n">
        <f aca="false">-Opex_Admin*$E$6/Lump_Basis*AR382*AR371</f>
        <v>-76.74027728348</v>
      </c>
      <c r="AS384" s="8" t="n">
        <f aca="false">-Opex_Admin*$E$6/Lump_Basis*AS382*AS371</f>
        <v>-39.3293921077835</v>
      </c>
    </row>
    <row r="385" customFormat="false" ht="14.25" hidden="false" customHeight="false" outlineLevel="0" collapsed="false">
      <c r="C385" s="6" t="s">
        <v>310</v>
      </c>
      <c r="D385" s="2" t="s">
        <v>85</v>
      </c>
      <c r="H385" s="8" t="n">
        <f aca="false">SUM(J385:AS385)</f>
        <v>-26924.5113148159</v>
      </c>
      <c r="J385" s="8" t="n">
        <f aca="false">-J379*(Balancing+Grid_Charges)*J382</f>
        <v>-0</v>
      </c>
      <c r="K385" s="8" t="n">
        <f aca="false">-K379*(Balancing+Grid_Charges)*K382</f>
        <v>-0</v>
      </c>
      <c r="L385" s="8" t="n">
        <f aca="false">-L379*(Balancing+Grid_Charges)*L382</f>
        <v>-0</v>
      </c>
      <c r="M385" s="8" t="n">
        <f aca="false">-M379*(Balancing+Grid_Charges)*M382</f>
        <v>-0</v>
      </c>
      <c r="N385" s="8" t="n">
        <f aca="false">-N379*(Balancing+Grid_Charges)*N382</f>
        <v>-0</v>
      </c>
      <c r="O385" s="8" t="n">
        <f aca="false">-O379*(Balancing+Grid_Charges)*O382</f>
        <v>-317.52</v>
      </c>
      <c r="P385" s="8" t="n">
        <f aca="false">-P379*(Balancing+Grid_Charges)*P382</f>
        <v>-650.916</v>
      </c>
      <c r="Q385" s="8" t="n">
        <f aca="false">-Q379*(Balancing+Grid_Charges)*Q382</f>
        <v>-665.1873333</v>
      </c>
      <c r="R385" s="8" t="n">
        <f aca="false">-R379*(Balancing+Grid_Charges)*R382</f>
        <v>-679.771565582602</v>
      </c>
      <c r="S385" s="8" t="n">
        <f aca="false">-S379*(Balancing+Grid_Charges)*S382</f>
        <v>-694.675557158001</v>
      </c>
      <c r="T385" s="8" t="n">
        <f aca="false">-T379*(Balancing+Grid_Charges)*T382</f>
        <v>-709.90631874869</v>
      </c>
      <c r="U385" s="8" t="n">
        <f aca="false">-U379*(Balancing+Grid_Charges)*U382</f>
        <v>-725.471014787255</v>
      </c>
      <c r="V385" s="8" t="n">
        <f aca="false">-V379*(Balancing+Grid_Charges)*V382</f>
        <v>-741.376966786466</v>
      </c>
      <c r="W385" s="8" t="n">
        <f aca="false">-W379*(Balancing+Grid_Charges)*W382</f>
        <v>-757.631656783258</v>
      </c>
      <c r="X385" s="8" t="n">
        <f aca="false">-X379*(Balancing+Grid_Charges)*X382</f>
        <v>-774.242730858232</v>
      </c>
      <c r="Y385" s="8" t="n">
        <f aca="false">-Y379*(Balancing+Grid_Charges)*Y382</f>
        <v>-791.218002732298</v>
      </c>
      <c r="Z385" s="8" t="n">
        <f aca="false">-Z379*(Balancing+Grid_Charges)*Z382</f>
        <v>-808.565457442204</v>
      </c>
      <c r="AA385" s="8" t="n">
        <f aca="false">-AA379*(Balancing+Grid_Charges)*AA382</f>
        <v>-826.293255096624</v>
      </c>
      <c r="AB385" s="8" t="n">
        <f aca="false">-AB379*(Balancing+Grid_Charges)*AB382</f>
        <v>-844.409734714617</v>
      </c>
      <c r="AC385" s="8" t="n">
        <f aca="false">-AC379*(Balancing+Grid_Charges)*AC382</f>
        <v>-862.923418148235</v>
      </c>
      <c r="AD385" s="8" t="n">
        <f aca="false">-AD379*(Balancing+Grid_Charges)*AD382</f>
        <v>-881.843014091135</v>
      </c>
      <c r="AE385" s="8" t="n">
        <f aca="false">-AE379*(Balancing+Grid_Charges)*AE382</f>
        <v>-901.177422175083</v>
      </c>
      <c r="AF385" s="8" t="n">
        <f aca="false">-AF379*(Balancing+Grid_Charges)*AF382</f>
        <v>-920.935737156272</v>
      </c>
      <c r="AG385" s="8" t="n">
        <f aca="false">-AG379*(Balancing+Grid_Charges)*AG382</f>
        <v>-941.127253193423</v>
      </c>
      <c r="AH385" s="8" t="n">
        <f aca="false">-AH379*(Balancing+Grid_Charges)*AH382</f>
        <v>-961.761468219689</v>
      </c>
      <c r="AI385" s="8" t="n">
        <f aca="false">-AI379*(Balancing+Grid_Charges)*AI382</f>
        <v>-982.848088410405</v>
      </c>
      <c r="AJ385" s="8" t="n">
        <f aca="false">-AJ379*(Balancing+Grid_Charges)*AJ382</f>
        <v>-1004.3970327488</v>
      </c>
      <c r="AK385" s="8" t="n">
        <f aca="false">-AK379*(Balancing+Grid_Charges)*AK382</f>
        <v>-1026.41843769182</v>
      </c>
      <c r="AL385" s="8" t="n">
        <f aca="false">-AL379*(Balancing+Grid_Charges)*AL382</f>
        <v>-1048.92266193821</v>
      </c>
      <c r="AM385" s="8" t="n">
        <f aca="false">-AM379*(Balancing+Grid_Charges)*AM382</f>
        <v>-1071.92029130121</v>
      </c>
      <c r="AN385" s="8" t="n">
        <f aca="false">-AN379*(Balancing+Grid_Charges)*AN382</f>
        <v>-1095.42214368799</v>
      </c>
      <c r="AO385" s="8" t="n">
        <f aca="false">-AO379*(Balancing+Grid_Charges)*AO382</f>
        <v>-1119.43927418835</v>
      </c>
      <c r="AP385" s="8" t="n">
        <f aca="false">-AP379*(Balancing+Grid_Charges)*AP382</f>
        <v>-1143.98298027493</v>
      </c>
      <c r="AQ385" s="8" t="n">
        <f aca="false">-AQ379*(Balancing+Grid_Charges)*AQ382</f>
        <v>-1169.06480711745</v>
      </c>
      <c r="AR385" s="8" t="n">
        <f aca="false">-AR379*(Balancing+Grid_Charges)*AR382</f>
        <v>-1194.6965530135</v>
      </c>
      <c r="AS385" s="8" t="n">
        <f aca="false">-AS379*(Balancing+Grid_Charges)*AS382</f>
        <v>-610.445137469163</v>
      </c>
    </row>
    <row r="386" customFormat="false" ht="14.25" hidden="false" customHeight="false" outlineLevel="0" collapsed="false">
      <c r="C386" s="6" t="s">
        <v>311</v>
      </c>
      <c r="D386" s="2" t="s">
        <v>85</v>
      </c>
      <c r="H386" s="8" t="n">
        <f aca="false">SUM(J386:AS386)</f>
        <v>-382.397730625247</v>
      </c>
      <c r="J386" s="8" t="n">
        <f aca="false">-J381*MEKH_Fee</f>
        <v>-0</v>
      </c>
      <c r="K386" s="8" t="n">
        <f aca="false">-K381*MEKH_Fee</f>
        <v>-0</v>
      </c>
      <c r="L386" s="8" t="n">
        <f aca="false">-L381*MEKH_Fee</f>
        <v>-0</v>
      </c>
      <c r="M386" s="8" t="n">
        <f aca="false">-M381*MEKH_Fee</f>
        <v>-0</v>
      </c>
      <c r="N386" s="8" t="n">
        <f aca="false">-N381*MEKH_Fee</f>
        <v>-0</v>
      </c>
      <c r="O386" s="8" t="n">
        <f aca="false">-O381*MEKH_Fee</f>
        <v>-5.71536</v>
      </c>
      <c r="P386" s="8" t="n">
        <f aca="false">-P381*MEKH_Fee</f>
        <v>-11.5450272</v>
      </c>
      <c r="Q386" s="8" t="n">
        <f aca="false">-Q381*MEKH_Fee</f>
        <v>-11.625496039584</v>
      </c>
      <c r="R386" s="8" t="n">
        <f aca="false">-R381*MEKH_Fee</f>
        <v>-11.7065257469799</v>
      </c>
      <c r="S386" s="8" t="n">
        <f aca="false">-S381*MEKH_Fee</f>
        <v>-11.7881202314363</v>
      </c>
      <c r="T386" s="8" t="n">
        <f aca="false">-T381*MEKH_Fee</f>
        <v>-11.8702834294495</v>
      </c>
      <c r="U386" s="8" t="n">
        <f aca="false">-U381*MEKH_Fee</f>
        <v>-11.9530193049527</v>
      </c>
      <c r="V386" s="8" t="n">
        <f aca="false">-V381*MEKH_Fee</f>
        <v>-12.0363318495082</v>
      </c>
      <c r="W386" s="8" t="n">
        <f aca="false">-W381*MEKH_Fee</f>
        <v>-12.1202250824993</v>
      </c>
      <c r="X386" s="8" t="n">
        <f aca="false">-X381*MEKH_Fee</f>
        <v>-12.2047030513243</v>
      </c>
      <c r="Y386" s="8" t="n">
        <f aca="false">-Y381*MEKH_Fee</f>
        <v>-12.2897698315921</v>
      </c>
      <c r="Z386" s="8" t="n">
        <f aca="false">-Z381*MEKH_Fee</f>
        <v>-12.3754295273183</v>
      </c>
      <c r="AA386" s="8" t="n">
        <f aca="false">-AA381*MEKH_Fee</f>
        <v>-12.4616862711237</v>
      </c>
      <c r="AB386" s="8" t="n">
        <f aca="false">-AB381*MEKH_Fee</f>
        <v>-12.5485442244334</v>
      </c>
      <c r="AC386" s="8" t="n">
        <f aca="false">-AC381*MEKH_Fee</f>
        <v>-12.6360075776777</v>
      </c>
      <c r="AD386" s="8" t="n">
        <f aca="false">-AD381*MEKH_Fee</f>
        <v>-12.7240805504941</v>
      </c>
      <c r="AE386" s="8" t="n">
        <f aca="false">-AE381*MEKH_Fee</f>
        <v>-12.8127673919311</v>
      </c>
      <c r="AF386" s="8" t="n">
        <f aca="false">-AF381*MEKH_Fee</f>
        <v>-12.9020723806528</v>
      </c>
      <c r="AG386" s="8" t="n">
        <f aca="false">-AG381*MEKH_Fee</f>
        <v>-12.991999825146</v>
      </c>
      <c r="AH386" s="8" t="n">
        <f aca="false">-AH381*MEKH_Fee</f>
        <v>-13.0825540639272</v>
      </c>
      <c r="AI386" s="8" t="n">
        <f aca="false">-AI381*MEKH_Fee</f>
        <v>-13.1737394657528</v>
      </c>
      <c r="AJ386" s="8" t="n">
        <f aca="false">-AJ381*MEKH_Fee</f>
        <v>-13.2655604298291</v>
      </c>
      <c r="AK386" s="8" t="n">
        <f aca="false">-AK381*MEKH_Fee</f>
        <v>-13.358021386025</v>
      </c>
      <c r="AL386" s="8" t="n">
        <f aca="false">-AL381*MEKH_Fee</f>
        <v>-13.4511267950856</v>
      </c>
      <c r="AM386" s="8" t="n">
        <f aca="false">-AM381*MEKH_Fee</f>
        <v>-13.5448811488474</v>
      </c>
      <c r="AN386" s="8" t="n">
        <f aca="false">-AN381*MEKH_Fee</f>
        <v>-13.6392889704548</v>
      </c>
      <c r="AO386" s="8" t="n">
        <f aca="false">-AO381*MEKH_Fee</f>
        <v>-13.7343548145789</v>
      </c>
      <c r="AP386" s="8" t="n">
        <f aca="false">-AP381*MEKH_Fee</f>
        <v>-13.8300832676365</v>
      </c>
      <c r="AQ386" s="8" t="n">
        <f aca="false">-AQ381*MEKH_Fee</f>
        <v>-13.9264789480119</v>
      </c>
      <c r="AR386" s="8" t="n">
        <f aca="false">-AR381*MEKH_Fee</f>
        <v>-14.0235465062796</v>
      </c>
      <c r="AS386" s="8" t="n">
        <f aca="false">-AS381*MEKH_Fee</f>
        <v>-7.06064531271418</v>
      </c>
    </row>
    <row r="387" customFormat="false" ht="14.25" hidden="false" customHeight="false" outlineLevel="0" collapsed="false">
      <c r="C387" s="6" t="s">
        <v>312</v>
      </c>
      <c r="D387" s="2" t="s">
        <v>85</v>
      </c>
      <c r="H387" s="8" t="n">
        <f aca="false">SUM(J387:AS387)</f>
        <v>-4449.16735962342</v>
      </c>
      <c r="J387" s="8" t="n">
        <f aca="false">SUM(J383:J386)*Opex_Cont</f>
        <v>0</v>
      </c>
      <c r="K387" s="8" t="n">
        <f aca="false">SUM(K383:K386)*Opex_Cont</f>
        <v>0</v>
      </c>
      <c r="L387" s="8" t="n">
        <f aca="false">SUM(L383:L386)*Opex_Cont</f>
        <v>0</v>
      </c>
      <c r="M387" s="8" t="n">
        <f aca="false">SUM(M383:M386)*Opex_Cont</f>
        <v>0</v>
      </c>
      <c r="N387" s="8" t="n">
        <f aca="false">SUM(N383:N386)*Opex_Cont</f>
        <v>0</v>
      </c>
      <c r="O387" s="8" t="n">
        <f aca="false">SUM(O383:O386)*Opex_Cont</f>
        <v>-50.849268</v>
      </c>
      <c r="P387" s="8" t="n">
        <f aca="false">SUM(P383:P386)*Opex_Cont</f>
        <v>-104.23242636</v>
      </c>
      <c r="Q387" s="8" t="n">
        <f aca="false">SUM(Q383:Q386)*Opex_Cont</f>
        <v>-106.727750841979</v>
      </c>
      <c r="R387" s="8" t="n">
        <f aca="false">SUM(R383:R386)*Opex_Cont</f>
        <v>-109.283191675854</v>
      </c>
      <c r="S387" s="8" t="n">
        <f aca="false">SUM(S383:S386)*Opex_Cont</f>
        <v>-111.900203156581</v>
      </c>
      <c r="T387" s="8" t="n">
        <f aca="false">SUM(T383:T386)*Opex_Cont</f>
        <v>-114.580274878194</v>
      </c>
      <c r="U387" s="8" t="n">
        <f aca="false">SUM(U383:U386)*Opex_Cont</f>
        <v>-117.32493259313</v>
      </c>
      <c r="V387" s="8" t="n">
        <f aca="false">SUM(V383:V386)*Opex_Cont</f>
        <v>-120.135739092531</v>
      </c>
      <c r="W387" s="8" t="n">
        <f aca="false">SUM(W383:W386)*Opex_Cont</f>
        <v>-123.014295108038</v>
      </c>
      <c r="X387" s="8" t="n">
        <f aca="false">SUM(X383:X386)*Opex_Cont</f>
        <v>-125.962240235597</v>
      </c>
      <c r="Y387" s="8" t="n">
        <f aca="false">SUM(Y383:Y386)*Opex_Cont</f>
        <v>-128.981253881817</v>
      </c>
      <c r="Z387" s="8" t="n">
        <f aca="false">SUM(Z383:Z386)*Opex_Cont</f>
        <v>-132.073056233439</v>
      </c>
      <c r="AA387" s="8" t="n">
        <f aca="false">SUM(AA383:AA386)*Opex_Cont</f>
        <v>-135.239409250474</v>
      </c>
      <c r="AB387" s="8" t="n">
        <f aca="false">SUM(AB383:AB386)*Opex_Cont</f>
        <v>-138.482117683592</v>
      </c>
      <c r="AC387" s="8" t="n">
        <f aca="false">SUM(AC383:AC386)*Opex_Cont</f>
        <v>-141.803030116351</v>
      </c>
      <c r="AD387" s="8" t="n">
        <f aca="false">SUM(AD383:AD386)*Opex_Cont</f>
        <v>-145.204040032888</v>
      </c>
      <c r="AE387" s="8" t="n">
        <f aca="false">SUM(AE383:AE386)*Opex_Cont</f>
        <v>-148.687086911677</v>
      </c>
      <c r="AF387" s="8" t="n">
        <f aca="false">SUM(AF383:AF386)*Opex_Cont</f>
        <v>-152.254157346006</v>
      </c>
      <c r="AG387" s="8" t="n">
        <f aca="false">SUM(AG383:AG386)*Opex_Cont</f>
        <v>-155.907286191817</v>
      </c>
      <c r="AH387" s="8" t="n">
        <f aca="false">SUM(AH383:AH386)*Opex_Cont</f>
        <v>-159.648557743592</v>
      </c>
      <c r="AI387" s="8" t="n">
        <f aca="false">SUM(AI383:AI386)*Opex_Cont</f>
        <v>-163.480106938954</v>
      </c>
      <c r="AJ387" s="8" t="n">
        <f aca="false">SUM(AJ383:AJ386)*Opex_Cont</f>
        <v>-167.404120592706</v>
      </c>
      <c r="AK387" s="8" t="n">
        <f aca="false">SUM(AK383:AK386)*Opex_Cont</f>
        <v>-171.422838661011</v>
      </c>
      <c r="AL387" s="8" t="n">
        <f aca="false">SUM(AL383:AL386)*Opex_Cont</f>
        <v>-175.538555536462</v>
      </c>
      <c r="AM387" s="8" t="n">
        <f aca="false">SUM(AM383:AM386)*Opex_Cont</f>
        <v>-179.753621374795</v>
      </c>
      <c r="AN387" s="8" t="n">
        <f aca="false">SUM(AN383:AN386)*Opex_Cont</f>
        <v>-184.070443454021</v>
      </c>
      <c r="AO387" s="8" t="n">
        <f aca="false">SUM(AO383:AO386)*Opex_Cont</f>
        <v>-188.491487566773</v>
      </c>
      <c r="AP387" s="8" t="n">
        <f aca="false">SUM(AP383:AP386)*Opex_Cont</f>
        <v>-193.019279446671</v>
      </c>
      <c r="AQ387" s="8" t="n">
        <f aca="false">SUM(AQ383:AQ386)*Opex_Cont</f>
        <v>-197.656406229554</v>
      </c>
      <c r="AR387" s="8" t="n">
        <f aca="false">SUM(AR383:AR386)*Opex_Cont</f>
        <v>-202.405517950427</v>
      </c>
      <c r="AS387" s="8" t="n">
        <f aca="false">SUM(AS383:AS386)*Opex_Cont</f>
        <v>-103.634664538493</v>
      </c>
    </row>
    <row r="388" customFormat="false" ht="14.25" hidden="false" customHeight="false" outlineLevel="0" collapsed="false">
      <c r="C388" s="6" t="s">
        <v>313</v>
      </c>
      <c r="D388" s="2" t="s">
        <v>85</v>
      </c>
      <c r="H388" s="8" t="n">
        <f aca="false">SUM(J388:AS388)</f>
        <v>0</v>
      </c>
      <c r="J388" s="8" t="n">
        <f aca="false">-J379*$E$12</f>
        <v>-0</v>
      </c>
      <c r="K388" s="8" t="n">
        <f aca="false">-K379*$E$12</f>
        <v>-0</v>
      </c>
      <c r="L388" s="8" t="n">
        <f aca="false">-L379*$E$12</f>
        <v>-0</v>
      </c>
      <c r="M388" s="8" t="n">
        <f aca="false">-M379*$E$12</f>
        <v>-0</v>
      </c>
      <c r="N388" s="8" t="n">
        <f aca="false">-N379*$E$12</f>
        <v>-0</v>
      </c>
      <c r="O388" s="8" t="n">
        <f aca="false">-O379*$E$12</f>
        <v>-0</v>
      </c>
      <c r="P388" s="8" t="n">
        <f aca="false">-P379*$E$12</f>
        <v>-0</v>
      </c>
      <c r="Q388" s="8" t="n">
        <f aca="false">-Q379*$E$12</f>
        <v>-0</v>
      </c>
      <c r="R388" s="8" t="n">
        <f aca="false">-R379*$E$12</f>
        <v>-0</v>
      </c>
      <c r="S388" s="8" t="n">
        <f aca="false">-S379*$E$12</f>
        <v>-0</v>
      </c>
      <c r="T388" s="8" t="n">
        <f aca="false">-T379*$E$12</f>
        <v>-0</v>
      </c>
      <c r="U388" s="8" t="n">
        <f aca="false">-U379*$E$12</f>
        <v>-0</v>
      </c>
      <c r="V388" s="8" t="n">
        <f aca="false">-V379*$E$12</f>
        <v>-0</v>
      </c>
      <c r="W388" s="8" t="n">
        <f aca="false">-W379*$E$12</f>
        <v>-0</v>
      </c>
      <c r="X388" s="8" t="n">
        <f aca="false">-X379*$E$12</f>
        <v>-0</v>
      </c>
      <c r="Y388" s="8" t="n">
        <f aca="false">-Y379*$E$12</f>
        <v>-0</v>
      </c>
      <c r="Z388" s="8" t="n">
        <f aca="false">-Z379*$E$12</f>
        <v>-0</v>
      </c>
      <c r="AA388" s="8" t="n">
        <f aca="false">-AA379*$E$12</f>
        <v>-0</v>
      </c>
      <c r="AB388" s="8" t="n">
        <f aca="false">-AB379*$E$12</f>
        <v>-0</v>
      </c>
      <c r="AC388" s="8" t="n">
        <f aca="false">-AC379*$E$12</f>
        <v>-0</v>
      </c>
      <c r="AD388" s="8" t="n">
        <f aca="false">-AD379*$E$12</f>
        <v>-0</v>
      </c>
      <c r="AE388" s="8" t="n">
        <f aca="false">-AE379*$E$12</f>
        <v>-0</v>
      </c>
      <c r="AF388" s="8" t="n">
        <f aca="false">-AF379*$E$12</f>
        <v>-0</v>
      </c>
      <c r="AG388" s="8" t="n">
        <f aca="false">-AG379*$E$12</f>
        <v>-0</v>
      </c>
      <c r="AH388" s="8" t="n">
        <f aca="false">-AH379*$E$12</f>
        <v>-0</v>
      </c>
      <c r="AI388" s="8" t="n">
        <f aca="false">-AI379*$E$12</f>
        <v>-0</v>
      </c>
      <c r="AJ388" s="8" t="n">
        <f aca="false">-AJ379*$E$12</f>
        <v>-0</v>
      </c>
      <c r="AK388" s="8" t="n">
        <f aca="false">-AK379*$E$12</f>
        <v>-0</v>
      </c>
      <c r="AL388" s="8" t="n">
        <f aca="false">-AL379*$E$12</f>
        <v>-0</v>
      </c>
      <c r="AM388" s="8" t="n">
        <f aca="false">-AM379*$E$12</f>
        <v>-0</v>
      </c>
      <c r="AN388" s="8" t="n">
        <f aca="false">-AN379*$E$12</f>
        <v>-0</v>
      </c>
      <c r="AO388" s="8" t="n">
        <f aca="false">-AO379*$E$12</f>
        <v>-0</v>
      </c>
      <c r="AP388" s="8" t="n">
        <f aca="false">-AP379*$E$12</f>
        <v>-0</v>
      </c>
      <c r="AQ388" s="8" t="n">
        <f aca="false">-AQ379*$E$12</f>
        <v>-0</v>
      </c>
      <c r="AR388" s="8" t="n">
        <f aca="false">-AR379*$E$12</f>
        <v>-0</v>
      </c>
      <c r="AS388" s="8" t="n">
        <f aca="false">-AS379*$E$12</f>
        <v>-0</v>
      </c>
    </row>
    <row r="389" customFormat="false" ht="14.25" hidden="false" customHeight="false" outlineLevel="0" collapsed="false">
      <c r="C389" s="6" t="s">
        <v>314</v>
      </c>
      <c r="D389" s="2" t="s">
        <v>85</v>
      </c>
      <c r="H389" s="8" t="n">
        <f aca="false">SUM(J389:AS389)</f>
        <v>-7647.95461250493</v>
      </c>
      <c r="J389" s="8" t="n">
        <f aca="false">-J381*HIPA_Rate</f>
        <v>-0</v>
      </c>
      <c r="K389" s="8" t="n">
        <f aca="false">-K381*HIPA_Rate</f>
        <v>-0</v>
      </c>
      <c r="L389" s="8" t="n">
        <f aca="false">-L381*HIPA_Rate</f>
        <v>-0</v>
      </c>
      <c r="M389" s="8" t="n">
        <f aca="false">-M381*HIPA_Rate</f>
        <v>-0</v>
      </c>
      <c r="N389" s="8" t="n">
        <f aca="false">-N381*HIPA_Rate</f>
        <v>-0</v>
      </c>
      <c r="O389" s="8" t="n">
        <f aca="false">-O381*HIPA_Rate</f>
        <v>-114.3072</v>
      </c>
      <c r="P389" s="8" t="n">
        <f aca="false">-P381*HIPA_Rate</f>
        <v>-230.900544</v>
      </c>
      <c r="Q389" s="8" t="n">
        <f aca="false">-Q381*HIPA_Rate</f>
        <v>-232.50992079168</v>
      </c>
      <c r="R389" s="8" t="n">
        <f aca="false">-R381*HIPA_Rate</f>
        <v>-234.130514939598</v>
      </c>
      <c r="S389" s="8" t="n">
        <f aca="false">-S381*HIPA_Rate</f>
        <v>-235.762404628727</v>
      </c>
      <c r="T389" s="8" t="n">
        <f aca="false">-T381*HIPA_Rate</f>
        <v>-237.405668588989</v>
      </c>
      <c r="U389" s="8" t="n">
        <f aca="false">-U381*HIPA_Rate</f>
        <v>-239.060386099055</v>
      </c>
      <c r="V389" s="8" t="n">
        <f aca="false">-V381*HIPA_Rate</f>
        <v>-240.726636990165</v>
      </c>
      <c r="W389" s="8" t="n">
        <f aca="false">-W381*HIPA_Rate</f>
        <v>-242.404501649986</v>
      </c>
      <c r="X389" s="8" t="n">
        <f aca="false">-X381*HIPA_Rate</f>
        <v>-244.094061026487</v>
      </c>
      <c r="Y389" s="8" t="n">
        <f aca="false">-Y381*HIPA_Rate</f>
        <v>-245.795396631841</v>
      </c>
      <c r="Z389" s="8" t="n">
        <f aca="false">-Z381*HIPA_Rate</f>
        <v>-247.508590546365</v>
      </c>
      <c r="AA389" s="8" t="n">
        <f aca="false">-AA381*HIPA_Rate</f>
        <v>-249.233725422473</v>
      </c>
      <c r="AB389" s="8" t="n">
        <f aca="false">-AB381*HIPA_Rate</f>
        <v>-250.970884488668</v>
      </c>
      <c r="AC389" s="8" t="n">
        <f aca="false">-AC381*HIPA_Rate</f>
        <v>-252.720151553554</v>
      </c>
      <c r="AD389" s="8" t="n">
        <f aca="false">-AD381*HIPA_Rate</f>
        <v>-254.481611009882</v>
      </c>
      <c r="AE389" s="8" t="n">
        <f aca="false">-AE381*HIPA_Rate</f>
        <v>-256.255347838621</v>
      </c>
      <c r="AF389" s="8" t="n">
        <f aca="false">-AF381*HIPA_Rate</f>
        <v>-258.041447613056</v>
      </c>
      <c r="AG389" s="8" t="n">
        <f aca="false">-AG381*HIPA_Rate</f>
        <v>-259.83999650292</v>
      </c>
      <c r="AH389" s="8" t="n">
        <f aca="false">-AH381*HIPA_Rate</f>
        <v>-261.651081278545</v>
      </c>
      <c r="AI389" s="8" t="n">
        <f aca="false">-AI381*HIPA_Rate</f>
        <v>-263.474789315056</v>
      </c>
      <c r="AJ389" s="8" t="n">
        <f aca="false">-AJ381*HIPA_Rate</f>
        <v>-265.311208596582</v>
      </c>
      <c r="AK389" s="8" t="n">
        <f aca="false">-AK381*HIPA_Rate</f>
        <v>-267.1604277205</v>
      </c>
      <c r="AL389" s="8" t="n">
        <f aca="false">-AL381*HIPA_Rate</f>
        <v>-269.022535901712</v>
      </c>
      <c r="AM389" s="8" t="n">
        <f aca="false">-AM381*HIPA_Rate</f>
        <v>-270.897622976947</v>
      </c>
      <c r="AN389" s="8" t="n">
        <f aca="false">-AN381*HIPA_Rate</f>
        <v>-272.785779409097</v>
      </c>
      <c r="AO389" s="8" t="n">
        <f aca="false">-AO381*HIPA_Rate</f>
        <v>-274.687096291578</v>
      </c>
      <c r="AP389" s="8" t="n">
        <f aca="false">-AP381*HIPA_Rate</f>
        <v>-276.60166535273</v>
      </c>
      <c r="AQ389" s="8" t="n">
        <f aca="false">-AQ381*HIPA_Rate</f>
        <v>-278.529578960239</v>
      </c>
      <c r="AR389" s="8" t="n">
        <f aca="false">-AR381*HIPA_Rate</f>
        <v>-280.470930125592</v>
      </c>
      <c r="AS389" s="8" t="n">
        <f aca="false">-AS381*HIPA_Rate</f>
        <v>-141.212906254284</v>
      </c>
    </row>
    <row r="390" customFormat="false" ht="14.25" hidden="false" customHeight="false" outlineLevel="0" collapsed="false">
      <c r="C390" s="1" t="s">
        <v>315</v>
      </c>
      <c r="D390" s="2" t="s">
        <v>85</v>
      </c>
      <c r="H390" s="32" t="n">
        <f aca="false">SUM(J390:AS390)</f>
        <v>-101080.469164597</v>
      </c>
      <c r="J390" s="32" t="n">
        <f aca="false">SUM(J383:J389)</f>
        <v>0</v>
      </c>
      <c r="K390" s="32" t="n">
        <f aca="false">SUM(K383:K389)</f>
        <v>0</v>
      </c>
      <c r="L390" s="32" t="n">
        <f aca="false">SUM(L383:L389)</f>
        <v>0</v>
      </c>
      <c r="M390" s="32" t="n">
        <f aca="false">SUM(M383:M389)</f>
        <v>0</v>
      </c>
      <c r="N390" s="32" t="n">
        <f aca="false">SUM(N383:N389)</f>
        <v>0</v>
      </c>
      <c r="O390" s="32" t="n">
        <f aca="false">SUM(O383:O389)</f>
        <v>-1182.141828</v>
      </c>
      <c r="P390" s="32" t="n">
        <f aca="false">SUM(P383:P389)</f>
        <v>-2419.78149756</v>
      </c>
      <c r="Q390" s="32" t="n">
        <f aca="false">SUM(Q383:Q389)</f>
        <v>-2473.79268847324</v>
      </c>
      <c r="R390" s="32" t="n">
        <f aca="false">SUM(R383:R389)</f>
        <v>-2529.07754013253</v>
      </c>
      <c r="S390" s="32" t="n">
        <f aca="false">SUM(S383:S389)</f>
        <v>-2585.66667091693</v>
      </c>
      <c r="T390" s="32" t="n">
        <f aca="false">SUM(T383:T389)</f>
        <v>-2643.59144103106</v>
      </c>
      <c r="U390" s="32" t="n">
        <f aca="false">SUM(U383:U389)</f>
        <v>-2702.88397055478</v>
      </c>
      <c r="V390" s="32" t="n">
        <f aca="false">SUM(V383:V389)</f>
        <v>-2763.57715793331</v>
      </c>
      <c r="W390" s="32" t="n">
        <f aca="false">SUM(W383:W389)</f>
        <v>-2825.70469891879</v>
      </c>
      <c r="X390" s="32" t="n">
        <f aca="false">SUM(X383:X389)</f>
        <v>-2889.30110597403</v>
      </c>
      <c r="Y390" s="32" t="n">
        <f aca="false">SUM(Y383:Y389)</f>
        <v>-2954.40172814999</v>
      </c>
      <c r="Z390" s="32" t="n">
        <f aca="false">SUM(Z383:Z389)</f>
        <v>-3021.04277144858</v>
      </c>
      <c r="AA390" s="32" t="n">
        <f aca="false">SUM(AA383:AA389)</f>
        <v>-3089.26131968243</v>
      </c>
      <c r="AB390" s="32" t="n">
        <f aca="false">SUM(AB383:AB389)</f>
        <v>-3159.09535584409</v>
      </c>
      <c r="AC390" s="32" t="n">
        <f aca="false">SUM(AC383:AC389)</f>
        <v>-3230.58378399692</v>
      </c>
      <c r="AD390" s="32" t="n">
        <f aca="false">SUM(AD383:AD389)</f>
        <v>-3303.76645170053</v>
      </c>
      <c r="AE390" s="32" t="n">
        <f aca="false">SUM(AE383:AE389)</f>
        <v>-3378.68417298384</v>
      </c>
      <c r="AF390" s="32" t="n">
        <f aca="false">SUM(AF383:AF389)</f>
        <v>-3455.37875187918</v>
      </c>
      <c r="AG390" s="32" t="n">
        <f aca="false">SUM(AG383:AG389)</f>
        <v>-3533.89300653108</v>
      </c>
      <c r="AH390" s="32" t="n">
        <f aca="false">SUM(AH383:AH389)</f>
        <v>-3614.27079389397</v>
      </c>
      <c r="AI390" s="32" t="n">
        <f aca="false">SUM(AI383:AI389)</f>
        <v>-3696.55703503309</v>
      </c>
      <c r="AJ390" s="32" t="n">
        <f aca="false">SUM(AJ383:AJ389)</f>
        <v>-3780.79774104342</v>
      </c>
      <c r="AK390" s="32" t="n">
        <f aca="false">SUM(AK383:AK389)</f>
        <v>-3867.04003960174</v>
      </c>
      <c r="AL390" s="32" t="n">
        <f aca="false">SUM(AL383:AL389)</f>
        <v>-3955.33220216742</v>
      </c>
      <c r="AM390" s="32" t="n">
        <f aca="false">SUM(AM383:AM389)</f>
        <v>-4045.72367184764</v>
      </c>
      <c r="AN390" s="32" t="n">
        <f aca="false">SUM(AN383:AN389)</f>
        <v>-4138.26509194355</v>
      </c>
      <c r="AO390" s="32" t="n">
        <f aca="false">SUM(AO383:AO389)</f>
        <v>-4233.00833519381</v>
      </c>
      <c r="AP390" s="32" t="n">
        <f aca="false">SUM(AP383:AP389)</f>
        <v>-4330.00653373281</v>
      </c>
      <c r="AQ390" s="32" t="n">
        <f aca="false">SUM(AQ383:AQ389)</f>
        <v>-4429.31410978088</v>
      </c>
      <c r="AR390" s="32" t="n">
        <f aca="false">SUM(AR383:AR389)</f>
        <v>-4530.98680708456</v>
      </c>
      <c r="AS390" s="32" t="n">
        <f aca="false">SUM(AS383:AS389)</f>
        <v>-2317.54086156264</v>
      </c>
    </row>
    <row r="391" customFormat="false" ht="14.25" hidden="false" customHeight="false" outlineLevel="0" collapsed="false">
      <c r="C391" s="1" t="s">
        <v>160</v>
      </c>
      <c r="D391" s="2" t="s">
        <v>85</v>
      </c>
      <c r="H391" s="15" t="n">
        <f aca="false">SUM(J391:AS391)</f>
        <v>281317.26146065</v>
      </c>
      <c r="J391" s="15" t="n">
        <f aca="false">J381+J390</f>
        <v>0</v>
      </c>
      <c r="K391" s="15" t="n">
        <f aca="false">K381+K390</f>
        <v>0</v>
      </c>
      <c r="L391" s="15" t="n">
        <f aca="false">L381+L390</f>
        <v>0</v>
      </c>
      <c r="M391" s="15" t="n">
        <f aca="false">M381+M390</f>
        <v>0</v>
      </c>
      <c r="N391" s="15" t="n">
        <f aca="false">N381+N390</f>
        <v>0</v>
      </c>
      <c r="O391" s="15" t="n">
        <f aca="false">O381+O390</f>
        <v>4533.218172</v>
      </c>
      <c r="P391" s="15" t="n">
        <f aca="false">P381+P390</f>
        <v>9125.24570244</v>
      </c>
      <c r="Q391" s="15" t="n">
        <f aca="false">Q381+Q390</f>
        <v>9151.70335111076</v>
      </c>
      <c r="R391" s="15" t="n">
        <f aca="false">R381+R390</f>
        <v>9177.44820684737</v>
      </c>
      <c r="S391" s="15" t="n">
        <f aca="false">S381+S390</f>
        <v>9202.45356051942</v>
      </c>
      <c r="T391" s="15" t="n">
        <f aca="false">T381+T390</f>
        <v>9226.6919884184</v>
      </c>
      <c r="U391" s="15" t="n">
        <f aca="false">U381+U390</f>
        <v>9250.13533439795</v>
      </c>
      <c r="V391" s="15" t="n">
        <f aca="false">V381+V390</f>
        <v>9272.75469157493</v>
      </c>
      <c r="W391" s="15" t="n">
        <f aca="false">W381+W390</f>
        <v>9294.52038358052</v>
      </c>
      <c r="X391" s="15" t="n">
        <f aca="false">X381+X390</f>
        <v>9315.40194535031</v>
      </c>
      <c r="Y391" s="15" t="n">
        <f aca="false">Y381+Y390</f>
        <v>9335.36810344208</v>
      </c>
      <c r="Z391" s="15" t="n">
        <f aca="false">Z381+Z390</f>
        <v>9354.38675586968</v>
      </c>
      <c r="AA391" s="15" t="n">
        <f aca="false">AA381+AA390</f>
        <v>9372.42495144124</v>
      </c>
      <c r="AB391" s="15" t="n">
        <f aca="false">AB381+AB390</f>
        <v>9389.44886858932</v>
      </c>
      <c r="AC391" s="15" t="n">
        <f aca="false">AC381+AC390</f>
        <v>9405.42379368079</v>
      </c>
      <c r="AD391" s="15" t="n">
        <f aca="false">AD381+AD390</f>
        <v>9420.31409879359</v>
      </c>
      <c r="AE391" s="15" t="n">
        <f aca="false">AE381+AE390</f>
        <v>9434.08321894722</v>
      </c>
      <c r="AF391" s="15" t="n">
        <f aca="false">AF381+AF390</f>
        <v>9446.69362877364</v>
      </c>
      <c r="AG391" s="15" t="n">
        <f aca="false">AG381+AG390</f>
        <v>9458.1068186149</v>
      </c>
      <c r="AH391" s="15" t="n">
        <f aca="false">AH381+AH390</f>
        <v>9468.28327003328</v>
      </c>
      <c r="AI391" s="15" t="n">
        <f aca="false">AI381+AI390</f>
        <v>9477.18243071973</v>
      </c>
      <c r="AJ391" s="15" t="n">
        <f aca="false">AJ381+AJ390</f>
        <v>9484.7626887857</v>
      </c>
      <c r="AK391" s="15" t="n">
        <f aca="false">AK381+AK390</f>
        <v>9490.98134642328</v>
      </c>
      <c r="AL391" s="15" t="n">
        <f aca="false">AL381+AL390</f>
        <v>9495.7945929182</v>
      </c>
      <c r="AM391" s="15" t="n">
        <f aca="false">AM381+AM390</f>
        <v>9499.15747699973</v>
      </c>
      <c r="AN391" s="15" t="n">
        <f aca="false">AN381+AN390</f>
        <v>9501.02387851128</v>
      </c>
      <c r="AO391" s="15" t="n">
        <f aca="false">AO381+AO390</f>
        <v>9501.34647938509</v>
      </c>
      <c r="AP391" s="15" t="n">
        <f aca="false">AP381+AP390</f>
        <v>9500.07673390371</v>
      </c>
      <c r="AQ391" s="15" t="n">
        <f aca="false">AQ381+AQ390</f>
        <v>9497.16483823106</v>
      </c>
      <c r="AR391" s="15" t="n">
        <f aca="false">AR381+AR390</f>
        <v>9492.55969919502</v>
      </c>
      <c r="AS391" s="15" t="n">
        <f aca="false">AS381+AS390</f>
        <v>4743.10445115153</v>
      </c>
    </row>
    <row r="392" customFormat="false" ht="14.25" hidden="false" customHeight="false" outlineLevel="0" collapsed="false">
      <c r="C392" s="1" t="s">
        <v>316</v>
      </c>
      <c r="D392" s="2" t="s">
        <v>85</v>
      </c>
      <c r="H392" s="32" t="n">
        <f aca="false">SUM(J392:AS392)</f>
        <v>209225.327688047</v>
      </c>
      <c r="J392" s="32" t="n">
        <f aca="false">J377+J391</f>
        <v>0</v>
      </c>
      <c r="K392" s="32" t="n">
        <f aca="false">K377+K391</f>
        <v>0</v>
      </c>
      <c r="L392" s="32" t="n">
        <f aca="false">L377+L391</f>
        <v>0</v>
      </c>
      <c r="M392" s="32" t="n">
        <f aca="false">M377+M391</f>
        <v>-33450.8995260274</v>
      </c>
      <c r="N392" s="32" t="n">
        <f aca="false">N377+N391</f>
        <v>-26389</v>
      </c>
      <c r="O392" s="32" t="n">
        <f aca="false">O377+O391</f>
        <v>-9661.281828</v>
      </c>
      <c r="P392" s="32" t="n">
        <f aca="false">P377+P391</f>
        <v>9125.24570244</v>
      </c>
      <c r="Q392" s="32" t="n">
        <f aca="false">Q377+Q391</f>
        <v>11094.1691045354</v>
      </c>
      <c r="R392" s="32" t="n">
        <f aca="false">R377+R391</f>
        <v>9177.44820684737</v>
      </c>
      <c r="S392" s="32" t="n">
        <f aca="false">S377+S391</f>
        <v>9202.45356051942</v>
      </c>
      <c r="T392" s="32" t="n">
        <f aca="false">T377+T391</f>
        <v>9226.6919884184</v>
      </c>
      <c r="U392" s="32" t="n">
        <f aca="false">U377+U391</f>
        <v>9250.13533439795</v>
      </c>
      <c r="V392" s="32" t="n">
        <f aca="false">V377+V391</f>
        <v>9272.75469157493</v>
      </c>
      <c r="W392" s="32" t="n">
        <f aca="false">W377+W391</f>
        <v>9294.52038358052</v>
      </c>
      <c r="X392" s="32" t="n">
        <f aca="false">X377+X391</f>
        <v>9315.40194535031</v>
      </c>
      <c r="Y392" s="32" t="n">
        <f aca="false">Y377+Y391</f>
        <v>9335.36810344208</v>
      </c>
      <c r="Z392" s="32" t="n">
        <f aca="false">Z377+Z391</f>
        <v>9354.38675586968</v>
      </c>
      <c r="AA392" s="32" t="n">
        <f aca="false">AA377+AA391</f>
        <v>9372.42495144124</v>
      </c>
      <c r="AB392" s="32" t="n">
        <f aca="false">AB377+AB391</f>
        <v>9389.44886858932</v>
      </c>
      <c r="AC392" s="32" t="n">
        <f aca="false">AC377+AC391</f>
        <v>9405.42379368079</v>
      </c>
      <c r="AD392" s="32" t="n">
        <f aca="false">AD377+AD391</f>
        <v>9420.31409879359</v>
      </c>
      <c r="AE392" s="32" t="n">
        <f aca="false">AE377+AE391</f>
        <v>9434.08321894722</v>
      </c>
      <c r="AF392" s="32" t="n">
        <f aca="false">AF377+AF391</f>
        <v>9446.69362877364</v>
      </c>
      <c r="AG392" s="32" t="n">
        <f aca="false">AG377+AG391</f>
        <v>9458.1068186149</v>
      </c>
      <c r="AH392" s="32" t="n">
        <f aca="false">AH377+AH391</f>
        <v>9468.28327003328</v>
      </c>
      <c r="AI392" s="32" t="n">
        <f aca="false">AI377+AI391</f>
        <v>9477.18243071973</v>
      </c>
      <c r="AJ392" s="32" t="n">
        <f aca="false">AJ377+AJ391</f>
        <v>9484.7626887857</v>
      </c>
      <c r="AK392" s="32" t="n">
        <f aca="false">AK377+AK391</f>
        <v>9490.98134642328</v>
      </c>
      <c r="AL392" s="32" t="n">
        <f aca="false">AL377+AL391</f>
        <v>9495.7945929182</v>
      </c>
      <c r="AM392" s="32" t="n">
        <f aca="false">AM377+AM391</f>
        <v>9499.15747699973</v>
      </c>
      <c r="AN392" s="32" t="n">
        <f aca="false">AN377+AN391</f>
        <v>9501.02387851128</v>
      </c>
      <c r="AO392" s="32" t="n">
        <f aca="false">AO377+AO391</f>
        <v>9501.34647938509</v>
      </c>
      <c r="AP392" s="32" t="n">
        <f aca="false">AP377+AP391</f>
        <v>9500.07673390371</v>
      </c>
      <c r="AQ392" s="32" t="n">
        <f aca="false">AQ377+AQ391</f>
        <v>9497.16483823106</v>
      </c>
      <c r="AR392" s="32" t="n">
        <f aca="false">AR377+AR391</f>
        <v>9492.55969919502</v>
      </c>
      <c r="AS392" s="32" t="n">
        <f aca="false">AS377+AS391</f>
        <v>4743.10445115153</v>
      </c>
    </row>
    <row r="393" customFormat="false" ht="14.25" hidden="false" customHeight="false" outlineLevel="0" collapsed="false">
      <c r="C393" s="6" t="s">
        <v>317</v>
      </c>
      <c r="D393" s="2" t="s">
        <v>85</v>
      </c>
      <c r="H393" s="8" t="n">
        <f aca="false">SUM(J393:AS393)</f>
        <v>-72091.9337726027</v>
      </c>
      <c r="J393" s="8" t="n">
        <f aca="false">-$E$99/Tax_Dep_Life*(J367&gt;=0)*(J367&lt;Tax_Dep_Life)</f>
        <v>-0</v>
      </c>
      <c r="K393" s="8" t="n">
        <f aca="false">-$E$99/Tax_Dep_Life*(K367&gt;=0)*(K367&lt;Tax_Dep_Life)</f>
        <v>-0</v>
      </c>
      <c r="L393" s="8" t="n">
        <f aca="false">-$E$99/Tax_Dep_Life*(L367&gt;=0)*(L367&lt;Tax_Dep_Life)</f>
        <v>-0</v>
      </c>
      <c r="M393" s="8" t="n">
        <f aca="false">-$E$99/Tax_Dep_Life*(M367&gt;=0)*(M367&lt;Tax_Dep_Life)</f>
        <v>-0</v>
      </c>
      <c r="N393" s="8" t="n">
        <f aca="false">-$E$99/Tax_Dep_Life*(N367&gt;=0)*(N367&lt;Tax_Dep_Life)</f>
        <v>-0</v>
      </c>
      <c r="O393" s="8" t="n">
        <f aca="false">-$E$99/Tax_Dep_Life*(O367&gt;=0)*(O367&lt;Tax_Dep_Life)</f>
        <v>-3604.59668863014</v>
      </c>
      <c r="P393" s="8" t="n">
        <f aca="false">-$E$99/Tax_Dep_Life*(P367&gt;=0)*(P367&lt;Tax_Dep_Life)</f>
        <v>-3604.59668863014</v>
      </c>
      <c r="Q393" s="8" t="n">
        <f aca="false">-$E$99/Tax_Dep_Life*(Q367&gt;=0)*(Q367&lt;Tax_Dep_Life)</f>
        <v>-3604.59668863014</v>
      </c>
      <c r="R393" s="8" t="n">
        <f aca="false">-$E$99/Tax_Dep_Life*(R367&gt;=0)*(R367&lt;Tax_Dep_Life)</f>
        <v>-3604.59668863014</v>
      </c>
      <c r="S393" s="8" t="n">
        <f aca="false">-$E$99/Tax_Dep_Life*(S367&gt;=0)*(S367&lt;Tax_Dep_Life)</f>
        <v>-3604.59668863014</v>
      </c>
      <c r="T393" s="8" t="n">
        <f aca="false">-$E$99/Tax_Dep_Life*(T367&gt;=0)*(T367&lt;Tax_Dep_Life)</f>
        <v>-3604.59668863014</v>
      </c>
      <c r="U393" s="8" t="n">
        <f aca="false">-$E$99/Tax_Dep_Life*(U367&gt;=0)*(U367&lt;Tax_Dep_Life)</f>
        <v>-3604.59668863014</v>
      </c>
      <c r="V393" s="8" t="n">
        <f aca="false">-$E$99/Tax_Dep_Life*(V367&gt;=0)*(V367&lt;Tax_Dep_Life)</f>
        <v>-3604.59668863014</v>
      </c>
      <c r="W393" s="8" t="n">
        <f aca="false">-$E$99/Tax_Dep_Life*(W367&gt;=0)*(W367&lt;Tax_Dep_Life)</f>
        <v>-3604.59668863014</v>
      </c>
      <c r="X393" s="8" t="n">
        <f aca="false">-$E$99/Tax_Dep_Life*(X367&gt;=0)*(X367&lt;Tax_Dep_Life)</f>
        <v>-3604.59668863014</v>
      </c>
      <c r="Y393" s="8" t="n">
        <f aca="false">-$E$99/Tax_Dep_Life*(Y367&gt;=0)*(Y367&lt;Tax_Dep_Life)</f>
        <v>-3604.59668863014</v>
      </c>
      <c r="Z393" s="8" t="n">
        <f aca="false">-$E$99/Tax_Dep_Life*(Z367&gt;=0)*(Z367&lt;Tax_Dep_Life)</f>
        <v>-3604.59668863014</v>
      </c>
      <c r="AA393" s="8" t="n">
        <f aca="false">-$E$99/Tax_Dep_Life*(AA367&gt;=0)*(AA367&lt;Tax_Dep_Life)</f>
        <v>-3604.59668863014</v>
      </c>
      <c r="AB393" s="8" t="n">
        <f aca="false">-$E$99/Tax_Dep_Life*(AB367&gt;=0)*(AB367&lt;Tax_Dep_Life)</f>
        <v>-3604.59668863014</v>
      </c>
      <c r="AC393" s="8" t="n">
        <f aca="false">-$E$99/Tax_Dep_Life*(AC367&gt;=0)*(AC367&lt;Tax_Dep_Life)</f>
        <v>-3604.59668863014</v>
      </c>
      <c r="AD393" s="8" t="n">
        <f aca="false">-$E$99/Tax_Dep_Life*(AD367&gt;=0)*(AD367&lt;Tax_Dep_Life)</f>
        <v>-3604.59668863014</v>
      </c>
      <c r="AE393" s="8" t="n">
        <f aca="false">-$E$99/Tax_Dep_Life*(AE367&gt;=0)*(AE367&lt;Tax_Dep_Life)</f>
        <v>-3604.59668863014</v>
      </c>
      <c r="AF393" s="8" t="n">
        <f aca="false">-$E$99/Tax_Dep_Life*(AF367&gt;=0)*(AF367&lt;Tax_Dep_Life)</f>
        <v>-3604.59668863014</v>
      </c>
      <c r="AG393" s="8" t="n">
        <f aca="false">-$E$99/Tax_Dep_Life*(AG367&gt;=0)*(AG367&lt;Tax_Dep_Life)</f>
        <v>-3604.59668863014</v>
      </c>
      <c r="AH393" s="8" t="n">
        <f aca="false">-$E$99/Tax_Dep_Life*(AH367&gt;=0)*(AH367&lt;Tax_Dep_Life)</f>
        <v>-3604.59668863014</v>
      </c>
      <c r="AI393" s="8" t="n">
        <f aca="false">-$E$99/Tax_Dep_Life*(AI367&gt;=0)*(AI367&lt;Tax_Dep_Life)</f>
        <v>-0</v>
      </c>
      <c r="AJ393" s="8" t="n">
        <f aca="false">-$E$99/Tax_Dep_Life*(AJ367&gt;=0)*(AJ367&lt;Tax_Dep_Life)</f>
        <v>-0</v>
      </c>
      <c r="AK393" s="8" t="n">
        <f aca="false">-$E$99/Tax_Dep_Life*(AK367&gt;=0)*(AK367&lt;Tax_Dep_Life)</f>
        <v>-0</v>
      </c>
      <c r="AL393" s="8" t="n">
        <f aca="false">-$E$99/Tax_Dep_Life*(AL367&gt;=0)*(AL367&lt;Tax_Dep_Life)</f>
        <v>-0</v>
      </c>
      <c r="AM393" s="8" t="n">
        <f aca="false">-$E$99/Tax_Dep_Life*(AM367&gt;=0)*(AM367&lt;Tax_Dep_Life)</f>
        <v>-0</v>
      </c>
      <c r="AN393" s="8" t="n">
        <f aca="false">-$E$99/Tax_Dep_Life*(AN367&gt;=0)*(AN367&lt;Tax_Dep_Life)</f>
        <v>-0</v>
      </c>
      <c r="AO393" s="8" t="n">
        <f aca="false">-$E$99/Tax_Dep_Life*(AO367&gt;=0)*(AO367&lt;Tax_Dep_Life)</f>
        <v>-0</v>
      </c>
      <c r="AP393" s="8" t="n">
        <f aca="false">-$E$99/Tax_Dep_Life*(AP367&gt;=0)*(AP367&lt;Tax_Dep_Life)</f>
        <v>-0</v>
      </c>
      <c r="AQ393" s="8" t="n">
        <f aca="false">-$E$99/Tax_Dep_Life*(AQ367&gt;=0)*(AQ367&lt;Tax_Dep_Life)</f>
        <v>-0</v>
      </c>
      <c r="AR393" s="8" t="n">
        <f aca="false">-$E$99/Tax_Dep_Life*(AR367&gt;=0)*(AR367&lt;Tax_Dep_Life)</f>
        <v>-0</v>
      </c>
      <c r="AS393" s="8" t="n">
        <f aca="false">-$E$99/Tax_Dep_Life*(AS367&gt;=0)*(AS367&lt;Tax_Dep_Life)</f>
        <v>-0</v>
      </c>
    </row>
    <row r="394" customFormat="false" ht="14.25" hidden="false" customHeight="false" outlineLevel="0" collapsed="false">
      <c r="C394" s="6" t="s">
        <v>318</v>
      </c>
      <c r="D394" s="2" t="s">
        <v>85</v>
      </c>
      <c r="H394" s="8" t="n">
        <f aca="false">SUM(J394:AS394)</f>
        <v>-31383.7991532071</v>
      </c>
      <c r="J394" s="8" t="n">
        <f aca="false">-MAX(0,J391+J393)*CIT_Rate*(J371&gt;0)</f>
        <v>-0</v>
      </c>
      <c r="K394" s="8" t="n">
        <f aca="false">-MAX(0,K391+K393)*CIT_Rate*(K371&gt;0)</f>
        <v>-0</v>
      </c>
      <c r="L394" s="8" t="n">
        <f aca="false">-MAX(0,L391+L393)*CIT_Rate*(L371&gt;0)</f>
        <v>-0</v>
      </c>
      <c r="M394" s="8" t="n">
        <f aca="false">-MAX(0,M391+M393)*CIT_Rate*(M371&gt;0)</f>
        <v>-0</v>
      </c>
      <c r="N394" s="8" t="n">
        <f aca="false">-MAX(0,N391+N393)*CIT_Rate*(N371&gt;0)</f>
        <v>-0</v>
      </c>
      <c r="O394" s="8" t="n">
        <f aca="false">-MAX(0,O391+O393)*CIT_Rate*(O371&gt;0)</f>
        <v>-139.293222505479</v>
      </c>
      <c r="P394" s="8" t="n">
        <f aca="false">-MAX(0,P391+P393)*CIT_Rate*(P371&gt;0)</f>
        <v>-828.09735207148</v>
      </c>
      <c r="Q394" s="8" t="n">
        <f aca="false">-MAX(0,Q391+Q393)*CIT_Rate*(Q371&gt;0)</f>
        <v>-832.065999372093</v>
      </c>
      <c r="R394" s="8" t="n">
        <f aca="false">-MAX(0,R391+R393)*CIT_Rate*(R371&gt;0)</f>
        <v>-835.927727732585</v>
      </c>
      <c r="S394" s="8" t="n">
        <f aca="false">-MAX(0,S391+S393)*CIT_Rate*(S371&gt;0)</f>
        <v>-839.678530783392</v>
      </c>
      <c r="T394" s="8" t="n">
        <f aca="false">-MAX(0,T391+T393)*CIT_Rate*(T371&gt;0)</f>
        <v>-843.314294968239</v>
      </c>
      <c r="U394" s="8" t="n">
        <f aca="false">-MAX(0,U391+U393)*CIT_Rate*(U371&gt;0)</f>
        <v>-846.830796865172</v>
      </c>
      <c r="V394" s="8" t="n">
        <f aca="false">-MAX(0,V391+V393)*CIT_Rate*(V371&gt;0)</f>
        <v>-850.223700441719</v>
      </c>
      <c r="W394" s="8" t="n">
        <f aca="false">-MAX(0,W391+W393)*CIT_Rate*(W371&gt;0)</f>
        <v>-853.488554242558</v>
      </c>
      <c r="X394" s="8" t="n">
        <f aca="false">-MAX(0,X391+X393)*CIT_Rate*(X371&gt;0)</f>
        <v>-856.620788508026</v>
      </c>
      <c r="Y394" s="8" t="n">
        <f aca="false">-MAX(0,Y391+Y393)*CIT_Rate*(Y371&gt;0)</f>
        <v>-859.615712221791</v>
      </c>
      <c r="Z394" s="8" t="n">
        <f aca="false">-MAX(0,Z391+Z393)*CIT_Rate*(Z371&gt;0)</f>
        <v>-862.468510085932</v>
      </c>
      <c r="AA394" s="8" t="n">
        <f aca="false">-MAX(0,AA391+AA393)*CIT_Rate*(AA371&gt;0)</f>
        <v>-865.174239421666</v>
      </c>
      <c r="AB394" s="8" t="n">
        <f aca="false">-MAX(0,AB391+AB393)*CIT_Rate*(AB371&gt;0)</f>
        <v>-867.727826993877</v>
      </c>
      <c r="AC394" s="8" t="n">
        <f aca="false">-MAX(0,AC391+AC393)*CIT_Rate*(AC371&gt;0)</f>
        <v>-870.124065757598</v>
      </c>
      <c r="AD394" s="8" t="n">
        <f aca="false">-MAX(0,AD391+AD393)*CIT_Rate*(AD371&gt;0)</f>
        <v>-872.357611524519</v>
      </c>
      <c r="AE394" s="8" t="n">
        <f aca="false">-MAX(0,AE391+AE393)*CIT_Rate*(AE371&gt;0)</f>
        <v>-874.422979547563</v>
      </c>
      <c r="AF394" s="8" t="n">
        <f aca="false">-MAX(0,AF391+AF393)*CIT_Rate*(AF371&gt;0)</f>
        <v>-876.314541021526</v>
      </c>
      <c r="AG394" s="8" t="n">
        <f aca="false">-MAX(0,AG391+AG393)*CIT_Rate*(AG371&gt;0)</f>
        <v>-878.026519497714</v>
      </c>
      <c r="AH394" s="8" t="n">
        <f aca="false">-MAX(0,AH391+AH393)*CIT_Rate*(AH371&gt;0)</f>
        <v>-879.552987210471</v>
      </c>
      <c r="AI394" s="8" t="n">
        <f aca="false">-MAX(0,AI391+AI393)*CIT_Rate*(AI371&gt;0)</f>
        <v>-1421.57736460796</v>
      </c>
      <c r="AJ394" s="8" t="n">
        <f aca="false">-MAX(0,AJ391+AJ393)*CIT_Rate*(AJ371&gt;0)</f>
        <v>-1422.71440331785</v>
      </c>
      <c r="AK394" s="8" t="n">
        <f aca="false">-MAX(0,AK391+AK393)*CIT_Rate*(AK371&gt;0)</f>
        <v>-1423.64720196349</v>
      </c>
      <c r="AL394" s="8" t="n">
        <f aca="false">-MAX(0,AL391+AL393)*CIT_Rate*(AL371&gt;0)</f>
        <v>-1424.36918893773</v>
      </c>
      <c r="AM394" s="8" t="n">
        <f aca="false">-MAX(0,AM391+AM393)*CIT_Rate*(AM371&gt;0)</f>
        <v>-1424.87362154996</v>
      </c>
      <c r="AN394" s="8" t="n">
        <f aca="false">-MAX(0,AN391+AN393)*CIT_Rate*(AN371&gt;0)</f>
        <v>-1425.15358177669</v>
      </c>
      <c r="AO394" s="8" t="n">
        <f aca="false">-MAX(0,AO391+AO393)*CIT_Rate*(AO371&gt;0)</f>
        <v>-1425.20197190776</v>
      </c>
      <c r="AP394" s="8" t="n">
        <f aca="false">-MAX(0,AP391+AP393)*CIT_Rate*(AP371&gt;0)</f>
        <v>-1425.01151008556</v>
      </c>
      <c r="AQ394" s="8" t="n">
        <f aca="false">-MAX(0,AQ391+AQ393)*CIT_Rate*(AQ371&gt;0)</f>
        <v>-1424.57472573466</v>
      </c>
      <c r="AR394" s="8" t="n">
        <f aca="false">-MAX(0,AR391+AR393)*CIT_Rate*(AR371&gt;0)</f>
        <v>-1423.88395487925</v>
      </c>
      <c r="AS394" s="8" t="n">
        <f aca="false">-MAX(0,AS391+AS393)*CIT_Rate*(AS371&gt;0)</f>
        <v>-711.46566767273</v>
      </c>
    </row>
    <row r="395" customFormat="false" ht="14.25" hidden="false" customHeight="false" outlineLevel="0" collapsed="false">
      <c r="C395" s="1" t="s">
        <v>319</v>
      </c>
      <c r="D395" s="2" t="s">
        <v>85</v>
      </c>
      <c r="H395" s="32" t="n">
        <f aca="false">SUM(J395:AS395)</f>
        <v>177841.52853484</v>
      </c>
      <c r="J395" s="32" t="n">
        <f aca="false">J392+J394</f>
        <v>0</v>
      </c>
      <c r="K395" s="32" t="n">
        <f aca="false">K392+K394</f>
        <v>0</v>
      </c>
      <c r="L395" s="32" t="n">
        <f aca="false">L392+L394</f>
        <v>0</v>
      </c>
      <c r="M395" s="32" t="n">
        <f aca="false">M392+M394</f>
        <v>-33450.8995260274</v>
      </c>
      <c r="N395" s="32" t="n">
        <f aca="false">N392+N394</f>
        <v>-26389</v>
      </c>
      <c r="O395" s="32" t="n">
        <f aca="false">O392+O394</f>
        <v>-9800.57505050548</v>
      </c>
      <c r="P395" s="32" t="n">
        <f aca="false">P392+P394</f>
        <v>8297.14835036852</v>
      </c>
      <c r="Q395" s="32" t="n">
        <f aca="false">Q392+Q394</f>
        <v>10262.1031051633</v>
      </c>
      <c r="R395" s="32" t="n">
        <f aca="false">R392+R394</f>
        <v>8341.52047911478</v>
      </c>
      <c r="S395" s="32" t="n">
        <f aca="false">S392+S394</f>
        <v>8362.77502973603</v>
      </c>
      <c r="T395" s="32" t="n">
        <f aca="false">T392+T394</f>
        <v>8383.37769345016</v>
      </c>
      <c r="U395" s="32" t="n">
        <f aca="false">U392+U394</f>
        <v>8403.30453753278</v>
      </c>
      <c r="V395" s="32" t="n">
        <f aca="false">V392+V394</f>
        <v>8422.53099113321</v>
      </c>
      <c r="W395" s="32" t="n">
        <f aca="false">W392+W394</f>
        <v>8441.03182933797</v>
      </c>
      <c r="X395" s="32" t="n">
        <f aca="false">X392+X394</f>
        <v>8458.78115684229</v>
      </c>
      <c r="Y395" s="32" t="n">
        <f aca="false">Y392+Y394</f>
        <v>8475.75239122029</v>
      </c>
      <c r="Z395" s="32" t="n">
        <f aca="false">Z392+Z394</f>
        <v>8491.91824578375</v>
      </c>
      <c r="AA395" s="32" t="n">
        <f aca="false">AA392+AA394</f>
        <v>8507.25071201958</v>
      </c>
      <c r="AB395" s="32" t="n">
        <f aca="false">AB392+AB394</f>
        <v>8521.72104159544</v>
      </c>
      <c r="AC395" s="32" t="n">
        <f aca="false">AC392+AC394</f>
        <v>8535.29972792319</v>
      </c>
      <c r="AD395" s="32" t="n">
        <f aca="false">AD392+AD394</f>
        <v>8547.95648726908</v>
      </c>
      <c r="AE395" s="32" t="n">
        <f aca="false">AE392+AE394</f>
        <v>8559.66023939966</v>
      </c>
      <c r="AF395" s="32" t="n">
        <f aca="false">AF392+AF394</f>
        <v>8570.37908775212</v>
      </c>
      <c r="AG395" s="32" t="n">
        <f aca="false">AG392+AG394</f>
        <v>8580.08029911718</v>
      </c>
      <c r="AH395" s="32" t="n">
        <f aca="false">AH392+AH394</f>
        <v>8588.7302828228</v>
      </c>
      <c r="AI395" s="32" t="n">
        <f aca="false">AI392+AI394</f>
        <v>8055.60506611177</v>
      </c>
      <c r="AJ395" s="32" t="n">
        <f aca="false">AJ392+AJ394</f>
        <v>8062.04828546784</v>
      </c>
      <c r="AK395" s="32" t="n">
        <f aca="false">AK392+AK394</f>
        <v>8067.33414445979</v>
      </c>
      <c r="AL395" s="32" t="n">
        <f aca="false">AL392+AL394</f>
        <v>8071.42540398047</v>
      </c>
      <c r="AM395" s="32" t="n">
        <f aca="false">AM392+AM394</f>
        <v>8074.28385544977</v>
      </c>
      <c r="AN395" s="32" t="n">
        <f aca="false">AN392+AN394</f>
        <v>8075.87029673459</v>
      </c>
      <c r="AO395" s="32" t="n">
        <f aca="false">AO392+AO394</f>
        <v>8076.14450747733</v>
      </c>
      <c r="AP395" s="32" t="n">
        <f aca="false">AP392+AP394</f>
        <v>8075.06522381815</v>
      </c>
      <c r="AQ395" s="32" t="n">
        <f aca="false">AQ392+AQ394</f>
        <v>8072.5901124964</v>
      </c>
      <c r="AR395" s="32" t="n">
        <f aca="false">AR392+AR394</f>
        <v>8068.67574431577</v>
      </c>
      <c r="AS395" s="32" t="n">
        <f aca="false">AS392+AS394</f>
        <v>4031.6387834788</v>
      </c>
    </row>
    <row r="396" customFormat="false" ht="14.25" hidden="false" customHeight="false" outlineLevel="0" collapsed="false">
      <c r="C396" s="6" t="s">
        <v>320</v>
      </c>
      <c r="D396" s="2" t="s">
        <v>85</v>
      </c>
      <c r="H396" s="8" t="n">
        <f aca="false">SUM(J396:AS396)</f>
        <v>43255.1602635616</v>
      </c>
      <c r="J396" s="8" t="n">
        <f aca="false">$E$99*Gearing*J372</f>
        <v>0</v>
      </c>
      <c r="K396" s="8" t="n">
        <f aca="false">$E$99*Gearing*K372</f>
        <v>0</v>
      </c>
      <c r="L396" s="8" t="n">
        <f aca="false">$E$99*Gearing*L372</f>
        <v>0</v>
      </c>
      <c r="M396" s="8" t="n">
        <f aca="false">$E$99*Gearing*M372</f>
        <v>0</v>
      </c>
      <c r="N396" s="8" t="n">
        <f aca="false">$E$99*Gearing*N372</f>
        <v>0</v>
      </c>
      <c r="O396" s="8" t="n">
        <f aca="false">$E$99*Gearing*O372</f>
        <v>43255.1602635616</v>
      </c>
      <c r="P396" s="8" t="n">
        <f aca="false">$E$99*Gearing*P372</f>
        <v>0</v>
      </c>
      <c r="Q396" s="8" t="n">
        <f aca="false">$E$99*Gearing*Q372</f>
        <v>0</v>
      </c>
      <c r="R396" s="8" t="n">
        <f aca="false">$E$99*Gearing*R372</f>
        <v>0</v>
      </c>
      <c r="S396" s="8" t="n">
        <f aca="false">$E$99*Gearing*S372</f>
        <v>0</v>
      </c>
      <c r="T396" s="8" t="n">
        <f aca="false">$E$99*Gearing*T372</f>
        <v>0</v>
      </c>
      <c r="U396" s="8" t="n">
        <f aca="false">$E$99*Gearing*U372</f>
        <v>0</v>
      </c>
      <c r="V396" s="8" t="n">
        <f aca="false">$E$99*Gearing*V372</f>
        <v>0</v>
      </c>
      <c r="W396" s="8" t="n">
        <f aca="false">$E$99*Gearing*W372</f>
        <v>0</v>
      </c>
      <c r="X396" s="8" t="n">
        <f aca="false">$E$99*Gearing*X372</f>
        <v>0</v>
      </c>
      <c r="Y396" s="8" t="n">
        <f aca="false">$E$99*Gearing*Y372</f>
        <v>0</v>
      </c>
      <c r="Z396" s="8" t="n">
        <f aca="false">$E$99*Gearing*Z372</f>
        <v>0</v>
      </c>
      <c r="AA396" s="8" t="n">
        <f aca="false">$E$99*Gearing*AA372</f>
        <v>0</v>
      </c>
      <c r="AB396" s="8" t="n">
        <f aca="false">$E$99*Gearing*AB372</f>
        <v>0</v>
      </c>
      <c r="AC396" s="8" t="n">
        <f aca="false">$E$99*Gearing*AC372</f>
        <v>0</v>
      </c>
      <c r="AD396" s="8" t="n">
        <f aca="false">$E$99*Gearing*AD372</f>
        <v>0</v>
      </c>
      <c r="AE396" s="8" t="n">
        <f aca="false">$E$99*Gearing*AE372</f>
        <v>0</v>
      </c>
      <c r="AF396" s="8" t="n">
        <f aca="false">$E$99*Gearing*AF372</f>
        <v>0</v>
      </c>
      <c r="AG396" s="8" t="n">
        <f aca="false">$E$99*Gearing*AG372</f>
        <v>0</v>
      </c>
      <c r="AH396" s="8" t="n">
        <f aca="false">$E$99*Gearing*AH372</f>
        <v>0</v>
      </c>
      <c r="AI396" s="8" t="n">
        <f aca="false">$E$99*Gearing*AI372</f>
        <v>0</v>
      </c>
      <c r="AJ396" s="8" t="n">
        <f aca="false">$E$99*Gearing*AJ372</f>
        <v>0</v>
      </c>
      <c r="AK396" s="8" t="n">
        <f aca="false">$E$99*Gearing*AK372</f>
        <v>0</v>
      </c>
      <c r="AL396" s="8" t="n">
        <f aca="false">$E$99*Gearing*AL372</f>
        <v>0</v>
      </c>
      <c r="AM396" s="8" t="n">
        <f aca="false">$E$99*Gearing*AM372</f>
        <v>0</v>
      </c>
      <c r="AN396" s="8" t="n">
        <f aca="false">$E$99*Gearing*AN372</f>
        <v>0</v>
      </c>
      <c r="AO396" s="8" t="n">
        <f aca="false">$E$99*Gearing*AO372</f>
        <v>0</v>
      </c>
      <c r="AP396" s="8" t="n">
        <f aca="false">$E$99*Gearing*AP372</f>
        <v>0</v>
      </c>
      <c r="AQ396" s="8" t="n">
        <f aca="false">$E$99*Gearing*AQ372</f>
        <v>0</v>
      </c>
      <c r="AR396" s="8" t="n">
        <f aca="false">$E$99*Gearing*AR372</f>
        <v>0</v>
      </c>
      <c r="AS396" s="8" t="n">
        <f aca="false">$E$99*Gearing*AS372</f>
        <v>0</v>
      </c>
    </row>
    <row r="397" customFormat="false" ht="14.25" hidden="false" customHeight="false" outlineLevel="0" collapsed="false">
      <c r="C397" s="6" t="s">
        <v>321</v>
      </c>
      <c r="D397" s="2" t="s">
        <v>85</v>
      </c>
      <c r="H397" s="8" t="n">
        <f aca="false">SUM(J397:AS397)</f>
        <v>-62509.5163604402</v>
      </c>
      <c r="J397" s="8" t="n">
        <f aca="false">PMT(Debt_Rate,Debt_Tenor,$E$99*Gearing)*(J367&gt;=1)*(J367&lt;=Debt_Tenor)</f>
        <v>-0</v>
      </c>
      <c r="K397" s="8" t="n">
        <f aca="false">PMT(Debt_Rate,Debt_Tenor,$E$99*Gearing)*(K367&gt;=1)*(K367&lt;=Debt_Tenor)</f>
        <v>-0</v>
      </c>
      <c r="L397" s="8" t="n">
        <f aca="false">PMT(Debt_Rate,Debt_Tenor,$E$99*Gearing)*(L367&gt;=1)*(L367&lt;=Debt_Tenor)</f>
        <v>-0</v>
      </c>
      <c r="M397" s="8" t="n">
        <f aca="false">PMT(Debt_Rate,Debt_Tenor,$E$99*Gearing)*(M367&gt;=1)*(M367&lt;=Debt_Tenor)</f>
        <v>-0</v>
      </c>
      <c r="N397" s="8" t="n">
        <f aca="false">PMT(Debt_Rate,Debt_Tenor,$E$99*Gearing)*(N367&gt;=1)*(N367&lt;=Debt_Tenor)</f>
        <v>-0</v>
      </c>
      <c r="O397" s="8" t="n">
        <f aca="false">PMT(Debt_Rate,Debt_Tenor,$E$99*Gearing)*(O367&gt;=1)*(O367&lt;=Debt_Tenor)</f>
        <v>-0</v>
      </c>
      <c r="P397" s="8" t="n">
        <f aca="false">PMT(Debt_Rate,Debt_Tenor,$E$99*Gearing)*(P367&gt;=1)*(P367&lt;=Debt_Tenor)</f>
        <v>-4167.30109069602</v>
      </c>
      <c r="Q397" s="8" t="n">
        <f aca="false">PMT(Debt_Rate,Debt_Tenor,$E$99*Gearing)*(Q367&gt;=1)*(Q367&lt;=Debt_Tenor)</f>
        <v>-4167.30109069602</v>
      </c>
      <c r="R397" s="8" t="n">
        <f aca="false">PMT(Debt_Rate,Debt_Tenor,$E$99*Gearing)*(R367&gt;=1)*(R367&lt;=Debt_Tenor)</f>
        <v>-4167.30109069602</v>
      </c>
      <c r="S397" s="8" t="n">
        <f aca="false">PMT(Debt_Rate,Debt_Tenor,$E$99*Gearing)*(S367&gt;=1)*(S367&lt;=Debt_Tenor)</f>
        <v>-4167.30109069602</v>
      </c>
      <c r="T397" s="8" t="n">
        <f aca="false">PMT(Debt_Rate,Debt_Tenor,$E$99*Gearing)*(T367&gt;=1)*(T367&lt;=Debt_Tenor)</f>
        <v>-4167.30109069602</v>
      </c>
      <c r="U397" s="8" t="n">
        <f aca="false">PMT(Debt_Rate,Debt_Tenor,$E$99*Gearing)*(U367&gt;=1)*(U367&lt;=Debt_Tenor)</f>
        <v>-4167.30109069602</v>
      </c>
      <c r="V397" s="8" t="n">
        <f aca="false">PMT(Debt_Rate,Debt_Tenor,$E$99*Gearing)*(V367&gt;=1)*(V367&lt;=Debt_Tenor)</f>
        <v>-4167.30109069602</v>
      </c>
      <c r="W397" s="8" t="n">
        <f aca="false">PMT(Debt_Rate,Debt_Tenor,$E$99*Gearing)*(W367&gt;=1)*(W367&lt;=Debt_Tenor)</f>
        <v>-4167.30109069602</v>
      </c>
      <c r="X397" s="8" t="n">
        <f aca="false">PMT(Debt_Rate,Debt_Tenor,$E$99*Gearing)*(X367&gt;=1)*(X367&lt;=Debt_Tenor)</f>
        <v>-4167.30109069602</v>
      </c>
      <c r="Y397" s="8" t="n">
        <f aca="false">PMT(Debt_Rate,Debt_Tenor,$E$99*Gearing)*(Y367&gt;=1)*(Y367&lt;=Debt_Tenor)</f>
        <v>-4167.30109069602</v>
      </c>
      <c r="Z397" s="8" t="n">
        <f aca="false">PMT(Debt_Rate,Debt_Tenor,$E$99*Gearing)*(Z367&gt;=1)*(Z367&lt;=Debt_Tenor)</f>
        <v>-4167.30109069602</v>
      </c>
      <c r="AA397" s="8" t="n">
        <f aca="false">PMT(Debt_Rate,Debt_Tenor,$E$99*Gearing)*(AA367&gt;=1)*(AA367&lt;=Debt_Tenor)</f>
        <v>-4167.30109069602</v>
      </c>
      <c r="AB397" s="8" t="n">
        <f aca="false">PMT(Debt_Rate,Debt_Tenor,$E$99*Gearing)*(AB367&gt;=1)*(AB367&lt;=Debt_Tenor)</f>
        <v>-4167.30109069602</v>
      </c>
      <c r="AC397" s="8" t="n">
        <f aca="false">PMT(Debt_Rate,Debt_Tenor,$E$99*Gearing)*(AC367&gt;=1)*(AC367&lt;=Debt_Tenor)</f>
        <v>-4167.30109069602</v>
      </c>
      <c r="AD397" s="8" t="n">
        <f aca="false">PMT(Debt_Rate,Debt_Tenor,$E$99*Gearing)*(AD367&gt;=1)*(AD367&lt;=Debt_Tenor)</f>
        <v>-4167.30109069602</v>
      </c>
      <c r="AE397" s="8" t="n">
        <f aca="false">PMT(Debt_Rate,Debt_Tenor,$E$99*Gearing)*(AE367&gt;=1)*(AE367&lt;=Debt_Tenor)</f>
        <v>-0</v>
      </c>
      <c r="AF397" s="8" t="n">
        <f aca="false">PMT(Debt_Rate,Debt_Tenor,$E$99*Gearing)*(AF367&gt;=1)*(AF367&lt;=Debt_Tenor)</f>
        <v>-0</v>
      </c>
      <c r="AG397" s="8" t="n">
        <f aca="false">PMT(Debt_Rate,Debt_Tenor,$E$99*Gearing)*(AG367&gt;=1)*(AG367&lt;=Debt_Tenor)</f>
        <v>-0</v>
      </c>
      <c r="AH397" s="8" t="n">
        <f aca="false">PMT(Debt_Rate,Debt_Tenor,$E$99*Gearing)*(AH367&gt;=1)*(AH367&lt;=Debt_Tenor)</f>
        <v>-0</v>
      </c>
      <c r="AI397" s="8" t="n">
        <f aca="false">PMT(Debt_Rate,Debt_Tenor,$E$99*Gearing)*(AI367&gt;=1)*(AI367&lt;=Debt_Tenor)</f>
        <v>-0</v>
      </c>
      <c r="AJ397" s="8" t="n">
        <f aca="false">PMT(Debt_Rate,Debt_Tenor,$E$99*Gearing)*(AJ367&gt;=1)*(AJ367&lt;=Debt_Tenor)</f>
        <v>-0</v>
      </c>
      <c r="AK397" s="8" t="n">
        <f aca="false">PMT(Debt_Rate,Debt_Tenor,$E$99*Gearing)*(AK367&gt;=1)*(AK367&lt;=Debt_Tenor)</f>
        <v>-0</v>
      </c>
      <c r="AL397" s="8" t="n">
        <f aca="false">PMT(Debt_Rate,Debt_Tenor,$E$99*Gearing)*(AL367&gt;=1)*(AL367&lt;=Debt_Tenor)</f>
        <v>-0</v>
      </c>
      <c r="AM397" s="8" t="n">
        <f aca="false">PMT(Debt_Rate,Debt_Tenor,$E$99*Gearing)*(AM367&gt;=1)*(AM367&lt;=Debt_Tenor)</f>
        <v>-0</v>
      </c>
      <c r="AN397" s="8" t="n">
        <f aca="false">PMT(Debt_Rate,Debt_Tenor,$E$99*Gearing)*(AN367&gt;=1)*(AN367&lt;=Debt_Tenor)</f>
        <v>-0</v>
      </c>
      <c r="AO397" s="8" t="n">
        <f aca="false">PMT(Debt_Rate,Debt_Tenor,$E$99*Gearing)*(AO367&gt;=1)*(AO367&lt;=Debt_Tenor)</f>
        <v>-0</v>
      </c>
      <c r="AP397" s="8" t="n">
        <f aca="false">PMT(Debt_Rate,Debt_Tenor,$E$99*Gearing)*(AP367&gt;=1)*(AP367&lt;=Debt_Tenor)</f>
        <v>-0</v>
      </c>
      <c r="AQ397" s="8" t="n">
        <f aca="false">PMT(Debt_Rate,Debt_Tenor,$E$99*Gearing)*(AQ367&gt;=1)*(AQ367&lt;=Debt_Tenor)</f>
        <v>-0</v>
      </c>
      <c r="AR397" s="8" t="n">
        <f aca="false">PMT(Debt_Rate,Debt_Tenor,$E$99*Gearing)*(AR367&gt;=1)*(AR367&lt;=Debt_Tenor)</f>
        <v>-0</v>
      </c>
      <c r="AS397" s="8" t="n">
        <f aca="false">PMT(Debt_Rate,Debt_Tenor,$E$99*Gearing)*(AS367&gt;=1)*(AS367&lt;=Debt_Tenor)</f>
        <v>-0</v>
      </c>
    </row>
    <row r="398" customFormat="false" ht="14.25" hidden="false" customHeight="false" outlineLevel="0" collapsed="false">
      <c r="C398" s="6" t="s">
        <v>322</v>
      </c>
      <c r="D398" s="2" t="s">
        <v>85</v>
      </c>
      <c r="H398" s="8" t="n">
        <f aca="false">SUM(J398:AS398)</f>
        <v>-19254.3560968785</v>
      </c>
      <c r="J398" s="8" t="n">
        <f aca="false">-I400*Debt_Rate*(J367&gt;=1)</f>
        <v>-0</v>
      </c>
      <c r="K398" s="8" t="n">
        <f aca="false">-J400*Debt_Rate*(K367&gt;=1)</f>
        <v>-0</v>
      </c>
      <c r="L398" s="8" t="n">
        <f aca="false">-K400*Debt_Rate*(L367&gt;=1)</f>
        <v>-0</v>
      </c>
      <c r="M398" s="8" t="n">
        <f aca="false">-L400*Debt_Rate*(M367&gt;=1)</f>
        <v>-0</v>
      </c>
      <c r="N398" s="8" t="n">
        <f aca="false">-M400*Debt_Rate*(N367&gt;=1)</f>
        <v>-0</v>
      </c>
      <c r="O398" s="8" t="n">
        <f aca="false">-N400*Debt_Rate*(O367&gt;=1)</f>
        <v>-0</v>
      </c>
      <c r="P398" s="8" t="n">
        <f aca="false">-O400*Debt_Rate*(P367&gt;=1)</f>
        <v>-2162.75801317808</v>
      </c>
      <c r="Q398" s="8" t="n">
        <f aca="false">-P400*Debt_Rate*(Q367&gt;=1)</f>
        <v>-2062.53085930219</v>
      </c>
      <c r="R398" s="8" t="n">
        <f aca="false">-Q400*Debt_Rate*(R367&gt;=1)</f>
        <v>-1957.29234773249</v>
      </c>
      <c r="S398" s="8" t="n">
        <f aca="false">-R400*Debt_Rate*(S367&gt;=1)</f>
        <v>-1846.79191058432</v>
      </c>
      <c r="T398" s="8" t="n">
        <f aca="false">-S400*Debt_Rate*(T367&gt;=1)</f>
        <v>-1730.76645157873</v>
      </c>
      <c r="U398" s="8" t="n">
        <f aca="false">-T400*Debt_Rate*(U367&gt;=1)</f>
        <v>-1608.93971962287</v>
      </c>
      <c r="V398" s="8" t="n">
        <f aca="false">-U400*Debt_Rate*(V367&gt;=1)</f>
        <v>-1481.02165106921</v>
      </c>
      <c r="W398" s="8" t="n">
        <f aca="false">-V400*Debt_Rate*(W367&gt;=1)</f>
        <v>-1346.70767908787</v>
      </c>
      <c r="X398" s="8" t="n">
        <f aca="false">-W400*Debt_Rate*(X367&gt;=1)</f>
        <v>-1205.67800850746</v>
      </c>
      <c r="Y398" s="8" t="n">
        <f aca="false">-X400*Debt_Rate*(Y367&gt;=1)</f>
        <v>-1057.59685439804</v>
      </c>
      <c r="Z398" s="8" t="n">
        <f aca="false">-Y400*Debt_Rate*(Z367&gt;=1)</f>
        <v>-902.111642583137</v>
      </c>
      <c r="AA398" s="8" t="n">
        <f aca="false">-Z400*Debt_Rate*(AA367&gt;=1)</f>
        <v>-738.852170177494</v>
      </c>
      <c r="AB398" s="8" t="n">
        <f aca="false">-AA400*Debt_Rate*(AB367&gt;=1)</f>
        <v>-567.429724151567</v>
      </c>
      <c r="AC398" s="8" t="n">
        <f aca="false">-AB400*Debt_Rate*(AC367&gt;=1)</f>
        <v>-387.436155824345</v>
      </c>
      <c r="AD398" s="8" t="n">
        <f aca="false">-AC400*Debt_Rate*(AD367&gt;=1)</f>
        <v>-198.442909080761</v>
      </c>
      <c r="AE398" s="8" t="n">
        <f aca="false">-AD400*Debt_Rate*(AE367&gt;=1)</f>
        <v>1.36424205265939E-012</v>
      </c>
      <c r="AF398" s="8" t="n">
        <f aca="false">-AE400*Debt_Rate*(AF367&gt;=1)</f>
        <v>1.43245415529236E-012</v>
      </c>
      <c r="AG398" s="8" t="n">
        <f aca="false">-AF400*Debt_Rate*(AG367&gt;=1)</f>
        <v>1.50407686305698E-012</v>
      </c>
      <c r="AH398" s="8" t="n">
        <f aca="false">-AG400*Debt_Rate*(AH367&gt;=1)</f>
        <v>1.57928070620983E-012</v>
      </c>
      <c r="AI398" s="8" t="n">
        <f aca="false">-AH400*Debt_Rate*(AI367&gt;=1)</f>
        <v>1.65824474152032E-012</v>
      </c>
      <c r="AJ398" s="8" t="n">
        <f aca="false">-AI400*Debt_Rate*(AJ367&gt;=1)</f>
        <v>1.74115697859634E-012</v>
      </c>
      <c r="AK398" s="8" t="n">
        <f aca="false">-AJ400*Debt_Rate*(AK367&gt;=1)</f>
        <v>1.82821482752615E-012</v>
      </c>
      <c r="AL398" s="8" t="n">
        <f aca="false">-AK400*Debt_Rate*(AL367&gt;=1)</f>
        <v>1.91962556890246E-012</v>
      </c>
      <c r="AM398" s="8" t="n">
        <f aca="false">-AL400*Debt_Rate*(AM367&gt;=1)</f>
        <v>2.01560684734758E-012</v>
      </c>
      <c r="AN398" s="8" t="n">
        <f aca="false">-AM400*Debt_Rate*(AN367&gt;=1)</f>
        <v>2.11638718971496E-012</v>
      </c>
      <c r="AO398" s="8" t="n">
        <f aca="false">-AN400*Debt_Rate*(AO367&gt;=1)</f>
        <v>2.22220654920071E-012</v>
      </c>
      <c r="AP398" s="8" t="n">
        <f aca="false">-AO400*Debt_Rate*(AP367&gt;=1)</f>
        <v>2.33331687666075E-012</v>
      </c>
      <c r="AQ398" s="8" t="n">
        <f aca="false">-AP400*Debt_Rate*(AQ367&gt;=1)</f>
        <v>2.44998272049379E-012</v>
      </c>
      <c r="AR398" s="8" t="n">
        <f aca="false">-AQ400*Debt_Rate*(AR367&gt;=1)</f>
        <v>2.57248185651847E-012</v>
      </c>
      <c r="AS398" s="8" t="n">
        <f aca="false">-AR400*Debt_Rate*(AS367&gt;=1)</f>
        <v>2.7011059493444E-012</v>
      </c>
    </row>
    <row r="399" customFormat="false" ht="14.25" hidden="false" customHeight="false" outlineLevel="0" collapsed="false">
      <c r="C399" s="6" t="s">
        <v>323</v>
      </c>
      <c r="D399" s="2" t="s">
        <v>85</v>
      </c>
      <c r="H399" s="8" t="n">
        <f aca="false">SUM(J399:AS399)</f>
        <v>-43255.1602635617</v>
      </c>
      <c r="J399" s="8" t="n">
        <f aca="false">J397-J398</f>
        <v>0</v>
      </c>
      <c r="K399" s="8" t="n">
        <f aca="false">K397-K398</f>
        <v>0</v>
      </c>
      <c r="L399" s="8" t="n">
        <f aca="false">L397-L398</f>
        <v>0</v>
      </c>
      <c r="M399" s="8" t="n">
        <f aca="false">M397-M398</f>
        <v>0</v>
      </c>
      <c r="N399" s="8" t="n">
        <f aca="false">N397-N398</f>
        <v>0</v>
      </c>
      <c r="O399" s="8" t="n">
        <f aca="false">O397-O398</f>
        <v>0</v>
      </c>
      <c r="P399" s="8" t="n">
        <f aca="false">P397-P398</f>
        <v>-2004.54307751793</v>
      </c>
      <c r="Q399" s="8" t="n">
        <f aca="false">Q397-Q398</f>
        <v>-2104.77023139383</v>
      </c>
      <c r="R399" s="8" t="n">
        <f aca="false">R397-R398</f>
        <v>-2210.00874296352</v>
      </c>
      <c r="S399" s="8" t="n">
        <f aca="false">S397-S398</f>
        <v>-2320.5091801117</v>
      </c>
      <c r="T399" s="8" t="n">
        <f aca="false">T397-T398</f>
        <v>-2436.53463911728</v>
      </c>
      <c r="U399" s="8" t="n">
        <f aca="false">U397-U398</f>
        <v>-2558.36137107315</v>
      </c>
      <c r="V399" s="8" t="n">
        <f aca="false">V397-V398</f>
        <v>-2686.2794396268</v>
      </c>
      <c r="W399" s="8" t="n">
        <f aca="false">W397-W398</f>
        <v>-2820.59341160814</v>
      </c>
      <c r="X399" s="8" t="n">
        <f aca="false">X397-X398</f>
        <v>-2961.62308218855</v>
      </c>
      <c r="Y399" s="8" t="n">
        <f aca="false">Y397-Y398</f>
        <v>-3109.70423629798</v>
      </c>
      <c r="Z399" s="8" t="n">
        <f aca="false">Z397-Z398</f>
        <v>-3265.18944811288</v>
      </c>
      <c r="AA399" s="8" t="n">
        <f aca="false">AA397-AA398</f>
        <v>-3428.44892051852</v>
      </c>
      <c r="AB399" s="8" t="n">
        <f aca="false">AB397-AB398</f>
        <v>-3599.87136654445</v>
      </c>
      <c r="AC399" s="8" t="n">
        <f aca="false">AC397-AC398</f>
        <v>-3779.86493487167</v>
      </c>
      <c r="AD399" s="8" t="n">
        <f aca="false">AD397-AD398</f>
        <v>-3968.85818161525</v>
      </c>
      <c r="AE399" s="8" t="n">
        <f aca="false">AE397-AE398</f>
        <v>-1.36424205265939E-012</v>
      </c>
      <c r="AF399" s="8" t="n">
        <f aca="false">AF397-AF398</f>
        <v>-1.43245415529236E-012</v>
      </c>
      <c r="AG399" s="8" t="n">
        <f aca="false">AG397-AG398</f>
        <v>-1.50407686305698E-012</v>
      </c>
      <c r="AH399" s="8" t="n">
        <f aca="false">AH397-AH398</f>
        <v>-1.57928070620983E-012</v>
      </c>
      <c r="AI399" s="8" t="n">
        <f aca="false">AI397-AI398</f>
        <v>-1.65824474152032E-012</v>
      </c>
      <c r="AJ399" s="8" t="n">
        <f aca="false">AJ397-AJ398</f>
        <v>-1.74115697859634E-012</v>
      </c>
      <c r="AK399" s="8" t="n">
        <f aca="false">AK397-AK398</f>
        <v>-1.82821482752615E-012</v>
      </c>
      <c r="AL399" s="8" t="n">
        <f aca="false">AL397-AL398</f>
        <v>-1.91962556890246E-012</v>
      </c>
      <c r="AM399" s="8" t="n">
        <f aca="false">AM397-AM398</f>
        <v>-2.01560684734758E-012</v>
      </c>
      <c r="AN399" s="8" t="n">
        <f aca="false">AN397-AN398</f>
        <v>-2.11638718971496E-012</v>
      </c>
      <c r="AO399" s="8" t="n">
        <f aca="false">AO397-AO398</f>
        <v>-2.22220654920071E-012</v>
      </c>
      <c r="AP399" s="8" t="n">
        <f aca="false">AP397-AP398</f>
        <v>-2.33331687666075E-012</v>
      </c>
      <c r="AQ399" s="8" t="n">
        <f aca="false">AQ397-AQ398</f>
        <v>-2.44998272049379E-012</v>
      </c>
      <c r="AR399" s="8" t="n">
        <f aca="false">AR397-AR398</f>
        <v>-2.57248185651847E-012</v>
      </c>
      <c r="AS399" s="8" t="n">
        <f aca="false">AS397-AS398</f>
        <v>-2.7011059493444E-012</v>
      </c>
    </row>
    <row r="400" customFormat="false" ht="14.25" hidden="false" customHeight="false" outlineLevel="0" collapsed="false">
      <c r="C400" s="6" t="s">
        <v>324</v>
      </c>
      <c r="D400" s="2" t="s">
        <v>85</v>
      </c>
      <c r="H400" s="8"/>
      <c r="J400" s="8" t="n">
        <f aca="false">I400+J396+J399</f>
        <v>0</v>
      </c>
      <c r="K400" s="8" t="n">
        <f aca="false">J400+K396+K399</f>
        <v>0</v>
      </c>
      <c r="L400" s="8" t="n">
        <f aca="false">K400+L396+L399</f>
        <v>0</v>
      </c>
      <c r="M400" s="8" t="n">
        <f aca="false">L400+M396+M399</f>
        <v>0</v>
      </c>
      <c r="N400" s="8" t="n">
        <f aca="false">M400+N396+N399</f>
        <v>0</v>
      </c>
      <c r="O400" s="8" t="n">
        <f aca="false">N400+O396+O399</f>
        <v>43255.1602635616</v>
      </c>
      <c r="P400" s="8" t="n">
        <f aca="false">O400+P396+P399</f>
        <v>41250.6171860437</v>
      </c>
      <c r="Q400" s="8" t="n">
        <f aca="false">P400+Q396+Q399</f>
        <v>39145.8469546499</v>
      </c>
      <c r="R400" s="8" t="n">
        <f aca="false">Q400+R396+R399</f>
        <v>36935.8382116864</v>
      </c>
      <c r="S400" s="8" t="n">
        <f aca="false">R400+S396+S399</f>
        <v>34615.3290315747</v>
      </c>
      <c r="T400" s="8" t="n">
        <f aca="false">S400+T396+T399</f>
        <v>32178.7943924574</v>
      </c>
      <c r="U400" s="8" t="n">
        <f aca="false">T400+U396+U399</f>
        <v>29620.4330213842</v>
      </c>
      <c r="V400" s="8" t="n">
        <f aca="false">U400+V396+V399</f>
        <v>26934.1535817574</v>
      </c>
      <c r="W400" s="8" t="n">
        <f aca="false">V400+W396+W399</f>
        <v>24113.5601701493</v>
      </c>
      <c r="X400" s="8" t="n">
        <f aca="false">W400+X396+X399</f>
        <v>21151.9370879607</v>
      </c>
      <c r="Y400" s="8" t="n">
        <f aca="false">X400+Y396+Y399</f>
        <v>18042.2328516627</v>
      </c>
      <c r="Z400" s="8" t="n">
        <f aca="false">Y400+Z396+Z399</f>
        <v>14777.0434035499</v>
      </c>
      <c r="AA400" s="8" t="n">
        <f aca="false">Z400+AA396+AA399</f>
        <v>11348.5944830313</v>
      </c>
      <c r="AB400" s="8" t="n">
        <f aca="false">AA400+AB396+AB399</f>
        <v>7748.7231164869</v>
      </c>
      <c r="AC400" s="8" t="n">
        <f aca="false">AB400+AC396+AC399</f>
        <v>3968.85818161523</v>
      </c>
      <c r="AD400" s="8" t="n">
        <f aca="false">AC400+AD396+AD399</f>
        <v>-2.72848410531878E-011</v>
      </c>
      <c r="AE400" s="8" t="n">
        <f aca="false">AD400+AE396+AE399</f>
        <v>-2.86490831058472E-011</v>
      </c>
      <c r="AF400" s="8" t="n">
        <f aca="false">AE400+AF396+AF399</f>
        <v>-3.00815372611396E-011</v>
      </c>
      <c r="AG400" s="8" t="n">
        <f aca="false">AF400+AG396+AG399</f>
        <v>-3.15856141241966E-011</v>
      </c>
      <c r="AH400" s="8" t="n">
        <f aca="false">AG400+AH396+AH399</f>
        <v>-3.31648948304064E-011</v>
      </c>
      <c r="AI400" s="8" t="n">
        <f aca="false">AH400+AI396+AI399</f>
        <v>-3.48231395719267E-011</v>
      </c>
      <c r="AJ400" s="8" t="n">
        <f aca="false">AI400+AJ396+AJ399</f>
        <v>-3.65642965505231E-011</v>
      </c>
      <c r="AK400" s="8" t="n">
        <f aca="false">AJ400+AK396+AK399</f>
        <v>-3.83925113780492E-011</v>
      </c>
      <c r="AL400" s="8" t="n">
        <f aca="false">AK400+AL396+AL399</f>
        <v>-4.03121369469517E-011</v>
      </c>
      <c r="AM400" s="8" t="n">
        <f aca="false">AL400+AM396+AM399</f>
        <v>-4.23277437942993E-011</v>
      </c>
      <c r="AN400" s="8" t="n">
        <f aca="false">AM400+AN396+AN399</f>
        <v>-4.44441309840142E-011</v>
      </c>
      <c r="AO400" s="8" t="n">
        <f aca="false">AN400+AO396+AO399</f>
        <v>-4.6666337533215E-011</v>
      </c>
      <c r="AP400" s="8" t="n">
        <f aca="false">AO400+AP396+AP399</f>
        <v>-4.89996544098757E-011</v>
      </c>
      <c r="AQ400" s="8" t="n">
        <f aca="false">AP400+AQ396+AQ399</f>
        <v>-5.14496371303695E-011</v>
      </c>
      <c r="AR400" s="8" t="n">
        <f aca="false">AQ400+AR396+AR399</f>
        <v>-5.4022118986888E-011</v>
      </c>
      <c r="AS400" s="8" t="n">
        <f aca="false">AR400+AS396+AS399</f>
        <v>-5.67232249362324E-011</v>
      </c>
    </row>
    <row r="401" customFormat="false" ht="14.25" hidden="false" customHeight="false" outlineLevel="0" collapsed="false">
      <c r="C401" s="6" t="s">
        <v>325</v>
      </c>
      <c r="D401" s="2" t="s">
        <v>85</v>
      </c>
      <c r="H401" s="8" t="n">
        <f aca="false">SUM(J401:AS401)</f>
        <v>-28495.6457386753</v>
      </c>
      <c r="J401" s="8" t="n">
        <f aca="false">-MAX(0,J391+J393+J398)*CIT_Rate*(J371&gt;0)</f>
        <v>-0</v>
      </c>
      <c r="K401" s="8" t="n">
        <f aca="false">-MAX(0,K391+K393+K398)*CIT_Rate*(K371&gt;0)</f>
        <v>-0</v>
      </c>
      <c r="L401" s="8" t="n">
        <f aca="false">-MAX(0,L391+L393+L398)*CIT_Rate*(L371&gt;0)</f>
        <v>-0</v>
      </c>
      <c r="M401" s="8" t="n">
        <f aca="false">-MAX(0,M391+M393+M398)*CIT_Rate*(M371&gt;0)</f>
        <v>-0</v>
      </c>
      <c r="N401" s="8" t="n">
        <f aca="false">-MAX(0,N391+N393+N398)*CIT_Rate*(N371&gt;0)</f>
        <v>-0</v>
      </c>
      <c r="O401" s="8" t="n">
        <f aca="false">-MAX(0,O391+O393+O398)*CIT_Rate*(O371&gt;0)</f>
        <v>-139.293222505479</v>
      </c>
      <c r="P401" s="8" t="n">
        <f aca="false">-MAX(0,P391+P393+P398)*CIT_Rate*(P371&gt;0)</f>
        <v>-503.683650094767</v>
      </c>
      <c r="Q401" s="8" t="n">
        <f aca="false">-MAX(0,Q391+Q393+Q398)*CIT_Rate*(Q371&gt;0)</f>
        <v>-522.686370476765</v>
      </c>
      <c r="R401" s="8" t="n">
        <f aca="false">-MAX(0,R391+R393+R398)*CIT_Rate*(R371&gt;0)</f>
        <v>-542.333875572711</v>
      </c>
      <c r="S401" s="8" t="n">
        <f aca="false">-MAX(0,S391+S393+S398)*CIT_Rate*(S371&gt;0)</f>
        <v>-562.659744195745</v>
      </c>
      <c r="T401" s="8" t="n">
        <f aca="false">-MAX(0,T391+T393+T398)*CIT_Rate*(T371&gt;0)</f>
        <v>-583.699327231429</v>
      </c>
      <c r="U401" s="8" t="n">
        <f aca="false">-MAX(0,U391+U393+U398)*CIT_Rate*(U371&gt;0)</f>
        <v>-605.489838921742</v>
      </c>
      <c r="V401" s="8" t="n">
        <f aca="false">-MAX(0,V391+V393+V398)*CIT_Rate*(V371&gt;0)</f>
        <v>-628.070452781338</v>
      </c>
      <c r="W401" s="8" t="n">
        <f aca="false">-MAX(0,W391+W393+W398)*CIT_Rate*(W371&gt;0)</f>
        <v>-651.482402379378</v>
      </c>
      <c r="X401" s="8" t="n">
        <f aca="false">-MAX(0,X391+X393+X398)*CIT_Rate*(X371&gt;0)</f>
        <v>-675.769087231907</v>
      </c>
      <c r="Y401" s="8" t="n">
        <f aca="false">-MAX(0,Y391+Y393+Y398)*CIT_Rate*(Y371&gt;0)</f>
        <v>-700.976184062085</v>
      </c>
      <c r="Z401" s="8" t="n">
        <f aca="false">-MAX(0,Z391+Z393+Z398)*CIT_Rate*(Z371&gt;0)</f>
        <v>-727.151763698461</v>
      </c>
      <c r="AA401" s="8" t="n">
        <f aca="false">-MAX(0,AA391+AA393+AA398)*CIT_Rate*(AA371&gt;0)</f>
        <v>-754.346413895042</v>
      </c>
      <c r="AB401" s="8" t="n">
        <f aca="false">-MAX(0,AB391+AB393+AB398)*CIT_Rate*(AB371&gt;0)</f>
        <v>-782.613368371142</v>
      </c>
      <c r="AC401" s="8" t="n">
        <f aca="false">-MAX(0,AC391+AC393+AC398)*CIT_Rate*(AC371&gt;0)</f>
        <v>-812.008642383946</v>
      </c>
      <c r="AD401" s="8" t="n">
        <f aca="false">-MAX(0,AD391+AD393+AD398)*CIT_Rate*(AD371&gt;0)</f>
        <v>-842.591175162404</v>
      </c>
      <c r="AE401" s="8" t="n">
        <f aca="false">-MAX(0,AE391+AE393+AE398)*CIT_Rate*(AE371&gt;0)</f>
        <v>-874.422979547563</v>
      </c>
      <c r="AF401" s="8" t="n">
        <f aca="false">-MAX(0,AF391+AF393+AF398)*CIT_Rate*(AF371&gt;0)</f>
        <v>-876.314541021526</v>
      </c>
      <c r="AG401" s="8" t="n">
        <f aca="false">-MAX(0,AG391+AG393+AG398)*CIT_Rate*(AG371&gt;0)</f>
        <v>-878.026519497714</v>
      </c>
      <c r="AH401" s="8" t="n">
        <f aca="false">-MAX(0,AH391+AH393+AH398)*CIT_Rate*(AH371&gt;0)</f>
        <v>-879.552987210471</v>
      </c>
      <c r="AI401" s="8" t="n">
        <f aca="false">-MAX(0,AI391+AI393+AI398)*CIT_Rate*(AI371&gt;0)</f>
        <v>-1421.57736460796</v>
      </c>
      <c r="AJ401" s="8" t="n">
        <f aca="false">-MAX(0,AJ391+AJ393+AJ398)*CIT_Rate*(AJ371&gt;0)</f>
        <v>-1422.71440331785</v>
      </c>
      <c r="AK401" s="8" t="n">
        <f aca="false">-MAX(0,AK391+AK393+AK398)*CIT_Rate*(AK371&gt;0)</f>
        <v>-1423.64720196349</v>
      </c>
      <c r="AL401" s="8" t="n">
        <f aca="false">-MAX(0,AL391+AL393+AL398)*CIT_Rate*(AL371&gt;0)</f>
        <v>-1424.36918893773</v>
      </c>
      <c r="AM401" s="8" t="n">
        <f aca="false">-MAX(0,AM391+AM393+AM398)*CIT_Rate*(AM371&gt;0)</f>
        <v>-1424.87362154996</v>
      </c>
      <c r="AN401" s="8" t="n">
        <f aca="false">-MAX(0,AN391+AN393+AN398)*CIT_Rate*(AN371&gt;0)</f>
        <v>-1425.15358177669</v>
      </c>
      <c r="AO401" s="8" t="n">
        <f aca="false">-MAX(0,AO391+AO393+AO398)*CIT_Rate*(AO371&gt;0)</f>
        <v>-1425.20197190776</v>
      </c>
      <c r="AP401" s="8" t="n">
        <f aca="false">-MAX(0,AP391+AP393+AP398)*CIT_Rate*(AP371&gt;0)</f>
        <v>-1425.01151008556</v>
      </c>
      <c r="AQ401" s="8" t="n">
        <f aca="false">-MAX(0,AQ391+AQ393+AQ398)*CIT_Rate*(AQ371&gt;0)</f>
        <v>-1424.57472573466</v>
      </c>
      <c r="AR401" s="8" t="n">
        <f aca="false">-MAX(0,AR391+AR393+AR398)*CIT_Rate*(AR371&gt;0)</f>
        <v>-1423.88395487925</v>
      </c>
      <c r="AS401" s="8" t="n">
        <f aca="false">-MAX(0,AS391+AS393+AS398)*CIT_Rate*(AS371&gt;0)</f>
        <v>-711.46566767273</v>
      </c>
    </row>
    <row r="402" customFormat="false" ht="14.25" hidden="false" customHeight="false" outlineLevel="0" collapsed="false">
      <c r="C402" s="1" t="s">
        <v>163</v>
      </c>
      <c r="D402" s="2" t="s">
        <v>85</v>
      </c>
      <c r="H402" s="32" t="n">
        <f aca="false">SUM(J402:AS402)</f>
        <v>161475.325852493</v>
      </c>
      <c r="J402" s="32" t="n">
        <f aca="false">J392+J396+J397+J401</f>
        <v>0</v>
      </c>
      <c r="K402" s="32" t="n">
        <f aca="false">K392+K396+K397+K401</f>
        <v>0</v>
      </c>
      <c r="L402" s="32" t="n">
        <f aca="false">L392+L396+L397+L401</f>
        <v>0</v>
      </c>
      <c r="M402" s="32" t="n">
        <f aca="false">M392+M396+M397+M401</f>
        <v>-33450.8995260274</v>
      </c>
      <c r="N402" s="32" t="n">
        <f aca="false">N392+N396+N397+N401</f>
        <v>-26389</v>
      </c>
      <c r="O402" s="32" t="n">
        <f aca="false">O392+O396+O397+O401</f>
        <v>33454.5852130562</v>
      </c>
      <c r="P402" s="32" t="n">
        <f aca="false">P392+P396+P397+P401</f>
        <v>4454.26096164922</v>
      </c>
      <c r="Q402" s="32" t="n">
        <f aca="false">Q392+Q396+Q397+Q401</f>
        <v>6404.18164336263</v>
      </c>
      <c r="R402" s="32" t="n">
        <f aca="false">R392+R396+R397+R401</f>
        <v>4467.81324057864</v>
      </c>
      <c r="S402" s="32" t="n">
        <f aca="false">S392+S396+S397+S401</f>
        <v>4472.49272562766</v>
      </c>
      <c r="T402" s="32" t="n">
        <f aca="false">T392+T396+T397+T401</f>
        <v>4475.69157049095</v>
      </c>
      <c r="U402" s="32" t="n">
        <f aca="false">U392+U396+U397+U401</f>
        <v>4477.34440478019</v>
      </c>
      <c r="V402" s="32" t="n">
        <f aca="false">V392+V396+V397+V401</f>
        <v>4477.38314809758</v>
      </c>
      <c r="W402" s="32" t="n">
        <f aca="false">W392+W396+W397+W401</f>
        <v>4475.73689050513</v>
      </c>
      <c r="X402" s="32" t="n">
        <f aca="false">X392+X396+X397+X401</f>
        <v>4472.33176742239</v>
      </c>
      <c r="Y402" s="32" t="n">
        <f aca="false">Y392+Y396+Y397+Y401</f>
        <v>4467.09082868398</v>
      </c>
      <c r="Z402" s="32" t="n">
        <f aca="false">Z392+Z396+Z397+Z401</f>
        <v>4459.93390147521</v>
      </c>
      <c r="AA402" s="32" t="n">
        <f aca="false">AA392+AA396+AA397+AA401</f>
        <v>4450.77744685018</v>
      </c>
      <c r="AB402" s="32" t="n">
        <f aca="false">AB392+AB396+AB397+AB401</f>
        <v>4439.53440952216</v>
      </c>
      <c r="AC402" s="32" t="n">
        <f aca="false">AC392+AC396+AC397+AC401</f>
        <v>4426.11406060083</v>
      </c>
      <c r="AD402" s="32" t="n">
        <f aca="false">AD392+AD396+AD397+AD401</f>
        <v>4410.42183293517</v>
      </c>
      <c r="AE402" s="32" t="n">
        <f aca="false">AE392+AE396+AE397+AE401</f>
        <v>8559.66023939966</v>
      </c>
      <c r="AF402" s="32" t="n">
        <f aca="false">AF392+AF396+AF397+AF401</f>
        <v>8570.37908775212</v>
      </c>
      <c r="AG402" s="32" t="n">
        <f aca="false">AG392+AG396+AG397+AG401</f>
        <v>8580.08029911718</v>
      </c>
      <c r="AH402" s="32" t="n">
        <f aca="false">AH392+AH396+AH397+AH401</f>
        <v>8588.7302828228</v>
      </c>
      <c r="AI402" s="32" t="n">
        <f aca="false">AI392+AI396+AI397+AI401</f>
        <v>8055.60506611177</v>
      </c>
      <c r="AJ402" s="32" t="n">
        <f aca="false">AJ392+AJ396+AJ397+AJ401</f>
        <v>8062.04828546784</v>
      </c>
      <c r="AK402" s="32" t="n">
        <f aca="false">AK392+AK396+AK397+AK401</f>
        <v>8067.33414445979</v>
      </c>
      <c r="AL402" s="32" t="n">
        <f aca="false">AL392+AL396+AL397+AL401</f>
        <v>8071.42540398047</v>
      </c>
      <c r="AM402" s="32" t="n">
        <f aca="false">AM392+AM396+AM397+AM401</f>
        <v>8074.28385544977</v>
      </c>
      <c r="AN402" s="32" t="n">
        <f aca="false">AN392+AN396+AN397+AN401</f>
        <v>8075.87029673459</v>
      </c>
      <c r="AO402" s="32" t="n">
        <f aca="false">AO392+AO396+AO397+AO401</f>
        <v>8076.14450747733</v>
      </c>
      <c r="AP402" s="32" t="n">
        <f aca="false">AP392+AP396+AP397+AP401</f>
        <v>8075.06522381815</v>
      </c>
      <c r="AQ402" s="32" t="n">
        <f aca="false">AQ392+AQ396+AQ397+AQ401</f>
        <v>8072.5901124964</v>
      </c>
      <c r="AR402" s="32" t="n">
        <f aca="false">AR392+AR396+AR397+AR401</f>
        <v>8068.67574431577</v>
      </c>
      <c r="AS402" s="32" t="n">
        <f aca="false">AS392+AS396+AS397+AS401</f>
        <v>4031.6387834788</v>
      </c>
    </row>
    <row r="403" customFormat="false" ht="14.25" hidden="false" customHeight="false" outlineLevel="0" collapsed="false">
      <c r="C403" s="6" t="s">
        <v>326</v>
      </c>
      <c r="D403" s="2" t="s">
        <v>3</v>
      </c>
      <c r="H403" s="47" t="n">
        <f aca="false">MIN(J403:AS403)</f>
        <v>2.18972555710294</v>
      </c>
      <c r="J403" s="47" t="str">
        <f aca="false">IF(J397&lt;0,-J391/J397,"")</f>
        <v/>
      </c>
      <c r="K403" s="47" t="str">
        <f aca="false">IF(K397&lt;0,-K391/K397,"")</f>
        <v/>
      </c>
      <c r="L403" s="47" t="str">
        <f aca="false">IF(L397&lt;0,-L391/L397,"")</f>
        <v/>
      </c>
      <c r="M403" s="47" t="str">
        <f aca="false">IF(M397&lt;0,-M391/M397,"")</f>
        <v/>
      </c>
      <c r="N403" s="47" t="str">
        <f aca="false">IF(N397&lt;0,-N391/N397,"")</f>
        <v/>
      </c>
      <c r="O403" s="47" t="str">
        <f aca="false">IF(O397&lt;0,-O391/O397,"")</f>
        <v/>
      </c>
      <c r="P403" s="47" t="n">
        <f aca="false">IF(P397&lt;0,-P391/P397,"")</f>
        <v>2.18972555710294</v>
      </c>
      <c r="Q403" s="47" t="n">
        <f aca="false">IF(Q397&lt;0,-Q391/Q397,"")</f>
        <v>2.1960744260939</v>
      </c>
      <c r="R403" s="47" t="n">
        <f aca="false">IF(R397&lt;0,-R391/R397,"")</f>
        <v>2.20225225082418</v>
      </c>
      <c r="S403" s="47" t="n">
        <f aca="false">IF(S397&lt;0,-S391/S397,"")</f>
        <v>2.20825262207834</v>
      </c>
      <c r="T403" s="47" t="n">
        <f aca="false">IF(T397&lt;0,-T391/T397,"")</f>
        <v>2.21406895916834</v>
      </c>
      <c r="U403" s="47" t="n">
        <f aca="false">IF(U397&lt;0,-U391/U397,"")</f>
        <v>2.21969450564778</v>
      </c>
      <c r="V403" s="47" t="n">
        <f aca="false">IF(V397&lt;0,-V391/V397,"")</f>
        <v>2.2251223249209</v>
      </c>
      <c r="W403" s="47" t="n">
        <f aca="false">IF(W397&lt;0,-W391/W397,"")</f>
        <v>2.23034529574348</v>
      </c>
      <c r="X403" s="47" t="n">
        <f aca="false">IF(X397&lt;0,-X391/X397,"")</f>
        <v>2.23535610761316</v>
      </c>
      <c r="Y403" s="47" t="n">
        <f aca="false">IF(Y397&lt;0,-Y391/Y397,"")</f>
        <v>2.24014725604645</v>
      </c>
      <c r="Z403" s="47" t="n">
        <f aca="false">IF(Z397&lt;0,-Z391/Z397,"")</f>
        <v>2.24471103773962</v>
      </c>
      <c r="AA403" s="47" t="n">
        <f aca="false">IF(AA397&lt;0,-AA391/AA397,"")</f>
        <v>2.24903954561053</v>
      </c>
      <c r="AB403" s="47" t="n">
        <f aca="false">IF(AB397&lt;0,-AB391/AB397,"")</f>
        <v>2.25312466371877</v>
      </c>
      <c r="AC403" s="47" t="n">
        <f aca="false">IF(AC397&lt;0,-AC391/AC397,"")</f>
        <v>2.25695806206072</v>
      </c>
      <c r="AD403" s="47" t="n">
        <f aca="false">IF(AD397&lt;0,-AD391/AD397,"")</f>
        <v>2.26053119123683</v>
      </c>
      <c r="AE403" s="47" t="str">
        <f aca="false">IF(AE397&lt;0,-AE391/AE397,"")</f>
        <v/>
      </c>
      <c r="AF403" s="47" t="str">
        <f aca="false">IF(AF397&lt;0,-AF391/AF397,"")</f>
        <v/>
      </c>
      <c r="AG403" s="47" t="str">
        <f aca="false">IF(AG397&lt;0,-AG391/AG397,"")</f>
        <v/>
      </c>
      <c r="AH403" s="47" t="str">
        <f aca="false">IF(AH397&lt;0,-AH391/AH397,"")</f>
        <v/>
      </c>
      <c r="AI403" s="47" t="str">
        <f aca="false">IF(AI397&lt;0,-AI391/AI397,"")</f>
        <v/>
      </c>
      <c r="AJ403" s="47" t="str">
        <f aca="false">IF(AJ397&lt;0,-AJ391/AJ397,"")</f>
        <v/>
      </c>
      <c r="AK403" s="47" t="str">
        <f aca="false">IF(AK397&lt;0,-AK391/AK397,"")</f>
        <v/>
      </c>
      <c r="AL403" s="47" t="str">
        <f aca="false">IF(AL397&lt;0,-AL391/AL397,"")</f>
        <v/>
      </c>
      <c r="AM403" s="47" t="str">
        <f aca="false">IF(AM397&lt;0,-AM391/AM397,"")</f>
        <v/>
      </c>
      <c r="AN403" s="47" t="str">
        <f aca="false">IF(AN397&lt;0,-AN391/AN397,"")</f>
        <v/>
      </c>
      <c r="AO403" s="47" t="str">
        <f aca="false">IF(AO397&lt;0,-AO391/AO397,"")</f>
        <v/>
      </c>
      <c r="AP403" s="47" t="str">
        <f aca="false">IF(AP397&lt;0,-AP391/AP397,"")</f>
        <v/>
      </c>
      <c r="AQ403" s="47" t="str">
        <f aca="false">IF(AQ397&lt;0,-AQ391/AQ397,"")</f>
        <v/>
      </c>
      <c r="AR403" s="47" t="str">
        <f aca="false">IF(AR397&lt;0,-AR391/AR397,"")</f>
        <v/>
      </c>
      <c r="AS403" s="47" t="str">
        <f aca="false">IF(AS397&lt;0,-AS391/AS397,"")</f>
        <v/>
      </c>
    </row>
    <row r="404" customFormat="false" ht="14.25" hidden="false" customHeight="false" outlineLevel="0" collapsed="false">
      <c r="C404" s="6" t="s">
        <v>327</v>
      </c>
      <c r="D404" s="2" t="s">
        <v>3</v>
      </c>
      <c r="J404" s="77" t="n">
        <f aca="false">(1+Discount_Rate)^((Inputs!$E$26-J$364)/Days_In_Year)</f>
        <v>1.41371255107938</v>
      </c>
      <c r="K404" s="77" t="n">
        <f aca="false">(1+Discount_Rate)^((Inputs!$E$26-K$364)/Days_In_Year)</f>
        <v>1.30899310285128</v>
      </c>
      <c r="L404" s="77" t="n">
        <f aca="false">(1+Discount_Rate)^((Inputs!$E$26-L$364)/Days_In_Year)</f>
        <v>1.21177511843915</v>
      </c>
      <c r="M404" s="77" t="n">
        <f aca="false">(1+Discount_Rate)^((Inputs!$E$26-M$364)/Days_In_Year)</f>
        <v>1.12201399855477</v>
      </c>
      <c r="N404" s="77" t="n">
        <f aca="false">(1+Discount_Rate)^((Inputs!$E$26-N$364)/Days_In_Year)</f>
        <v>1.03890185051367</v>
      </c>
      <c r="O404" s="77" t="n">
        <f aca="false">(1+Discount_Rate)^((Inputs!$E$26-O$364)/Days_In_Year)</f>
        <v>0.961946157883031</v>
      </c>
      <c r="P404" s="77" t="n">
        <f aca="false">(1+Discount_Rate)^((Inputs!$E$26-P$364)/Days_In_Year)</f>
        <v>0.890503102622714</v>
      </c>
      <c r="Q404" s="77" t="n">
        <f aca="false">(1+Discount_Rate)^((Inputs!$E$26-Q$364)/Days_In_Year)</f>
        <v>0.824539909835846</v>
      </c>
      <c r="R404" s="77" t="n">
        <f aca="false">(1+Discount_Rate)^((Inputs!$E$26-R$364)/Days_In_Year)</f>
        <v>0.763462879477635</v>
      </c>
      <c r="S404" s="77" t="n">
        <f aca="false">(1+Discount_Rate)^((Inputs!$E$26-S$364)/Days_In_Year)</f>
        <v>0.706910073590403</v>
      </c>
      <c r="T404" s="77" t="n">
        <f aca="false">(1+Discount_Rate)^((Inputs!$E$26-T$364)/Days_In_Year)</f>
        <v>0.654408366464987</v>
      </c>
      <c r="U404" s="77" t="n">
        <f aca="false">(1+Discount_Rate)^((Inputs!$E$26-U$364)/Days_In_Year)</f>
        <v>0.605933672652766</v>
      </c>
      <c r="V404" s="77" t="n">
        <f aca="false">(1+Discount_Rate)^((Inputs!$E$26-V$364)/Days_In_Year)</f>
        <v>0.561049696900709</v>
      </c>
      <c r="W404" s="77" t="n">
        <f aca="false">(1+Discount_Rate)^((Inputs!$E$26-W$364)/Days_In_Year)</f>
        <v>0.519490460093249</v>
      </c>
      <c r="X404" s="77" t="n">
        <f aca="false">(1+Discount_Rate)^((Inputs!$E$26-X$364)/Days_In_Year)</f>
        <v>0.480908274028566</v>
      </c>
      <c r="Y404" s="77" t="n">
        <f aca="false">(1+Discount_Rate)^((Inputs!$E$26-Y$364)/Days_In_Year)</f>
        <v>0.445285438915339</v>
      </c>
      <c r="Z404" s="77" t="n">
        <f aca="false">(1+Discount_Rate)^((Inputs!$E$26-Z$364)/Days_In_Year)</f>
        <v>0.412301332329018</v>
      </c>
      <c r="AA404" s="77" t="n">
        <f aca="false">(1+Discount_Rate)^((Inputs!$E$26-AA$364)/Days_In_Year)</f>
        <v>0.381760492897239</v>
      </c>
      <c r="AB404" s="77" t="n">
        <f aca="false">(1+Discount_Rate)^((Inputs!$E$26-AB$364)/Days_In_Year)</f>
        <v>0.353407413292154</v>
      </c>
      <c r="AC404" s="77" t="n">
        <f aca="false">(1+Discount_Rate)^((Inputs!$E$26-AC$364)/Days_In_Year)</f>
        <v>0.327229086381624</v>
      </c>
      <c r="AD404" s="77" t="n">
        <f aca="false">(1+Discount_Rate)^((Inputs!$E$26-AD$364)/Days_In_Year)</f>
        <v>0.3029898947978</v>
      </c>
      <c r="AE404" s="77" t="n">
        <f aca="false">(1+Discount_Rate)^((Inputs!$E$26-AE$364)/Days_In_Year)</f>
        <v>0.280546198886852</v>
      </c>
      <c r="AF404" s="77" t="n">
        <f aca="false">(1+Discount_Rate)^((Inputs!$E$26-AF$364)/Days_In_Year)</f>
        <v>0.259710232730228</v>
      </c>
      <c r="AG404" s="77" t="n">
        <f aca="false">(1+Discount_Rate)^((Inputs!$E$26-AG$364)/Days_In_Year)</f>
        <v>0.240472437713174</v>
      </c>
      <c r="AH404" s="77" t="n">
        <f aca="false">(1+Discount_Rate)^((Inputs!$E$26-AH$364)/Days_In_Year)</f>
        <v>0.222659664549235</v>
      </c>
      <c r="AI404" s="77" t="n">
        <f aca="false">(1+Discount_Rate)^((Inputs!$E$26-AI$364)/Days_In_Year)</f>
        <v>0.206166356064106</v>
      </c>
      <c r="AJ404" s="77" t="n">
        <f aca="false">(1+Discount_Rate)^((Inputs!$E$26-AJ$364)/Days_In_Year)</f>
        <v>0.190854527799705</v>
      </c>
      <c r="AK404" s="77" t="n">
        <f aca="false">(1+Discount_Rate)^((Inputs!$E$26-AK$364)/Days_In_Year)</f>
        <v>0.176717155370097</v>
      </c>
      <c r="AL404" s="77" t="n">
        <f aca="false">(1+Discount_Rate)^((Inputs!$E$26-AL$364)/Days_In_Year)</f>
        <v>0.163626995713053</v>
      </c>
      <c r="AM404" s="77" t="n">
        <f aca="false">(1+Discount_Rate)^((Inputs!$E$26-AM$364)/Days_In_Year)</f>
        <v>0.151506477512086</v>
      </c>
      <c r="AN404" s="77" t="n">
        <f aca="false">(1+Discount_Rate)^((Inputs!$E$26-AN$364)/Days_In_Year)</f>
        <v>0.140254199454224</v>
      </c>
      <c r="AO404" s="77" t="n">
        <f aca="false">(1+Discount_Rate)^((Inputs!$E$26-AO$364)/Days_In_Year)</f>
        <v>0.129864999494652</v>
      </c>
      <c r="AP404" s="77" t="n">
        <f aca="false">(1+Discount_Rate)^((Inputs!$E$26-AP$364)/Days_In_Year)</f>
        <v>0.120245369902455</v>
      </c>
      <c r="AQ404" s="77" t="n">
        <f aca="false">(1+Discount_Rate)^((Inputs!$E$26-AQ$364)/Days_In_Year)</f>
        <v>0.111338305465236</v>
      </c>
      <c r="AR404" s="77" t="n">
        <f aca="false">(1+Discount_Rate)^((Inputs!$E$26-AR$364)/Days_In_Year)</f>
        <v>0.103069288904634</v>
      </c>
      <c r="AS404" s="77" t="n">
        <f aca="false">(1+Discount_Rate)^((Inputs!$E$26-AS$364)/Days_In_Year)</f>
        <v>0.0954345267635496</v>
      </c>
    </row>
    <row r="405" customFormat="false" ht="14.25" hidden="false" customHeight="false" outlineLevel="0" collapsed="false">
      <c r="C405" s="6" t="s">
        <v>328</v>
      </c>
      <c r="D405" s="2" t="s">
        <v>85</v>
      </c>
      <c r="H405" s="8" t="n">
        <f aca="false">SUM(J405:AS405)</f>
        <v>104654.654246613</v>
      </c>
      <c r="J405" s="8" t="n">
        <f aca="false">J391*J404</f>
        <v>0</v>
      </c>
      <c r="K405" s="8" t="n">
        <f aca="false">K391*K404</f>
        <v>0</v>
      </c>
      <c r="L405" s="8" t="n">
        <f aca="false">L391*L404</f>
        <v>0</v>
      </c>
      <c r="M405" s="8" t="n">
        <f aca="false">M391*M404</f>
        <v>0</v>
      </c>
      <c r="N405" s="8" t="n">
        <f aca="false">N391*N404</f>
        <v>0</v>
      </c>
      <c r="O405" s="8" t="n">
        <f aca="false">O391*O404</f>
        <v>4360.71180340094</v>
      </c>
      <c r="P405" s="8" t="n">
        <f aca="false">P391*P404</f>
        <v>8126.0596102174</v>
      </c>
      <c r="Q405" s="8" t="n">
        <f aca="false">Q391*Q404</f>
        <v>7545.94465596927</v>
      </c>
      <c r="R405" s="8" t="n">
        <f aca="false">R391*R404</f>
        <v>7006.64103425655</v>
      </c>
      <c r="S405" s="8" t="n">
        <f aca="false">S391*S404</f>
        <v>6505.30712367905</v>
      </c>
      <c r="T405" s="8" t="n">
        <f aca="false">T391*T404</f>
        <v>6038.02443201647</v>
      </c>
      <c r="U405" s="8" t="n">
        <f aca="false">U391*U404</f>
        <v>5604.96847570687</v>
      </c>
      <c r="V405" s="8" t="n">
        <f aca="false">V391*V404</f>
        <v>5202.47620914274</v>
      </c>
      <c r="W405" s="8" t="n">
        <f aca="false">W391*W404</f>
        <v>4828.41467041233</v>
      </c>
      <c r="X405" s="8" t="n">
        <f aca="false">X391*X404</f>
        <v>4479.85387142077</v>
      </c>
      <c r="Y405" s="8" t="n">
        <f aca="false">Y391*Y404</f>
        <v>4156.90348337746</v>
      </c>
      <c r="Z405" s="8" t="n">
        <f aca="false">Z391*Z404</f>
        <v>3856.82612256599</v>
      </c>
      <c r="AA405" s="8" t="n">
        <f aca="false">AA391*AA404</f>
        <v>3578.02156910459</v>
      </c>
      <c r="AB405" s="8" t="n">
        <f aca="false">AB391*AB404</f>
        <v>3318.30083688709</v>
      </c>
      <c r="AC405" s="8" t="n">
        <f aca="false">AC391*AC404</f>
        <v>3077.72823503815</v>
      </c>
      <c r="AD405" s="8" t="n">
        <f aca="false">AD391*AD404</f>
        <v>2854.2599777557</v>
      </c>
      <c r="AE405" s="8" t="n">
        <f aca="false">AE391*AE404</f>
        <v>2646.69618705788</v>
      </c>
      <c r="AF405" s="8" t="n">
        <f aca="false">AF391*AF404</f>
        <v>2453.40300085996</v>
      </c>
      <c r="AG405" s="8" t="n">
        <f aca="false">AG391*AG404</f>
        <v>2274.41400282392</v>
      </c>
      <c r="AH405" s="8" t="n">
        <f aca="false">AH391*AH404</f>
        <v>2108.20477676274</v>
      </c>
      <c r="AI405" s="8" t="n">
        <f aca="false">AI391*AI404</f>
        <v>1953.87616749626</v>
      </c>
      <c r="AJ405" s="8" t="n">
        <f aca="false">AJ391*AJ404</f>
        <v>1810.20990426045</v>
      </c>
      <c r="AK405" s="8" t="n">
        <f aca="false">AK391*AK404</f>
        <v>1677.21922521057</v>
      </c>
      <c r="AL405" s="8" t="n">
        <f aca="false">AL391*AL404</f>
        <v>1553.76834114745</v>
      </c>
      <c r="AM405" s="8" t="n">
        <f aca="false">AM391*AM404</f>
        <v>1439.18388867282</v>
      </c>
      <c r="AN405" s="8" t="n">
        <f aca="false">AN391*AN404</f>
        <v>1332.55849807606</v>
      </c>
      <c r="AO405" s="8" t="n">
        <f aca="false">AO391*AO404</f>
        <v>1233.89235574385</v>
      </c>
      <c r="AP405" s="8" t="n">
        <f aca="false">AP391*AP404</f>
        <v>1142.34024096996</v>
      </c>
      <c r="AQ405" s="8" t="n">
        <f aca="false">AQ391*AQ404</f>
        <v>1057.39823981267</v>
      </c>
      <c r="AR405" s="8" t="n">
        <f aca="false">AR391*AR404</f>
        <v>978.391378080813</v>
      </c>
      <c r="AS405" s="8" t="n">
        <f aca="false">AS391*AS404</f>
        <v>452.655928685732</v>
      </c>
    </row>
    <row r="406" customFormat="false" ht="14.25" hidden="false" customHeight="false" outlineLevel="0" collapsed="false">
      <c r="C406" s="1" t="s">
        <v>329</v>
      </c>
      <c r="D406" s="2" t="s">
        <v>85</v>
      </c>
      <c r="H406" s="32" t="n">
        <f aca="false">SUM(J406:AS406)</f>
        <v>32562.7204740098</v>
      </c>
      <c r="J406" s="32" t="n">
        <f aca="false">J377*(J367&lt;=0)+J372*($H405+$E$62+$E$63)</f>
        <v>0</v>
      </c>
      <c r="K406" s="32" t="n">
        <f aca="false">K377*(K367&lt;=0)+K372*($H405+$E$62+$E$63)</f>
        <v>0</v>
      </c>
      <c r="L406" s="32" t="n">
        <f aca="false">L377*(L367&lt;=0)+L372*($H405+$E$62+$E$63)</f>
        <v>0</v>
      </c>
      <c r="M406" s="32" t="n">
        <f aca="false">M377*(M367&lt;=0)+M372*($H405+$E$62+$E$63)</f>
        <v>-33450.8995260274</v>
      </c>
      <c r="N406" s="32" t="n">
        <f aca="false">N377*(N367&lt;=0)+N372*($H405+$E$62+$E$63)</f>
        <v>-26389</v>
      </c>
      <c r="O406" s="32" t="n">
        <f aca="false">O377*(O367&lt;=0)+O372*($H405+$E$62+$E$63)</f>
        <v>92402.6200000372</v>
      </c>
      <c r="P406" s="32" t="n">
        <f aca="false">P377*(P367&lt;=0)+P372*($H405+$E$62+$E$63)</f>
        <v>0</v>
      </c>
      <c r="Q406" s="32" t="n">
        <f aca="false">Q377*(Q367&lt;=0)+Q372*($H405+$E$62+$E$63)</f>
        <v>0</v>
      </c>
      <c r="R406" s="32" t="n">
        <f aca="false">R377*(R367&lt;=0)+R372*($H405+$E$62+$E$63)</f>
        <v>0</v>
      </c>
      <c r="S406" s="32" t="n">
        <f aca="false">S377*(S367&lt;=0)+S372*($H405+$E$62+$E$63)</f>
        <v>0</v>
      </c>
      <c r="T406" s="32" t="n">
        <f aca="false">T377*(T367&lt;=0)+T372*($H405+$E$62+$E$63)</f>
        <v>0</v>
      </c>
      <c r="U406" s="32" t="n">
        <f aca="false">U377*(U367&lt;=0)+U372*($H405+$E$62+$E$63)</f>
        <v>0</v>
      </c>
      <c r="V406" s="32" t="n">
        <f aca="false">V377*(V367&lt;=0)+V372*($H405+$E$62+$E$63)</f>
        <v>0</v>
      </c>
      <c r="W406" s="32" t="n">
        <f aca="false">W377*(W367&lt;=0)+W372*($H405+$E$62+$E$63)</f>
        <v>0</v>
      </c>
      <c r="X406" s="32" t="n">
        <f aca="false">X377*(X367&lt;=0)+X372*($H405+$E$62+$E$63)</f>
        <v>0</v>
      </c>
      <c r="Y406" s="32" t="n">
        <f aca="false">Y377*(Y367&lt;=0)+Y372*($H405+$E$62+$E$63)</f>
        <v>0</v>
      </c>
      <c r="Z406" s="32" t="n">
        <f aca="false">Z377*(Z367&lt;=0)+Z372*($H405+$E$62+$E$63)</f>
        <v>0</v>
      </c>
      <c r="AA406" s="32" t="n">
        <f aca="false">AA377*(AA367&lt;=0)+AA372*($H405+$E$62+$E$63)</f>
        <v>0</v>
      </c>
      <c r="AB406" s="32" t="n">
        <f aca="false">AB377*(AB367&lt;=0)+AB372*($H405+$E$62+$E$63)</f>
        <v>0</v>
      </c>
      <c r="AC406" s="32" t="n">
        <f aca="false">AC377*(AC367&lt;=0)+AC372*($H405+$E$62+$E$63)</f>
        <v>0</v>
      </c>
      <c r="AD406" s="32" t="n">
        <f aca="false">AD377*(AD367&lt;=0)+AD372*($H405+$E$62+$E$63)</f>
        <v>0</v>
      </c>
      <c r="AE406" s="32" t="n">
        <f aca="false">AE377*(AE367&lt;=0)+AE372*($H405+$E$62+$E$63)</f>
        <v>0</v>
      </c>
      <c r="AF406" s="32" t="n">
        <f aca="false">AF377*(AF367&lt;=0)+AF372*($H405+$E$62+$E$63)</f>
        <v>0</v>
      </c>
      <c r="AG406" s="32" t="n">
        <f aca="false">AG377*(AG367&lt;=0)+AG372*($H405+$E$62+$E$63)</f>
        <v>0</v>
      </c>
      <c r="AH406" s="32" t="n">
        <f aca="false">AH377*(AH367&lt;=0)+AH372*($H405+$E$62+$E$63)</f>
        <v>0</v>
      </c>
      <c r="AI406" s="32" t="n">
        <f aca="false">AI377*(AI367&lt;=0)+AI372*($H405+$E$62+$E$63)</f>
        <v>0</v>
      </c>
      <c r="AJ406" s="32" t="n">
        <f aca="false">AJ377*(AJ367&lt;=0)+AJ372*($H405+$E$62+$E$63)</f>
        <v>0</v>
      </c>
      <c r="AK406" s="32" t="n">
        <f aca="false">AK377*(AK367&lt;=0)+AK372*($H405+$E$62+$E$63)</f>
        <v>0</v>
      </c>
      <c r="AL406" s="32" t="n">
        <f aca="false">AL377*(AL367&lt;=0)+AL372*($H405+$E$62+$E$63)</f>
        <v>0</v>
      </c>
      <c r="AM406" s="32" t="n">
        <f aca="false">AM377*(AM367&lt;=0)+AM372*($H405+$E$62+$E$63)</f>
        <v>0</v>
      </c>
      <c r="AN406" s="32" t="n">
        <f aca="false">AN377*(AN367&lt;=0)+AN372*($H405+$E$62+$E$63)</f>
        <v>0</v>
      </c>
      <c r="AO406" s="32" t="n">
        <f aca="false">AO377*(AO367&lt;=0)+AO372*($H405+$E$62+$E$63)</f>
        <v>0</v>
      </c>
      <c r="AP406" s="32" t="n">
        <f aca="false">AP377*(AP367&lt;=0)+AP372*($H405+$E$62+$E$63)</f>
        <v>0</v>
      </c>
      <c r="AQ406" s="32" t="n">
        <f aca="false">AQ377*(AQ367&lt;=0)+AQ372*($H405+$E$62+$E$63)</f>
        <v>0</v>
      </c>
      <c r="AR406" s="32" t="n">
        <f aca="false">AR377*(AR367&lt;=0)+AR372*($H405+$E$62+$E$63)</f>
        <v>0</v>
      </c>
      <c r="AS406" s="32" t="n">
        <f aca="false">AS377*(AS367&lt;=0)+AS372*($H405+$E$62+$E$63)</f>
        <v>0</v>
      </c>
    </row>
    <row r="407" customFormat="false" ht="14.25" hidden="false" customHeight="false" outlineLevel="0" collapsed="false">
      <c r="C407" s="41" t="s">
        <v>330</v>
      </c>
      <c r="D407" s="42"/>
      <c r="E407" s="43"/>
      <c r="F407" s="43"/>
      <c r="G407" s="43"/>
      <c r="H407" s="43"/>
    </row>
    <row r="408" customFormat="false" ht="14.25" hidden="false" customHeight="false" outlineLevel="0" collapsed="false">
      <c r="C408" s="6" t="s">
        <v>331</v>
      </c>
      <c r="D408" s="2" t="s">
        <v>85</v>
      </c>
      <c r="H408" s="8"/>
      <c r="J408" s="8" t="n">
        <f aca="false">(I408*(1+Rate_Cash)-SUMPRODUCT($E345:$E350*$M345:$M350*(YEAR($J345:$J350)=J363)))*(J364&lt;$E190)*$E21</f>
        <v>404.929164946519</v>
      </c>
      <c r="K408" s="8" t="n">
        <f aca="false">(J408*(1+Rate_Cash)-SUMPRODUCT($E345:$E350*$M345:$M350*(YEAR($J345:$J350)=K363)))*(K364&lt;$E190)*$E21</f>
        <v>2874.39110197035</v>
      </c>
      <c r="L408" s="8" t="n">
        <f aca="false">(K408*(1+Rate_Cash)-SUMPRODUCT($E345:$E350*$M345:$M350*(YEAR($J345:$J350)=L363)))*(L364&lt;$E190)*$E21</f>
        <v>13614.1904191201</v>
      </c>
      <c r="M408" s="8" t="n">
        <f aca="false">(L408*(1+Rate_Cash)-SUMPRODUCT($E345:$E350*$M345:$M350*(YEAR($J345:$J350)=M363)))*(M364&lt;$E190)*$E21</f>
        <v>0</v>
      </c>
      <c r="N408" s="8" t="n">
        <f aca="false">(M408*(1+Rate_Cash)-SUMPRODUCT($E345:$E350*$M345:$M350*(YEAR($J345:$J350)=N363)))*(N364&lt;$E190)*$E21</f>
        <v>0</v>
      </c>
      <c r="O408" s="8" t="n">
        <f aca="false">(N408*(1+Rate_Cash)-SUMPRODUCT($E345:$E350*$M345:$M350*(YEAR($J345:$J350)=O363)))*(O364&lt;$E190)*$E21</f>
        <v>0</v>
      </c>
      <c r="P408" s="8" t="n">
        <f aca="false">(O408*(1+Rate_Cash)-SUMPRODUCT($E345:$E350*$M345:$M350*(YEAR($J345:$J350)=P363)))*(P364&lt;$E190)*$E21</f>
        <v>0</v>
      </c>
      <c r="Q408" s="8" t="n">
        <f aca="false">(P408*(1+Rate_Cash)-SUMPRODUCT($E345:$E350*$M345:$M350*(YEAR($J345:$J350)=Q363)))*(Q364&lt;$E190)*$E21</f>
        <v>0</v>
      </c>
      <c r="R408" s="8" t="n">
        <f aca="false">(Q408*(1+Rate_Cash)-SUMPRODUCT($E345:$E350*$M345:$M350*(YEAR($J345:$J350)=R363)))*(R364&lt;$E190)*$E21</f>
        <v>0</v>
      </c>
      <c r="S408" s="8" t="n">
        <f aca="false">(R408*(1+Rate_Cash)-SUMPRODUCT($E345:$E350*$M345:$M350*(YEAR($J345:$J350)=S363)))*(S364&lt;$E190)*$E21</f>
        <v>0</v>
      </c>
      <c r="T408" s="8" t="n">
        <f aca="false">(S408*(1+Rate_Cash)-SUMPRODUCT($E345:$E350*$M345:$M350*(YEAR($J345:$J350)=T363)))*(T364&lt;$E190)*$E21</f>
        <v>0</v>
      </c>
      <c r="U408" s="8" t="n">
        <f aca="false">(T408*(1+Rate_Cash)-SUMPRODUCT($E345:$E350*$M345:$M350*(YEAR($J345:$J350)=U363)))*(U364&lt;$E190)*$E21</f>
        <v>0</v>
      </c>
      <c r="V408" s="8" t="n">
        <f aca="false">(U408*(1+Rate_Cash)-SUMPRODUCT($E345:$E350*$M345:$M350*(YEAR($J345:$J350)=V363)))*(V364&lt;$E190)*$E21</f>
        <v>0</v>
      </c>
      <c r="W408" s="8" t="n">
        <f aca="false">(V408*(1+Rate_Cash)-SUMPRODUCT($E345:$E350*$M345:$M350*(YEAR($J345:$J350)=W363)))*(W364&lt;$E190)*$E21</f>
        <v>0</v>
      </c>
      <c r="X408" s="8" t="n">
        <f aca="false">(W408*(1+Rate_Cash)-SUMPRODUCT($E345:$E350*$M345:$M350*(YEAR($J345:$J350)=X363)))*(X364&lt;$E190)*$E21</f>
        <v>0</v>
      </c>
      <c r="Y408" s="8" t="n">
        <f aca="false">(X408*(1+Rate_Cash)-SUMPRODUCT($E345:$E350*$M345:$M350*(YEAR($J345:$J350)=Y363)))*(Y364&lt;$E190)*$E21</f>
        <v>0</v>
      </c>
      <c r="Z408" s="8" t="n">
        <f aca="false">(Y408*(1+Rate_Cash)-SUMPRODUCT($E345:$E350*$M345:$M350*(YEAR($J345:$J350)=Z363)))*(Z364&lt;$E190)*$E21</f>
        <v>0</v>
      </c>
      <c r="AA408" s="8" t="n">
        <f aca="false">(Z408*(1+Rate_Cash)-SUMPRODUCT($E345:$E350*$M345:$M350*(YEAR($J345:$J350)=AA363)))*(AA364&lt;$E190)*$E21</f>
        <v>0</v>
      </c>
      <c r="AB408" s="8" t="n">
        <f aca="false">(AA408*(1+Rate_Cash)-SUMPRODUCT($E345:$E350*$M345:$M350*(YEAR($J345:$J350)=AB363)))*(AB364&lt;$E190)*$E21</f>
        <v>0</v>
      </c>
      <c r="AC408" s="8" t="n">
        <f aca="false">(AB408*(1+Rate_Cash)-SUMPRODUCT($E345:$E350*$M345:$M350*(YEAR($J345:$J350)=AC363)))*(AC364&lt;$E190)*$E21</f>
        <v>0</v>
      </c>
      <c r="AD408" s="8" t="n">
        <f aca="false">(AC408*(1+Rate_Cash)-SUMPRODUCT($E345:$E350*$M345:$M350*(YEAR($J345:$J350)=AD363)))*(AD364&lt;$E190)*$E21</f>
        <v>0</v>
      </c>
      <c r="AE408" s="8" t="n">
        <f aca="false">(AD408*(1+Rate_Cash)-SUMPRODUCT($E345:$E350*$M345:$M350*(YEAR($J345:$J350)=AE363)))*(AE364&lt;$E190)*$E21</f>
        <v>0</v>
      </c>
      <c r="AF408" s="8" t="n">
        <f aca="false">(AE408*(1+Rate_Cash)-SUMPRODUCT($E345:$E350*$M345:$M350*(YEAR($J345:$J350)=AF363)))*(AF364&lt;$E190)*$E21</f>
        <v>0</v>
      </c>
      <c r="AG408" s="8" t="n">
        <f aca="false">(AF408*(1+Rate_Cash)-SUMPRODUCT($E345:$E350*$M345:$M350*(YEAR($J345:$J350)=AG363)))*(AG364&lt;$E190)*$E21</f>
        <v>0</v>
      </c>
      <c r="AH408" s="8" t="n">
        <f aca="false">(AG408*(1+Rate_Cash)-SUMPRODUCT($E345:$E350*$M345:$M350*(YEAR($J345:$J350)=AH363)))*(AH364&lt;$E190)*$E21</f>
        <v>0</v>
      </c>
      <c r="AI408" s="8" t="n">
        <f aca="false">(AH408*(1+Rate_Cash)-SUMPRODUCT($E345:$E350*$M345:$M350*(YEAR($J345:$J350)=AI363)))*(AI364&lt;$E190)*$E21</f>
        <v>0</v>
      </c>
      <c r="AJ408" s="8" t="n">
        <f aca="false">(AI408*(1+Rate_Cash)-SUMPRODUCT($E345:$E350*$M345:$M350*(YEAR($J345:$J350)=AJ363)))*(AJ364&lt;$E190)*$E21</f>
        <v>0</v>
      </c>
      <c r="AK408" s="8" t="n">
        <f aca="false">(AJ408*(1+Rate_Cash)-SUMPRODUCT($E345:$E350*$M345:$M350*(YEAR($J345:$J350)=AK363)))*(AK364&lt;$E190)*$E21</f>
        <v>0</v>
      </c>
      <c r="AL408" s="8" t="n">
        <f aca="false">(AK408*(1+Rate_Cash)-SUMPRODUCT($E345:$E350*$M345:$M350*(YEAR($J345:$J350)=AL363)))*(AL364&lt;$E190)*$E21</f>
        <v>0</v>
      </c>
      <c r="AM408" s="8" t="n">
        <f aca="false">(AL408*(1+Rate_Cash)-SUMPRODUCT($E345:$E350*$M345:$M350*(YEAR($J345:$J350)=AM363)))*(AM364&lt;$E190)*$E21</f>
        <v>0</v>
      </c>
      <c r="AN408" s="8" t="n">
        <f aca="false">(AM408*(1+Rate_Cash)-SUMPRODUCT($E345:$E350*$M345:$M350*(YEAR($J345:$J350)=AN363)))*(AN364&lt;$E190)*$E21</f>
        <v>0</v>
      </c>
      <c r="AO408" s="8" t="n">
        <f aca="false">(AN408*(1+Rate_Cash)-SUMPRODUCT($E345:$E350*$M345:$M350*(YEAR($J345:$J350)=AO363)))*(AO364&lt;$E190)*$E21</f>
        <v>0</v>
      </c>
      <c r="AP408" s="8" t="n">
        <f aca="false">(AO408*(1+Rate_Cash)-SUMPRODUCT($E345:$E350*$M345:$M350*(YEAR($J345:$J350)=AP363)))*(AP364&lt;$E190)*$E21</f>
        <v>0</v>
      </c>
      <c r="AQ408" s="8" t="n">
        <f aca="false">(AP408*(1+Rate_Cash)-SUMPRODUCT($E345:$E350*$M345:$M350*(YEAR($J345:$J350)=AQ363)))*(AQ364&lt;$E190)*$E21</f>
        <v>0</v>
      </c>
      <c r="AR408" s="8" t="n">
        <f aca="false">(AQ408*(1+Rate_Cash)-SUMPRODUCT($E345:$E350*$M345:$M350*(YEAR($J345:$J350)=AR363)))*(AR364&lt;$E190)*$E21</f>
        <v>0</v>
      </c>
      <c r="AS408" s="8" t="n">
        <f aca="false">(AR408*(1+Rate_Cash)-SUMPRODUCT($E345:$E350*$M345:$M350*(YEAR($J345:$J350)=AS363)))*(AS364&lt;$E190)*$E21</f>
        <v>0</v>
      </c>
    </row>
    <row r="409" customFormat="false" ht="14.25" hidden="false" customHeight="false" outlineLevel="0" collapsed="false">
      <c r="C409" s="6" t="s">
        <v>332</v>
      </c>
      <c r="D409" s="2" t="s">
        <v>85</v>
      </c>
      <c r="H409" s="8"/>
      <c r="J409" s="8" t="n">
        <f aca="false">(I409*(1+Rate_Devex)-SUMPRODUCT($E351:$E352*$M351:$M352*(YEAR($J351:$J352)=J363)))*(J364&lt;$E190)*$E21</f>
        <v>0</v>
      </c>
      <c r="K409" s="8" t="n">
        <f aca="false">(J409*(1+Rate_Devex)-SUMPRODUCT($E351:$E352*$M351:$M352*(YEAR($J351:$J352)=K363)))*(K364&lt;$E190)*$E21</f>
        <v>716.033459724017</v>
      </c>
      <c r="L409" s="8" t="n">
        <f aca="false">(K409*(1+Rate_Devex)-SUMPRODUCT($E351:$E352*$M351:$M352*(YEAR($J351:$J352)=L363)))*(L364&lt;$E190)*$E21</f>
        <v>981.326219036057</v>
      </c>
      <c r="M409" s="8" t="n">
        <f aca="false">(L409*(1+Rate_Devex)-SUMPRODUCT($E351:$E352*$M351:$M352*(YEAR($J351:$J352)=M363)))*(M364&lt;$E190)*$E21</f>
        <v>0</v>
      </c>
      <c r="N409" s="8" t="n">
        <f aca="false">(M409*(1+Rate_Devex)-SUMPRODUCT($E351:$E352*$M351:$M352*(YEAR($J351:$J352)=N363)))*(N364&lt;$E190)*$E21</f>
        <v>0</v>
      </c>
      <c r="O409" s="8" t="n">
        <f aca="false">(N409*(1+Rate_Devex)-SUMPRODUCT($E351:$E352*$M351:$M352*(YEAR($J351:$J352)=O363)))*(O364&lt;$E190)*$E21</f>
        <v>0</v>
      </c>
      <c r="P409" s="8" t="n">
        <f aca="false">(O409*(1+Rate_Devex)-SUMPRODUCT($E351:$E352*$M351:$M352*(YEAR($J351:$J352)=P363)))*(P364&lt;$E190)*$E21</f>
        <v>0</v>
      </c>
      <c r="Q409" s="8" t="n">
        <f aca="false">(P409*(1+Rate_Devex)-SUMPRODUCT($E351:$E352*$M351:$M352*(YEAR($J351:$J352)=Q363)))*(Q364&lt;$E190)*$E21</f>
        <v>0</v>
      </c>
      <c r="R409" s="8" t="n">
        <f aca="false">(Q409*(1+Rate_Devex)-SUMPRODUCT($E351:$E352*$M351:$M352*(YEAR($J351:$J352)=R363)))*(R364&lt;$E190)*$E21</f>
        <v>0</v>
      </c>
      <c r="S409" s="8" t="n">
        <f aca="false">(R409*(1+Rate_Devex)-SUMPRODUCT($E351:$E352*$M351:$M352*(YEAR($J351:$J352)=S363)))*(S364&lt;$E190)*$E21</f>
        <v>0</v>
      </c>
      <c r="T409" s="8" t="n">
        <f aca="false">(S409*(1+Rate_Devex)-SUMPRODUCT($E351:$E352*$M351:$M352*(YEAR($J351:$J352)=T363)))*(T364&lt;$E190)*$E21</f>
        <v>0</v>
      </c>
      <c r="U409" s="8" t="n">
        <f aca="false">(T409*(1+Rate_Devex)-SUMPRODUCT($E351:$E352*$M351:$M352*(YEAR($J351:$J352)=U363)))*(U364&lt;$E190)*$E21</f>
        <v>0</v>
      </c>
      <c r="V409" s="8" t="n">
        <f aca="false">(U409*(1+Rate_Devex)-SUMPRODUCT($E351:$E352*$M351:$M352*(YEAR($J351:$J352)=V363)))*(V364&lt;$E190)*$E21</f>
        <v>0</v>
      </c>
      <c r="W409" s="8" t="n">
        <f aca="false">(V409*(1+Rate_Devex)-SUMPRODUCT($E351:$E352*$M351:$M352*(YEAR($J351:$J352)=W363)))*(W364&lt;$E190)*$E21</f>
        <v>0</v>
      </c>
      <c r="X409" s="8" t="n">
        <f aca="false">(W409*(1+Rate_Devex)-SUMPRODUCT($E351:$E352*$M351:$M352*(YEAR($J351:$J352)=X363)))*(X364&lt;$E190)*$E21</f>
        <v>0</v>
      </c>
      <c r="Y409" s="8" t="n">
        <f aca="false">(X409*(1+Rate_Devex)-SUMPRODUCT($E351:$E352*$M351:$M352*(YEAR($J351:$J352)=Y363)))*(Y364&lt;$E190)*$E21</f>
        <v>0</v>
      </c>
      <c r="Z409" s="8" t="n">
        <f aca="false">(Y409*(1+Rate_Devex)-SUMPRODUCT($E351:$E352*$M351:$M352*(YEAR($J351:$J352)=Z363)))*(Z364&lt;$E190)*$E21</f>
        <v>0</v>
      </c>
      <c r="AA409" s="8" t="n">
        <f aca="false">(Z409*(1+Rate_Devex)-SUMPRODUCT($E351:$E352*$M351:$M352*(YEAR($J351:$J352)=AA363)))*(AA364&lt;$E190)*$E21</f>
        <v>0</v>
      </c>
      <c r="AB409" s="8" t="n">
        <f aca="false">(AA409*(1+Rate_Devex)-SUMPRODUCT($E351:$E352*$M351:$M352*(YEAR($J351:$J352)=AB363)))*(AB364&lt;$E190)*$E21</f>
        <v>0</v>
      </c>
      <c r="AC409" s="8" t="n">
        <f aca="false">(AB409*(1+Rate_Devex)-SUMPRODUCT($E351:$E352*$M351:$M352*(YEAR($J351:$J352)=AC363)))*(AC364&lt;$E190)*$E21</f>
        <v>0</v>
      </c>
      <c r="AD409" s="8" t="n">
        <f aca="false">(AC409*(1+Rate_Devex)-SUMPRODUCT($E351:$E352*$M351:$M352*(YEAR($J351:$J352)=AD363)))*(AD364&lt;$E190)*$E21</f>
        <v>0</v>
      </c>
      <c r="AE409" s="8" t="n">
        <f aca="false">(AD409*(1+Rate_Devex)-SUMPRODUCT($E351:$E352*$M351:$M352*(YEAR($J351:$J352)=AE363)))*(AE364&lt;$E190)*$E21</f>
        <v>0</v>
      </c>
      <c r="AF409" s="8" t="n">
        <f aca="false">(AE409*(1+Rate_Devex)-SUMPRODUCT($E351:$E352*$M351:$M352*(YEAR($J351:$J352)=AF363)))*(AF364&lt;$E190)*$E21</f>
        <v>0</v>
      </c>
      <c r="AG409" s="8" t="n">
        <f aca="false">(AF409*(1+Rate_Devex)-SUMPRODUCT($E351:$E352*$M351:$M352*(YEAR($J351:$J352)=AG363)))*(AG364&lt;$E190)*$E21</f>
        <v>0</v>
      </c>
      <c r="AH409" s="8" t="n">
        <f aca="false">(AG409*(1+Rate_Devex)-SUMPRODUCT($E351:$E352*$M351:$M352*(YEAR($J351:$J352)=AH363)))*(AH364&lt;$E190)*$E21</f>
        <v>0</v>
      </c>
      <c r="AI409" s="8" t="n">
        <f aca="false">(AH409*(1+Rate_Devex)-SUMPRODUCT($E351:$E352*$M351:$M352*(YEAR($J351:$J352)=AI363)))*(AI364&lt;$E190)*$E21</f>
        <v>0</v>
      </c>
      <c r="AJ409" s="8" t="n">
        <f aca="false">(AI409*(1+Rate_Devex)-SUMPRODUCT($E351:$E352*$M351:$M352*(YEAR($J351:$J352)=AJ363)))*(AJ364&lt;$E190)*$E21</f>
        <v>0</v>
      </c>
      <c r="AK409" s="8" t="n">
        <f aca="false">(AJ409*(1+Rate_Devex)-SUMPRODUCT($E351:$E352*$M351:$M352*(YEAR($J351:$J352)=AK363)))*(AK364&lt;$E190)*$E21</f>
        <v>0</v>
      </c>
      <c r="AL409" s="8" t="n">
        <f aca="false">(AK409*(1+Rate_Devex)-SUMPRODUCT($E351:$E352*$M351:$M352*(YEAR($J351:$J352)=AL363)))*(AL364&lt;$E190)*$E21</f>
        <v>0</v>
      </c>
      <c r="AM409" s="8" t="n">
        <f aca="false">(AL409*(1+Rate_Devex)-SUMPRODUCT($E351:$E352*$M351:$M352*(YEAR($J351:$J352)=AM363)))*(AM364&lt;$E190)*$E21</f>
        <v>0</v>
      </c>
      <c r="AN409" s="8" t="n">
        <f aca="false">(AM409*(1+Rate_Devex)-SUMPRODUCT($E351:$E352*$M351:$M352*(YEAR($J351:$J352)=AN363)))*(AN364&lt;$E190)*$E21</f>
        <v>0</v>
      </c>
      <c r="AO409" s="8" t="n">
        <f aca="false">(AN409*(1+Rate_Devex)-SUMPRODUCT($E351:$E352*$M351:$M352*(YEAR($J351:$J352)=AO363)))*(AO364&lt;$E190)*$E21</f>
        <v>0</v>
      </c>
      <c r="AP409" s="8" t="n">
        <f aca="false">(AO409*(1+Rate_Devex)-SUMPRODUCT($E351:$E352*$M351:$M352*(YEAR($J351:$J352)=AP363)))*(AP364&lt;$E190)*$E21</f>
        <v>0</v>
      </c>
      <c r="AQ409" s="8" t="n">
        <f aca="false">(AP409*(1+Rate_Devex)-SUMPRODUCT($E351:$E352*$M351:$M352*(YEAR($J351:$J352)=AQ363)))*(AQ364&lt;$E190)*$E21</f>
        <v>0</v>
      </c>
      <c r="AR409" s="8" t="n">
        <f aca="false">(AQ409*(1+Rate_Devex)-SUMPRODUCT($E351:$E352*$M351:$M352*(YEAR($J351:$J352)=AR363)))*(AR364&lt;$E190)*$E21</f>
        <v>0</v>
      </c>
      <c r="AS409" s="8" t="n">
        <f aca="false">(AR409*(1+Rate_Devex)-SUMPRODUCT($E351:$E352*$M351:$M352*(YEAR($J351:$J352)=AS363)))*(AS364&lt;$E190)*$E21</f>
        <v>0</v>
      </c>
    </row>
    <row r="410" customFormat="false" ht="14.25" hidden="false" customHeight="false" outlineLevel="0" collapsed="false">
      <c r="C410" s="6" t="s">
        <v>333</v>
      </c>
      <c r="D410" s="2" t="s">
        <v>85</v>
      </c>
      <c r="H410" s="8" t="n">
        <f aca="false">SUM(J410:AS410)</f>
        <v>13465.7175204585</v>
      </c>
      <c r="J410" s="8" t="n">
        <f aca="false">-SUMPRODUCT($E345:$E352*(YEAR($J345:$J352)=J363))*(J364&lt;$E190)*$E21</f>
        <v>396.712328767123</v>
      </c>
      <c r="K410" s="8" t="n">
        <f aca="false">-SUMPRODUCT($E345:$E352*(YEAR($J345:$J352)=K363))*(K364&lt;$E190)*$E21</f>
        <v>2871.50977525301</v>
      </c>
      <c r="L410" s="8" t="n">
        <f aca="false">-SUMPRODUCT($E345:$E352*(YEAR($J345:$J352)=L363))*(L364&lt;$E190)*$E21</f>
        <v>10197.4954164384</v>
      </c>
      <c r="M410" s="8" t="n">
        <f aca="false">-SUMPRODUCT($E345:$E352*(YEAR($J345:$J352)=M363))*(M364&lt;$E190)*$E21</f>
        <v>-0</v>
      </c>
      <c r="N410" s="8" t="n">
        <f aca="false">-SUMPRODUCT($E345:$E352*(YEAR($J345:$J352)=N363))*(N364&lt;$E190)*$E21</f>
        <v>-0</v>
      </c>
      <c r="O410" s="8" t="n">
        <f aca="false">-SUMPRODUCT($E345:$E352*(YEAR($J345:$J352)=O363))*(O364&lt;$E190)*$E21</f>
        <v>-0</v>
      </c>
      <c r="P410" s="8" t="n">
        <f aca="false">-SUMPRODUCT($E345:$E352*(YEAR($J345:$J352)=P363))*(P364&lt;$E190)*$E21</f>
        <v>-0</v>
      </c>
      <c r="Q410" s="8" t="n">
        <f aca="false">-SUMPRODUCT($E345:$E352*(YEAR($J345:$J352)=Q363))*(Q364&lt;$E190)*$E21</f>
        <v>-0</v>
      </c>
      <c r="R410" s="8" t="n">
        <f aca="false">-SUMPRODUCT($E345:$E352*(YEAR($J345:$J352)=R363))*(R364&lt;$E190)*$E21</f>
        <v>-0</v>
      </c>
      <c r="S410" s="8" t="n">
        <f aca="false">-SUMPRODUCT($E345:$E352*(YEAR($J345:$J352)=S363))*(S364&lt;$E190)*$E21</f>
        <v>-0</v>
      </c>
      <c r="T410" s="8" t="n">
        <f aca="false">-SUMPRODUCT($E345:$E352*(YEAR($J345:$J352)=T363))*(T364&lt;$E190)*$E21</f>
        <v>-0</v>
      </c>
      <c r="U410" s="8" t="n">
        <f aca="false">-SUMPRODUCT($E345:$E352*(YEAR($J345:$J352)=U363))*(U364&lt;$E190)*$E21</f>
        <v>-0</v>
      </c>
      <c r="V410" s="8" t="n">
        <f aca="false">-SUMPRODUCT($E345:$E352*(YEAR($J345:$J352)=V363))*(V364&lt;$E190)*$E21</f>
        <v>-0</v>
      </c>
      <c r="W410" s="8" t="n">
        <f aca="false">-SUMPRODUCT($E345:$E352*(YEAR($J345:$J352)=W363))*(W364&lt;$E190)*$E21</f>
        <v>-0</v>
      </c>
      <c r="X410" s="8" t="n">
        <f aca="false">-SUMPRODUCT($E345:$E352*(YEAR($J345:$J352)=X363))*(X364&lt;$E190)*$E21</f>
        <v>-0</v>
      </c>
      <c r="Y410" s="8" t="n">
        <f aca="false">-SUMPRODUCT($E345:$E352*(YEAR($J345:$J352)=Y363))*(Y364&lt;$E190)*$E21</f>
        <v>-0</v>
      </c>
      <c r="Z410" s="8" t="n">
        <f aca="false">-SUMPRODUCT($E345:$E352*(YEAR($J345:$J352)=Z363))*(Z364&lt;$E190)*$E21</f>
        <v>-0</v>
      </c>
      <c r="AA410" s="8" t="n">
        <f aca="false">-SUMPRODUCT($E345:$E352*(YEAR($J345:$J352)=AA363))*(AA364&lt;$E190)*$E21</f>
        <v>-0</v>
      </c>
      <c r="AB410" s="8" t="n">
        <f aca="false">-SUMPRODUCT($E345:$E352*(YEAR($J345:$J352)=AB363))*(AB364&lt;$E190)*$E21</f>
        <v>-0</v>
      </c>
      <c r="AC410" s="8" t="n">
        <f aca="false">-SUMPRODUCT($E345:$E352*(YEAR($J345:$J352)=AC363))*(AC364&lt;$E190)*$E21</f>
        <v>-0</v>
      </c>
      <c r="AD410" s="8" t="n">
        <f aca="false">-SUMPRODUCT($E345:$E352*(YEAR($J345:$J352)=AD363))*(AD364&lt;$E190)*$E21</f>
        <v>-0</v>
      </c>
      <c r="AE410" s="8" t="n">
        <f aca="false">-SUMPRODUCT($E345:$E352*(YEAR($J345:$J352)=AE363))*(AE364&lt;$E190)*$E21</f>
        <v>-0</v>
      </c>
      <c r="AF410" s="8" t="n">
        <f aca="false">-SUMPRODUCT($E345:$E352*(YEAR($J345:$J352)=AF363))*(AF364&lt;$E190)*$E21</f>
        <v>-0</v>
      </c>
      <c r="AG410" s="8" t="n">
        <f aca="false">-SUMPRODUCT($E345:$E352*(YEAR($J345:$J352)=AG363))*(AG364&lt;$E190)*$E21</f>
        <v>-0</v>
      </c>
      <c r="AH410" s="8" t="n">
        <f aca="false">-SUMPRODUCT($E345:$E352*(YEAR($J345:$J352)=AH363))*(AH364&lt;$E190)*$E21</f>
        <v>-0</v>
      </c>
      <c r="AI410" s="8" t="n">
        <f aca="false">-SUMPRODUCT($E345:$E352*(YEAR($J345:$J352)=AI363))*(AI364&lt;$E190)*$E21</f>
        <v>-0</v>
      </c>
      <c r="AJ410" s="8" t="n">
        <f aca="false">-SUMPRODUCT($E345:$E352*(YEAR($J345:$J352)=AJ363))*(AJ364&lt;$E190)*$E21</f>
        <v>-0</v>
      </c>
      <c r="AK410" s="8" t="n">
        <f aca="false">-SUMPRODUCT($E345:$E352*(YEAR($J345:$J352)=AK363))*(AK364&lt;$E190)*$E21</f>
        <v>-0</v>
      </c>
      <c r="AL410" s="8" t="n">
        <f aca="false">-SUMPRODUCT($E345:$E352*(YEAR($J345:$J352)=AL363))*(AL364&lt;$E190)*$E21</f>
        <v>-0</v>
      </c>
      <c r="AM410" s="8" t="n">
        <f aca="false">-SUMPRODUCT($E345:$E352*(YEAR($J345:$J352)=AM363))*(AM364&lt;$E190)*$E21</f>
        <v>-0</v>
      </c>
      <c r="AN410" s="8" t="n">
        <f aca="false">-SUMPRODUCT($E345:$E352*(YEAR($J345:$J352)=AN363))*(AN364&lt;$E190)*$E21</f>
        <v>-0</v>
      </c>
      <c r="AO410" s="8" t="n">
        <f aca="false">-SUMPRODUCT($E345:$E352*(YEAR($J345:$J352)=AO363))*(AO364&lt;$E190)*$E21</f>
        <v>-0</v>
      </c>
      <c r="AP410" s="8" t="n">
        <f aca="false">-SUMPRODUCT($E345:$E352*(YEAR($J345:$J352)=AP363))*(AP364&lt;$E190)*$E21</f>
        <v>-0</v>
      </c>
      <c r="AQ410" s="8" t="n">
        <f aca="false">-SUMPRODUCT($E345:$E352*(YEAR($J345:$J352)=AQ363))*(AQ364&lt;$E190)*$E21</f>
        <v>-0</v>
      </c>
      <c r="AR410" s="8" t="n">
        <f aca="false">-SUMPRODUCT($E345:$E352*(YEAR($J345:$J352)=AR363))*(AR364&lt;$E190)*$E21</f>
        <v>-0</v>
      </c>
      <c r="AS410" s="8" t="n">
        <f aca="false">-SUMPRODUCT($E345:$E352*(YEAR($J345:$J352)=AS363))*(AS364&lt;$E190)*$E21</f>
        <v>-0</v>
      </c>
    </row>
    <row r="411" customFormat="false" ht="14.25" hidden="false" customHeight="false" outlineLevel="0" collapsed="false">
      <c r="C411" s="6" t="s">
        <v>334</v>
      </c>
      <c r="D411" s="2" t="s">
        <v>85</v>
      </c>
      <c r="H411" s="8" t="n">
        <f aca="false">SUM(J411:AS411)</f>
        <v>1129.7991176977</v>
      </c>
      <c r="J411" s="8" t="n">
        <f aca="false">(J408+J409-I408-I409-J410)*(J364&lt;$E190)*$E21</f>
        <v>8.21683617939578</v>
      </c>
      <c r="K411" s="8" t="n">
        <f aca="false">(K408+K409-J408-J409-K410)*(K364&lt;$E190)*$E21</f>
        <v>313.985621494844</v>
      </c>
      <c r="L411" s="8" t="n">
        <f aca="false">(L408+L409-K408-K409-L410)*(L364&lt;$E190)*$E21</f>
        <v>807.596660023464</v>
      </c>
      <c r="M411" s="8" t="n">
        <f aca="false">(M408+M409-L408-L409-M410)*(M364&lt;$E190)*$E21</f>
        <v>-0</v>
      </c>
      <c r="N411" s="8" t="n">
        <f aca="false">(N408+N409-M408-M409-N410)*(N364&lt;$E190)*$E21</f>
        <v>0</v>
      </c>
      <c r="O411" s="8" t="n">
        <f aca="false">(O408+O409-N408-N409-O410)*(O364&lt;$E190)*$E21</f>
        <v>0</v>
      </c>
      <c r="P411" s="8" t="n">
        <f aca="false">(P408+P409-O408-O409-P410)*(P364&lt;$E190)*$E21</f>
        <v>0</v>
      </c>
      <c r="Q411" s="8" t="n">
        <f aca="false">(Q408+Q409-P408-P409-Q410)*(Q364&lt;$E190)*$E21</f>
        <v>0</v>
      </c>
      <c r="R411" s="8" t="n">
        <f aca="false">(R408+R409-Q408-Q409-R410)*(R364&lt;$E190)*$E21</f>
        <v>0</v>
      </c>
      <c r="S411" s="8" t="n">
        <f aca="false">(S408+S409-R408-R409-S410)*(S364&lt;$E190)*$E21</f>
        <v>0</v>
      </c>
      <c r="T411" s="8" t="n">
        <f aca="false">(T408+T409-S408-S409-T410)*(T364&lt;$E190)*$E21</f>
        <v>0</v>
      </c>
      <c r="U411" s="8" t="n">
        <f aca="false">(U408+U409-T408-T409-U410)*(U364&lt;$E190)*$E21</f>
        <v>0</v>
      </c>
      <c r="V411" s="8" t="n">
        <f aca="false">(V408+V409-U408-U409-V410)*(V364&lt;$E190)*$E21</f>
        <v>0</v>
      </c>
      <c r="W411" s="8" t="n">
        <f aca="false">(W408+W409-V408-V409-W410)*(W364&lt;$E190)*$E21</f>
        <v>0</v>
      </c>
      <c r="X411" s="8" t="n">
        <f aca="false">(X408+X409-W408-W409-X410)*(X364&lt;$E190)*$E21</f>
        <v>0</v>
      </c>
      <c r="Y411" s="8" t="n">
        <f aca="false">(Y408+Y409-X408-X409-Y410)*(Y364&lt;$E190)*$E21</f>
        <v>0</v>
      </c>
      <c r="Z411" s="8" t="n">
        <f aca="false">(Z408+Z409-Y408-Y409-Z410)*(Z364&lt;$E190)*$E21</f>
        <v>0</v>
      </c>
      <c r="AA411" s="8" t="n">
        <f aca="false">(AA408+AA409-Z408-Z409-AA410)*(AA364&lt;$E190)*$E21</f>
        <v>0</v>
      </c>
      <c r="AB411" s="8" t="n">
        <f aca="false">(AB408+AB409-AA408-AA409-AB410)*(AB364&lt;$E190)*$E21</f>
        <v>0</v>
      </c>
      <c r="AC411" s="8" t="n">
        <f aca="false">(AC408+AC409-AB408-AB409-AC410)*(AC364&lt;$E190)*$E21</f>
        <v>0</v>
      </c>
      <c r="AD411" s="8" t="n">
        <f aca="false">(AD408+AD409-AC408-AC409-AD410)*(AD364&lt;$E190)*$E21</f>
        <v>0</v>
      </c>
      <c r="AE411" s="8" t="n">
        <f aca="false">(AE408+AE409-AD408-AD409-AE410)*(AE364&lt;$E190)*$E21</f>
        <v>0</v>
      </c>
      <c r="AF411" s="8" t="n">
        <f aca="false">(AF408+AF409-AE408-AE409-AF410)*(AF364&lt;$E190)*$E21</f>
        <v>0</v>
      </c>
      <c r="AG411" s="8" t="n">
        <f aca="false">(AG408+AG409-AF408-AF409-AG410)*(AG364&lt;$E190)*$E21</f>
        <v>0</v>
      </c>
      <c r="AH411" s="8" t="n">
        <f aca="false">(AH408+AH409-AG408-AG409-AH410)*(AH364&lt;$E190)*$E21</f>
        <v>0</v>
      </c>
      <c r="AI411" s="8" t="n">
        <f aca="false">(AI408+AI409-AH408-AH409-AI410)*(AI364&lt;$E190)*$E21</f>
        <v>0</v>
      </c>
      <c r="AJ411" s="8" t="n">
        <f aca="false">(AJ408+AJ409-AI408-AI409-AJ410)*(AJ364&lt;$E190)*$E21</f>
        <v>0</v>
      </c>
      <c r="AK411" s="8" t="n">
        <f aca="false">(AK408+AK409-AJ408-AJ409-AK410)*(AK364&lt;$E190)*$E21</f>
        <v>0</v>
      </c>
      <c r="AL411" s="8" t="n">
        <f aca="false">(AL408+AL409-AK408-AK409-AL410)*(AL364&lt;$E190)*$E21</f>
        <v>0</v>
      </c>
      <c r="AM411" s="8" t="n">
        <f aca="false">(AM408+AM409-AL408-AL409-AM410)*(AM364&lt;$E190)*$E21</f>
        <v>0</v>
      </c>
      <c r="AN411" s="8" t="n">
        <f aca="false">(AN408+AN409-AM408-AM409-AN410)*(AN364&lt;$E190)*$E21</f>
        <v>0</v>
      </c>
      <c r="AO411" s="8" t="n">
        <f aca="false">(AO408+AO409-AN408-AN409-AO410)*(AO364&lt;$E190)*$E21</f>
        <v>0</v>
      </c>
      <c r="AP411" s="8" t="n">
        <f aca="false">(AP408+AP409-AO408-AO409-AP410)*(AP364&lt;$E190)*$E21</f>
        <v>0</v>
      </c>
      <c r="AQ411" s="8" t="n">
        <f aca="false">(AQ408+AQ409-AP408-AP409-AQ410)*(AQ364&lt;$E190)*$E21</f>
        <v>0</v>
      </c>
      <c r="AR411" s="8" t="n">
        <f aca="false">(AR408+AR409-AQ408-AQ409-AR410)*(AR364&lt;$E190)*$E21</f>
        <v>0</v>
      </c>
      <c r="AS411" s="8" t="n">
        <f aca="false">(AS408+AS409-AR408-AR409-AS410)*(AS364&lt;$E190)*$E21</f>
        <v>0</v>
      </c>
    </row>
    <row r="412" customFormat="false" ht="14.25" hidden="false" customHeight="false" outlineLevel="0" collapsed="false">
      <c r="C412" s="6" t="s">
        <v>335</v>
      </c>
      <c r="D412" s="2" t="s">
        <v>85</v>
      </c>
      <c r="H412" s="8"/>
      <c r="J412" s="8" t="n">
        <f aca="false">(I412*(1+Rate_Cash)-SUMPRODUCT($E290:$E293*$M290:$M293*(YEAR($J290:$J293)=J363)))*(J364&lt;$E225)*$E21</f>
        <v>404.929164946519</v>
      </c>
      <c r="K412" s="8" t="n">
        <f aca="false">(J412*(1+Rate_Cash)-SUMPRODUCT($E290:$E293*$M290:$M293*(YEAR($J290:$J293)=K363)))*(K364&lt;$E225)*$E21</f>
        <v>2874.39110197035</v>
      </c>
      <c r="L412" s="8" t="n">
        <f aca="false">(K412*(1+Rate_Cash)-SUMPRODUCT($E290:$E293*$M290:$M293*(YEAR($J290:$J293)=L363)))*(L364&lt;$E225)*$E21</f>
        <v>0</v>
      </c>
      <c r="M412" s="8" t="n">
        <f aca="false">(L412*(1+Rate_Cash)-SUMPRODUCT($E290:$E293*$M290:$M293*(YEAR($J290:$J293)=M363)))*(M364&lt;$E225)*$E21</f>
        <v>0</v>
      </c>
      <c r="N412" s="8" t="n">
        <f aca="false">(M412*(1+Rate_Cash)-SUMPRODUCT($E290:$E293*$M290:$M293*(YEAR($J290:$J293)=N363)))*(N364&lt;$E225)*$E21</f>
        <v>0</v>
      </c>
      <c r="O412" s="8" t="n">
        <f aca="false">(N412*(1+Rate_Cash)-SUMPRODUCT($E290:$E293*$M290:$M293*(YEAR($J290:$J293)=O363)))*(O364&lt;$E225)*$E21</f>
        <v>0</v>
      </c>
      <c r="P412" s="8" t="n">
        <f aca="false">(O412*(1+Rate_Cash)-SUMPRODUCT($E290:$E293*$M290:$M293*(YEAR($J290:$J293)=P363)))*(P364&lt;$E225)*$E21</f>
        <v>0</v>
      </c>
      <c r="Q412" s="8" t="n">
        <f aca="false">(P412*(1+Rate_Cash)-SUMPRODUCT($E290:$E293*$M290:$M293*(YEAR($J290:$J293)=Q363)))*(Q364&lt;$E225)*$E21</f>
        <v>0</v>
      </c>
      <c r="R412" s="8" t="n">
        <f aca="false">(Q412*(1+Rate_Cash)-SUMPRODUCT($E290:$E293*$M290:$M293*(YEAR($J290:$J293)=R363)))*(R364&lt;$E225)*$E21</f>
        <v>0</v>
      </c>
      <c r="S412" s="8" t="n">
        <f aca="false">(R412*(1+Rate_Cash)-SUMPRODUCT($E290:$E293*$M290:$M293*(YEAR($J290:$J293)=S363)))*(S364&lt;$E225)*$E21</f>
        <v>0</v>
      </c>
      <c r="T412" s="8" t="n">
        <f aca="false">(S412*(1+Rate_Cash)-SUMPRODUCT($E290:$E293*$M290:$M293*(YEAR($J290:$J293)=T363)))*(T364&lt;$E225)*$E21</f>
        <v>0</v>
      </c>
      <c r="U412" s="8" t="n">
        <f aca="false">(T412*(1+Rate_Cash)-SUMPRODUCT($E290:$E293*$M290:$M293*(YEAR($J290:$J293)=U363)))*(U364&lt;$E225)*$E21</f>
        <v>0</v>
      </c>
      <c r="V412" s="8" t="n">
        <f aca="false">(U412*(1+Rate_Cash)-SUMPRODUCT($E290:$E293*$M290:$M293*(YEAR($J290:$J293)=V363)))*(V364&lt;$E225)*$E21</f>
        <v>0</v>
      </c>
      <c r="W412" s="8" t="n">
        <f aca="false">(V412*(1+Rate_Cash)-SUMPRODUCT($E290:$E293*$M290:$M293*(YEAR($J290:$J293)=W363)))*(W364&lt;$E225)*$E21</f>
        <v>0</v>
      </c>
      <c r="X412" s="8" t="n">
        <f aca="false">(W412*(1+Rate_Cash)-SUMPRODUCT($E290:$E293*$M290:$M293*(YEAR($J290:$J293)=X363)))*(X364&lt;$E225)*$E21</f>
        <v>0</v>
      </c>
      <c r="Y412" s="8" t="n">
        <f aca="false">(X412*(1+Rate_Cash)-SUMPRODUCT($E290:$E293*$M290:$M293*(YEAR($J290:$J293)=Y363)))*(Y364&lt;$E225)*$E21</f>
        <v>0</v>
      </c>
      <c r="Z412" s="8" t="n">
        <f aca="false">(Y412*(1+Rate_Cash)-SUMPRODUCT($E290:$E293*$M290:$M293*(YEAR($J290:$J293)=Z363)))*(Z364&lt;$E225)*$E21</f>
        <v>0</v>
      </c>
      <c r="AA412" s="8" t="n">
        <f aca="false">(Z412*(1+Rate_Cash)-SUMPRODUCT($E290:$E293*$M290:$M293*(YEAR($J290:$J293)=AA363)))*(AA364&lt;$E225)*$E21</f>
        <v>0</v>
      </c>
      <c r="AB412" s="8" t="n">
        <f aca="false">(AA412*(1+Rate_Cash)-SUMPRODUCT($E290:$E293*$M290:$M293*(YEAR($J290:$J293)=AB363)))*(AB364&lt;$E225)*$E21</f>
        <v>0</v>
      </c>
      <c r="AC412" s="8" t="n">
        <f aca="false">(AB412*(1+Rate_Cash)-SUMPRODUCT($E290:$E293*$M290:$M293*(YEAR($J290:$J293)=AC363)))*(AC364&lt;$E225)*$E21</f>
        <v>0</v>
      </c>
      <c r="AD412" s="8" t="n">
        <f aca="false">(AC412*(1+Rate_Cash)-SUMPRODUCT($E290:$E293*$M290:$M293*(YEAR($J290:$J293)=AD363)))*(AD364&lt;$E225)*$E21</f>
        <v>0</v>
      </c>
      <c r="AE412" s="8" t="n">
        <f aca="false">(AD412*(1+Rate_Cash)-SUMPRODUCT($E290:$E293*$M290:$M293*(YEAR($J290:$J293)=AE363)))*(AE364&lt;$E225)*$E21</f>
        <v>0</v>
      </c>
      <c r="AF412" s="8" t="n">
        <f aca="false">(AE412*(1+Rate_Cash)-SUMPRODUCT($E290:$E293*$M290:$M293*(YEAR($J290:$J293)=AF363)))*(AF364&lt;$E225)*$E21</f>
        <v>0</v>
      </c>
      <c r="AG412" s="8" t="n">
        <f aca="false">(AF412*(1+Rate_Cash)-SUMPRODUCT($E290:$E293*$M290:$M293*(YEAR($J290:$J293)=AG363)))*(AG364&lt;$E225)*$E21</f>
        <v>0</v>
      </c>
      <c r="AH412" s="8" t="n">
        <f aca="false">(AG412*(1+Rate_Cash)-SUMPRODUCT($E290:$E293*$M290:$M293*(YEAR($J290:$J293)=AH363)))*(AH364&lt;$E225)*$E21</f>
        <v>0</v>
      </c>
      <c r="AI412" s="8" t="n">
        <f aca="false">(AH412*(1+Rate_Cash)-SUMPRODUCT($E290:$E293*$M290:$M293*(YEAR($J290:$J293)=AI363)))*(AI364&lt;$E225)*$E21</f>
        <v>0</v>
      </c>
      <c r="AJ412" s="8" t="n">
        <f aca="false">(AI412*(1+Rate_Cash)-SUMPRODUCT($E290:$E293*$M290:$M293*(YEAR($J290:$J293)=AJ363)))*(AJ364&lt;$E225)*$E21</f>
        <v>0</v>
      </c>
      <c r="AK412" s="8" t="n">
        <f aca="false">(AJ412*(1+Rate_Cash)-SUMPRODUCT($E290:$E293*$M290:$M293*(YEAR($J290:$J293)=AK363)))*(AK364&lt;$E225)*$E21</f>
        <v>0</v>
      </c>
      <c r="AL412" s="8" t="n">
        <f aca="false">(AK412*(1+Rate_Cash)-SUMPRODUCT($E290:$E293*$M290:$M293*(YEAR($J290:$J293)=AL363)))*(AL364&lt;$E225)*$E21</f>
        <v>0</v>
      </c>
      <c r="AM412" s="8" t="n">
        <f aca="false">(AL412*(1+Rate_Cash)-SUMPRODUCT($E290:$E293*$M290:$M293*(YEAR($J290:$J293)=AM363)))*(AM364&lt;$E225)*$E21</f>
        <v>0</v>
      </c>
      <c r="AN412" s="8" t="n">
        <f aca="false">(AM412*(1+Rate_Cash)-SUMPRODUCT($E290:$E293*$M290:$M293*(YEAR($J290:$J293)=AN363)))*(AN364&lt;$E225)*$E21</f>
        <v>0</v>
      </c>
      <c r="AO412" s="8" t="n">
        <f aca="false">(AN412*(1+Rate_Cash)-SUMPRODUCT($E290:$E293*$M290:$M293*(YEAR($J290:$J293)=AO363)))*(AO364&lt;$E225)*$E21</f>
        <v>0</v>
      </c>
      <c r="AP412" s="8" t="n">
        <f aca="false">(AO412*(1+Rate_Cash)-SUMPRODUCT($E290:$E293*$M290:$M293*(YEAR($J290:$J293)=AP363)))*(AP364&lt;$E225)*$E21</f>
        <v>0</v>
      </c>
      <c r="AQ412" s="8" t="n">
        <f aca="false">(AP412*(1+Rate_Cash)-SUMPRODUCT($E290:$E293*$M290:$M293*(YEAR($J290:$J293)=AQ363)))*(AQ364&lt;$E225)*$E21</f>
        <v>0</v>
      </c>
      <c r="AR412" s="8" t="n">
        <f aca="false">(AQ412*(1+Rate_Cash)-SUMPRODUCT($E290:$E293*$M290:$M293*(YEAR($J290:$J293)=AR363)))*(AR364&lt;$E225)*$E21</f>
        <v>0</v>
      </c>
      <c r="AS412" s="8" t="n">
        <f aca="false">(AR412*(1+Rate_Cash)-SUMPRODUCT($E290:$E293*$M290:$M293*(YEAR($J290:$J293)=AS363)))*(AS364&lt;$E225)*$E21</f>
        <v>0</v>
      </c>
    </row>
    <row r="413" customFormat="false" ht="14.25" hidden="false" customHeight="false" outlineLevel="0" collapsed="false">
      <c r="C413" s="6" t="s">
        <v>336</v>
      </c>
      <c r="D413" s="2" t="s">
        <v>85</v>
      </c>
      <c r="H413" s="8"/>
      <c r="J413" s="8" t="n">
        <f aca="false">(I413*(1+Rate_Devex)-SUMPRODUCT($E294:$E295*$M294:$M295*(YEAR($J294:$J295)=J363)))*(J364&lt;$E225)*$E21</f>
        <v>0</v>
      </c>
      <c r="K413" s="8" t="n">
        <f aca="false">(J413*(1+Rate_Devex)-SUMPRODUCT($E294:$E295*$M294:$M295*(YEAR($J294:$J295)=K363)))*(K364&lt;$E225)*$E21</f>
        <v>751.660032627003</v>
      </c>
      <c r="L413" s="8" t="n">
        <f aca="false">(K413*(1+Rate_Devex)-SUMPRODUCT($E294:$E295*$M294:$M295*(YEAR($J294:$J295)=L363)))*(L364&lt;$E225)*$E21</f>
        <v>0</v>
      </c>
      <c r="M413" s="8" t="n">
        <f aca="false">(L413*(1+Rate_Devex)-SUMPRODUCT($E294:$E295*$M294:$M295*(YEAR($J294:$J295)=M363)))*(M364&lt;$E225)*$E21</f>
        <v>0</v>
      </c>
      <c r="N413" s="8" t="n">
        <f aca="false">(M413*(1+Rate_Devex)-SUMPRODUCT($E294:$E295*$M294:$M295*(YEAR($J294:$J295)=N363)))*(N364&lt;$E225)*$E21</f>
        <v>0</v>
      </c>
      <c r="O413" s="8" t="n">
        <f aca="false">(N413*(1+Rate_Devex)-SUMPRODUCT($E294:$E295*$M294:$M295*(YEAR($J294:$J295)=O363)))*(O364&lt;$E225)*$E21</f>
        <v>0</v>
      </c>
      <c r="P413" s="8" t="n">
        <f aca="false">(O413*(1+Rate_Devex)-SUMPRODUCT($E294:$E295*$M294:$M295*(YEAR($J294:$J295)=P363)))*(P364&lt;$E225)*$E21</f>
        <v>0</v>
      </c>
      <c r="Q413" s="8" t="n">
        <f aca="false">(P413*(1+Rate_Devex)-SUMPRODUCT($E294:$E295*$M294:$M295*(YEAR($J294:$J295)=Q363)))*(Q364&lt;$E225)*$E21</f>
        <v>0</v>
      </c>
      <c r="R413" s="8" t="n">
        <f aca="false">(Q413*(1+Rate_Devex)-SUMPRODUCT($E294:$E295*$M294:$M295*(YEAR($J294:$J295)=R363)))*(R364&lt;$E225)*$E21</f>
        <v>0</v>
      </c>
      <c r="S413" s="8" t="n">
        <f aca="false">(R413*(1+Rate_Devex)-SUMPRODUCT($E294:$E295*$M294:$M295*(YEAR($J294:$J295)=S363)))*(S364&lt;$E225)*$E21</f>
        <v>0</v>
      </c>
      <c r="T413" s="8" t="n">
        <f aca="false">(S413*(1+Rate_Devex)-SUMPRODUCT($E294:$E295*$M294:$M295*(YEAR($J294:$J295)=T363)))*(T364&lt;$E225)*$E21</f>
        <v>0</v>
      </c>
      <c r="U413" s="8" t="n">
        <f aca="false">(T413*(1+Rate_Devex)-SUMPRODUCT($E294:$E295*$M294:$M295*(YEAR($J294:$J295)=U363)))*(U364&lt;$E225)*$E21</f>
        <v>0</v>
      </c>
      <c r="V413" s="8" t="n">
        <f aca="false">(U413*(1+Rate_Devex)-SUMPRODUCT($E294:$E295*$M294:$M295*(YEAR($J294:$J295)=V363)))*(V364&lt;$E225)*$E21</f>
        <v>0</v>
      </c>
      <c r="W413" s="8" t="n">
        <f aca="false">(V413*(1+Rate_Devex)-SUMPRODUCT($E294:$E295*$M294:$M295*(YEAR($J294:$J295)=W363)))*(W364&lt;$E225)*$E21</f>
        <v>0</v>
      </c>
      <c r="X413" s="8" t="n">
        <f aca="false">(W413*(1+Rate_Devex)-SUMPRODUCT($E294:$E295*$M294:$M295*(YEAR($J294:$J295)=X363)))*(X364&lt;$E225)*$E21</f>
        <v>0</v>
      </c>
      <c r="Y413" s="8" t="n">
        <f aca="false">(X413*(1+Rate_Devex)-SUMPRODUCT($E294:$E295*$M294:$M295*(YEAR($J294:$J295)=Y363)))*(Y364&lt;$E225)*$E21</f>
        <v>0</v>
      </c>
      <c r="Z413" s="8" t="n">
        <f aca="false">(Y413*(1+Rate_Devex)-SUMPRODUCT($E294:$E295*$M294:$M295*(YEAR($J294:$J295)=Z363)))*(Z364&lt;$E225)*$E21</f>
        <v>0</v>
      </c>
      <c r="AA413" s="8" t="n">
        <f aca="false">(Z413*(1+Rate_Devex)-SUMPRODUCT($E294:$E295*$M294:$M295*(YEAR($J294:$J295)=AA363)))*(AA364&lt;$E225)*$E21</f>
        <v>0</v>
      </c>
      <c r="AB413" s="8" t="n">
        <f aca="false">(AA413*(1+Rate_Devex)-SUMPRODUCT($E294:$E295*$M294:$M295*(YEAR($J294:$J295)=AB363)))*(AB364&lt;$E225)*$E21</f>
        <v>0</v>
      </c>
      <c r="AC413" s="8" t="n">
        <f aca="false">(AB413*(1+Rate_Devex)-SUMPRODUCT($E294:$E295*$M294:$M295*(YEAR($J294:$J295)=AC363)))*(AC364&lt;$E225)*$E21</f>
        <v>0</v>
      </c>
      <c r="AD413" s="8" t="n">
        <f aca="false">(AC413*(1+Rate_Devex)-SUMPRODUCT($E294:$E295*$M294:$M295*(YEAR($J294:$J295)=AD363)))*(AD364&lt;$E225)*$E21</f>
        <v>0</v>
      </c>
      <c r="AE413" s="8" t="n">
        <f aca="false">(AD413*(1+Rate_Devex)-SUMPRODUCT($E294:$E295*$M294:$M295*(YEAR($J294:$J295)=AE363)))*(AE364&lt;$E225)*$E21</f>
        <v>0</v>
      </c>
      <c r="AF413" s="8" t="n">
        <f aca="false">(AE413*(1+Rate_Devex)-SUMPRODUCT($E294:$E295*$M294:$M295*(YEAR($J294:$J295)=AF363)))*(AF364&lt;$E225)*$E21</f>
        <v>0</v>
      </c>
      <c r="AG413" s="8" t="n">
        <f aca="false">(AF413*(1+Rate_Devex)-SUMPRODUCT($E294:$E295*$M294:$M295*(YEAR($J294:$J295)=AG363)))*(AG364&lt;$E225)*$E21</f>
        <v>0</v>
      </c>
      <c r="AH413" s="8" t="n">
        <f aca="false">(AG413*(1+Rate_Devex)-SUMPRODUCT($E294:$E295*$M294:$M295*(YEAR($J294:$J295)=AH363)))*(AH364&lt;$E225)*$E21</f>
        <v>0</v>
      </c>
      <c r="AI413" s="8" t="n">
        <f aca="false">(AH413*(1+Rate_Devex)-SUMPRODUCT($E294:$E295*$M294:$M295*(YEAR($J294:$J295)=AI363)))*(AI364&lt;$E225)*$E21</f>
        <v>0</v>
      </c>
      <c r="AJ413" s="8" t="n">
        <f aca="false">(AI413*(1+Rate_Devex)-SUMPRODUCT($E294:$E295*$M294:$M295*(YEAR($J294:$J295)=AJ363)))*(AJ364&lt;$E225)*$E21</f>
        <v>0</v>
      </c>
      <c r="AK413" s="8" t="n">
        <f aca="false">(AJ413*(1+Rate_Devex)-SUMPRODUCT($E294:$E295*$M294:$M295*(YEAR($J294:$J295)=AK363)))*(AK364&lt;$E225)*$E21</f>
        <v>0</v>
      </c>
      <c r="AL413" s="8" t="n">
        <f aca="false">(AK413*(1+Rate_Devex)-SUMPRODUCT($E294:$E295*$M294:$M295*(YEAR($J294:$J295)=AL363)))*(AL364&lt;$E225)*$E21</f>
        <v>0</v>
      </c>
      <c r="AM413" s="8" t="n">
        <f aca="false">(AL413*(1+Rate_Devex)-SUMPRODUCT($E294:$E295*$M294:$M295*(YEAR($J294:$J295)=AM363)))*(AM364&lt;$E225)*$E21</f>
        <v>0</v>
      </c>
      <c r="AN413" s="8" t="n">
        <f aca="false">(AM413*(1+Rate_Devex)-SUMPRODUCT($E294:$E295*$M294:$M295*(YEAR($J294:$J295)=AN363)))*(AN364&lt;$E225)*$E21</f>
        <v>0</v>
      </c>
      <c r="AO413" s="8" t="n">
        <f aca="false">(AN413*(1+Rate_Devex)-SUMPRODUCT($E294:$E295*$M294:$M295*(YEAR($J294:$J295)=AO363)))*(AO364&lt;$E225)*$E21</f>
        <v>0</v>
      </c>
      <c r="AP413" s="8" t="n">
        <f aca="false">(AO413*(1+Rate_Devex)-SUMPRODUCT($E294:$E295*$M294:$M295*(YEAR($J294:$J295)=AP363)))*(AP364&lt;$E225)*$E21</f>
        <v>0</v>
      </c>
      <c r="AQ413" s="8" t="n">
        <f aca="false">(AP413*(1+Rate_Devex)-SUMPRODUCT($E294:$E295*$M294:$M295*(YEAR($J294:$J295)=AQ363)))*(AQ364&lt;$E225)*$E21</f>
        <v>0</v>
      </c>
      <c r="AR413" s="8" t="n">
        <f aca="false">(AQ413*(1+Rate_Devex)-SUMPRODUCT($E294:$E295*$M294:$M295*(YEAR($J294:$J295)=AR363)))*(AR364&lt;$E225)*$E21</f>
        <v>0</v>
      </c>
      <c r="AS413" s="8" t="n">
        <f aca="false">(AR413*(1+Rate_Devex)-SUMPRODUCT($E294:$E295*$M294:$M295*(YEAR($J294:$J295)=AS363)))*(AS364&lt;$E225)*$E21</f>
        <v>0</v>
      </c>
    </row>
    <row r="414" customFormat="false" ht="14.25" hidden="false" customHeight="false" outlineLevel="0" collapsed="false">
      <c r="C414" s="6" t="s">
        <v>337</v>
      </c>
      <c r="D414" s="2" t="s">
        <v>85</v>
      </c>
      <c r="H414" s="8" t="n">
        <f aca="false">SUM(J414:AS414)</f>
        <v>3291.64025470506</v>
      </c>
      <c r="J414" s="8" t="n">
        <f aca="false">-SUMPRODUCT($E290:$E295*(YEAR($J290:$J295)=J363))*(J364&lt;$E225)*$E21</f>
        <v>396.712328767123</v>
      </c>
      <c r="K414" s="8" t="n">
        <f aca="false">-SUMPRODUCT($E290:$E295*(YEAR($J290:$J295)=K363))*(K364&lt;$E225)*$E21</f>
        <v>2894.92792593794</v>
      </c>
      <c r="L414" s="8" t="n">
        <f aca="false">-SUMPRODUCT($E290:$E295*(YEAR($J290:$J295)=L363))*(L364&lt;$E225)*$E21</f>
        <v>-0</v>
      </c>
      <c r="M414" s="8" t="n">
        <f aca="false">-SUMPRODUCT($E290:$E295*(YEAR($J290:$J295)=M363))*(M364&lt;$E225)*$E21</f>
        <v>-0</v>
      </c>
      <c r="N414" s="8" t="n">
        <f aca="false">-SUMPRODUCT($E290:$E295*(YEAR($J290:$J295)=N363))*(N364&lt;$E225)*$E21</f>
        <v>-0</v>
      </c>
      <c r="O414" s="8" t="n">
        <f aca="false">-SUMPRODUCT($E290:$E295*(YEAR($J290:$J295)=O363))*(O364&lt;$E225)*$E21</f>
        <v>-0</v>
      </c>
      <c r="P414" s="8" t="n">
        <f aca="false">-SUMPRODUCT($E290:$E295*(YEAR($J290:$J295)=P363))*(P364&lt;$E225)*$E21</f>
        <v>-0</v>
      </c>
      <c r="Q414" s="8" t="n">
        <f aca="false">-SUMPRODUCT($E290:$E295*(YEAR($J290:$J295)=Q363))*(Q364&lt;$E225)*$E21</f>
        <v>-0</v>
      </c>
      <c r="R414" s="8" t="n">
        <f aca="false">-SUMPRODUCT($E290:$E295*(YEAR($J290:$J295)=R363))*(R364&lt;$E225)*$E21</f>
        <v>-0</v>
      </c>
      <c r="S414" s="8" t="n">
        <f aca="false">-SUMPRODUCT($E290:$E295*(YEAR($J290:$J295)=S363))*(S364&lt;$E225)*$E21</f>
        <v>-0</v>
      </c>
      <c r="T414" s="8" t="n">
        <f aca="false">-SUMPRODUCT($E290:$E295*(YEAR($J290:$J295)=T363))*(T364&lt;$E225)*$E21</f>
        <v>-0</v>
      </c>
      <c r="U414" s="8" t="n">
        <f aca="false">-SUMPRODUCT($E290:$E295*(YEAR($J290:$J295)=U363))*(U364&lt;$E225)*$E21</f>
        <v>-0</v>
      </c>
      <c r="V414" s="8" t="n">
        <f aca="false">-SUMPRODUCT($E290:$E295*(YEAR($J290:$J295)=V363))*(V364&lt;$E225)*$E21</f>
        <v>-0</v>
      </c>
      <c r="W414" s="8" t="n">
        <f aca="false">-SUMPRODUCT($E290:$E295*(YEAR($J290:$J295)=W363))*(W364&lt;$E225)*$E21</f>
        <v>-0</v>
      </c>
      <c r="X414" s="8" t="n">
        <f aca="false">-SUMPRODUCT($E290:$E295*(YEAR($J290:$J295)=X363))*(X364&lt;$E225)*$E21</f>
        <v>-0</v>
      </c>
      <c r="Y414" s="8" t="n">
        <f aca="false">-SUMPRODUCT($E290:$E295*(YEAR($J290:$J295)=Y363))*(Y364&lt;$E225)*$E21</f>
        <v>-0</v>
      </c>
      <c r="Z414" s="8" t="n">
        <f aca="false">-SUMPRODUCT($E290:$E295*(YEAR($J290:$J295)=Z363))*(Z364&lt;$E225)*$E21</f>
        <v>-0</v>
      </c>
      <c r="AA414" s="8" t="n">
        <f aca="false">-SUMPRODUCT($E290:$E295*(YEAR($J290:$J295)=AA363))*(AA364&lt;$E225)*$E21</f>
        <v>-0</v>
      </c>
      <c r="AB414" s="8" t="n">
        <f aca="false">-SUMPRODUCT($E290:$E295*(YEAR($J290:$J295)=AB363))*(AB364&lt;$E225)*$E21</f>
        <v>-0</v>
      </c>
      <c r="AC414" s="8" t="n">
        <f aca="false">-SUMPRODUCT($E290:$E295*(YEAR($J290:$J295)=AC363))*(AC364&lt;$E225)*$E21</f>
        <v>-0</v>
      </c>
      <c r="AD414" s="8" t="n">
        <f aca="false">-SUMPRODUCT($E290:$E295*(YEAR($J290:$J295)=AD363))*(AD364&lt;$E225)*$E21</f>
        <v>-0</v>
      </c>
      <c r="AE414" s="8" t="n">
        <f aca="false">-SUMPRODUCT($E290:$E295*(YEAR($J290:$J295)=AE363))*(AE364&lt;$E225)*$E21</f>
        <v>-0</v>
      </c>
      <c r="AF414" s="8" t="n">
        <f aca="false">-SUMPRODUCT($E290:$E295*(YEAR($J290:$J295)=AF363))*(AF364&lt;$E225)*$E21</f>
        <v>-0</v>
      </c>
      <c r="AG414" s="8" t="n">
        <f aca="false">-SUMPRODUCT($E290:$E295*(YEAR($J290:$J295)=AG363))*(AG364&lt;$E225)*$E21</f>
        <v>-0</v>
      </c>
      <c r="AH414" s="8" t="n">
        <f aca="false">-SUMPRODUCT($E290:$E295*(YEAR($J290:$J295)=AH363))*(AH364&lt;$E225)*$E21</f>
        <v>-0</v>
      </c>
      <c r="AI414" s="8" t="n">
        <f aca="false">-SUMPRODUCT($E290:$E295*(YEAR($J290:$J295)=AI363))*(AI364&lt;$E225)*$E21</f>
        <v>-0</v>
      </c>
      <c r="AJ414" s="8" t="n">
        <f aca="false">-SUMPRODUCT($E290:$E295*(YEAR($J290:$J295)=AJ363))*(AJ364&lt;$E225)*$E21</f>
        <v>-0</v>
      </c>
      <c r="AK414" s="8" t="n">
        <f aca="false">-SUMPRODUCT($E290:$E295*(YEAR($J290:$J295)=AK363))*(AK364&lt;$E225)*$E21</f>
        <v>-0</v>
      </c>
      <c r="AL414" s="8" t="n">
        <f aca="false">-SUMPRODUCT($E290:$E295*(YEAR($J290:$J295)=AL363))*(AL364&lt;$E225)*$E21</f>
        <v>-0</v>
      </c>
      <c r="AM414" s="8" t="n">
        <f aca="false">-SUMPRODUCT($E290:$E295*(YEAR($J290:$J295)=AM363))*(AM364&lt;$E225)*$E21</f>
        <v>-0</v>
      </c>
      <c r="AN414" s="8" t="n">
        <f aca="false">-SUMPRODUCT($E290:$E295*(YEAR($J290:$J295)=AN363))*(AN364&lt;$E225)*$E21</f>
        <v>-0</v>
      </c>
      <c r="AO414" s="8" t="n">
        <f aca="false">-SUMPRODUCT($E290:$E295*(YEAR($J290:$J295)=AO363))*(AO364&lt;$E225)*$E21</f>
        <v>-0</v>
      </c>
      <c r="AP414" s="8" t="n">
        <f aca="false">-SUMPRODUCT($E290:$E295*(YEAR($J290:$J295)=AP363))*(AP364&lt;$E225)*$E21</f>
        <v>-0</v>
      </c>
      <c r="AQ414" s="8" t="n">
        <f aca="false">-SUMPRODUCT($E290:$E295*(YEAR($J290:$J295)=AQ363))*(AQ364&lt;$E225)*$E21</f>
        <v>-0</v>
      </c>
      <c r="AR414" s="8" t="n">
        <f aca="false">-SUMPRODUCT($E290:$E295*(YEAR($J290:$J295)=AR363))*(AR364&lt;$E225)*$E21</f>
        <v>-0</v>
      </c>
      <c r="AS414" s="8" t="n">
        <f aca="false">-SUMPRODUCT($E290:$E295*(YEAR($J290:$J295)=AS363))*(AS364&lt;$E225)*$E21</f>
        <v>-0</v>
      </c>
    </row>
    <row r="415" customFormat="false" ht="14.25" hidden="false" customHeight="false" outlineLevel="0" collapsed="false">
      <c r="C415" s="6" t="s">
        <v>338</v>
      </c>
      <c r="D415" s="2" t="s">
        <v>85</v>
      </c>
      <c r="H415" s="8" t="n">
        <f aca="false">SUM(J415:AS415)</f>
        <v>334.410879892294</v>
      </c>
      <c r="J415" s="8" t="n">
        <f aca="false">(J412+J413-I412-I413-J414)*(J364&lt;$E225)*$E21</f>
        <v>8.21683617939578</v>
      </c>
      <c r="K415" s="8" t="n">
        <f aca="false">(K412+K413-J412-J413-K414)*(K364&lt;$E225)*$E21</f>
        <v>326.194043712898</v>
      </c>
      <c r="L415" s="8" t="n">
        <f aca="false">(L412+L413-K412-K413-L414)*(L364&lt;$E225)*$E21</f>
        <v>-0</v>
      </c>
      <c r="M415" s="8" t="n">
        <f aca="false">(M412+M413-L412-L413-M414)*(M364&lt;$E225)*$E21</f>
        <v>0</v>
      </c>
      <c r="N415" s="8" t="n">
        <f aca="false">(N412+N413-M412-M413-N414)*(N364&lt;$E225)*$E21</f>
        <v>0</v>
      </c>
      <c r="O415" s="8" t="n">
        <f aca="false">(O412+O413-N412-N413-O414)*(O364&lt;$E225)*$E21</f>
        <v>0</v>
      </c>
      <c r="P415" s="8" t="n">
        <f aca="false">(P412+P413-O412-O413-P414)*(P364&lt;$E225)*$E21</f>
        <v>0</v>
      </c>
      <c r="Q415" s="8" t="n">
        <f aca="false">(Q412+Q413-P412-P413-Q414)*(Q364&lt;$E225)*$E21</f>
        <v>0</v>
      </c>
      <c r="R415" s="8" t="n">
        <f aca="false">(R412+R413-Q412-Q413-R414)*(R364&lt;$E225)*$E21</f>
        <v>0</v>
      </c>
      <c r="S415" s="8" t="n">
        <f aca="false">(S412+S413-R412-R413-S414)*(S364&lt;$E225)*$E21</f>
        <v>0</v>
      </c>
      <c r="T415" s="8" t="n">
        <f aca="false">(T412+T413-S412-S413-T414)*(T364&lt;$E225)*$E21</f>
        <v>0</v>
      </c>
      <c r="U415" s="8" t="n">
        <f aca="false">(U412+U413-T412-T413-U414)*(U364&lt;$E225)*$E21</f>
        <v>0</v>
      </c>
      <c r="V415" s="8" t="n">
        <f aca="false">(V412+V413-U412-U413-V414)*(V364&lt;$E225)*$E21</f>
        <v>0</v>
      </c>
      <c r="W415" s="8" t="n">
        <f aca="false">(W412+W413-V412-V413-W414)*(W364&lt;$E225)*$E21</f>
        <v>0</v>
      </c>
      <c r="X415" s="8" t="n">
        <f aca="false">(X412+X413-W412-W413-X414)*(X364&lt;$E225)*$E21</f>
        <v>0</v>
      </c>
      <c r="Y415" s="8" t="n">
        <f aca="false">(Y412+Y413-X412-X413-Y414)*(Y364&lt;$E225)*$E21</f>
        <v>0</v>
      </c>
      <c r="Z415" s="8" t="n">
        <f aca="false">(Z412+Z413-Y412-Y413-Z414)*(Z364&lt;$E225)*$E21</f>
        <v>0</v>
      </c>
      <c r="AA415" s="8" t="n">
        <f aca="false">(AA412+AA413-Z412-Z413-AA414)*(AA364&lt;$E225)*$E21</f>
        <v>0</v>
      </c>
      <c r="AB415" s="8" t="n">
        <f aca="false">(AB412+AB413-AA412-AA413-AB414)*(AB364&lt;$E225)*$E21</f>
        <v>0</v>
      </c>
      <c r="AC415" s="8" t="n">
        <f aca="false">(AC412+AC413-AB412-AB413-AC414)*(AC364&lt;$E225)*$E21</f>
        <v>0</v>
      </c>
      <c r="AD415" s="8" t="n">
        <f aca="false">(AD412+AD413-AC412-AC413-AD414)*(AD364&lt;$E225)*$E21</f>
        <v>0</v>
      </c>
      <c r="AE415" s="8" t="n">
        <f aca="false">(AE412+AE413-AD412-AD413-AE414)*(AE364&lt;$E225)*$E21</f>
        <v>0</v>
      </c>
      <c r="AF415" s="8" t="n">
        <f aca="false">(AF412+AF413-AE412-AE413-AF414)*(AF364&lt;$E225)*$E21</f>
        <v>0</v>
      </c>
      <c r="AG415" s="8" t="n">
        <f aca="false">(AG412+AG413-AF412-AF413-AG414)*(AG364&lt;$E225)*$E21</f>
        <v>0</v>
      </c>
      <c r="AH415" s="8" t="n">
        <f aca="false">(AH412+AH413-AG412-AG413-AH414)*(AH364&lt;$E225)*$E21</f>
        <v>0</v>
      </c>
      <c r="AI415" s="8" t="n">
        <f aca="false">(AI412+AI413-AH412-AH413-AI414)*(AI364&lt;$E225)*$E21</f>
        <v>0</v>
      </c>
      <c r="AJ415" s="8" t="n">
        <f aca="false">(AJ412+AJ413-AI412-AI413-AJ414)*(AJ364&lt;$E225)*$E21</f>
        <v>0</v>
      </c>
      <c r="AK415" s="8" t="n">
        <f aca="false">(AK412+AK413-AJ412-AJ413-AK414)*(AK364&lt;$E225)*$E21</f>
        <v>0</v>
      </c>
      <c r="AL415" s="8" t="n">
        <f aca="false">(AL412+AL413-AK412-AK413-AL414)*(AL364&lt;$E225)*$E21</f>
        <v>0</v>
      </c>
      <c r="AM415" s="8" t="n">
        <f aca="false">(AM412+AM413-AL412-AL413-AM414)*(AM364&lt;$E225)*$E21</f>
        <v>0</v>
      </c>
      <c r="AN415" s="8" t="n">
        <f aca="false">(AN412+AN413-AM412-AM413-AN414)*(AN364&lt;$E225)*$E21</f>
        <v>0</v>
      </c>
      <c r="AO415" s="8" t="n">
        <f aca="false">(AO412+AO413-AN412-AN413-AO414)*(AO364&lt;$E225)*$E21</f>
        <v>0</v>
      </c>
      <c r="AP415" s="8" t="n">
        <f aca="false">(AP412+AP413-AO412-AO413-AP414)*(AP364&lt;$E225)*$E21</f>
        <v>0</v>
      </c>
      <c r="AQ415" s="8" t="n">
        <f aca="false">(AQ412+AQ413-AP412-AP413-AQ414)*(AQ364&lt;$E225)*$E21</f>
        <v>0</v>
      </c>
      <c r="AR415" s="8" t="n">
        <f aca="false">(AR412+AR413-AQ412-AQ413-AR414)*(AR364&lt;$E225)*$E21</f>
        <v>0</v>
      </c>
      <c r="AS415" s="8" t="n">
        <f aca="false">(AS412+AS413-AR412-AR413-AS414)*(AS364&lt;$E225)*$E21</f>
        <v>0</v>
      </c>
    </row>
    <row r="417" customFormat="false" ht="14.25" hidden="false" customHeight="false" outlineLevel="0" collapsed="false">
      <c r="B417" s="4" t="s">
        <v>3</v>
      </c>
      <c r="C417" s="4" t="s">
        <v>339</v>
      </c>
      <c r="D417" s="4"/>
      <c r="E417" s="5"/>
      <c r="F417" s="5" t="s">
        <v>289</v>
      </c>
      <c r="G417" s="5"/>
      <c r="H417" s="5" t="s">
        <v>8</v>
      </c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</row>
    <row r="418" customFormat="false" ht="14.25" hidden="false" customHeight="false" outlineLevel="0" collapsed="false">
      <c r="C418" s="6" t="s">
        <v>290</v>
      </c>
      <c r="D418" s="2" t="s">
        <v>291</v>
      </c>
      <c r="J418" s="74" t="n">
        <f aca="false">J$363-YEAR(Inputs!$F$26)</f>
        <v>-5</v>
      </c>
      <c r="K418" s="74" t="n">
        <f aca="false">K$363-YEAR(Inputs!$F$26)</f>
        <v>-4</v>
      </c>
      <c r="L418" s="74" t="n">
        <f aca="false">L$363-YEAR(Inputs!$F$26)</f>
        <v>-3</v>
      </c>
      <c r="M418" s="74" t="n">
        <f aca="false">M$363-YEAR(Inputs!$F$26)</f>
        <v>-2</v>
      </c>
      <c r="N418" s="74" t="n">
        <f aca="false">N$363-YEAR(Inputs!$F$26)</f>
        <v>-1</v>
      </c>
      <c r="O418" s="74" t="n">
        <f aca="false">O$363-YEAR(Inputs!$F$26)</f>
        <v>0</v>
      </c>
      <c r="P418" s="74" t="n">
        <f aca="false">P$363-YEAR(Inputs!$F$26)</f>
        <v>1</v>
      </c>
      <c r="Q418" s="74" t="n">
        <f aca="false">Q$363-YEAR(Inputs!$F$26)</f>
        <v>2</v>
      </c>
      <c r="R418" s="74" t="n">
        <f aca="false">R$363-YEAR(Inputs!$F$26)</f>
        <v>3</v>
      </c>
      <c r="S418" s="74" t="n">
        <f aca="false">S$363-YEAR(Inputs!$F$26)</f>
        <v>4</v>
      </c>
      <c r="T418" s="74" t="n">
        <f aca="false">T$363-YEAR(Inputs!$F$26)</f>
        <v>5</v>
      </c>
      <c r="U418" s="74" t="n">
        <f aca="false">U$363-YEAR(Inputs!$F$26)</f>
        <v>6</v>
      </c>
      <c r="V418" s="74" t="n">
        <f aca="false">V$363-YEAR(Inputs!$F$26)</f>
        <v>7</v>
      </c>
      <c r="W418" s="74" t="n">
        <f aca="false">W$363-YEAR(Inputs!$F$26)</f>
        <v>8</v>
      </c>
      <c r="X418" s="74" t="n">
        <f aca="false">X$363-YEAR(Inputs!$F$26)</f>
        <v>9</v>
      </c>
      <c r="Y418" s="74" t="n">
        <f aca="false">Y$363-YEAR(Inputs!$F$26)</f>
        <v>10</v>
      </c>
      <c r="Z418" s="74" t="n">
        <f aca="false">Z$363-YEAR(Inputs!$F$26)</f>
        <v>11</v>
      </c>
      <c r="AA418" s="74" t="n">
        <f aca="false">AA$363-YEAR(Inputs!$F$26)</f>
        <v>12</v>
      </c>
      <c r="AB418" s="74" t="n">
        <f aca="false">AB$363-YEAR(Inputs!$F$26)</f>
        <v>13</v>
      </c>
      <c r="AC418" s="74" t="n">
        <f aca="false">AC$363-YEAR(Inputs!$F$26)</f>
        <v>14</v>
      </c>
      <c r="AD418" s="74" t="n">
        <f aca="false">AD$363-YEAR(Inputs!$F$26)</f>
        <v>15</v>
      </c>
      <c r="AE418" s="74" t="n">
        <f aca="false">AE$363-YEAR(Inputs!$F$26)</f>
        <v>16</v>
      </c>
      <c r="AF418" s="74" t="n">
        <f aca="false">AF$363-YEAR(Inputs!$F$26)</f>
        <v>17</v>
      </c>
      <c r="AG418" s="74" t="n">
        <f aca="false">AG$363-YEAR(Inputs!$F$26)</f>
        <v>18</v>
      </c>
      <c r="AH418" s="74" t="n">
        <f aca="false">AH$363-YEAR(Inputs!$F$26)</f>
        <v>19</v>
      </c>
      <c r="AI418" s="74" t="n">
        <f aca="false">AI$363-YEAR(Inputs!$F$26)</f>
        <v>20</v>
      </c>
      <c r="AJ418" s="74" t="n">
        <f aca="false">AJ$363-YEAR(Inputs!$F$26)</f>
        <v>21</v>
      </c>
      <c r="AK418" s="74" t="n">
        <f aca="false">AK$363-YEAR(Inputs!$F$26)</f>
        <v>22</v>
      </c>
      <c r="AL418" s="74" t="n">
        <f aca="false">AL$363-YEAR(Inputs!$F$26)</f>
        <v>23</v>
      </c>
      <c r="AM418" s="74" t="n">
        <f aca="false">AM$363-YEAR(Inputs!$F$26)</f>
        <v>24</v>
      </c>
      <c r="AN418" s="74" t="n">
        <f aca="false">AN$363-YEAR(Inputs!$F$26)</f>
        <v>25</v>
      </c>
      <c r="AO418" s="74" t="n">
        <f aca="false">AO$363-YEAR(Inputs!$F$26)</f>
        <v>26</v>
      </c>
      <c r="AP418" s="74" t="n">
        <f aca="false">AP$363-YEAR(Inputs!$F$26)</f>
        <v>27</v>
      </c>
      <c r="AQ418" s="74" t="n">
        <f aca="false">AQ$363-YEAR(Inputs!$F$26)</f>
        <v>28</v>
      </c>
      <c r="AR418" s="74" t="n">
        <f aca="false">AR$363-YEAR(Inputs!$F$26)</f>
        <v>29</v>
      </c>
      <c r="AS418" s="74" t="n">
        <f aca="false">AS$363-YEAR(Inputs!$F$26)</f>
        <v>30</v>
      </c>
    </row>
    <row r="419" customFormat="false" ht="14.25" hidden="false" customHeight="false" outlineLevel="0" collapsed="false">
      <c r="C419" s="6" t="s">
        <v>292</v>
      </c>
      <c r="D419" s="2" t="s">
        <v>293</v>
      </c>
      <c r="F419" s="74" t="n">
        <f aca="false">DATEDIF(Inputs!$F$25,Inputs!$F$26,"m")</f>
        <v>24</v>
      </c>
      <c r="J419" s="74" t="n">
        <f aca="false">(J$363+1-YEAR(Inputs!$F$25))*Months_In_Year-MONTH(Inputs!$F$25)</f>
        <v>-30</v>
      </c>
      <c r="K419" s="74" t="n">
        <f aca="false">(K$363+1-YEAR(Inputs!$F$25))*Months_In_Year-MONTH(Inputs!$F$25)</f>
        <v>-18</v>
      </c>
      <c r="L419" s="74" t="n">
        <f aca="false">(L$363+1-YEAR(Inputs!$F$25))*Months_In_Year-MONTH(Inputs!$F$25)</f>
        <v>-6</v>
      </c>
      <c r="M419" s="74" t="n">
        <f aca="false">(M$363+1-YEAR(Inputs!$F$25))*Months_In_Year-MONTH(Inputs!$F$25)</f>
        <v>6</v>
      </c>
      <c r="N419" s="74" t="n">
        <f aca="false">(N$363+1-YEAR(Inputs!$F$25))*Months_In_Year-MONTH(Inputs!$F$25)</f>
        <v>18</v>
      </c>
      <c r="O419" s="74" t="n">
        <f aca="false">(O$363+1-YEAR(Inputs!$F$25))*Months_In_Year-MONTH(Inputs!$F$25)</f>
        <v>30</v>
      </c>
      <c r="P419" s="74" t="n">
        <f aca="false">(P$363+1-YEAR(Inputs!$F$25))*Months_In_Year-MONTH(Inputs!$F$25)</f>
        <v>42</v>
      </c>
      <c r="Q419" s="74" t="n">
        <f aca="false">(Q$363+1-YEAR(Inputs!$F$25))*Months_In_Year-MONTH(Inputs!$F$25)</f>
        <v>54</v>
      </c>
      <c r="R419" s="74" t="n">
        <f aca="false">(R$363+1-YEAR(Inputs!$F$25))*Months_In_Year-MONTH(Inputs!$F$25)</f>
        <v>66</v>
      </c>
      <c r="S419" s="74" t="n">
        <f aca="false">(S$363+1-YEAR(Inputs!$F$25))*Months_In_Year-MONTH(Inputs!$F$25)</f>
        <v>78</v>
      </c>
      <c r="T419" s="74" t="n">
        <f aca="false">(T$363+1-YEAR(Inputs!$F$25))*Months_In_Year-MONTH(Inputs!$F$25)</f>
        <v>90</v>
      </c>
      <c r="U419" s="74" t="n">
        <f aca="false">(U$363+1-YEAR(Inputs!$F$25))*Months_In_Year-MONTH(Inputs!$F$25)</f>
        <v>102</v>
      </c>
      <c r="V419" s="74" t="n">
        <f aca="false">(V$363+1-YEAR(Inputs!$F$25))*Months_In_Year-MONTH(Inputs!$F$25)</f>
        <v>114</v>
      </c>
      <c r="W419" s="74" t="n">
        <f aca="false">(W$363+1-YEAR(Inputs!$F$25))*Months_In_Year-MONTH(Inputs!$F$25)</f>
        <v>126</v>
      </c>
      <c r="X419" s="74" t="n">
        <f aca="false">(X$363+1-YEAR(Inputs!$F$25))*Months_In_Year-MONTH(Inputs!$F$25)</f>
        <v>138</v>
      </c>
      <c r="Y419" s="74" t="n">
        <f aca="false">(Y$363+1-YEAR(Inputs!$F$25))*Months_In_Year-MONTH(Inputs!$F$25)</f>
        <v>150</v>
      </c>
      <c r="Z419" s="74" t="n">
        <f aca="false">(Z$363+1-YEAR(Inputs!$F$25))*Months_In_Year-MONTH(Inputs!$F$25)</f>
        <v>162</v>
      </c>
      <c r="AA419" s="74" t="n">
        <f aca="false">(AA$363+1-YEAR(Inputs!$F$25))*Months_In_Year-MONTH(Inputs!$F$25)</f>
        <v>174</v>
      </c>
      <c r="AB419" s="74" t="n">
        <f aca="false">(AB$363+1-YEAR(Inputs!$F$25))*Months_In_Year-MONTH(Inputs!$F$25)</f>
        <v>186</v>
      </c>
      <c r="AC419" s="74" t="n">
        <f aca="false">(AC$363+1-YEAR(Inputs!$F$25))*Months_In_Year-MONTH(Inputs!$F$25)</f>
        <v>198</v>
      </c>
      <c r="AD419" s="74" t="n">
        <f aca="false">(AD$363+1-YEAR(Inputs!$F$25))*Months_In_Year-MONTH(Inputs!$F$25)</f>
        <v>210</v>
      </c>
      <c r="AE419" s="74" t="n">
        <f aca="false">(AE$363+1-YEAR(Inputs!$F$25))*Months_In_Year-MONTH(Inputs!$F$25)</f>
        <v>222</v>
      </c>
      <c r="AF419" s="74" t="n">
        <f aca="false">(AF$363+1-YEAR(Inputs!$F$25))*Months_In_Year-MONTH(Inputs!$F$25)</f>
        <v>234</v>
      </c>
      <c r="AG419" s="74" t="n">
        <f aca="false">(AG$363+1-YEAR(Inputs!$F$25))*Months_In_Year-MONTH(Inputs!$F$25)</f>
        <v>246</v>
      </c>
      <c r="AH419" s="74" t="n">
        <f aca="false">(AH$363+1-YEAR(Inputs!$F$25))*Months_In_Year-MONTH(Inputs!$F$25)</f>
        <v>258</v>
      </c>
      <c r="AI419" s="74" t="n">
        <f aca="false">(AI$363+1-YEAR(Inputs!$F$25))*Months_In_Year-MONTH(Inputs!$F$25)</f>
        <v>270</v>
      </c>
      <c r="AJ419" s="74" t="n">
        <f aca="false">(AJ$363+1-YEAR(Inputs!$F$25))*Months_In_Year-MONTH(Inputs!$F$25)</f>
        <v>282</v>
      </c>
      <c r="AK419" s="74" t="n">
        <f aca="false">(AK$363+1-YEAR(Inputs!$F$25))*Months_In_Year-MONTH(Inputs!$F$25)</f>
        <v>294</v>
      </c>
      <c r="AL419" s="74" t="n">
        <f aca="false">(AL$363+1-YEAR(Inputs!$F$25))*Months_In_Year-MONTH(Inputs!$F$25)</f>
        <v>306</v>
      </c>
      <c r="AM419" s="74" t="n">
        <f aca="false">(AM$363+1-YEAR(Inputs!$F$25))*Months_In_Year-MONTH(Inputs!$F$25)</f>
        <v>318</v>
      </c>
      <c r="AN419" s="74" t="n">
        <f aca="false">(AN$363+1-YEAR(Inputs!$F$25))*Months_In_Year-MONTH(Inputs!$F$25)</f>
        <v>330</v>
      </c>
      <c r="AO419" s="74" t="n">
        <f aca="false">(AO$363+1-YEAR(Inputs!$F$25))*Months_In_Year-MONTH(Inputs!$F$25)</f>
        <v>342</v>
      </c>
      <c r="AP419" s="74" t="n">
        <f aca="false">(AP$363+1-YEAR(Inputs!$F$25))*Months_In_Year-MONTH(Inputs!$F$25)</f>
        <v>354</v>
      </c>
      <c r="AQ419" s="74" t="n">
        <f aca="false">(AQ$363+1-YEAR(Inputs!$F$25))*Months_In_Year-MONTH(Inputs!$F$25)</f>
        <v>366</v>
      </c>
      <c r="AR419" s="74" t="n">
        <f aca="false">(AR$363+1-YEAR(Inputs!$F$25))*Months_In_Year-MONTH(Inputs!$F$25)</f>
        <v>378</v>
      </c>
      <c r="AS419" s="74" t="n">
        <f aca="false">(AS$363+1-YEAR(Inputs!$F$25))*Months_In_Year-MONTH(Inputs!$F$25)</f>
        <v>390</v>
      </c>
    </row>
    <row r="420" customFormat="false" ht="14.25" hidden="false" customHeight="false" outlineLevel="0" collapsed="false">
      <c r="C420" s="6" t="s">
        <v>294</v>
      </c>
      <c r="D420" s="2" t="s">
        <v>12</v>
      </c>
      <c r="H420" s="75" t="n">
        <f aca="false">SUM(J420:AS420)</f>
        <v>1</v>
      </c>
      <c r="J420" s="48" t="n">
        <f aca="false">MAX(0,MIN(J419,$F419)-MAX(J419-Months_In_Year,0))/$F419</f>
        <v>0</v>
      </c>
      <c r="K420" s="48" t="n">
        <f aca="false">MAX(0,MIN(K419,$F419)-MAX(K419-Months_In_Year,0))/$F419</f>
        <v>0</v>
      </c>
      <c r="L420" s="48" t="n">
        <f aca="false">MAX(0,MIN(L419,$F419)-MAX(L419-Months_In_Year,0))/$F419</f>
        <v>0</v>
      </c>
      <c r="M420" s="48" t="n">
        <f aca="false">MAX(0,MIN(M419,$F419)-MAX(M419-Months_In_Year,0))/$F419</f>
        <v>0.25</v>
      </c>
      <c r="N420" s="48" t="n">
        <f aca="false">MAX(0,MIN(N419,$F419)-MAX(N419-Months_In_Year,0))/$F419</f>
        <v>0.5</v>
      </c>
      <c r="O420" s="48" t="n">
        <f aca="false">MAX(0,MIN(O419,$F419)-MAX(O419-Months_In_Year,0))/$F419</f>
        <v>0.25</v>
      </c>
      <c r="P420" s="48" t="n">
        <f aca="false">MAX(0,MIN(P419,$F419)-MAX(P419-Months_In_Year,0))/$F419</f>
        <v>0</v>
      </c>
      <c r="Q420" s="48" t="n">
        <f aca="false">MAX(0,MIN(Q419,$F419)-MAX(Q419-Months_In_Year,0))/$F419</f>
        <v>0</v>
      </c>
      <c r="R420" s="48" t="n">
        <f aca="false">MAX(0,MIN(R419,$F419)-MAX(R419-Months_In_Year,0))/$F419</f>
        <v>0</v>
      </c>
      <c r="S420" s="48" t="n">
        <f aca="false">MAX(0,MIN(S419,$F419)-MAX(S419-Months_In_Year,0))/$F419</f>
        <v>0</v>
      </c>
      <c r="T420" s="48" t="n">
        <f aca="false">MAX(0,MIN(T419,$F419)-MAX(T419-Months_In_Year,0))/$F419</f>
        <v>0</v>
      </c>
      <c r="U420" s="48" t="n">
        <f aca="false">MAX(0,MIN(U419,$F419)-MAX(U419-Months_In_Year,0))/$F419</f>
        <v>0</v>
      </c>
      <c r="V420" s="48" t="n">
        <f aca="false">MAX(0,MIN(V419,$F419)-MAX(V419-Months_In_Year,0))/$F419</f>
        <v>0</v>
      </c>
      <c r="W420" s="48" t="n">
        <f aca="false">MAX(0,MIN(W419,$F419)-MAX(W419-Months_In_Year,0))/$F419</f>
        <v>0</v>
      </c>
      <c r="X420" s="48" t="n">
        <f aca="false">MAX(0,MIN(X419,$F419)-MAX(X419-Months_In_Year,0))/$F419</f>
        <v>0</v>
      </c>
      <c r="Y420" s="48" t="n">
        <f aca="false">MAX(0,MIN(Y419,$F419)-MAX(Y419-Months_In_Year,0))/$F419</f>
        <v>0</v>
      </c>
      <c r="Z420" s="48" t="n">
        <f aca="false">MAX(0,MIN(Z419,$F419)-MAX(Z419-Months_In_Year,0))/$F419</f>
        <v>0</v>
      </c>
      <c r="AA420" s="48" t="n">
        <f aca="false">MAX(0,MIN(AA419,$F419)-MAX(AA419-Months_In_Year,0))/$F419</f>
        <v>0</v>
      </c>
      <c r="AB420" s="48" t="n">
        <f aca="false">MAX(0,MIN(AB419,$F419)-MAX(AB419-Months_In_Year,0))/$F419</f>
        <v>0</v>
      </c>
      <c r="AC420" s="48" t="n">
        <f aca="false">MAX(0,MIN(AC419,$F419)-MAX(AC419-Months_In_Year,0))/$F419</f>
        <v>0</v>
      </c>
      <c r="AD420" s="48" t="n">
        <f aca="false">MAX(0,MIN(AD419,$F419)-MAX(AD419-Months_In_Year,0))/$F419</f>
        <v>0</v>
      </c>
      <c r="AE420" s="48" t="n">
        <f aca="false">MAX(0,MIN(AE419,$F419)-MAX(AE419-Months_In_Year,0))/$F419</f>
        <v>0</v>
      </c>
      <c r="AF420" s="48" t="n">
        <f aca="false">MAX(0,MIN(AF419,$F419)-MAX(AF419-Months_In_Year,0))/$F419</f>
        <v>0</v>
      </c>
      <c r="AG420" s="48" t="n">
        <f aca="false">MAX(0,MIN(AG419,$F419)-MAX(AG419-Months_In_Year,0))/$F419</f>
        <v>0</v>
      </c>
      <c r="AH420" s="48" t="n">
        <f aca="false">MAX(0,MIN(AH419,$F419)-MAX(AH419-Months_In_Year,0))/$F419</f>
        <v>0</v>
      </c>
      <c r="AI420" s="48" t="n">
        <f aca="false">MAX(0,MIN(AI419,$F419)-MAX(AI419-Months_In_Year,0))/$F419</f>
        <v>0</v>
      </c>
      <c r="AJ420" s="48" t="n">
        <f aca="false">MAX(0,MIN(AJ419,$F419)-MAX(AJ419-Months_In_Year,0))/$F419</f>
        <v>0</v>
      </c>
      <c r="AK420" s="48" t="n">
        <f aca="false">MAX(0,MIN(AK419,$F419)-MAX(AK419-Months_In_Year,0))/$F419</f>
        <v>0</v>
      </c>
      <c r="AL420" s="48" t="n">
        <f aca="false">MAX(0,MIN(AL419,$F419)-MAX(AL419-Months_In_Year,0))/$F419</f>
        <v>0</v>
      </c>
      <c r="AM420" s="48" t="n">
        <f aca="false">MAX(0,MIN(AM419,$F419)-MAX(AM419-Months_In_Year,0))/$F419</f>
        <v>0</v>
      </c>
      <c r="AN420" s="48" t="n">
        <f aca="false">MAX(0,MIN(AN419,$F419)-MAX(AN419-Months_In_Year,0))/$F419</f>
        <v>0</v>
      </c>
      <c r="AO420" s="48" t="n">
        <f aca="false">MAX(0,MIN(AO419,$F419)-MAX(AO419-Months_In_Year,0))/$F419</f>
        <v>0</v>
      </c>
      <c r="AP420" s="48" t="n">
        <f aca="false">MAX(0,MIN(AP419,$F419)-MAX(AP419-Months_In_Year,0))/$F419</f>
        <v>0</v>
      </c>
      <c r="AQ420" s="48" t="n">
        <f aca="false">MAX(0,MIN(AQ419,$F419)-MAX(AQ419-Months_In_Year,0))/$F419</f>
        <v>0</v>
      </c>
      <c r="AR420" s="48" t="n">
        <f aca="false">MAX(0,MIN(AR419,$F419)-MAX(AR419-Months_In_Year,0))/$F419</f>
        <v>0</v>
      </c>
      <c r="AS420" s="48" t="n">
        <f aca="false">MAX(0,MIN(AS419,$F419)-MAX(AS419-Months_In_Year,0))/$F419</f>
        <v>0</v>
      </c>
    </row>
    <row r="421" customFormat="false" ht="14.25" hidden="false" customHeight="false" outlineLevel="0" collapsed="false">
      <c r="C421" s="6" t="s">
        <v>295</v>
      </c>
      <c r="D421" s="2" t="s">
        <v>293</v>
      </c>
      <c r="F421" s="74" t="n">
        <f aca="false">Life*Months_In_Year</f>
        <v>360</v>
      </c>
      <c r="J421" s="74" t="n">
        <f aca="false">(J$363+1-YEAR(Inputs!$F$26))*Months_In_Year-MONTH(Inputs!$F$26)</f>
        <v>-54</v>
      </c>
      <c r="K421" s="74" t="n">
        <f aca="false">(K$363+1-YEAR(Inputs!$F$26))*Months_In_Year-MONTH(Inputs!$F$26)</f>
        <v>-42</v>
      </c>
      <c r="L421" s="74" t="n">
        <f aca="false">(L$363+1-YEAR(Inputs!$F$26))*Months_In_Year-MONTH(Inputs!$F$26)</f>
        <v>-30</v>
      </c>
      <c r="M421" s="74" t="n">
        <f aca="false">(M$363+1-YEAR(Inputs!$F$26))*Months_In_Year-MONTH(Inputs!$F$26)</f>
        <v>-18</v>
      </c>
      <c r="N421" s="74" t="n">
        <f aca="false">(N$363+1-YEAR(Inputs!$F$26))*Months_In_Year-MONTH(Inputs!$F$26)</f>
        <v>-6</v>
      </c>
      <c r="O421" s="74" t="n">
        <f aca="false">(O$363+1-YEAR(Inputs!$F$26))*Months_In_Year-MONTH(Inputs!$F$26)</f>
        <v>6</v>
      </c>
      <c r="P421" s="74" t="n">
        <f aca="false">(P$363+1-YEAR(Inputs!$F$26))*Months_In_Year-MONTH(Inputs!$F$26)</f>
        <v>18</v>
      </c>
      <c r="Q421" s="74" t="n">
        <f aca="false">(Q$363+1-YEAR(Inputs!$F$26))*Months_In_Year-MONTH(Inputs!$F$26)</f>
        <v>30</v>
      </c>
      <c r="R421" s="74" t="n">
        <f aca="false">(R$363+1-YEAR(Inputs!$F$26))*Months_In_Year-MONTH(Inputs!$F$26)</f>
        <v>42</v>
      </c>
      <c r="S421" s="74" t="n">
        <f aca="false">(S$363+1-YEAR(Inputs!$F$26))*Months_In_Year-MONTH(Inputs!$F$26)</f>
        <v>54</v>
      </c>
      <c r="T421" s="74" t="n">
        <f aca="false">(T$363+1-YEAR(Inputs!$F$26))*Months_In_Year-MONTH(Inputs!$F$26)</f>
        <v>66</v>
      </c>
      <c r="U421" s="74" t="n">
        <f aca="false">(U$363+1-YEAR(Inputs!$F$26))*Months_In_Year-MONTH(Inputs!$F$26)</f>
        <v>78</v>
      </c>
      <c r="V421" s="74" t="n">
        <f aca="false">(V$363+1-YEAR(Inputs!$F$26))*Months_In_Year-MONTH(Inputs!$F$26)</f>
        <v>90</v>
      </c>
      <c r="W421" s="74" t="n">
        <f aca="false">(W$363+1-YEAR(Inputs!$F$26))*Months_In_Year-MONTH(Inputs!$F$26)</f>
        <v>102</v>
      </c>
      <c r="X421" s="74" t="n">
        <f aca="false">(X$363+1-YEAR(Inputs!$F$26))*Months_In_Year-MONTH(Inputs!$F$26)</f>
        <v>114</v>
      </c>
      <c r="Y421" s="74" t="n">
        <f aca="false">(Y$363+1-YEAR(Inputs!$F$26))*Months_In_Year-MONTH(Inputs!$F$26)</f>
        <v>126</v>
      </c>
      <c r="Z421" s="74" t="n">
        <f aca="false">(Z$363+1-YEAR(Inputs!$F$26))*Months_In_Year-MONTH(Inputs!$F$26)</f>
        <v>138</v>
      </c>
      <c r="AA421" s="74" t="n">
        <f aca="false">(AA$363+1-YEAR(Inputs!$F$26))*Months_In_Year-MONTH(Inputs!$F$26)</f>
        <v>150</v>
      </c>
      <c r="AB421" s="74" t="n">
        <f aca="false">(AB$363+1-YEAR(Inputs!$F$26))*Months_In_Year-MONTH(Inputs!$F$26)</f>
        <v>162</v>
      </c>
      <c r="AC421" s="74" t="n">
        <f aca="false">(AC$363+1-YEAR(Inputs!$F$26))*Months_In_Year-MONTH(Inputs!$F$26)</f>
        <v>174</v>
      </c>
      <c r="AD421" s="74" t="n">
        <f aca="false">(AD$363+1-YEAR(Inputs!$F$26))*Months_In_Year-MONTH(Inputs!$F$26)</f>
        <v>186</v>
      </c>
      <c r="AE421" s="74" t="n">
        <f aca="false">(AE$363+1-YEAR(Inputs!$F$26))*Months_In_Year-MONTH(Inputs!$F$26)</f>
        <v>198</v>
      </c>
      <c r="AF421" s="74" t="n">
        <f aca="false">(AF$363+1-YEAR(Inputs!$F$26))*Months_In_Year-MONTH(Inputs!$F$26)</f>
        <v>210</v>
      </c>
      <c r="AG421" s="74" t="n">
        <f aca="false">(AG$363+1-YEAR(Inputs!$F$26))*Months_In_Year-MONTH(Inputs!$F$26)</f>
        <v>222</v>
      </c>
      <c r="AH421" s="74" t="n">
        <f aca="false">(AH$363+1-YEAR(Inputs!$F$26))*Months_In_Year-MONTH(Inputs!$F$26)</f>
        <v>234</v>
      </c>
      <c r="AI421" s="74" t="n">
        <f aca="false">(AI$363+1-YEAR(Inputs!$F$26))*Months_In_Year-MONTH(Inputs!$F$26)</f>
        <v>246</v>
      </c>
      <c r="AJ421" s="74" t="n">
        <f aca="false">(AJ$363+1-YEAR(Inputs!$F$26))*Months_In_Year-MONTH(Inputs!$F$26)</f>
        <v>258</v>
      </c>
      <c r="AK421" s="74" t="n">
        <f aca="false">(AK$363+1-YEAR(Inputs!$F$26))*Months_In_Year-MONTH(Inputs!$F$26)</f>
        <v>270</v>
      </c>
      <c r="AL421" s="74" t="n">
        <f aca="false">(AL$363+1-YEAR(Inputs!$F$26))*Months_In_Year-MONTH(Inputs!$F$26)</f>
        <v>282</v>
      </c>
      <c r="AM421" s="74" t="n">
        <f aca="false">(AM$363+1-YEAR(Inputs!$F$26))*Months_In_Year-MONTH(Inputs!$F$26)</f>
        <v>294</v>
      </c>
      <c r="AN421" s="74" t="n">
        <f aca="false">(AN$363+1-YEAR(Inputs!$F$26))*Months_In_Year-MONTH(Inputs!$F$26)</f>
        <v>306</v>
      </c>
      <c r="AO421" s="74" t="n">
        <f aca="false">(AO$363+1-YEAR(Inputs!$F$26))*Months_In_Year-MONTH(Inputs!$F$26)</f>
        <v>318</v>
      </c>
      <c r="AP421" s="74" t="n">
        <f aca="false">(AP$363+1-YEAR(Inputs!$F$26))*Months_In_Year-MONTH(Inputs!$F$26)</f>
        <v>330</v>
      </c>
      <c r="AQ421" s="74" t="n">
        <f aca="false">(AQ$363+1-YEAR(Inputs!$F$26))*Months_In_Year-MONTH(Inputs!$F$26)</f>
        <v>342</v>
      </c>
      <c r="AR421" s="74" t="n">
        <f aca="false">(AR$363+1-YEAR(Inputs!$F$26))*Months_In_Year-MONTH(Inputs!$F$26)</f>
        <v>354</v>
      </c>
      <c r="AS421" s="74" t="n">
        <f aca="false">(AS$363+1-YEAR(Inputs!$F$26))*Months_In_Year-MONTH(Inputs!$F$26)</f>
        <v>366</v>
      </c>
    </row>
    <row r="422" customFormat="false" ht="14.25" hidden="false" customHeight="false" outlineLevel="0" collapsed="false">
      <c r="C422" s="6" t="s">
        <v>296</v>
      </c>
      <c r="D422" s="2" t="s">
        <v>12</v>
      </c>
      <c r="H422" s="75" t="n">
        <f aca="false">SUM(J422:AS422)</f>
        <v>30</v>
      </c>
      <c r="J422" s="48" t="n">
        <f aca="false">MAX(0,MIN(J421,$F421)-MAX(J421-Months_In_Year,0))/Months_In_Year</f>
        <v>0</v>
      </c>
      <c r="K422" s="48" t="n">
        <f aca="false">MAX(0,MIN(K421,$F421)-MAX(K421-Months_In_Year,0))/Months_In_Year</f>
        <v>0</v>
      </c>
      <c r="L422" s="48" t="n">
        <f aca="false">MAX(0,MIN(L421,$F421)-MAX(L421-Months_In_Year,0))/Months_In_Year</f>
        <v>0</v>
      </c>
      <c r="M422" s="48" t="n">
        <f aca="false">MAX(0,MIN(M421,$F421)-MAX(M421-Months_In_Year,0))/Months_In_Year</f>
        <v>0</v>
      </c>
      <c r="N422" s="48" t="n">
        <f aca="false">MAX(0,MIN(N421,$F421)-MAX(N421-Months_In_Year,0))/Months_In_Year</f>
        <v>0</v>
      </c>
      <c r="O422" s="48" t="n">
        <f aca="false">MAX(0,MIN(O421,$F421)-MAX(O421-Months_In_Year,0))/Months_In_Year</f>
        <v>0.5</v>
      </c>
      <c r="P422" s="48" t="n">
        <f aca="false">MAX(0,MIN(P421,$F421)-MAX(P421-Months_In_Year,0))/Months_In_Year</f>
        <v>1</v>
      </c>
      <c r="Q422" s="48" t="n">
        <f aca="false">MAX(0,MIN(Q421,$F421)-MAX(Q421-Months_In_Year,0))/Months_In_Year</f>
        <v>1</v>
      </c>
      <c r="R422" s="48" t="n">
        <f aca="false">MAX(0,MIN(R421,$F421)-MAX(R421-Months_In_Year,0))/Months_In_Year</f>
        <v>1</v>
      </c>
      <c r="S422" s="48" t="n">
        <f aca="false">MAX(0,MIN(S421,$F421)-MAX(S421-Months_In_Year,0))/Months_In_Year</f>
        <v>1</v>
      </c>
      <c r="T422" s="48" t="n">
        <f aca="false">MAX(0,MIN(T421,$F421)-MAX(T421-Months_In_Year,0))/Months_In_Year</f>
        <v>1</v>
      </c>
      <c r="U422" s="48" t="n">
        <f aca="false">MAX(0,MIN(U421,$F421)-MAX(U421-Months_In_Year,0))/Months_In_Year</f>
        <v>1</v>
      </c>
      <c r="V422" s="48" t="n">
        <f aca="false">MAX(0,MIN(V421,$F421)-MAX(V421-Months_In_Year,0))/Months_In_Year</f>
        <v>1</v>
      </c>
      <c r="W422" s="48" t="n">
        <f aca="false">MAX(0,MIN(W421,$F421)-MAX(W421-Months_In_Year,0))/Months_In_Year</f>
        <v>1</v>
      </c>
      <c r="X422" s="48" t="n">
        <f aca="false">MAX(0,MIN(X421,$F421)-MAX(X421-Months_In_Year,0))/Months_In_Year</f>
        <v>1</v>
      </c>
      <c r="Y422" s="48" t="n">
        <f aca="false">MAX(0,MIN(Y421,$F421)-MAX(Y421-Months_In_Year,0))/Months_In_Year</f>
        <v>1</v>
      </c>
      <c r="Z422" s="48" t="n">
        <f aca="false">MAX(0,MIN(Z421,$F421)-MAX(Z421-Months_In_Year,0))/Months_In_Year</f>
        <v>1</v>
      </c>
      <c r="AA422" s="48" t="n">
        <f aca="false">MAX(0,MIN(AA421,$F421)-MAX(AA421-Months_In_Year,0))/Months_In_Year</f>
        <v>1</v>
      </c>
      <c r="AB422" s="48" t="n">
        <f aca="false">MAX(0,MIN(AB421,$F421)-MAX(AB421-Months_In_Year,0))/Months_In_Year</f>
        <v>1</v>
      </c>
      <c r="AC422" s="48" t="n">
        <f aca="false">MAX(0,MIN(AC421,$F421)-MAX(AC421-Months_In_Year,0))/Months_In_Year</f>
        <v>1</v>
      </c>
      <c r="AD422" s="48" t="n">
        <f aca="false">MAX(0,MIN(AD421,$F421)-MAX(AD421-Months_In_Year,0))/Months_In_Year</f>
        <v>1</v>
      </c>
      <c r="AE422" s="48" t="n">
        <f aca="false">MAX(0,MIN(AE421,$F421)-MAX(AE421-Months_In_Year,0))/Months_In_Year</f>
        <v>1</v>
      </c>
      <c r="AF422" s="48" t="n">
        <f aca="false">MAX(0,MIN(AF421,$F421)-MAX(AF421-Months_In_Year,0))/Months_In_Year</f>
        <v>1</v>
      </c>
      <c r="AG422" s="48" t="n">
        <f aca="false">MAX(0,MIN(AG421,$F421)-MAX(AG421-Months_In_Year,0))/Months_In_Year</f>
        <v>1</v>
      </c>
      <c r="AH422" s="48" t="n">
        <f aca="false">MAX(0,MIN(AH421,$F421)-MAX(AH421-Months_In_Year,0))/Months_In_Year</f>
        <v>1</v>
      </c>
      <c r="AI422" s="48" t="n">
        <f aca="false">MAX(0,MIN(AI421,$F421)-MAX(AI421-Months_In_Year,0))/Months_In_Year</f>
        <v>1</v>
      </c>
      <c r="AJ422" s="48" t="n">
        <f aca="false">MAX(0,MIN(AJ421,$F421)-MAX(AJ421-Months_In_Year,0))/Months_In_Year</f>
        <v>1</v>
      </c>
      <c r="AK422" s="48" t="n">
        <f aca="false">MAX(0,MIN(AK421,$F421)-MAX(AK421-Months_In_Year,0))/Months_In_Year</f>
        <v>1</v>
      </c>
      <c r="AL422" s="48" t="n">
        <f aca="false">MAX(0,MIN(AL421,$F421)-MAX(AL421-Months_In_Year,0))/Months_In_Year</f>
        <v>1</v>
      </c>
      <c r="AM422" s="48" t="n">
        <f aca="false">MAX(0,MIN(AM421,$F421)-MAX(AM421-Months_In_Year,0))/Months_In_Year</f>
        <v>1</v>
      </c>
      <c r="AN422" s="48" t="n">
        <f aca="false">MAX(0,MIN(AN421,$F421)-MAX(AN421-Months_In_Year,0))/Months_In_Year</f>
        <v>1</v>
      </c>
      <c r="AO422" s="48" t="n">
        <f aca="false">MAX(0,MIN(AO421,$F421)-MAX(AO421-Months_In_Year,0))/Months_In_Year</f>
        <v>1</v>
      </c>
      <c r="AP422" s="48" t="n">
        <f aca="false">MAX(0,MIN(AP421,$F421)-MAX(AP421-Months_In_Year,0))/Months_In_Year</f>
        <v>1</v>
      </c>
      <c r="AQ422" s="48" t="n">
        <f aca="false">MAX(0,MIN(AQ421,$F421)-MAX(AQ421-Months_In_Year,0))/Months_In_Year</f>
        <v>1</v>
      </c>
      <c r="AR422" s="48" t="n">
        <f aca="false">MAX(0,MIN(AR421,$F421)-MAX(AR421-Months_In_Year,0))/Months_In_Year</f>
        <v>1</v>
      </c>
      <c r="AS422" s="48" t="n">
        <f aca="false">MAX(0,MIN(AS421,$F421)-MAX(AS421-Months_In_Year,0))/Months_In_Year</f>
        <v>0.5</v>
      </c>
    </row>
    <row r="423" customFormat="false" ht="14.25" hidden="false" customHeight="false" outlineLevel="0" collapsed="false">
      <c r="C423" s="6" t="s">
        <v>297</v>
      </c>
      <c r="D423" s="2" t="s">
        <v>2</v>
      </c>
      <c r="J423" s="76" t="n">
        <f aca="false">N(J418=0)</f>
        <v>0</v>
      </c>
      <c r="K423" s="76" t="n">
        <f aca="false">N(K418=0)</f>
        <v>0</v>
      </c>
      <c r="L423" s="76" t="n">
        <f aca="false">N(L418=0)</f>
        <v>0</v>
      </c>
      <c r="M423" s="76" t="n">
        <f aca="false">N(M418=0)</f>
        <v>0</v>
      </c>
      <c r="N423" s="76" t="n">
        <f aca="false">N(N418=0)</f>
        <v>0</v>
      </c>
      <c r="O423" s="76" t="n">
        <f aca="false">N(O418=0)</f>
        <v>1</v>
      </c>
      <c r="P423" s="76" t="n">
        <f aca="false">N(P418=0)</f>
        <v>0</v>
      </c>
      <c r="Q423" s="76" t="n">
        <f aca="false">N(Q418=0)</f>
        <v>0</v>
      </c>
      <c r="R423" s="76" t="n">
        <f aca="false">N(R418=0)</f>
        <v>0</v>
      </c>
      <c r="S423" s="76" t="n">
        <f aca="false">N(S418=0)</f>
        <v>0</v>
      </c>
      <c r="T423" s="76" t="n">
        <f aca="false">N(T418=0)</f>
        <v>0</v>
      </c>
      <c r="U423" s="76" t="n">
        <f aca="false">N(U418=0)</f>
        <v>0</v>
      </c>
      <c r="V423" s="76" t="n">
        <f aca="false">N(V418=0)</f>
        <v>0</v>
      </c>
      <c r="W423" s="76" t="n">
        <f aca="false">N(W418=0)</f>
        <v>0</v>
      </c>
      <c r="X423" s="76" t="n">
        <f aca="false">N(X418=0)</f>
        <v>0</v>
      </c>
      <c r="Y423" s="76" t="n">
        <f aca="false">N(Y418=0)</f>
        <v>0</v>
      </c>
      <c r="Z423" s="76" t="n">
        <f aca="false">N(Z418=0)</f>
        <v>0</v>
      </c>
      <c r="AA423" s="76" t="n">
        <f aca="false">N(AA418=0)</f>
        <v>0</v>
      </c>
      <c r="AB423" s="76" t="n">
        <f aca="false">N(AB418=0)</f>
        <v>0</v>
      </c>
      <c r="AC423" s="76" t="n">
        <f aca="false">N(AC418=0)</f>
        <v>0</v>
      </c>
      <c r="AD423" s="76" t="n">
        <f aca="false">N(AD418=0)</f>
        <v>0</v>
      </c>
      <c r="AE423" s="76" t="n">
        <f aca="false">N(AE418=0)</f>
        <v>0</v>
      </c>
      <c r="AF423" s="76" t="n">
        <f aca="false">N(AF418=0)</f>
        <v>0</v>
      </c>
      <c r="AG423" s="76" t="n">
        <f aca="false">N(AG418=0)</f>
        <v>0</v>
      </c>
      <c r="AH423" s="76" t="n">
        <f aca="false">N(AH418=0)</f>
        <v>0</v>
      </c>
      <c r="AI423" s="76" t="n">
        <f aca="false">N(AI418=0)</f>
        <v>0</v>
      </c>
      <c r="AJ423" s="76" t="n">
        <f aca="false">N(AJ418=0)</f>
        <v>0</v>
      </c>
      <c r="AK423" s="76" t="n">
        <f aca="false">N(AK418=0)</f>
        <v>0</v>
      </c>
      <c r="AL423" s="76" t="n">
        <f aca="false">N(AL418=0)</f>
        <v>0</v>
      </c>
      <c r="AM423" s="76" t="n">
        <f aca="false">N(AM418=0)</f>
        <v>0</v>
      </c>
      <c r="AN423" s="76" t="n">
        <f aca="false">N(AN418=0)</f>
        <v>0</v>
      </c>
      <c r="AO423" s="76" t="n">
        <f aca="false">N(AO418=0)</f>
        <v>0</v>
      </c>
      <c r="AP423" s="76" t="n">
        <f aca="false">N(AP418=0)</f>
        <v>0</v>
      </c>
      <c r="AQ423" s="76" t="n">
        <f aca="false">N(AQ418=0)</f>
        <v>0</v>
      </c>
      <c r="AR423" s="76" t="n">
        <f aca="false">N(AR418=0)</f>
        <v>0</v>
      </c>
      <c r="AS423" s="76" t="n">
        <f aca="false">N(AS418=0)</f>
        <v>0</v>
      </c>
    </row>
    <row r="424" customFormat="false" ht="14.25" hidden="false" customHeight="false" outlineLevel="0" collapsed="false">
      <c r="C424" s="6" t="s">
        <v>298</v>
      </c>
      <c r="D424" s="2" t="s">
        <v>85</v>
      </c>
      <c r="H424" s="8" t="n">
        <f aca="false">SUM(J424:AS424)</f>
        <v>-14078.5797945205</v>
      </c>
      <c r="J424" s="8" t="n">
        <f aca="false">-($F$98+$F$68+$F$62+$F$63+$F$92)*(J$363=YEAR(Sale_Date))</f>
        <v>-0</v>
      </c>
      <c r="K424" s="8" t="n">
        <f aca="false">-($F$98+$F$68+$F$62+$F$63+$F$92)*(K$363=YEAR(Sale_Date))</f>
        <v>-0</v>
      </c>
      <c r="L424" s="8" t="n">
        <f aca="false">-($F$98+$F$68+$F$62+$F$63+$F$92)*(L$363=YEAR(Sale_Date))</f>
        <v>-0</v>
      </c>
      <c r="M424" s="8" t="n">
        <f aca="false">-($F$98+$F$68+$F$62+$F$63+$F$92)*(M$363=YEAR(Sale_Date))</f>
        <v>-14078.5797945205</v>
      </c>
      <c r="N424" s="8" t="n">
        <f aca="false">-($F$98+$F$68+$F$62+$F$63+$F$92)*(N$363=YEAR(Sale_Date))</f>
        <v>-0</v>
      </c>
      <c r="O424" s="8" t="n">
        <f aca="false">-($F$98+$F$68+$F$62+$F$63+$F$92)*(O$363=YEAR(Sale_Date))</f>
        <v>-0</v>
      </c>
      <c r="P424" s="8" t="n">
        <f aca="false">-($F$98+$F$68+$F$62+$F$63+$F$92)*(P$363=YEAR(Sale_Date))</f>
        <v>-0</v>
      </c>
      <c r="Q424" s="8" t="n">
        <f aca="false">-($F$98+$F$68+$F$62+$F$63+$F$92)*(Q$363=YEAR(Sale_Date))</f>
        <v>-0</v>
      </c>
      <c r="R424" s="8" t="n">
        <f aca="false">-($F$98+$F$68+$F$62+$F$63+$F$92)*(R$363=YEAR(Sale_Date))</f>
        <v>-0</v>
      </c>
      <c r="S424" s="8" t="n">
        <f aca="false">-($F$98+$F$68+$F$62+$F$63+$F$92)*(S$363=YEAR(Sale_Date))</f>
        <v>-0</v>
      </c>
      <c r="T424" s="8" t="n">
        <f aca="false">-($F$98+$F$68+$F$62+$F$63+$F$92)*(T$363=YEAR(Sale_Date))</f>
        <v>-0</v>
      </c>
      <c r="U424" s="8" t="n">
        <f aca="false">-($F$98+$F$68+$F$62+$F$63+$F$92)*(U$363=YEAR(Sale_Date))</f>
        <v>-0</v>
      </c>
      <c r="V424" s="8" t="n">
        <f aca="false">-($F$98+$F$68+$F$62+$F$63+$F$92)*(V$363=YEAR(Sale_Date))</f>
        <v>-0</v>
      </c>
      <c r="W424" s="8" t="n">
        <f aca="false">-($F$98+$F$68+$F$62+$F$63+$F$92)*(W$363=YEAR(Sale_Date))</f>
        <v>-0</v>
      </c>
      <c r="X424" s="8" t="n">
        <f aca="false">-($F$98+$F$68+$F$62+$F$63+$F$92)*(X$363=YEAR(Sale_Date))</f>
        <v>-0</v>
      </c>
      <c r="Y424" s="8" t="n">
        <f aca="false">-($F$98+$F$68+$F$62+$F$63+$F$92)*(Y$363=YEAR(Sale_Date))</f>
        <v>-0</v>
      </c>
      <c r="Z424" s="8" t="n">
        <f aca="false">-($F$98+$F$68+$F$62+$F$63+$F$92)*(Z$363=YEAR(Sale_Date))</f>
        <v>-0</v>
      </c>
      <c r="AA424" s="8" t="n">
        <f aca="false">-($F$98+$F$68+$F$62+$F$63+$F$92)*(AA$363=YEAR(Sale_Date))</f>
        <v>-0</v>
      </c>
      <c r="AB424" s="8" t="n">
        <f aca="false">-($F$98+$F$68+$F$62+$F$63+$F$92)*(AB$363=YEAR(Sale_Date))</f>
        <v>-0</v>
      </c>
      <c r="AC424" s="8" t="n">
        <f aca="false">-($F$98+$F$68+$F$62+$F$63+$F$92)*(AC$363=YEAR(Sale_Date))</f>
        <v>-0</v>
      </c>
      <c r="AD424" s="8" t="n">
        <f aca="false">-($F$98+$F$68+$F$62+$F$63+$F$92)*(AD$363=YEAR(Sale_Date))</f>
        <v>-0</v>
      </c>
      <c r="AE424" s="8" t="n">
        <f aca="false">-($F$98+$F$68+$F$62+$F$63+$F$92)*(AE$363=YEAR(Sale_Date))</f>
        <v>-0</v>
      </c>
      <c r="AF424" s="8" t="n">
        <f aca="false">-($F$98+$F$68+$F$62+$F$63+$F$92)*(AF$363=YEAR(Sale_Date))</f>
        <v>-0</v>
      </c>
      <c r="AG424" s="8" t="n">
        <f aca="false">-($F$98+$F$68+$F$62+$F$63+$F$92)*(AG$363=YEAR(Sale_Date))</f>
        <v>-0</v>
      </c>
      <c r="AH424" s="8" t="n">
        <f aca="false">-($F$98+$F$68+$F$62+$F$63+$F$92)*(AH$363=YEAR(Sale_Date))</f>
        <v>-0</v>
      </c>
      <c r="AI424" s="8" t="n">
        <f aca="false">-($F$98+$F$68+$F$62+$F$63+$F$92)*(AI$363=YEAR(Sale_Date))</f>
        <v>-0</v>
      </c>
      <c r="AJ424" s="8" t="n">
        <f aca="false">-($F$98+$F$68+$F$62+$F$63+$F$92)*(AJ$363=YEAR(Sale_Date))</f>
        <v>-0</v>
      </c>
      <c r="AK424" s="8" t="n">
        <f aca="false">-($F$98+$F$68+$F$62+$F$63+$F$92)*(AK$363=YEAR(Sale_Date))</f>
        <v>-0</v>
      </c>
      <c r="AL424" s="8" t="n">
        <f aca="false">-($F$98+$F$68+$F$62+$F$63+$F$92)*(AL$363=YEAR(Sale_Date))</f>
        <v>-0</v>
      </c>
      <c r="AM424" s="8" t="n">
        <f aca="false">-($F$98+$F$68+$F$62+$F$63+$F$92)*(AM$363=YEAR(Sale_Date))</f>
        <v>-0</v>
      </c>
      <c r="AN424" s="8" t="n">
        <f aca="false">-($F$98+$F$68+$F$62+$F$63+$F$92)*(AN$363=YEAR(Sale_Date))</f>
        <v>-0</v>
      </c>
      <c r="AO424" s="8" t="n">
        <f aca="false">-($F$98+$F$68+$F$62+$F$63+$F$92)*(AO$363=YEAR(Sale_Date))</f>
        <v>-0</v>
      </c>
      <c r="AP424" s="8" t="n">
        <f aca="false">-($F$98+$F$68+$F$62+$F$63+$F$92)*(AP$363=YEAR(Sale_Date))</f>
        <v>-0</v>
      </c>
      <c r="AQ424" s="8" t="n">
        <f aca="false">-($F$98+$F$68+$F$62+$F$63+$F$92)*(AQ$363=YEAR(Sale_Date))</f>
        <v>-0</v>
      </c>
      <c r="AR424" s="8" t="n">
        <f aca="false">-($F$98+$F$68+$F$62+$F$63+$F$92)*(AR$363=YEAR(Sale_Date))</f>
        <v>-0</v>
      </c>
      <c r="AS424" s="8" t="n">
        <f aca="false">-($F$98+$F$68+$F$62+$F$63+$F$92)*(AS$363=YEAR(Sale_Date))</f>
        <v>-0</v>
      </c>
    </row>
    <row r="425" customFormat="false" ht="14.25" hidden="false" customHeight="false" outlineLevel="0" collapsed="false">
      <c r="C425" s="6" t="s">
        <v>299</v>
      </c>
      <c r="D425" s="2" t="s">
        <v>85</v>
      </c>
      <c r="H425" s="8" t="n">
        <f aca="false">SUM(J425:AS425)</f>
        <v>2494.52054794521</v>
      </c>
      <c r="J425" s="8" t="n">
        <f aca="false">($F$62+$F$63)*(J$363=YEAR(Inputs!$F$27))</f>
        <v>0</v>
      </c>
      <c r="K425" s="8" t="n">
        <f aca="false">($F$62+$F$63)*(K$363=YEAR(Inputs!$F$27))</f>
        <v>0</v>
      </c>
      <c r="L425" s="8" t="n">
        <f aca="false">($F$62+$F$63)*(L$363=YEAR(Inputs!$F$27))</f>
        <v>0</v>
      </c>
      <c r="M425" s="8" t="n">
        <f aca="false">($F$62+$F$63)*(M$363=YEAR(Inputs!$F$27))</f>
        <v>0</v>
      </c>
      <c r="N425" s="8" t="n">
        <f aca="false">($F$62+$F$63)*(N$363=YEAR(Inputs!$F$27))</f>
        <v>0</v>
      </c>
      <c r="O425" s="8" t="n">
        <f aca="false">($F$62+$F$63)*(O$363=YEAR(Inputs!$F$27))</f>
        <v>0</v>
      </c>
      <c r="P425" s="8" t="n">
        <f aca="false">($F$62+$F$63)*(P$363=YEAR(Inputs!$F$27))</f>
        <v>0</v>
      </c>
      <c r="Q425" s="8" t="n">
        <f aca="false">($F$62+$F$63)*(Q$363=YEAR(Inputs!$F$27))</f>
        <v>2494.52054794521</v>
      </c>
      <c r="R425" s="8" t="n">
        <f aca="false">($F$62+$F$63)*(R$363=YEAR(Inputs!$F$27))</f>
        <v>0</v>
      </c>
      <c r="S425" s="8" t="n">
        <f aca="false">($F$62+$F$63)*(S$363=YEAR(Inputs!$F$27))</f>
        <v>0</v>
      </c>
      <c r="T425" s="8" t="n">
        <f aca="false">($F$62+$F$63)*(T$363=YEAR(Inputs!$F$27))</f>
        <v>0</v>
      </c>
      <c r="U425" s="8" t="n">
        <f aca="false">($F$62+$F$63)*(U$363=YEAR(Inputs!$F$27))</f>
        <v>0</v>
      </c>
      <c r="V425" s="8" t="n">
        <f aca="false">($F$62+$F$63)*(V$363=YEAR(Inputs!$F$27))</f>
        <v>0</v>
      </c>
      <c r="W425" s="8" t="n">
        <f aca="false">($F$62+$F$63)*(W$363=YEAR(Inputs!$F$27))</f>
        <v>0</v>
      </c>
      <c r="X425" s="8" t="n">
        <f aca="false">($F$62+$F$63)*(X$363=YEAR(Inputs!$F$27))</f>
        <v>0</v>
      </c>
      <c r="Y425" s="8" t="n">
        <f aca="false">($F$62+$F$63)*(Y$363=YEAR(Inputs!$F$27))</f>
        <v>0</v>
      </c>
      <c r="Z425" s="8" t="n">
        <f aca="false">($F$62+$F$63)*(Z$363=YEAR(Inputs!$F$27))</f>
        <v>0</v>
      </c>
      <c r="AA425" s="8" t="n">
        <f aca="false">($F$62+$F$63)*(AA$363=YEAR(Inputs!$F$27))</f>
        <v>0</v>
      </c>
      <c r="AB425" s="8" t="n">
        <f aca="false">($F$62+$F$63)*(AB$363=YEAR(Inputs!$F$27))</f>
        <v>0</v>
      </c>
      <c r="AC425" s="8" t="n">
        <f aca="false">($F$62+$F$63)*(AC$363=YEAR(Inputs!$F$27))</f>
        <v>0</v>
      </c>
      <c r="AD425" s="8" t="n">
        <f aca="false">($F$62+$F$63)*(AD$363=YEAR(Inputs!$F$27))</f>
        <v>0</v>
      </c>
      <c r="AE425" s="8" t="n">
        <f aca="false">($F$62+$F$63)*(AE$363=YEAR(Inputs!$F$27))</f>
        <v>0</v>
      </c>
      <c r="AF425" s="8" t="n">
        <f aca="false">($F$62+$F$63)*(AF$363=YEAR(Inputs!$F$27))</f>
        <v>0</v>
      </c>
      <c r="AG425" s="8" t="n">
        <f aca="false">($F$62+$F$63)*(AG$363=YEAR(Inputs!$F$27))</f>
        <v>0</v>
      </c>
      <c r="AH425" s="8" t="n">
        <f aca="false">($F$62+$F$63)*(AH$363=YEAR(Inputs!$F$27))</f>
        <v>0</v>
      </c>
      <c r="AI425" s="8" t="n">
        <f aca="false">($F$62+$F$63)*(AI$363=YEAR(Inputs!$F$27))</f>
        <v>0</v>
      </c>
      <c r="AJ425" s="8" t="n">
        <f aca="false">($F$62+$F$63)*(AJ$363=YEAR(Inputs!$F$27))</f>
        <v>0</v>
      </c>
      <c r="AK425" s="8" t="n">
        <f aca="false">($F$62+$F$63)*(AK$363=YEAR(Inputs!$F$27))</f>
        <v>0</v>
      </c>
      <c r="AL425" s="8" t="n">
        <f aca="false">($F$62+$F$63)*(AL$363=YEAR(Inputs!$F$27))</f>
        <v>0</v>
      </c>
      <c r="AM425" s="8" t="n">
        <f aca="false">($F$62+$F$63)*(AM$363=YEAR(Inputs!$F$27))</f>
        <v>0</v>
      </c>
      <c r="AN425" s="8" t="n">
        <f aca="false">($F$62+$F$63)*(AN$363=YEAR(Inputs!$F$27))</f>
        <v>0</v>
      </c>
      <c r="AO425" s="8" t="n">
        <f aca="false">($F$62+$F$63)*(AO$363=YEAR(Inputs!$F$27))</f>
        <v>0</v>
      </c>
      <c r="AP425" s="8" t="n">
        <f aca="false">($F$62+$F$63)*(AP$363=YEAR(Inputs!$F$27))</f>
        <v>0</v>
      </c>
      <c r="AQ425" s="8" t="n">
        <f aca="false">($F$62+$F$63)*(AQ$363=YEAR(Inputs!$F$27))</f>
        <v>0</v>
      </c>
      <c r="AR425" s="8" t="n">
        <f aca="false">($F$62+$F$63)*(AR$363=YEAR(Inputs!$F$27))</f>
        <v>0</v>
      </c>
      <c r="AS425" s="8" t="n">
        <f aca="false">($F$62+$F$63)*(AS$363=YEAR(Inputs!$F$27))</f>
        <v>0</v>
      </c>
    </row>
    <row r="426" customFormat="false" ht="14.25" hidden="false" customHeight="false" outlineLevel="0" collapsed="false">
      <c r="C426" s="6" t="s">
        <v>300</v>
      </c>
      <c r="D426" s="2" t="s">
        <v>85</v>
      </c>
      <c r="H426" s="8" t="n">
        <f aca="false">SUM(J426:AS426)</f>
        <v>-62716</v>
      </c>
      <c r="J426" s="8" t="n">
        <f aca="false">-$F$91*J420</f>
        <v>-0</v>
      </c>
      <c r="K426" s="8" t="n">
        <f aca="false">-$F$91*K420</f>
        <v>-0</v>
      </c>
      <c r="L426" s="8" t="n">
        <f aca="false">-$F$91*L420</f>
        <v>-0</v>
      </c>
      <c r="M426" s="8" t="n">
        <f aca="false">-$F$91*M420</f>
        <v>-15679</v>
      </c>
      <c r="N426" s="8" t="n">
        <f aca="false">-$F$91*N420</f>
        <v>-31358</v>
      </c>
      <c r="O426" s="8" t="n">
        <f aca="false">-$F$91*O420</f>
        <v>-15679</v>
      </c>
      <c r="P426" s="8" t="n">
        <f aca="false">-$F$91*P420</f>
        <v>-0</v>
      </c>
      <c r="Q426" s="8" t="n">
        <f aca="false">-$F$91*Q420</f>
        <v>-0</v>
      </c>
      <c r="R426" s="8" t="n">
        <f aca="false">-$F$91*R420</f>
        <v>-0</v>
      </c>
      <c r="S426" s="8" t="n">
        <f aca="false">-$F$91*S420</f>
        <v>-0</v>
      </c>
      <c r="T426" s="8" t="n">
        <f aca="false">-$F$91*T420</f>
        <v>-0</v>
      </c>
      <c r="U426" s="8" t="n">
        <f aca="false">-$F$91*U420</f>
        <v>-0</v>
      </c>
      <c r="V426" s="8" t="n">
        <f aca="false">-$F$91*V420</f>
        <v>-0</v>
      </c>
      <c r="W426" s="8" t="n">
        <f aca="false">-$F$91*W420</f>
        <v>-0</v>
      </c>
      <c r="X426" s="8" t="n">
        <f aca="false">-$F$91*X420</f>
        <v>-0</v>
      </c>
      <c r="Y426" s="8" t="n">
        <f aca="false">-$F$91*Y420</f>
        <v>-0</v>
      </c>
      <c r="Z426" s="8" t="n">
        <f aca="false">-$F$91*Z420</f>
        <v>-0</v>
      </c>
      <c r="AA426" s="8" t="n">
        <f aca="false">-$F$91*AA420</f>
        <v>-0</v>
      </c>
      <c r="AB426" s="8" t="n">
        <f aca="false">-$F$91*AB420</f>
        <v>-0</v>
      </c>
      <c r="AC426" s="8" t="n">
        <f aca="false">-$F$91*AC420</f>
        <v>-0</v>
      </c>
      <c r="AD426" s="8" t="n">
        <f aca="false">-$F$91*AD420</f>
        <v>-0</v>
      </c>
      <c r="AE426" s="8" t="n">
        <f aca="false">-$F$91*AE420</f>
        <v>-0</v>
      </c>
      <c r="AF426" s="8" t="n">
        <f aca="false">-$F$91*AF420</f>
        <v>-0</v>
      </c>
      <c r="AG426" s="8" t="n">
        <f aca="false">-$F$91*AG420</f>
        <v>-0</v>
      </c>
      <c r="AH426" s="8" t="n">
        <f aca="false">-$F$91*AH420</f>
        <v>-0</v>
      </c>
      <c r="AI426" s="8" t="n">
        <f aca="false">-$F$91*AI420</f>
        <v>-0</v>
      </c>
      <c r="AJ426" s="8" t="n">
        <f aca="false">-$F$91*AJ420</f>
        <v>-0</v>
      </c>
      <c r="AK426" s="8" t="n">
        <f aca="false">-$F$91*AK420</f>
        <v>-0</v>
      </c>
      <c r="AL426" s="8" t="n">
        <f aca="false">-$F$91*AL420</f>
        <v>-0</v>
      </c>
      <c r="AM426" s="8" t="n">
        <f aca="false">-$F$91*AM420</f>
        <v>-0</v>
      </c>
      <c r="AN426" s="8" t="n">
        <f aca="false">-$F$91*AN420</f>
        <v>-0</v>
      </c>
      <c r="AO426" s="8" t="n">
        <f aca="false">-$F$91*AO420</f>
        <v>-0</v>
      </c>
      <c r="AP426" s="8" t="n">
        <f aca="false">-$F$91*AP420</f>
        <v>-0</v>
      </c>
      <c r="AQ426" s="8" t="n">
        <f aca="false">-$F$91*AQ420</f>
        <v>-0</v>
      </c>
      <c r="AR426" s="8" t="n">
        <f aca="false">-$F$91*AR420</f>
        <v>-0</v>
      </c>
      <c r="AS426" s="8" t="n">
        <f aca="false">-$F$91*AS420</f>
        <v>-0</v>
      </c>
    </row>
    <row r="427" customFormat="false" ht="14.25" hidden="false" customHeight="false" outlineLevel="0" collapsed="false">
      <c r="C427" s="6" t="s">
        <v>301</v>
      </c>
      <c r="D427" s="2" t="s">
        <v>85</v>
      </c>
      <c r="H427" s="8" t="n">
        <f aca="false">SUM(J427:AS427)</f>
        <v>-2500</v>
      </c>
      <c r="J427" s="8" t="n">
        <f aca="false">-$F$96*J423</f>
        <v>-0</v>
      </c>
      <c r="K427" s="8" t="n">
        <f aca="false">-$F$96*K423</f>
        <v>-0</v>
      </c>
      <c r="L427" s="8" t="n">
        <f aca="false">-$F$96*L423</f>
        <v>-0</v>
      </c>
      <c r="M427" s="8" t="n">
        <f aca="false">-$F$96*M423</f>
        <v>-0</v>
      </c>
      <c r="N427" s="8" t="n">
        <f aca="false">-$F$96*N423</f>
        <v>-0</v>
      </c>
      <c r="O427" s="8" t="n">
        <f aca="false">-$F$96*O423</f>
        <v>-2500</v>
      </c>
      <c r="P427" s="8" t="n">
        <f aca="false">-$F$96*P423</f>
        <v>-0</v>
      </c>
      <c r="Q427" s="8" t="n">
        <f aca="false">-$F$96*Q423</f>
        <v>-0</v>
      </c>
      <c r="R427" s="8" t="n">
        <f aca="false">-$F$96*R423</f>
        <v>-0</v>
      </c>
      <c r="S427" s="8" t="n">
        <f aca="false">-$F$96*S423</f>
        <v>-0</v>
      </c>
      <c r="T427" s="8" t="n">
        <f aca="false">-$F$96*T423</f>
        <v>-0</v>
      </c>
      <c r="U427" s="8" t="n">
        <f aca="false">-$F$96*U423</f>
        <v>-0</v>
      </c>
      <c r="V427" s="8" t="n">
        <f aca="false">-$F$96*V423</f>
        <v>-0</v>
      </c>
      <c r="W427" s="8" t="n">
        <f aca="false">-$F$96*W423</f>
        <v>-0</v>
      </c>
      <c r="X427" s="8" t="n">
        <f aca="false">-$F$96*X423</f>
        <v>-0</v>
      </c>
      <c r="Y427" s="8" t="n">
        <f aca="false">-$F$96*Y423</f>
        <v>-0</v>
      </c>
      <c r="Z427" s="8" t="n">
        <f aca="false">-$F$96*Z423</f>
        <v>-0</v>
      </c>
      <c r="AA427" s="8" t="n">
        <f aca="false">-$F$96*AA423</f>
        <v>-0</v>
      </c>
      <c r="AB427" s="8" t="n">
        <f aca="false">-$F$96*AB423</f>
        <v>-0</v>
      </c>
      <c r="AC427" s="8" t="n">
        <f aca="false">-$F$96*AC423</f>
        <v>-0</v>
      </c>
      <c r="AD427" s="8" t="n">
        <f aca="false">-$F$96*AD423</f>
        <v>-0</v>
      </c>
      <c r="AE427" s="8" t="n">
        <f aca="false">-$F$96*AE423</f>
        <v>-0</v>
      </c>
      <c r="AF427" s="8" t="n">
        <f aca="false">-$F$96*AF423</f>
        <v>-0</v>
      </c>
      <c r="AG427" s="8" t="n">
        <f aca="false">-$F$96*AG423</f>
        <v>-0</v>
      </c>
      <c r="AH427" s="8" t="n">
        <f aca="false">-$F$96*AH423</f>
        <v>-0</v>
      </c>
      <c r="AI427" s="8" t="n">
        <f aca="false">-$F$96*AI423</f>
        <v>-0</v>
      </c>
      <c r="AJ427" s="8" t="n">
        <f aca="false">-$F$96*AJ423</f>
        <v>-0</v>
      </c>
      <c r="AK427" s="8" t="n">
        <f aca="false">-$F$96*AK423</f>
        <v>-0</v>
      </c>
      <c r="AL427" s="8" t="n">
        <f aca="false">-$F$96*AL423</f>
        <v>-0</v>
      </c>
      <c r="AM427" s="8" t="n">
        <f aca="false">-$F$96*AM423</f>
        <v>-0</v>
      </c>
      <c r="AN427" s="8" t="n">
        <f aca="false">-$F$96*AN423</f>
        <v>-0</v>
      </c>
      <c r="AO427" s="8" t="n">
        <f aca="false">-$F$96*AO423</f>
        <v>-0</v>
      </c>
      <c r="AP427" s="8" t="n">
        <f aca="false">-$F$96*AP423</f>
        <v>-0</v>
      </c>
      <c r="AQ427" s="8" t="n">
        <f aca="false">-$F$96*AQ423</f>
        <v>-0</v>
      </c>
      <c r="AR427" s="8" t="n">
        <f aca="false">-$F$96*AR423</f>
        <v>-0</v>
      </c>
      <c r="AS427" s="8" t="n">
        <f aca="false">-$F$96*AS423</f>
        <v>-0</v>
      </c>
    </row>
    <row r="428" customFormat="false" ht="14.25" hidden="false" customHeight="false" outlineLevel="0" collapsed="false">
      <c r="C428" s="1" t="s">
        <v>302</v>
      </c>
      <c r="D428" s="2" t="s">
        <v>85</v>
      </c>
      <c r="H428" s="15" t="n">
        <f aca="false">SUM(J428:AS428)</f>
        <v>-76800.0592465753</v>
      </c>
      <c r="J428" s="15" t="n">
        <f aca="false">SUM(J424:J427)</f>
        <v>0</v>
      </c>
      <c r="K428" s="15" t="n">
        <f aca="false">SUM(K424:K427)</f>
        <v>0</v>
      </c>
      <c r="L428" s="15" t="n">
        <f aca="false">SUM(L424:L427)</f>
        <v>0</v>
      </c>
      <c r="M428" s="15" t="n">
        <f aca="false">SUM(M424:M427)</f>
        <v>-29757.5797945206</v>
      </c>
      <c r="N428" s="15" t="n">
        <f aca="false">SUM(N424:N427)</f>
        <v>-31358</v>
      </c>
      <c r="O428" s="15" t="n">
        <f aca="false">SUM(O424:O427)</f>
        <v>-18179</v>
      </c>
      <c r="P428" s="15" t="n">
        <f aca="false">SUM(P424:P427)</f>
        <v>0</v>
      </c>
      <c r="Q428" s="15" t="n">
        <f aca="false">SUM(Q424:Q427)</f>
        <v>2494.52054794521</v>
      </c>
      <c r="R428" s="15" t="n">
        <f aca="false">SUM(R424:R427)</f>
        <v>0</v>
      </c>
      <c r="S428" s="15" t="n">
        <f aca="false">SUM(S424:S427)</f>
        <v>0</v>
      </c>
      <c r="T428" s="15" t="n">
        <f aca="false">SUM(T424:T427)</f>
        <v>0</v>
      </c>
      <c r="U428" s="15" t="n">
        <f aca="false">SUM(U424:U427)</f>
        <v>0</v>
      </c>
      <c r="V428" s="15" t="n">
        <f aca="false">SUM(V424:V427)</f>
        <v>0</v>
      </c>
      <c r="W428" s="15" t="n">
        <f aca="false">SUM(W424:W427)</f>
        <v>0</v>
      </c>
      <c r="X428" s="15" t="n">
        <f aca="false">SUM(X424:X427)</f>
        <v>0</v>
      </c>
      <c r="Y428" s="15" t="n">
        <f aca="false">SUM(Y424:Y427)</f>
        <v>0</v>
      </c>
      <c r="Z428" s="15" t="n">
        <f aca="false">SUM(Z424:Z427)</f>
        <v>0</v>
      </c>
      <c r="AA428" s="15" t="n">
        <f aca="false">SUM(AA424:AA427)</f>
        <v>0</v>
      </c>
      <c r="AB428" s="15" t="n">
        <f aca="false">SUM(AB424:AB427)</f>
        <v>0</v>
      </c>
      <c r="AC428" s="15" t="n">
        <f aca="false">SUM(AC424:AC427)</f>
        <v>0</v>
      </c>
      <c r="AD428" s="15" t="n">
        <f aca="false">SUM(AD424:AD427)</f>
        <v>0</v>
      </c>
      <c r="AE428" s="15" t="n">
        <f aca="false">SUM(AE424:AE427)</f>
        <v>0</v>
      </c>
      <c r="AF428" s="15" t="n">
        <f aca="false">SUM(AF424:AF427)</f>
        <v>0</v>
      </c>
      <c r="AG428" s="15" t="n">
        <f aca="false">SUM(AG424:AG427)</f>
        <v>0</v>
      </c>
      <c r="AH428" s="15" t="n">
        <f aca="false">SUM(AH424:AH427)</f>
        <v>0</v>
      </c>
      <c r="AI428" s="15" t="n">
        <f aca="false">SUM(AI424:AI427)</f>
        <v>0</v>
      </c>
      <c r="AJ428" s="15" t="n">
        <f aca="false">SUM(AJ424:AJ427)</f>
        <v>0</v>
      </c>
      <c r="AK428" s="15" t="n">
        <f aca="false">SUM(AK424:AK427)</f>
        <v>0</v>
      </c>
      <c r="AL428" s="15" t="n">
        <f aca="false">SUM(AL424:AL427)</f>
        <v>0</v>
      </c>
      <c r="AM428" s="15" t="n">
        <f aca="false">SUM(AM424:AM427)</f>
        <v>0</v>
      </c>
      <c r="AN428" s="15" t="n">
        <f aca="false">SUM(AN424:AN427)</f>
        <v>0</v>
      </c>
      <c r="AO428" s="15" t="n">
        <f aca="false">SUM(AO424:AO427)</f>
        <v>0</v>
      </c>
      <c r="AP428" s="15" t="n">
        <f aca="false">SUM(AP424:AP427)</f>
        <v>0</v>
      </c>
      <c r="AQ428" s="15" t="n">
        <f aca="false">SUM(AQ424:AQ427)</f>
        <v>0</v>
      </c>
      <c r="AR428" s="15" t="n">
        <f aca="false">SUM(AR424:AR427)</f>
        <v>0</v>
      </c>
      <c r="AS428" s="15" t="n">
        <f aca="false">SUM(AS424:AS427)</f>
        <v>0</v>
      </c>
    </row>
    <row r="429" customFormat="false" ht="14.25" hidden="false" customHeight="false" outlineLevel="0" collapsed="false">
      <c r="C429" s="6" t="s">
        <v>303</v>
      </c>
      <c r="D429" s="2" t="s">
        <v>3</v>
      </c>
      <c r="J429" s="77" t="n">
        <f aca="false">(1-Degradation)^MAX(J418-1,0)</f>
        <v>1</v>
      </c>
      <c r="K429" s="77" t="n">
        <f aca="false">(1-Degradation)^MAX(K418-1,0)</f>
        <v>1</v>
      </c>
      <c r="L429" s="77" t="n">
        <f aca="false">(1-Degradation)^MAX(L418-1,0)</f>
        <v>1</v>
      </c>
      <c r="M429" s="77" t="n">
        <f aca="false">(1-Degradation)^MAX(M418-1,0)</f>
        <v>1</v>
      </c>
      <c r="N429" s="77" t="n">
        <f aca="false">(1-Degradation)^MAX(N418-1,0)</f>
        <v>1</v>
      </c>
      <c r="O429" s="77" t="n">
        <f aca="false">(1-Degradation)^MAX(O418-1,0)</f>
        <v>1</v>
      </c>
      <c r="P429" s="77" t="n">
        <f aca="false">(1-Degradation)^MAX(P418-1,0)</f>
        <v>1</v>
      </c>
      <c r="Q429" s="77" t="n">
        <f aca="false">(1-Degradation)^MAX(Q418-1,0)</f>
        <v>0.997</v>
      </c>
      <c r="R429" s="77" t="n">
        <f aca="false">(1-Degradation)^MAX(R418-1,0)</f>
        <v>0.994009</v>
      </c>
      <c r="S429" s="77" t="n">
        <f aca="false">(1-Degradation)^MAX(S418-1,0)</f>
        <v>0.991026973</v>
      </c>
      <c r="T429" s="77" t="n">
        <f aca="false">(1-Degradation)^MAX(T418-1,0)</f>
        <v>0.988053892081</v>
      </c>
      <c r="U429" s="77" t="n">
        <f aca="false">(1-Degradation)^MAX(U418-1,0)</f>
        <v>0.985089730404757</v>
      </c>
      <c r="V429" s="77" t="n">
        <f aca="false">(1-Degradation)^MAX(V418-1,0)</f>
        <v>0.982134461213543</v>
      </c>
      <c r="W429" s="77" t="n">
        <f aca="false">(1-Degradation)^MAX(W418-1,0)</f>
        <v>0.979188057829902</v>
      </c>
      <c r="X429" s="77" t="n">
        <f aca="false">(1-Degradation)^MAX(X418-1,0)</f>
        <v>0.976250493656412</v>
      </c>
      <c r="Y429" s="77" t="n">
        <f aca="false">(1-Degradation)^MAX(Y418-1,0)</f>
        <v>0.973321742175443</v>
      </c>
      <c r="Z429" s="77" t="n">
        <f aca="false">(1-Degradation)^MAX(Z418-1,0)</f>
        <v>0.970401776948917</v>
      </c>
      <c r="AA429" s="77" t="n">
        <f aca="false">(1-Degradation)^MAX(AA418-1,0)</f>
        <v>0.96749057161807</v>
      </c>
      <c r="AB429" s="77" t="n">
        <f aca="false">(1-Degradation)^MAX(AB418-1,0)</f>
        <v>0.964588099903216</v>
      </c>
      <c r="AC429" s="77" t="n">
        <f aca="false">(1-Degradation)^MAX(AC418-1,0)</f>
        <v>0.961694335603506</v>
      </c>
      <c r="AD429" s="77" t="n">
        <f aca="false">(1-Degradation)^MAX(AD418-1,0)</f>
        <v>0.958809252596696</v>
      </c>
      <c r="AE429" s="77" t="n">
        <f aca="false">(1-Degradation)^MAX(AE418-1,0)</f>
        <v>0.955932824838906</v>
      </c>
      <c r="AF429" s="77" t="n">
        <f aca="false">(1-Degradation)^MAX(AF418-1,0)</f>
        <v>0.953065026364389</v>
      </c>
      <c r="AG429" s="77" t="n">
        <f aca="false">(1-Degradation)^MAX(AG418-1,0)</f>
        <v>0.950205831285296</v>
      </c>
      <c r="AH429" s="77" t="n">
        <f aca="false">(1-Degradation)^MAX(AH418-1,0)</f>
        <v>0.94735521379144</v>
      </c>
      <c r="AI429" s="77" t="n">
        <f aca="false">(1-Degradation)^MAX(AI418-1,0)</f>
        <v>0.944513148150066</v>
      </c>
      <c r="AJ429" s="77" t="n">
        <f aca="false">(1-Degradation)^MAX(AJ418-1,0)</f>
        <v>0.941679608705615</v>
      </c>
      <c r="AK429" s="77" t="n">
        <f aca="false">(1-Degradation)^MAX(AK418-1,0)</f>
        <v>0.938854569879498</v>
      </c>
      <c r="AL429" s="77" t="n">
        <f aca="false">(1-Degradation)^MAX(AL418-1,0)</f>
        <v>0.93603800616986</v>
      </c>
      <c r="AM429" s="77" t="n">
        <f aca="false">(1-Degradation)^MAX(AM418-1,0)</f>
        <v>0.93322989215135</v>
      </c>
      <c r="AN429" s="77" t="n">
        <f aca="false">(1-Degradation)^MAX(AN418-1,0)</f>
        <v>0.930430202474896</v>
      </c>
      <c r="AO429" s="77" t="n">
        <f aca="false">(1-Degradation)^MAX(AO418-1,0)</f>
        <v>0.927638911867472</v>
      </c>
      <c r="AP429" s="77" t="n">
        <f aca="false">(1-Degradation)^MAX(AP418-1,0)</f>
        <v>0.924855995131869</v>
      </c>
      <c r="AQ429" s="77" t="n">
        <f aca="false">(1-Degradation)^MAX(AQ418-1,0)</f>
        <v>0.922081427146474</v>
      </c>
      <c r="AR429" s="77" t="n">
        <f aca="false">(1-Degradation)^MAX(AR418-1,0)</f>
        <v>0.919315182865034</v>
      </c>
      <c r="AS429" s="77" t="n">
        <f aca="false">(1-Degradation)^MAX(AS418-1,0)</f>
        <v>0.916557237316439</v>
      </c>
    </row>
    <row r="430" customFormat="false" ht="14.25" hidden="false" customHeight="false" outlineLevel="0" collapsed="false">
      <c r="C430" s="6" t="s">
        <v>304</v>
      </c>
      <c r="D430" s="2" t="s">
        <v>305</v>
      </c>
      <c r="H430" s="17" t="n">
        <f aca="false">SUM(J430:AS430)</f>
        <v>4263.39882706474</v>
      </c>
      <c r="J430" s="17" t="n">
        <f aca="false">$F$46*$F$22*(1-Curtailment)*(1-Clipping)*J422*J429/Thousand</f>
        <v>0</v>
      </c>
      <c r="K430" s="17" t="n">
        <f aca="false">$F$46*$F$22*(1-Curtailment)*(1-Clipping)*K422*K429/Thousand</f>
        <v>0</v>
      </c>
      <c r="L430" s="17" t="n">
        <f aca="false">$F$46*$F$22*(1-Curtailment)*(1-Clipping)*L422*L429/Thousand</f>
        <v>0</v>
      </c>
      <c r="M430" s="17" t="n">
        <f aca="false">$F$46*$F$22*(1-Curtailment)*(1-Clipping)*M422*M429/Thousand</f>
        <v>0</v>
      </c>
      <c r="N430" s="17" t="n">
        <f aca="false">$F$46*$F$22*(1-Curtailment)*(1-Clipping)*N422*N429/Thousand</f>
        <v>0</v>
      </c>
      <c r="O430" s="17" t="n">
        <f aca="false">$F$46*$F$22*(1-Curtailment)*(1-Clipping)*O422*O429/Thousand</f>
        <v>74.088</v>
      </c>
      <c r="P430" s="17" t="n">
        <f aca="false">$F$46*$F$22*(1-Curtailment)*(1-Clipping)*P422*P429/Thousand</f>
        <v>148.176</v>
      </c>
      <c r="Q430" s="17" t="n">
        <f aca="false">$F$46*$F$22*(1-Curtailment)*(1-Clipping)*Q422*Q429/Thousand</f>
        <v>147.731472</v>
      </c>
      <c r="R430" s="17" t="n">
        <f aca="false">$F$46*$F$22*(1-Curtailment)*(1-Clipping)*R422*R429/Thousand</f>
        <v>147.288277584</v>
      </c>
      <c r="S430" s="17" t="n">
        <f aca="false">$F$46*$F$22*(1-Curtailment)*(1-Clipping)*S422*S429/Thousand</f>
        <v>146.846412751248</v>
      </c>
      <c r="T430" s="17" t="n">
        <f aca="false">$F$46*$F$22*(1-Curtailment)*(1-Clipping)*T422*T429/Thousand</f>
        <v>146.405873512994</v>
      </c>
      <c r="U430" s="17" t="n">
        <f aca="false">$F$46*$F$22*(1-Curtailment)*(1-Clipping)*U422*U429/Thousand</f>
        <v>145.966655892455</v>
      </c>
      <c r="V430" s="17" t="n">
        <f aca="false">$F$46*$F$22*(1-Curtailment)*(1-Clipping)*V422*V429/Thousand</f>
        <v>145.528755924778</v>
      </c>
      <c r="W430" s="17" t="n">
        <f aca="false">$F$46*$F$22*(1-Curtailment)*(1-Clipping)*W422*W429/Thousand</f>
        <v>145.092169657004</v>
      </c>
      <c r="X430" s="17" t="n">
        <f aca="false">$F$46*$F$22*(1-Curtailment)*(1-Clipping)*X422*X429/Thousand</f>
        <v>144.656893148033</v>
      </c>
      <c r="Y430" s="17" t="n">
        <f aca="false">$F$46*$F$22*(1-Curtailment)*(1-Clipping)*Y422*Y429/Thousand</f>
        <v>144.222922468588</v>
      </c>
      <c r="Z430" s="17" t="n">
        <f aca="false">$F$46*$F$22*(1-Curtailment)*(1-Clipping)*Z422*Z429/Thousand</f>
        <v>143.790253701183</v>
      </c>
      <c r="AA430" s="17" t="n">
        <f aca="false">$F$46*$F$22*(1-Curtailment)*(1-Clipping)*AA422*AA429/Thousand</f>
        <v>143.358882940079</v>
      </c>
      <c r="AB430" s="17" t="n">
        <f aca="false">$F$46*$F$22*(1-Curtailment)*(1-Clipping)*AB422*AB429/Thousand</f>
        <v>142.928806291259</v>
      </c>
      <c r="AC430" s="17" t="n">
        <f aca="false">$F$46*$F$22*(1-Curtailment)*(1-Clipping)*AC422*AC429/Thousand</f>
        <v>142.500019872385</v>
      </c>
      <c r="AD430" s="17" t="n">
        <f aca="false">$F$46*$F$22*(1-Curtailment)*(1-Clipping)*AD422*AD429/Thousand</f>
        <v>142.072519812768</v>
      </c>
      <c r="AE430" s="17" t="n">
        <f aca="false">$F$46*$F$22*(1-Curtailment)*(1-Clipping)*AE422*AE429/Thousand</f>
        <v>141.64630225333</v>
      </c>
      <c r="AF430" s="17" t="n">
        <f aca="false">$F$46*$F$22*(1-Curtailment)*(1-Clipping)*AF422*AF429/Thousand</f>
        <v>141.22136334657</v>
      </c>
      <c r="AG430" s="17" t="n">
        <f aca="false">$F$46*$F$22*(1-Curtailment)*(1-Clipping)*AG422*AG429/Thousand</f>
        <v>140.79769925653</v>
      </c>
      <c r="AH430" s="17" t="n">
        <f aca="false">$F$46*$F$22*(1-Curtailment)*(1-Clipping)*AH422*AH429/Thousand</f>
        <v>140.37530615876</v>
      </c>
      <c r="AI430" s="17" t="n">
        <f aca="false">$F$46*$F$22*(1-Curtailment)*(1-Clipping)*AI422*AI429/Thousand</f>
        <v>139.954180240284</v>
      </c>
      <c r="AJ430" s="17" t="n">
        <f aca="false">$F$46*$F$22*(1-Curtailment)*(1-Clipping)*AJ422*AJ429/Thousand</f>
        <v>139.534317699563</v>
      </c>
      <c r="AK430" s="17" t="n">
        <f aca="false">$F$46*$F$22*(1-Curtailment)*(1-Clipping)*AK422*AK429/Thousand</f>
        <v>139.115714746465</v>
      </c>
      <c r="AL430" s="17" t="n">
        <f aca="false">$F$46*$F$22*(1-Curtailment)*(1-Clipping)*AL422*AL429/Thousand</f>
        <v>138.698367602225</v>
      </c>
      <c r="AM430" s="17" t="n">
        <f aca="false">$F$46*$F$22*(1-Curtailment)*(1-Clipping)*AM422*AM429/Thousand</f>
        <v>138.282272499419</v>
      </c>
      <c r="AN430" s="17" t="n">
        <f aca="false">$F$46*$F$22*(1-Curtailment)*(1-Clipping)*AN422*AN429/Thousand</f>
        <v>137.86742568192</v>
      </c>
      <c r="AO430" s="17" t="n">
        <f aca="false">$F$46*$F$22*(1-Curtailment)*(1-Clipping)*AO422*AO429/Thousand</f>
        <v>137.453823404874</v>
      </c>
      <c r="AP430" s="17" t="n">
        <f aca="false">$F$46*$F$22*(1-Curtailment)*(1-Clipping)*AP422*AP429/Thousand</f>
        <v>137.04146193466</v>
      </c>
      <c r="AQ430" s="17" t="n">
        <f aca="false">$F$46*$F$22*(1-Curtailment)*(1-Clipping)*AQ422*AQ429/Thousand</f>
        <v>136.630337548856</v>
      </c>
      <c r="AR430" s="17" t="n">
        <f aca="false">$F$46*$F$22*(1-Curtailment)*(1-Clipping)*AR422*AR429/Thousand</f>
        <v>136.220446536209</v>
      </c>
      <c r="AS430" s="17" t="n">
        <f aca="false">$F$46*$F$22*(1-Curtailment)*(1-Clipping)*AS422*AS429/Thousand</f>
        <v>67.9058925983003</v>
      </c>
    </row>
    <row r="431" customFormat="false" ht="14.25" hidden="false" customHeight="false" outlineLevel="0" collapsed="false">
      <c r="C431" s="6" t="s">
        <v>306</v>
      </c>
      <c r="D431" s="2" t="s">
        <v>20</v>
      </c>
      <c r="J431" s="17" t="n">
        <f aca="false">Case_PPA*(1+PPA_Esc)^J418*(J422&gt;0)</f>
        <v>0</v>
      </c>
      <c r="K431" s="17" t="n">
        <f aca="false">Case_PPA*(1+PPA_Esc)^K418*(K422&gt;0)</f>
        <v>0</v>
      </c>
      <c r="L431" s="17" t="n">
        <f aca="false">Case_PPA*(1+PPA_Esc)^L418*(L422&gt;0)</f>
        <v>0</v>
      </c>
      <c r="M431" s="17" t="n">
        <f aca="false">Case_PPA*(1+PPA_Esc)^M418*(M422&gt;0)</f>
        <v>0</v>
      </c>
      <c r="N431" s="17" t="n">
        <f aca="false">Case_PPA*(1+PPA_Esc)^N418*(N422&gt;0)</f>
        <v>0</v>
      </c>
      <c r="O431" s="17" t="n">
        <f aca="false">Case_PPA*(1+PPA_Esc)^O418*(O422&gt;0)</f>
        <v>90</v>
      </c>
      <c r="P431" s="17" t="n">
        <f aca="false">Case_PPA*(1+PPA_Esc)^P418*(P422&gt;0)</f>
        <v>90.9</v>
      </c>
      <c r="Q431" s="17" t="n">
        <f aca="false">Case_PPA*(1+PPA_Esc)^Q418*(Q422&gt;0)</f>
        <v>91.809</v>
      </c>
      <c r="R431" s="17" t="n">
        <f aca="false">Case_PPA*(1+PPA_Esc)^R418*(R422&gt;0)</f>
        <v>92.72709</v>
      </c>
      <c r="S431" s="17" t="n">
        <f aca="false">Case_PPA*(1+PPA_Esc)^S418*(S422&gt;0)</f>
        <v>93.6543609</v>
      </c>
      <c r="T431" s="17" t="n">
        <f aca="false">Case_PPA*(1+PPA_Esc)^T418*(T422&gt;0)</f>
        <v>94.590904509</v>
      </c>
      <c r="U431" s="17" t="n">
        <f aca="false">Case_PPA*(1+PPA_Esc)^U418*(U422&gt;0)</f>
        <v>95.53681355409</v>
      </c>
      <c r="V431" s="17" t="n">
        <f aca="false">Case_PPA*(1+PPA_Esc)^V418*(V422&gt;0)</f>
        <v>96.4921816896309</v>
      </c>
      <c r="W431" s="17" t="n">
        <f aca="false">Case_PPA*(1+PPA_Esc)^W418*(W422&gt;0)</f>
        <v>97.4571035065272</v>
      </c>
      <c r="X431" s="17" t="n">
        <f aca="false">Case_PPA*(1+PPA_Esc)^X418*(X422&gt;0)</f>
        <v>98.4316745415925</v>
      </c>
      <c r="Y431" s="17" t="n">
        <f aca="false">Case_PPA*(1+PPA_Esc)^Y418*(Y422&gt;0)</f>
        <v>99.4159912870084</v>
      </c>
      <c r="Z431" s="17" t="n">
        <f aca="false">Case_PPA*(1+PPA_Esc)^Z418*(Z422&gt;0)</f>
        <v>100.410151199878</v>
      </c>
      <c r="AA431" s="17" t="n">
        <f aca="false">Case_PPA*(1+PPA_Esc)^AA418*(AA422&gt;0)</f>
        <v>101.414252711877</v>
      </c>
      <c r="AB431" s="17" t="n">
        <f aca="false">Case_PPA*(1+PPA_Esc)^AB418*(AB422&gt;0)</f>
        <v>102.428395238996</v>
      </c>
      <c r="AC431" s="17" t="n">
        <f aca="false">Case_PPA*(1+PPA_Esc)^AC418*(AC422&gt;0)</f>
        <v>103.452679191386</v>
      </c>
      <c r="AD431" s="17" t="n">
        <f aca="false">Case_PPA*(1+PPA_Esc)^AD418*(AD422&gt;0)</f>
        <v>104.4872059833</v>
      </c>
      <c r="AE431" s="17" t="n">
        <f aca="false">Case_PPA*(1+PPA_Esc)^AE418*(AE422&gt;0)</f>
        <v>105.532078043133</v>
      </c>
      <c r="AF431" s="17" t="n">
        <f aca="false">Case_PPA*(1+PPA_Esc)^AF418*(AF422&gt;0)</f>
        <v>106.587398823564</v>
      </c>
      <c r="AG431" s="17" t="n">
        <f aca="false">Case_PPA*(1+PPA_Esc)^AG418*(AG422&gt;0)</f>
        <v>107.6532728118</v>
      </c>
      <c r="AH431" s="17" t="n">
        <f aca="false">Case_PPA*(1+PPA_Esc)^AH418*(AH422&gt;0)</f>
        <v>108.729805539918</v>
      </c>
      <c r="AI431" s="17" t="n">
        <f aca="false">Case_PPA*(1+PPA_Esc)^AI418*(AI422&gt;0)</f>
        <v>109.817103595317</v>
      </c>
      <c r="AJ431" s="17" t="n">
        <f aca="false">Case_PPA*(1+PPA_Esc)^AJ418*(AJ422&gt;0)</f>
        <v>110.91527463127</v>
      </c>
      <c r="AK431" s="17" t="n">
        <f aca="false">Case_PPA*(1+PPA_Esc)^AK418*(AK422&gt;0)</f>
        <v>112.024427377583</v>
      </c>
      <c r="AL431" s="17" t="n">
        <f aca="false">Case_PPA*(1+PPA_Esc)^AL418*(AL422&gt;0)</f>
        <v>113.144671651359</v>
      </c>
      <c r="AM431" s="17" t="n">
        <f aca="false">Case_PPA*(1+PPA_Esc)^AM418*(AM422&gt;0)</f>
        <v>114.276118367872</v>
      </c>
      <c r="AN431" s="17" t="n">
        <f aca="false">Case_PPA*(1+PPA_Esc)^AN418*(AN422&gt;0)</f>
        <v>115.418879551551</v>
      </c>
      <c r="AO431" s="17" t="n">
        <f aca="false">Case_PPA*(1+PPA_Esc)^AO418*(AO422&gt;0)</f>
        <v>116.573068347067</v>
      </c>
      <c r="AP431" s="17" t="n">
        <f aca="false">Case_PPA*(1+PPA_Esc)^AP418*(AP422&gt;0)</f>
        <v>117.738799030537</v>
      </c>
      <c r="AQ431" s="17" t="n">
        <f aca="false">Case_PPA*(1+PPA_Esc)^AQ418*(AQ422&gt;0)</f>
        <v>118.916187020843</v>
      </c>
      <c r="AR431" s="17" t="n">
        <f aca="false">Case_PPA*(1+PPA_Esc)^AR418*(AR422&gt;0)</f>
        <v>120.105348891051</v>
      </c>
      <c r="AS431" s="17" t="n">
        <f aca="false">Case_PPA*(1+PPA_Esc)^AS418*(AS422&gt;0)</f>
        <v>121.306402379962</v>
      </c>
    </row>
    <row r="432" customFormat="false" ht="14.25" hidden="false" customHeight="false" outlineLevel="0" collapsed="false">
      <c r="C432" s="1" t="s">
        <v>158</v>
      </c>
      <c r="D432" s="2" t="s">
        <v>85</v>
      </c>
      <c r="H432" s="32" t="n">
        <f aca="false">SUM(J432:AS432)</f>
        <v>446130.685729454</v>
      </c>
      <c r="J432" s="32" t="n">
        <f aca="false">J430*J431</f>
        <v>0</v>
      </c>
      <c r="K432" s="32" t="n">
        <f aca="false">K430*K431</f>
        <v>0</v>
      </c>
      <c r="L432" s="32" t="n">
        <f aca="false">L430*L431</f>
        <v>0</v>
      </c>
      <c r="M432" s="32" t="n">
        <f aca="false">M430*M431</f>
        <v>0</v>
      </c>
      <c r="N432" s="32" t="n">
        <f aca="false">N430*N431</f>
        <v>0</v>
      </c>
      <c r="O432" s="32" t="n">
        <f aca="false">O430*O431</f>
        <v>6667.92</v>
      </c>
      <c r="P432" s="32" t="n">
        <f aca="false">P430*P431</f>
        <v>13469.1984</v>
      </c>
      <c r="Q432" s="32" t="n">
        <f aca="false">Q430*Q431</f>
        <v>13563.078712848</v>
      </c>
      <c r="R432" s="32" t="n">
        <f aca="false">R430*R431</f>
        <v>13657.6133714766</v>
      </c>
      <c r="S432" s="32" t="n">
        <f aca="false">S430*S431</f>
        <v>13752.8069366757</v>
      </c>
      <c r="T432" s="32" t="n">
        <f aca="false">T430*T431</f>
        <v>13848.6640010244</v>
      </c>
      <c r="U432" s="32" t="n">
        <f aca="false">U430*U431</f>
        <v>13945.1891891115</v>
      </c>
      <c r="V432" s="32" t="n">
        <f aca="false">V430*V431</f>
        <v>14042.3871577596</v>
      </c>
      <c r="W432" s="32" t="n">
        <f aca="false">W430*W431</f>
        <v>14140.2625962492</v>
      </c>
      <c r="X432" s="32" t="n">
        <f aca="false">X430*X431</f>
        <v>14238.8202265451</v>
      </c>
      <c r="Y432" s="32" t="n">
        <f aca="false">Y430*Y431</f>
        <v>14338.0648035241</v>
      </c>
      <c r="Z432" s="32" t="n">
        <f aca="false">Z430*Z431</f>
        <v>14438.0011152046</v>
      </c>
      <c r="AA432" s="32" t="n">
        <f aca="false">AA430*AA431</f>
        <v>14538.6339829776</v>
      </c>
      <c r="AB432" s="32" t="n">
        <f aca="false">AB430*AB431</f>
        <v>14639.968261839</v>
      </c>
      <c r="AC432" s="32" t="n">
        <f aca="false">AC430*AC431</f>
        <v>14742.008840624</v>
      </c>
      <c r="AD432" s="32" t="n">
        <f aca="false">AD430*AD431</f>
        <v>14844.7606422431</v>
      </c>
      <c r="AE432" s="32" t="n">
        <f aca="false">AE430*AE431</f>
        <v>14948.2286239196</v>
      </c>
      <c r="AF432" s="32" t="n">
        <f aca="false">AF430*AF431</f>
        <v>15052.4177774283</v>
      </c>
      <c r="AG432" s="32" t="n">
        <f aca="false">AG430*AG431</f>
        <v>15157.333129337</v>
      </c>
      <c r="AH432" s="32" t="n">
        <f aca="false">AH430*AH431</f>
        <v>15262.9797412485</v>
      </c>
      <c r="AI432" s="32" t="n">
        <f aca="false">AI430*AI431</f>
        <v>15369.362710045</v>
      </c>
      <c r="AJ432" s="32" t="n">
        <f aca="false">AJ430*AJ431</f>
        <v>15476.487168134</v>
      </c>
      <c r="AK432" s="32" t="n">
        <f aca="false">AK430*AK431</f>
        <v>15584.3582836959</v>
      </c>
      <c r="AL432" s="32" t="n">
        <f aca="false">AL430*AL431</f>
        <v>15692.9812609332</v>
      </c>
      <c r="AM432" s="32" t="n">
        <f aca="false">AM430*AM431</f>
        <v>15802.3613403219</v>
      </c>
      <c r="AN432" s="32" t="n">
        <f aca="false">AN430*AN431</f>
        <v>15912.503798864</v>
      </c>
      <c r="AO432" s="32" t="n">
        <f aca="false">AO430*AO431</f>
        <v>16023.4139503421</v>
      </c>
      <c r="AP432" s="32" t="n">
        <f aca="false">AP430*AP431</f>
        <v>16135.0971455759</v>
      </c>
      <c r="AQ432" s="32" t="n">
        <f aca="false">AQ430*AQ431</f>
        <v>16247.5587726806</v>
      </c>
      <c r="AR432" s="32" t="n">
        <f aca="false">AR430*AR431</f>
        <v>16360.8042573262</v>
      </c>
      <c r="AS432" s="32" t="n">
        <f aca="false">AS430*AS431</f>
        <v>8237.41953149987</v>
      </c>
    </row>
    <row r="433" customFormat="false" ht="14.25" hidden="false" customHeight="false" outlineLevel="0" collapsed="false">
      <c r="C433" s="6" t="s">
        <v>307</v>
      </c>
      <c r="D433" s="2" t="s">
        <v>3</v>
      </c>
      <c r="J433" s="77" t="n">
        <f aca="false">(1+Opex_Esc)^J418</f>
        <v>0.883854287609517</v>
      </c>
      <c r="K433" s="77" t="n">
        <f aca="false">(1+Opex_Esc)^K418</f>
        <v>0.905950644799755</v>
      </c>
      <c r="L433" s="77" t="n">
        <f aca="false">(1+Opex_Esc)^L418</f>
        <v>0.928599410919749</v>
      </c>
      <c r="M433" s="77" t="n">
        <f aca="false">(1+Opex_Esc)^M418</f>
        <v>0.951814396192743</v>
      </c>
      <c r="N433" s="77" t="n">
        <f aca="false">(1+Opex_Esc)^N418</f>
        <v>0.975609756097561</v>
      </c>
      <c r="O433" s="77" t="n">
        <f aca="false">(1+Opex_Esc)^O418</f>
        <v>1</v>
      </c>
      <c r="P433" s="77" t="n">
        <f aca="false">(1+Opex_Esc)^P418</f>
        <v>1.025</v>
      </c>
      <c r="Q433" s="77" t="n">
        <f aca="false">(1+Opex_Esc)^Q418</f>
        <v>1.050625</v>
      </c>
      <c r="R433" s="77" t="n">
        <f aca="false">(1+Opex_Esc)^R418</f>
        <v>1.076890625</v>
      </c>
      <c r="S433" s="77" t="n">
        <f aca="false">(1+Opex_Esc)^S418</f>
        <v>1.103812890625</v>
      </c>
      <c r="T433" s="77" t="n">
        <f aca="false">(1+Opex_Esc)^T418</f>
        <v>1.13140821289062</v>
      </c>
      <c r="U433" s="77" t="n">
        <f aca="false">(1+Opex_Esc)^U418</f>
        <v>1.15969341821289</v>
      </c>
      <c r="V433" s="77" t="n">
        <f aca="false">(1+Opex_Esc)^V418</f>
        <v>1.18868575366821</v>
      </c>
      <c r="W433" s="77" t="n">
        <f aca="false">(1+Opex_Esc)^W418</f>
        <v>1.21840289750992</v>
      </c>
      <c r="X433" s="77" t="n">
        <f aca="false">(1+Opex_Esc)^X418</f>
        <v>1.24886296994767</v>
      </c>
      <c r="Y433" s="77" t="n">
        <f aca="false">(1+Opex_Esc)^Y418</f>
        <v>1.28008454419636</v>
      </c>
      <c r="Z433" s="77" t="n">
        <f aca="false">(1+Opex_Esc)^Z418</f>
        <v>1.31208665780127</v>
      </c>
      <c r="AA433" s="77" t="n">
        <f aca="false">(1+Opex_Esc)^AA418</f>
        <v>1.3448888242463</v>
      </c>
      <c r="AB433" s="77" t="n">
        <f aca="false">(1+Opex_Esc)^AB418</f>
        <v>1.37851104485245</v>
      </c>
      <c r="AC433" s="77" t="n">
        <f aca="false">(1+Opex_Esc)^AC418</f>
        <v>1.41297382097377</v>
      </c>
      <c r="AD433" s="77" t="n">
        <f aca="false">(1+Opex_Esc)^AD418</f>
        <v>1.44829816649811</v>
      </c>
      <c r="AE433" s="77" t="n">
        <f aca="false">(1+Opex_Esc)^AE418</f>
        <v>1.48450562066056</v>
      </c>
      <c r="AF433" s="77" t="n">
        <f aca="false">(1+Opex_Esc)^AF418</f>
        <v>1.52161826117708</v>
      </c>
      <c r="AG433" s="77" t="n">
        <f aca="false">(1+Opex_Esc)^AG418</f>
        <v>1.5596587177065</v>
      </c>
      <c r="AH433" s="77" t="n">
        <f aca="false">(1+Opex_Esc)^AH418</f>
        <v>1.59865018564917</v>
      </c>
      <c r="AI433" s="77" t="n">
        <f aca="false">(1+Opex_Esc)^AI418</f>
        <v>1.63861644029039</v>
      </c>
      <c r="AJ433" s="77" t="n">
        <f aca="false">(1+Opex_Esc)^AJ418</f>
        <v>1.67958185129765</v>
      </c>
      <c r="AK433" s="77" t="n">
        <f aca="false">(1+Opex_Esc)^AK418</f>
        <v>1.7215713975801</v>
      </c>
      <c r="AL433" s="77" t="n">
        <f aca="false">(1+Opex_Esc)^AL418</f>
        <v>1.7646106825196</v>
      </c>
      <c r="AM433" s="77" t="n">
        <f aca="false">(1+Opex_Esc)^AM418</f>
        <v>1.80872594958259</v>
      </c>
      <c r="AN433" s="77" t="n">
        <f aca="false">(1+Opex_Esc)^AN418</f>
        <v>1.85394409832215</v>
      </c>
      <c r="AO433" s="77" t="n">
        <f aca="false">(1+Opex_Esc)^AO418</f>
        <v>1.90029270078021</v>
      </c>
      <c r="AP433" s="77" t="n">
        <f aca="false">(1+Opex_Esc)^AP418</f>
        <v>1.94780001829971</v>
      </c>
      <c r="AQ433" s="77" t="n">
        <f aca="false">(1+Opex_Esc)^AQ418</f>
        <v>1.9964950187572</v>
      </c>
      <c r="AR433" s="77" t="n">
        <f aca="false">(1+Opex_Esc)^AR418</f>
        <v>2.04640739422613</v>
      </c>
      <c r="AS433" s="77" t="n">
        <f aca="false">(1+Opex_Esc)^AS418</f>
        <v>2.09756757908179</v>
      </c>
    </row>
    <row r="434" customFormat="false" ht="14.25" hidden="false" customHeight="false" outlineLevel="0" collapsed="false">
      <c r="C434" s="6" t="s">
        <v>308</v>
      </c>
      <c r="D434" s="2" t="s">
        <v>85</v>
      </c>
      <c r="H434" s="8" t="n">
        <f aca="false">SUM(J434:AS434)</f>
        <v>-70011.0919506797</v>
      </c>
      <c r="J434" s="8" t="n">
        <f aca="false">-(Case_OM+SUM(Opex_Per_MW))*$F$46*J433*J422</f>
        <v>-0</v>
      </c>
      <c r="K434" s="8" t="n">
        <f aca="false">-(Case_OM+SUM(Opex_Per_MW))*$F$46*K433*K422</f>
        <v>-0</v>
      </c>
      <c r="L434" s="8" t="n">
        <f aca="false">-(Case_OM+SUM(Opex_Per_MW))*$F$46*L433*L422</f>
        <v>-0</v>
      </c>
      <c r="M434" s="8" t="n">
        <f aca="false">-(Case_OM+SUM(Opex_Per_MW))*$F$46*M433*M422</f>
        <v>-0</v>
      </c>
      <c r="N434" s="8" t="n">
        <f aca="false">-(Case_OM+SUM(Opex_Per_MW))*$F$46*N433*N422</f>
        <v>-0</v>
      </c>
      <c r="O434" s="8" t="n">
        <f aca="false">-(Case_OM+SUM(Opex_Per_MW))*$F$46*O433*O422</f>
        <v>-787.5</v>
      </c>
      <c r="P434" s="8" t="n">
        <f aca="false">-(Case_OM+SUM(Opex_Per_MW))*$F$46*P433*P422</f>
        <v>-1614.375</v>
      </c>
      <c r="Q434" s="8" t="n">
        <f aca="false">-(Case_OM+SUM(Opex_Per_MW))*$F$46*Q433*Q422</f>
        <v>-1654.734375</v>
      </c>
      <c r="R434" s="8" t="n">
        <f aca="false">-(Case_OM+SUM(Opex_Per_MW))*$F$46*R433*R422</f>
        <v>-1696.102734375</v>
      </c>
      <c r="S434" s="8" t="n">
        <f aca="false">-(Case_OM+SUM(Opex_Per_MW))*$F$46*S433*S422</f>
        <v>-1738.50530273437</v>
      </c>
      <c r="T434" s="8" t="n">
        <f aca="false">-(Case_OM+SUM(Opex_Per_MW))*$F$46*T433*T422</f>
        <v>-1781.96793530273</v>
      </c>
      <c r="U434" s="8" t="n">
        <f aca="false">-(Case_OM+SUM(Opex_Per_MW))*$F$46*U433*U422</f>
        <v>-1826.5171336853</v>
      </c>
      <c r="V434" s="8" t="n">
        <f aca="false">-(Case_OM+SUM(Opex_Per_MW))*$F$46*V433*V422</f>
        <v>-1872.18006202743</v>
      </c>
      <c r="W434" s="8" t="n">
        <f aca="false">-(Case_OM+SUM(Opex_Per_MW))*$F$46*W433*W422</f>
        <v>-1918.98456357812</v>
      </c>
      <c r="X434" s="8" t="n">
        <f aca="false">-(Case_OM+SUM(Opex_Per_MW))*$F$46*X433*X422</f>
        <v>-1966.95917766757</v>
      </c>
      <c r="Y434" s="8" t="n">
        <f aca="false">-(Case_OM+SUM(Opex_Per_MW))*$F$46*Y433*Y422</f>
        <v>-2016.13315710926</v>
      </c>
      <c r="Z434" s="8" t="n">
        <f aca="false">-(Case_OM+SUM(Opex_Per_MW))*$F$46*Z433*Z422</f>
        <v>-2066.53648603699</v>
      </c>
      <c r="AA434" s="8" t="n">
        <f aca="false">-(Case_OM+SUM(Opex_Per_MW))*$F$46*AA433*AA422</f>
        <v>-2118.19989818792</v>
      </c>
      <c r="AB434" s="8" t="n">
        <f aca="false">-(Case_OM+SUM(Opex_Per_MW))*$F$46*AB433*AB422</f>
        <v>-2171.15489564262</v>
      </c>
      <c r="AC434" s="8" t="n">
        <f aca="false">-(Case_OM+SUM(Opex_Per_MW))*$F$46*AC433*AC422</f>
        <v>-2225.43376803368</v>
      </c>
      <c r="AD434" s="8" t="n">
        <f aca="false">-(Case_OM+SUM(Opex_Per_MW))*$F$46*AD433*AD422</f>
        <v>-2281.06961223452</v>
      </c>
      <c r="AE434" s="8" t="n">
        <f aca="false">-(Case_OM+SUM(Opex_Per_MW))*$F$46*AE433*AE422</f>
        <v>-2338.09635254039</v>
      </c>
      <c r="AF434" s="8" t="n">
        <f aca="false">-(Case_OM+SUM(Opex_Per_MW))*$F$46*AF433*AF422</f>
        <v>-2396.5487613539</v>
      </c>
      <c r="AG434" s="8" t="n">
        <f aca="false">-(Case_OM+SUM(Opex_Per_MW))*$F$46*AG433*AG422</f>
        <v>-2456.46248038774</v>
      </c>
      <c r="AH434" s="8" t="n">
        <f aca="false">-(Case_OM+SUM(Opex_Per_MW))*$F$46*AH433*AH422</f>
        <v>-2517.87404239744</v>
      </c>
      <c r="AI434" s="8" t="n">
        <f aca="false">-(Case_OM+SUM(Opex_Per_MW))*$F$46*AI433*AI422</f>
        <v>-2580.82089345737</v>
      </c>
      <c r="AJ434" s="8" t="n">
        <f aca="false">-(Case_OM+SUM(Opex_Per_MW))*$F$46*AJ433*AJ422</f>
        <v>-2645.34141579381</v>
      </c>
      <c r="AK434" s="8" t="n">
        <f aca="false">-(Case_OM+SUM(Opex_Per_MW))*$F$46*AK433*AK422</f>
        <v>-2711.47495118865</v>
      </c>
      <c r="AL434" s="8" t="n">
        <f aca="false">-(Case_OM+SUM(Opex_Per_MW))*$F$46*AL433*AL422</f>
        <v>-2779.26182496837</v>
      </c>
      <c r="AM434" s="8" t="n">
        <f aca="false">-(Case_OM+SUM(Opex_Per_MW))*$F$46*AM433*AM422</f>
        <v>-2848.74337059257</v>
      </c>
      <c r="AN434" s="8" t="n">
        <f aca="false">-(Case_OM+SUM(Opex_Per_MW))*$F$46*AN433*AN422</f>
        <v>-2919.96195485739</v>
      </c>
      <c r="AO434" s="8" t="n">
        <f aca="false">-(Case_OM+SUM(Opex_Per_MW))*$F$46*AO433*AO422</f>
        <v>-2992.96100372882</v>
      </c>
      <c r="AP434" s="8" t="n">
        <f aca="false">-(Case_OM+SUM(Opex_Per_MW))*$F$46*AP433*AP422</f>
        <v>-3067.78502882204</v>
      </c>
      <c r="AQ434" s="8" t="n">
        <f aca="false">-(Case_OM+SUM(Opex_Per_MW))*$F$46*AQ433*AQ422</f>
        <v>-3144.47965454259</v>
      </c>
      <c r="AR434" s="8" t="n">
        <f aca="false">-(Case_OM+SUM(Opex_Per_MW))*$F$46*AR433*AR422</f>
        <v>-3223.09164590616</v>
      </c>
      <c r="AS434" s="8" t="n">
        <f aca="false">-(Case_OM+SUM(Opex_Per_MW))*$F$46*AS433*AS422</f>
        <v>-1651.83446852691</v>
      </c>
    </row>
    <row r="435" customFormat="false" ht="14.25" hidden="false" customHeight="false" outlineLevel="0" collapsed="false">
      <c r="C435" s="6" t="s">
        <v>309</v>
      </c>
      <c r="D435" s="2" t="s">
        <v>85</v>
      </c>
      <c r="H435" s="8" t="n">
        <f aca="false">SUM(J435:AS435)</f>
        <v>-1666.93076073047</v>
      </c>
      <c r="J435" s="8" t="n">
        <f aca="false">-Opex_Admin*$F$6/Lump_Basis*J433*J422</f>
        <v>-0</v>
      </c>
      <c r="K435" s="8" t="n">
        <f aca="false">-Opex_Admin*$F$6/Lump_Basis*K433*K422</f>
        <v>-0</v>
      </c>
      <c r="L435" s="8" t="n">
        <f aca="false">-Opex_Admin*$F$6/Lump_Basis*L433*L422</f>
        <v>-0</v>
      </c>
      <c r="M435" s="8" t="n">
        <f aca="false">-Opex_Admin*$F$6/Lump_Basis*M433*M422</f>
        <v>-0</v>
      </c>
      <c r="N435" s="8" t="n">
        <f aca="false">-Opex_Admin*$F$6/Lump_Basis*N433*N422</f>
        <v>-0</v>
      </c>
      <c r="O435" s="8" t="n">
        <f aca="false">-Opex_Admin*$F$6/Lump_Basis*O433*O422</f>
        <v>-18.75</v>
      </c>
      <c r="P435" s="8" t="n">
        <f aca="false">-Opex_Admin*$F$6/Lump_Basis*P433*P422</f>
        <v>-38.4375</v>
      </c>
      <c r="Q435" s="8" t="n">
        <f aca="false">-Opex_Admin*$F$6/Lump_Basis*Q433*Q422</f>
        <v>-39.3984375</v>
      </c>
      <c r="R435" s="8" t="n">
        <f aca="false">-Opex_Admin*$F$6/Lump_Basis*R433*R422</f>
        <v>-40.3833984375</v>
      </c>
      <c r="S435" s="8" t="n">
        <f aca="false">-Opex_Admin*$F$6/Lump_Basis*S433*S422</f>
        <v>-41.3929833984375</v>
      </c>
      <c r="T435" s="8" t="n">
        <f aca="false">-Opex_Admin*$F$6/Lump_Basis*T433*T422</f>
        <v>-42.4278079833984</v>
      </c>
      <c r="U435" s="8" t="n">
        <f aca="false">-Opex_Admin*$F$6/Lump_Basis*U433*U422</f>
        <v>-43.4885031829834</v>
      </c>
      <c r="V435" s="8" t="n">
        <f aca="false">-Opex_Admin*$F$6/Lump_Basis*V433*V422</f>
        <v>-44.575715762558</v>
      </c>
      <c r="W435" s="8" t="n">
        <f aca="false">-Opex_Admin*$F$6/Lump_Basis*W433*W422</f>
        <v>-45.6901086566219</v>
      </c>
      <c r="X435" s="8" t="n">
        <f aca="false">-Opex_Admin*$F$6/Lump_Basis*X433*X422</f>
        <v>-46.8323613730374</v>
      </c>
      <c r="Y435" s="8" t="n">
        <f aca="false">-Opex_Admin*$F$6/Lump_Basis*Y433*Y422</f>
        <v>-48.0031704073634</v>
      </c>
      <c r="Z435" s="8" t="n">
        <f aca="false">-Opex_Admin*$F$6/Lump_Basis*Z433*Z422</f>
        <v>-49.2032496675475</v>
      </c>
      <c r="AA435" s="8" t="n">
        <f aca="false">-Opex_Admin*$F$6/Lump_Basis*AA433*AA422</f>
        <v>-50.4333309092361</v>
      </c>
      <c r="AB435" s="8" t="n">
        <f aca="false">-Opex_Admin*$F$6/Lump_Basis*AB433*AB422</f>
        <v>-51.694164181967</v>
      </c>
      <c r="AC435" s="8" t="n">
        <f aca="false">-Opex_Admin*$F$6/Lump_Basis*AC433*AC422</f>
        <v>-52.9865182865162</v>
      </c>
      <c r="AD435" s="8" t="n">
        <f aca="false">-Opex_Admin*$F$6/Lump_Basis*AD433*AD422</f>
        <v>-54.3111812436791</v>
      </c>
      <c r="AE435" s="8" t="n">
        <f aca="false">-Opex_Admin*$F$6/Lump_Basis*AE433*AE422</f>
        <v>-55.6689607747711</v>
      </c>
      <c r="AF435" s="8" t="n">
        <f aca="false">-Opex_Admin*$F$6/Lump_Basis*AF433*AF422</f>
        <v>-57.0606847941404</v>
      </c>
      <c r="AG435" s="8" t="n">
        <f aca="false">-Opex_Admin*$F$6/Lump_Basis*AG433*AG422</f>
        <v>-58.4872019139939</v>
      </c>
      <c r="AH435" s="8" t="n">
        <f aca="false">-Opex_Admin*$F$6/Lump_Basis*AH433*AH422</f>
        <v>-59.9493819618437</v>
      </c>
      <c r="AI435" s="8" t="n">
        <f aca="false">-Opex_Admin*$F$6/Lump_Basis*AI433*AI422</f>
        <v>-61.4481165108898</v>
      </c>
      <c r="AJ435" s="8" t="n">
        <f aca="false">-Opex_Admin*$F$6/Lump_Basis*AJ433*AJ422</f>
        <v>-62.984319423662</v>
      </c>
      <c r="AK435" s="8" t="n">
        <f aca="false">-Opex_Admin*$F$6/Lump_Basis*AK433*AK422</f>
        <v>-64.5589274092536</v>
      </c>
      <c r="AL435" s="8" t="n">
        <f aca="false">-Opex_Admin*$F$6/Lump_Basis*AL433*AL422</f>
        <v>-66.1729005944849</v>
      </c>
      <c r="AM435" s="8" t="n">
        <f aca="false">-Opex_Admin*$F$6/Lump_Basis*AM433*AM422</f>
        <v>-67.827223109347</v>
      </c>
      <c r="AN435" s="8" t="n">
        <f aca="false">-Opex_Admin*$F$6/Lump_Basis*AN433*AN422</f>
        <v>-69.5229036870807</v>
      </c>
      <c r="AO435" s="8" t="n">
        <f aca="false">-Opex_Admin*$F$6/Lump_Basis*AO433*AO422</f>
        <v>-71.2609762792577</v>
      </c>
      <c r="AP435" s="8" t="n">
        <f aca="false">-Opex_Admin*$F$6/Lump_Basis*AP433*AP422</f>
        <v>-73.0425006862391</v>
      </c>
      <c r="AQ435" s="8" t="n">
        <f aca="false">-Opex_Admin*$F$6/Lump_Basis*AQ433*AQ422</f>
        <v>-74.8685632033951</v>
      </c>
      <c r="AR435" s="8" t="n">
        <f aca="false">-Opex_Admin*$F$6/Lump_Basis*AR433*AR422</f>
        <v>-76.74027728348</v>
      </c>
      <c r="AS435" s="8" t="n">
        <f aca="false">-Opex_Admin*$F$6/Lump_Basis*AS433*AS422</f>
        <v>-39.3293921077835</v>
      </c>
    </row>
    <row r="436" customFormat="false" ht="14.25" hidden="false" customHeight="false" outlineLevel="0" collapsed="false">
      <c r="C436" s="6" t="s">
        <v>310</v>
      </c>
      <c r="D436" s="2" t="s">
        <v>85</v>
      </c>
      <c r="H436" s="8" t="n">
        <f aca="false">SUM(J436:AS436)</f>
        <v>-31411.9298672852</v>
      </c>
      <c r="J436" s="8" t="n">
        <f aca="false">-J430*(Balancing+Grid_Charges)*J433</f>
        <v>-0</v>
      </c>
      <c r="K436" s="8" t="n">
        <f aca="false">-K430*(Balancing+Grid_Charges)*K433</f>
        <v>-0</v>
      </c>
      <c r="L436" s="8" t="n">
        <f aca="false">-L430*(Balancing+Grid_Charges)*L433</f>
        <v>-0</v>
      </c>
      <c r="M436" s="8" t="n">
        <f aca="false">-M430*(Balancing+Grid_Charges)*M433</f>
        <v>-0</v>
      </c>
      <c r="N436" s="8" t="n">
        <f aca="false">-N430*(Balancing+Grid_Charges)*N433</f>
        <v>-0</v>
      </c>
      <c r="O436" s="8" t="n">
        <f aca="false">-O430*(Balancing+Grid_Charges)*O433</f>
        <v>-370.44</v>
      </c>
      <c r="P436" s="8" t="n">
        <f aca="false">-P430*(Balancing+Grid_Charges)*P433</f>
        <v>-759.402</v>
      </c>
      <c r="Q436" s="8" t="n">
        <f aca="false">-Q430*(Balancing+Grid_Charges)*Q433</f>
        <v>-776.05188885</v>
      </c>
      <c r="R436" s="8" t="n">
        <f aca="false">-R430*(Balancing+Grid_Charges)*R433</f>
        <v>-793.066826513036</v>
      </c>
      <c r="S436" s="8" t="n">
        <f aca="false">-S430*(Balancing+Grid_Charges)*S433</f>
        <v>-810.454816684334</v>
      </c>
      <c r="T436" s="8" t="n">
        <f aca="false">-T430*(Balancing+Grid_Charges)*T433</f>
        <v>-828.224038540138</v>
      </c>
      <c r="U436" s="8" t="n">
        <f aca="false">-U430*(Balancing+Grid_Charges)*U433</f>
        <v>-846.382850585131</v>
      </c>
      <c r="V436" s="8" t="n">
        <f aca="false">-V430*(Balancing+Grid_Charges)*V433</f>
        <v>-864.93979458421</v>
      </c>
      <c r="W436" s="8" t="n">
        <f aca="false">-W430*(Balancing+Grid_Charges)*W433</f>
        <v>-883.903599580468</v>
      </c>
      <c r="X436" s="8" t="n">
        <f aca="false">-X430*(Balancing+Grid_Charges)*X433</f>
        <v>-903.28318600127</v>
      </c>
      <c r="Y436" s="8" t="n">
        <f aca="false">-Y430*(Balancing+Grid_Charges)*Y433</f>
        <v>-923.087669854348</v>
      </c>
      <c r="Z436" s="8" t="n">
        <f aca="false">-Z430*(Balancing+Grid_Charges)*Z433</f>
        <v>-943.326367015904</v>
      </c>
      <c r="AA436" s="8" t="n">
        <f aca="false">-AA430*(Balancing+Grid_Charges)*AA433</f>
        <v>-964.008797612728</v>
      </c>
      <c r="AB436" s="8" t="n">
        <f aca="false">-AB430*(Balancing+Grid_Charges)*AB433</f>
        <v>-985.144690500387</v>
      </c>
      <c r="AC436" s="8" t="n">
        <f aca="false">-AC430*(Balancing+Grid_Charges)*AC433</f>
        <v>-1006.74398783961</v>
      </c>
      <c r="AD436" s="8" t="n">
        <f aca="false">-AD430*(Balancing+Grid_Charges)*AD433</f>
        <v>-1028.81684977299</v>
      </c>
      <c r="AE436" s="8" t="n">
        <f aca="false">-AE430*(Balancing+Grid_Charges)*AE433</f>
        <v>-1051.37365920426</v>
      </c>
      <c r="AF436" s="8" t="n">
        <f aca="false">-AF430*(Balancing+Grid_Charges)*AF433</f>
        <v>-1074.42502668232</v>
      </c>
      <c r="AG436" s="8" t="n">
        <f aca="false">-AG430*(Balancing+Grid_Charges)*AG433</f>
        <v>-1097.98179539233</v>
      </c>
      <c r="AH436" s="8" t="n">
        <f aca="false">-AH430*(Balancing+Grid_Charges)*AH433</f>
        <v>-1122.0550462563</v>
      </c>
      <c r="AI436" s="8" t="n">
        <f aca="false">-AI430*(Balancing+Grid_Charges)*AI433</f>
        <v>-1146.65610314547</v>
      </c>
      <c r="AJ436" s="8" t="n">
        <f aca="false">-AJ430*(Balancing+Grid_Charges)*AJ433</f>
        <v>-1171.79653820694</v>
      </c>
      <c r="AK436" s="8" t="n">
        <f aca="false">-AK430*(Balancing+Grid_Charges)*AK433</f>
        <v>-1197.48817730712</v>
      </c>
      <c r="AL436" s="8" t="n">
        <f aca="false">-AL430*(Balancing+Grid_Charges)*AL433</f>
        <v>-1223.74310559458</v>
      </c>
      <c r="AM436" s="8" t="n">
        <f aca="false">-AM430*(Balancing+Grid_Charges)*AM433</f>
        <v>-1250.57367318474</v>
      </c>
      <c r="AN436" s="8" t="n">
        <f aca="false">-AN430*(Balancing+Grid_Charges)*AN433</f>
        <v>-1277.99250096932</v>
      </c>
      <c r="AO436" s="8" t="n">
        <f aca="false">-AO430*(Balancing+Grid_Charges)*AO433</f>
        <v>-1306.01248655307</v>
      </c>
      <c r="AP436" s="8" t="n">
        <f aca="false">-AP430*(Balancing+Grid_Charges)*AP433</f>
        <v>-1334.64681032075</v>
      </c>
      <c r="AQ436" s="8" t="n">
        <f aca="false">-AQ430*(Balancing+Grid_Charges)*AQ433</f>
        <v>-1363.90894163703</v>
      </c>
      <c r="AR436" s="8" t="n">
        <f aca="false">-AR430*(Balancing+Grid_Charges)*AR433</f>
        <v>-1393.81264518242</v>
      </c>
      <c r="AS436" s="8" t="n">
        <f aca="false">-AS430*(Balancing+Grid_Charges)*AS433</f>
        <v>-712.185993714023</v>
      </c>
    </row>
    <row r="437" customFormat="false" ht="14.25" hidden="false" customHeight="false" outlineLevel="0" collapsed="false">
      <c r="C437" s="6" t="s">
        <v>311</v>
      </c>
      <c r="D437" s="2" t="s">
        <v>85</v>
      </c>
      <c r="H437" s="8" t="n">
        <f aca="false">SUM(J437:AS437)</f>
        <v>-446.130685729454</v>
      </c>
      <c r="J437" s="8" t="n">
        <f aca="false">-J432*MEKH_Fee</f>
        <v>-0</v>
      </c>
      <c r="K437" s="8" t="n">
        <f aca="false">-K432*MEKH_Fee</f>
        <v>-0</v>
      </c>
      <c r="L437" s="8" t="n">
        <f aca="false">-L432*MEKH_Fee</f>
        <v>-0</v>
      </c>
      <c r="M437" s="8" t="n">
        <f aca="false">-M432*MEKH_Fee</f>
        <v>-0</v>
      </c>
      <c r="N437" s="8" t="n">
        <f aca="false">-N432*MEKH_Fee</f>
        <v>-0</v>
      </c>
      <c r="O437" s="8" t="n">
        <f aca="false">-O432*MEKH_Fee</f>
        <v>-6.66792</v>
      </c>
      <c r="P437" s="8" t="n">
        <f aca="false">-P432*MEKH_Fee</f>
        <v>-13.4691984</v>
      </c>
      <c r="Q437" s="8" t="n">
        <f aca="false">-Q432*MEKH_Fee</f>
        <v>-13.563078712848</v>
      </c>
      <c r="R437" s="8" t="n">
        <f aca="false">-R432*MEKH_Fee</f>
        <v>-13.6576133714766</v>
      </c>
      <c r="S437" s="8" t="n">
        <f aca="false">-S432*MEKH_Fee</f>
        <v>-13.7528069366757</v>
      </c>
      <c r="T437" s="8" t="n">
        <f aca="false">-T432*MEKH_Fee</f>
        <v>-13.8486640010244</v>
      </c>
      <c r="U437" s="8" t="n">
        <f aca="false">-U432*MEKH_Fee</f>
        <v>-13.9451891891115</v>
      </c>
      <c r="V437" s="8" t="n">
        <f aca="false">-V432*MEKH_Fee</f>
        <v>-14.0423871577596</v>
      </c>
      <c r="W437" s="8" t="n">
        <f aca="false">-W432*MEKH_Fee</f>
        <v>-14.1402625962492</v>
      </c>
      <c r="X437" s="8" t="n">
        <f aca="false">-X432*MEKH_Fee</f>
        <v>-14.2388202265451</v>
      </c>
      <c r="Y437" s="8" t="n">
        <f aca="false">-Y432*MEKH_Fee</f>
        <v>-14.3380648035241</v>
      </c>
      <c r="Z437" s="8" t="n">
        <f aca="false">-Z432*MEKH_Fee</f>
        <v>-14.4380011152046</v>
      </c>
      <c r="AA437" s="8" t="n">
        <f aca="false">-AA432*MEKH_Fee</f>
        <v>-14.5386339829776</v>
      </c>
      <c r="AB437" s="8" t="n">
        <f aca="false">-AB432*MEKH_Fee</f>
        <v>-14.639968261839</v>
      </c>
      <c r="AC437" s="8" t="n">
        <f aca="false">-AC432*MEKH_Fee</f>
        <v>-14.742008840624</v>
      </c>
      <c r="AD437" s="8" t="n">
        <f aca="false">-AD432*MEKH_Fee</f>
        <v>-14.8447606422431</v>
      </c>
      <c r="AE437" s="8" t="n">
        <f aca="false">-AE432*MEKH_Fee</f>
        <v>-14.9482286239196</v>
      </c>
      <c r="AF437" s="8" t="n">
        <f aca="false">-AF432*MEKH_Fee</f>
        <v>-15.0524177774283</v>
      </c>
      <c r="AG437" s="8" t="n">
        <f aca="false">-AG432*MEKH_Fee</f>
        <v>-15.157333129337</v>
      </c>
      <c r="AH437" s="8" t="n">
        <f aca="false">-AH432*MEKH_Fee</f>
        <v>-15.2629797412485</v>
      </c>
      <c r="AI437" s="8" t="n">
        <f aca="false">-AI432*MEKH_Fee</f>
        <v>-15.369362710045</v>
      </c>
      <c r="AJ437" s="8" t="n">
        <f aca="false">-AJ432*MEKH_Fee</f>
        <v>-15.476487168134</v>
      </c>
      <c r="AK437" s="8" t="n">
        <f aca="false">-AK432*MEKH_Fee</f>
        <v>-15.5843582836959</v>
      </c>
      <c r="AL437" s="8" t="n">
        <f aca="false">-AL432*MEKH_Fee</f>
        <v>-15.6929812609332</v>
      </c>
      <c r="AM437" s="8" t="n">
        <f aca="false">-AM432*MEKH_Fee</f>
        <v>-15.8023613403219</v>
      </c>
      <c r="AN437" s="8" t="n">
        <f aca="false">-AN432*MEKH_Fee</f>
        <v>-15.912503798864</v>
      </c>
      <c r="AO437" s="8" t="n">
        <f aca="false">-AO432*MEKH_Fee</f>
        <v>-16.0234139503421</v>
      </c>
      <c r="AP437" s="8" t="n">
        <f aca="false">-AP432*MEKH_Fee</f>
        <v>-16.1350971455759</v>
      </c>
      <c r="AQ437" s="8" t="n">
        <f aca="false">-AQ432*MEKH_Fee</f>
        <v>-16.2475587726806</v>
      </c>
      <c r="AR437" s="8" t="n">
        <f aca="false">-AR432*MEKH_Fee</f>
        <v>-16.3608042573262</v>
      </c>
      <c r="AS437" s="8" t="n">
        <f aca="false">-AS432*MEKH_Fee</f>
        <v>-8.23741953149987</v>
      </c>
    </row>
    <row r="438" customFormat="false" ht="14.25" hidden="false" customHeight="false" outlineLevel="0" collapsed="false">
      <c r="C438" s="6" t="s">
        <v>312</v>
      </c>
      <c r="D438" s="2" t="s">
        <v>85</v>
      </c>
      <c r="H438" s="8" t="n">
        <f aca="false">SUM(J438:AS438)</f>
        <v>-5176.80416322124</v>
      </c>
      <c r="J438" s="8" t="n">
        <f aca="false">SUM(J434:J437)*Opex_Cont</f>
        <v>0</v>
      </c>
      <c r="K438" s="8" t="n">
        <f aca="false">SUM(K434:K437)*Opex_Cont</f>
        <v>0</v>
      </c>
      <c r="L438" s="8" t="n">
        <f aca="false">SUM(L434:L437)*Opex_Cont</f>
        <v>0</v>
      </c>
      <c r="M438" s="8" t="n">
        <f aca="false">SUM(M434:M437)*Opex_Cont</f>
        <v>0</v>
      </c>
      <c r="N438" s="8" t="n">
        <f aca="false">SUM(N434:N437)*Opex_Cont</f>
        <v>0</v>
      </c>
      <c r="O438" s="8" t="n">
        <f aca="false">SUM(O434:O437)*Opex_Cont</f>
        <v>-59.167896</v>
      </c>
      <c r="P438" s="8" t="n">
        <f aca="false">SUM(P434:P437)*Opex_Cont</f>
        <v>-121.28418492</v>
      </c>
      <c r="Q438" s="8" t="n">
        <f aca="false">SUM(Q434:Q437)*Opex_Cont</f>
        <v>-124.187389003142</v>
      </c>
      <c r="R438" s="8" t="n">
        <f aca="false">SUM(R434:R437)*Opex_Cont</f>
        <v>-127.160528634851</v>
      </c>
      <c r="S438" s="8" t="n">
        <f aca="false">SUM(S434:S437)*Opex_Cont</f>
        <v>-130.205295487691</v>
      </c>
      <c r="T438" s="8" t="n">
        <f aca="false">SUM(T434:T437)*Opex_Cont</f>
        <v>-133.323422291365</v>
      </c>
      <c r="U438" s="8" t="n">
        <f aca="false">SUM(U434:U437)*Opex_Cont</f>
        <v>-136.516683832126</v>
      </c>
      <c r="V438" s="8" t="n">
        <f aca="false">SUM(V434:V437)*Opex_Cont</f>
        <v>-139.786897976598</v>
      </c>
      <c r="W438" s="8" t="n">
        <f aca="false">SUM(W434:W437)*Opex_Cont</f>
        <v>-143.135926720573</v>
      </c>
      <c r="X438" s="8" t="n">
        <f aca="false">SUM(X434:X437)*Opex_Cont</f>
        <v>-146.565677263421</v>
      </c>
      <c r="Y438" s="8" t="n">
        <f aca="false">SUM(Y434:Y437)*Opex_Cont</f>
        <v>-150.078103108725</v>
      </c>
      <c r="Z438" s="8" t="n">
        <f aca="false">SUM(Z434:Z437)*Opex_Cont</f>
        <v>-153.675205191783</v>
      </c>
      <c r="AA438" s="8" t="n">
        <f aca="false">SUM(AA434:AA437)*Opex_Cont</f>
        <v>-157.359033034643</v>
      </c>
      <c r="AB438" s="8" t="n">
        <f aca="false">SUM(AB434:AB437)*Opex_Cont</f>
        <v>-161.13168592934</v>
      </c>
      <c r="AC438" s="8" t="n">
        <f aca="false">SUM(AC434:AC437)*Opex_Cont</f>
        <v>-164.995314150021</v>
      </c>
      <c r="AD438" s="8" t="n">
        <f aca="false">SUM(AD434:AD437)*Opex_Cont</f>
        <v>-168.952120194672</v>
      </c>
      <c r="AE438" s="8" t="n">
        <f aca="false">SUM(AE434:AE437)*Opex_Cont</f>
        <v>-173.004360057167</v>
      </c>
      <c r="AF438" s="8" t="n">
        <f aca="false">SUM(AF434:AF437)*Opex_Cont</f>
        <v>-177.154344530389</v>
      </c>
      <c r="AG438" s="8" t="n">
        <f aca="false">SUM(AG434:AG437)*Opex_Cont</f>
        <v>-181.40444054117</v>
      </c>
      <c r="AH438" s="8" t="n">
        <f aca="false">SUM(AH434:AH437)*Opex_Cont</f>
        <v>-185.757072517842</v>
      </c>
      <c r="AI438" s="8" t="n">
        <f aca="false">SUM(AI434:AI437)*Opex_Cont</f>
        <v>-190.214723791189</v>
      </c>
      <c r="AJ438" s="8" t="n">
        <f aca="false">SUM(AJ434:AJ437)*Opex_Cont</f>
        <v>-194.779938029627</v>
      </c>
      <c r="AK438" s="8" t="n">
        <f aca="false">SUM(AK434:AK437)*Opex_Cont</f>
        <v>-199.455320709436</v>
      </c>
      <c r="AL438" s="8" t="n">
        <f aca="false">SUM(AL434:AL437)*Opex_Cont</f>
        <v>-204.243540620918</v>
      </c>
      <c r="AM438" s="8" t="n">
        <f aca="false">SUM(AM434:AM437)*Opex_Cont</f>
        <v>-209.147331411349</v>
      </c>
      <c r="AN438" s="8" t="n">
        <f aca="false">SUM(AN434:AN437)*Opex_Cont</f>
        <v>-214.169493165633</v>
      </c>
      <c r="AO438" s="8" t="n">
        <f aca="false">SUM(AO434:AO437)*Opex_Cont</f>
        <v>-219.312894025575</v>
      </c>
      <c r="AP438" s="8" t="n">
        <f aca="false">SUM(AP434:AP437)*Opex_Cont</f>
        <v>-224.58047184873</v>
      </c>
      <c r="AQ438" s="8" t="n">
        <f aca="false">SUM(AQ434:AQ437)*Opex_Cont</f>
        <v>-229.975235907785</v>
      </c>
      <c r="AR438" s="8" t="n">
        <f aca="false">SUM(AR434:AR437)*Opex_Cont</f>
        <v>-235.500268631469</v>
      </c>
      <c r="AS438" s="8" t="n">
        <f aca="false">SUM(AS434:AS437)*Opex_Cont</f>
        <v>-120.579363694011</v>
      </c>
    </row>
    <row r="439" customFormat="false" ht="14.25" hidden="false" customHeight="false" outlineLevel="0" collapsed="false">
      <c r="C439" s="6" t="s">
        <v>313</v>
      </c>
      <c r="D439" s="2" t="s">
        <v>85</v>
      </c>
      <c r="H439" s="8" t="n">
        <f aca="false">SUM(J439:AS439)</f>
        <v>-12790.1964811942</v>
      </c>
      <c r="J439" s="8" t="n">
        <f aca="false">-J430*$F$12</f>
        <v>-0</v>
      </c>
      <c r="K439" s="8" t="n">
        <f aca="false">-K430*$F$12</f>
        <v>-0</v>
      </c>
      <c r="L439" s="8" t="n">
        <f aca="false">-L430*$F$12</f>
        <v>-0</v>
      </c>
      <c r="M439" s="8" t="n">
        <f aca="false">-M430*$F$12</f>
        <v>-0</v>
      </c>
      <c r="N439" s="8" t="n">
        <f aca="false">-N430*$F$12</f>
        <v>-0</v>
      </c>
      <c r="O439" s="8" t="n">
        <f aca="false">-O430*$F$12</f>
        <v>-222.264</v>
      </c>
      <c r="P439" s="8" t="n">
        <f aca="false">-P430*$F$12</f>
        <v>-444.528</v>
      </c>
      <c r="Q439" s="8" t="n">
        <f aca="false">-Q430*$F$12</f>
        <v>-443.194416</v>
      </c>
      <c r="R439" s="8" t="n">
        <f aca="false">-R430*$F$12</f>
        <v>-441.864832752</v>
      </c>
      <c r="S439" s="8" t="n">
        <f aca="false">-S430*$F$12</f>
        <v>-440.539238253744</v>
      </c>
      <c r="T439" s="8" t="n">
        <f aca="false">-T430*$F$12</f>
        <v>-439.217620538983</v>
      </c>
      <c r="U439" s="8" t="n">
        <f aca="false">-U430*$F$12</f>
        <v>-437.899967677366</v>
      </c>
      <c r="V439" s="8" t="n">
        <f aca="false">-V430*$F$12</f>
        <v>-436.586267774334</v>
      </c>
      <c r="W439" s="8" t="n">
        <f aca="false">-W430*$F$12</f>
        <v>-435.276508971011</v>
      </c>
      <c r="X439" s="8" t="n">
        <f aca="false">-X430*$F$12</f>
        <v>-433.970679444098</v>
      </c>
      <c r="Y439" s="8" t="n">
        <f aca="false">-Y430*$F$12</f>
        <v>-432.668767405765</v>
      </c>
      <c r="Z439" s="8" t="n">
        <f aca="false">-Z430*$F$12</f>
        <v>-431.370761103548</v>
      </c>
      <c r="AA439" s="8" t="n">
        <f aca="false">-AA430*$F$12</f>
        <v>-430.076648820237</v>
      </c>
      <c r="AB439" s="8" t="n">
        <f aca="false">-AB430*$F$12</f>
        <v>-428.786418873777</v>
      </c>
      <c r="AC439" s="8" t="n">
        <f aca="false">-AC430*$F$12</f>
        <v>-427.500059617155</v>
      </c>
      <c r="AD439" s="8" t="n">
        <f aca="false">-AD430*$F$12</f>
        <v>-426.217559438304</v>
      </c>
      <c r="AE439" s="8" t="n">
        <f aca="false">-AE430*$F$12</f>
        <v>-424.938906759989</v>
      </c>
      <c r="AF439" s="8" t="n">
        <f aca="false">-AF430*$F$12</f>
        <v>-423.664090039709</v>
      </c>
      <c r="AG439" s="8" t="n">
        <f aca="false">-AG430*$F$12</f>
        <v>-422.39309776959</v>
      </c>
      <c r="AH439" s="8" t="n">
        <f aca="false">-AH430*$F$12</f>
        <v>-421.125918476281</v>
      </c>
      <c r="AI439" s="8" t="n">
        <f aca="false">-AI430*$F$12</f>
        <v>-419.862540720852</v>
      </c>
      <c r="AJ439" s="8" t="n">
        <f aca="false">-AJ430*$F$12</f>
        <v>-418.60295309869</v>
      </c>
      <c r="AK439" s="8" t="n">
        <f aca="false">-AK430*$F$12</f>
        <v>-417.347144239394</v>
      </c>
      <c r="AL439" s="8" t="n">
        <f aca="false">-AL430*$F$12</f>
        <v>-416.095102806675</v>
      </c>
      <c r="AM439" s="8" t="n">
        <f aca="false">-AM430*$F$12</f>
        <v>-414.846817498256</v>
      </c>
      <c r="AN439" s="8" t="n">
        <f aca="false">-AN430*$F$12</f>
        <v>-413.602277045761</v>
      </c>
      <c r="AO439" s="8" t="n">
        <f aca="false">-AO430*$F$12</f>
        <v>-412.361470214623</v>
      </c>
      <c r="AP439" s="8" t="n">
        <f aca="false">-AP430*$F$12</f>
        <v>-411.12438580398</v>
      </c>
      <c r="AQ439" s="8" t="n">
        <f aca="false">-AQ430*$F$12</f>
        <v>-409.891012646568</v>
      </c>
      <c r="AR439" s="8" t="n">
        <f aca="false">-AR430*$F$12</f>
        <v>-408.661339608628</v>
      </c>
      <c r="AS439" s="8" t="n">
        <f aca="false">-AS430*$F$12</f>
        <v>-203.717677794901</v>
      </c>
    </row>
    <row r="440" customFormat="false" ht="14.25" hidden="false" customHeight="false" outlineLevel="0" collapsed="false">
      <c r="C440" s="6" t="s">
        <v>314</v>
      </c>
      <c r="D440" s="2" t="s">
        <v>85</v>
      </c>
      <c r="H440" s="8" t="n">
        <f aca="false">SUM(J440:AS440)</f>
        <v>-8922.61371458909</v>
      </c>
      <c r="J440" s="8" t="n">
        <f aca="false">-J432*HIPA_Rate</f>
        <v>-0</v>
      </c>
      <c r="K440" s="8" t="n">
        <f aca="false">-K432*HIPA_Rate</f>
        <v>-0</v>
      </c>
      <c r="L440" s="8" t="n">
        <f aca="false">-L432*HIPA_Rate</f>
        <v>-0</v>
      </c>
      <c r="M440" s="8" t="n">
        <f aca="false">-M432*HIPA_Rate</f>
        <v>-0</v>
      </c>
      <c r="N440" s="8" t="n">
        <f aca="false">-N432*HIPA_Rate</f>
        <v>-0</v>
      </c>
      <c r="O440" s="8" t="n">
        <f aca="false">-O432*HIPA_Rate</f>
        <v>-133.3584</v>
      </c>
      <c r="P440" s="8" t="n">
        <f aca="false">-P432*HIPA_Rate</f>
        <v>-269.383968</v>
      </c>
      <c r="Q440" s="8" t="n">
        <f aca="false">-Q432*HIPA_Rate</f>
        <v>-271.26157425696</v>
      </c>
      <c r="R440" s="8" t="n">
        <f aca="false">-R432*HIPA_Rate</f>
        <v>-273.152267429531</v>
      </c>
      <c r="S440" s="8" t="n">
        <f aca="false">-S432*HIPA_Rate</f>
        <v>-275.056138733515</v>
      </c>
      <c r="T440" s="8" t="n">
        <f aca="false">-T432*HIPA_Rate</f>
        <v>-276.973280020488</v>
      </c>
      <c r="U440" s="8" t="n">
        <f aca="false">-U432*HIPA_Rate</f>
        <v>-278.90378378223</v>
      </c>
      <c r="V440" s="8" t="n">
        <f aca="false">-V432*HIPA_Rate</f>
        <v>-280.847743155192</v>
      </c>
      <c r="W440" s="8" t="n">
        <f aca="false">-W432*HIPA_Rate</f>
        <v>-282.805251924984</v>
      </c>
      <c r="X440" s="8" t="n">
        <f aca="false">-X432*HIPA_Rate</f>
        <v>-284.776404530901</v>
      </c>
      <c r="Y440" s="8" t="n">
        <f aca="false">-Y432*HIPA_Rate</f>
        <v>-286.761296070482</v>
      </c>
      <c r="Z440" s="8" t="n">
        <f aca="false">-Z432*HIPA_Rate</f>
        <v>-288.760022304093</v>
      </c>
      <c r="AA440" s="8" t="n">
        <f aca="false">-AA432*HIPA_Rate</f>
        <v>-290.772679659552</v>
      </c>
      <c r="AB440" s="8" t="n">
        <f aca="false">-AB432*HIPA_Rate</f>
        <v>-292.799365236779</v>
      </c>
      <c r="AC440" s="8" t="n">
        <f aca="false">-AC432*HIPA_Rate</f>
        <v>-294.84017681248</v>
      </c>
      <c r="AD440" s="8" t="n">
        <f aca="false">-AD432*HIPA_Rate</f>
        <v>-296.895212844863</v>
      </c>
      <c r="AE440" s="8" t="n">
        <f aca="false">-AE432*HIPA_Rate</f>
        <v>-298.964572478392</v>
      </c>
      <c r="AF440" s="8" t="n">
        <f aca="false">-AF432*HIPA_Rate</f>
        <v>-301.048355548566</v>
      </c>
      <c r="AG440" s="8" t="n">
        <f aca="false">-AG432*HIPA_Rate</f>
        <v>-303.146662586739</v>
      </c>
      <c r="AH440" s="8" t="n">
        <f aca="false">-AH432*HIPA_Rate</f>
        <v>-305.259594824969</v>
      </c>
      <c r="AI440" s="8" t="n">
        <f aca="false">-AI432*HIPA_Rate</f>
        <v>-307.387254200899</v>
      </c>
      <c r="AJ440" s="8" t="n">
        <f aca="false">-AJ432*HIPA_Rate</f>
        <v>-309.529743362679</v>
      </c>
      <c r="AK440" s="8" t="n">
        <f aca="false">-AK432*HIPA_Rate</f>
        <v>-311.687165673917</v>
      </c>
      <c r="AL440" s="8" t="n">
        <f aca="false">-AL432*HIPA_Rate</f>
        <v>-313.859625218664</v>
      </c>
      <c r="AM440" s="8" t="n">
        <f aca="false">-AM432*HIPA_Rate</f>
        <v>-316.047226806439</v>
      </c>
      <c r="AN440" s="8" t="n">
        <f aca="false">-AN432*HIPA_Rate</f>
        <v>-318.250075977279</v>
      </c>
      <c r="AO440" s="8" t="n">
        <f aca="false">-AO432*HIPA_Rate</f>
        <v>-320.468279006841</v>
      </c>
      <c r="AP440" s="8" t="n">
        <f aca="false">-AP432*HIPA_Rate</f>
        <v>-322.701942911519</v>
      </c>
      <c r="AQ440" s="8" t="n">
        <f aca="false">-AQ432*HIPA_Rate</f>
        <v>-324.951175453612</v>
      </c>
      <c r="AR440" s="8" t="n">
        <f aca="false">-AR432*HIPA_Rate</f>
        <v>-327.216085146524</v>
      </c>
      <c r="AS440" s="8" t="n">
        <f aca="false">-AS432*HIPA_Rate</f>
        <v>-164.748390629997</v>
      </c>
    </row>
    <row r="441" customFormat="false" ht="14.25" hidden="false" customHeight="false" outlineLevel="0" collapsed="false">
      <c r="C441" s="1" t="s">
        <v>315</v>
      </c>
      <c r="D441" s="2" t="s">
        <v>85</v>
      </c>
      <c r="H441" s="32" t="n">
        <f aca="false">SUM(J441:AS441)</f>
        <v>-130425.697623429</v>
      </c>
      <c r="J441" s="32" t="n">
        <f aca="false">SUM(J434:J440)</f>
        <v>0</v>
      </c>
      <c r="K441" s="32" t="n">
        <f aca="false">SUM(K434:K440)</f>
        <v>0</v>
      </c>
      <c r="L441" s="32" t="n">
        <f aca="false">SUM(L434:L440)</f>
        <v>0</v>
      </c>
      <c r="M441" s="32" t="n">
        <f aca="false">SUM(M434:M440)</f>
        <v>0</v>
      </c>
      <c r="N441" s="32" t="n">
        <f aca="false">SUM(N434:N440)</f>
        <v>0</v>
      </c>
      <c r="O441" s="32" t="n">
        <f aca="false">SUM(O434:O440)</f>
        <v>-1598.148216</v>
      </c>
      <c r="P441" s="32" t="n">
        <f aca="false">SUM(P434:P440)</f>
        <v>-3260.87985132</v>
      </c>
      <c r="Q441" s="32" t="n">
        <f aca="false">SUM(Q434:Q440)</f>
        <v>-3322.39115932295</v>
      </c>
      <c r="R441" s="32" t="n">
        <f aca="false">SUM(R434:R440)</f>
        <v>-3385.38820151339</v>
      </c>
      <c r="S441" s="32" t="n">
        <f aca="false">SUM(S434:S440)</f>
        <v>-3449.90658222877</v>
      </c>
      <c r="T441" s="32" t="n">
        <f aca="false">SUM(T434:T440)</f>
        <v>-3515.98276867813</v>
      </c>
      <c r="U441" s="32" t="n">
        <f aca="false">SUM(U434:U440)</f>
        <v>-3583.65411193425</v>
      </c>
      <c r="V441" s="32" t="n">
        <f aca="false">SUM(V434:V440)</f>
        <v>-3652.95886843809</v>
      </c>
      <c r="W441" s="32" t="n">
        <f aca="false">SUM(W434:W440)</f>
        <v>-3723.93622202803</v>
      </c>
      <c r="X441" s="32" t="n">
        <f aca="false">SUM(X434:X440)</f>
        <v>-3796.62630650685</v>
      </c>
      <c r="Y441" s="32" t="n">
        <f aca="false">SUM(Y434:Y440)</f>
        <v>-3871.07022875947</v>
      </c>
      <c r="Z441" s="32" t="n">
        <f aca="false">SUM(Z434:Z440)</f>
        <v>-3947.31009243507</v>
      </c>
      <c r="AA441" s="32" t="n">
        <f aca="false">SUM(AA434:AA440)</f>
        <v>-4025.38902220729</v>
      </c>
      <c r="AB441" s="32" t="n">
        <f aca="false">SUM(AB434:AB440)</f>
        <v>-4105.3511886267</v>
      </c>
      <c r="AC441" s="32" t="n">
        <f aca="false">SUM(AC434:AC440)</f>
        <v>-4187.24183358009</v>
      </c>
      <c r="AD441" s="32" t="n">
        <f aca="false">SUM(AD434:AD440)</f>
        <v>-4271.10729637127</v>
      </c>
      <c r="AE441" s="32" t="n">
        <f aca="false">SUM(AE434:AE440)</f>
        <v>-4356.99504043889</v>
      </c>
      <c r="AF441" s="32" t="n">
        <f aca="false">SUM(AF434:AF440)</f>
        <v>-4444.95368072645</v>
      </c>
      <c r="AG441" s="32" t="n">
        <f aca="false">SUM(AG434:AG440)</f>
        <v>-4535.0330117209</v>
      </c>
      <c r="AH441" s="32" t="n">
        <f aca="false">SUM(AH434:AH440)</f>
        <v>-4627.28403617592</v>
      </c>
      <c r="AI441" s="32" t="n">
        <f aca="false">SUM(AI434:AI440)</f>
        <v>-4721.75899453672</v>
      </c>
      <c r="AJ441" s="32" t="n">
        <f aca="false">SUM(AJ434:AJ440)</f>
        <v>-4818.51139508354</v>
      </c>
      <c r="AK441" s="32" t="n">
        <f aca="false">SUM(AK434:AK440)</f>
        <v>-4917.59604481147</v>
      </c>
      <c r="AL441" s="32" t="n">
        <f aca="false">SUM(AL434:AL440)</f>
        <v>-5019.06908106463</v>
      </c>
      <c r="AM441" s="32" t="n">
        <f aca="false">SUM(AM434:AM440)</f>
        <v>-5122.98800394303</v>
      </c>
      <c r="AN441" s="32" t="n">
        <f aca="false">SUM(AN434:AN440)</f>
        <v>-5229.41170950133</v>
      </c>
      <c r="AO441" s="32" t="n">
        <f aca="false">SUM(AO434:AO440)</f>
        <v>-5338.40052375853</v>
      </c>
      <c r="AP441" s="32" t="n">
        <f aca="false">SUM(AP434:AP440)</f>
        <v>-5450.01623753884</v>
      </c>
      <c r="AQ441" s="32" t="n">
        <f aca="false">SUM(AQ434:AQ440)</f>
        <v>-5564.32214216366</v>
      </c>
      <c r="AR441" s="32" t="n">
        <f aca="false">SUM(AR434:AR440)</f>
        <v>-5681.38306601601</v>
      </c>
      <c r="AS441" s="32" t="n">
        <f aca="false">SUM(AS434:AS440)</f>
        <v>-2900.63270599912</v>
      </c>
    </row>
    <row r="442" customFormat="false" ht="14.25" hidden="false" customHeight="false" outlineLevel="0" collapsed="false">
      <c r="C442" s="1" t="s">
        <v>160</v>
      </c>
      <c r="D442" s="2" t="s">
        <v>85</v>
      </c>
      <c r="H442" s="15" t="n">
        <f aca="false">SUM(J442:AS442)</f>
        <v>315704.988106025</v>
      </c>
      <c r="J442" s="15" t="n">
        <f aca="false">J432+J441</f>
        <v>0</v>
      </c>
      <c r="K442" s="15" t="n">
        <f aca="false">K432+K441</f>
        <v>0</v>
      </c>
      <c r="L442" s="15" t="n">
        <f aca="false">L432+L441</f>
        <v>0</v>
      </c>
      <c r="M442" s="15" t="n">
        <f aca="false">M432+M441</f>
        <v>0</v>
      </c>
      <c r="N442" s="15" t="n">
        <f aca="false">N432+N441</f>
        <v>0</v>
      </c>
      <c r="O442" s="15" t="n">
        <f aca="false">O432+O441</f>
        <v>5069.771784</v>
      </c>
      <c r="P442" s="15" t="n">
        <f aca="false">P432+P441</f>
        <v>10208.31854868</v>
      </c>
      <c r="Q442" s="15" t="n">
        <f aca="false">Q432+Q441</f>
        <v>10240.6875535251</v>
      </c>
      <c r="R442" s="15" t="n">
        <f aca="false">R432+R441</f>
        <v>10272.2251699632</v>
      </c>
      <c r="S442" s="15" t="n">
        <f aca="false">S432+S441</f>
        <v>10302.900354447</v>
      </c>
      <c r="T442" s="15" t="n">
        <f aca="false">T432+T441</f>
        <v>10332.6812323462</v>
      </c>
      <c r="U442" s="15" t="n">
        <f aca="false">U432+U441</f>
        <v>10361.5350771773</v>
      </c>
      <c r="V442" s="15" t="n">
        <f aca="false">V432+V441</f>
        <v>10389.4282893215</v>
      </c>
      <c r="W442" s="15" t="n">
        <f aca="false">W432+W441</f>
        <v>10416.3263742212</v>
      </c>
      <c r="X442" s="15" t="n">
        <f aca="false">X432+X441</f>
        <v>10442.1939200382</v>
      </c>
      <c r="Y442" s="15" t="n">
        <f aca="false">Y432+Y441</f>
        <v>10466.9945747646</v>
      </c>
      <c r="Z442" s="15" t="n">
        <f aca="false">Z432+Z441</f>
        <v>10490.6910227696</v>
      </c>
      <c r="AA442" s="15" t="n">
        <f aca="false">AA432+AA441</f>
        <v>10513.2449607703</v>
      </c>
      <c r="AB442" s="15" t="n">
        <f aca="false">AB432+AB441</f>
        <v>10534.6170732123</v>
      </c>
      <c r="AC442" s="15" t="n">
        <f aca="false">AC432+AC441</f>
        <v>10554.7670070439</v>
      </c>
      <c r="AD442" s="15" t="n">
        <f aca="false">AD432+AD441</f>
        <v>10573.6533458719</v>
      </c>
      <c r="AE442" s="15" t="n">
        <f aca="false">AE432+AE441</f>
        <v>10591.2335834807</v>
      </c>
      <c r="AF442" s="15" t="n">
        <f aca="false">AF432+AF441</f>
        <v>10607.4640967019</v>
      </c>
      <c r="AG442" s="15" t="n">
        <f aca="false">AG432+AG441</f>
        <v>10622.3001176161</v>
      </c>
      <c r="AH442" s="15" t="n">
        <f aca="false">AH432+AH441</f>
        <v>10635.6957050725</v>
      </c>
      <c r="AI442" s="15" t="n">
        <f aca="false">AI432+AI441</f>
        <v>10647.6037155082</v>
      </c>
      <c r="AJ442" s="15" t="n">
        <f aca="false">AJ432+AJ441</f>
        <v>10657.9757730504</v>
      </c>
      <c r="AK442" s="15" t="n">
        <f aca="false">AK432+AK441</f>
        <v>10666.7622388844</v>
      </c>
      <c r="AL442" s="15" t="n">
        <f aca="false">AL432+AL441</f>
        <v>10673.9121798686</v>
      </c>
      <c r="AM442" s="15" t="n">
        <f aca="false">AM432+AM441</f>
        <v>10679.3733363789</v>
      </c>
      <c r="AN442" s="15" t="n">
        <f aca="false">AN432+AN441</f>
        <v>10683.0920893626</v>
      </c>
      <c r="AO442" s="15" t="n">
        <f aca="false">AO432+AO441</f>
        <v>10685.0134265835</v>
      </c>
      <c r="AP442" s="15" t="n">
        <f aca="false">AP432+AP441</f>
        <v>10685.0809080371</v>
      </c>
      <c r="AQ442" s="15" t="n">
        <f aca="false">AQ432+AQ441</f>
        <v>10683.2366305169</v>
      </c>
      <c r="AR442" s="15" t="n">
        <f aca="false">AR432+AR441</f>
        <v>10679.4211913102</v>
      </c>
      <c r="AS442" s="15" t="n">
        <f aca="false">AS432+AS441</f>
        <v>5336.78682550075</v>
      </c>
    </row>
    <row r="443" customFormat="false" ht="14.25" hidden="false" customHeight="false" outlineLevel="0" collapsed="false">
      <c r="C443" s="1" t="s">
        <v>316</v>
      </c>
      <c r="D443" s="2" t="s">
        <v>85</v>
      </c>
      <c r="H443" s="32" t="n">
        <f aca="false">SUM(J443:AS443)</f>
        <v>238904.92885945</v>
      </c>
      <c r="J443" s="32" t="n">
        <f aca="false">J428+J442</f>
        <v>0</v>
      </c>
      <c r="K443" s="32" t="n">
        <f aca="false">K428+K442</f>
        <v>0</v>
      </c>
      <c r="L443" s="32" t="n">
        <f aca="false">L428+L442</f>
        <v>0</v>
      </c>
      <c r="M443" s="32" t="n">
        <f aca="false">M428+M442</f>
        <v>-29757.5797945206</v>
      </c>
      <c r="N443" s="32" t="n">
        <f aca="false">N428+N442</f>
        <v>-31358</v>
      </c>
      <c r="O443" s="32" t="n">
        <f aca="false">O428+O442</f>
        <v>-13109.228216</v>
      </c>
      <c r="P443" s="32" t="n">
        <f aca="false">P428+P442</f>
        <v>10208.31854868</v>
      </c>
      <c r="Q443" s="32" t="n">
        <f aca="false">Q428+Q442</f>
        <v>12735.2081014703</v>
      </c>
      <c r="R443" s="32" t="n">
        <f aca="false">R428+R442</f>
        <v>10272.2251699632</v>
      </c>
      <c r="S443" s="32" t="n">
        <f aca="false">S428+S442</f>
        <v>10302.900354447</v>
      </c>
      <c r="T443" s="32" t="n">
        <f aca="false">T428+T442</f>
        <v>10332.6812323462</v>
      </c>
      <c r="U443" s="32" t="n">
        <f aca="false">U428+U442</f>
        <v>10361.5350771773</v>
      </c>
      <c r="V443" s="32" t="n">
        <f aca="false">V428+V442</f>
        <v>10389.4282893215</v>
      </c>
      <c r="W443" s="32" t="n">
        <f aca="false">W428+W442</f>
        <v>10416.3263742212</v>
      </c>
      <c r="X443" s="32" t="n">
        <f aca="false">X428+X442</f>
        <v>10442.1939200382</v>
      </c>
      <c r="Y443" s="32" t="n">
        <f aca="false">Y428+Y442</f>
        <v>10466.9945747646</v>
      </c>
      <c r="Z443" s="32" t="n">
        <f aca="false">Z428+Z442</f>
        <v>10490.6910227696</v>
      </c>
      <c r="AA443" s="32" t="n">
        <f aca="false">AA428+AA442</f>
        <v>10513.2449607703</v>
      </c>
      <c r="AB443" s="32" t="n">
        <f aca="false">AB428+AB442</f>
        <v>10534.6170732123</v>
      </c>
      <c r="AC443" s="32" t="n">
        <f aca="false">AC428+AC442</f>
        <v>10554.7670070439</v>
      </c>
      <c r="AD443" s="32" t="n">
        <f aca="false">AD428+AD442</f>
        <v>10573.6533458719</v>
      </c>
      <c r="AE443" s="32" t="n">
        <f aca="false">AE428+AE442</f>
        <v>10591.2335834807</v>
      </c>
      <c r="AF443" s="32" t="n">
        <f aca="false">AF428+AF442</f>
        <v>10607.4640967019</v>
      </c>
      <c r="AG443" s="32" t="n">
        <f aca="false">AG428+AG442</f>
        <v>10622.3001176161</v>
      </c>
      <c r="AH443" s="32" t="n">
        <f aca="false">AH428+AH442</f>
        <v>10635.6957050725</v>
      </c>
      <c r="AI443" s="32" t="n">
        <f aca="false">AI428+AI442</f>
        <v>10647.6037155082</v>
      </c>
      <c r="AJ443" s="32" t="n">
        <f aca="false">AJ428+AJ442</f>
        <v>10657.9757730504</v>
      </c>
      <c r="AK443" s="32" t="n">
        <f aca="false">AK428+AK442</f>
        <v>10666.7622388844</v>
      </c>
      <c r="AL443" s="32" t="n">
        <f aca="false">AL428+AL442</f>
        <v>10673.9121798686</v>
      </c>
      <c r="AM443" s="32" t="n">
        <f aca="false">AM428+AM442</f>
        <v>10679.3733363789</v>
      </c>
      <c r="AN443" s="32" t="n">
        <f aca="false">AN428+AN442</f>
        <v>10683.0920893626</v>
      </c>
      <c r="AO443" s="32" t="n">
        <f aca="false">AO428+AO442</f>
        <v>10685.0134265835</v>
      </c>
      <c r="AP443" s="32" t="n">
        <f aca="false">AP428+AP442</f>
        <v>10685.0809080371</v>
      </c>
      <c r="AQ443" s="32" t="n">
        <f aca="false">AQ428+AQ442</f>
        <v>10683.2366305169</v>
      </c>
      <c r="AR443" s="32" t="n">
        <f aca="false">AR428+AR442</f>
        <v>10679.4211913102</v>
      </c>
      <c r="AS443" s="32" t="n">
        <f aca="false">AS428+AS442</f>
        <v>5336.78682550075</v>
      </c>
    </row>
    <row r="444" customFormat="false" ht="14.25" hidden="false" customHeight="false" outlineLevel="0" collapsed="false">
      <c r="C444" s="6" t="s">
        <v>317</v>
      </c>
      <c r="D444" s="2" t="s">
        <v>85</v>
      </c>
      <c r="H444" s="8" t="n">
        <f aca="false">SUM(J444:AS444)</f>
        <v>-76800.0592465753</v>
      </c>
      <c r="J444" s="8" t="n">
        <f aca="false">-$F$99/Tax_Dep_Life*(J418&gt;=0)*(J418&lt;Tax_Dep_Life)</f>
        <v>-0</v>
      </c>
      <c r="K444" s="8" t="n">
        <f aca="false">-$F$99/Tax_Dep_Life*(K418&gt;=0)*(K418&lt;Tax_Dep_Life)</f>
        <v>-0</v>
      </c>
      <c r="L444" s="8" t="n">
        <f aca="false">-$F$99/Tax_Dep_Life*(L418&gt;=0)*(L418&lt;Tax_Dep_Life)</f>
        <v>-0</v>
      </c>
      <c r="M444" s="8" t="n">
        <f aca="false">-$F$99/Tax_Dep_Life*(M418&gt;=0)*(M418&lt;Tax_Dep_Life)</f>
        <v>-0</v>
      </c>
      <c r="N444" s="8" t="n">
        <f aca="false">-$F$99/Tax_Dep_Life*(N418&gt;=0)*(N418&lt;Tax_Dep_Life)</f>
        <v>-0</v>
      </c>
      <c r="O444" s="8" t="n">
        <f aca="false">-$F$99/Tax_Dep_Life*(O418&gt;=0)*(O418&lt;Tax_Dep_Life)</f>
        <v>-3840.00296232877</v>
      </c>
      <c r="P444" s="8" t="n">
        <f aca="false">-$F$99/Tax_Dep_Life*(P418&gt;=0)*(P418&lt;Tax_Dep_Life)</f>
        <v>-3840.00296232877</v>
      </c>
      <c r="Q444" s="8" t="n">
        <f aca="false">-$F$99/Tax_Dep_Life*(Q418&gt;=0)*(Q418&lt;Tax_Dep_Life)</f>
        <v>-3840.00296232877</v>
      </c>
      <c r="R444" s="8" t="n">
        <f aca="false">-$F$99/Tax_Dep_Life*(R418&gt;=0)*(R418&lt;Tax_Dep_Life)</f>
        <v>-3840.00296232877</v>
      </c>
      <c r="S444" s="8" t="n">
        <f aca="false">-$F$99/Tax_Dep_Life*(S418&gt;=0)*(S418&lt;Tax_Dep_Life)</f>
        <v>-3840.00296232877</v>
      </c>
      <c r="T444" s="8" t="n">
        <f aca="false">-$F$99/Tax_Dep_Life*(T418&gt;=0)*(T418&lt;Tax_Dep_Life)</f>
        <v>-3840.00296232877</v>
      </c>
      <c r="U444" s="8" t="n">
        <f aca="false">-$F$99/Tax_Dep_Life*(U418&gt;=0)*(U418&lt;Tax_Dep_Life)</f>
        <v>-3840.00296232877</v>
      </c>
      <c r="V444" s="8" t="n">
        <f aca="false">-$F$99/Tax_Dep_Life*(V418&gt;=0)*(V418&lt;Tax_Dep_Life)</f>
        <v>-3840.00296232877</v>
      </c>
      <c r="W444" s="8" t="n">
        <f aca="false">-$F$99/Tax_Dep_Life*(W418&gt;=0)*(W418&lt;Tax_Dep_Life)</f>
        <v>-3840.00296232877</v>
      </c>
      <c r="X444" s="8" t="n">
        <f aca="false">-$F$99/Tax_Dep_Life*(X418&gt;=0)*(X418&lt;Tax_Dep_Life)</f>
        <v>-3840.00296232877</v>
      </c>
      <c r="Y444" s="8" t="n">
        <f aca="false">-$F$99/Tax_Dep_Life*(Y418&gt;=0)*(Y418&lt;Tax_Dep_Life)</f>
        <v>-3840.00296232877</v>
      </c>
      <c r="Z444" s="8" t="n">
        <f aca="false">-$F$99/Tax_Dep_Life*(Z418&gt;=0)*(Z418&lt;Tax_Dep_Life)</f>
        <v>-3840.00296232877</v>
      </c>
      <c r="AA444" s="8" t="n">
        <f aca="false">-$F$99/Tax_Dep_Life*(AA418&gt;=0)*(AA418&lt;Tax_Dep_Life)</f>
        <v>-3840.00296232877</v>
      </c>
      <c r="AB444" s="8" t="n">
        <f aca="false">-$F$99/Tax_Dep_Life*(AB418&gt;=0)*(AB418&lt;Tax_Dep_Life)</f>
        <v>-3840.00296232877</v>
      </c>
      <c r="AC444" s="8" t="n">
        <f aca="false">-$F$99/Tax_Dep_Life*(AC418&gt;=0)*(AC418&lt;Tax_Dep_Life)</f>
        <v>-3840.00296232877</v>
      </c>
      <c r="AD444" s="8" t="n">
        <f aca="false">-$F$99/Tax_Dep_Life*(AD418&gt;=0)*(AD418&lt;Tax_Dep_Life)</f>
        <v>-3840.00296232877</v>
      </c>
      <c r="AE444" s="8" t="n">
        <f aca="false">-$F$99/Tax_Dep_Life*(AE418&gt;=0)*(AE418&lt;Tax_Dep_Life)</f>
        <v>-3840.00296232877</v>
      </c>
      <c r="AF444" s="8" t="n">
        <f aca="false">-$F$99/Tax_Dep_Life*(AF418&gt;=0)*(AF418&lt;Tax_Dep_Life)</f>
        <v>-3840.00296232877</v>
      </c>
      <c r="AG444" s="8" t="n">
        <f aca="false">-$F$99/Tax_Dep_Life*(AG418&gt;=0)*(AG418&lt;Tax_Dep_Life)</f>
        <v>-3840.00296232877</v>
      </c>
      <c r="AH444" s="8" t="n">
        <f aca="false">-$F$99/Tax_Dep_Life*(AH418&gt;=0)*(AH418&lt;Tax_Dep_Life)</f>
        <v>-3840.00296232877</v>
      </c>
      <c r="AI444" s="8" t="n">
        <f aca="false">-$F$99/Tax_Dep_Life*(AI418&gt;=0)*(AI418&lt;Tax_Dep_Life)</f>
        <v>-0</v>
      </c>
      <c r="AJ444" s="8" t="n">
        <f aca="false">-$F$99/Tax_Dep_Life*(AJ418&gt;=0)*(AJ418&lt;Tax_Dep_Life)</f>
        <v>-0</v>
      </c>
      <c r="AK444" s="8" t="n">
        <f aca="false">-$F$99/Tax_Dep_Life*(AK418&gt;=0)*(AK418&lt;Tax_Dep_Life)</f>
        <v>-0</v>
      </c>
      <c r="AL444" s="8" t="n">
        <f aca="false">-$F$99/Tax_Dep_Life*(AL418&gt;=0)*(AL418&lt;Tax_Dep_Life)</f>
        <v>-0</v>
      </c>
      <c r="AM444" s="8" t="n">
        <f aca="false">-$F$99/Tax_Dep_Life*(AM418&gt;=0)*(AM418&lt;Tax_Dep_Life)</f>
        <v>-0</v>
      </c>
      <c r="AN444" s="8" t="n">
        <f aca="false">-$F$99/Tax_Dep_Life*(AN418&gt;=0)*(AN418&lt;Tax_Dep_Life)</f>
        <v>-0</v>
      </c>
      <c r="AO444" s="8" t="n">
        <f aca="false">-$F$99/Tax_Dep_Life*(AO418&gt;=0)*(AO418&lt;Tax_Dep_Life)</f>
        <v>-0</v>
      </c>
      <c r="AP444" s="8" t="n">
        <f aca="false">-$F$99/Tax_Dep_Life*(AP418&gt;=0)*(AP418&lt;Tax_Dep_Life)</f>
        <v>-0</v>
      </c>
      <c r="AQ444" s="8" t="n">
        <f aca="false">-$F$99/Tax_Dep_Life*(AQ418&gt;=0)*(AQ418&lt;Tax_Dep_Life)</f>
        <v>-0</v>
      </c>
      <c r="AR444" s="8" t="n">
        <f aca="false">-$F$99/Tax_Dep_Life*(AR418&gt;=0)*(AR418&lt;Tax_Dep_Life)</f>
        <v>-0</v>
      </c>
      <c r="AS444" s="8" t="n">
        <f aca="false">-$F$99/Tax_Dep_Life*(AS418&gt;=0)*(AS418&lt;Tax_Dep_Life)</f>
        <v>-0</v>
      </c>
    </row>
    <row r="445" customFormat="false" ht="14.25" hidden="false" customHeight="false" outlineLevel="0" collapsed="false">
      <c r="C445" s="6" t="s">
        <v>318</v>
      </c>
      <c r="D445" s="2" t="s">
        <v>85</v>
      </c>
      <c r="H445" s="8" t="n">
        <f aca="false">SUM(J445:AS445)</f>
        <v>-35835.7393289174</v>
      </c>
      <c r="J445" s="8" t="n">
        <f aca="false">-MAX(0,J442+J444)*CIT_Rate*(J422&gt;0)</f>
        <v>-0</v>
      </c>
      <c r="K445" s="8" t="n">
        <f aca="false">-MAX(0,K442+K444)*CIT_Rate*(K422&gt;0)</f>
        <v>-0</v>
      </c>
      <c r="L445" s="8" t="n">
        <f aca="false">-MAX(0,L442+L444)*CIT_Rate*(L422&gt;0)</f>
        <v>-0</v>
      </c>
      <c r="M445" s="8" t="n">
        <f aca="false">-MAX(0,M442+M444)*CIT_Rate*(M422&gt;0)</f>
        <v>-0</v>
      </c>
      <c r="N445" s="8" t="n">
        <f aca="false">-MAX(0,N442+N444)*CIT_Rate*(N422&gt;0)</f>
        <v>-0</v>
      </c>
      <c r="O445" s="8" t="n">
        <f aca="false">-MAX(0,O442+O444)*CIT_Rate*(O422&gt;0)</f>
        <v>-184.465323250685</v>
      </c>
      <c r="P445" s="8" t="n">
        <f aca="false">-MAX(0,P442+P444)*CIT_Rate*(P422&gt;0)</f>
        <v>-955.247337952685</v>
      </c>
      <c r="Q445" s="8" t="n">
        <f aca="false">-MAX(0,Q442+Q444)*CIT_Rate*(Q422&gt;0)</f>
        <v>-960.102688679442</v>
      </c>
      <c r="R445" s="8" t="n">
        <f aca="false">-MAX(0,R442+R444)*CIT_Rate*(R422&gt;0)</f>
        <v>-964.833331145159</v>
      </c>
      <c r="S445" s="8" t="n">
        <f aca="false">-MAX(0,S442+S444)*CIT_Rate*(S422&gt;0)</f>
        <v>-969.434608817731</v>
      </c>
      <c r="T445" s="8" t="n">
        <f aca="false">-MAX(0,T442+T444)*CIT_Rate*(T422&gt;0)</f>
        <v>-973.901740502622</v>
      </c>
      <c r="U445" s="8" t="n">
        <f aca="false">-MAX(0,U442+U444)*CIT_Rate*(U422&gt;0)</f>
        <v>-978.229817227275</v>
      </c>
      <c r="V445" s="8" t="n">
        <f aca="false">-MAX(0,V442+V444)*CIT_Rate*(V422&gt;0)</f>
        <v>-982.413799048915</v>
      </c>
      <c r="W445" s="8" t="n">
        <f aca="false">-MAX(0,W442+W444)*CIT_Rate*(W422&gt;0)</f>
        <v>-986.448511783862</v>
      </c>
      <c r="X445" s="8" t="n">
        <f aca="false">-MAX(0,X442+X444)*CIT_Rate*(X422&gt;0)</f>
        <v>-990.328643656417</v>
      </c>
      <c r="Y445" s="8" t="n">
        <f aca="false">-MAX(0,Y442+Y444)*CIT_Rate*(Y422&gt;0)</f>
        <v>-994.048741865376</v>
      </c>
      <c r="Z445" s="8" t="n">
        <f aca="false">-MAX(0,Z442+Z444)*CIT_Rate*(Z422&gt;0)</f>
        <v>-997.60320906612</v>
      </c>
      <c r="AA445" s="8" t="n">
        <f aca="false">-MAX(0,AA442+AA444)*CIT_Rate*(AA422&gt;0)</f>
        <v>-1000.98629976623</v>
      </c>
      <c r="AB445" s="8" t="n">
        <f aca="false">-MAX(0,AB442+AB444)*CIT_Rate*(AB422&gt;0)</f>
        <v>-1004.19211663253</v>
      </c>
      <c r="AC445" s="8" t="n">
        <f aca="false">-MAX(0,AC442+AC444)*CIT_Rate*(AC422&gt;0)</f>
        <v>-1007.21460670727</v>
      </c>
      <c r="AD445" s="8" t="n">
        <f aca="false">-MAX(0,AD442+AD444)*CIT_Rate*(AD422&gt;0)</f>
        <v>-1010.04755753146</v>
      </c>
      <c r="AE445" s="8" t="n">
        <f aca="false">-MAX(0,AE442+AE444)*CIT_Rate*(AE422&gt;0)</f>
        <v>-1012.68459317279</v>
      </c>
      <c r="AF445" s="8" t="n">
        <f aca="false">-MAX(0,AF442+AF444)*CIT_Rate*(AF422&gt;0)</f>
        <v>-1015.11917015596</v>
      </c>
      <c r="AG445" s="8" t="n">
        <f aca="false">-MAX(0,AG442+AG444)*CIT_Rate*(AG422&gt;0)</f>
        <v>-1017.3445732931</v>
      </c>
      <c r="AH445" s="8" t="n">
        <f aca="false">-MAX(0,AH442+AH444)*CIT_Rate*(AH422&gt;0)</f>
        <v>-1019.35391141156</v>
      </c>
      <c r="AI445" s="8" t="n">
        <f aca="false">-MAX(0,AI442+AI444)*CIT_Rate*(AI422&gt;0)</f>
        <v>-1597.14055732624</v>
      </c>
      <c r="AJ445" s="8" t="n">
        <f aca="false">-MAX(0,AJ442+AJ444)*CIT_Rate*(AJ422&gt;0)</f>
        <v>-1598.69636595756</v>
      </c>
      <c r="AK445" s="8" t="n">
        <f aca="false">-MAX(0,AK442+AK444)*CIT_Rate*(AK422&gt;0)</f>
        <v>-1600.01433583266</v>
      </c>
      <c r="AL445" s="8" t="n">
        <f aca="false">-MAX(0,AL442+AL444)*CIT_Rate*(AL422&gt;0)</f>
        <v>-1601.08682698029</v>
      </c>
      <c r="AM445" s="8" t="n">
        <f aca="false">-MAX(0,AM442+AM444)*CIT_Rate*(AM422&gt;0)</f>
        <v>-1601.90600045683</v>
      </c>
      <c r="AN445" s="8" t="n">
        <f aca="false">-MAX(0,AN442+AN444)*CIT_Rate*(AN422&gt;0)</f>
        <v>-1602.4638134044</v>
      </c>
      <c r="AO445" s="8" t="n">
        <f aca="false">-MAX(0,AO442+AO444)*CIT_Rate*(AO422&gt;0)</f>
        <v>-1602.75201398753</v>
      </c>
      <c r="AP445" s="8" t="n">
        <f aca="false">-MAX(0,AP442+AP444)*CIT_Rate*(AP422&gt;0)</f>
        <v>-1602.76213620557</v>
      </c>
      <c r="AQ445" s="8" t="n">
        <f aca="false">-MAX(0,AQ442+AQ444)*CIT_Rate*(AQ422&gt;0)</f>
        <v>-1602.48549457754</v>
      </c>
      <c r="AR445" s="8" t="n">
        <f aca="false">-MAX(0,AR442+AR444)*CIT_Rate*(AR422&gt;0)</f>
        <v>-1601.91317869653</v>
      </c>
      <c r="AS445" s="8" t="n">
        <f aca="false">-MAX(0,AS442+AS444)*CIT_Rate*(AS422&gt;0)</f>
        <v>-800.518023825112</v>
      </c>
    </row>
    <row r="446" customFormat="false" ht="14.25" hidden="false" customHeight="false" outlineLevel="0" collapsed="false">
      <c r="C446" s="1" t="s">
        <v>319</v>
      </c>
      <c r="D446" s="2" t="s">
        <v>85</v>
      </c>
      <c r="H446" s="32" t="n">
        <f aca="false">SUM(J446:AS446)</f>
        <v>203069.189530532</v>
      </c>
      <c r="J446" s="32" t="n">
        <f aca="false">J443+J445</f>
        <v>0</v>
      </c>
      <c r="K446" s="32" t="n">
        <f aca="false">K443+K445</f>
        <v>0</v>
      </c>
      <c r="L446" s="32" t="n">
        <f aca="false">L443+L445</f>
        <v>0</v>
      </c>
      <c r="M446" s="32" t="n">
        <f aca="false">M443+M445</f>
        <v>-29757.5797945206</v>
      </c>
      <c r="N446" s="32" t="n">
        <f aca="false">N443+N445</f>
        <v>-31358</v>
      </c>
      <c r="O446" s="32" t="n">
        <f aca="false">O443+O445</f>
        <v>-13293.6935392507</v>
      </c>
      <c r="P446" s="32" t="n">
        <f aca="false">P443+P445</f>
        <v>9253.07121072731</v>
      </c>
      <c r="Q446" s="32" t="n">
        <f aca="false">Q443+Q445</f>
        <v>11775.1054127908</v>
      </c>
      <c r="R446" s="32" t="n">
        <f aca="false">R443+R445</f>
        <v>9307.391838818</v>
      </c>
      <c r="S446" s="32" t="n">
        <f aca="false">S443+S445</f>
        <v>9333.46574562924</v>
      </c>
      <c r="T446" s="32" t="n">
        <f aca="false">T443+T445</f>
        <v>9358.77949184362</v>
      </c>
      <c r="U446" s="32" t="n">
        <f aca="false">U443+U445</f>
        <v>9383.30525994999</v>
      </c>
      <c r="V446" s="32" t="n">
        <f aca="false">V443+V445</f>
        <v>9407.01449027262</v>
      </c>
      <c r="W446" s="32" t="n">
        <f aca="false">W443+W445</f>
        <v>9429.87786243732</v>
      </c>
      <c r="X446" s="32" t="n">
        <f aca="false">X443+X445</f>
        <v>9451.8652763818</v>
      </c>
      <c r="Y446" s="32" t="n">
        <f aca="false">Y443+Y445</f>
        <v>9472.94583289924</v>
      </c>
      <c r="Z446" s="32" t="n">
        <f aca="false">Z443+Z445</f>
        <v>9493.08781370345</v>
      </c>
      <c r="AA446" s="32" t="n">
        <f aca="false">AA443+AA445</f>
        <v>9512.25866100409</v>
      </c>
      <c r="AB446" s="32" t="n">
        <f aca="false">AB443+AB445</f>
        <v>9530.42495657974</v>
      </c>
      <c r="AC446" s="32" t="n">
        <f aca="false">AC443+AC445</f>
        <v>9547.55240033664</v>
      </c>
      <c r="AD446" s="32" t="n">
        <f aca="false">AD443+AD445</f>
        <v>9563.6057883404</v>
      </c>
      <c r="AE446" s="32" t="n">
        <f aca="false">AE443+AE445</f>
        <v>9578.5489903079</v>
      </c>
      <c r="AF446" s="32" t="n">
        <f aca="false">AF443+AF445</f>
        <v>9592.34492654589</v>
      </c>
      <c r="AG446" s="32" t="n">
        <f aca="false">AG443+AG445</f>
        <v>9604.95554432298</v>
      </c>
      <c r="AH446" s="32" t="n">
        <f aca="false">AH443+AH445</f>
        <v>9616.34179366096</v>
      </c>
      <c r="AI446" s="32" t="n">
        <f aca="false">AI443+AI445</f>
        <v>9050.463158182</v>
      </c>
      <c r="AJ446" s="32" t="n">
        <f aca="false">AJ443+AJ445</f>
        <v>9059.27940709287</v>
      </c>
      <c r="AK446" s="32" t="n">
        <f aca="false">AK443+AK445</f>
        <v>9066.74790305173</v>
      </c>
      <c r="AL446" s="32" t="n">
        <f aca="false">AL443+AL445</f>
        <v>9072.8253528883</v>
      </c>
      <c r="AM446" s="32" t="n">
        <f aca="false">AM443+AM445</f>
        <v>9077.46733592206</v>
      </c>
      <c r="AN446" s="32" t="n">
        <f aca="false">AN443+AN445</f>
        <v>9080.62827595824</v>
      </c>
      <c r="AO446" s="32" t="n">
        <f aca="false">AO443+AO445</f>
        <v>9082.26141259599</v>
      </c>
      <c r="AP446" s="32" t="n">
        <f aca="false">AP443+AP445</f>
        <v>9082.31877183154</v>
      </c>
      <c r="AQ446" s="32" t="n">
        <f aca="false">AQ443+AQ445</f>
        <v>9080.75113593939</v>
      </c>
      <c r="AR446" s="32" t="n">
        <f aca="false">AR443+AR445</f>
        <v>9077.50801261365</v>
      </c>
      <c r="AS446" s="32" t="n">
        <f aca="false">AS443+AS445</f>
        <v>4536.26880167564</v>
      </c>
    </row>
    <row r="447" customFormat="false" ht="14.25" hidden="false" customHeight="false" outlineLevel="0" collapsed="false">
      <c r="C447" s="6" t="s">
        <v>320</v>
      </c>
      <c r="D447" s="2" t="s">
        <v>85</v>
      </c>
      <c r="H447" s="8" t="n">
        <f aca="false">SUM(J447:AS447)</f>
        <v>46080.0355479452</v>
      </c>
      <c r="J447" s="8" t="n">
        <f aca="false">$F$99*Gearing*J423</f>
        <v>0</v>
      </c>
      <c r="K447" s="8" t="n">
        <f aca="false">$F$99*Gearing*K423</f>
        <v>0</v>
      </c>
      <c r="L447" s="8" t="n">
        <f aca="false">$F$99*Gearing*L423</f>
        <v>0</v>
      </c>
      <c r="M447" s="8" t="n">
        <f aca="false">$F$99*Gearing*M423</f>
        <v>0</v>
      </c>
      <c r="N447" s="8" t="n">
        <f aca="false">$F$99*Gearing*N423</f>
        <v>0</v>
      </c>
      <c r="O447" s="8" t="n">
        <f aca="false">$F$99*Gearing*O423</f>
        <v>46080.0355479452</v>
      </c>
      <c r="P447" s="8" t="n">
        <f aca="false">$F$99*Gearing*P423</f>
        <v>0</v>
      </c>
      <c r="Q447" s="8" t="n">
        <f aca="false">$F$99*Gearing*Q423</f>
        <v>0</v>
      </c>
      <c r="R447" s="8" t="n">
        <f aca="false">$F$99*Gearing*R423</f>
        <v>0</v>
      </c>
      <c r="S447" s="8" t="n">
        <f aca="false">$F$99*Gearing*S423</f>
        <v>0</v>
      </c>
      <c r="T447" s="8" t="n">
        <f aca="false">$F$99*Gearing*T423</f>
        <v>0</v>
      </c>
      <c r="U447" s="8" t="n">
        <f aca="false">$F$99*Gearing*U423</f>
        <v>0</v>
      </c>
      <c r="V447" s="8" t="n">
        <f aca="false">$F$99*Gearing*V423</f>
        <v>0</v>
      </c>
      <c r="W447" s="8" t="n">
        <f aca="false">$F$99*Gearing*W423</f>
        <v>0</v>
      </c>
      <c r="X447" s="8" t="n">
        <f aca="false">$F$99*Gearing*X423</f>
        <v>0</v>
      </c>
      <c r="Y447" s="8" t="n">
        <f aca="false">$F$99*Gearing*Y423</f>
        <v>0</v>
      </c>
      <c r="Z447" s="8" t="n">
        <f aca="false">$F$99*Gearing*Z423</f>
        <v>0</v>
      </c>
      <c r="AA447" s="8" t="n">
        <f aca="false">$F$99*Gearing*AA423</f>
        <v>0</v>
      </c>
      <c r="AB447" s="8" t="n">
        <f aca="false">$F$99*Gearing*AB423</f>
        <v>0</v>
      </c>
      <c r="AC447" s="8" t="n">
        <f aca="false">$F$99*Gearing*AC423</f>
        <v>0</v>
      </c>
      <c r="AD447" s="8" t="n">
        <f aca="false">$F$99*Gearing*AD423</f>
        <v>0</v>
      </c>
      <c r="AE447" s="8" t="n">
        <f aca="false">$F$99*Gearing*AE423</f>
        <v>0</v>
      </c>
      <c r="AF447" s="8" t="n">
        <f aca="false">$F$99*Gearing*AF423</f>
        <v>0</v>
      </c>
      <c r="AG447" s="8" t="n">
        <f aca="false">$F$99*Gearing*AG423</f>
        <v>0</v>
      </c>
      <c r="AH447" s="8" t="n">
        <f aca="false">$F$99*Gearing*AH423</f>
        <v>0</v>
      </c>
      <c r="AI447" s="8" t="n">
        <f aca="false">$F$99*Gearing*AI423</f>
        <v>0</v>
      </c>
      <c r="AJ447" s="8" t="n">
        <f aca="false">$F$99*Gearing*AJ423</f>
        <v>0</v>
      </c>
      <c r="AK447" s="8" t="n">
        <f aca="false">$F$99*Gearing*AK423</f>
        <v>0</v>
      </c>
      <c r="AL447" s="8" t="n">
        <f aca="false">$F$99*Gearing*AL423</f>
        <v>0</v>
      </c>
      <c r="AM447" s="8" t="n">
        <f aca="false">$F$99*Gearing*AM423</f>
        <v>0</v>
      </c>
      <c r="AN447" s="8" t="n">
        <f aca="false">$F$99*Gearing*AN423</f>
        <v>0</v>
      </c>
      <c r="AO447" s="8" t="n">
        <f aca="false">$F$99*Gearing*AO423</f>
        <v>0</v>
      </c>
      <c r="AP447" s="8" t="n">
        <f aca="false">$F$99*Gearing*AP423</f>
        <v>0</v>
      </c>
      <c r="AQ447" s="8" t="n">
        <f aca="false">$F$99*Gearing*AQ423</f>
        <v>0</v>
      </c>
      <c r="AR447" s="8" t="n">
        <f aca="false">$F$99*Gearing*AR423</f>
        <v>0</v>
      </c>
      <c r="AS447" s="8" t="n">
        <f aca="false">$F$99*Gearing*AS423</f>
        <v>0</v>
      </c>
    </row>
    <row r="448" customFormat="false" ht="14.25" hidden="false" customHeight="false" outlineLevel="0" collapsed="false">
      <c r="C448" s="6" t="s">
        <v>321</v>
      </c>
      <c r="D448" s="2" t="s">
        <v>85</v>
      </c>
      <c r="H448" s="8" t="n">
        <f aca="false">SUM(J448:AS448)</f>
        <v>-66591.8405670651</v>
      </c>
      <c r="J448" s="8" t="n">
        <f aca="false">PMT(Debt_Rate,Debt_Tenor,$F$99*Gearing)*(J418&gt;=1)*(J418&lt;=Debt_Tenor)</f>
        <v>-0</v>
      </c>
      <c r="K448" s="8" t="n">
        <f aca="false">PMT(Debt_Rate,Debt_Tenor,$F$99*Gearing)*(K418&gt;=1)*(K418&lt;=Debt_Tenor)</f>
        <v>-0</v>
      </c>
      <c r="L448" s="8" t="n">
        <f aca="false">PMT(Debt_Rate,Debt_Tenor,$F$99*Gearing)*(L418&gt;=1)*(L418&lt;=Debt_Tenor)</f>
        <v>-0</v>
      </c>
      <c r="M448" s="8" t="n">
        <f aca="false">PMT(Debt_Rate,Debt_Tenor,$F$99*Gearing)*(M418&gt;=1)*(M418&lt;=Debt_Tenor)</f>
        <v>-0</v>
      </c>
      <c r="N448" s="8" t="n">
        <f aca="false">PMT(Debt_Rate,Debt_Tenor,$F$99*Gearing)*(N418&gt;=1)*(N418&lt;=Debt_Tenor)</f>
        <v>-0</v>
      </c>
      <c r="O448" s="8" t="n">
        <f aca="false">PMT(Debt_Rate,Debt_Tenor,$F$99*Gearing)*(O418&gt;=1)*(O418&lt;=Debt_Tenor)</f>
        <v>-0</v>
      </c>
      <c r="P448" s="8" t="n">
        <f aca="false">PMT(Debt_Rate,Debt_Tenor,$F$99*Gearing)*(P418&gt;=1)*(P418&lt;=Debt_Tenor)</f>
        <v>-4439.45603780434</v>
      </c>
      <c r="Q448" s="8" t="n">
        <f aca="false">PMT(Debt_Rate,Debt_Tenor,$F$99*Gearing)*(Q418&gt;=1)*(Q418&lt;=Debt_Tenor)</f>
        <v>-4439.45603780434</v>
      </c>
      <c r="R448" s="8" t="n">
        <f aca="false">PMT(Debt_Rate,Debt_Tenor,$F$99*Gearing)*(R418&gt;=1)*(R418&lt;=Debt_Tenor)</f>
        <v>-4439.45603780434</v>
      </c>
      <c r="S448" s="8" t="n">
        <f aca="false">PMT(Debt_Rate,Debt_Tenor,$F$99*Gearing)*(S418&gt;=1)*(S418&lt;=Debt_Tenor)</f>
        <v>-4439.45603780434</v>
      </c>
      <c r="T448" s="8" t="n">
        <f aca="false">PMT(Debt_Rate,Debt_Tenor,$F$99*Gearing)*(T418&gt;=1)*(T418&lt;=Debt_Tenor)</f>
        <v>-4439.45603780434</v>
      </c>
      <c r="U448" s="8" t="n">
        <f aca="false">PMT(Debt_Rate,Debt_Tenor,$F$99*Gearing)*(U418&gt;=1)*(U418&lt;=Debt_Tenor)</f>
        <v>-4439.45603780434</v>
      </c>
      <c r="V448" s="8" t="n">
        <f aca="false">PMT(Debt_Rate,Debt_Tenor,$F$99*Gearing)*(V418&gt;=1)*(V418&lt;=Debt_Tenor)</f>
        <v>-4439.45603780434</v>
      </c>
      <c r="W448" s="8" t="n">
        <f aca="false">PMT(Debt_Rate,Debt_Tenor,$F$99*Gearing)*(W418&gt;=1)*(W418&lt;=Debt_Tenor)</f>
        <v>-4439.45603780434</v>
      </c>
      <c r="X448" s="8" t="n">
        <f aca="false">PMT(Debt_Rate,Debt_Tenor,$F$99*Gearing)*(X418&gt;=1)*(X418&lt;=Debt_Tenor)</f>
        <v>-4439.45603780434</v>
      </c>
      <c r="Y448" s="8" t="n">
        <f aca="false">PMT(Debt_Rate,Debt_Tenor,$F$99*Gearing)*(Y418&gt;=1)*(Y418&lt;=Debt_Tenor)</f>
        <v>-4439.45603780434</v>
      </c>
      <c r="Z448" s="8" t="n">
        <f aca="false">PMT(Debt_Rate,Debt_Tenor,$F$99*Gearing)*(Z418&gt;=1)*(Z418&lt;=Debt_Tenor)</f>
        <v>-4439.45603780434</v>
      </c>
      <c r="AA448" s="8" t="n">
        <f aca="false">PMT(Debt_Rate,Debt_Tenor,$F$99*Gearing)*(AA418&gt;=1)*(AA418&lt;=Debt_Tenor)</f>
        <v>-4439.45603780434</v>
      </c>
      <c r="AB448" s="8" t="n">
        <f aca="false">PMT(Debt_Rate,Debt_Tenor,$F$99*Gearing)*(AB418&gt;=1)*(AB418&lt;=Debt_Tenor)</f>
        <v>-4439.45603780434</v>
      </c>
      <c r="AC448" s="8" t="n">
        <f aca="false">PMT(Debt_Rate,Debt_Tenor,$F$99*Gearing)*(AC418&gt;=1)*(AC418&lt;=Debt_Tenor)</f>
        <v>-4439.45603780434</v>
      </c>
      <c r="AD448" s="8" t="n">
        <f aca="false">PMT(Debt_Rate,Debt_Tenor,$F$99*Gearing)*(AD418&gt;=1)*(AD418&lt;=Debt_Tenor)</f>
        <v>-4439.45603780434</v>
      </c>
      <c r="AE448" s="8" t="n">
        <f aca="false">PMT(Debt_Rate,Debt_Tenor,$F$99*Gearing)*(AE418&gt;=1)*(AE418&lt;=Debt_Tenor)</f>
        <v>-0</v>
      </c>
      <c r="AF448" s="8" t="n">
        <f aca="false">PMT(Debt_Rate,Debt_Tenor,$F$99*Gearing)*(AF418&gt;=1)*(AF418&lt;=Debt_Tenor)</f>
        <v>-0</v>
      </c>
      <c r="AG448" s="8" t="n">
        <f aca="false">PMT(Debt_Rate,Debt_Tenor,$F$99*Gearing)*(AG418&gt;=1)*(AG418&lt;=Debt_Tenor)</f>
        <v>-0</v>
      </c>
      <c r="AH448" s="8" t="n">
        <f aca="false">PMT(Debt_Rate,Debt_Tenor,$F$99*Gearing)*(AH418&gt;=1)*(AH418&lt;=Debt_Tenor)</f>
        <v>-0</v>
      </c>
      <c r="AI448" s="8" t="n">
        <f aca="false">PMT(Debt_Rate,Debt_Tenor,$F$99*Gearing)*(AI418&gt;=1)*(AI418&lt;=Debt_Tenor)</f>
        <v>-0</v>
      </c>
      <c r="AJ448" s="8" t="n">
        <f aca="false">PMT(Debt_Rate,Debt_Tenor,$F$99*Gearing)*(AJ418&gt;=1)*(AJ418&lt;=Debt_Tenor)</f>
        <v>-0</v>
      </c>
      <c r="AK448" s="8" t="n">
        <f aca="false">PMT(Debt_Rate,Debt_Tenor,$F$99*Gearing)*(AK418&gt;=1)*(AK418&lt;=Debt_Tenor)</f>
        <v>-0</v>
      </c>
      <c r="AL448" s="8" t="n">
        <f aca="false">PMT(Debt_Rate,Debt_Tenor,$F$99*Gearing)*(AL418&gt;=1)*(AL418&lt;=Debt_Tenor)</f>
        <v>-0</v>
      </c>
      <c r="AM448" s="8" t="n">
        <f aca="false">PMT(Debt_Rate,Debt_Tenor,$F$99*Gearing)*(AM418&gt;=1)*(AM418&lt;=Debt_Tenor)</f>
        <v>-0</v>
      </c>
      <c r="AN448" s="8" t="n">
        <f aca="false">PMT(Debt_Rate,Debt_Tenor,$F$99*Gearing)*(AN418&gt;=1)*(AN418&lt;=Debt_Tenor)</f>
        <v>-0</v>
      </c>
      <c r="AO448" s="8" t="n">
        <f aca="false">PMT(Debt_Rate,Debt_Tenor,$F$99*Gearing)*(AO418&gt;=1)*(AO418&lt;=Debt_Tenor)</f>
        <v>-0</v>
      </c>
      <c r="AP448" s="8" t="n">
        <f aca="false">PMT(Debt_Rate,Debt_Tenor,$F$99*Gearing)*(AP418&gt;=1)*(AP418&lt;=Debt_Tenor)</f>
        <v>-0</v>
      </c>
      <c r="AQ448" s="8" t="n">
        <f aca="false">PMT(Debt_Rate,Debt_Tenor,$F$99*Gearing)*(AQ418&gt;=1)*(AQ418&lt;=Debt_Tenor)</f>
        <v>-0</v>
      </c>
      <c r="AR448" s="8" t="n">
        <f aca="false">PMT(Debt_Rate,Debt_Tenor,$F$99*Gearing)*(AR418&gt;=1)*(AR418&lt;=Debt_Tenor)</f>
        <v>-0</v>
      </c>
      <c r="AS448" s="8" t="n">
        <f aca="false">PMT(Debt_Rate,Debt_Tenor,$F$99*Gearing)*(AS418&gt;=1)*(AS418&lt;=Debt_Tenor)</f>
        <v>-0</v>
      </c>
    </row>
    <row r="449" customFormat="false" ht="14.25" hidden="false" customHeight="false" outlineLevel="0" collapsed="false">
      <c r="C449" s="6" t="s">
        <v>322</v>
      </c>
      <c r="D449" s="2" t="s">
        <v>85</v>
      </c>
      <c r="H449" s="8" t="n">
        <f aca="false">SUM(J449:AS449)</f>
        <v>-20511.8050191199</v>
      </c>
      <c r="J449" s="8" t="n">
        <f aca="false">-I451*Debt_Rate*(J418&gt;=1)</f>
        <v>-0</v>
      </c>
      <c r="K449" s="8" t="n">
        <f aca="false">-J451*Debt_Rate*(K418&gt;=1)</f>
        <v>-0</v>
      </c>
      <c r="L449" s="8" t="n">
        <f aca="false">-K451*Debt_Rate*(L418&gt;=1)</f>
        <v>-0</v>
      </c>
      <c r="M449" s="8" t="n">
        <f aca="false">-L451*Debt_Rate*(M418&gt;=1)</f>
        <v>-0</v>
      </c>
      <c r="N449" s="8" t="n">
        <f aca="false">-M451*Debt_Rate*(N418&gt;=1)</f>
        <v>-0</v>
      </c>
      <c r="O449" s="8" t="n">
        <f aca="false">-N451*Debt_Rate*(O418&gt;=1)</f>
        <v>-0</v>
      </c>
      <c r="P449" s="8" t="n">
        <f aca="false">-O451*Debt_Rate*(P418&gt;=1)</f>
        <v>-2304.00177739726</v>
      </c>
      <c r="Q449" s="8" t="n">
        <f aca="false">-P451*Debt_Rate*(Q418&gt;=1)</f>
        <v>-2197.22906437691</v>
      </c>
      <c r="R449" s="8" t="n">
        <f aca="false">-Q451*Debt_Rate*(R418&gt;=1)</f>
        <v>-2085.11771570553</v>
      </c>
      <c r="S449" s="8" t="n">
        <f aca="false">-R451*Debt_Rate*(S418&gt;=1)</f>
        <v>-1967.40079960059</v>
      </c>
      <c r="T449" s="8" t="n">
        <f aca="false">-S451*Debt_Rate*(T418&gt;=1)</f>
        <v>-1843.79803769041</v>
      </c>
      <c r="U449" s="8" t="n">
        <f aca="false">-T451*Debt_Rate*(U418&gt;=1)</f>
        <v>-1714.01513768471</v>
      </c>
      <c r="V449" s="8" t="n">
        <f aca="false">-U451*Debt_Rate*(V418&gt;=1)</f>
        <v>-1577.74309267873</v>
      </c>
      <c r="W449" s="8" t="n">
        <f aca="false">-V451*Debt_Rate*(W418&gt;=1)</f>
        <v>-1434.65744542245</v>
      </c>
      <c r="X449" s="8" t="n">
        <f aca="false">-W451*Debt_Rate*(X418&gt;=1)</f>
        <v>-1284.41751580335</v>
      </c>
      <c r="Y449" s="8" t="n">
        <f aca="false">-X451*Debt_Rate*(Y418&gt;=1)</f>
        <v>-1126.6655897033</v>
      </c>
      <c r="Z449" s="8" t="n">
        <f aca="false">-Y451*Debt_Rate*(Z418&gt;=1)</f>
        <v>-961.026067298251</v>
      </c>
      <c r="AA449" s="8" t="n">
        <f aca="false">-Z451*Debt_Rate*(AA418&gt;=1)</f>
        <v>-787.104568772946</v>
      </c>
      <c r="AB449" s="8" t="n">
        <f aca="false">-AA451*Debt_Rate*(AB418&gt;=1)</f>
        <v>-604.486995321376</v>
      </c>
      <c r="AC449" s="8" t="n">
        <f aca="false">-AB451*Debt_Rate*(AC418&gt;=1)</f>
        <v>-412.738543197228</v>
      </c>
      <c r="AD449" s="8" t="n">
        <f aca="false">-AC451*Debt_Rate*(AD418&gt;=1)</f>
        <v>-211.402668466872</v>
      </c>
      <c r="AE449" s="8" t="n">
        <f aca="false">-AD451*Debt_Rate*(AE418&gt;=1)</f>
        <v>1.36424205265939E-012</v>
      </c>
      <c r="AF449" s="8" t="n">
        <f aca="false">-AE451*Debt_Rate*(AF418&gt;=1)</f>
        <v>1.43245415529236E-012</v>
      </c>
      <c r="AG449" s="8" t="n">
        <f aca="false">-AF451*Debt_Rate*(AG418&gt;=1)</f>
        <v>1.50407686305698E-012</v>
      </c>
      <c r="AH449" s="8" t="n">
        <f aca="false">-AG451*Debt_Rate*(AH418&gt;=1)</f>
        <v>1.57928070620983E-012</v>
      </c>
      <c r="AI449" s="8" t="n">
        <f aca="false">-AH451*Debt_Rate*(AI418&gt;=1)</f>
        <v>1.65824474152032E-012</v>
      </c>
      <c r="AJ449" s="8" t="n">
        <f aca="false">-AI451*Debt_Rate*(AJ418&gt;=1)</f>
        <v>1.74115697859634E-012</v>
      </c>
      <c r="AK449" s="8" t="n">
        <f aca="false">-AJ451*Debt_Rate*(AK418&gt;=1)</f>
        <v>1.82821482752615E-012</v>
      </c>
      <c r="AL449" s="8" t="n">
        <f aca="false">-AK451*Debt_Rate*(AL418&gt;=1)</f>
        <v>1.91962556890246E-012</v>
      </c>
      <c r="AM449" s="8" t="n">
        <f aca="false">-AL451*Debt_Rate*(AM418&gt;=1)</f>
        <v>2.01560684734758E-012</v>
      </c>
      <c r="AN449" s="8" t="n">
        <f aca="false">-AM451*Debt_Rate*(AN418&gt;=1)</f>
        <v>2.11638718971496E-012</v>
      </c>
      <c r="AO449" s="8" t="n">
        <f aca="false">-AN451*Debt_Rate*(AO418&gt;=1)</f>
        <v>2.22220654920071E-012</v>
      </c>
      <c r="AP449" s="8" t="n">
        <f aca="false">-AO451*Debt_Rate*(AP418&gt;=1)</f>
        <v>2.33331687666075E-012</v>
      </c>
      <c r="AQ449" s="8" t="n">
        <f aca="false">-AP451*Debt_Rate*(AQ418&gt;=1)</f>
        <v>2.44998272049379E-012</v>
      </c>
      <c r="AR449" s="8" t="n">
        <f aca="false">-AQ451*Debt_Rate*(AR418&gt;=1)</f>
        <v>2.57248185651847E-012</v>
      </c>
      <c r="AS449" s="8" t="n">
        <f aca="false">-AR451*Debt_Rate*(AS418&gt;=1)</f>
        <v>2.7011059493444E-012</v>
      </c>
    </row>
    <row r="450" customFormat="false" ht="14.25" hidden="false" customHeight="false" outlineLevel="0" collapsed="false">
      <c r="C450" s="6" t="s">
        <v>323</v>
      </c>
      <c r="D450" s="2" t="s">
        <v>85</v>
      </c>
      <c r="H450" s="8" t="n">
        <f aca="false">SUM(J450:AS450)</f>
        <v>-46080.0355479453</v>
      </c>
      <c r="J450" s="8" t="n">
        <f aca="false">J448-J449</f>
        <v>0</v>
      </c>
      <c r="K450" s="8" t="n">
        <f aca="false">K448-K449</f>
        <v>0</v>
      </c>
      <c r="L450" s="8" t="n">
        <f aca="false">L448-L449</f>
        <v>0</v>
      </c>
      <c r="M450" s="8" t="n">
        <f aca="false">M448-M449</f>
        <v>0</v>
      </c>
      <c r="N450" s="8" t="n">
        <f aca="false">N448-N449</f>
        <v>0</v>
      </c>
      <c r="O450" s="8" t="n">
        <f aca="false">O448-O449</f>
        <v>0</v>
      </c>
      <c r="P450" s="8" t="n">
        <f aca="false">P448-P449</f>
        <v>-2135.45426040708</v>
      </c>
      <c r="Q450" s="8" t="n">
        <f aca="false">Q448-Q449</f>
        <v>-2242.22697342744</v>
      </c>
      <c r="R450" s="8" t="n">
        <f aca="false">R448-R449</f>
        <v>-2354.33832209881</v>
      </c>
      <c r="S450" s="8" t="n">
        <f aca="false">S448-S449</f>
        <v>-2472.05523820375</v>
      </c>
      <c r="T450" s="8" t="n">
        <f aca="false">T448-T449</f>
        <v>-2595.65800011394</v>
      </c>
      <c r="U450" s="8" t="n">
        <f aca="false">U448-U449</f>
        <v>-2725.44090011963</v>
      </c>
      <c r="V450" s="8" t="n">
        <f aca="false">V448-V449</f>
        <v>-2861.71294512561</v>
      </c>
      <c r="W450" s="8" t="n">
        <f aca="false">W448-W449</f>
        <v>-3004.7985923819</v>
      </c>
      <c r="X450" s="8" t="n">
        <f aca="false">X448-X449</f>
        <v>-3155.03852200099</v>
      </c>
      <c r="Y450" s="8" t="n">
        <f aca="false">Y448-Y449</f>
        <v>-3312.79044810104</v>
      </c>
      <c r="Z450" s="8" t="n">
        <f aca="false">Z448-Z449</f>
        <v>-3478.42997050609</v>
      </c>
      <c r="AA450" s="8" t="n">
        <f aca="false">AA448-AA449</f>
        <v>-3652.3514690314</v>
      </c>
      <c r="AB450" s="8" t="n">
        <f aca="false">AB448-AB449</f>
        <v>-3834.96904248297</v>
      </c>
      <c r="AC450" s="8" t="n">
        <f aca="false">AC448-AC449</f>
        <v>-4026.71749460711</v>
      </c>
      <c r="AD450" s="8" t="n">
        <f aca="false">AD448-AD449</f>
        <v>-4228.05336933747</v>
      </c>
      <c r="AE450" s="8" t="n">
        <f aca="false">AE448-AE449</f>
        <v>-1.36424205265939E-012</v>
      </c>
      <c r="AF450" s="8" t="n">
        <f aca="false">AF448-AF449</f>
        <v>-1.43245415529236E-012</v>
      </c>
      <c r="AG450" s="8" t="n">
        <f aca="false">AG448-AG449</f>
        <v>-1.50407686305698E-012</v>
      </c>
      <c r="AH450" s="8" t="n">
        <f aca="false">AH448-AH449</f>
        <v>-1.57928070620983E-012</v>
      </c>
      <c r="AI450" s="8" t="n">
        <f aca="false">AI448-AI449</f>
        <v>-1.65824474152032E-012</v>
      </c>
      <c r="AJ450" s="8" t="n">
        <f aca="false">AJ448-AJ449</f>
        <v>-1.74115697859634E-012</v>
      </c>
      <c r="AK450" s="8" t="n">
        <f aca="false">AK448-AK449</f>
        <v>-1.82821482752615E-012</v>
      </c>
      <c r="AL450" s="8" t="n">
        <f aca="false">AL448-AL449</f>
        <v>-1.91962556890246E-012</v>
      </c>
      <c r="AM450" s="8" t="n">
        <f aca="false">AM448-AM449</f>
        <v>-2.01560684734758E-012</v>
      </c>
      <c r="AN450" s="8" t="n">
        <f aca="false">AN448-AN449</f>
        <v>-2.11638718971496E-012</v>
      </c>
      <c r="AO450" s="8" t="n">
        <f aca="false">AO448-AO449</f>
        <v>-2.22220654920071E-012</v>
      </c>
      <c r="AP450" s="8" t="n">
        <f aca="false">AP448-AP449</f>
        <v>-2.33331687666075E-012</v>
      </c>
      <c r="AQ450" s="8" t="n">
        <f aca="false">AQ448-AQ449</f>
        <v>-2.44998272049379E-012</v>
      </c>
      <c r="AR450" s="8" t="n">
        <f aca="false">AR448-AR449</f>
        <v>-2.57248185651847E-012</v>
      </c>
      <c r="AS450" s="8" t="n">
        <f aca="false">AS448-AS449</f>
        <v>-2.7011059493444E-012</v>
      </c>
    </row>
    <row r="451" customFormat="false" ht="14.25" hidden="false" customHeight="false" outlineLevel="0" collapsed="false">
      <c r="C451" s="6" t="s">
        <v>324</v>
      </c>
      <c r="D451" s="2" t="s">
        <v>85</v>
      </c>
      <c r="H451" s="8"/>
      <c r="J451" s="8" t="n">
        <f aca="false">I451+J447+J450</f>
        <v>0</v>
      </c>
      <c r="K451" s="8" t="n">
        <f aca="false">J451+K447+K450</f>
        <v>0</v>
      </c>
      <c r="L451" s="8" t="n">
        <f aca="false">K451+L447+L450</f>
        <v>0</v>
      </c>
      <c r="M451" s="8" t="n">
        <f aca="false">L451+M447+M450</f>
        <v>0</v>
      </c>
      <c r="N451" s="8" t="n">
        <f aca="false">M451+N447+N450</f>
        <v>0</v>
      </c>
      <c r="O451" s="8" t="n">
        <f aca="false">N451+O447+O450</f>
        <v>46080.0355479452</v>
      </c>
      <c r="P451" s="8" t="n">
        <f aca="false">O451+P447+P450</f>
        <v>43944.5812875381</v>
      </c>
      <c r="Q451" s="8" t="n">
        <f aca="false">P451+Q447+Q450</f>
        <v>41702.3543141107</v>
      </c>
      <c r="R451" s="8" t="n">
        <f aca="false">Q451+R447+R450</f>
        <v>39348.0159920119</v>
      </c>
      <c r="S451" s="8" t="n">
        <f aca="false">R451+S447+S450</f>
        <v>36875.9607538081</v>
      </c>
      <c r="T451" s="8" t="n">
        <f aca="false">S451+T447+T450</f>
        <v>34280.3027536942</v>
      </c>
      <c r="U451" s="8" t="n">
        <f aca="false">T451+U447+U450</f>
        <v>31554.8618535746</v>
      </c>
      <c r="V451" s="8" t="n">
        <f aca="false">U451+V447+V450</f>
        <v>28693.1489084489</v>
      </c>
      <c r="W451" s="8" t="n">
        <f aca="false">V451+W447+W450</f>
        <v>25688.350316067</v>
      </c>
      <c r="X451" s="8" t="n">
        <f aca="false">W451+X447+X450</f>
        <v>22533.3117940661</v>
      </c>
      <c r="Y451" s="8" t="n">
        <f aca="false">X451+Y447+Y450</f>
        <v>19220.521345965</v>
      </c>
      <c r="Z451" s="8" t="n">
        <f aca="false">Y451+Z447+Z450</f>
        <v>15742.0913754589</v>
      </c>
      <c r="AA451" s="8" t="n">
        <f aca="false">Z451+AA447+AA450</f>
        <v>12089.7399064275</v>
      </c>
      <c r="AB451" s="8" t="n">
        <f aca="false">AA451+AB447+AB450</f>
        <v>8254.77086394456</v>
      </c>
      <c r="AC451" s="8" t="n">
        <f aca="false">AB451+AC447+AC450</f>
        <v>4228.05336933744</v>
      </c>
      <c r="AD451" s="8" t="n">
        <f aca="false">AC451+AD447+AD450</f>
        <v>-2.72848410531878E-011</v>
      </c>
      <c r="AE451" s="8" t="n">
        <f aca="false">AD451+AE447+AE450</f>
        <v>-2.86490831058472E-011</v>
      </c>
      <c r="AF451" s="8" t="n">
        <f aca="false">AE451+AF447+AF450</f>
        <v>-3.00815372611396E-011</v>
      </c>
      <c r="AG451" s="8" t="n">
        <f aca="false">AF451+AG447+AG450</f>
        <v>-3.15856141241966E-011</v>
      </c>
      <c r="AH451" s="8" t="n">
        <f aca="false">AG451+AH447+AH450</f>
        <v>-3.31648948304064E-011</v>
      </c>
      <c r="AI451" s="8" t="n">
        <f aca="false">AH451+AI447+AI450</f>
        <v>-3.48231395719267E-011</v>
      </c>
      <c r="AJ451" s="8" t="n">
        <f aca="false">AI451+AJ447+AJ450</f>
        <v>-3.65642965505231E-011</v>
      </c>
      <c r="AK451" s="8" t="n">
        <f aca="false">AJ451+AK447+AK450</f>
        <v>-3.83925113780492E-011</v>
      </c>
      <c r="AL451" s="8" t="n">
        <f aca="false">AK451+AL447+AL450</f>
        <v>-4.03121369469517E-011</v>
      </c>
      <c r="AM451" s="8" t="n">
        <f aca="false">AL451+AM447+AM450</f>
        <v>-4.23277437942993E-011</v>
      </c>
      <c r="AN451" s="8" t="n">
        <f aca="false">AM451+AN447+AN450</f>
        <v>-4.44441309840142E-011</v>
      </c>
      <c r="AO451" s="8" t="n">
        <f aca="false">AN451+AO447+AO450</f>
        <v>-4.6666337533215E-011</v>
      </c>
      <c r="AP451" s="8" t="n">
        <f aca="false">AO451+AP447+AP450</f>
        <v>-4.89996544098757E-011</v>
      </c>
      <c r="AQ451" s="8" t="n">
        <f aca="false">AP451+AQ447+AQ450</f>
        <v>-5.14496371303695E-011</v>
      </c>
      <c r="AR451" s="8" t="n">
        <f aca="false">AQ451+AR447+AR450</f>
        <v>-5.4022118986888E-011</v>
      </c>
      <c r="AS451" s="8" t="n">
        <f aca="false">AR451+AS447+AS450</f>
        <v>-5.67232249362324E-011</v>
      </c>
    </row>
    <row r="452" customFormat="false" ht="14.25" hidden="false" customHeight="false" outlineLevel="0" collapsed="false">
      <c r="C452" s="6" t="s">
        <v>325</v>
      </c>
      <c r="D452" s="2" t="s">
        <v>85</v>
      </c>
      <c r="H452" s="8" t="n">
        <f aca="false">SUM(J452:AS452)</f>
        <v>-32758.9685760495</v>
      </c>
      <c r="J452" s="8" t="n">
        <f aca="false">-MAX(0,J442+J444+J449)*CIT_Rate*(J422&gt;0)</f>
        <v>-0</v>
      </c>
      <c r="K452" s="8" t="n">
        <f aca="false">-MAX(0,K442+K444+K449)*CIT_Rate*(K422&gt;0)</f>
        <v>-0</v>
      </c>
      <c r="L452" s="8" t="n">
        <f aca="false">-MAX(0,L442+L444+L449)*CIT_Rate*(L422&gt;0)</f>
        <v>-0</v>
      </c>
      <c r="M452" s="8" t="n">
        <f aca="false">-MAX(0,M442+M444+M449)*CIT_Rate*(M422&gt;0)</f>
        <v>-0</v>
      </c>
      <c r="N452" s="8" t="n">
        <f aca="false">-MAX(0,N442+N444+N449)*CIT_Rate*(N422&gt;0)</f>
        <v>-0</v>
      </c>
      <c r="O452" s="8" t="n">
        <f aca="false">-MAX(0,O442+O444+O449)*CIT_Rate*(O422&gt;0)</f>
        <v>-184.465323250685</v>
      </c>
      <c r="P452" s="8" t="n">
        <f aca="false">-MAX(0,P442+P444+P449)*CIT_Rate*(P422&gt;0)</f>
        <v>-609.647071343096</v>
      </c>
      <c r="Q452" s="8" t="n">
        <f aca="false">-MAX(0,Q442+Q444+Q449)*CIT_Rate*(Q422&gt;0)</f>
        <v>-630.518329022906</v>
      </c>
      <c r="R452" s="8" t="n">
        <f aca="false">-MAX(0,R442+R444+R449)*CIT_Rate*(R422&gt;0)</f>
        <v>-652.065673789328</v>
      </c>
      <c r="S452" s="8" t="n">
        <f aca="false">-MAX(0,S442+S444+S449)*CIT_Rate*(S422&gt;0)</f>
        <v>-674.324488877641</v>
      </c>
      <c r="T452" s="8" t="n">
        <f aca="false">-MAX(0,T442+T444+T449)*CIT_Rate*(T422&gt;0)</f>
        <v>-697.332034849061</v>
      </c>
      <c r="U452" s="8" t="n">
        <f aca="false">-MAX(0,U442+U444+U449)*CIT_Rate*(U422&gt;0)</f>
        <v>-721.127546574568</v>
      </c>
      <c r="V452" s="8" t="n">
        <f aca="false">-MAX(0,V442+V444+V449)*CIT_Rate*(V422&gt;0)</f>
        <v>-745.752335147106</v>
      </c>
      <c r="W452" s="8" t="n">
        <f aca="false">-MAX(0,W442+W444+W449)*CIT_Rate*(W422&gt;0)</f>
        <v>-771.249894970495</v>
      </c>
      <c r="X452" s="8" t="n">
        <f aca="false">-MAX(0,X442+X444+X449)*CIT_Rate*(X422&gt;0)</f>
        <v>-797.666016285915</v>
      </c>
      <c r="Y452" s="8" t="n">
        <f aca="false">-MAX(0,Y442+Y444+Y449)*CIT_Rate*(Y422&gt;0)</f>
        <v>-825.048903409881</v>
      </c>
      <c r="Z452" s="8" t="n">
        <f aca="false">-MAX(0,Z442+Z444+Z449)*CIT_Rate*(Z422&gt;0)</f>
        <v>-853.449298971383</v>
      </c>
      <c r="AA452" s="8" t="n">
        <f aca="false">-MAX(0,AA442+AA444+AA449)*CIT_Rate*(AA422&gt;0)</f>
        <v>-882.920614450292</v>
      </c>
      <c r="AB452" s="8" t="n">
        <f aca="false">-MAX(0,AB442+AB444+AB449)*CIT_Rate*(AB422&gt;0)</f>
        <v>-913.519067334319</v>
      </c>
      <c r="AC452" s="8" t="n">
        <f aca="false">-MAX(0,AC442+AC444+AC449)*CIT_Rate*(AC422&gt;0)</f>
        <v>-945.303825227687</v>
      </c>
      <c r="AD452" s="8" t="n">
        <f aca="false">-MAX(0,AD442+AD444+AD449)*CIT_Rate*(AD422&gt;0)</f>
        <v>-978.337157261434</v>
      </c>
      <c r="AE452" s="8" t="n">
        <f aca="false">-MAX(0,AE442+AE444+AE449)*CIT_Rate*(AE422&gt;0)</f>
        <v>-1012.68459317279</v>
      </c>
      <c r="AF452" s="8" t="n">
        <f aca="false">-MAX(0,AF442+AF444+AF449)*CIT_Rate*(AF422&gt;0)</f>
        <v>-1015.11917015596</v>
      </c>
      <c r="AG452" s="8" t="n">
        <f aca="false">-MAX(0,AG442+AG444+AG449)*CIT_Rate*(AG422&gt;0)</f>
        <v>-1017.3445732931</v>
      </c>
      <c r="AH452" s="8" t="n">
        <f aca="false">-MAX(0,AH442+AH444+AH449)*CIT_Rate*(AH422&gt;0)</f>
        <v>-1019.35391141156</v>
      </c>
      <c r="AI452" s="8" t="n">
        <f aca="false">-MAX(0,AI442+AI444+AI449)*CIT_Rate*(AI422&gt;0)</f>
        <v>-1597.14055732624</v>
      </c>
      <c r="AJ452" s="8" t="n">
        <f aca="false">-MAX(0,AJ442+AJ444+AJ449)*CIT_Rate*(AJ422&gt;0)</f>
        <v>-1598.69636595756</v>
      </c>
      <c r="AK452" s="8" t="n">
        <f aca="false">-MAX(0,AK442+AK444+AK449)*CIT_Rate*(AK422&gt;0)</f>
        <v>-1600.01433583266</v>
      </c>
      <c r="AL452" s="8" t="n">
        <f aca="false">-MAX(0,AL442+AL444+AL449)*CIT_Rate*(AL422&gt;0)</f>
        <v>-1601.08682698029</v>
      </c>
      <c r="AM452" s="8" t="n">
        <f aca="false">-MAX(0,AM442+AM444+AM449)*CIT_Rate*(AM422&gt;0)</f>
        <v>-1601.90600045683</v>
      </c>
      <c r="AN452" s="8" t="n">
        <f aca="false">-MAX(0,AN442+AN444+AN449)*CIT_Rate*(AN422&gt;0)</f>
        <v>-1602.4638134044</v>
      </c>
      <c r="AO452" s="8" t="n">
        <f aca="false">-MAX(0,AO442+AO444+AO449)*CIT_Rate*(AO422&gt;0)</f>
        <v>-1602.75201398753</v>
      </c>
      <c r="AP452" s="8" t="n">
        <f aca="false">-MAX(0,AP442+AP444+AP449)*CIT_Rate*(AP422&gt;0)</f>
        <v>-1602.76213620557</v>
      </c>
      <c r="AQ452" s="8" t="n">
        <f aca="false">-MAX(0,AQ442+AQ444+AQ449)*CIT_Rate*(AQ422&gt;0)</f>
        <v>-1602.48549457754</v>
      </c>
      <c r="AR452" s="8" t="n">
        <f aca="false">-MAX(0,AR442+AR444+AR449)*CIT_Rate*(AR422&gt;0)</f>
        <v>-1601.91317869653</v>
      </c>
      <c r="AS452" s="8" t="n">
        <f aca="false">-MAX(0,AS442+AS444+AS449)*CIT_Rate*(AS422&gt;0)</f>
        <v>-800.518023825113</v>
      </c>
    </row>
    <row r="453" customFormat="false" ht="14.25" hidden="false" customHeight="false" outlineLevel="0" collapsed="false">
      <c r="C453" s="1" t="s">
        <v>163</v>
      </c>
      <c r="D453" s="2" t="s">
        <v>85</v>
      </c>
      <c r="H453" s="32" t="n">
        <f aca="false">SUM(J453:AS453)</f>
        <v>185634.15526428</v>
      </c>
      <c r="J453" s="32" t="n">
        <f aca="false">J443+J447+J448+J452</f>
        <v>0</v>
      </c>
      <c r="K453" s="32" t="n">
        <f aca="false">K443+K447+K448+K452</f>
        <v>0</v>
      </c>
      <c r="L453" s="32" t="n">
        <f aca="false">L443+L447+L448+L452</f>
        <v>0</v>
      </c>
      <c r="M453" s="32" t="n">
        <f aca="false">M443+M447+M448+M452</f>
        <v>-29757.5797945206</v>
      </c>
      <c r="N453" s="32" t="n">
        <f aca="false">N443+N447+N448+N452</f>
        <v>-31358</v>
      </c>
      <c r="O453" s="32" t="n">
        <f aca="false">O443+O447+O448+O452</f>
        <v>32786.3420086945</v>
      </c>
      <c r="P453" s="32" t="n">
        <f aca="false">P443+P447+P448+P452</f>
        <v>5159.21543953256</v>
      </c>
      <c r="Q453" s="32" t="n">
        <f aca="false">Q443+Q447+Q448+Q452</f>
        <v>7665.23373464301</v>
      </c>
      <c r="R453" s="32" t="n">
        <f aca="false">R443+R447+R448+R452</f>
        <v>5180.70345836949</v>
      </c>
      <c r="S453" s="32" t="n">
        <f aca="false">S443+S447+S448+S452</f>
        <v>5189.11982776499</v>
      </c>
      <c r="T453" s="32" t="n">
        <f aca="false">T443+T447+T448+T452</f>
        <v>5195.89315969284</v>
      </c>
      <c r="U453" s="32" t="n">
        <f aca="false">U443+U447+U448+U452</f>
        <v>5200.95149279836</v>
      </c>
      <c r="V453" s="32" t="n">
        <f aca="false">V443+V447+V448+V452</f>
        <v>5204.21991637009</v>
      </c>
      <c r="W453" s="32" t="n">
        <f aca="false">W443+W447+W448+W452</f>
        <v>5205.62044144634</v>
      </c>
      <c r="X453" s="32" t="n">
        <f aca="false">X443+X447+X448+X452</f>
        <v>5205.07186594796</v>
      </c>
      <c r="Y453" s="32" t="n">
        <f aca="false">Y443+Y447+Y448+Y452</f>
        <v>5202.48963355039</v>
      </c>
      <c r="Z453" s="32" t="n">
        <f aca="false">Z443+Z447+Z448+Z452</f>
        <v>5197.78568599385</v>
      </c>
      <c r="AA453" s="32" t="n">
        <f aca="false">AA443+AA447+AA448+AA452</f>
        <v>5190.86830851569</v>
      </c>
      <c r="AB453" s="32" t="n">
        <f aca="false">AB443+AB447+AB448+AB452</f>
        <v>5181.64196807361</v>
      </c>
      <c r="AC453" s="32" t="n">
        <f aca="false">AC443+AC447+AC448+AC452</f>
        <v>5170.00714401188</v>
      </c>
      <c r="AD453" s="32" t="n">
        <f aca="false">AD443+AD447+AD448+AD452</f>
        <v>5155.86015080609</v>
      </c>
      <c r="AE453" s="32" t="n">
        <f aca="false">AE443+AE447+AE448+AE452</f>
        <v>9578.5489903079</v>
      </c>
      <c r="AF453" s="32" t="n">
        <f aca="false">AF443+AF447+AF448+AF452</f>
        <v>9592.34492654589</v>
      </c>
      <c r="AG453" s="32" t="n">
        <f aca="false">AG443+AG447+AG448+AG452</f>
        <v>9604.95554432298</v>
      </c>
      <c r="AH453" s="32" t="n">
        <f aca="false">AH443+AH447+AH448+AH452</f>
        <v>9616.34179366096</v>
      </c>
      <c r="AI453" s="32" t="n">
        <f aca="false">AI443+AI447+AI448+AI452</f>
        <v>9050.463158182</v>
      </c>
      <c r="AJ453" s="32" t="n">
        <f aca="false">AJ443+AJ447+AJ448+AJ452</f>
        <v>9059.27940709287</v>
      </c>
      <c r="AK453" s="32" t="n">
        <f aca="false">AK443+AK447+AK448+AK452</f>
        <v>9066.74790305173</v>
      </c>
      <c r="AL453" s="32" t="n">
        <f aca="false">AL443+AL447+AL448+AL452</f>
        <v>9072.8253528883</v>
      </c>
      <c r="AM453" s="32" t="n">
        <f aca="false">AM443+AM447+AM448+AM452</f>
        <v>9077.46733592206</v>
      </c>
      <c r="AN453" s="32" t="n">
        <f aca="false">AN443+AN447+AN448+AN452</f>
        <v>9080.62827595824</v>
      </c>
      <c r="AO453" s="32" t="n">
        <f aca="false">AO443+AO447+AO448+AO452</f>
        <v>9082.26141259599</v>
      </c>
      <c r="AP453" s="32" t="n">
        <f aca="false">AP443+AP447+AP448+AP452</f>
        <v>9082.31877183154</v>
      </c>
      <c r="AQ453" s="32" t="n">
        <f aca="false">AQ443+AQ447+AQ448+AQ452</f>
        <v>9080.75113593939</v>
      </c>
      <c r="AR453" s="32" t="n">
        <f aca="false">AR443+AR447+AR448+AR452</f>
        <v>9077.50801261365</v>
      </c>
      <c r="AS453" s="32" t="n">
        <f aca="false">AS443+AS447+AS448+AS452</f>
        <v>4536.26880167564</v>
      </c>
    </row>
    <row r="454" customFormat="false" ht="14.25" hidden="false" customHeight="false" outlineLevel="0" collapsed="false">
      <c r="C454" s="6" t="s">
        <v>326</v>
      </c>
      <c r="D454" s="2" t="s">
        <v>3</v>
      </c>
      <c r="H454" s="47" t="n">
        <f aca="false">MIN(J454:AS454)</f>
        <v>2.29945255944663</v>
      </c>
      <c r="J454" s="47" t="str">
        <f aca="false">IF(J448&lt;0,-J442/J448,"")</f>
        <v/>
      </c>
      <c r="K454" s="47" t="str">
        <f aca="false">IF(K448&lt;0,-K442/K448,"")</f>
        <v/>
      </c>
      <c r="L454" s="47" t="str">
        <f aca="false">IF(L448&lt;0,-L442/L448,"")</f>
        <v/>
      </c>
      <c r="M454" s="47" t="str">
        <f aca="false">IF(M448&lt;0,-M442/M448,"")</f>
        <v/>
      </c>
      <c r="N454" s="47" t="str">
        <f aca="false">IF(N448&lt;0,-N442/N448,"")</f>
        <v/>
      </c>
      <c r="O454" s="47" t="str">
        <f aca="false">IF(O448&lt;0,-O442/O448,"")</f>
        <v/>
      </c>
      <c r="P454" s="47" t="n">
        <f aca="false">IF(P448&lt;0,-P442/P448,"")</f>
        <v>2.29945255944663</v>
      </c>
      <c r="Q454" s="47" t="n">
        <f aca="false">IF(Q448&lt;0,-Q442/Q448,"")</f>
        <v>2.3067437691285</v>
      </c>
      <c r="R454" s="47" t="n">
        <f aca="false">IF(R448&lt;0,-R442/R448,"")</f>
        <v>2.31384770622564</v>
      </c>
      <c r="S454" s="47" t="n">
        <f aca="false">IF(S448&lt;0,-S442/S448,"")</f>
        <v>2.32075737809143</v>
      </c>
      <c r="T454" s="47" t="n">
        <f aca="false">IF(T448&lt;0,-T442/T448,"")</f>
        <v>2.32746560487545</v>
      </c>
      <c r="U454" s="47" t="n">
        <f aca="false">IF(U448&lt;0,-U442/U448,"")</f>
        <v>2.33396501484489</v>
      </c>
      <c r="V454" s="47" t="n">
        <f aca="false">IF(V448&lt;0,-V442/V448,"")</f>
        <v>2.34024803959089</v>
      </c>
      <c r="W454" s="47" t="n">
        <f aca="false">IF(W448&lt;0,-W442/W448,"")</f>
        <v>2.34630690911693</v>
      </c>
      <c r="X454" s="47" t="n">
        <f aca="false">IF(X448&lt;0,-X442/X448,"")</f>
        <v>2.35213364680658</v>
      </c>
      <c r="Y454" s="47" t="n">
        <f aca="false">IF(Y448&lt;0,-Y442/Y448,"")</f>
        <v>2.35772006426746</v>
      </c>
      <c r="Z454" s="47" t="n">
        <f aca="false">IF(Z448&lt;0,-Z442/Z448,"")</f>
        <v>2.36305775604843</v>
      </c>
      <c r="AA454" s="47" t="n">
        <f aca="false">IF(AA448&lt;0,-AA442/AA448,"")</f>
        <v>2.36813809422696</v>
      </c>
      <c r="AB454" s="47" t="n">
        <f aca="false">IF(AB448&lt;0,-AB442/AB448,"")</f>
        <v>2.37295222286343</v>
      </c>
      <c r="AC454" s="47" t="n">
        <f aca="false">IF(AC448&lt;0,-AC442/AC448,"")</f>
        <v>2.37749105231912</v>
      </c>
      <c r="AD454" s="47" t="n">
        <f aca="false">IF(AD448&lt;0,-AD442/AD448,"")</f>
        <v>2.38174525343455</v>
      </c>
      <c r="AE454" s="47" t="str">
        <f aca="false">IF(AE448&lt;0,-AE442/AE448,"")</f>
        <v/>
      </c>
      <c r="AF454" s="47" t="str">
        <f aca="false">IF(AF448&lt;0,-AF442/AF448,"")</f>
        <v/>
      </c>
      <c r="AG454" s="47" t="str">
        <f aca="false">IF(AG448&lt;0,-AG442/AG448,"")</f>
        <v/>
      </c>
      <c r="AH454" s="47" t="str">
        <f aca="false">IF(AH448&lt;0,-AH442/AH448,"")</f>
        <v/>
      </c>
      <c r="AI454" s="47" t="str">
        <f aca="false">IF(AI448&lt;0,-AI442/AI448,"")</f>
        <v/>
      </c>
      <c r="AJ454" s="47" t="str">
        <f aca="false">IF(AJ448&lt;0,-AJ442/AJ448,"")</f>
        <v/>
      </c>
      <c r="AK454" s="47" t="str">
        <f aca="false">IF(AK448&lt;0,-AK442/AK448,"")</f>
        <v/>
      </c>
      <c r="AL454" s="47" t="str">
        <f aca="false">IF(AL448&lt;0,-AL442/AL448,"")</f>
        <v/>
      </c>
      <c r="AM454" s="47" t="str">
        <f aca="false">IF(AM448&lt;0,-AM442/AM448,"")</f>
        <v/>
      </c>
      <c r="AN454" s="47" t="str">
        <f aca="false">IF(AN448&lt;0,-AN442/AN448,"")</f>
        <v/>
      </c>
      <c r="AO454" s="47" t="str">
        <f aca="false">IF(AO448&lt;0,-AO442/AO448,"")</f>
        <v/>
      </c>
      <c r="AP454" s="47" t="str">
        <f aca="false">IF(AP448&lt;0,-AP442/AP448,"")</f>
        <v/>
      </c>
      <c r="AQ454" s="47" t="str">
        <f aca="false">IF(AQ448&lt;0,-AQ442/AQ448,"")</f>
        <v/>
      </c>
      <c r="AR454" s="47" t="str">
        <f aca="false">IF(AR448&lt;0,-AR442/AR448,"")</f>
        <v/>
      </c>
      <c r="AS454" s="47" t="str">
        <f aca="false">IF(AS448&lt;0,-AS442/AS448,"")</f>
        <v/>
      </c>
    </row>
    <row r="455" customFormat="false" ht="14.25" hidden="false" customHeight="false" outlineLevel="0" collapsed="false">
      <c r="C455" s="6" t="s">
        <v>327</v>
      </c>
      <c r="D455" s="2" t="s">
        <v>3</v>
      </c>
      <c r="J455" s="77" t="n">
        <f aca="false">(1+Discount_Rate)^((Inputs!$F$26-J$364)/Days_In_Year)</f>
        <v>1.41371255107938</v>
      </c>
      <c r="K455" s="77" t="n">
        <f aca="false">(1+Discount_Rate)^((Inputs!$F$26-K$364)/Days_In_Year)</f>
        <v>1.30899310285128</v>
      </c>
      <c r="L455" s="77" t="n">
        <f aca="false">(1+Discount_Rate)^((Inputs!$F$26-L$364)/Days_In_Year)</f>
        <v>1.21177511843915</v>
      </c>
      <c r="M455" s="77" t="n">
        <f aca="false">(1+Discount_Rate)^((Inputs!$F$26-M$364)/Days_In_Year)</f>
        <v>1.12201399855477</v>
      </c>
      <c r="N455" s="77" t="n">
        <f aca="false">(1+Discount_Rate)^((Inputs!$F$26-N$364)/Days_In_Year)</f>
        <v>1.03890185051367</v>
      </c>
      <c r="O455" s="77" t="n">
        <f aca="false">(1+Discount_Rate)^((Inputs!$F$26-O$364)/Days_In_Year)</f>
        <v>0.961946157883031</v>
      </c>
      <c r="P455" s="77" t="n">
        <f aca="false">(1+Discount_Rate)^((Inputs!$F$26-P$364)/Days_In_Year)</f>
        <v>0.890503102622714</v>
      </c>
      <c r="Q455" s="77" t="n">
        <f aca="false">(1+Discount_Rate)^((Inputs!$F$26-Q$364)/Days_In_Year)</f>
        <v>0.824539909835846</v>
      </c>
      <c r="R455" s="77" t="n">
        <f aca="false">(1+Discount_Rate)^((Inputs!$F$26-R$364)/Days_In_Year)</f>
        <v>0.763462879477635</v>
      </c>
      <c r="S455" s="77" t="n">
        <f aca="false">(1+Discount_Rate)^((Inputs!$F$26-S$364)/Days_In_Year)</f>
        <v>0.706910073590403</v>
      </c>
      <c r="T455" s="77" t="n">
        <f aca="false">(1+Discount_Rate)^((Inputs!$F$26-T$364)/Days_In_Year)</f>
        <v>0.654408366464987</v>
      </c>
      <c r="U455" s="77" t="n">
        <f aca="false">(1+Discount_Rate)^((Inputs!$F$26-U$364)/Days_In_Year)</f>
        <v>0.605933672652766</v>
      </c>
      <c r="V455" s="77" t="n">
        <f aca="false">(1+Discount_Rate)^((Inputs!$F$26-V$364)/Days_In_Year)</f>
        <v>0.561049696900709</v>
      </c>
      <c r="W455" s="77" t="n">
        <f aca="false">(1+Discount_Rate)^((Inputs!$F$26-W$364)/Days_In_Year)</f>
        <v>0.519490460093249</v>
      </c>
      <c r="X455" s="77" t="n">
        <f aca="false">(1+Discount_Rate)^((Inputs!$F$26-X$364)/Days_In_Year)</f>
        <v>0.480908274028566</v>
      </c>
      <c r="Y455" s="77" t="n">
        <f aca="false">(1+Discount_Rate)^((Inputs!$F$26-Y$364)/Days_In_Year)</f>
        <v>0.445285438915339</v>
      </c>
      <c r="Z455" s="77" t="n">
        <f aca="false">(1+Discount_Rate)^((Inputs!$F$26-Z$364)/Days_In_Year)</f>
        <v>0.412301332329018</v>
      </c>
      <c r="AA455" s="77" t="n">
        <f aca="false">(1+Discount_Rate)^((Inputs!$F$26-AA$364)/Days_In_Year)</f>
        <v>0.381760492897239</v>
      </c>
      <c r="AB455" s="77" t="n">
        <f aca="false">(1+Discount_Rate)^((Inputs!$F$26-AB$364)/Days_In_Year)</f>
        <v>0.353407413292154</v>
      </c>
      <c r="AC455" s="77" t="n">
        <f aca="false">(1+Discount_Rate)^((Inputs!$F$26-AC$364)/Days_In_Year)</f>
        <v>0.327229086381624</v>
      </c>
      <c r="AD455" s="77" t="n">
        <f aca="false">(1+Discount_Rate)^((Inputs!$F$26-AD$364)/Days_In_Year)</f>
        <v>0.3029898947978</v>
      </c>
      <c r="AE455" s="77" t="n">
        <f aca="false">(1+Discount_Rate)^((Inputs!$F$26-AE$364)/Days_In_Year)</f>
        <v>0.280546198886852</v>
      </c>
      <c r="AF455" s="77" t="n">
        <f aca="false">(1+Discount_Rate)^((Inputs!$F$26-AF$364)/Days_In_Year)</f>
        <v>0.259710232730228</v>
      </c>
      <c r="AG455" s="77" t="n">
        <f aca="false">(1+Discount_Rate)^((Inputs!$F$26-AG$364)/Days_In_Year)</f>
        <v>0.240472437713174</v>
      </c>
      <c r="AH455" s="77" t="n">
        <f aca="false">(1+Discount_Rate)^((Inputs!$F$26-AH$364)/Days_In_Year)</f>
        <v>0.222659664549235</v>
      </c>
      <c r="AI455" s="77" t="n">
        <f aca="false">(1+Discount_Rate)^((Inputs!$F$26-AI$364)/Days_In_Year)</f>
        <v>0.206166356064106</v>
      </c>
      <c r="AJ455" s="77" t="n">
        <f aca="false">(1+Discount_Rate)^((Inputs!$F$26-AJ$364)/Days_In_Year)</f>
        <v>0.190854527799705</v>
      </c>
      <c r="AK455" s="77" t="n">
        <f aca="false">(1+Discount_Rate)^((Inputs!$F$26-AK$364)/Days_In_Year)</f>
        <v>0.176717155370097</v>
      </c>
      <c r="AL455" s="77" t="n">
        <f aca="false">(1+Discount_Rate)^((Inputs!$F$26-AL$364)/Days_In_Year)</f>
        <v>0.163626995713053</v>
      </c>
      <c r="AM455" s="77" t="n">
        <f aca="false">(1+Discount_Rate)^((Inputs!$F$26-AM$364)/Days_In_Year)</f>
        <v>0.151506477512086</v>
      </c>
      <c r="AN455" s="77" t="n">
        <f aca="false">(1+Discount_Rate)^((Inputs!$F$26-AN$364)/Days_In_Year)</f>
        <v>0.140254199454224</v>
      </c>
      <c r="AO455" s="77" t="n">
        <f aca="false">(1+Discount_Rate)^((Inputs!$F$26-AO$364)/Days_In_Year)</f>
        <v>0.129864999494652</v>
      </c>
      <c r="AP455" s="77" t="n">
        <f aca="false">(1+Discount_Rate)^((Inputs!$F$26-AP$364)/Days_In_Year)</f>
        <v>0.120245369902455</v>
      </c>
      <c r="AQ455" s="77" t="n">
        <f aca="false">(1+Discount_Rate)^((Inputs!$F$26-AQ$364)/Days_In_Year)</f>
        <v>0.111338305465236</v>
      </c>
      <c r="AR455" s="77" t="n">
        <f aca="false">(1+Discount_Rate)^((Inputs!$F$26-AR$364)/Days_In_Year)</f>
        <v>0.103069288904634</v>
      </c>
      <c r="AS455" s="77" t="n">
        <f aca="false">(1+Discount_Rate)^((Inputs!$F$26-AS$364)/Days_In_Year)</f>
        <v>0.0954345267635496</v>
      </c>
    </row>
    <row r="456" customFormat="false" ht="14.25" hidden="false" customHeight="false" outlineLevel="0" collapsed="false">
      <c r="C456" s="6" t="s">
        <v>328</v>
      </c>
      <c r="D456" s="2" t="s">
        <v>85</v>
      </c>
      <c r="H456" s="8" t="n">
        <f aca="false">SUM(J456:AS456)</f>
        <v>117317.066600666</v>
      </c>
      <c r="J456" s="8" t="n">
        <f aca="false">J442*J455</f>
        <v>0</v>
      </c>
      <c r="K456" s="8" t="n">
        <f aca="false">K442*K455</f>
        <v>0</v>
      </c>
      <c r="L456" s="8" t="n">
        <f aca="false">L442*L455</f>
        <v>0</v>
      </c>
      <c r="M456" s="8" t="n">
        <f aca="false">M442*M455</f>
        <v>0</v>
      </c>
      <c r="N456" s="8" t="n">
        <f aca="false">N442*N455</f>
        <v>0</v>
      </c>
      <c r="O456" s="8" t="n">
        <f aca="false">O442*O455</f>
        <v>4876.8474889626</v>
      </c>
      <c r="P456" s="8" t="n">
        <f aca="false">P442*P455</f>
        <v>9090.53934016054</v>
      </c>
      <c r="Q456" s="8" t="n">
        <f aca="false">Q442*Q455</f>
        <v>8443.85559204061</v>
      </c>
      <c r="R456" s="8" t="n">
        <f aca="false">R442*R455</f>
        <v>7842.46260690271</v>
      </c>
      <c r="S456" s="8" t="n">
        <f aca="false">S442*S455</f>
        <v>7283.2240477567</v>
      </c>
      <c r="T456" s="8" t="n">
        <f aca="false">T442*T455</f>
        <v>6761.79304646313</v>
      </c>
      <c r="U456" s="8" t="n">
        <f aca="false">U442*U455</f>
        <v>6278.40300363448</v>
      </c>
      <c r="V456" s="8" t="n">
        <f aca="false">V442*V455</f>
        <v>5828.9855926955</v>
      </c>
      <c r="W456" s="8" t="n">
        <f aca="false">W442*W455</f>
        <v>5411.1821806256</v>
      </c>
      <c r="X456" s="8" t="n">
        <f aca="false">X442*X455</f>
        <v>5021.73745515717</v>
      </c>
      <c r="Y456" s="8" t="n">
        <f aca="false">Y442*Y455</f>
        <v>4660.80027334854</v>
      </c>
      <c r="Z456" s="8" t="n">
        <f aca="false">Z442*Z455</f>
        <v>4325.32588573996</v>
      </c>
      <c r="AA456" s="8" t="n">
        <f aca="false">AA442*AA455</f>
        <v>4013.54157817309</v>
      </c>
      <c r="AB456" s="8" t="n">
        <f aca="false">AB442*AB455</f>
        <v>3723.01176986731</v>
      </c>
      <c r="AC456" s="8" t="n">
        <f aca="false">AC442*AC455</f>
        <v>3453.82676468588</v>
      </c>
      <c r="AD456" s="8" t="n">
        <f aca="false">AD442*AD455</f>
        <v>3203.71011489412</v>
      </c>
      <c r="AE456" s="8" t="n">
        <f aca="false">AE442*AE455</f>
        <v>2971.33032336828</v>
      </c>
      <c r="AF456" s="8" t="n">
        <f aca="false">AF442*AF455</f>
        <v>2754.86696923197</v>
      </c>
      <c r="AG456" s="8" t="n">
        <f aca="false">AG442*AG455</f>
        <v>2554.37040340407</v>
      </c>
      <c r="AH456" s="8" t="n">
        <f aca="false">AH442*AH455</f>
        <v>2368.14043793919</v>
      </c>
      <c r="AI456" s="8" t="n">
        <f aca="false">AI442*AI455</f>
        <v>2195.17765884097</v>
      </c>
      <c r="AJ456" s="8" t="n">
        <f aca="false">AJ442*AJ455</f>
        <v>2034.12293346623</v>
      </c>
      <c r="AK456" s="8" t="n">
        <f aca="false">AK442*AK455</f>
        <v>1884.99987986481</v>
      </c>
      <c r="AL456" s="8" t="n">
        <f aca="false">AL442*AL455</f>
        <v>1746.54018249686</v>
      </c>
      <c r="AM456" s="8" t="n">
        <f aca="false">AM442*AM455</f>
        <v>1617.99423623126</v>
      </c>
      <c r="AN456" s="8" t="n">
        <f aca="false">AN442*AN455</f>
        <v>1498.34852868931</v>
      </c>
      <c r="AO456" s="8" t="n">
        <f aca="false">AO442*AO455</f>
        <v>1387.60926324361</v>
      </c>
      <c r="AP456" s="8" t="n">
        <f aca="false">AP442*AP455</f>
        <v>1284.83150622458</v>
      </c>
      <c r="AQ456" s="8" t="n">
        <f aca="false">AQ442*AQ455</f>
        <v>1189.4534633259</v>
      </c>
      <c r="AR456" s="8" t="n">
        <f aca="false">AR442*AR455</f>
        <v>1100.72034810141</v>
      </c>
      <c r="AS456" s="8" t="n">
        <f aca="false">AS442*AS455</f>
        <v>509.31372512961</v>
      </c>
    </row>
    <row r="457" customFormat="false" ht="14.25" hidden="false" customHeight="false" outlineLevel="0" collapsed="false">
      <c r="C457" s="1" t="s">
        <v>329</v>
      </c>
      <c r="D457" s="2" t="s">
        <v>85</v>
      </c>
      <c r="H457" s="32" t="n">
        <f aca="false">SUM(J457:AS457)</f>
        <v>40517.0073540907</v>
      </c>
      <c r="J457" s="32" t="n">
        <f aca="false">J428*(J418&lt;=0)+J423*($H456+$F$62+$F$63)</f>
        <v>0</v>
      </c>
      <c r="K457" s="32" t="n">
        <f aca="false">K428*(K418&lt;=0)+K423*($H456+$F$62+$F$63)</f>
        <v>0</v>
      </c>
      <c r="L457" s="32" t="n">
        <f aca="false">L428*(L418&lt;=0)+L423*($H456+$F$62+$F$63)</f>
        <v>0</v>
      </c>
      <c r="M457" s="32" t="n">
        <f aca="false">M428*(M418&lt;=0)+M423*($H456+$F$62+$F$63)</f>
        <v>-29757.5797945206</v>
      </c>
      <c r="N457" s="32" t="n">
        <f aca="false">N428*(N418&lt;=0)+N423*($H456+$F$62+$F$63)</f>
        <v>-31358</v>
      </c>
      <c r="O457" s="32" t="n">
        <f aca="false">O428*(O418&lt;=0)+O423*($H456+$F$62+$F$63)</f>
        <v>101632.587148611</v>
      </c>
      <c r="P457" s="32" t="n">
        <f aca="false">P428*(P418&lt;=0)+P423*($H456+$F$62+$F$63)</f>
        <v>0</v>
      </c>
      <c r="Q457" s="32" t="n">
        <f aca="false">Q428*(Q418&lt;=0)+Q423*($H456+$F$62+$F$63)</f>
        <v>0</v>
      </c>
      <c r="R457" s="32" t="n">
        <f aca="false">R428*(R418&lt;=0)+R423*($H456+$F$62+$F$63)</f>
        <v>0</v>
      </c>
      <c r="S457" s="32" t="n">
        <f aca="false">S428*(S418&lt;=0)+S423*($H456+$F$62+$F$63)</f>
        <v>0</v>
      </c>
      <c r="T457" s="32" t="n">
        <f aca="false">T428*(T418&lt;=0)+T423*($H456+$F$62+$F$63)</f>
        <v>0</v>
      </c>
      <c r="U457" s="32" t="n">
        <f aca="false">U428*(U418&lt;=0)+U423*($H456+$F$62+$F$63)</f>
        <v>0</v>
      </c>
      <c r="V457" s="32" t="n">
        <f aca="false">V428*(V418&lt;=0)+V423*($H456+$F$62+$F$63)</f>
        <v>0</v>
      </c>
      <c r="W457" s="32" t="n">
        <f aca="false">W428*(W418&lt;=0)+W423*($H456+$F$62+$F$63)</f>
        <v>0</v>
      </c>
      <c r="X457" s="32" t="n">
        <f aca="false">X428*(X418&lt;=0)+X423*($H456+$F$62+$F$63)</f>
        <v>0</v>
      </c>
      <c r="Y457" s="32" t="n">
        <f aca="false">Y428*(Y418&lt;=0)+Y423*($H456+$F$62+$F$63)</f>
        <v>0</v>
      </c>
      <c r="Z457" s="32" t="n">
        <f aca="false">Z428*(Z418&lt;=0)+Z423*($H456+$F$62+$F$63)</f>
        <v>0</v>
      </c>
      <c r="AA457" s="32" t="n">
        <f aca="false">AA428*(AA418&lt;=0)+AA423*($H456+$F$62+$F$63)</f>
        <v>0</v>
      </c>
      <c r="AB457" s="32" t="n">
        <f aca="false">AB428*(AB418&lt;=0)+AB423*($H456+$F$62+$F$63)</f>
        <v>0</v>
      </c>
      <c r="AC457" s="32" t="n">
        <f aca="false">AC428*(AC418&lt;=0)+AC423*($H456+$F$62+$F$63)</f>
        <v>0</v>
      </c>
      <c r="AD457" s="32" t="n">
        <f aca="false">AD428*(AD418&lt;=0)+AD423*($H456+$F$62+$F$63)</f>
        <v>0</v>
      </c>
      <c r="AE457" s="32" t="n">
        <f aca="false">AE428*(AE418&lt;=0)+AE423*($H456+$F$62+$F$63)</f>
        <v>0</v>
      </c>
      <c r="AF457" s="32" t="n">
        <f aca="false">AF428*(AF418&lt;=0)+AF423*($H456+$F$62+$F$63)</f>
        <v>0</v>
      </c>
      <c r="AG457" s="32" t="n">
        <f aca="false">AG428*(AG418&lt;=0)+AG423*($H456+$F$62+$F$63)</f>
        <v>0</v>
      </c>
      <c r="AH457" s="32" t="n">
        <f aca="false">AH428*(AH418&lt;=0)+AH423*($H456+$F$62+$F$63)</f>
        <v>0</v>
      </c>
      <c r="AI457" s="32" t="n">
        <f aca="false">AI428*(AI418&lt;=0)+AI423*($H456+$F$62+$F$63)</f>
        <v>0</v>
      </c>
      <c r="AJ457" s="32" t="n">
        <f aca="false">AJ428*(AJ418&lt;=0)+AJ423*($H456+$F$62+$F$63)</f>
        <v>0</v>
      </c>
      <c r="AK457" s="32" t="n">
        <f aca="false">AK428*(AK418&lt;=0)+AK423*($H456+$F$62+$F$63)</f>
        <v>0</v>
      </c>
      <c r="AL457" s="32" t="n">
        <f aca="false">AL428*(AL418&lt;=0)+AL423*($H456+$F$62+$F$63)</f>
        <v>0</v>
      </c>
      <c r="AM457" s="32" t="n">
        <f aca="false">AM428*(AM418&lt;=0)+AM423*($H456+$F$62+$F$63)</f>
        <v>0</v>
      </c>
      <c r="AN457" s="32" t="n">
        <f aca="false">AN428*(AN418&lt;=0)+AN423*($H456+$F$62+$F$63)</f>
        <v>0</v>
      </c>
      <c r="AO457" s="32" t="n">
        <f aca="false">AO428*(AO418&lt;=0)+AO423*($H456+$F$62+$F$63)</f>
        <v>0</v>
      </c>
      <c r="AP457" s="32" t="n">
        <f aca="false">AP428*(AP418&lt;=0)+AP423*($H456+$F$62+$F$63)</f>
        <v>0</v>
      </c>
      <c r="AQ457" s="32" t="n">
        <f aca="false">AQ428*(AQ418&lt;=0)+AQ423*($H456+$F$62+$F$63)</f>
        <v>0</v>
      </c>
      <c r="AR457" s="32" t="n">
        <f aca="false">AR428*(AR418&lt;=0)+AR423*($H456+$F$62+$F$63)</f>
        <v>0</v>
      </c>
      <c r="AS457" s="32" t="n">
        <f aca="false">AS428*(AS418&lt;=0)+AS423*($H456+$F$62+$F$63)</f>
        <v>0</v>
      </c>
    </row>
    <row r="458" customFormat="false" ht="14.25" hidden="false" customHeight="false" outlineLevel="0" collapsed="false">
      <c r="C458" s="41" t="s">
        <v>330</v>
      </c>
      <c r="D458" s="42"/>
      <c r="E458" s="43"/>
      <c r="F458" s="43"/>
      <c r="G458" s="43"/>
      <c r="H458" s="43"/>
    </row>
    <row r="459" customFormat="false" ht="14.25" hidden="false" customHeight="false" outlineLevel="0" collapsed="false">
      <c r="C459" s="6" t="s">
        <v>331</v>
      </c>
      <c r="D459" s="2" t="s">
        <v>85</v>
      </c>
      <c r="H459" s="8"/>
      <c r="J459" s="8" t="n">
        <f aca="false">(I459*(1+Rate_Cash)-SUMPRODUCT($F345:$F350*$N345:$N350*(YEAR($K345:$K350)=J363)))*(J364&lt;$F190)*$F21</f>
        <v>0</v>
      </c>
      <c r="K459" s="8" t="n">
        <f aca="false">(J459*(1+Rate_Cash)-SUMPRODUCT($F345:$F350*$N345:$N350*(YEAR($K345:$K350)=K363)))*(K364&lt;$F190)*$F21</f>
        <v>0</v>
      </c>
      <c r="L459" s="8" t="n">
        <f aca="false">(K459*(1+Rate_Cash)-SUMPRODUCT($F345:$F350*$N345:$N350*(YEAR($K345:$K350)=L363)))*(L364&lt;$F190)*$F21</f>
        <v>0</v>
      </c>
      <c r="M459" s="8" t="n">
        <f aca="false">(L459*(1+Rate_Cash)-SUMPRODUCT($F345:$F350*$N345:$N350*(YEAR($K345:$K350)=M363)))*(M364&lt;$F190)*$F21</f>
        <v>0</v>
      </c>
      <c r="N459" s="8" t="n">
        <f aca="false">(M459*(1+Rate_Cash)-SUMPRODUCT($F345:$F350*$N345:$N350*(YEAR($K345:$K350)=N363)))*(N364&lt;$F190)*$F21</f>
        <v>0</v>
      </c>
      <c r="O459" s="8" t="n">
        <f aca="false">(N459*(1+Rate_Cash)-SUMPRODUCT($F345:$F350*$N345:$N350*(YEAR($K345:$K350)=O363)))*(O364&lt;$F190)*$F21</f>
        <v>0</v>
      </c>
      <c r="P459" s="8" t="n">
        <f aca="false">(O459*(1+Rate_Cash)-SUMPRODUCT($F345:$F350*$N345:$N350*(YEAR($K345:$K350)=P363)))*(P364&lt;$F190)*$F21</f>
        <v>0</v>
      </c>
      <c r="Q459" s="8" t="n">
        <f aca="false">(P459*(1+Rate_Cash)-SUMPRODUCT($F345:$F350*$N345:$N350*(YEAR($K345:$K350)=Q363)))*(Q364&lt;$F190)*$F21</f>
        <v>0</v>
      </c>
      <c r="R459" s="8" t="n">
        <f aca="false">(Q459*(1+Rate_Cash)-SUMPRODUCT($F345:$F350*$N345:$N350*(YEAR($K345:$K350)=R363)))*(R364&lt;$F190)*$F21</f>
        <v>0</v>
      </c>
      <c r="S459" s="8" t="n">
        <f aca="false">(R459*(1+Rate_Cash)-SUMPRODUCT($F345:$F350*$N345:$N350*(YEAR($K345:$K350)=S363)))*(S364&lt;$F190)*$F21</f>
        <v>0</v>
      </c>
      <c r="T459" s="8" t="n">
        <f aca="false">(S459*(1+Rate_Cash)-SUMPRODUCT($F345:$F350*$N345:$N350*(YEAR($K345:$K350)=T363)))*(T364&lt;$F190)*$F21</f>
        <v>0</v>
      </c>
      <c r="U459" s="8" t="n">
        <f aca="false">(T459*(1+Rate_Cash)-SUMPRODUCT($F345:$F350*$N345:$N350*(YEAR($K345:$K350)=U363)))*(U364&lt;$F190)*$F21</f>
        <v>0</v>
      </c>
      <c r="V459" s="8" t="n">
        <f aca="false">(U459*(1+Rate_Cash)-SUMPRODUCT($F345:$F350*$N345:$N350*(YEAR($K345:$K350)=V363)))*(V364&lt;$F190)*$F21</f>
        <v>0</v>
      </c>
      <c r="W459" s="8" t="n">
        <f aca="false">(V459*(1+Rate_Cash)-SUMPRODUCT($F345:$F350*$N345:$N350*(YEAR($K345:$K350)=W363)))*(W364&lt;$F190)*$F21</f>
        <v>0</v>
      </c>
      <c r="X459" s="8" t="n">
        <f aca="false">(W459*(1+Rate_Cash)-SUMPRODUCT($F345:$F350*$N345:$N350*(YEAR($K345:$K350)=X363)))*(X364&lt;$F190)*$F21</f>
        <v>0</v>
      </c>
      <c r="Y459" s="8" t="n">
        <f aca="false">(X459*(1+Rate_Cash)-SUMPRODUCT($F345:$F350*$N345:$N350*(YEAR($K345:$K350)=Y363)))*(Y364&lt;$F190)*$F21</f>
        <v>0</v>
      </c>
      <c r="Z459" s="8" t="n">
        <f aca="false">(Y459*(1+Rate_Cash)-SUMPRODUCT($F345:$F350*$N345:$N350*(YEAR($K345:$K350)=Z363)))*(Z364&lt;$F190)*$F21</f>
        <v>0</v>
      </c>
      <c r="AA459" s="8" t="n">
        <f aca="false">(Z459*(1+Rate_Cash)-SUMPRODUCT($F345:$F350*$N345:$N350*(YEAR($K345:$K350)=AA363)))*(AA364&lt;$F190)*$F21</f>
        <v>0</v>
      </c>
      <c r="AB459" s="8" t="n">
        <f aca="false">(AA459*(1+Rate_Cash)-SUMPRODUCT($F345:$F350*$N345:$N350*(YEAR($K345:$K350)=AB363)))*(AB364&lt;$F190)*$F21</f>
        <v>0</v>
      </c>
      <c r="AC459" s="8" t="n">
        <f aca="false">(AB459*(1+Rate_Cash)-SUMPRODUCT($F345:$F350*$N345:$N350*(YEAR($K345:$K350)=AC363)))*(AC364&lt;$F190)*$F21</f>
        <v>0</v>
      </c>
      <c r="AD459" s="8" t="n">
        <f aca="false">(AC459*(1+Rate_Cash)-SUMPRODUCT($F345:$F350*$N345:$N350*(YEAR($K345:$K350)=AD363)))*(AD364&lt;$F190)*$F21</f>
        <v>0</v>
      </c>
      <c r="AE459" s="8" t="n">
        <f aca="false">(AD459*(1+Rate_Cash)-SUMPRODUCT($F345:$F350*$N345:$N350*(YEAR($K345:$K350)=AE363)))*(AE364&lt;$F190)*$F21</f>
        <v>0</v>
      </c>
      <c r="AF459" s="8" t="n">
        <f aca="false">(AE459*(1+Rate_Cash)-SUMPRODUCT($F345:$F350*$N345:$N350*(YEAR($K345:$K350)=AF363)))*(AF364&lt;$F190)*$F21</f>
        <v>0</v>
      </c>
      <c r="AG459" s="8" t="n">
        <f aca="false">(AF459*(1+Rate_Cash)-SUMPRODUCT($F345:$F350*$N345:$N350*(YEAR($K345:$K350)=AG363)))*(AG364&lt;$F190)*$F21</f>
        <v>0</v>
      </c>
      <c r="AH459" s="8" t="n">
        <f aca="false">(AG459*(1+Rate_Cash)-SUMPRODUCT($F345:$F350*$N345:$N350*(YEAR($K345:$K350)=AH363)))*(AH364&lt;$F190)*$F21</f>
        <v>0</v>
      </c>
      <c r="AI459" s="8" t="n">
        <f aca="false">(AH459*(1+Rate_Cash)-SUMPRODUCT($F345:$F350*$N345:$N350*(YEAR($K345:$K350)=AI363)))*(AI364&lt;$F190)*$F21</f>
        <v>0</v>
      </c>
      <c r="AJ459" s="8" t="n">
        <f aca="false">(AI459*(1+Rate_Cash)-SUMPRODUCT($F345:$F350*$N345:$N350*(YEAR($K345:$K350)=AJ363)))*(AJ364&lt;$F190)*$F21</f>
        <v>0</v>
      </c>
      <c r="AK459" s="8" t="n">
        <f aca="false">(AJ459*(1+Rate_Cash)-SUMPRODUCT($F345:$F350*$N345:$N350*(YEAR($K345:$K350)=AK363)))*(AK364&lt;$F190)*$F21</f>
        <v>0</v>
      </c>
      <c r="AL459" s="8" t="n">
        <f aca="false">(AK459*(1+Rate_Cash)-SUMPRODUCT($F345:$F350*$N345:$N350*(YEAR($K345:$K350)=AL363)))*(AL364&lt;$F190)*$F21</f>
        <v>0</v>
      </c>
      <c r="AM459" s="8" t="n">
        <f aca="false">(AL459*(1+Rate_Cash)-SUMPRODUCT($F345:$F350*$N345:$N350*(YEAR($K345:$K350)=AM363)))*(AM364&lt;$F190)*$F21</f>
        <v>0</v>
      </c>
      <c r="AN459" s="8" t="n">
        <f aca="false">(AM459*(1+Rate_Cash)-SUMPRODUCT($F345:$F350*$N345:$N350*(YEAR($K345:$K350)=AN363)))*(AN364&lt;$F190)*$F21</f>
        <v>0</v>
      </c>
      <c r="AO459" s="8" t="n">
        <f aca="false">(AN459*(1+Rate_Cash)-SUMPRODUCT($F345:$F350*$N345:$N350*(YEAR($K345:$K350)=AO363)))*(AO364&lt;$F190)*$F21</f>
        <v>0</v>
      </c>
      <c r="AP459" s="8" t="n">
        <f aca="false">(AO459*(1+Rate_Cash)-SUMPRODUCT($F345:$F350*$N345:$N350*(YEAR($K345:$K350)=AP363)))*(AP364&lt;$F190)*$F21</f>
        <v>0</v>
      </c>
      <c r="AQ459" s="8" t="n">
        <f aca="false">(AP459*(1+Rate_Cash)-SUMPRODUCT($F345:$F350*$N345:$N350*(YEAR($K345:$K350)=AQ363)))*(AQ364&lt;$F190)*$F21</f>
        <v>0</v>
      </c>
      <c r="AR459" s="8" t="n">
        <f aca="false">(AQ459*(1+Rate_Cash)-SUMPRODUCT($F345:$F350*$N345:$N350*(YEAR($K345:$K350)=AR363)))*(AR364&lt;$F190)*$F21</f>
        <v>0</v>
      </c>
      <c r="AS459" s="8" t="n">
        <f aca="false">(AR459*(1+Rate_Cash)-SUMPRODUCT($F345:$F350*$N345:$N350*(YEAR($K345:$K350)=AS363)))*(AS364&lt;$F190)*$F21</f>
        <v>0</v>
      </c>
    </row>
    <row r="460" customFormat="false" ht="14.25" hidden="false" customHeight="false" outlineLevel="0" collapsed="false">
      <c r="C460" s="6" t="s">
        <v>332</v>
      </c>
      <c r="D460" s="2" t="s">
        <v>85</v>
      </c>
      <c r="H460" s="8"/>
      <c r="J460" s="8" t="n">
        <f aca="false">(I460*(1+Rate_Devex)-SUMPRODUCT($F351:$F352*$N351:$N352*(YEAR($K351:$K352)=J363)))*(J364&lt;$F190)*$F21</f>
        <v>0</v>
      </c>
      <c r="K460" s="8" t="n">
        <f aca="false">(J460*(1+Rate_Devex)-SUMPRODUCT($F351:$F352*$N351:$N352*(YEAR($K351:$K352)=K363)))*(K364&lt;$F190)*$F21</f>
        <v>0</v>
      </c>
      <c r="L460" s="8" t="n">
        <f aca="false">(K460*(1+Rate_Devex)-SUMPRODUCT($F351:$F352*$N351:$N352*(YEAR($K351:$K352)=L363)))*(L364&lt;$F190)*$F21</f>
        <v>0</v>
      </c>
      <c r="M460" s="8" t="n">
        <f aca="false">(L460*(1+Rate_Devex)-SUMPRODUCT($F351:$F352*$N351:$N352*(YEAR($K351:$K352)=M363)))*(M364&lt;$F190)*$F21</f>
        <v>0</v>
      </c>
      <c r="N460" s="8" t="n">
        <f aca="false">(M460*(1+Rate_Devex)-SUMPRODUCT($F351:$F352*$N351:$N352*(YEAR($K351:$K352)=N363)))*(N364&lt;$F190)*$F21</f>
        <v>0</v>
      </c>
      <c r="O460" s="8" t="n">
        <f aca="false">(N460*(1+Rate_Devex)-SUMPRODUCT($F351:$F352*$N351:$N352*(YEAR($K351:$K352)=O363)))*(O364&lt;$F190)*$F21</f>
        <v>0</v>
      </c>
      <c r="P460" s="8" t="n">
        <f aca="false">(O460*(1+Rate_Devex)-SUMPRODUCT($F351:$F352*$N351:$N352*(YEAR($K351:$K352)=P363)))*(P364&lt;$F190)*$F21</f>
        <v>0</v>
      </c>
      <c r="Q460" s="8" t="n">
        <f aca="false">(P460*(1+Rate_Devex)-SUMPRODUCT($F351:$F352*$N351:$N352*(YEAR($K351:$K352)=Q363)))*(Q364&lt;$F190)*$F21</f>
        <v>0</v>
      </c>
      <c r="R460" s="8" t="n">
        <f aca="false">(Q460*(1+Rate_Devex)-SUMPRODUCT($F351:$F352*$N351:$N352*(YEAR($K351:$K352)=R363)))*(R364&lt;$F190)*$F21</f>
        <v>0</v>
      </c>
      <c r="S460" s="8" t="n">
        <f aca="false">(R460*(1+Rate_Devex)-SUMPRODUCT($F351:$F352*$N351:$N352*(YEAR($K351:$K352)=S363)))*(S364&lt;$F190)*$F21</f>
        <v>0</v>
      </c>
      <c r="T460" s="8" t="n">
        <f aca="false">(S460*(1+Rate_Devex)-SUMPRODUCT($F351:$F352*$N351:$N352*(YEAR($K351:$K352)=T363)))*(T364&lt;$F190)*$F21</f>
        <v>0</v>
      </c>
      <c r="U460" s="8" t="n">
        <f aca="false">(T460*(1+Rate_Devex)-SUMPRODUCT($F351:$F352*$N351:$N352*(YEAR($K351:$K352)=U363)))*(U364&lt;$F190)*$F21</f>
        <v>0</v>
      </c>
      <c r="V460" s="8" t="n">
        <f aca="false">(U460*(1+Rate_Devex)-SUMPRODUCT($F351:$F352*$N351:$N352*(YEAR($K351:$K352)=V363)))*(V364&lt;$F190)*$F21</f>
        <v>0</v>
      </c>
      <c r="W460" s="8" t="n">
        <f aca="false">(V460*(1+Rate_Devex)-SUMPRODUCT($F351:$F352*$N351:$N352*(YEAR($K351:$K352)=W363)))*(W364&lt;$F190)*$F21</f>
        <v>0</v>
      </c>
      <c r="X460" s="8" t="n">
        <f aca="false">(W460*(1+Rate_Devex)-SUMPRODUCT($F351:$F352*$N351:$N352*(YEAR($K351:$K352)=X363)))*(X364&lt;$F190)*$F21</f>
        <v>0</v>
      </c>
      <c r="Y460" s="8" t="n">
        <f aca="false">(X460*(1+Rate_Devex)-SUMPRODUCT($F351:$F352*$N351:$N352*(YEAR($K351:$K352)=Y363)))*(Y364&lt;$F190)*$F21</f>
        <v>0</v>
      </c>
      <c r="Z460" s="8" t="n">
        <f aca="false">(Y460*(1+Rate_Devex)-SUMPRODUCT($F351:$F352*$N351:$N352*(YEAR($K351:$K352)=Z363)))*(Z364&lt;$F190)*$F21</f>
        <v>0</v>
      </c>
      <c r="AA460" s="8" t="n">
        <f aca="false">(Z460*(1+Rate_Devex)-SUMPRODUCT($F351:$F352*$N351:$N352*(YEAR($K351:$K352)=AA363)))*(AA364&lt;$F190)*$F21</f>
        <v>0</v>
      </c>
      <c r="AB460" s="8" t="n">
        <f aca="false">(AA460*(1+Rate_Devex)-SUMPRODUCT($F351:$F352*$N351:$N352*(YEAR($K351:$K352)=AB363)))*(AB364&lt;$F190)*$F21</f>
        <v>0</v>
      </c>
      <c r="AC460" s="8" t="n">
        <f aca="false">(AB460*(1+Rate_Devex)-SUMPRODUCT($F351:$F352*$N351:$N352*(YEAR($K351:$K352)=AC363)))*(AC364&lt;$F190)*$F21</f>
        <v>0</v>
      </c>
      <c r="AD460" s="8" t="n">
        <f aca="false">(AC460*(1+Rate_Devex)-SUMPRODUCT($F351:$F352*$N351:$N352*(YEAR($K351:$K352)=AD363)))*(AD364&lt;$F190)*$F21</f>
        <v>0</v>
      </c>
      <c r="AE460" s="8" t="n">
        <f aca="false">(AD460*(1+Rate_Devex)-SUMPRODUCT($F351:$F352*$N351:$N352*(YEAR($K351:$K352)=AE363)))*(AE364&lt;$F190)*$F21</f>
        <v>0</v>
      </c>
      <c r="AF460" s="8" t="n">
        <f aca="false">(AE460*(1+Rate_Devex)-SUMPRODUCT($F351:$F352*$N351:$N352*(YEAR($K351:$K352)=AF363)))*(AF364&lt;$F190)*$F21</f>
        <v>0</v>
      </c>
      <c r="AG460" s="8" t="n">
        <f aca="false">(AF460*(1+Rate_Devex)-SUMPRODUCT($F351:$F352*$N351:$N352*(YEAR($K351:$K352)=AG363)))*(AG364&lt;$F190)*$F21</f>
        <v>0</v>
      </c>
      <c r="AH460" s="8" t="n">
        <f aca="false">(AG460*(1+Rate_Devex)-SUMPRODUCT($F351:$F352*$N351:$N352*(YEAR($K351:$K352)=AH363)))*(AH364&lt;$F190)*$F21</f>
        <v>0</v>
      </c>
      <c r="AI460" s="8" t="n">
        <f aca="false">(AH460*(1+Rate_Devex)-SUMPRODUCT($F351:$F352*$N351:$N352*(YEAR($K351:$K352)=AI363)))*(AI364&lt;$F190)*$F21</f>
        <v>0</v>
      </c>
      <c r="AJ460" s="8" t="n">
        <f aca="false">(AI460*(1+Rate_Devex)-SUMPRODUCT($F351:$F352*$N351:$N352*(YEAR($K351:$K352)=AJ363)))*(AJ364&lt;$F190)*$F21</f>
        <v>0</v>
      </c>
      <c r="AK460" s="8" t="n">
        <f aca="false">(AJ460*(1+Rate_Devex)-SUMPRODUCT($F351:$F352*$N351:$N352*(YEAR($K351:$K352)=AK363)))*(AK364&lt;$F190)*$F21</f>
        <v>0</v>
      </c>
      <c r="AL460" s="8" t="n">
        <f aca="false">(AK460*(1+Rate_Devex)-SUMPRODUCT($F351:$F352*$N351:$N352*(YEAR($K351:$K352)=AL363)))*(AL364&lt;$F190)*$F21</f>
        <v>0</v>
      </c>
      <c r="AM460" s="8" t="n">
        <f aca="false">(AL460*(1+Rate_Devex)-SUMPRODUCT($F351:$F352*$N351:$N352*(YEAR($K351:$K352)=AM363)))*(AM364&lt;$F190)*$F21</f>
        <v>0</v>
      </c>
      <c r="AN460" s="8" t="n">
        <f aca="false">(AM460*(1+Rate_Devex)-SUMPRODUCT($F351:$F352*$N351:$N352*(YEAR($K351:$K352)=AN363)))*(AN364&lt;$F190)*$F21</f>
        <v>0</v>
      </c>
      <c r="AO460" s="8" t="n">
        <f aca="false">(AN460*(1+Rate_Devex)-SUMPRODUCT($F351:$F352*$N351:$N352*(YEAR($K351:$K352)=AO363)))*(AO364&lt;$F190)*$F21</f>
        <v>0</v>
      </c>
      <c r="AP460" s="8" t="n">
        <f aca="false">(AO460*(1+Rate_Devex)-SUMPRODUCT($F351:$F352*$N351:$N352*(YEAR($K351:$K352)=AP363)))*(AP364&lt;$F190)*$F21</f>
        <v>0</v>
      </c>
      <c r="AQ460" s="8" t="n">
        <f aca="false">(AP460*(1+Rate_Devex)-SUMPRODUCT($F351:$F352*$N351:$N352*(YEAR($K351:$K352)=AQ363)))*(AQ364&lt;$F190)*$F21</f>
        <v>0</v>
      </c>
      <c r="AR460" s="8" t="n">
        <f aca="false">(AQ460*(1+Rate_Devex)-SUMPRODUCT($F351:$F352*$N351:$N352*(YEAR($K351:$K352)=AR363)))*(AR364&lt;$F190)*$F21</f>
        <v>0</v>
      </c>
      <c r="AS460" s="8" t="n">
        <f aca="false">(AR460*(1+Rate_Devex)-SUMPRODUCT($F351:$F352*$N351:$N352*(YEAR($K351:$K352)=AS363)))*(AS364&lt;$F190)*$F21</f>
        <v>0</v>
      </c>
    </row>
    <row r="461" customFormat="false" ht="14.25" hidden="false" customHeight="false" outlineLevel="0" collapsed="false">
      <c r="C461" s="6" t="s">
        <v>333</v>
      </c>
      <c r="D461" s="2" t="s">
        <v>85</v>
      </c>
      <c r="H461" s="8" t="n">
        <f aca="false">SUM(J461:AS461)</f>
        <v>0</v>
      </c>
      <c r="J461" s="8" t="n">
        <f aca="false">-SUMPRODUCT($F345:$F352*(YEAR($K345:$K352)=J363))*(J364&lt;$F190)*$F21</f>
        <v>0</v>
      </c>
      <c r="K461" s="8" t="n">
        <f aca="false">-SUMPRODUCT($F345:$F352*(YEAR($K345:$K352)=K363))*(K364&lt;$F190)*$F21</f>
        <v>0</v>
      </c>
      <c r="L461" s="8" t="n">
        <f aca="false">-SUMPRODUCT($F345:$F352*(YEAR($K345:$K352)=L363))*(L364&lt;$F190)*$F21</f>
        <v>0</v>
      </c>
      <c r="M461" s="8" t="n">
        <f aca="false">-SUMPRODUCT($F345:$F352*(YEAR($K345:$K352)=M363))*(M364&lt;$F190)*$F21</f>
        <v>-0</v>
      </c>
      <c r="N461" s="8" t="n">
        <f aca="false">-SUMPRODUCT($F345:$F352*(YEAR($K345:$K352)=N363))*(N364&lt;$F190)*$F21</f>
        <v>-0</v>
      </c>
      <c r="O461" s="8" t="n">
        <f aca="false">-SUMPRODUCT($F345:$F352*(YEAR($K345:$K352)=O363))*(O364&lt;$F190)*$F21</f>
        <v>-0</v>
      </c>
      <c r="P461" s="8" t="n">
        <f aca="false">-SUMPRODUCT($F345:$F352*(YEAR($K345:$K352)=P363))*(P364&lt;$F190)*$F21</f>
        <v>-0</v>
      </c>
      <c r="Q461" s="8" t="n">
        <f aca="false">-SUMPRODUCT($F345:$F352*(YEAR($K345:$K352)=Q363))*(Q364&lt;$F190)*$F21</f>
        <v>-0</v>
      </c>
      <c r="R461" s="8" t="n">
        <f aca="false">-SUMPRODUCT($F345:$F352*(YEAR($K345:$K352)=R363))*(R364&lt;$F190)*$F21</f>
        <v>-0</v>
      </c>
      <c r="S461" s="8" t="n">
        <f aca="false">-SUMPRODUCT($F345:$F352*(YEAR($K345:$K352)=S363))*(S364&lt;$F190)*$F21</f>
        <v>-0</v>
      </c>
      <c r="T461" s="8" t="n">
        <f aca="false">-SUMPRODUCT($F345:$F352*(YEAR($K345:$K352)=T363))*(T364&lt;$F190)*$F21</f>
        <v>-0</v>
      </c>
      <c r="U461" s="8" t="n">
        <f aca="false">-SUMPRODUCT($F345:$F352*(YEAR($K345:$K352)=U363))*(U364&lt;$F190)*$F21</f>
        <v>-0</v>
      </c>
      <c r="V461" s="8" t="n">
        <f aca="false">-SUMPRODUCT($F345:$F352*(YEAR($K345:$K352)=V363))*(V364&lt;$F190)*$F21</f>
        <v>-0</v>
      </c>
      <c r="W461" s="8" t="n">
        <f aca="false">-SUMPRODUCT($F345:$F352*(YEAR($K345:$K352)=W363))*(W364&lt;$F190)*$F21</f>
        <v>-0</v>
      </c>
      <c r="X461" s="8" t="n">
        <f aca="false">-SUMPRODUCT($F345:$F352*(YEAR($K345:$K352)=X363))*(X364&lt;$F190)*$F21</f>
        <v>-0</v>
      </c>
      <c r="Y461" s="8" t="n">
        <f aca="false">-SUMPRODUCT($F345:$F352*(YEAR($K345:$K352)=Y363))*(Y364&lt;$F190)*$F21</f>
        <v>-0</v>
      </c>
      <c r="Z461" s="8" t="n">
        <f aca="false">-SUMPRODUCT($F345:$F352*(YEAR($K345:$K352)=Z363))*(Z364&lt;$F190)*$F21</f>
        <v>-0</v>
      </c>
      <c r="AA461" s="8" t="n">
        <f aca="false">-SUMPRODUCT($F345:$F352*(YEAR($K345:$K352)=AA363))*(AA364&lt;$F190)*$F21</f>
        <v>-0</v>
      </c>
      <c r="AB461" s="8" t="n">
        <f aca="false">-SUMPRODUCT($F345:$F352*(YEAR($K345:$K352)=AB363))*(AB364&lt;$F190)*$F21</f>
        <v>-0</v>
      </c>
      <c r="AC461" s="8" t="n">
        <f aca="false">-SUMPRODUCT($F345:$F352*(YEAR($K345:$K352)=AC363))*(AC364&lt;$F190)*$F21</f>
        <v>-0</v>
      </c>
      <c r="AD461" s="8" t="n">
        <f aca="false">-SUMPRODUCT($F345:$F352*(YEAR($K345:$K352)=AD363))*(AD364&lt;$F190)*$F21</f>
        <v>-0</v>
      </c>
      <c r="AE461" s="8" t="n">
        <f aca="false">-SUMPRODUCT($F345:$F352*(YEAR($K345:$K352)=AE363))*(AE364&lt;$F190)*$F21</f>
        <v>-0</v>
      </c>
      <c r="AF461" s="8" t="n">
        <f aca="false">-SUMPRODUCT($F345:$F352*(YEAR($K345:$K352)=AF363))*(AF364&lt;$F190)*$F21</f>
        <v>-0</v>
      </c>
      <c r="AG461" s="8" t="n">
        <f aca="false">-SUMPRODUCT($F345:$F352*(YEAR($K345:$K352)=AG363))*(AG364&lt;$F190)*$F21</f>
        <v>-0</v>
      </c>
      <c r="AH461" s="8" t="n">
        <f aca="false">-SUMPRODUCT($F345:$F352*(YEAR($K345:$K352)=AH363))*(AH364&lt;$F190)*$F21</f>
        <v>-0</v>
      </c>
      <c r="AI461" s="8" t="n">
        <f aca="false">-SUMPRODUCT($F345:$F352*(YEAR($K345:$K352)=AI363))*(AI364&lt;$F190)*$F21</f>
        <v>-0</v>
      </c>
      <c r="AJ461" s="8" t="n">
        <f aca="false">-SUMPRODUCT($F345:$F352*(YEAR($K345:$K352)=AJ363))*(AJ364&lt;$F190)*$F21</f>
        <v>-0</v>
      </c>
      <c r="AK461" s="8" t="n">
        <f aca="false">-SUMPRODUCT($F345:$F352*(YEAR($K345:$K352)=AK363))*(AK364&lt;$F190)*$F21</f>
        <v>-0</v>
      </c>
      <c r="AL461" s="8" t="n">
        <f aca="false">-SUMPRODUCT($F345:$F352*(YEAR($K345:$K352)=AL363))*(AL364&lt;$F190)*$F21</f>
        <v>-0</v>
      </c>
      <c r="AM461" s="8" t="n">
        <f aca="false">-SUMPRODUCT($F345:$F352*(YEAR($K345:$K352)=AM363))*(AM364&lt;$F190)*$F21</f>
        <v>-0</v>
      </c>
      <c r="AN461" s="8" t="n">
        <f aca="false">-SUMPRODUCT($F345:$F352*(YEAR($K345:$K352)=AN363))*(AN364&lt;$F190)*$F21</f>
        <v>-0</v>
      </c>
      <c r="AO461" s="8" t="n">
        <f aca="false">-SUMPRODUCT($F345:$F352*(YEAR($K345:$K352)=AO363))*(AO364&lt;$F190)*$F21</f>
        <v>-0</v>
      </c>
      <c r="AP461" s="8" t="n">
        <f aca="false">-SUMPRODUCT($F345:$F352*(YEAR($K345:$K352)=AP363))*(AP364&lt;$F190)*$F21</f>
        <v>-0</v>
      </c>
      <c r="AQ461" s="8" t="n">
        <f aca="false">-SUMPRODUCT($F345:$F352*(YEAR($K345:$K352)=AQ363))*(AQ364&lt;$F190)*$F21</f>
        <v>-0</v>
      </c>
      <c r="AR461" s="8" t="n">
        <f aca="false">-SUMPRODUCT($F345:$F352*(YEAR($K345:$K352)=AR363))*(AR364&lt;$F190)*$F21</f>
        <v>-0</v>
      </c>
      <c r="AS461" s="8" t="n">
        <f aca="false">-SUMPRODUCT($F345:$F352*(YEAR($K345:$K352)=AS363))*(AS364&lt;$F190)*$F21</f>
        <v>-0</v>
      </c>
    </row>
    <row r="462" customFormat="false" ht="14.25" hidden="false" customHeight="false" outlineLevel="0" collapsed="false">
      <c r="C462" s="6" t="s">
        <v>334</v>
      </c>
      <c r="D462" s="2" t="s">
        <v>85</v>
      </c>
      <c r="H462" s="8" t="n">
        <f aca="false">SUM(J462:AS462)</f>
        <v>0</v>
      </c>
      <c r="J462" s="8" t="n">
        <f aca="false">(J459+J460-I459-I460-J461)*(J364&lt;$F190)*$F21</f>
        <v>0</v>
      </c>
      <c r="K462" s="8" t="n">
        <f aca="false">(K459+K460-J459-J460-K461)*(K364&lt;$F190)*$F21</f>
        <v>0</v>
      </c>
      <c r="L462" s="8" t="n">
        <f aca="false">(L459+L460-K459-K460-L461)*(L364&lt;$F190)*$F21</f>
        <v>0</v>
      </c>
      <c r="M462" s="8" t="n">
        <f aca="false">(M459+M460-L459-L460-M461)*(M364&lt;$F190)*$F21</f>
        <v>0</v>
      </c>
      <c r="N462" s="8" t="n">
        <f aca="false">(N459+N460-M459-M460-N461)*(N364&lt;$F190)*$F21</f>
        <v>0</v>
      </c>
      <c r="O462" s="8" t="n">
        <f aca="false">(O459+O460-N459-N460-O461)*(O364&lt;$F190)*$F21</f>
        <v>0</v>
      </c>
      <c r="P462" s="8" t="n">
        <f aca="false">(P459+P460-O459-O460-P461)*(P364&lt;$F190)*$F21</f>
        <v>0</v>
      </c>
      <c r="Q462" s="8" t="n">
        <f aca="false">(Q459+Q460-P459-P460-Q461)*(Q364&lt;$F190)*$F21</f>
        <v>0</v>
      </c>
      <c r="R462" s="8" t="n">
        <f aca="false">(R459+R460-Q459-Q460-R461)*(R364&lt;$F190)*$F21</f>
        <v>0</v>
      </c>
      <c r="S462" s="8" t="n">
        <f aca="false">(S459+S460-R459-R460-S461)*(S364&lt;$F190)*$F21</f>
        <v>0</v>
      </c>
      <c r="T462" s="8" t="n">
        <f aca="false">(T459+T460-S459-S460-T461)*(T364&lt;$F190)*$F21</f>
        <v>0</v>
      </c>
      <c r="U462" s="8" t="n">
        <f aca="false">(U459+U460-T459-T460-U461)*(U364&lt;$F190)*$F21</f>
        <v>0</v>
      </c>
      <c r="V462" s="8" t="n">
        <f aca="false">(V459+V460-U459-U460-V461)*(V364&lt;$F190)*$F21</f>
        <v>0</v>
      </c>
      <c r="W462" s="8" t="n">
        <f aca="false">(W459+W460-V459-V460-W461)*(W364&lt;$F190)*$F21</f>
        <v>0</v>
      </c>
      <c r="X462" s="8" t="n">
        <f aca="false">(X459+X460-W459-W460-X461)*(X364&lt;$F190)*$F21</f>
        <v>0</v>
      </c>
      <c r="Y462" s="8" t="n">
        <f aca="false">(Y459+Y460-X459-X460-Y461)*(Y364&lt;$F190)*$F21</f>
        <v>0</v>
      </c>
      <c r="Z462" s="8" t="n">
        <f aca="false">(Z459+Z460-Y459-Y460-Z461)*(Z364&lt;$F190)*$F21</f>
        <v>0</v>
      </c>
      <c r="AA462" s="8" t="n">
        <f aca="false">(AA459+AA460-Z459-Z460-AA461)*(AA364&lt;$F190)*$F21</f>
        <v>0</v>
      </c>
      <c r="AB462" s="8" t="n">
        <f aca="false">(AB459+AB460-AA459-AA460-AB461)*(AB364&lt;$F190)*$F21</f>
        <v>0</v>
      </c>
      <c r="AC462" s="8" t="n">
        <f aca="false">(AC459+AC460-AB459-AB460-AC461)*(AC364&lt;$F190)*$F21</f>
        <v>0</v>
      </c>
      <c r="AD462" s="8" t="n">
        <f aca="false">(AD459+AD460-AC459-AC460-AD461)*(AD364&lt;$F190)*$F21</f>
        <v>0</v>
      </c>
      <c r="AE462" s="8" t="n">
        <f aca="false">(AE459+AE460-AD459-AD460-AE461)*(AE364&lt;$F190)*$F21</f>
        <v>0</v>
      </c>
      <c r="AF462" s="8" t="n">
        <f aca="false">(AF459+AF460-AE459-AE460-AF461)*(AF364&lt;$F190)*$F21</f>
        <v>0</v>
      </c>
      <c r="AG462" s="8" t="n">
        <f aca="false">(AG459+AG460-AF459-AF460-AG461)*(AG364&lt;$F190)*$F21</f>
        <v>0</v>
      </c>
      <c r="AH462" s="8" t="n">
        <f aca="false">(AH459+AH460-AG459-AG460-AH461)*(AH364&lt;$F190)*$F21</f>
        <v>0</v>
      </c>
      <c r="AI462" s="8" t="n">
        <f aca="false">(AI459+AI460-AH459-AH460-AI461)*(AI364&lt;$F190)*$F21</f>
        <v>0</v>
      </c>
      <c r="AJ462" s="8" t="n">
        <f aca="false">(AJ459+AJ460-AI459-AI460-AJ461)*(AJ364&lt;$F190)*$F21</f>
        <v>0</v>
      </c>
      <c r="AK462" s="8" t="n">
        <f aca="false">(AK459+AK460-AJ459-AJ460-AK461)*(AK364&lt;$F190)*$F21</f>
        <v>0</v>
      </c>
      <c r="AL462" s="8" t="n">
        <f aca="false">(AL459+AL460-AK459-AK460-AL461)*(AL364&lt;$F190)*$F21</f>
        <v>0</v>
      </c>
      <c r="AM462" s="8" t="n">
        <f aca="false">(AM459+AM460-AL459-AL460-AM461)*(AM364&lt;$F190)*$F21</f>
        <v>0</v>
      </c>
      <c r="AN462" s="8" t="n">
        <f aca="false">(AN459+AN460-AM459-AM460-AN461)*(AN364&lt;$F190)*$F21</f>
        <v>0</v>
      </c>
      <c r="AO462" s="8" t="n">
        <f aca="false">(AO459+AO460-AN459-AN460-AO461)*(AO364&lt;$F190)*$F21</f>
        <v>0</v>
      </c>
      <c r="AP462" s="8" t="n">
        <f aca="false">(AP459+AP460-AO459-AO460-AP461)*(AP364&lt;$F190)*$F21</f>
        <v>0</v>
      </c>
      <c r="AQ462" s="8" t="n">
        <f aca="false">(AQ459+AQ460-AP459-AP460-AQ461)*(AQ364&lt;$F190)*$F21</f>
        <v>0</v>
      </c>
      <c r="AR462" s="8" t="n">
        <f aca="false">(AR459+AR460-AQ459-AQ460-AR461)*(AR364&lt;$F190)*$F21</f>
        <v>0</v>
      </c>
      <c r="AS462" s="8" t="n">
        <f aca="false">(AS459+AS460-AR459-AR460-AS461)*(AS364&lt;$F190)*$F21</f>
        <v>0</v>
      </c>
    </row>
    <row r="463" customFormat="false" ht="14.25" hidden="false" customHeight="false" outlineLevel="0" collapsed="false">
      <c r="C463" s="6" t="s">
        <v>335</v>
      </c>
      <c r="D463" s="2" t="s">
        <v>85</v>
      </c>
      <c r="H463" s="8"/>
      <c r="J463" s="8" t="n">
        <f aca="false">(I463*(1+Rate_Cash)-SUMPRODUCT($F290:$F293*$N290:$N293*(YEAR($K290:$K293)=J363)))*(J364&lt;$F225)*$F21</f>
        <v>0</v>
      </c>
      <c r="K463" s="8" t="n">
        <f aca="false">(J463*(1+Rate_Cash)-SUMPRODUCT($F290:$F293*$N290:$N293*(YEAR($K290:$K293)=K363)))*(K364&lt;$F225)*$F21</f>
        <v>0</v>
      </c>
      <c r="L463" s="8" t="n">
        <f aca="false">(K463*(1+Rate_Cash)-SUMPRODUCT($F290:$F293*$N290:$N293*(YEAR($K290:$K293)=L363)))*(L364&lt;$F225)*$F21</f>
        <v>0</v>
      </c>
      <c r="M463" s="8" t="n">
        <f aca="false">(L463*(1+Rate_Cash)-SUMPRODUCT($F290:$F293*$N290:$N293*(YEAR($K290:$K293)=M363)))*(M364&lt;$F225)*$F21</f>
        <v>0</v>
      </c>
      <c r="N463" s="8" t="n">
        <f aca="false">(M463*(1+Rate_Cash)-SUMPRODUCT($F290:$F293*$N290:$N293*(YEAR($K290:$K293)=N363)))*(N364&lt;$F225)*$F21</f>
        <v>0</v>
      </c>
      <c r="O463" s="8" t="n">
        <f aca="false">(N463*(1+Rate_Cash)-SUMPRODUCT($F290:$F293*$N290:$N293*(YEAR($K290:$K293)=O363)))*(O364&lt;$F225)*$F21</f>
        <v>0</v>
      </c>
      <c r="P463" s="8" t="n">
        <f aca="false">(O463*(1+Rate_Cash)-SUMPRODUCT($F290:$F293*$N290:$N293*(YEAR($K290:$K293)=P363)))*(P364&lt;$F225)*$F21</f>
        <v>0</v>
      </c>
      <c r="Q463" s="8" t="n">
        <f aca="false">(P463*(1+Rate_Cash)-SUMPRODUCT($F290:$F293*$N290:$N293*(YEAR($K290:$K293)=Q363)))*(Q364&lt;$F225)*$F21</f>
        <v>0</v>
      </c>
      <c r="R463" s="8" t="n">
        <f aca="false">(Q463*(1+Rate_Cash)-SUMPRODUCT($F290:$F293*$N290:$N293*(YEAR($K290:$K293)=R363)))*(R364&lt;$F225)*$F21</f>
        <v>0</v>
      </c>
      <c r="S463" s="8" t="n">
        <f aca="false">(R463*(1+Rate_Cash)-SUMPRODUCT($F290:$F293*$N290:$N293*(YEAR($K290:$K293)=S363)))*(S364&lt;$F225)*$F21</f>
        <v>0</v>
      </c>
      <c r="T463" s="8" t="n">
        <f aca="false">(S463*(1+Rate_Cash)-SUMPRODUCT($F290:$F293*$N290:$N293*(YEAR($K290:$K293)=T363)))*(T364&lt;$F225)*$F21</f>
        <v>0</v>
      </c>
      <c r="U463" s="8" t="n">
        <f aca="false">(T463*(1+Rate_Cash)-SUMPRODUCT($F290:$F293*$N290:$N293*(YEAR($K290:$K293)=U363)))*(U364&lt;$F225)*$F21</f>
        <v>0</v>
      </c>
      <c r="V463" s="8" t="n">
        <f aca="false">(U463*(1+Rate_Cash)-SUMPRODUCT($F290:$F293*$N290:$N293*(YEAR($K290:$K293)=V363)))*(V364&lt;$F225)*$F21</f>
        <v>0</v>
      </c>
      <c r="W463" s="8" t="n">
        <f aca="false">(V463*(1+Rate_Cash)-SUMPRODUCT($F290:$F293*$N290:$N293*(YEAR($K290:$K293)=W363)))*(W364&lt;$F225)*$F21</f>
        <v>0</v>
      </c>
      <c r="X463" s="8" t="n">
        <f aca="false">(W463*(1+Rate_Cash)-SUMPRODUCT($F290:$F293*$N290:$N293*(YEAR($K290:$K293)=X363)))*(X364&lt;$F225)*$F21</f>
        <v>0</v>
      </c>
      <c r="Y463" s="8" t="n">
        <f aca="false">(X463*(1+Rate_Cash)-SUMPRODUCT($F290:$F293*$N290:$N293*(YEAR($K290:$K293)=Y363)))*(Y364&lt;$F225)*$F21</f>
        <v>0</v>
      </c>
      <c r="Z463" s="8" t="n">
        <f aca="false">(Y463*(1+Rate_Cash)-SUMPRODUCT($F290:$F293*$N290:$N293*(YEAR($K290:$K293)=Z363)))*(Z364&lt;$F225)*$F21</f>
        <v>0</v>
      </c>
      <c r="AA463" s="8" t="n">
        <f aca="false">(Z463*(1+Rate_Cash)-SUMPRODUCT($F290:$F293*$N290:$N293*(YEAR($K290:$K293)=AA363)))*(AA364&lt;$F225)*$F21</f>
        <v>0</v>
      </c>
      <c r="AB463" s="8" t="n">
        <f aca="false">(AA463*(1+Rate_Cash)-SUMPRODUCT($F290:$F293*$N290:$N293*(YEAR($K290:$K293)=AB363)))*(AB364&lt;$F225)*$F21</f>
        <v>0</v>
      </c>
      <c r="AC463" s="8" t="n">
        <f aca="false">(AB463*(1+Rate_Cash)-SUMPRODUCT($F290:$F293*$N290:$N293*(YEAR($K290:$K293)=AC363)))*(AC364&lt;$F225)*$F21</f>
        <v>0</v>
      </c>
      <c r="AD463" s="8" t="n">
        <f aca="false">(AC463*(1+Rate_Cash)-SUMPRODUCT($F290:$F293*$N290:$N293*(YEAR($K290:$K293)=AD363)))*(AD364&lt;$F225)*$F21</f>
        <v>0</v>
      </c>
      <c r="AE463" s="8" t="n">
        <f aca="false">(AD463*(1+Rate_Cash)-SUMPRODUCT($F290:$F293*$N290:$N293*(YEAR($K290:$K293)=AE363)))*(AE364&lt;$F225)*$F21</f>
        <v>0</v>
      </c>
      <c r="AF463" s="8" t="n">
        <f aca="false">(AE463*(1+Rate_Cash)-SUMPRODUCT($F290:$F293*$N290:$N293*(YEAR($K290:$K293)=AF363)))*(AF364&lt;$F225)*$F21</f>
        <v>0</v>
      </c>
      <c r="AG463" s="8" t="n">
        <f aca="false">(AF463*(1+Rate_Cash)-SUMPRODUCT($F290:$F293*$N290:$N293*(YEAR($K290:$K293)=AG363)))*(AG364&lt;$F225)*$F21</f>
        <v>0</v>
      </c>
      <c r="AH463" s="8" t="n">
        <f aca="false">(AG463*(1+Rate_Cash)-SUMPRODUCT($F290:$F293*$N290:$N293*(YEAR($K290:$K293)=AH363)))*(AH364&lt;$F225)*$F21</f>
        <v>0</v>
      </c>
      <c r="AI463" s="8" t="n">
        <f aca="false">(AH463*(1+Rate_Cash)-SUMPRODUCT($F290:$F293*$N290:$N293*(YEAR($K290:$K293)=AI363)))*(AI364&lt;$F225)*$F21</f>
        <v>0</v>
      </c>
      <c r="AJ463" s="8" t="n">
        <f aca="false">(AI463*(1+Rate_Cash)-SUMPRODUCT($F290:$F293*$N290:$N293*(YEAR($K290:$K293)=AJ363)))*(AJ364&lt;$F225)*$F21</f>
        <v>0</v>
      </c>
      <c r="AK463" s="8" t="n">
        <f aca="false">(AJ463*(1+Rate_Cash)-SUMPRODUCT($F290:$F293*$N290:$N293*(YEAR($K290:$K293)=AK363)))*(AK364&lt;$F225)*$F21</f>
        <v>0</v>
      </c>
      <c r="AL463" s="8" t="n">
        <f aca="false">(AK463*(1+Rate_Cash)-SUMPRODUCT($F290:$F293*$N290:$N293*(YEAR($K290:$K293)=AL363)))*(AL364&lt;$F225)*$F21</f>
        <v>0</v>
      </c>
      <c r="AM463" s="8" t="n">
        <f aca="false">(AL463*(1+Rate_Cash)-SUMPRODUCT($F290:$F293*$N290:$N293*(YEAR($K290:$K293)=AM363)))*(AM364&lt;$F225)*$F21</f>
        <v>0</v>
      </c>
      <c r="AN463" s="8" t="n">
        <f aca="false">(AM463*(1+Rate_Cash)-SUMPRODUCT($F290:$F293*$N290:$N293*(YEAR($K290:$K293)=AN363)))*(AN364&lt;$F225)*$F21</f>
        <v>0</v>
      </c>
      <c r="AO463" s="8" t="n">
        <f aca="false">(AN463*(1+Rate_Cash)-SUMPRODUCT($F290:$F293*$N290:$N293*(YEAR($K290:$K293)=AO363)))*(AO364&lt;$F225)*$F21</f>
        <v>0</v>
      </c>
      <c r="AP463" s="8" t="n">
        <f aca="false">(AO463*(1+Rate_Cash)-SUMPRODUCT($F290:$F293*$N290:$N293*(YEAR($K290:$K293)=AP363)))*(AP364&lt;$F225)*$F21</f>
        <v>0</v>
      </c>
      <c r="AQ463" s="8" t="n">
        <f aca="false">(AP463*(1+Rate_Cash)-SUMPRODUCT($F290:$F293*$N290:$N293*(YEAR($K290:$K293)=AQ363)))*(AQ364&lt;$F225)*$F21</f>
        <v>0</v>
      </c>
      <c r="AR463" s="8" t="n">
        <f aca="false">(AQ463*(1+Rate_Cash)-SUMPRODUCT($F290:$F293*$N290:$N293*(YEAR($K290:$K293)=AR363)))*(AR364&lt;$F225)*$F21</f>
        <v>0</v>
      </c>
      <c r="AS463" s="8" t="n">
        <f aca="false">(AR463*(1+Rate_Cash)-SUMPRODUCT($F290:$F293*$N290:$N293*(YEAR($K290:$K293)=AS363)))*(AS364&lt;$F225)*$F21</f>
        <v>0</v>
      </c>
    </row>
    <row r="464" customFormat="false" ht="14.25" hidden="false" customHeight="false" outlineLevel="0" collapsed="false">
      <c r="C464" s="6" t="s">
        <v>336</v>
      </c>
      <c r="D464" s="2" t="s">
        <v>85</v>
      </c>
      <c r="H464" s="8"/>
      <c r="J464" s="8" t="n">
        <f aca="false">(I464*(1+Rate_Devex)-SUMPRODUCT($F294:$F295*$N294:$N295*(YEAR($K294:$K295)=J363)))*(J364&lt;$F225)*$F21</f>
        <v>0</v>
      </c>
      <c r="K464" s="8" t="n">
        <f aca="false">(J464*(1+Rate_Devex)-SUMPRODUCT($F294:$F295*$N294:$N295*(YEAR($K294:$K295)=K363)))*(K364&lt;$F225)*$F21</f>
        <v>0</v>
      </c>
      <c r="L464" s="8" t="n">
        <f aca="false">(K464*(1+Rate_Devex)-SUMPRODUCT($F294:$F295*$N294:$N295*(YEAR($K294:$K295)=L363)))*(L364&lt;$F225)*$F21</f>
        <v>0</v>
      </c>
      <c r="M464" s="8" t="n">
        <f aca="false">(L464*(1+Rate_Devex)-SUMPRODUCT($F294:$F295*$N294:$N295*(YEAR($K294:$K295)=M363)))*(M364&lt;$F225)*$F21</f>
        <v>0</v>
      </c>
      <c r="N464" s="8" t="n">
        <f aca="false">(M464*(1+Rate_Devex)-SUMPRODUCT($F294:$F295*$N294:$N295*(YEAR($K294:$K295)=N363)))*(N364&lt;$F225)*$F21</f>
        <v>0</v>
      </c>
      <c r="O464" s="8" t="n">
        <f aca="false">(N464*(1+Rate_Devex)-SUMPRODUCT($F294:$F295*$N294:$N295*(YEAR($K294:$K295)=O363)))*(O364&lt;$F225)*$F21</f>
        <v>0</v>
      </c>
      <c r="P464" s="8" t="n">
        <f aca="false">(O464*(1+Rate_Devex)-SUMPRODUCT($F294:$F295*$N294:$N295*(YEAR($K294:$K295)=P363)))*(P364&lt;$F225)*$F21</f>
        <v>0</v>
      </c>
      <c r="Q464" s="8" t="n">
        <f aca="false">(P464*(1+Rate_Devex)-SUMPRODUCT($F294:$F295*$N294:$N295*(YEAR($K294:$K295)=Q363)))*(Q364&lt;$F225)*$F21</f>
        <v>0</v>
      </c>
      <c r="R464" s="8" t="n">
        <f aca="false">(Q464*(1+Rate_Devex)-SUMPRODUCT($F294:$F295*$N294:$N295*(YEAR($K294:$K295)=R363)))*(R364&lt;$F225)*$F21</f>
        <v>0</v>
      </c>
      <c r="S464" s="8" t="n">
        <f aca="false">(R464*(1+Rate_Devex)-SUMPRODUCT($F294:$F295*$N294:$N295*(YEAR($K294:$K295)=S363)))*(S364&lt;$F225)*$F21</f>
        <v>0</v>
      </c>
      <c r="T464" s="8" t="n">
        <f aca="false">(S464*(1+Rate_Devex)-SUMPRODUCT($F294:$F295*$N294:$N295*(YEAR($K294:$K295)=T363)))*(T364&lt;$F225)*$F21</f>
        <v>0</v>
      </c>
      <c r="U464" s="8" t="n">
        <f aca="false">(T464*(1+Rate_Devex)-SUMPRODUCT($F294:$F295*$N294:$N295*(YEAR($K294:$K295)=U363)))*(U364&lt;$F225)*$F21</f>
        <v>0</v>
      </c>
      <c r="V464" s="8" t="n">
        <f aca="false">(U464*(1+Rate_Devex)-SUMPRODUCT($F294:$F295*$N294:$N295*(YEAR($K294:$K295)=V363)))*(V364&lt;$F225)*$F21</f>
        <v>0</v>
      </c>
      <c r="W464" s="8" t="n">
        <f aca="false">(V464*(1+Rate_Devex)-SUMPRODUCT($F294:$F295*$N294:$N295*(YEAR($K294:$K295)=W363)))*(W364&lt;$F225)*$F21</f>
        <v>0</v>
      </c>
      <c r="X464" s="8" t="n">
        <f aca="false">(W464*(1+Rate_Devex)-SUMPRODUCT($F294:$F295*$N294:$N295*(YEAR($K294:$K295)=X363)))*(X364&lt;$F225)*$F21</f>
        <v>0</v>
      </c>
      <c r="Y464" s="8" t="n">
        <f aca="false">(X464*(1+Rate_Devex)-SUMPRODUCT($F294:$F295*$N294:$N295*(YEAR($K294:$K295)=Y363)))*(Y364&lt;$F225)*$F21</f>
        <v>0</v>
      </c>
      <c r="Z464" s="8" t="n">
        <f aca="false">(Y464*(1+Rate_Devex)-SUMPRODUCT($F294:$F295*$N294:$N295*(YEAR($K294:$K295)=Z363)))*(Z364&lt;$F225)*$F21</f>
        <v>0</v>
      </c>
      <c r="AA464" s="8" t="n">
        <f aca="false">(Z464*(1+Rate_Devex)-SUMPRODUCT($F294:$F295*$N294:$N295*(YEAR($K294:$K295)=AA363)))*(AA364&lt;$F225)*$F21</f>
        <v>0</v>
      </c>
      <c r="AB464" s="8" t="n">
        <f aca="false">(AA464*(1+Rate_Devex)-SUMPRODUCT($F294:$F295*$N294:$N295*(YEAR($K294:$K295)=AB363)))*(AB364&lt;$F225)*$F21</f>
        <v>0</v>
      </c>
      <c r="AC464" s="8" t="n">
        <f aca="false">(AB464*(1+Rate_Devex)-SUMPRODUCT($F294:$F295*$N294:$N295*(YEAR($K294:$K295)=AC363)))*(AC364&lt;$F225)*$F21</f>
        <v>0</v>
      </c>
      <c r="AD464" s="8" t="n">
        <f aca="false">(AC464*(1+Rate_Devex)-SUMPRODUCT($F294:$F295*$N294:$N295*(YEAR($K294:$K295)=AD363)))*(AD364&lt;$F225)*$F21</f>
        <v>0</v>
      </c>
      <c r="AE464" s="8" t="n">
        <f aca="false">(AD464*(1+Rate_Devex)-SUMPRODUCT($F294:$F295*$N294:$N295*(YEAR($K294:$K295)=AE363)))*(AE364&lt;$F225)*$F21</f>
        <v>0</v>
      </c>
      <c r="AF464" s="8" t="n">
        <f aca="false">(AE464*(1+Rate_Devex)-SUMPRODUCT($F294:$F295*$N294:$N295*(YEAR($K294:$K295)=AF363)))*(AF364&lt;$F225)*$F21</f>
        <v>0</v>
      </c>
      <c r="AG464" s="8" t="n">
        <f aca="false">(AF464*(1+Rate_Devex)-SUMPRODUCT($F294:$F295*$N294:$N295*(YEAR($K294:$K295)=AG363)))*(AG364&lt;$F225)*$F21</f>
        <v>0</v>
      </c>
      <c r="AH464" s="8" t="n">
        <f aca="false">(AG464*(1+Rate_Devex)-SUMPRODUCT($F294:$F295*$N294:$N295*(YEAR($K294:$K295)=AH363)))*(AH364&lt;$F225)*$F21</f>
        <v>0</v>
      </c>
      <c r="AI464" s="8" t="n">
        <f aca="false">(AH464*(1+Rate_Devex)-SUMPRODUCT($F294:$F295*$N294:$N295*(YEAR($K294:$K295)=AI363)))*(AI364&lt;$F225)*$F21</f>
        <v>0</v>
      </c>
      <c r="AJ464" s="8" t="n">
        <f aca="false">(AI464*(1+Rate_Devex)-SUMPRODUCT($F294:$F295*$N294:$N295*(YEAR($K294:$K295)=AJ363)))*(AJ364&lt;$F225)*$F21</f>
        <v>0</v>
      </c>
      <c r="AK464" s="8" t="n">
        <f aca="false">(AJ464*(1+Rate_Devex)-SUMPRODUCT($F294:$F295*$N294:$N295*(YEAR($K294:$K295)=AK363)))*(AK364&lt;$F225)*$F21</f>
        <v>0</v>
      </c>
      <c r="AL464" s="8" t="n">
        <f aca="false">(AK464*(1+Rate_Devex)-SUMPRODUCT($F294:$F295*$N294:$N295*(YEAR($K294:$K295)=AL363)))*(AL364&lt;$F225)*$F21</f>
        <v>0</v>
      </c>
      <c r="AM464" s="8" t="n">
        <f aca="false">(AL464*(1+Rate_Devex)-SUMPRODUCT($F294:$F295*$N294:$N295*(YEAR($K294:$K295)=AM363)))*(AM364&lt;$F225)*$F21</f>
        <v>0</v>
      </c>
      <c r="AN464" s="8" t="n">
        <f aca="false">(AM464*(1+Rate_Devex)-SUMPRODUCT($F294:$F295*$N294:$N295*(YEAR($K294:$K295)=AN363)))*(AN364&lt;$F225)*$F21</f>
        <v>0</v>
      </c>
      <c r="AO464" s="8" t="n">
        <f aca="false">(AN464*(1+Rate_Devex)-SUMPRODUCT($F294:$F295*$N294:$N295*(YEAR($K294:$K295)=AO363)))*(AO364&lt;$F225)*$F21</f>
        <v>0</v>
      </c>
      <c r="AP464" s="8" t="n">
        <f aca="false">(AO464*(1+Rate_Devex)-SUMPRODUCT($F294:$F295*$N294:$N295*(YEAR($K294:$K295)=AP363)))*(AP364&lt;$F225)*$F21</f>
        <v>0</v>
      </c>
      <c r="AQ464" s="8" t="n">
        <f aca="false">(AP464*(1+Rate_Devex)-SUMPRODUCT($F294:$F295*$N294:$N295*(YEAR($K294:$K295)=AQ363)))*(AQ364&lt;$F225)*$F21</f>
        <v>0</v>
      </c>
      <c r="AR464" s="8" t="n">
        <f aca="false">(AQ464*(1+Rate_Devex)-SUMPRODUCT($F294:$F295*$N294:$N295*(YEAR($K294:$K295)=AR363)))*(AR364&lt;$F225)*$F21</f>
        <v>0</v>
      </c>
      <c r="AS464" s="8" t="n">
        <f aca="false">(AR464*(1+Rate_Devex)-SUMPRODUCT($F294:$F295*$N294:$N295*(YEAR($K294:$K295)=AS363)))*(AS364&lt;$F225)*$F21</f>
        <v>0</v>
      </c>
    </row>
    <row r="465" customFormat="false" ht="14.25" hidden="false" customHeight="false" outlineLevel="0" collapsed="false">
      <c r="C465" s="6" t="s">
        <v>337</v>
      </c>
      <c r="D465" s="2" t="s">
        <v>85</v>
      </c>
      <c r="H465" s="8" t="n">
        <f aca="false">SUM(J465:AS465)</f>
        <v>0</v>
      </c>
      <c r="J465" s="8" t="n">
        <f aca="false">-SUMPRODUCT($F290:$F295*(YEAR($K290:$K295)=J363))*(J364&lt;$F225)*$F21</f>
        <v>0</v>
      </c>
      <c r="K465" s="8" t="n">
        <f aca="false">-SUMPRODUCT($F290:$F295*(YEAR($K290:$K295)=K363))*(K364&lt;$F225)*$F21</f>
        <v>0</v>
      </c>
      <c r="L465" s="8" t="n">
        <f aca="false">-SUMPRODUCT($F290:$F295*(YEAR($K290:$K295)=L363))*(L364&lt;$F225)*$F21</f>
        <v>-0</v>
      </c>
      <c r="M465" s="8" t="n">
        <f aca="false">-SUMPRODUCT($F290:$F295*(YEAR($K290:$K295)=M363))*(M364&lt;$F225)*$F21</f>
        <v>-0</v>
      </c>
      <c r="N465" s="8" t="n">
        <f aca="false">-SUMPRODUCT($F290:$F295*(YEAR($K290:$K295)=N363))*(N364&lt;$F225)*$F21</f>
        <v>-0</v>
      </c>
      <c r="O465" s="8" t="n">
        <f aca="false">-SUMPRODUCT($F290:$F295*(YEAR($K290:$K295)=O363))*(O364&lt;$F225)*$F21</f>
        <v>-0</v>
      </c>
      <c r="P465" s="8" t="n">
        <f aca="false">-SUMPRODUCT($F290:$F295*(YEAR($K290:$K295)=P363))*(P364&lt;$F225)*$F21</f>
        <v>-0</v>
      </c>
      <c r="Q465" s="8" t="n">
        <f aca="false">-SUMPRODUCT($F290:$F295*(YEAR($K290:$K295)=Q363))*(Q364&lt;$F225)*$F21</f>
        <v>-0</v>
      </c>
      <c r="R465" s="8" t="n">
        <f aca="false">-SUMPRODUCT($F290:$F295*(YEAR($K290:$K295)=R363))*(R364&lt;$F225)*$F21</f>
        <v>-0</v>
      </c>
      <c r="S465" s="8" t="n">
        <f aca="false">-SUMPRODUCT($F290:$F295*(YEAR($K290:$K295)=S363))*(S364&lt;$F225)*$F21</f>
        <v>-0</v>
      </c>
      <c r="T465" s="8" t="n">
        <f aca="false">-SUMPRODUCT($F290:$F295*(YEAR($K290:$K295)=T363))*(T364&lt;$F225)*$F21</f>
        <v>-0</v>
      </c>
      <c r="U465" s="8" t="n">
        <f aca="false">-SUMPRODUCT($F290:$F295*(YEAR($K290:$K295)=U363))*(U364&lt;$F225)*$F21</f>
        <v>-0</v>
      </c>
      <c r="V465" s="8" t="n">
        <f aca="false">-SUMPRODUCT($F290:$F295*(YEAR($K290:$K295)=V363))*(V364&lt;$F225)*$F21</f>
        <v>-0</v>
      </c>
      <c r="W465" s="8" t="n">
        <f aca="false">-SUMPRODUCT($F290:$F295*(YEAR($K290:$K295)=W363))*(W364&lt;$F225)*$F21</f>
        <v>-0</v>
      </c>
      <c r="X465" s="8" t="n">
        <f aca="false">-SUMPRODUCT($F290:$F295*(YEAR($K290:$K295)=X363))*(X364&lt;$F225)*$F21</f>
        <v>-0</v>
      </c>
      <c r="Y465" s="8" t="n">
        <f aca="false">-SUMPRODUCT($F290:$F295*(YEAR($K290:$K295)=Y363))*(Y364&lt;$F225)*$F21</f>
        <v>-0</v>
      </c>
      <c r="Z465" s="8" t="n">
        <f aca="false">-SUMPRODUCT($F290:$F295*(YEAR($K290:$K295)=Z363))*(Z364&lt;$F225)*$F21</f>
        <v>-0</v>
      </c>
      <c r="AA465" s="8" t="n">
        <f aca="false">-SUMPRODUCT($F290:$F295*(YEAR($K290:$K295)=AA363))*(AA364&lt;$F225)*$F21</f>
        <v>-0</v>
      </c>
      <c r="AB465" s="8" t="n">
        <f aca="false">-SUMPRODUCT($F290:$F295*(YEAR($K290:$K295)=AB363))*(AB364&lt;$F225)*$F21</f>
        <v>-0</v>
      </c>
      <c r="AC465" s="8" t="n">
        <f aca="false">-SUMPRODUCT($F290:$F295*(YEAR($K290:$K295)=AC363))*(AC364&lt;$F225)*$F21</f>
        <v>-0</v>
      </c>
      <c r="AD465" s="8" t="n">
        <f aca="false">-SUMPRODUCT($F290:$F295*(YEAR($K290:$K295)=AD363))*(AD364&lt;$F225)*$F21</f>
        <v>-0</v>
      </c>
      <c r="AE465" s="8" t="n">
        <f aca="false">-SUMPRODUCT($F290:$F295*(YEAR($K290:$K295)=AE363))*(AE364&lt;$F225)*$F21</f>
        <v>-0</v>
      </c>
      <c r="AF465" s="8" t="n">
        <f aca="false">-SUMPRODUCT($F290:$F295*(YEAR($K290:$K295)=AF363))*(AF364&lt;$F225)*$F21</f>
        <v>-0</v>
      </c>
      <c r="AG465" s="8" t="n">
        <f aca="false">-SUMPRODUCT($F290:$F295*(YEAR($K290:$K295)=AG363))*(AG364&lt;$F225)*$F21</f>
        <v>-0</v>
      </c>
      <c r="AH465" s="8" t="n">
        <f aca="false">-SUMPRODUCT($F290:$F295*(YEAR($K290:$K295)=AH363))*(AH364&lt;$F225)*$F21</f>
        <v>-0</v>
      </c>
      <c r="AI465" s="8" t="n">
        <f aca="false">-SUMPRODUCT($F290:$F295*(YEAR($K290:$K295)=AI363))*(AI364&lt;$F225)*$F21</f>
        <v>-0</v>
      </c>
      <c r="AJ465" s="8" t="n">
        <f aca="false">-SUMPRODUCT($F290:$F295*(YEAR($K290:$K295)=AJ363))*(AJ364&lt;$F225)*$F21</f>
        <v>-0</v>
      </c>
      <c r="AK465" s="8" t="n">
        <f aca="false">-SUMPRODUCT($F290:$F295*(YEAR($K290:$K295)=AK363))*(AK364&lt;$F225)*$F21</f>
        <v>-0</v>
      </c>
      <c r="AL465" s="8" t="n">
        <f aca="false">-SUMPRODUCT($F290:$F295*(YEAR($K290:$K295)=AL363))*(AL364&lt;$F225)*$F21</f>
        <v>-0</v>
      </c>
      <c r="AM465" s="8" t="n">
        <f aca="false">-SUMPRODUCT($F290:$F295*(YEAR($K290:$K295)=AM363))*(AM364&lt;$F225)*$F21</f>
        <v>-0</v>
      </c>
      <c r="AN465" s="8" t="n">
        <f aca="false">-SUMPRODUCT($F290:$F295*(YEAR($K290:$K295)=AN363))*(AN364&lt;$F225)*$F21</f>
        <v>-0</v>
      </c>
      <c r="AO465" s="8" t="n">
        <f aca="false">-SUMPRODUCT($F290:$F295*(YEAR($K290:$K295)=AO363))*(AO364&lt;$F225)*$F21</f>
        <v>-0</v>
      </c>
      <c r="AP465" s="8" t="n">
        <f aca="false">-SUMPRODUCT($F290:$F295*(YEAR($K290:$K295)=AP363))*(AP364&lt;$F225)*$F21</f>
        <v>-0</v>
      </c>
      <c r="AQ465" s="8" t="n">
        <f aca="false">-SUMPRODUCT($F290:$F295*(YEAR($K290:$K295)=AQ363))*(AQ364&lt;$F225)*$F21</f>
        <v>-0</v>
      </c>
      <c r="AR465" s="8" t="n">
        <f aca="false">-SUMPRODUCT($F290:$F295*(YEAR($K290:$K295)=AR363))*(AR364&lt;$F225)*$F21</f>
        <v>-0</v>
      </c>
      <c r="AS465" s="8" t="n">
        <f aca="false">-SUMPRODUCT($F290:$F295*(YEAR($K290:$K295)=AS363))*(AS364&lt;$F225)*$F21</f>
        <v>-0</v>
      </c>
    </row>
    <row r="466" customFormat="false" ht="14.25" hidden="false" customHeight="false" outlineLevel="0" collapsed="false">
      <c r="C466" s="6" t="s">
        <v>338</v>
      </c>
      <c r="D466" s="2" t="s">
        <v>85</v>
      </c>
      <c r="H466" s="8" t="n">
        <f aca="false">SUM(J466:AS466)</f>
        <v>0</v>
      </c>
      <c r="J466" s="8" t="n">
        <f aca="false">(J463+J464-I463-I464-J465)*(J364&lt;$F225)*$F21</f>
        <v>0</v>
      </c>
      <c r="K466" s="8" t="n">
        <f aca="false">(K463+K464-J463-J464-K465)*(K364&lt;$F225)*$F21</f>
        <v>0</v>
      </c>
      <c r="L466" s="8" t="n">
        <f aca="false">(L463+L464-K463-K464-L465)*(L364&lt;$F225)*$F21</f>
        <v>0</v>
      </c>
      <c r="M466" s="8" t="n">
        <f aca="false">(M463+M464-L463-L464-M465)*(M364&lt;$F225)*$F21</f>
        <v>0</v>
      </c>
      <c r="N466" s="8" t="n">
        <f aca="false">(N463+N464-M463-M464-N465)*(N364&lt;$F225)*$F21</f>
        <v>0</v>
      </c>
      <c r="O466" s="8" t="n">
        <f aca="false">(O463+O464-N463-N464-O465)*(O364&lt;$F225)*$F21</f>
        <v>0</v>
      </c>
      <c r="P466" s="8" t="n">
        <f aca="false">(P463+P464-O463-O464-P465)*(P364&lt;$F225)*$F21</f>
        <v>0</v>
      </c>
      <c r="Q466" s="8" t="n">
        <f aca="false">(Q463+Q464-P463-P464-Q465)*(Q364&lt;$F225)*$F21</f>
        <v>0</v>
      </c>
      <c r="R466" s="8" t="n">
        <f aca="false">(R463+R464-Q463-Q464-R465)*(R364&lt;$F225)*$F21</f>
        <v>0</v>
      </c>
      <c r="S466" s="8" t="n">
        <f aca="false">(S463+S464-R463-R464-S465)*(S364&lt;$F225)*$F21</f>
        <v>0</v>
      </c>
      <c r="T466" s="8" t="n">
        <f aca="false">(T463+T464-S463-S464-T465)*(T364&lt;$F225)*$F21</f>
        <v>0</v>
      </c>
      <c r="U466" s="8" t="n">
        <f aca="false">(U463+U464-T463-T464-U465)*(U364&lt;$F225)*$F21</f>
        <v>0</v>
      </c>
      <c r="V466" s="8" t="n">
        <f aca="false">(V463+V464-U463-U464-V465)*(V364&lt;$F225)*$F21</f>
        <v>0</v>
      </c>
      <c r="W466" s="8" t="n">
        <f aca="false">(W463+W464-V463-V464-W465)*(W364&lt;$F225)*$F21</f>
        <v>0</v>
      </c>
      <c r="X466" s="8" t="n">
        <f aca="false">(X463+X464-W463-W464-X465)*(X364&lt;$F225)*$F21</f>
        <v>0</v>
      </c>
      <c r="Y466" s="8" t="n">
        <f aca="false">(Y463+Y464-X463-X464-Y465)*(Y364&lt;$F225)*$F21</f>
        <v>0</v>
      </c>
      <c r="Z466" s="8" t="n">
        <f aca="false">(Z463+Z464-Y463-Y464-Z465)*(Z364&lt;$F225)*$F21</f>
        <v>0</v>
      </c>
      <c r="AA466" s="8" t="n">
        <f aca="false">(AA463+AA464-Z463-Z464-AA465)*(AA364&lt;$F225)*$F21</f>
        <v>0</v>
      </c>
      <c r="AB466" s="8" t="n">
        <f aca="false">(AB463+AB464-AA463-AA464-AB465)*(AB364&lt;$F225)*$F21</f>
        <v>0</v>
      </c>
      <c r="AC466" s="8" t="n">
        <f aca="false">(AC463+AC464-AB463-AB464-AC465)*(AC364&lt;$F225)*$F21</f>
        <v>0</v>
      </c>
      <c r="AD466" s="8" t="n">
        <f aca="false">(AD463+AD464-AC463-AC464-AD465)*(AD364&lt;$F225)*$F21</f>
        <v>0</v>
      </c>
      <c r="AE466" s="8" t="n">
        <f aca="false">(AE463+AE464-AD463-AD464-AE465)*(AE364&lt;$F225)*$F21</f>
        <v>0</v>
      </c>
      <c r="AF466" s="8" t="n">
        <f aca="false">(AF463+AF464-AE463-AE464-AF465)*(AF364&lt;$F225)*$F21</f>
        <v>0</v>
      </c>
      <c r="AG466" s="8" t="n">
        <f aca="false">(AG463+AG464-AF463-AF464-AG465)*(AG364&lt;$F225)*$F21</f>
        <v>0</v>
      </c>
      <c r="AH466" s="8" t="n">
        <f aca="false">(AH463+AH464-AG463-AG464-AH465)*(AH364&lt;$F225)*$F21</f>
        <v>0</v>
      </c>
      <c r="AI466" s="8" t="n">
        <f aca="false">(AI463+AI464-AH463-AH464-AI465)*(AI364&lt;$F225)*$F21</f>
        <v>0</v>
      </c>
      <c r="AJ466" s="8" t="n">
        <f aca="false">(AJ463+AJ464-AI463-AI464-AJ465)*(AJ364&lt;$F225)*$F21</f>
        <v>0</v>
      </c>
      <c r="AK466" s="8" t="n">
        <f aca="false">(AK463+AK464-AJ463-AJ464-AK465)*(AK364&lt;$F225)*$F21</f>
        <v>0</v>
      </c>
      <c r="AL466" s="8" t="n">
        <f aca="false">(AL463+AL464-AK463-AK464-AL465)*(AL364&lt;$F225)*$F21</f>
        <v>0</v>
      </c>
      <c r="AM466" s="8" t="n">
        <f aca="false">(AM463+AM464-AL463-AL464-AM465)*(AM364&lt;$F225)*$F21</f>
        <v>0</v>
      </c>
      <c r="AN466" s="8" t="n">
        <f aca="false">(AN463+AN464-AM463-AM464-AN465)*(AN364&lt;$F225)*$F21</f>
        <v>0</v>
      </c>
      <c r="AO466" s="8" t="n">
        <f aca="false">(AO463+AO464-AN463-AN464-AO465)*(AO364&lt;$F225)*$F21</f>
        <v>0</v>
      </c>
      <c r="AP466" s="8" t="n">
        <f aca="false">(AP463+AP464-AO463-AO464-AP465)*(AP364&lt;$F225)*$F21</f>
        <v>0</v>
      </c>
      <c r="AQ466" s="8" t="n">
        <f aca="false">(AQ463+AQ464-AP463-AP464-AQ465)*(AQ364&lt;$F225)*$F21</f>
        <v>0</v>
      </c>
      <c r="AR466" s="8" t="n">
        <f aca="false">(AR463+AR464-AQ463-AQ464-AR465)*(AR364&lt;$F225)*$F21</f>
        <v>0</v>
      </c>
      <c r="AS466" s="8" t="n">
        <f aca="false">(AS463+AS464-AR463-AR464-AS465)*(AS364&lt;$F225)*$F21</f>
        <v>0</v>
      </c>
    </row>
    <row r="468" customFormat="false" ht="14.25" hidden="false" customHeight="false" outlineLevel="0" collapsed="false">
      <c r="B468" s="4" t="s">
        <v>3</v>
      </c>
      <c r="C468" s="4" t="s">
        <v>340</v>
      </c>
      <c r="D468" s="4"/>
      <c r="E468" s="5"/>
      <c r="F468" s="5"/>
      <c r="G468" s="5" t="s">
        <v>289</v>
      </c>
      <c r="H468" s="5" t="s">
        <v>8</v>
      </c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</row>
    <row r="469" customFormat="false" ht="14.25" hidden="false" customHeight="false" outlineLevel="0" collapsed="false">
      <c r="C469" s="6" t="s">
        <v>290</v>
      </c>
      <c r="D469" s="2" t="s">
        <v>291</v>
      </c>
      <c r="J469" s="74" t="n">
        <f aca="false">J$363-YEAR(Inputs!$G$26)</f>
        <v>-5</v>
      </c>
      <c r="K469" s="74" t="n">
        <f aca="false">K$363-YEAR(Inputs!$G$26)</f>
        <v>-4</v>
      </c>
      <c r="L469" s="74" t="n">
        <f aca="false">L$363-YEAR(Inputs!$G$26)</f>
        <v>-3</v>
      </c>
      <c r="M469" s="74" t="n">
        <f aca="false">M$363-YEAR(Inputs!$G$26)</f>
        <v>-2</v>
      </c>
      <c r="N469" s="74" t="n">
        <f aca="false">N$363-YEAR(Inputs!$G$26)</f>
        <v>-1</v>
      </c>
      <c r="O469" s="74" t="n">
        <f aca="false">O$363-YEAR(Inputs!$G$26)</f>
        <v>0</v>
      </c>
      <c r="P469" s="74" t="n">
        <f aca="false">P$363-YEAR(Inputs!$G$26)</f>
        <v>1</v>
      </c>
      <c r="Q469" s="74" t="n">
        <f aca="false">Q$363-YEAR(Inputs!$G$26)</f>
        <v>2</v>
      </c>
      <c r="R469" s="74" t="n">
        <f aca="false">R$363-YEAR(Inputs!$G$26)</f>
        <v>3</v>
      </c>
      <c r="S469" s="74" t="n">
        <f aca="false">S$363-YEAR(Inputs!$G$26)</f>
        <v>4</v>
      </c>
      <c r="T469" s="74" t="n">
        <f aca="false">T$363-YEAR(Inputs!$G$26)</f>
        <v>5</v>
      </c>
      <c r="U469" s="74" t="n">
        <f aca="false">U$363-YEAR(Inputs!$G$26)</f>
        <v>6</v>
      </c>
      <c r="V469" s="74" t="n">
        <f aca="false">V$363-YEAR(Inputs!$G$26)</f>
        <v>7</v>
      </c>
      <c r="W469" s="74" t="n">
        <f aca="false">W$363-YEAR(Inputs!$G$26)</f>
        <v>8</v>
      </c>
      <c r="X469" s="74" t="n">
        <f aca="false">X$363-YEAR(Inputs!$G$26)</f>
        <v>9</v>
      </c>
      <c r="Y469" s="74" t="n">
        <f aca="false">Y$363-YEAR(Inputs!$G$26)</f>
        <v>10</v>
      </c>
      <c r="Z469" s="74" t="n">
        <f aca="false">Z$363-YEAR(Inputs!$G$26)</f>
        <v>11</v>
      </c>
      <c r="AA469" s="74" t="n">
        <f aca="false">AA$363-YEAR(Inputs!$G$26)</f>
        <v>12</v>
      </c>
      <c r="AB469" s="74" t="n">
        <f aca="false">AB$363-YEAR(Inputs!$G$26)</f>
        <v>13</v>
      </c>
      <c r="AC469" s="74" t="n">
        <f aca="false">AC$363-YEAR(Inputs!$G$26)</f>
        <v>14</v>
      </c>
      <c r="AD469" s="74" t="n">
        <f aca="false">AD$363-YEAR(Inputs!$G$26)</f>
        <v>15</v>
      </c>
      <c r="AE469" s="74" t="n">
        <f aca="false">AE$363-YEAR(Inputs!$G$26)</f>
        <v>16</v>
      </c>
      <c r="AF469" s="74" t="n">
        <f aca="false">AF$363-YEAR(Inputs!$G$26)</f>
        <v>17</v>
      </c>
      <c r="AG469" s="74" t="n">
        <f aca="false">AG$363-YEAR(Inputs!$G$26)</f>
        <v>18</v>
      </c>
      <c r="AH469" s="74" t="n">
        <f aca="false">AH$363-YEAR(Inputs!$G$26)</f>
        <v>19</v>
      </c>
      <c r="AI469" s="74" t="n">
        <f aca="false">AI$363-YEAR(Inputs!$G$26)</f>
        <v>20</v>
      </c>
      <c r="AJ469" s="74" t="n">
        <f aca="false">AJ$363-YEAR(Inputs!$G$26)</f>
        <v>21</v>
      </c>
      <c r="AK469" s="74" t="n">
        <f aca="false">AK$363-YEAR(Inputs!$G$26)</f>
        <v>22</v>
      </c>
      <c r="AL469" s="74" t="n">
        <f aca="false">AL$363-YEAR(Inputs!$G$26)</f>
        <v>23</v>
      </c>
      <c r="AM469" s="74" t="n">
        <f aca="false">AM$363-YEAR(Inputs!$G$26)</f>
        <v>24</v>
      </c>
      <c r="AN469" s="74" t="n">
        <f aca="false">AN$363-YEAR(Inputs!$G$26)</f>
        <v>25</v>
      </c>
      <c r="AO469" s="74" t="n">
        <f aca="false">AO$363-YEAR(Inputs!$G$26)</f>
        <v>26</v>
      </c>
      <c r="AP469" s="74" t="n">
        <f aca="false">AP$363-YEAR(Inputs!$G$26)</f>
        <v>27</v>
      </c>
      <c r="AQ469" s="74" t="n">
        <f aca="false">AQ$363-YEAR(Inputs!$G$26)</f>
        <v>28</v>
      </c>
      <c r="AR469" s="74" t="n">
        <f aca="false">AR$363-YEAR(Inputs!$G$26)</f>
        <v>29</v>
      </c>
      <c r="AS469" s="74" t="n">
        <f aca="false">AS$363-YEAR(Inputs!$G$26)</f>
        <v>30</v>
      </c>
    </row>
    <row r="470" customFormat="false" ht="14.25" hidden="false" customHeight="false" outlineLevel="0" collapsed="false">
      <c r="C470" s="6" t="s">
        <v>292</v>
      </c>
      <c r="D470" s="2" t="s">
        <v>293</v>
      </c>
      <c r="G470" s="74" t="n">
        <f aca="false">DATEDIF(Inputs!$G$25,Inputs!$G$26,"m")</f>
        <v>24</v>
      </c>
      <c r="J470" s="74" t="n">
        <f aca="false">(J$363+1-YEAR(Inputs!$G$25))*Months_In_Year-MONTH(Inputs!$G$25)</f>
        <v>-30</v>
      </c>
      <c r="K470" s="74" t="n">
        <f aca="false">(K$363+1-YEAR(Inputs!$G$25))*Months_In_Year-MONTH(Inputs!$G$25)</f>
        <v>-18</v>
      </c>
      <c r="L470" s="74" t="n">
        <f aca="false">(L$363+1-YEAR(Inputs!$G$25))*Months_In_Year-MONTH(Inputs!$G$25)</f>
        <v>-6</v>
      </c>
      <c r="M470" s="74" t="n">
        <f aca="false">(M$363+1-YEAR(Inputs!$G$25))*Months_In_Year-MONTH(Inputs!$G$25)</f>
        <v>6</v>
      </c>
      <c r="N470" s="74" t="n">
        <f aca="false">(N$363+1-YEAR(Inputs!$G$25))*Months_In_Year-MONTH(Inputs!$G$25)</f>
        <v>18</v>
      </c>
      <c r="O470" s="74" t="n">
        <f aca="false">(O$363+1-YEAR(Inputs!$G$25))*Months_In_Year-MONTH(Inputs!$G$25)</f>
        <v>30</v>
      </c>
      <c r="P470" s="74" t="n">
        <f aca="false">(P$363+1-YEAR(Inputs!$G$25))*Months_In_Year-MONTH(Inputs!$G$25)</f>
        <v>42</v>
      </c>
      <c r="Q470" s="74" t="n">
        <f aca="false">(Q$363+1-YEAR(Inputs!$G$25))*Months_In_Year-MONTH(Inputs!$G$25)</f>
        <v>54</v>
      </c>
      <c r="R470" s="74" t="n">
        <f aca="false">(R$363+1-YEAR(Inputs!$G$25))*Months_In_Year-MONTH(Inputs!$G$25)</f>
        <v>66</v>
      </c>
      <c r="S470" s="74" t="n">
        <f aca="false">(S$363+1-YEAR(Inputs!$G$25))*Months_In_Year-MONTH(Inputs!$G$25)</f>
        <v>78</v>
      </c>
      <c r="T470" s="74" t="n">
        <f aca="false">(T$363+1-YEAR(Inputs!$G$25))*Months_In_Year-MONTH(Inputs!$G$25)</f>
        <v>90</v>
      </c>
      <c r="U470" s="74" t="n">
        <f aca="false">(U$363+1-YEAR(Inputs!$G$25))*Months_In_Year-MONTH(Inputs!$G$25)</f>
        <v>102</v>
      </c>
      <c r="V470" s="74" t="n">
        <f aca="false">(V$363+1-YEAR(Inputs!$G$25))*Months_In_Year-MONTH(Inputs!$G$25)</f>
        <v>114</v>
      </c>
      <c r="W470" s="74" t="n">
        <f aca="false">(W$363+1-YEAR(Inputs!$G$25))*Months_In_Year-MONTH(Inputs!$G$25)</f>
        <v>126</v>
      </c>
      <c r="X470" s="74" t="n">
        <f aca="false">(X$363+1-YEAR(Inputs!$G$25))*Months_In_Year-MONTH(Inputs!$G$25)</f>
        <v>138</v>
      </c>
      <c r="Y470" s="74" t="n">
        <f aca="false">(Y$363+1-YEAR(Inputs!$G$25))*Months_In_Year-MONTH(Inputs!$G$25)</f>
        <v>150</v>
      </c>
      <c r="Z470" s="74" t="n">
        <f aca="false">(Z$363+1-YEAR(Inputs!$G$25))*Months_In_Year-MONTH(Inputs!$G$25)</f>
        <v>162</v>
      </c>
      <c r="AA470" s="74" t="n">
        <f aca="false">(AA$363+1-YEAR(Inputs!$G$25))*Months_In_Year-MONTH(Inputs!$G$25)</f>
        <v>174</v>
      </c>
      <c r="AB470" s="74" t="n">
        <f aca="false">(AB$363+1-YEAR(Inputs!$G$25))*Months_In_Year-MONTH(Inputs!$G$25)</f>
        <v>186</v>
      </c>
      <c r="AC470" s="74" t="n">
        <f aca="false">(AC$363+1-YEAR(Inputs!$G$25))*Months_In_Year-MONTH(Inputs!$G$25)</f>
        <v>198</v>
      </c>
      <c r="AD470" s="74" t="n">
        <f aca="false">(AD$363+1-YEAR(Inputs!$G$25))*Months_In_Year-MONTH(Inputs!$G$25)</f>
        <v>210</v>
      </c>
      <c r="AE470" s="74" t="n">
        <f aca="false">(AE$363+1-YEAR(Inputs!$G$25))*Months_In_Year-MONTH(Inputs!$G$25)</f>
        <v>222</v>
      </c>
      <c r="AF470" s="74" t="n">
        <f aca="false">(AF$363+1-YEAR(Inputs!$G$25))*Months_In_Year-MONTH(Inputs!$G$25)</f>
        <v>234</v>
      </c>
      <c r="AG470" s="74" t="n">
        <f aca="false">(AG$363+1-YEAR(Inputs!$G$25))*Months_In_Year-MONTH(Inputs!$G$25)</f>
        <v>246</v>
      </c>
      <c r="AH470" s="74" t="n">
        <f aca="false">(AH$363+1-YEAR(Inputs!$G$25))*Months_In_Year-MONTH(Inputs!$G$25)</f>
        <v>258</v>
      </c>
      <c r="AI470" s="74" t="n">
        <f aca="false">(AI$363+1-YEAR(Inputs!$G$25))*Months_In_Year-MONTH(Inputs!$G$25)</f>
        <v>270</v>
      </c>
      <c r="AJ470" s="74" t="n">
        <f aca="false">(AJ$363+1-YEAR(Inputs!$G$25))*Months_In_Year-MONTH(Inputs!$G$25)</f>
        <v>282</v>
      </c>
      <c r="AK470" s="74" t="n">
        <f aca="false">(AK$363+1-YEAR(Inputs!$G$25))*Months_In_Year-MONTH(Inputs!$G$25)</f>
        <v>294</v>
      </c>
      <c r="AL470" s="74" t="n">
        <f aca="false">(AL$363+1-YEAR(Inputs!$G$25))*Months_In_Year-MONTH(Inputs!$G$25)</f>
        <v>306</v>
      </c>
      <c r="AM470" s="74" t="n">
        <f aca="false">(AM$363+1-YEAR(Inputs!$G$25))*Months_In_Year-MONTH(Inputs!$G$25)</f>
        <v>318</v>
      </c>
      <c r="AN470" s="74" t="n">
        <f aca="false">(AN$363+1-YEAR(Inputs!$G$25))*Months_In_Year-MONTH(Inputs!$G$25)</f>
        <v>330</v>
      </c>
      <c r="AO470" s="74" t="n">
        <f aca="false">(AO$363+1-YEAR(Inputs!$G$25))*Months_In_Year-MONTH(Inputs!$G$25)</f>
        <v>342</v>
      </c>
      <c r="AP470" s="74" t="n">
        <f aca="false">(AP$363+1-YEAR(Inputs!$G$25))*Months_In_Year-MONTH(Inputs!$G$25)</f>
        <v>354</v>
      </c>
      <c r="AQ470" s="74" t="n">
        <f aca="false">(AQ$363+1-YEAR(Inputs!$G$25))*Months_In_Year-MONTH(Inputs!$G$25)</f>
        <v>366</v>
      </c>
      <c r="AR470" s="74" t="n">
        <f aca="false">(AR$363+1-YEAR(Inputs!$G$25))*Months_In_Year-MONTH(Inputs!$G$25)</f>
        <v>378</v>
      </c>
      <c r="AS470" s="74" t="n">
        <f aca="false">(AS$363+1-YEAR(Inputs!$G$25))*Months_In_Year-MONTH(Inputs!$G$25)</f>
        <v>390</v>
      </c>
    </row>
    <row r="471" customFormat="false" ht="14.25" hidden="false" customHeight="false" outlineLevel="0" collapsed="false">
      <c r="C471" s="6" t="s">
        <v>294</v>
      </c>
      <c r="D471" s="2" t="s">
        <v>12</v>
      </c>
      <c r="H471" s="75" t="n">
        <f aca="false">SUM(J471:AS471)</f>
        <v>1</v>
      </c>
      <c r="J471" s="48" t="n">
        <f aca="false">MAX(0,MIN(J470,$G470)-MAX(J470-Months_In_Year,0))/$G470</f>
        <v>0</v>
      </c>
      <c r="K471" s="48" t="n">
        <f aca="false">MAX(0,MIN(K470,$G470)-MAX(K470-Months_In_Year,0))/$G470</f>
        <v>0</v>
      </c>
      <c r="L471" s="48" t="n">
        <f aca="false">MAX(0,MIN(L470,$G470)-MAX(L470-Months_In_Year,0))/$G470</f>
        <v>0</v>
      </c>
      <c r="M471" s="48" t="n">
        <f aca="false">MAX(0,MIN(M470,$G470)-MAX(M470-Months_In_Year,0))/$G470</f>
        <v>0.25</v>
      </c>
      <c r="N471" s="48" t="n">
        <f aca="false">MAX(0,MIN(N470,$G470)-MAX(N470-Months_In_Year,0))/$G470</f>
        <v>0.5</v>
      </c>
      <c r="O471" s="48" t="n">
        <f aca="false">MAX(0,MIN(O470,$G470)-MAX(O470-Months_In_Year,0))/$G470</f>
        <v>0.25</v>
      </c>
      <c r="P471" s="48" t="n">
        <f aca="false">MAX(0,MIN(P470,$G470)-MAX(P470-Months_In_Year,0))/$G470</f>
        <v>0</v>
      </c>
      <c r="Q471" s="48" t="n">
        <f aca="false">MAX(0,MIN(Q470,$G470)-MAX(Q470-Months_In_Year,0))/$G470</f>
        <v>0</v>
      </c>
      <c r="R471" s="48" t="n">
        <f aca="false">MAX(0,MIN(R470,$G470)-MAX(R470-Months_In_Year,0))/$G470</f>
        <v>0</v>
      </c>
      <c r="S471" s="48" t="n">
        <f aca="false">MAX(0,MIN(S470,$G470)-MAX(S470-Months_In_Year,0))/$G470</f>
        <v>0</v>
      </c>
      <c r="T471" s="48" t="n">
        <f aca="false">MAX(0,MIN(T470,$G470)-MAX(T470-Months_In_Year,0))/$G470</f>
        <v>0</v>
      </c>
      <c r="U471" s="48" t="n">
        <f aca="false">MAX(0,MIN(U470,$G470)-MAX(U470-Months_In_Year,0))/$G470</f>
        <v>0</v>
      </c>
      <c r="V471" s="48" t="n">
        <f aca="false">MAX(0,MIN(V470,$G470)-MAX(V470-Months_In_Year,0))/$G470</f>
        <v>0</v>
      </c>
      <c r="W471" s="48" t="n">
        <f aca="false">MAX(0,MIN(W470,$G470)-MAX(W470-Months_In_Year,0))/$G470</f>
        <v>0</v>
      </c>
      <c r="X471" s="48" t="n">
        <f aca="false">MAX(0,MIN(X470,$G470)-MAX(X470-Months_In_Year,0))/$G470</f>
        <v>0</v>
      </c>
      <c r="Y471" s="48" t="n">
        <f aca="false">MAX(0,MIN(Y470,$G470)-MAX(Y470-Months_In_Year,0))/$G470</f>
        <v>0</v>
      </c>
      <c r="Z471" s="48" t="n">
        <f aca="false">MAX(0,MIN(Z470,$G470)-MAX(Z470-Months_In_Year,0))/$G470</f>
        <v>0</v>
      </c>
      <c r="AA471" s="48" t="n">
        <f aca="false">MAX(0,MIN(AA470,$G470)-MAX(AA470-Months_In_Year,0))/$G470</f>
        <v>0</v>
      </c>
      <c r="AB471" s="48" t="n">
        <f aca="false">MAX(0,MIN(AB470,$G470)-MAX(AB470-Months_In_Year,0))/$G470</f>
        <v>0</v>
      </c>
      <c r="AC471" s="48" t="n">
        <f aca="false">MAX(0,MIN(AC470,$G470)-MAX(AC470-Months_In_Year,0))/$G470</f>
        <v>0</v>
      </c>
      <c r="AD471" s="48" t="n">
        <f aca="false">MAX(0,MIN(AD470,$G470)-MAX(AD470-Months_In_Year,0))/$G470</f>
        <v>0</v>
      </c>
      <c r="AE471" s="48" t="n">
        <f aca="false">MAX(0,MIN(AE470,$G470)-MAX(AE470-Months_In_Year,0))/$G470</f>
        <v>0</v>
      </c>
      <c r="AF471" s="48" t="n">
        <f aca="false">MAX(0,MIN(AF470,$G470)-MAX(AF470-Months_In_Year,0))/$G470</f>
        <v>0</v>
      </c>
      <c r="AG471" s="48" t="n">
        <f aca="false">MAX(0,MIN(AG470,$G470)-MAX(AG470-Months_In_Year,0))/$G470</f>
        <v>0</v>
      </c>
      <c r="AH471" s="48" t="n">
        <f aca="false">MAX(0,MIN(AH470,$G470)-MAX(AH470-Months_In_Year,0))/$G470</f>
        <v>0</v>
      </c>
      <c r="AI471" s="48" t="n">
        <f aca="false">MAX(0,MIN(AI470,$G470)-MAX(AI470-Months_In_Year,0))/$G470</f>
        <v>0</v>
      </c>
      <c r="AJ471" s="48" t="n">
        <f aca="false">MAX(0,MIN(AJ470,$G470)-MAX(AJ470-Months_In_Year,0))/$G470</f>
        <v>0</v>
      </c>
      <c r="AK471" s="48" t="n">
        <f aca="false">MAX(0,MIN(AK470,$G470)-MAX(AK470-Months_In_Year,0))/$G470</f>
        <v>0</v>
      </c>
      <c r="AL471" s="48" t="n">
        <f aca="false">MAX(0,MIN(AL470,$G470)-MAX(AL470-Months_In_Year,0))/$G470</f>
        <v>0</v>
      </c>
      <c r="AM471" s="48" t="n">
        <f aca="false">MAX(0,MIN(AM470,$G470)-MAX(AM470-Months_In_Year,0))/$G470</f>
        <v>0</v>
      </c>
      <c r="AN471" s="48" t="n">
        <f aca="false">MAX(0,MIN(AN470,$G470)-MAX(AN470-Months_In_Year,0))/$G470</f>
        <v>0</v>
      </c>
      <c r="AO471" s="48" t="n">
        <f aca="false">MAX(0,MIN(AO470,$G470)-MAX(AO470-Months_In_Year,0))/$G470</f>
        <v>0</v>
      </c>
      <c r="AP471" s="48" t="n">
        <f aca="false">MAX(0,MIN(AP470,$G470)-MAX(AP470-Months_In_Year,0))/$G470</f>
        <v>0</v>
      </c>
      <c r="AQ471" s="48" t="n">
        <f aca="false">MAX(0,MIN(AQ470,$G470)-MAX(AQ470-Months_In_Year,0))/$G470</f>
        <v>0</v>
      </c>
      <c r="AR471" s="48" t="n">
        <f aca="false">MAX(0,MIN(AR470,$G470)-MAX(AR470-Months_In_Year,0))/$G470</f>
        <v>0</v>
      </c>
      <c r="AS471" s="48" t="n">
        <f aca="false">MAX(0,MIN(AS470,$G470)-MAX(AS470-Months_In_Year,0))/$G470</f>
        <v>0</v>
      </c>
    </row>
    <row r="472" customFormat="false" ht="14.25" hidden="false" customHeight="false" outlineLevel="0" collapsed="false">
      <c r="C472" s="6" t="s">
        <v>295</v>
      </c>
      <c r="D472" s="2" t="s">
        <v>293</v>
      </c>
      <c r="G472" s="74" t="n">
        <f aca="false">Life*Months_In_Year</f>
        <v>360</v>
      </c>
      <c r="J472" s="74" t="n">
        <f aca="false">(J$363+1-YEAR(Inputs!$G$26))*Months_In_Year-MONTH(Inputs!$G$26)</f>
        <v>-54</v>
      </c>
      <c r="K472" s="74" t="n">
        <f aca="false">(K$363+1-YEAR(Inputs!$G$26))*Months_In_Year-MONTH(Inputs!$G$26)</f>
        <v>-42</v>
      </c>
      <c r="L472" s="74" t="n">
        <f aca="false">(L$363+1-YEAR(Inputs!$G$26))*Months_In_Year-MONTH(Inputs!$G$26)</f>
        <v>-30</v>
      </c>
      <c r="M472" s="74" t="n">
        <f aca="false">(M$363+1-YEAR(Inputs!$G$26))*Months_In_Year-MONTH(Inputs!$G$26)</f>
        <v>-18</v>
      </c>
      <c r="N472" s="74" t="n">
        <f aca="false">(N$363+1-YEAR(Inputs!$G$26))*Months_In_Year-MONTH(Inputs!$G$26)</f>
        <v>-6</v>
      </c>
      <c r="O472" s="74" t="n">
        <f aca="false">(O$363+1-YEAR(Inputs!$G$26))*Months_In_Year-MONTH(Inputs!$G$26)</f>
        <v>6</v>
      </c>
      <c r="P472" s="74" t="n">
        <f aca="false">(P$363+1-YEAR(Inputs!$G$26))*Months_In_Year-MONTH(Inputs!$G$26)</f>
        <v>18</v>
      </c>
      <c r="Q472" s="74" t="n">
        <f aca="false">(Q$363+1-YEAR(Inputs!$G$26))*Months_In_Year-MONTH(Inputs!$G$26)</f>
        <v>30</v>
      </c>
      <c r="R472" s="74" t="n">
        <f aca="false">(R$363+1-YEAR(Inputs!$G$26))*Months_In_Year-MONTH(Inputs!$G$26)</f>
        <v>42</v>
      </c>
      <c r="S472" s="74" t="n">
        <f aca="false">(S$363+1-YEAR(Inputs!$G$26))*Months_In_Year-MONTH(Inputs!$G$26)</f>
        <v>54</v>
      </c>
      <c r="T472" s="74" t="n">
        <f aca="false">(T$363+1-YEAR(Inputs!$G$26))*Months_In_Year-MONTH(Inputs!$G$26)</f>
        <v>66</v>
      </c>
      <c r="U472" s="74" t="n">
        <f aca="false">(U$363+1-YEAR(Inputs!$G$26))*Months_In_Year-MONTH(Inputs!$G$26)</f>
        <v>78</v>
      </c>
      <c r="V472" s="74" t="n">
        <f aca="false">(V$363+1-YEAR(Inputs!$G$26))*Months_In_Year-MONTH(Inputs!$G$26)</f>
        <v>90</v>
      </c>
      <c r="W472" s="74" t="n">
        <f aca="false">(W$363+1-YEAR(Inputs!$G$26))*Months_In_Year-MONTH(Inputs!$G$26)</f>
        <v>102</v>
      </c>
      <c r="X472" s="74" t="n">
        <f aca="false">(X$363+1-YEAR(Inputs!$G$26))*Months_In_Year-MONTH(Inputs!$G$26)</f>
        <v>114</v>
      </c>
      <c r="Y472" s="74" t="n">
        <f aca="false">(Y$363+1-YEAR(Inputs!$G$26))*Months_In_Year-MONTH(Inputs!$G$26)</f>
        <v>126</v>
      </c>
      <c r="Z472" s="74" t="n">
        <f aca="false">(Z$363+1-YEAR(Inputs!$G$26))*Months_In_Year-MONTH(Inputs!$G$26)</f>
        <v>138</v>
      </c>
      <c r="AA472" s="74" t="n">
        <f aca="false">(AA$363+1-YEAR(Inputs!$G$26))*Months_In_Year-MONTH(Inputs!$G$26)</f>
        <v>150</v>
      </c>
      <c r="AB472" s="74" t="n">
        <f aca="false">(AB$363+1-YEAR(Inputs!$G$26))*Months_In_Year-MONTH(Inputs!$G$26)</f>
        <v>162</v>
      </c>
      <c r="AC472" s="74" t="n">
        <f aca="false">(AC$363+1-YEAR(Inputs!$G$26))*Months_In_Year-MONTH(Inputs!$G$26)</f>
        <v>174</v>
      </c>
      <c r="AD472" s="74" t="n">
        <f aca="false">(AD$363+1-YEAR(Inputs!$G$26))*Months_In_Year-MONTH(Inputs!$G$26)</f>
        <v>186</v>
      </c>
      <c r="AE472" s="74" t="n">
        <f aca="false">(AE$363+1-YEAR(Inputs!$G$26))*Months_In_Year-MONTH(Inputs!$G$26)</f>
        <v>198</v>
      </c>
      <c r="AF472" s="74" t="n">
        <f aca="false">(AF$363+1-YEAR(Inputs!$G$26))*Months_In_Year-MONTH(Inputs!$G$26)</f>
        <v>210</v>
      </c>
      <c r="AG472" s="74" t="n">
        <f aca="false">(AG$363+1-YEAR(Inputs!$G$26))*Months_In_Year-MONTH(Inputs!$G$26)</f>
        <v>222</v>
      </c>
      <c r="AH472" s="74" t="n">
        <f aca="false">(AH$363+1-YEAR(Inputs!$G$26))*Months_In_Year-MONTH(Inputs!$G$26)</f>
        <v>234</v>
      </c>
      <c r="AI472" s="74" t="n">
        <f aca="false">(AI$363+1-YEAR(Inputs!$G$26))*Months_In_Year-MONTH(Inputs!$G$26)</f>
        <v>246</v>
      </c>
      <c r="AJ472" s="74" t="n">
        <f aca="false">(AJ$363+1-YEAR(Inputs!$G$26))*Months_In_Year-MONTH(Inputs!$G$26)</f>
        <v>258</v>
      </c>
      <c r="AK472" s="74" t="n">
        <f aca="false">(AK$363+1-YEAR(Inputs!$G$26))*Months_In_Year-MONTH(Inputs!$G$26)</f>
        <v>270</v>
      </c>
      <c r="AL472" s="74" t="n">
        <f aca="false">(AL$363+1-YEAR(Inputs!$G$26))*Months_In_Year-MONTH(Inputs!$G$26)</f>
        <v>282</v>
      </c>
      <c r="AM472" s="74" t="n">
        <f aca="false">(AM$363+1-YEAR(Inputs!$G$26))*Months_In_Year-MONTH(Inputs!$G$26)</f>
        <v>294</v>
      </c>
      <c r="AN472" s="74" t="n">
        <f aca="false">(AN$363+1-YEAR(Inputs!$G$26))*Months_In_Year-MONTH(Inputs!$G$26)</f>
        <v>306</v>
      </c>
      <c r="AO472" s="74" t="n">
        <f aca="false">(AO$363+1-YEAR(Inputs!$G$26))*Months_In_Year-MONTH(Inputs!$G$26)</f>
        <v>318</v>
      </c>
      <c r="AP472" s="74" t="n">
        <f aca="false">(AP$363+1-YEAR(Inputs!$G$26))*Months_In_Year-MONTH(Inputs!$G$26)</f>
        <v>330</v>
      </c>
      <c r="AQ472" s="74" t="n">
        <f aca="false">(AQ$363+1-YEAR(Inputs!$G$26))*Months_In_Year-MONTH(Inputs!$G$26)</f>
        <v>342</v>
      </c>
      <c r="AR472" s="74" t="n">
        <f aca="false">(AR$363+1-YEAR(Inputs!$G$26))*Months_In_Year-MONTH(Inputs!$G$26)</f>
        <v>354</v>
      </c>
      <c r="AS472" s="74" t="n">
        <f aca="false">(AS$363+1-YEAR(Inputs!$G$26))*Months_In_Year-MONTH(Inputs!$G$26)</f>
        <v>366</v>
      </c>
    </row>
    <row r="473" customFormat="false" ht="14.25" hidden="false" customHeight="false" outlineLevel="0" collapsed="false">
      <c r="C473" s="6" t="s">
        <v>296</v>
      </c>
      <c r="D473" s="2" t="s">
        <v>12</v>
      </c>
      <c r="H473" s="75" t="n">
        <f aca="false">SUM(J473:AS473)</f>
        <v>30</v>
      </c>
      <c r="J473" s="48" t="n">
        <f aca="false">MAX(0,MIN(J472,$G472)-MAX(J472-Months_In_Year,0))/Months_In_Year</f>
        <v>0</v>
      </c>
      <c r="K473" s="48" t="n">
        <f aca="false">MAX(0,MIN(K472,$G472)-MAX(K472-Months_In_Year,0))/Months_In_Year</f>
        <v>0</v>
      </c>
      <c r="L473" s="48" t="n">
        <f aca="false">MAX(0,MIN(L472,$G472)-MAX(L472-Months_In_Year,0))/Months_In_Year</f>
        <v>0</v>
      </c>
      <c r="M473" s="48" t="n">
        <f aca="false">MAX(0,MIN(M472,$G472)-MAX(M472-Months_In_Year,0))/Months_In_Year</f>
        <v>0</v>
      </c>
      <c r="N473" s="48" t="n">
        <f aca="false">MAX(0,MIN(N472,$G472)-MAX(N472-Months_In_Year,0))/Months_In_Year</f>
        <v>0</v>
      </c>
      <c r="O473" s="48" t="n">
        <f aca="false">MAX(0,MIN(O472,$G472)-MAX(O472-Months_In_Year,0))/Months_In_Year</f>
        <v>0.5</v>
      </c>
      <c r="P473" s="48" t="n">
        <f aca="false">MAX(0,MIN(P472,$G472)-MAX(P472-Months_In_Year,0))/Months_In_Year</f>
        <v>1</v>
      </c>
      <c r="Q473" s="48" t="n">
        <f aca="false">MAX(0,MIN(Q472,$G472)-MAX(Q472-Months_In_Year,0))/Months_In_Year</f>
        <v>1</v>
      </c>
      <c r="R473" s="48" t="n">
        <f aca="false">MAX(0,MIN(R472,$G472)-MAX(R472-Months_In_Year,0))/Months_In_Year</f>
        <v>1</v>
      </c>
      <c r="S473" s="48" t="n">
        <f aca="false">MAX(0,MIN(S472,$G472)-MAX(S472-Months_In_Year,0))/Months_In_Year</f>
        <v>1</v>
      </c>
      <c r="T473" s="48" t="n">
        <f aca="false">MAX(0,MIN(T472,$G472)-MAX(T472-Months_In_Year,0))/Months_In_Year</f>
        <v>1</v>
      </c>
      <c r="U473" s="48" t="n">
        <f aca="false">MAX(0,MIN(U472,$G472)-MAX(U472-Months_In_Year,0))/Months_In_Year</f>
        <v>1</v>
      </c>
      <c r="V473" s="48" t="n">
        <f aca="false">MAX(0,MIN(V472,$G472)-MAX(V472-Months_In_Year,0))/Months_In_Year</f>
        <v>1</v>
      </c>
      <c r="W473" s="48" t="n">
        <f aca="false">MAX(0,MIN(W472,$G472)-MAX(W472-Months_In_Year,0))/Months_In_Year</f>
        <v>1</v>
      </c>
      <c r="X473" s="48" t="n">
        <f aca="false">MAX(0,MIN(X472,$G472)-MAX(X472-Months_In_Year,0))/Months_In_Year</f>
        <v>1</v>
      </c>
      <c r="Y473" s="48" t="n">
        <f aca="false">MAX(0,MIN(Y472,$G472)-MAX(Y472-Months_In_Year,0))/Months_In_Year</f>
        <v>1</v>
      </c>
      <c r="Z473" s="48" t="n">
        <f aca="false">MAX(0,MIN(Z472,$G472)-MAX(Z472-Months_In_Year,0))/Months_In_Year</f>
        <v>1</v>
      </c>
      <c r="AA473" s="48" t="n">
        <f aca="false">MAX(0,MIN(AA472,$G472)-MAX(AA472-Months_In_Year,0))/Months_In_Year</f>
        <v>1</v>
      </c>
      <c r="AB473" s="48" t="n">
        <f aca="false">MAX(0,MIN(AB472,$G472)-MAX(AB472-Months_In_Year,0))/Months_In_Year</f>
        <v>1</v>
      </c>
      <c r="AC473" s="48" t="n">
        <f aca="false">MAX(0,MIN(AC472,$G472)-MAX(AC472-Months_In_Year,0))/Months_In_Year</f>
        <v>1</v>
      </c>
      <c r="AD473" s="48" t="n">
        <f aca="false">MAX(0,MIN(AD472,$G472)-MAX(AD472-Months_In_Year,0))/Months_In_Year</f>
        <v>1</v>
      </c>
      <c r="AE473" s="48" t="n">
        <f aca="false">MAX(0,MIN(AE472,$G472)-MAX(AE472-Months_In_Year,0))/Months_In_Year</f>
        <v>1</v>
      </c>
      <c r="AF473" s="48" t="n">
        <f aca="false">MAX(0,MIN(AF472,$G472)-MAX(AF472-Months_In_Year,0))/Months_In_Year</f>
        <v>1</v>
      </c>
      <c r="AG473" s="48" t="n">
        <f aca="false">MAX(0,MIN(AG472,$G472)-MAX(AG472-Months_In_Year,0))/Months_In_Year</f>
        <v>1</v>
      </c>
      <c r="AH473" s="48" t="n">
        <f aca="false">MAX(0,MIN(AH472,$G472)-MAX(AH472-Months_In_Year,0))/Months_In_Year</f>
        <v>1</v>
      </c>
      <c r="AI473" s="48" t="n">
        <f aca="false">MAX(0,MIN(AI472,$G472)-MAX(AI472-Months_In_Year,0))/Months_In_Year</f>
        <v>1</v>
      </c>
      <c r="AJ473" s="48" t="n">
        <f aca="false">MAX(0,MIN(AJ472,$G472)-MAX(AJ472-Months_In_Year,0))/Months_In_Year</f>
        <v>1</v>
      </c>
      <c r="AK473" s="48" t="n">
        <f aca="false">MAX(0,MIN(AK472,$G472)-MAX(AK472-Months_In_Year,0))/Months_In_Year</f>
        <v>1</v>
      </c>
      <c r="AL473" s="48" t="n">
        <f aca="false">MAX(0,MIN(AL472,$G472)-MAX(AL472-Months_In_Year,0))/Months_In_Year</f>
        <v>1</v>
      </c>
      <c r="AM473" s="48" t="n">
        <f aca="false">MAX(0,MIN(AM472,$G472)-MAX(AM472-Months_In_Year,0))/Months_In_Year</f>
        <v>1</v>
      </c>
      <c r="AN473" s="48" t="n">
        <f aca="false">MAX(0,MIN(AN472,$G472)-MAX(AN472-Months_In_Year,0))/Months_In_Year</f>
        <v>1</v>
      </c>
      <c r="AO473" s="48" t="n">
        <f aca="false">MAX(0,MIN(AO472,$G472)-MAX(AO472-Months_In_Year,0))/Months_In_Year</f>
        <v>1</v>
      </c>
      <c r="AP473" s="48" t="n">
        <f aca="false">MAX(0,MIN(AP472,$G472)-MAX(AP472-Months_In_Year,0))/Months_In_Year</f>
        <v>1</v>
      </c>
      <c r="AQ473" s="48" t="n">
        <f aca="false">MAX(0,MIN(AQ472,$G472)-MAX(AQ472-Months_In_Year,0))/Months_In_Year</f>
        <v>1</v>
      </c>
      <c r="AR473" s="48" t="n">
        <f aca="false">MAX(0,MIN(AR472,$G472)-MAX(AR472-Months_In_Year,0))/Months_In_Year</f>
        <v>1</v>
      </c>
      <c r="AS473" s="48" t="n">
        <f aca="false">MAX(0,MIN(AS472,$G472)-MAX(AS472-Months_In_Year,0))/Months_In_Year</f>
        <v>0.5</v>
      </c>
    </row>
    <row r="474" customFormat="false" ht="14.25" hidden="false" customHeight="false" outlineLevel="0" collapsed="false">
      <c r="C474" s="6" t="s">
        <v>297</v>
      </c>
      <c r="D474" s="2" t="s">
        <v>2</v>
      </c>
      <c r="J474" s="76" t="n">
        <f aca="false">N(J469=0)</f>
        <v>0</v>
      </c>
      <c r="K474" s="76" t="n">
        <f aca="false">N(K469=0)</f>
        <v>0</v>
      </c>
      <c r="L474" s="76" t="n">
        <f aca="false">N(L469=0)</f>
        <v>0</v>
      </c>
      <c r="M474" s="76" t="n">
        <f aca="false">N(M469=0)</f>
        <v>0</v>
      </c>
      <c r="N474" s="76" t="n">
        <f aca="false">N(N469=0)</f>
        <v>0</v>
      </c>
      <c r="O474" s="76" t="n">
        <f aca="false">N(O469=0)</f>
        <v>1</v>
      </c>
      <c r="P474" s="76" t="n">
        <f aca="false">N(P469=0)</f>
        <v>0</v>
      </c>
      <c r="Q474" s="76" t="n">
        <f aca="false">N(Q469=0)</f>
        <v>0</v>
      </c>
      <c r="R474" s="76" t="n">
        <f aca="false">N(R469=0)</f>
        <v>0</v>
      </c>
      <c r="S474" s="76" t="n">
        <f aca="false">N(S469=0)</f>
        <v>0</v>
      </c>
      <c r="T474" s="76" t="n">
        <f aca="false">N(T469=0)</f>
        <v>0</v>
      </c>
      <c r="U474" s="76" t="n">
        <f aca="false">N(U469=0)</f>
        <v>0</v>
      </c>
      <c r="V474" s="76" t="n">
        <f aca="false">N(V469=0)</f>
        <v>0</v>
      </c>
      <c r="W474" s="76" t="n">
        <f aca="false">N(W469=0)</f>
        <v>0</v>
      </c>
      <c r="X474" s="76" t="n">
        <f aca="false">N(X469=0)</f>
        <v>0</v>
      </c>
      <c r="Y474" s="76" t="n">
        <f aca="false">N(Y469=0)</f>
        <v>0</v>
      </c>
      <c r="Z474" s="76" t="n">
        <f aca="false">N(Z469=0)</f>
        <v>0</v>
      </c>
      <c r="AA474" s="76" t="n">
        <f aca="false">N(AA469=0)</f>
        <v>0</v>
      </c>
      <c r="AB474" s="76" t="n">
        <f aca="false">N(AB469=0)</f>
        <v>0</v>
      </c>
      <c r="AC474" s="76" t="n">
        <f aca="false">N(AC469=0)</f>
        <v>0</v>
      </c>
      <c r="AD474" s="76" t="n">
        <f aca="false">N(AD469=0)</f>
        <v>0</v>
      </c>
      <c r="AE474" s="76" t="n">
        <f aca="false">N(AE469=0)</f>
        <v>0</v>
      </c>
      <c r="AF474" s="76" t="n">
        <f aca="false">N(AF469=0)</f>
        <v>0</v>
      </c>
      <c r="AG474" s="76" t="n">
        <f aca="false">N(AG469=0)</f>
        <v>0</v>
      </c>
      <c r="AH474" s="76" t="n">
        <f aca="false">N(AH469=0)</f>
        <v>0</v>
      </c>
      <c r="AI474" s="76" t="n">
        <f aca="false">N(AI469=0)</f>
        <v>0</v>
      </c>
      <c r="AJ474" s="76" t="n">
        <f aca="false">N(AJ469=0)</f>
        <v>0</v>
      </c>
      <c r="AK474" s="76" t="n">
        <f aca="false">N(AK469=0)</f>
        <v>0</v>
      </c>
      <c r="AL474" s="76" t="n">
        <f aca="false">N(AL469=0)</f>
        <v>0</v>
      </c>
      <c r="AM474" s="76" t="n">
        <f aca="false">N(AM469=0)</f>
        <v>0</v>
      </c>
      <c r="AN474" s="76" t="n">
        <f aca="false">N(AN469=0)</f>
        <v>0</v>
      </c>
      <c r="AO474" s="76" t="n">
        <f aca="false">N(AO469=0)</f>
        <v>0</v>
      </c>
      <c r="AP474" s="76" t="n">
        <f aca="false">N(AP469=0)</f>
        <v>0</v>
      </c>
      <c r="AQ474" s="76" t="n">
        <f aca="false">N(AQ469=0)</f>
        <v>0</v>
      </c>
      <c r="AR474" s="76" t="n">
        <f aca="false">N(AR469=0)</f>
        <v>0</v>
      </c>
      <c r="AS474" s="76" t="n">
        <f aca="false">N(AS469=0)</f>
        <v>0</v>
      </c>
    </row>
    <row r="475" customFormat="false" ht="14.25" hidden="false" customHeight="false" outlineLevel="0" collapsed="false">
      <c r="C475" s="6" t="s">
        <v>298</v>
      </c>
      <c r="D475" s="2" t="s">
        <v>85</v>
      </c>
      <c r="H475" s="8" t="n">
        <f aca="false">SUM(J475:AS475)</f>
        <v>-14078.5797945205</v>
      </c>
      <c r="J475" s="8" t="n">
        <f aca="false">-($G$98+$G$68+$G$62+$G$63+$G$92)*(J$363=YEAR(Sale_Date))</f>
        <v>-0</v>
      </c>
      <c r="K475" s="8" t="n">
        <f aca="false">-($G$98+$G$68+$G$62+$G$63+$G$92)*(K$363=YEAR(Sale_Date))</f>
        <v>-0</v>
      </c>
      <c r="L475" s="8" t="n">
        <f aca="false">-($G$98+$G$68+$G$62+$G$63+$G$92)*(L$363=YEAR(Sale_Date))</f>
        <v>-0</v>
      </c>
      <c r="M475" s="8" t="n">
        <f aca="false">-($G$98+$G$68+$G$62+$G$63+$G$92)*(M$363=YEAR(Sale_Date))</f>
        <v>-14078.5797945205</v>
      </c>
      <c r="N475" s="8" t="n">
        <f aca="false">-($G$98+$G$68+$G$62+$G$63+$G$92)*(N$363=YEAR(Sale_Date))</f>
        <v>-0</v>
      </c>
      <c r="O475" s="8" t="n">
        <f aca="false">-($G$98+$G$68+$G$62+$G$63+$G$92)*(O$363=YEAR(Sale_Date))</f>
        <v>-0</v>
      </c>
      <c r="P475" s="8" t="n">
        <f aca="false">-($G$98+$G$68+$G$62+$G$63+$G$92)*(P$363=YEAR(Sale_Date))</f>
        <v>-0</v>
      </c>
      <c r="Q475" s="8" t="n">
        <f aca="false">-($G$98+$G$68+$G$62+$G$63+$G$92)*(Q$363=YEAR(Sale_Date))</f>
        <v>-0</v>
      </c>
      <c r="R475" s="8" t="n">
        <f aca="false">-($G$98+$G$68+$G$62+$G$63+$G$92)*(R$363=YEAR(Sale_Date))</f>
        <v>-0</v>
      </c>
      <c r="S475" s="8" t="n">
        <f aca="false">-($G$98+$G$68+$G$62+$G$63+$G$92)*(S$363=YEAR(Sale_Date))</f>
        <v>-0</v>
      </c>
      <c r="T475" s="8" t="n">
        <f aca="false">-($G$98+$G$68+$G$62+$G$63+$G$92)*(T$363=YEAR(Sale_Date))</f>
        <v>-0</v>
      </c>
      <c r="U475" s="8" t="n">
        <f aca="false">-($G$98+$G$68+$G$62+$G$63+$G$92)*(U$363=YEAR(Sale_Date))</f>
        <v>-0</v>
      </c>
      <c r="V475" s="8" t="n">
        <f aca="false">-($G$98+$G$68+$G$62+$G$63+$G$92)*(V$363=YEAR(Sale_Date))</f>
        <v>-0</v>
      </c>
      <c r="W475" s="8" t="n">
        <f aca="false">-($G$98+$G$68+$G$62+$G$63+$G$92)*(W$363=YEAR(Sale_Date))</f>
        <v>-0</v>
      </c>
      <c r="X475" s="8" t="n">
        <f aca="false">-($G$98+$G$68+$G$62+$G$63+$G$92)*(X$363=YEAR(Sale_Date))</f>
        <v>-0</v>
      </c>
      <c r="Y475" s="8" t="n">
        <f aca="false">-($G$98+$G$68+$G$62+$G$63+$G$92)*(Y$363=YEAR(Sale_Date))</f>
        <v>-0</v>
      </c>
      <c r="Z475" s="8" t="n">
        <f aca="false">-($G$98+$G$68+$G$62+$G$63+$G$92)*(Z$363=YEAR(Sale_Date))</f>
        <v>-0</v>
      </c>
      <c r="AA475" s="8" t="n">
        <f aca="false">-($G$98+$G$68+$G$62+$G$63+$G$92)*(AA$363=YEAR(Sale_Date))</f>
        <v>-0</v>
      </c>
      <c r="AB475" s="8" t="n">
        <f aca="false">-($G$98+$G$68+$G$62+$G$63+$G$92)*(AB$363=YEAR(Sale_Date))</f>
        <v>-0</v>
      </c>
      <c r="AC475" s="8" t="n">
        <f aca="false">-($G$98+$G$68+$G$62+$G$63+$G$92)*(AC$363=YEAR(Sale_Date))</f>
        <v>-0</v>
      </c>
      <c r="AD475" s="8" t="n">
        <f aca="false">-($G$98+$G$68+$G$62+$G$63+$G$92)*(AD$363=YEAR(Sale_Date))</f>
        <v>-0</v>
      </c>
      <c r="AE475" s="8" t="n">
        <f aca="false">-($G$98+$G$68+$G$62+$G$63+$G$92)*(AE$363=YEAR(Sale_Date))</f>
        <v>-0</v>
      </c>
      <c r="AF475" s="8" t="n">
        <f aca="false">-($G$98+$G$68+$G$62+$G$63+$G$92)*(AF$363=YEAR(Sale_Date))</f>
        <v>-0</v>
      </c>
      <c r="AG475" s="8" t="n">
        <f aca="false">-($G$98+$G$68+$G$62+$G$63+$G$92)*(AG$363=YEAR(Sale_Date))</f>
        <v>-0</v>
      </c>
      <c r="AH475" s="8" t="n">
        <f aca="false">-($G$98+$G$68+$G$62+$G$63+$G$92)*(AH$363=YEAR(Sale_Date))</f>
        <v>-0</v>
      </c>
      <c r="AI475" s="8" t="n">
        <f aca="false">-($G$98+$G$68+$G$62+$G$63+$G$92)*(AI$363=YEAR(Sale_Date))</f>
        <v>-0</v>
      </c>
      <c r="AJ475" s="8" t="n">
        <f aca="false">-($G$98+$G$68+$G$62+$G$63+$G$92)*(AJ$363=YEAR(Sale_Date))</f>
        <v>-0</v>
      </c>
      <c r="AK475" s="8" t="n">
        <f aca="false">-($G$98+$G$68+$G$62+$G$63+$G$92)*(AK$363=YEAR(Sale_Date))</f>
        <v>-0</v>
      </c>
      <c r="AL475" s="8" t="n">
        <f aca="false">-($G$98+$G$68+$G$62+$G$63+$G$92)*(AL$363=YEAR(Sale_Date))</f>
        <v>-0</v>
      </c>
      <c r="AM475" s="8" t="n">
        <f aca="false">-($G$98+$G$68+$G$62+$G$63+$G$92)*(AM$363=YEAR(Sale_Date))</f>
        <v>-0</v>
      </c>
      <c r="AN475" s="8" t="n">
        <f aca="false">-($G$98+$G$68+$G$62+$G$63+$G$92)*(AN$363=YEAR(Sale_Date))</f>
        <v>-0</v>
      </c>
      <c r="AO475" s="8" t="n">
        <f aca="false">-($G$98+$G$68+$G$62+$G$63+$G$92)*(AO$363=YEAR(Sale_Date))</f>
        <v>-0</v>
      </c>
      <c r="AP475" s="8" t="n">
        <f aca="false">-($G$98+$G$68+$G$62+$G$63+$G$92)*(AP$363=YEAR(Sale_Date))</f>
        <v>-0</v>
      </c>
      <c r="AQ475" s="8" t="n">
        <f aca="false">-($G$98+$G$68+$G$62+$G$63+$G$92)*(AQ$363=YEAR(Sale_Date))</f>
        <v>-0</v>
      </c>
      <c r="AR475" s="8" t="n">
        <f aca="false">-($G$98+$G$68+$G$62+$G$63+$G$92)*(AR$363=YEAR(Sale_Date))</f>
        <v>-0</v>
      </c>
      <c r="AS475" s="8" t="n">
        <f aca="false">-($G$98+$G$68+$G$62+$G$63+$G$92)*(AS$363=YEAR(Sale_Date))</f>
        <v>-0</v>
      </c>
    </row>
    <row r="476" customFormat="false" ht="14.25" hidden="false" customHeight="false" outlineLevel="0" collapsed="false">
      <c r="C476" s="6" t="s">
        <v>299</v>
      </c>
      <c r="D476" s="2" t="s">
        <v>85</v>
      </c>
      <c r="H476" s="8" t="n">
        <f aca="false">SUM(J476:AS476)</f>
        <v>2494.52054794521</v>
      </c>
      <c r="J476" s="8" t="n">
        <f aca="false">($G$62+$G$63)*(J$363=YEAR(Inputs!$G$27))</f>
        <v>0</v>
      </c>
      <c r="K476" s="8" t="n">
        <f aca="false">($G$62+$G$63)*(K$363=YEAR(Inputs!$G$27))</f>
        <v>0</v>
      </c>
      <c r="L476" s="8" t="n">
        <f aca="false">($G$62+$G$63)*(L$363=YEAR(Inputs!$G$27))</f>
        <v>0</v>
      </c>
      <c r="M476" s="8" t="n">
        <f aca="false">($G$62+$G$63)*(M$363=YEAR(Inputs!$G$27))</f>
        <v>0</v>
      </c>
      <c r="N476" s="8" t="n">
        <f aca="false">($G$62+$G$63)*(N$363=YEAR(Inputs!$G$27))</f>
        <v>0</v>
      </c>
      <c r="O476" s="8" t="n">
        <f aca="false">($G$62+$G$63)*(O$363=YEAR(Inputs!$G$27))</f>
        <v>0</v>
      </c>
      <c r="P476" s="8" t="n">
        <f aca="false">($G$62+$G$63)*(P$363=YEAR(Inputs!$G$27))</f>
        <v>0</v>
      </c>
      <c r="Q476" s="8" t="n">
        <f aca="false">($G$62+$G$63)*(Q$363=YEAR(Inputs!$G$27))</f>
        <v>2494.52054794521</v>
      </c>
      <c r="R476" s="8" t="n">
        <f aca="false">($G$62+$G$63)*(R$363=YEAR(Inputs!$G$27))</f>
        <v>0</v>
      </c>
      <c r="S476" s="8" t="n">
        <f aca="false">($G$62+$G$63)*(S$363=YEAR(Inputs!$G$27))</f>
        <v>0</v>
      </c>
      <c r="T476" s="8" t="n">
        <f aca="false">($G$62+$G$63)*(T$363=YEAR(Inputs!$G$27))</f>
        <v>0</v>
      </c>
      <c r="U476" s="8" t="n">
        <f aca="false">($G$62+$G$63)*(U$363=YEAR(Inputs!$G$27))</f>
        <v>0</v>
      </c>
      <c r="V476" s="8" t="n">
        <f aca="false">($G$62+$G$63)*(V$363=YEAR(Inputs!$G$27))</f>
        <v>0</v>
      </c>
      <c r="W476" s="8" t="n">
        <f aca="false">($G$62+$G$63)*(W$363=YEAR(Inputs!$G$27))</f>
        <v>0</v>
      </c>
      <c r="X476" s="8" t="n">
        <f aca="false">($G$62+$G$63)*(X$363=YEAR(Inputs!$G$27))</f>
        <v>0</v>
      </c>
      <c r="Y476" s="8" t="n">
        <f aca="false">($G$62+$G$63)*(Y$363=YEAR(Inputs!$G$27))</f>
        <v>0</v>
      </c>
      <c r="Z476" s="8" t="n">
        <f aca="false">($G$62+$G$63)*(Z$363=YEAR(Inputs!$G$27))</f>
        <v>0</v>
      </c>
      <c r="AA476" s="8" t="n">
        <f aca="false">($G$62+$G$63)*(AA$363=YEAR(Inputs!$G$27))</f>
        <v>0</v>
      </c>
      <c r="AB476" s="8" t="n">
        <f aca="false">($G$62+$G$63)*(AB$363=YEAR(Inputs!$G$27))</f>
        <v>0</v>
      </c>
      <c r="AC476" s="8" t="n">
        <f aca="false">($G$62+$G$63)*(AC$363=YEAR(Inputs!$G$27))</f>
        <v>0</v>
      </c>
      <c r="AD476" s="8" t="n">
        <f aca="false">($G$62+$G$63)*(AD$363=YEAR(Inputs!$G$27))</f>
        <v>0</v>
      </c>
      <c r="AE476" s="8" t="n">
        <f aca="false">($G$62+$G$63)*(AE$363=YEAR(Inputs!$G$27))</f>
        <v>0</v>
      </c>
      <c r="AF476" s="8" t="n">
        <f aca="false">($G$62+$G$63)*(AF$363=YEAR(Inputs!$G$27))</f>
        <v>0</v>
      </c>
      <c r="AG476" s="8" t="n">
        <f aca="false">($G$62+$G$63)*(AG$363=YEAR(Inputs!$G$27))</f>
        <v>0</v>
      </c>
      <c r="AH476" s="8" t="n">
        <f aca="false">($G$62+$G$63)*(AH$363=YEAR(Inputs!$G$27))</f>
        <v>0</v>
      </c>
      <c r="AI476" s="8" t="n">
        <f aca="false">($G$62+$G$63)*(AI$363=YEAR(Inputs!$G$27))</f>
        <v>0</v>
      </c>
      <c r="AJ476" s="8" t="n">
        <f aca="false">($G$62+$G$63)*(AJ$363=YEAR(Inputs!$G$27))</f>
        <v>0</v>
      </c>
      <c r="AK476" s="8" t="n">
        <f aca="false">($G$62+$G$63)*(AK$363=YEAR(Inputs!$G$27))</f>
        <v>0</v>
      </c>
      <c r="AL476" s="8" t="n">
        <f aca="false">($G$62+$G$63)*(AL$363=YEAR(Inputs!$G$27))</f>
        <v>0</v>
      </c>
      <c r="AM476" s="8" t="n">
        <f aca="false">($G$62+$G$63)*(AM$363=YEAR(Inputs!$G$27))</f>
        <v>0</v>
      </c>
      <c r="AN476" s="8" t="n">
        <f aca="false">($G$62+$G$63)*(AN$363=YEAR(Inputs!$G$27))</f>
        <v>0</v>
      </c>
      <c r="AO476" s="8" t="n">
        <f aca="false">($G$62+$G$63)*(AO$363=YEAR(Inputs!$G$27))</f>
        <v>0</v>
      </c>
      <c r="AP476" s="8" t="n">
        <f aca="false">($G$62+$G$63)*(AP$363=YEAR(Inputs!$G$27))</f>
        <v>0</v>
      </c>
      <c r="AQ476" s="8" t="n">
        <f aca="false">($G$62+$G$63)*(AQ$363=YEAR(Inputs!$G$27))</f>
        <v>0</v>
      </c>
      <c r="AR476" s="8" t="n">
        <f aca="false">($G$62+$G$63)*(AR$363=YEAR(Inputs!$G$27))</f>
        <v>0</v>
      </c>
      <c r="AS476" s="8" t="n">
        <f aca="false">($G$62+$G$63)*(AS$363=YEAR(Inputs!$G$27))</f>
        <v>0</v>
      </c>
    </row>
    <row r="477" customFormat="false" ht="14.25" hidden="false" customHeight="false" outlineLevel="0" collapsed="false">
      <c r="C477" s="6" t="s">
        <v>300</v>
      </c>
      <c r="D477" s="2" t="s">
        <v>85</v>
      </c>
      <c r="H477" s="8" t="n">
        <f aca="false">SUM(J477:AS477)</f>
        <v>-62716</v>
      </c>
      <c r="J477" s="8" t="n">
        <f aca="false">-$G$91*J471</f>
        <v>-0</v>
      </c>
      <c r="K477" s="8" t="n">
        <f aca="false">-$G$91*K471</f>
        <v>-0</v>
      </c>
      <c r="L477" s="8" t="n">
        <f aca="false">-$G$91*L471</f>
        <v>-0</v>
      </c>
      <c r="M477" s="8" t="n">
        <f aca="false">-$G$91*M471</f>
        <v>-15679</v>
      </c>
      <c r="N477" s="8" t="n">
        <f aca="false">-$G$91*N471</f>
        <v>-31358</v>
      </c>
      <c r="O477" s="8" t="n">
        <f aca="false">-$G$91*O471</f>
        <v>-15679</v>
      </c>
      <c r="P477" s="8" t="n">
        <f aca="false">-$G$91*P471</f>
        <v>-0</v>
      </c>
      <c r="Q477" s="8" t="n">
        <f aca="false">-$G$91*Q471</f>
        <v>-0</v>
      </c>
      <c r="R477" s="8" t="n">
        <f aca="false">-$G$91*R471</f>
        <v>-0</v>
      </c>
      <c r="S477" s="8" t="n">
        <f aca="false">-$G$91*S471</f>
        <v>-0</v>
      </c>
      <c r="T477" s="8" t="n">
        <f aca="false">-$G$91*T471</f>
        <v>-0</v>
      </c>
      <c r="U477" s="8" t="n">
        <f aca="false">-$G$91*U471</f>
        <v>-0</v>
      </c>
      <c r="V477" s="8" t="n">
        <f aca="false">-$G$91*V471</f>
        <v>-0</v>
      </c>
      <c r="W477" s="8" t="n">
        <f aca="false">-$G$91*W471</f>
        <v>-0</v>
      </c>
      <c r="X477" s="8" t="n">
        <f aca="false">-$G$91*X471</f>
        <v>-0</v>
      </c>
      <c r="Y477" s="8" t="n">
        <f aca="false">-$G$91*Y471</f>
        <v>-0</v>
      </c>
      <c r="Z477" s="8" t="n">
        <f aca="false">-$G$91*Z471</f>
        <v>-0</v>
      </c>
      <c r="AA477" s="8" t="n">
        <f aca="false">-$G$91*AA471</f>
        <v>-0</v>
      </c>
      <c r="AB477" s="8" t="n">
        <f aca="false">-$G$91*AB471</f>
        <v>-0</v>
      </c>
      <c r="AC477" s="8" t="n">
        <f aca="false">-$G$91*AC471</f>
        <v>-0</v>
      </c>
      <c r="AD477" s="8" t="n">
        <f aca="false">-$G$91*AD471</f>
        <v>-0</v>
      </c>
      <c r="AE477" s="8" t="n">
        <f aca="false">-$G$91*AE471</f>
        <v>-0</v>
      </c>
      <c r="AF477" s="8" t="n">
        <f aca="false">-$G$91*AF471</f>
        <v>-0</v>
      </c>
      <c r="AG477" s="8" t="n">
        <f aca="false">-$G$91*AG471</f>
        <v>-0</v>
      </c>
      <c r="AH477" s="8" t="n">
        <f aca="false">-$G$91*AH471</f>
        <v>-0</v>
      </c>
      <c r="AI477" s="8" t="n">
        <f aca="false">-$G$91*AI471</f>
        <v>-0</v>
      </c>
      <c r="AJ477" s="8" t="n">
        <f aca="false">-$G$91*AJ471</f>
        <v>-0</v>
      </c>
      <c r="AK477" s="8" t="n">
        <f aca="false">-$G$91*AK471</f>
        <v>-0</v>
      </c>
      <c r="AL477" s="8" t="n">
        <f aca="false">-$G$91*AL471</f>
        <v>-0</v>
      </c>
      <c r="AM477" s="8" t="n">
        <f aca="false">-$G$91*AM471</f>
        <v>-0</v>
      </c>
      <c r="AN477" s="8" t="n">
        <f aca="false">-$G$91*AN471</f>
        <v>-0</v>
      </c>
      <c r="AO477" s="8" t="n">
        <f aca="false">-$G$91*AO471</f>
        <v>-0</v>
      </c>
      <c r="AP477" s="8" t="n">
        <f aca="false">-$G$91*AP471</f>
        <v>-0</v>
      </c>
      <c r="AQ477" s="8" t="n">
        <f aca="false">-$G$91*AQ471</f>
        <v>-0</v>
      </c>
      <c r="AR477" s="8" t="n">
        <f aca="false">-$G$91*AR471</f>
        <v>-0</v>
      </c>
      <c r="AS477" s="8" t="n">
        <f aca="false">-$G$91*AS471</f>
        <v>-0</v>
      </c>
    </row>
    <row r="478" customFormat="false" ht="14.25" hidden="false" customHeight="false" outlineLevel="0" collapsed="false">
      <c r="C478" s="6" t="s">
        <v>301</v>
      </c>
      <c r="D478" s="2" t="s">
        <v>85</v>
      </c>
      <c r="H478" s="8" t="n">
        <f aca="false">SUM(J478:AS478)</f>
        <v>-2500</v>
      </c>
      <c r="J478" s="8" t="n">
        <f aca="false">-$G$96*J474</f>
        <v>-0</v>
      </c>
      <c r="K478" s="8" t="n">
        <f aca="false">-$G$96*K474</f>
        <v>-0</v>
      </c>
      <c r="L478" s="8" t="n">
        <f aca="false">-$G$96*L474</f>
        <v>-0</v>
      </c>
      <c r="M478" s="8" t="n">
        <f aca="false">-$G$96*M474</f>
        <v>-0</v>
      </c>
      <c r="N478" s="8" t="n">
        <f aca="false">-$G$96*N474</f>
        <v>-0</v>
      </c>
      <c r="O478" s="8" t="n">
        <f aca="false">-$G$96*O474</f>
        <v>-2500</v>
      </c>
      <c r="P478" s="8" t="n">
        <f aca="false">-$G$96*P474</f>
        <v>-0</v>
      </c>
      <c r="Q478" s="8" t="n">
        <f aca="false">-$G$96*Q474</f>
        <v>-0</v>
      </c>
      <c r="R478" s="8" t="n">
        <f aca="false">-$G$96*R474</f>
        <v>-0</v>
      </c>
      <c r="S478" s="8" t="n">
        <f aca="false">-$G$96*S474</f>
        <v>-0</v>
      </c>
      <c r="T478" s="8" t="n">
        <f aca="false">-$G$96*T474</f>
        <v>-0</v>
      </c>
      <c r="U478" s="8" t="n">
        <f aca="false">-$G$96*U474</f>
        <v>-0</v>
      </c>
      <c r="V478" s="8" t="n">
        <f aca="false">-$G$96*V474</f>
        <v>-0</v>
      </c>
      <c r="W478" s="8" t="n">
        <f aca="false">-$G$96*W474</f>
        <v>-0</v>
      </c>
      <c r="X478" s="8" t="n">
        <f aca="false">-$G$96*X474</f>
        <v>-0</v>
      </c>
      <c r="Y478" s="8" t="n">
        <f aca="false">-$G$96*Y474</f>
        <v>-0</v>
      </c>
      <c r="Z478" s="8" t="n">
        <f aca="false">-$G$96*Z474</f>
        <v>-0</v>
      </c>
      <c r="AA478" s="8" t="n">
        <f aca="false">-$G$96*AA474</f>
        <v>-0</v>
      </c>
      <c r="AB478" s="8" t="n">
        <f aca="false">-$G$96*AB474</f>
        <v>-0</v>
      </c>
      <c r="AC478" s="8" t="n">
        <f aca="false">-$G$96*AC474</f>
        <v>-0</v>
      </c>
      <c r="AD478" s="8" t="n">
        <f aca="false">-$G$96*AD474</f>
        <v>-0</v>
      </c>
      <c r="AE478" s="8" t="n">
        <f aca="false">-$G$96*AE474</f>
        <v>-0</v>
      </c>
      <c r="AF478" s="8" t="n">
        <f aca="false">-$G$96*AF474</f>
        <v>-0</v>
      </c>
      <c r="AG478" s="8" t="n">
        <f aca="false">-$G$96*AG474</f>
        <v>-0</v>
      </c>
      <c r="AH478" s="8" t="n">
        <f aca="false">-$G$96*AH474</f>
        <v>-0</v>
      </c>
      <c r="AI478" s="8" t="n">
        <f aca="false">-$G$96*AI474</f>
        <v>-0</v>
      </c>
      <c r="AJ478" s="8" t="n">
        <f aca="false">-$G$96*AJ474</f>
        <v>-0</v>
      </c>
      <c r="AK478" s="8" t="n">
        <f aca="false">-$G$96*AK474</f>
        <v>-0</v>
      </c>
      <c r="AL478" s="8" t="n">
        <f aca="false">-$G$96*AL474</f>
        <v>-0</v>
      </c>
      <c r="AM478" s="8" t="n">
        <f aca="false">-$G$96*AM474</f>
        <v>-0</v>
      </c>
      <c r="AN478" s="8" t="n">
        <f aca="false">-$G$96*AN474</f>
        <v>-0</v>
      </c>
      <c r="AO478" s="8" t="n">
        <f aca="false">-$G$96*AO474</f>
        <v>-0</v>
      </c>
      <c r="AP478" s="8" t="n">
        <f aca="false">-$G$96*AP474</f>
        <v>-0</v>
      </c>
      <c r="AQ478" s="8" t="n">
        <f aca="false">-$G$96*AQ474</f>
        <v>-0</v>
      </c>
      <c r="AR478" s="8" t="n">
        <f aca="false">-$G$96*AR474</f>
        <v>-0</v>
      </c>
      <c r="AS478" s="8" t="n">
        <f aca="false">-$G$96*AS474</f>
        <v>-0</v>
      </c>
    </row>
    <row r="479" customFormat="false" ht="14.25" hidden="false" customHeight="false" outlineLevel="0" collapsed="false">
      <c r="C479" s="1" t="s">
        <v>302</v>
      </c>
      <c r="D479" s="2" t="s">
        <v>85</v>
      </c>
      <c r="H479" s="15" t="n">
        <f aca="false">SUM(J479:AS479)</f>
        <v>-76800.0592465753</v>
      </c>
      <c r="J479" s="15" t="n">
        <f aca="false">SUM(J475:J478)</f>
        <v>0</v>
      </c>
      <c r="K479" s="15" t="n">
        <f aca="false">SUM(K475:K478)</f>
        <v>0</v>
      </c>
      <c r="L479" s="15" t="n">
        <f aca="false">SUM(L475:L478)</f>
        <v>0</v>
      </c>
      <c r="M479" s="15" t="n">
        <f aca="false">SUM(M475:M478)</f>
        <v>-29757.5797945206</v>
      </c>
      <c r="N479" s="15" t="n">
        <f aca="false">SUM(N475:N478)</f>
        <v>-31358</v>
      </c>
      <c r="O479" s="15" t="n">
        <f aca="false">SUM(O475:O478)</f>
        <v>-18179</v>
      </c>
      <c r="P479" s="15" t="n">
        <f aca="false">SUM(P475:P478)</f>
        <v>0</v>
      </c>
      <c r="Q479" s="15" t="n">
        <f aca="false">SUM(Q475:Q478)</f>
        <v>2494.52054794521</v>
      </c>
      <c r="R479" s="15" t="n">
        <f aca="false">SUM(R475:R478)</f>
        <v>0</v>
      </c>
      <c r="S479" s="15" t="n">
        <f aca="false">SUM(S475:S478)</f>
        <v>0</v>
      </c>
      <c r="T479" s="15" t="n">
        <f aca="false">SUM(T475:T478)</f>
        <v>0</v>
      </c>
      <c r="U479" s="15" t="n">
        <f aca="false">SUM(U475:U478)</f>
        <v>0</v>
      </c>
      <c r="V479" s="15" t="n">
        <f aca="false">SUM(V475:V478)</f>
        <v>0</v>
      </c>
      <c r="W479" s="15" t="n">
        <f aca="false">SUM(W475:W478)</f>
        <v>0</v>
      </c>
      <c r="X479" s="15" t="n">
        <f aca="false">SUM(X475:X478)</f>
        <v>0</v>
      </c>
      <c r="Y479" s="15" t="n">
        <f aca="false">SUM(Y475:Y478)</f>
        <v>0</v>
      </c>
      <c r="Z479" s="15" t="n">
        <f aca="false">SUM(Z475:Z478)</f>
        <v>0</v>
      </c>
      <c r="AA479" s="15" t="n">
        <f aca="false">SUM(AA475:AA478)</f>
        <v>0</v>
      </c>
      <c r="AB479" s="15" t="n">
        <f aca="false">SUM(AB475:AB478)</f>
        <v>0</v>
      </c>
      <c r="AC479" s="15" t="n">
        <f aca="false">SUM(AC475:AC478)</f>
        <v>0</v>
      </c>
      <c r="AD479" s="15" t="n">
        <f aca="false">SUM(AD475:AD478)</f>
        <v>0</v>
      </c>
      <c r="AE479" s="15" t="n">
        <f aca="false">SUM(AE475:AE478)</f>
        <v>0</v>
      </c>
      <c r="AF479" s="15" t="n">
        <f aca="false">SUM(AF475:AF478)</f>
        <v>0</v>
      </c>
      <c r="AG479" s="15" t="n">
        <f aca="false">SUM(AG475:AG478)</f>
        <v>0</v>
      </c>
      <c r="AH479" s="15" t="n">
        <f aca="false">SUM(AH475:AH478)</f>
        <v>0</v>
      </c>
      <c r="AI479" s="15" t="n">
        <f aca="false">SUM(AI475:AI478)</f>
        <v>0</v>
      </c>
      <c r="AJ479" s="15" t="n">
        <f aca="false">SUM(AJ475:AJ478)</f>
        <v>0</v>
      </c>
      <c r="AK479" s="15" t="n">
        <f aca="false">SUM(AK475:AK478)</f>
        <v>0</v>
      </c>
      <c r="AL479" s="15" t="n">
        <f aca="false">SUM(AL475:AL478)</f>
        <v>0</v>
      </c>
      <c r="AM479" s="15" t="n">
        <f aca="false">SUM(AM475:AM478)</f>
        <v>0</v>
      </c>
      <c r="AN479" s="15" t="n">
        <f aca="false">SUM(AN475:AN478)</f>
        <v>0</v>
      </c>
      <c r="AO479" s="15" t="n">
        <f aca="false">SUM(AO475:AO478)</f>
        <v>0</v>
      </c>
      <c r="AP479" s="15" t="n">
        <f aca="false">SUM(AP475:AP478)</f>
        <v>0</v>
      </c>
      <c r="AQ479" s="15" t="n">
        <f aca="false">SUM(AQ475:AQ478)</f>
        <v>0</v>
      </c>
      <c r="AR479" s="15" t="n">
        <f aca="false">SUM(AR475:AR478)</f>
        <v>0</v>
      </c>
      <c r="AS479" s="15" t="n">
        <f aca="false">SUM(AS475:AS478)</f>
        <v>0</v>
      </c>
    </row>
    <row r="480" customFormat="false" ht="14.25" hidden="false" customHeight="false" outlineLevel="0" collapsed="false">
      <c r="C480" s="6" t="s">
        <v>303</v>
      </c>
      <c r="D480" s="2" t="s">
        <v>3</v>
      </c>
      <c r="J480" s="77" t="n">
        <f aca="false">(1-Degradation)^MAX(J469-1,0)</f>
        <v>1</v>
      </c>
      <c r="K480" s="77" t="n">
        <f aca="false">(1-Degradation)^MAX(K469-1,0)</f>
        <v>1</v>
      </c>
      <c r="L480" s="77" t="n">
        <f aca="false">(1-Degradation)^MAX(L469-1,0)</f>
        <v>1</v>
      </c>
      <c r="M480" s="77" t="n">
        <f aca="false">(1-Degradation)^MAX(M469-1,0)</f>
        <v>1</v>
      </c>
      <c r="N480" s="77" t="n">
        <f aca="false">(1-Degradation)^MAX(N469-1,0)</f>
        <v>1</v>
      </c>
      <c r="O480" s="77" t="n">
        <f aca="false">(1-Degradation)^MAX(O469-1,0)</f>
        <v>1</v>
      </c>
      <c r="P480" s="77" t="n">
        <f aca="false">(1-Degradation)^MAX(P469-1,0)</f>
        <v>1</v>
      </c>
      <c r="Q480" s="77" t="n">
        <f aca="false">(1-Degradation)^MAX(Q469-1,0)</f>
        <v>0.997</v>
      </c>
      <c r="R480" s="77" t="n">
        <f aca="false">(1-Degradation)^MAX(R469-1,0)</f>
        <v>0.994009</v>
      </c>
      <c r="S480" s="77" t="n">
        <f aca="false">(1-Degradation)^MAX(S469-1,0)</f>
        <v>0.991026973</v>
      </c>
      <c r="T480" s="77" t="n">
        <f aca="false">(1-Degradation)^MAX(T469-1,0)</f>
        <v>0.988053892081</v>
      </c>
      <c r="U480" s="77" t="n">
        <f aca="false">(1-Degradation)^MAX(U469-1,0)</f>
        <v>0.985089730404757</v>
      </c>
      <c r="V480" s="77" t="n">
        <f aca="false">(1-Degradation)^MAX(V469-1,0)</f>
        <v>0.982134461213543</v>
      </c>
      <c r="W480" s="77" t="n">
        <f aca="false">(1-Degradation)^MAX(W469-1,0)</f>
        <v>0.979188057829902</v>
      </c>
      <c r="X480" s="77" t="n">
        <f aca="false">(1-Degradation)^MAX(X469-1,0)</f>
        <v>0.976250493656412</v>
      </c>
      <c r="Y480" s="77" t="n">
        <f aca="false">(1-Degradation)^MAX(Y469-1,0)</f>
        <v>0.973321742175443</v>
      </c>
      <c r="Z480" s="77" t="n">
        <f aca="false">(1-Degradation)^MAX(Z469-1,0)</f>
        <v>0.970401776948917</v>
      </c>
      <c r="AA480" s="77" t="n">
        <f aca="false">(1-Degradation)^MAX(AA469-1,0)</f>
        <v>0.96749057161807</v>
      </c>
      <c r="AB480" s="77" t="n">
        <f aca="false">(1-Degradation)^MAX(AB469-1,0)</f>
        <v>0.964588099903216</v>
      </c>
      <c r="AC480" s="77" t="n">
        <f aca="false">(1-Degradation)^MAX(AC469-1,0)</f>
        <v>0.961694335603506</v>
      </c>
      <c r="AD480" s="77" t="n">
        <f aca="false">(1-Degradation)^MAX(AD469-1,0)</f>
        <v>0.958809252596696</v>
      </c>
      <c r="AE480" s="77" t="n">
        <f aca="false">(1-Degradation)^MAX(AE469-1,0)</f>
        <v>0.955932824838906</v>
      </c>
      <c r="AF480" s="77" t="n">
        <f aca="false">(1-Degradation)^MAX(AF469-1,0)</f>
        <v>0.953065026364389</v>
      </c>
      <c r="AG480" s="77" t="n">
        <f aca="false">(1-Degradation)^MAX(AG469-1,0)</f>
        <v>0.950205831285296</v>
      </c>
      <c r="AH480" s="77" t="n">
        <f aca="false">(1-Degradation)^MAX(AH469-1,0)</f>
        <v>0.94735521379144</v>
      </c>
      <c r="AI480" s="77" t="n">
        <f aca="false">(1-Degradation)^MAX(AI469-1,0)</f>
        <v>0.944513148150066</v>
      </c>
      <c r="AJ480" s="77" t="n">
        <f aca="false">(1-Degradation)^MAX(AJ469-1,0)</f>
        <v>0.941679608705615</v>
      </c>
      <c r="AK480" s="77" t="n">
        <f aca="false">(1-Degradation)^MAX(AK469-1,0)</f>
        <v>0.938854569879498</v>
      </c>
      <c r="AL480" s="77" t="n">
        <f aca="false">(1-Degradation)^MAX(AL469-1,0)</f>
        <v>0.93603800616986</v>
      </c>
      <c r="AM480" s="77" t="n">
        <f aca="false">(1-Degradation)^MAX(AM469-1,0)</f>
        <v>0.93322989215135</v>
      </c>
      <c r="AN480" s="77" t="n">
        <f aca="false">(1-Degradation)^MAX(AN469-1,0)</f>
        <v>0.930430202474896</v>
      </c>
      <c r="AO480" s="77" t="n">
        <f aca="false">(1-Degradation)^MAX(AO469-1,0)</f>
        <v>0.927638911867472</v>
      </c>
      <c r="AP480" s="77" t="n">
        <f aca="false">(1-Degradation)^MAX(AP469-1,0)</f>
        <v>0.924855995131869</v>
      </c>
      <c r="AQ480" s="77" t="n">
        <f aca="false">(1-Degradation)^MAX(AQ469-1,0)</f>
        <v>0.922081427146474</v>
      </c>
      <c r="AR480" s="77" t="n">
        <f aca="false">(1-Degradation)^MAX(AR469-1,0)</f>
        <v>0.919315182865034</v>
      </c>
      <c r="AS480" s="77" t="n">
        <f aca="false">(1-Degradation)^MAX(AS469-1,0)</f>
        <v>0.916557237316439</v>
      </c>
    </row>
    <row r="481" customFormat="false" ht="14.25" hidden="false" customHeight="false" outlineLevel="0" collapsed="false">
      <c r="C481" s="6" t="s">
        <v>304</v>
      </c>
      <c r="D481" s="2" t="s">
        <v>305</v>
      </c>
      <c r="H481" s="17" t="n">
        <f aca="false">SUM(J481:AS481)</f>
        <v>4263.39882706474</v>
      </c>
      <c r="J481" s="17" t="n">
        <f aca="false">$G$46*$G$22*(1-Curtailment)*(1-Clipping)*J473*J480/Thousand</f>
        <v>0</v>
      </c>
      <c r="K481" s="17" t="n">
        <f aca="false">$G$46*$G$22*(1-Curtailment)*(1-Clipping)*K473*K480/Thousand</f>
        <v>0</v>
      </c>
      <c r="L481" s="17" t="n">
        <f aca="false">$G$46*$G$22*(1-Curtailment)*(1-Clipping)*L473*L480/Thousand</f>
        <v>0</v>
      </c>
      <c r="M481" s="17" t="n">
        <f aca="false">$G$46*$G$22*(1-Curtailment)*(1-Clipping)*M473*M480/Thousand</f>
        <v>0</v>
      </c>
      <c r="N481" s="17" t="n">
        <f aca="false">$G$46*$G$22*(1-Curtailment)*(1-Clipping)*N473*N480/Thousand</f>
        <v>0</v>
      </c>
      <c r="O481" s="17" t="n">
        <f aca="false">$G$46*$G$22*(1-Curtailment)*(1-Clipping)*O473*O480/Thousand</f>
        <v>74.088</v>
      </c>
      <c r="P481" s="17" t="n">
        <f aca="false">$G$46*$G$22*(1-Curtailment)*(1-Clipping)*P473*P480/Thousand</f>
        <v>148.176</v>
      </c>
      <c r="Q481" s="17" t="n">
        <f aca="false">$G$46*$G$22*(1-Curtailment)*(1-Clipping)*Q473*Q480/Thousand</f>
        <v>147.731472</v>
      </c>
      <c r="R481" s="17" t="n">
        <f aca="false">$G$46*$G$22*(1-Curtailment)*(1-Clipping)*R473*R480/Thousand</f>
        <v>147.288277584</v>
      </c>
      <c r="S481" s="17" t="n">
        <f aca="false">$G$46*$G$22*(1-Curtailment)*(1-Clipping)*S473*S480/Thousand</f>
        <v>146.846412751248</v>
      </c>
      <c r="T481" s="17" t="n">
        <f aca="false">$G$46*$G$22*(1-Curtailment)*(1-Clipping)*T473*T480/Thousand</f>
        <v>146.405873512994</v>
      </c>
      <c r="U481" s="17" t="n">
        <f aca="false">$G$46*$G$22*(1-Curtailment)*(1-Clipping)*U473*U480/Thousand</f>
        <v>145.966655892455</v>
      </c>
      <c r="V481" s="17" t="n">
        <f aca="false">$G$46*$G$22*(1-Curtailment)*(1-Clipping)*V473*V480/Thousand</f>
        <v>145.528755924778</v>
      </c>
      <c r="W481" s="17" t="n">
        <f aca="false">$G$46*$G$22*(1-Curtailment)*(1-Clipping)*W473*W480/Thousand</f>
        <v>145.092169657004</v>
      </c>
      <c r="X481" s="17" t="n">
        <f aca="false">$G$46*$G$22*(1-Curtailment)*(1-Clipping)*X473*X480/Thousand</f>
        <v>144.656893148033</v>
      </c>
      <c r="Y481" s="17" t="n">
        <f aca="false">$G$46*$G$22*(1-Curtailment)*(1-Clipping)*Y473*Y480/Thousand</f>
        <v>144.222922468588</v>
      </c>
      <c r="Z481" s="17" t="n">
        <f aca="false">$G$46*$G$22*(1-Curtailment)*(1-Clipping)*Z473*Z480/Thousand</f>
        <v>143.790253701183</v>
      </c>
      <c r="AA481" s="17" t="n">
        <f aca="false">$G$46*$G$22*(1-Curtailment)*(1-Clipping)*AA473*AA480/Thousand</f>
        <v>143.358882940079</v>
      </c>
      <c r="AB481" s="17" t="n">
        <f aca="false">$G$46*$G$22*(1-Curtailment)*(1-Clipping)*AB473*AB480/Thousand</f>
        <v>142.928806291259</v>
      </c>
      <c r="AC481" s="17" t="n">
        <f aca="false">$G$46*$G$22*(1-Curtailment)*(1-Clipping)*AC473*AC480/Thousand</f>
        <v>142.500019872385</v>
      </c>
      <c r="AD481" s="17" t="n">
        <f aca="false">$G$46*$G$22*(1-Curtailment)*(1-Clipping)*AD473*AD480/Thousand</f>
        <v>142.072519812768</v>
      </c>
      <c r="AE481" s="17" t="n">
        <f aca="false">$G$46*$G$22*(1-Curtailment)*(1-Clipping)*AE473*AE480/Thousand</f>
        <v>141.64630225333</v>
      </c>
      <c r="AF481" s="17" t="n">
        <f aca="false">$G$46*$G$22*(1-Curtailment)*(1-Clipping)*AF473*AF480/Thousand</f>
        <v>141.22136334657</v>
      </c>
      <c r="AG481" s="17" t="n">
        <f aca="false">$G$46*$G$22*(1-Curtailment)*(1-Clipping)*AG473*AG480/Thousand</f>
        <v>140.79769925653</v>
      </c>
      <c r="AH481" s="17" t="n">
        <f aca="false">$G$46*$G$22*(1-Curtailment)*(1-Clipping)*AH473*AH480/Thousand</f>
        <v>140.37530615876</v>
      </c>
      <c r="AI481" s="17" t="n">
        <f aca="false">$G$46*$G$22*(1-Curtailment)*(1-Clipping)*AI473*AI480/Thousand</f>
        <v>139.954180240284</v>
      </c>
      <c r="AJ481" s="17" t="n">
        <f aca="false">$G$46*$G$22*(1-Curtailment)*(1-Clipping)*AJ473*AJ480/Thousand</f>
        <v>139.534317699563</v>
      </c>
      <c r="AK481" s="17" t="n">
        <f aca="false">$G$46*$G$22*(1-Curtailment)*(1-Clipping)*AK473*AK480/Thousand</f>
        <v>139.115714746465</v>
      </c>
      <c r="AL481" s="17" t="n">
        <f aca="false">$G$46*$G$22*(1-Curtailment)*(1-Clipping)*AL473*AL480/Thousand</f>
        <v>138.698367602225</v>
      </c>
      <c r="AM481" s="17" t="n">
        <f aca="false">$G$46*$G$22*(1-Curtailment)*(1-Clipping)*AM473*AM480/Thousand</f>
        <v>138.282272499419</v>
      </c>
      <c r="AN481" s="17" t="n">
        <f aca="false">$G$46*$G$22*(1-Curtailment)*(1-Clipping)*AN473*AN480/Thousand</f>
        <v>137.86742568192</v>
      </c>
      <c r="AO481" s="17" t="n">
        <f aca="false">$G$46*$G$22*(1-Curtailment)*(1-Clipping)*AO473*AO480/Thousand</f>
        <v>137.453823404874</v>
      </c>
      <c r="AP481" s="17" t="n">
        <f aca="false">$G$46*$G$22*(1-Curtailment)*(1-Clipping)*AP473*AP480/Thousand</f>
        <v>137.04146193466</v>
      </c>
      <c r="AQ481" s="17" t="n">
        <f aca="false">$G$46*$G$22*(1-Curtailment)*(1-Clipping)*AQ473*AQ480/Thousand</f>
        <v>136.630337548856</v>
      </c>
      <c r="AR481" s="17" t="n">
        <f aca="false">$G$46*$G$22*(1-Curtailment)*(1-Clipping)*AR473*AR480/Thousand</f>
        <v>136.220446536209</v>
      </c>
      <c r="AS481" s="17" t="n">
        <f aca="false">$G$46*$G$22*(1-Curtailment)*(1-Clipping)*AS473*AS480/Thousand</f>
        <v>67.9058925983003</v>
      </c>
    </row>
    <row r="482" customFormat="false" ht="14.25" hidden="false" customHeight="false" outlineLevel="0" collapsed="false">
      <c r="C482" s="6" t="s">
        <v>306</v>
      </c>
      <c r="D482" s="2" t="s">
        <v>20</v>
      </c>
      <c r="J482" s="17" t="n">
        <f aca="false">Case_PPA*(1+PPA_Esc)^J469*(J473&gt;0)</f>
        <v>0</v>
      </c>
      <c r="K482" s="17" t="n">
        <f aca="false">Case_PPA*(1+PPA_Esc)^K469*(K473&gt;0)</f>
        <v>0</v>
      </c>
      <c r="L482" s="17" t="n">
        <f aca="false">Case_PPA*(1+PPA_Esc)^L469*(L473&gt;0)</f>
        <v>0</v>
      </c>
      <c r="M482" s="17" t="n">
        <f aca="false">Case_PPA*(1+PPA_Esc)^M469*(M473&gt;0)</f>
        <v>0</v>
      </c>
      <c r="N482" s="17" t="n">
        <f aca="false">Case_PPA*(1+PPA_Esc)^N469*(N473&gt;0)</f>
        <v>0</v>
      </c>
      <c r="O482" s="17" t="n">
        <f aca="false">Case_PPA*(1+PPA_Esc)^O469*(O473&gt;0)</f>
        <v>90</v>
      </c>
      <c r="P482" s="17" t="n">
        <f aca="false">Case_PPA*(1+PPA_Esc)^P469*(P473&gt;0)</f>
        <v>90.9</v>
      </c>
      <c r="Q482" s="17" t="n">
        <f aca="false">Case_PPA*(1+PPA_Esc)^Q469*(Q473&gt;0)</f>
        <v>91.809</v>
      </c>
      <c r="R482" s="17" t="n">
        <f aca="false">Case_PPA*(1+PPA_Esc)^R469*(R473&gt;0)</f>
        <v>92.72709</v>
      </c>
      <c r="S482" s="17" t="n">
        <f aca="false">Case_PPA*(1+PPA_Esc)^S469*(S473&gt;0)</f>
        <v>93.6543609</v>
      </c>
      <c r="T482" s="17" t="n">
        <f aca="false">Case_PPA*(1+PPA_Esc)^T469*(T473&gt;0)</f>
        <v>94.590904509</v>
      </c>
      <c r="U482" s="17" t="n">
        <f aca="false">Case_PPA*(1+PPA_Esc)^U469*(U473&gt;0)</f>
        <v>95.53681355409</v>
      </c>
      <c r="V482" s="17" t="n">
        <f aca="false">Case_PPA*(1+PPA_Esc)^V469*(V473&gt;0)</f>
        <v>96.4921816896309</v>
      </c>
      <c r="W482" s="17" t="n">
        <f aca="false">Case_PPA*(1+PPA_Esc)^W469*(W473&gt;0)</f>
        <v>97.4571035065272</v>
      </c>
      <c r="X482" s="17" t="n">
        <f aca="false">Case_PPA*(1+PPA_Esc)^X469*(X473&gt;0)</f>
        <v>98.4316745415925</v>
      </c>
      <c r="Y482" s="17" t="n">
        <f aca="false">Case_PPA*(1+PPA_Esc)^Y469*(Y473&gt;0)</f>
        <v>99.4159912870084</v>
      </c>
      <c r="Z482" s="17" t="n">
        <f aca="false">Case_PPA*(1+PPA_Esc)^Z469*(Z473&gt;0)</f>
        <v>100.410151199878</v>
      </c>
      <c r="AA482" s="17" t="n">
        <f aca="false">Case_PPA*(1+PPA_Esc)^AA469*(AA473&gt;0)</f>
        <v>101.414252711877</v>
      </c>
      <c r="AB482" s="17" t="n">
        <f aca="false">Case_PPA*(1+PPA_Esc)^AB469*(AB473&gt;0)</f>
        <v>102.428395238996</v>
      </c>
      <c r="AC482" s="17" t="n">
        <f aca="false">Case_PPA*(1+PPA_Esc)^AC469*(AC473&gt;0)</f>
        <v>103.452679191386</v>
      </c>
      <c r="AD482" s="17" t="n">
        <f aca="false">Case_PPA*(1+PPA_Esc)^AD469*(AD473&gt;0)</f>
        <v>104.4872059833</v>
      </c>
      <c r="AE482" s="17" t="n">
        <f aca="false">Case_PPA*(1+PPA_Esc)^AE469*(AE473&gt;0)</f>
        <v>105.532078043133</v>
      </c>
      <c r="AF482" s="17" t="n">
        <f aca="false">Case_PPA*(1+PPA_Esc)^AF469*(AF473&gt;0)</f>
        <v>106.587398823564</v>
      </c>
      <c r="AG482" s="17" t="n">
        <f aca="false">Case_PPA*(1+PPA_Esc)^AG469*(AG473&gt;0)</f>
        <v>107.6532728118</v>
      </c>
      <c r="AH482" s="17" t="n">
        <f aca="false">Case_PPA*(1+PPA_Esc)^AH469*(AH473&gt;0)</f>
        <v>108.729805539918</v>
      </c>
      <c r="AI482" s="17" t="n">
        <f aca="false">Case_PPA*(1+PPA_Esc)^AI469*(AI473&gt;0)</f>
        <v>109.817103595317</v>
      </c>
      <c r="AJ482" s="17" t="n">
        <f aca="false">Case_PPA*(1+PPA_Esc)^AJ469*(AJ473&gt;0)</f>
        <v>110.91527463127</v>
      </c>
      <c r="AK482" s="17" t="n">
        <f aca="false">Case_PPA*(1+PPA_Esc)^AK469*(AK473&gt;0)</f>
        <v>112.024427377583</v>
      </c>
      <c r="AL482" s="17" t="n">
        <f aca="false">Case_PPA*(1+PPA_Esc)^AL469*(AL473&gt;0)</f>
        <v>113.144671651359</v>
      </c>
      <c r="AM482" s="17" t="n">
        <f aca="false">Case_PPA*(1+PPA_Esc)^AM469*(AM473&gt;0)</f>
        <v>114.276118367872</v>
      </c>
      <c r="AN482" s="17" t="n">
        <f aca="false">Case_PPA*(1+PPA_Esc)^AN469*(AN473&gt;0)</f>
        <v>115.418879551551</v>
      </c>
      <c r="AO482" s="17" t="n">
        <f aca="false">Case_PPA*(1+PPA_Esc)^AO469*(AO473&gt;0)</f>
        <v>116.573068347067</v>
      </c>
      <c r="AP482" s="17" t="n">
        <f aca="false">Case_PPA*(1+PPA_Esc)^AP469*(AP473&gt;0)</f>
        <v>117.738799030537</v>
      </c>
      <c r="AQ482" s="17" t="n">
        <f aca="false">Case_PPA*(1+PPA_Esc)^AQ469*(AQ473&gt;0)</f>
        <v>118.916187020843</v>
      </c>
      <c r="AR482" s="17" t="n">
        <f aca="false">Case_PPA*(1+PPA_Esc)^AR469*(AR473&gt;0)</f>
        <v>120.105348891051</v>
      </c>
      <c r="AS482" s="17" t="n">
        <f aca="false">Case_PPA*(1+PPA_Esc)^AS469*(AS473&gt;0)</f>
        <v>121.306402379962</v>
      </c>
    </row>
    <row r="483" customFormat="false" ht="14.25" hidden="false" customHeight="false" outlineLevel="0" collapsed="false">
      <c r="C483" s="1" t="s">
        <v>158</v>
      </c>
      <c r="D483" s="2" t="s">
        <v>85</v>
      </c>
      <c r="H483" s="32" t="n">
        <f aca="false">SUM(J483:AS483)</f>
        <v>446130.685729454</v>
      </c>
      <c r="J483" s="32" t="n">
        <f aca="false">J481*J482</f>
        <v>0</v>
      </c>
      <c r="K483" s="32" t="n">
        <f aca="false">K481*K482</f>
        <v>0</v>
      </c>
      <c r="L483" s="32" t="n">
        <f aca="false">L481*L482</f>
        <v>0</v>
      </c>
      <c r="M483" s="32" t="n">
        <f aca="false">M481*M482</f>
        <v>0</v>
      </c>
      <c r="N483" s="32" t="n">
        <f aca="false">N481*N482</f>
        <v>0</v>
      </c>
      <c r="O483" s="32" t="n">
        <f aca="false">O481*O482</f>
        <v>6667.92</v>
      </c>
      <c r="P483" s="32" t="n">
        <f aca="false">P481*P482</f>
        <v>13469.1984</v>
      </c>
      <c r="Q483" s="32" t="n">
        <f aca="false">Q481*Q482</f>
        <v>13563.078712848</v>
      </c>
      <c r="R483" s="32" t="n">
        <f aca="false">R481*R482</f>
        <v>13657.6133714766</v>
      </c>
      <c r="S483" s="32" t="n">
        <f aca="false">S481*S482</f>
        <v>13752.8069366757</v>
      </c>
      <c r="T483" s="32" t="n">
        <f aca="false">T481*T482</f>
        <v>13848.6640010244</v>
      </c>
      <c r="U483" s="32" t="n">
        <f aca="false">U481*U482</f>
        <v>13945.1891891115</v>
      </c>
      <c r="V483" s="32" t="n">
        <f aca="false">V481*V482</f>
        <v>14042.3871577596</v>
      </c>
      <c r="W483" s="32" t="n">
        <f aca="false">W481*W482</f>
        <v>14140.2625962492</v>
      </c>
      <c r="X483" s="32" t="n">
        <f aca="false">X481*X482</f>
        <v>14238.8202265451</v>
      </c>
      <c r="Y483" s="32" t="n">
        <f aca="false">Y481*Y482</f>
        <v>14338.0648035241</v>
      </c>
      <c r="Z483" s="32" t="n">
        <f aca="false">Z481*Z482</f>
        <v>14438.0011152046</v>
      </c>
      <c r="AA483" s="32" t="n">
        <f aca="false">AA481*AA482</f>
        <v>14538.6339829776</v>
      </c>
      <c r="AB483" s="32" t="n">
        <f aca="false">AB481*AB482</f>
        <v>14639.968261839</v>
      </c>
      <c r="AC483" s="32" t="n">
        <f aca="false">AC481*AC482</f>
        <v>14742.008840624</v>
      </c>
      <c r="AD483" s="32" t="n">
        <f aca="false">AD481*AD482</f>
        <v>14844.7606422431</v>
      </c>
      <c r="AE483" s="32" t="n">
        <f aca="false">AE481*AE482</f>
        <v>14948.2286239196</v>
      </c>
      <c r="AF483" s="32" t="n">
        <f aca="false">AF481*AF482</f>
        <v>15052.4177774283</v>
      </c>
      <c r="AG483" s="32" t="n">
        <f aca="false">AG481*AG482</f>
        <v>15157.333129337</v>
      </c>
      <c r="AH483" s="32" t="n">
        <f aca="false">AH481*AH482</f>
        <v>15262.9797412485</v>
      </c>
      <c r="AI483" s="32" t="n">
        <f aca="false">AI481*AI482</f>
        <v>15369.362710045</v>
      </c>
      <c r="AJ483" s="32" t="n">
        <f aca="false">AJ481*AJ482</f>
        <v>15476.487168134</v>
      </c>
      <c r="AK483" s="32" t="n">
        <f aca="false">AK481*AK482</f>
        <v>15584.3582836959</v>
      </c>
      <c r="AL483" s="32" t="n">
        <f aca="false">AL481*AL482</f>
        <v>15692.9812609332</v>
      </c>
      <c r="AM483" s="32" t="n">
        <f aca="false">AM481*AM482</f>
        <v>15802.3613403219</v>
      </c>
      <c r="AN483" s="32" t="n">
        <f aca="false">AN481*AN482</f>
        <v>15912.503798864</v>
      </c>
      <c r="AO483" s="32" t="n">
        <f aca="false">AO481*AO482</f>
        <v>16023.4139503421</v>
      </c>
      <c r="AP483" s="32" t="n">
        <f aca="false">AP481*AP482</f>
        <v>16135.0971455759</v>
      </c>
      <c r="AQ483" s="32" t="n">
        <f aca="false">AQ481*AQ482</f>
        <v>16247.5587726806</v>
      </c>
      <c r="AR483" s="32" t="n">
        <f aca="false">AR481*AR482</f>
        <v>16360.8042573262</v>
      </c>
      <c r="AS483" s="32" t="n">
        <f aca="false">AS481*AS482</f>
        <v>8237.41953149987</v>
      </c>
    </row>
    <row r="484" customFormat="false" ht="14.25" hidden="false" customHeight="false" outlineLevel="0" collapsed="false">
      <c r="C484" s="6" t="s">
        <v>307</v>
      </c>
      <c r="D484" s="2" t="s">
        <v>3</v>
      </c>
      <c r="J484" s="77" t="n">
        <f aca="false">(1+Opex_Esc)^J469</f>
        <v>0.883854287609517</v>
      </c>
      <c r="K484" s="77" t="n">
        <f aca="false">(1+Opex_Esc)^K469</f>
        <v>0.905950644799755</v>
      </c>
      <c r="L484" s="77" t="n">
        <f aca="false">(1+Opex_Esc)^L469</f>
        <v>0.928599410919749</v>
      </c>
      <c r="M484" s="77" t="n">
        <f aca="false">(1+Opex_Esc)^M469</f>
        <v>0.951814396192743</v>
      </c>
      <c r="N484" s="77" t="n">
        <f aca="false">(1+Opex_Esc)^N469</f>
        <v>0.975609756097561</v>
      </c>
      <c r="O484" s="77" t="n">
        <f aca="false">(1+Opex_Esc)^O469</f>
        <v>1</v>
      </c>
      <c r="P484" s="77" t="n">
        <f aca="false">(1+Opex_Esc)^P469</f>
        <v>1.025</v>
      </c>
      <c r="Q484" s="77" t="n">
        <f aca="false">(1+Opex_Esc)^Q469</f>
        <v>1.050625</v>
      </c>
      <c r="R484" s="77" t="n">
        <f aca="false">(1+Opex_Esc)^R469</f>
        <v>1.076890625</v>
      </c>
      <c r="S484" s="77" t="n">
        <f aca="false">(1+Opex_Esc)^S469</f>
        <v>1.103812890625</v>
      </c>
      <c r="T484" s="77" t="n">
        <f aca="false">(1+Opex_Esc)^T469</f>
        <v>1.13140821289062</v>
      </c>
      <c r="U484" s="77" t="n">
        <f aca="false">(1+Opex_Esc)^U469</f>
        <v>1.15969341821289</v>
      </c>
      <c r="V484" s="77" t="n">
        <f aca="false">(1+Opex_Esc)^V469</f>
        <v>1.18868575366821</v>
      </c>
      <c r="W484" s="77" t="n">
        <f aca="false">(1+Opex_Esc)^W469</f>
        <v>1.21840289750992</v>
      </c>
      <c r="X484" s="77" t="n">
        <f aca="false">(1+Opex_Esc)^X469</f>
        <v>1.24886296994767</v>
      </c>
      <c r="Y484" s="77" t="n">
        <f aca="false">(1+Opex_Esc)^Y469</f>
        <v>1.28008454419636</v>
      </c>
      <c r="Z484" s="77" t="n">
        <f aca="false">(1+Opex_Esc)^Z469</f>
        <v>1.31208665780127</v>
      </c>
      <c r="AA484" s="77" t="n">
        <f aca="false">(1+Opex_Esc)^AA469</f>
        <v>1.3448888242463</v>
      </c>
      <c r="AB484" s="77" t="n">
        <f aca="false">(1+Opex_Esc)^AB469</f>
        <v>1.37851104485245</v>
      </c>
      <c r="AC484" s="77" t="n">
        <f aca="false">(1+Opex_Esc)^AC469</f>
        <v>1.41297382097377</v>
      </c>
      <c r="AD484" s="77" t="n">
        <f aca="false">(1+Opex_Esc)^AD469</f>
        <v>1.44829816649811</v>
      </c>
      <c r="AE484" s="77" t="n">
        <f aca="false">(1+Opex_Esc)^AE469</f>
        <v>1.48450562066056</v>
      </c>
      <c r="AF484" s="77" t="n">
        <f aca="false">(1+Opex_Esc)^AF469</f>
        <v>1.52161826117708</v>
      </c>
      <c r="AG484" s="77" t="n">
        <f aca="false">(1+Opex_Esc)^AG469</f>
        <v>1.5596587177065</v>
      </c>
      <c r="AH484" s="77" t="n">
        <f aca="false">(1+Opex_Esc)^AH469</f>
        <v>1.59865018564917</v>
      </c>
      <c r="AI484" s="77" t="n">
        <f aca="false">(1+Opex_Esc)^AI469</f>
        <v>1.63861644029039</v>
      </c>
      <c r="AJ484" s="77" t="n">
        <f aca="false">(1+Opex_Esc)^AJ469</f>
        <v>1.67958185129765</v>
      </c>
      <c r="AK484" s="77" t="n">
        <f aca="false">(1+Opex_Esc)^AK469</f>
        <v>1.7215713975801</v>
      </c>
      <c r="AL484" s="77" t="n">
        <f aca="false">(1+Opex_Esc)^AL469</f>
        <v>1.7646106825196</v>
      </c>
      <c r="AM484" s="77" t="n">
        <f aca="false">(1+Opex_Esc)^AM469</f>
        <v>1.80872594958259</v>
      </c>
      <c r="AN484" s="77" t="n">
        <f aca="false">(1+Opex_Esc)^AN469</f>
        <v>1.85394409832215</v>
      </c>
      <c r="AO484" s="77" t="n">
        <f aca="false">(1+Opex_Esc)^AO469</f>
        <v>1.90029270078021</v>
      </c>
      <c r="AP484" s="77" t="n">
        <f aca="false">(1+Opex_Esc)^AP469</f>
        <v>1.94780001829971</v>
      </c>
      <c r="AQ484" s="77" t="n">
        <f aca="false">(1+Opex_Esc)^AQ469</f>
        <v>1.9964950187572</v>
      </c>
      <c r="AR484" s="77" t="n">
        <f aca="false">(1+Opex_Esc)^AR469</f>
        <v>2.04640739422613</v>
      </c>
      <c r="AS484" s="77" t="n">
        <f aca="false">(1+Opex_Esc)^AS469</f>
        <v>2.09756757908179</v>
      </c>
    </row>
    <row r="485" customFormat="false" ht="14.25" hidden="false" customHeight="false" outlineLevel="0" collapsed="false">
      <c r="C485" s="6" t="s">
        <v>308</v>
      </c>
      <c r="D485" s="2" t="s">
        <v>85</v>
      </c>
      <c r="H485" s="8" t="n">
        <f aca="false">SUM(J485:AS485)</f>
        <v>-70011.0919506797</v>
      </c>
      <c r="J485" s="8" t="n">
        <f aca="false">-(Case_OM+SUM(Opex_Per_MW))*$G$46*J484*J473</f>
        <v>-0</v>
      </c>
      <c r="K485" s="8" t="n">
        <f aca="false">-(Case_OM+SUM(Opex_Per_MW))*$G$46*K484*K473</f>
        <v>-0</v>
      </c>
      <c r="L485" s="8" t="n">
        <f aca="false">-(Case_OM+SUM(Opex_Per_MW))*$G$46*L484*L473</f>
        <v>-0</v>
      </c>
      <c r="M485" s="8" t="n">
        <f aca="false">-(Case_OM+SUM(Opex_Per_MW))*$G$46*M484*M473</f>
        <v>-0</v>
      </c>
      <c r="N485" s="8" t="n">
        <f aca="false">-(Case_OM+SUM(Opex_Per_MW))*$G$46*N484*N473</f>
        <v>-0</v>
      </c>
      <c r="O485" s="8" t="n">
        <f aca="false">-(Case_OM+SUM(Opex_Per_MW))*$G$46*O484*O473</f>
        <v>-787.5</v>
      </c>
      <c r="P485" s="8" t="n">
        <f aca="false">-(Case_OM+SUM(Opex_Per_MW))*$G$46*P484*P473</f>
        <v>-1614.375</v>
      </c>
      <c r="Q485" s="8" t="n">
        <f aca="false">-(Case_OM+SUM(Opex_Per_MW))*$G$46*Q484*Q473</f>
        <v>-1654.734375</v>
      </c>
      <c r="R485" s="8" t="n">
        <f aca="false">-(Case_OM+SUM(Opex_Per_MW))*$G$46*R484*R473</f>
        <v>-1696.102734375</v>
      </c>
      <c r="S485" s="8" t="n">
        <f aca="false">-(Case_OM+SUM(Opex_Per_MW))*$G$46*S484*S473</f>
        <v>-1738.50530273437</v>
      </c>
      <c r="T485" s="8" t="n">
        <f aca="false">-(Case_OM+SUM(Opex_Per_MW))*$G$46*T484*T473</f>
        <v>-1781.96793530273</v>
      </c>
      <c r="U485" s="8" t="n">
        <f aca="false">-(Case_OM+SUM(Opex_Per_MW))*$G$46*U484*U473</f>
        <v>-1826.5171336853</v>
      </c>
      <c r="V485" s="8" t="n">
        <f aca="false">-(Case_OM+SUM(Opex_Per_MW))*$G$46*V484*V473</f>
        <v>-1872.18006202743</v>
      </c>
      <c r="W485" s="8" t="n">
        <f aca="false">-(Case_OM+SUM(Opex_Per_MW))*$G$46*W484*W473</f>
        <v>-1918.98456357812</v>
      </c>
      <c r="X485" s="8" t="n">
        <f aca="false">-(Case_OM+SUM(Opex_Per_MW))*$G$46*X484*X473</f>
        <v>-1966.95917766757</v>
      </c>
      <c r="Y485" s="8" t="n">
        <f aca="false">-(Case_OM+SUM(Opex_Per_MW))*$G$46*Y484*Y473</f>
        <v>-2016.13315710926</v>
      </c>
      <c r="Z485" s="8" t="n">
        <f aca="false">-(Case_OM+SUM(Opex_Per_MW))*$G$46*Z484*Z473</f>
        <v>-2066.53648603699</v>
      </c>
      <c r="AA485" s="8" t="n">
        <f aca="false">-(Case_OM+SUM(Opex_Per_MW))*$G$46*AA484*AA473</f>
        <v>-2118.19989818792</v>
      </c>
      <c r="AB485" s="8" t="n">
        <f aca="false">-(Case_OM+SUM(Opex_Per_MW))*$G$46*AB484*AB473</f>
        <v>-2171.15489564262</v>
      </c>
      <c r="AC485" s="8" t="n">
        <f aca="false">-(Case_OM+SUM(Opex_Per_MW))*$G$46*AC484*AC473</f>
        <v>-2225.43376803368</v>
      </c>
      <c r="AD485" s="8" t="n">
        <f aca="false">-(Case_OM+SUM(Opex_Per_MW))*$G$46*AD484*AD473</f>
        <v>-2281.06961223452</v>
      </c>
      <c r="AE485" s="8" t="n">
        <f aca="false">-(Case_OM+SUM(Opex_Per_MW))*$G$46*AE484*AE473</f>
        <v>-2338.09635254039</v>
      </c>
      <c r="AF485" s="8" t="n">
        <f aca="false">-(Case_OM+SUM(Opex_Per_MW))*$G$46*AF484*AF473</f>
        <v>-2396.5487613539</v>
      </c>
      <c r="AG485" s="8" t="n">
        <f aca="false">-(Case_OM+SUM(Opex_Per_MW))*$G$46*AG484*AG473</f>
        <v>-2456.46248038774</v>
      </c>
      <c r="AH485" s="8" t="n">
        <f aca="false">-(Case_OM+SUM(Opex_Per_MW))*$G$46*AH484*AH473</f>
        <v>-2517.87404239744</v>
      </c>
      <c r="AI485" s="8" t="n">
        <f aca="false">-(Case_OM+SUM(Opex_Per_MW))*$G$46*AI484*AI473</f>
        <v>-2580.82089345737</v>
      </c>
      <c r="AJ485" s="8" t="n">
        <f aca="false">-(Case_OM+SUM(Opex_Per_MW))*$G$46*AJ484*AJ473</f>
        <v>-2645.34141579381</v>
      </c>
      <c r="AK485" s="8" t="n">
        <f aca="false">-(Case_OM+SUM(Opex_Per_MW))*$G$46*AK484*AK473</f>
        <v>-2711.47495118865</v>
      </c>
      <c r="AL485" s="8" t="n">
        <f aca="false">-(Case_OM+SUM(Opex_Per_MW))*$G$46*AL484*AL473</f>
        <v>-2779.26182496837</v>
      </c>
      <c r="AM485" s="8" t="n">
        <f aca="false">-(Case_OM+SUM(Opex_Per_MW))*$G$46*AM484*AM473</f>
        <v>-2848.74337059257</v>
      </c>
      <c r="AN485" s="8" t="n">
        <f aca="false">-(Case_OM+SUM(Opex_Per_MW))*$G$46*AN484*AN473</f>
        <v>-2919.96195485739</v>
      </c>
      <c r="AO485" s="8" t="n">
        <f aca="false">-(Case_OM+SUM(Opex_Per_MW))*$G$46*AO484*AO473</f>
        <v>-2992.96100372882</v>
      </c>
      <c r="AP485" s="8" t="n">
        <f aca="false">-(Case_OM+SUM(Opex_Per_MW))*$G$46*AP484*AP473</f>
        <v>-3067.78502882204</v>
      </c>
      <c r="AQ485" s="8" t="n">
        <f aca="false">-(Case_OM+SUM(Opex_Per_MW))*$G$46*AQ484*AQ473</f>
        <v>-3144.47965454259</v>
      </c>
      <c r="AR485" s="8" t="n">
        <f aca="false">-(Case_OM+SUM(Opex_Per_MW))*$G$46*AR484*AR473</f>
        <v>-3223.09164590616</v>
      </c>
      <c r="AS485" s="8" t="n">
        <f aca="false">-(Case_OM+SUM(Opex_Per_MW))*$G$46*AS484*AS473</f>
        <v>-1651.83446852691</v>
      </c>
    </row>
    <row r="486" customFormat="false" ht="14.25" hidden="false" customHeight="false" outlineLevel="0" collapsed="false">
      <c r="C486" s="6" t="s">
        <v>309</v>
      </c>
      <c r="D486" s="2" t="s">
        <v>85</v>
      </c>
      <c r="H486" s="8" t="n">
        <f aca="false">SUM(J486:AS486)</f>
        <v>-1666.93076073047</v>
      </c>
      <c r="J486" s="8" t="n">
        <f aca="false">-Opex_Admin*$G$6/Lump_Basis*J484*J473</f>
        <v>-0</v>
      </c>
      <c r="K486" s="8" t="n">
        <f aca="false">-Opex_Admin*$G$6/Lump_Basis*K484*K473</f>
        <v>-0</v>
      </c>
      <c r="L486" s="8" t="n">
        <f aca="false">-Opex_Admin*$G$6/Lump_Basis*L484*L473</f>
        <v>-0</v>
      </c>
      <c r="M486" s="8" t="n">
        <f aca="false">-Opex_Admin*$G$6/Lump_Basis*M484*M473</f>
        <v>-0</v>
      </c>
      <c r="N486" s="8" t="n">
        <f aca="false">-Opex_Admin*$G$6/Lump_Basis*N484*N473</f>
        <v>-0</v>
      </c>
      <c r="O486" s="8" t="n">
        <f aca="false">-Opex_Admin*$G$6/Lump_Basis*O484*O473</f>
        <v>-18.75</v>
      </c>
      <c r="P486" s="8" t="n">
        <f aca="false">-Opex_Admin*$G$6/Lump_Basis*P484*P473</f>
        <v>-38.4375</v>
      </c>
      <c r="Q486" s="8" t="n">
        <f aca="false">-Opex_Admin*$G$6/Lump_Basis*Q484*Q473</f>
        <v>-39.3984375</v>
      </c>
      <c r="R486" s="8" t="n">
        <f aca="false">-Opex_Admin*$G$6/Lump_Basis*R484*R473</f>
        <v>-40.3833984375</v>
      </c>
      <c r="S486" s="8" t="n">
        <f aca="false">-Opex_Admin*$G$6/Lump_Basis*S484*S473</f>
        <v>-41.3929833984375</v>
      </c>
      <c r="T486" s="8" t="n">
        <f aca="false">-Opex_Admin*$G$6/Lump_Basis*T484*T473</f>
        <v>-42.4278079833984</v>
      </c>
      <c r="U486" s="8" t="n">
        <f aca="false">-Opex_Admin*$G$6/Lump_Basis*U484*U473</f>
        <v>-43.4885031829834</v>
      </c>
      <c r="V486" s="8" t="n">
        <f aca="false">-Opex_Admin*$G$6/Lump_Basis*V484*V473</f>
        <v>-44.575715762558</v>
      </c>
      <c r="W486" s="8" t="n">
        <f aca="false">-Opex_Admin*$G$6/Lump_Basis*W484*W473</f>
        <v>-45.6901086566219</v>
      </c>
      <c r="X486" s="8" t="n">
        <f aca="false">-Opex_Admin*$G$6/Lump_Basis*X484*X473</f>
        <v>-46.8323613730374</v>
      </c>
      <c r="Y486" s="8" t="n">
        <f aca="false">-Opex_Admin*$G$6/Lump_Basis*Y484*Y473</f>
        <v>-48.0031704073634</v>
      </c>
      <c r="Z486" s="8" t="n">
        <f aca="false">-Opex_Admin*$G$6/Lump_Basis*Z484*Z473</f>
        <v>-49.2032496675475</v>
      </c>
      <c r="AA486" s="8" t="n">
        <f aca="false">-Opex_Admin*$G$6/Lump_Basis*AA484*AA473</f>
        <v>-50.4333309092361</v>
      </c>
      <c r="AB486" s="8" t="n">
        <f aca="false">-Opex_Admin*$G$6/Lump_Basis*AB484*AB473</f>
        <v>-51.694164181967</v>
      </c>
      <c r="AC486" s="8" t="n">
        <f aca="false">-Opex_Admin*$G$6/Lump_Basis*AC484*AC473</f>
        <v>-52.9865182865162</v>
      </c>
      <c r="AD486" s="8" t="n">
        <f aca="false">-Opex_Admin*$G$6/Lump_Basis*AD484*AD473</f>
        <v>-54.3111812436791</v>
      </c>
      <c r="AE486" s="8" t="n">
        <f aca="false">-Opex_Admin*$G$6/Lump_Basis*AE484*AE473</f>
        <v>-55.6689607747711</v>
      </c>
      <c r="AF486" s="8" t="n">
        <f aca="false">-Opex_Admin*$G$6/Lump_Basis*AF484*AF473</f>
        <v>-57.0606847941404</v>
      </c>
      <c r="AG486" s="8" t="n">
        <f aca="false">-Opex_Admin*$G$6/Lump_Basis*AG484*AG473</f>
        <v>-58.4872019139939</v>
      </c>
      <c r="AH486" s="8" t="n">
        <f aca="false">-Opex_Admin*$G$6/Lump_Basis*AH484*AH473</f>
        <v>-59.9493819618437</v>
      </c>
      <c r="AI486" s="8" t="n">
        <f aca="false">-Opex_Admin*$G$6/Lump_Basis*AI484*AI473</f>
        <v>-61.4481165108898</v>
      </c>
      <c r="AJ486" s="8" t="n">
        <f aca="false">-Opex_Admin*$G$6/Lump_Basis*AJ484*AJ473</f>
        <v>-62.984319423662</v>
      </c>
      <c r="AK486" s="8" t="n">
        <f aca="false">-Opex_Admin*$G$6/Lump_Basis*AK484*AK473</f>
        <v>-64.5589274092536</v>
      </c>
      <c r="AL486" s="8" t="n">
        <f aca="false">-Opex_Admin*$G$6/Lump_Basis*AL484*AL473</f>
        <v>-66.1729005944849</v>
      </c>
      <c r="AM486" s="8" t="n">
        <f aca="false">-Opex_Admin*$G$6/Lump_Basis*AM484*AM473</f>
        <v>-67.827223109347</v>
      </c>
      <c r="AN486" s="8" t="n">
        <f aca="false">-Opex_Admin*$G$6/Lump_Basis*AN484*AN473</f>
        <v>-69.5229036870807</v>
      </c>
      <c r="AO486" s="8" t="n">
        <f aca="false">-Opex_Admin*$G$6/Lump_Basis*AO484*AO473</f>
        <v>-71.2609762792577</v>
      </c>
      <c r="AP486" s="8" t="n">
        <f aca="false">-Opex_Admin*$G$6/Lump_Basis*AP484*AP473</f>
        <v>-73.0425006862391</v>
      </c>
      <c r="AQ486" s="8" t="n">
        <f aca="false">-Opex_Admin*$G$6/Lump_Basis*AQ484*AQ473</f>
        <v>-74.8685632033951</v>
      </c>
      <c r="AR486" s="8" t="n">
        <f aca="false">-Opex_Admin*$G$6/Lump_Basis*AR484*AR473</f>
        <v>-76.74027728348</v>
      </c>
      <c r="AS486" s="8" t="n">
        <f aca="false">-Opex_Admin*$G$6/Lump_Basis*AS484*AS473</f>
        <v>-39.3293921077835</v>
      </c>
    </row>
    <row r="487" customFormat="false" ht="14.25" hidden="false" customHeight="false" outlineLevel="0" collapsed="false">
      <c r="C487" s="6" t="s">
        <v>310</v>
      </c>
      <c r="D487" s="2" t="s">
        <v>85</v>
      </c>
      <c r="H487" s="8" t="n">
        <f aca="false">SUM(J487:AS487)</f>
        <v>-31411.9298672852</v>
      </c>
      <c r="J487" s="8" t="n">
        <f aca="false">-J481*(Balancing+Grid_Charges)*J484</f>
        <v>-0</v>
      </c>
      <c r="K487" s="8" t="n">
        <f aca="false">-K481*(Balancing+Grid_Charges)*K484</f>
        <v>-0</v>
      </c>
      <c r="L487" s="8" t="n">
        <f aca="false">-L481*(Balancing+Grid_Charges)*L484</f>
        <v>-0</v>
      </c>
      <c r="M487" s="8" t="n">
        <f aca="false">-M481*(Balancing+Grid_Charges)*M484</f>
        <v>-0</v>
      </c>
      <c r="N487" s="8" t="n">
        <f aca="false">-N481*(Balancing+Grid_Charges)*N484</f>
        <v>-0</v>
      </c>
      <c r="O487" s="8" t="n">
        <f aca="false">-O481*(Balancing+Grid_Charges)*O484</f>
        <v>-370.44</v>
      </c>
      <c r="P487" s="8" t="n">
        <f aca="false">-P481*(Balancing+Grid_Charges)*P484</f>
        <v>-759.402</v>
      </c>
      <c r="Q487" s="8" t="n">
        <f aca="false">-Q481*(Balancing+Grid_Charges)*Q484</f>
        <v>-776.05188885</v>
      </c>
      <c r="R487" s="8" t="n">
        <f aca="false">-R481*(Balancing+Grid_Charges)*R484</f>
        <v>-793.066826513036</v>
      </c>
      <c r="S487" s="8" t="n">
        <f aca="false">-S481*(Balancing+Grid_Charges)*S484</f>
        <v>-810.454816684334</v>
      </c>
      <c r="T487" s="8" t="n">
        <f aca="false">-T481*(Balancing+Grid_Charges)*T484</f>
        <v>-828.224038540138</v>
      </c>
      <c r="U487" s="8" t="n">
        <f aca="false">-U481*(Balancing+Grid_Charges)*U484</f>
        <v>-846.382850585131</v>
      </c>
      <c r="V487" s="8" t="n">
        <f aca="false">-V481*(Balancing+Grid_Charges)*V484</f>
        <v>-864.93979458421</v>
      </c>
      <c r="W487" s="8" t="n">
        <f aca="false">-W481*(Balancing+Grid_Charges)*W484</f>
        <v>-883.903599580468</v>
      </c>
      <c r="X487" s="8" t="n">
        <f aca="false">-X481*(Balancing+Grid_Charges)*X484</f>
        <v>-903.28318600127</v>
      </c>
      <c r="Y487" s="8" t="n">
        <f aca="false">-Y481*(Balancing+Grid_Charges)*Y484</f>
        <v>-923.087669854348</v>
      </c>
      <c r="Z487" s="8" t="n">
        <f aca="false">-Z481*(Balancing+Grid_Charges)*Z484</f>
        <v>-943.326367015904</v>
      </c>
      <c r="AA487" s="8" t="n">
        <f aca="false">-AA481*(Balancing+Grid_Charges)*AA484</f>
        <v>-964.008797612728</v>
      </c>
      <c r="AB487" s="8" t="n">
        <f aca="false">-AB481*(Balancing+Grid_Charges)*AB484</f>
        <v>-985.144690500387</v>
      </c>
      <c r="AC487" s="8" t="n">
        <f aca="false">-AC481*(Balancing+Grid_Charges)*AC484</f>
        <v>-1006.74398783961</v>
      </c>
      <c r="AD487" s="8" t="n">
        <f aca="false">-AD481*(Balancing+Grid_Charges)*AD484</f>
        <v>-1028.81684977299</v>
      </c>
      <c r="AE487" s="8" t="n">
        <f aca="false">-AE481*(Balancing+Grid_Charges)*AE484</f>
        <v>-1051.37365920426</v>
      </c>
      <c r="AF487" s="8" t="n">
        <f aca="false">-AF481*(Balancing+Grid_Charges)*AF484</f>
        <v>-1074.42502668232</v>
      </c>
      <c r="AG487" s="8" t="n">
        <f aca="false">-AG481*(Balancing+Grid_Charges)*AG484</f>
        <v>-1097.98179539233</v>
      </c>
      <c r="AH487" s="8" t="n">
        <f aca="false">-AH481*(Balancing+Grid_Charges)*AH484</f>
        <v>-1122.0550462563</v>
      </c>
      <c r="AI487" s="8" t="n">
        <f aca="false">-AI481*(Balancing+Grid_Charges)*AI484</f>
        <v>-1146.65610314547</v>
      </c>
      <c r="AJ487" s="8" t="n">
        <f aca="false">-AJ481*(Balancing+Grid_Charges)*AJ484</f>
        <v>-1171.79653820694</v>
      </c>
      <c r="AK487" s="8" t="n">
        <f aca="false">-AK481*(Balancing+Grid_Charges)*AK484</f>
        <v>-1197.48817730712</v>
      </c>
      <c r="AL487" s="8" t="n">
        <f aca="false">-AL481*(Balancing+Grid_Charges)*AL484</f>
        <v>-1223.74310559458</v>
      </c>
      <c r="AM487" s="8" t="n">
        <f aca="false">-AM481*(Balancing+Grid_Charges)*AM484</f>
        <v>-1250.57367318474</v>
      </c>
      <c r="AN487" s="8" t="n">
        <f aca="false">-AN481*(Balancing+Grid_Charges)*AN484</f>
        <v>-1277.99250096932</v>
      </c>
      <c r="AO487" s="8" t="n">
        <f aca="false">-AO481*(Balancing+Grid_Charges)*AO484</f>
        <v>-1306.01248655307</v>
      </c>
      <c r="AP487" s="8" t="n">
        <f aca="false">-AP481*(Balancing+Grid_Charges)*AP484</f>
        <v>-1334.64681032075</v>
      </c>
      <c r="AQ487" s="8" t="n">
        <f aca="false">-AQ481*(Balancing+Grid_Charges)*AQ484</f>
        <v>-1363.90894163703</v>
      </c>
      <c r="AR487" s="8" t="n">
        <f aca="false">-AR481*(Balancing+Grid_Charges)*AR484</f>
        <v>-1393.81264518242</v>
      </c>
      <c r="AS487" s="8" t="n">
        <f aca="false">-AS481*(Balancing+Grid_Charges)*AS484</f>
        <v>-712.185993714023</v>
      </c>
    </row>
    <row r="488" customFormat="false" ht="14.25" hidden="false" customHeight="false" outlineLevel="0" collapsed="false">
      <c r="C488" s="6" t="s">
        <v>311</v>
      </c>
      <c r="D488" s="2" t="s">
        <v>85</v>
      </c>
      <c r="H488" s="8" t="n">
        <f aca="false">SUM(J488:AS488)</f>
        <v>-446.130685729454</v>
      </c>
      <c r="J488" s="8" t="n">
        <f aca="false">-J483*MEKH_Fee</f>
        <v>-0</v>
      </c>
      <c r="K488" s="8" t="n">
        <f aca="false">-K483*MEKH_Fee</f>
        <v>-0</v>
      </c>
      <c r="L488" s="8" t="n">
        <f aca="false">-L483*MEKH_Fee</f>
        <v>-0</v>
      </c>
      <c r="M488" s="8" t="n">
        <f aca="false">-M483*MEKH_Fee</f>
        <v>-0</v>
      </c>
      <c r="N488" s="8" t="n">
        <f aca="false">-N483*MEKH_Fee</f>
        <v>-0</v>
      </c>
      <c r="O488" s="8" t="n">
        <f aca="false">-O483*MEKH_Fee</f>
        <v>-6.66792</v>
      </c>
      <c r="P488" s="8" t="n">
        <f aca="false">-P483*MEKH_Fee</f>
        <v>-13.4691984</v>
      </c>
      <c r="Q488" s="8" t="n">
        <f aca="false">-Q483*MEKH_Fee</f>
        <v>-13.563078712848</v>
      </c>
      <c r="R488" s="8" t="n">
        <f aca="false">-R483*MEKH_Fee</f>
        <v>-13.6576133714766</v>
      </c>
      <c r="S488" s="8" t="n">
        <f aca="false">-S483*MEKH_Fee</f>
        <v>-13.7528069366757</v>
      </c>
      <c r="T488" s="8" t="n">
        <f aca="false">-T483*MEKH_Fee</f>
        <v>-13.8486640010244</v>
      </c>
      <c r="U488" s="8" t="n">
        <f aca="false">-U483*MEKH_Fee</f>
        <v>-13.9451891891115</v>
      </c>
      <c r="V488" s="8" t="n">
        <f aca="false">-V483*MEKH_Fee</f>
        <v>-14.0423871577596</v>
      </c>
      <c r="W488" s="8" t="n">
        <f aca="false">-W483*MEKH_Fee</f>
        <v>-14.1402625962492</v>
      </c>
      <c r="X488" s="8" t="n">
        <f aca="false">-X483*MEKH_Fee</f>
        <v>-14.2388202265451</v>
      </c>
      <c r="Y488" s="8" t="n">
        <f aca="false">-Y483*MEKH_Fee</f>
        <v>-14.3380648035241</v>
      </c>
      <c r="Z488" s="8" t="n">
        <f aca="false">-Z483*MEKH_Fee</f>
        <v>-14.4380011152046</v>
      </c>
      <c r="AA488" s="8" t="n">
        <f aca="false">-AA483*MEKH_Fee</f>
        <v>-14.5386339829776</v>
      </c>
      <c r="AB488" s="8" t="n">
        <f aca="false">-AB483*MEKH_Fee</f>
        <v>-14.639968261839</v>
      </c>
      <c r="AC488" s="8" t="n">
        <f aca="false">-AC483*MEKH_Fee</f>
        <v>-14.742008840624</v>
      </c>
      <c r="AD488" s="8" t="n">
        <f aca="false">-AD483*MEKH_Fee</f>
        <v>-14.8447606422431</v>
      </c>
      <c r="AE488" s="8" t="n">
        <f aca="false">-AE483*MEKH_Fee</f>
        <v>-14.9482286239196</v>
      </c>
      <c r="AF488" s="8" t="n">
        <f aca="false">-AF483*MEKH_Fee</f>
        <v>-15.0524177774283</v>
      </c>
      <c r="AG488" s="8" t="n">
        <f aca="false">-AG483*MEKH_Fee</f>
        <v>-15.157333129337</v>
      </c>
      <c r="AH488" s="8" t="n">
        <f aca="false">-AH483*MEKH_Fee</f>
        <v>-15.2629797412485</v>
      </c>
      <c r="AI488" s="8" t="n">
        <f aca="false">-AI483*MEKH_Fee</f>
        <v>-15.369362710045</v>
      </c>
      <c r="AJ488" s="8" t="n">
        <f aca="false">-AJ483*MEKH_Fee</f>
        <v>-15.476487168134</v>
      </c>
      <c r="AK488" s="8" t="n">
        <f aca="false">-AK483*MEKH_Fee</f>
        <v>-15.5843582836959</v>
      </c>
      <c r="AL488" s="8" t="n">
        <f aca="false">-AL483*MEKH_Fee</f>
        <v>-15.6929812609332</v>
      </c>
      <c r="AM488" s="8" t="n">
        <f aca="false">-AM483*MEKH_Fee</f>
        <v>-15.8023613403219</v>
      </c>
      <c r="AN488" s="8" t="n">
        <f aca="false">-AN483*MEKH_Fee</f>
        <v>-15.912503798864</v>
      </c>
      <c r="AO488" s="8" t="n">
        <f aca="false">-AO483*MEKH_Fee</f>
        <v>-16.0234139503421</v>
      </c>
      <c r="AP488" s="8" t="n">
        <f aca="false">-AP483*MEKH_Fee</f>
        <v>-16.1350971455759</v>
      </c>
      <c r="AQ488" s="8" t="n">
        <f aca="false">-AQ483*MEKH_Fee</f>
        <v>-16.2475587726806</v>
      </c>
      <c r="AR488" s="8" t="n">
        <f aca="false">-AR483*MEKH_Fee</f>
        <v>-16.3608042573262</v>
      </c>
      <c r="AS488" s="8" t="n">
        <f aca="false">-AS483*MEKH_Fee</f>
        <v>-8.23741953149987</v>
      </c>
    </row>
    <row r="489" customFormat="false" ht="14.25" hidden="false" customHeight="false" outlineLevel="0" collapsed="false">
      <c r="C489" s="6" t="s">
        <v>312</v>
      </c>
      <c r="D489" s="2" t="s">
        <v>85</v>
      </c>
      <c r="H489" s="8" t="n">
        <f aca="false">SUM(J489:AS489)</f>
        <v>-5176.80416322124</v>
      </c>
      <c r="J489" s="8" t="n">
        <f aca="false">SUM(J485:J488)*Opex_Cont</f>
        <v>0</v>
      </c>
      <c r="K489" s="8" t="n">
        <f aca="false">SUM(K485:K488)*Opex_Cont</f>
        <v>0</v>
      </c>
      <c r="L489" s="8" t="n">
        <f aca="false">SUM(L485:L488)*Opex_Cont</f>
        <v>0</v>
      </c>
      <c r="M489" s="8" t="n">
        <f aca="false">SUM(M485:M488)*Opex_Cont</f>
        <v>0</v>
      </c>
      <c r="N489" s="8" t="n">
        <f aca="false">SUM(N485:N488)*Opex_Cont</f>
        <v>0</v>
      </c>
      <c r="O489" s="8" t="n">
        <f aca="false">SUM(O485:O488)*Opex_Cont</f>
        <v>-59.167896</v>
      </c>
      <c r="P489" s="8" t="n">
        <f aca="false">SUM(P485:P488)*Opex_Cont</f>
        <v>-121.28418492</v>
      </c>
      <c r="Q489" s="8" t="n">
        <f aca="false">SUM(Q485:Q488)*Opex_Cont</f>
        <v>-124.187389003142</v>
      </c>
      <c r="R489" s="8" t="n">
        <f aca="false">SUM(R485:R488)*Opex_Cont</f>
        <v>-127.160528634851</v>
      </c>
      <c r="S489" s="8" t="n">
        <f aca="false">SUM(S485:S488)*Opex_Cont</f>
        <v>-130.205295487691</v>
      </c>
      <c r="T489" s="8" t="n">
        <f aca="false">SUM(T485:T488)*Opex_Cont</f>
        <v>-133.323422291365</v>
      </c>
      <c r="U489" s="8" t="n">
        <f aca="false">SUM(U485:U488)*Opex_Cont</f>
        <v>-136.516683832126</v>
      </c>
      <c r="V489" s="8" t="n">
        <f aca="false">SUM(V485:V488)*Opex_Cont</f>
        <v>-139.786897976598</v>
      </c>
      <c r="W489" s="8" t="n">
        <f aca="false">SUM(W485:W488)*Opex_Cont</f>
        <v>-143.135926720573</v>
      </c>
      <c r="X489" s="8" t="n">
        <f aca="false">SUM(X485:X488)*Opex_Cont</f>
        <v>-146.565677263421</v>
      </c>
      <c r="Y489" s="8" t="n">
        <f aca="false">SUM(Y485:Y488)*Opex_Cont</f>
        <v>-150.078103108725</v>
      </c>
      <c r="Z489" s="8" t="n">
        <f aca="false">SUM(Z485:Z488)*Opex_Cont</f>
        <v>-153.675205191783</v>
      </c>
      <c r="AA489" s="8" t="n">
        <f aca="false">SUM(AA485:AA488)*Opex_Cont</f>
        <v>-157.359033034643</v>
      </c>
      <c r="AB489" s="8" t="n">
        <f aca="false">SUM(AB485:AB488)*Opex_Cont</f>
        <v>-161.13168592934</v>
      </c>
      <c r="AC489" s="8" t="n">
        <f aca="false">SUM(AC485:AC488)*Opex_Cont</f>
        <v>-164.995314150021</v>
      </c>
      <c r="AD489" s="8" t="n">
        <f aca="false">SUM(AD485:AD488)*Opex_Cont</f>
        <v>-168.952120194672</v>
      </c>
      <c r="AE489" s="8" t="n">
        <f aca="false">SUM(AE485:AE488)*Opex_Cont</f>
        <v>-173.004360057167</v>
      </c>
      <c r="AF489" s="8" t="n">
        <f aca="false">SUM(AF485:AF488)*Opex_Cont</f>
        <v>-177.154344530389</v>
      </c>
      <c r="AG489" s="8" t="n">
        <f aca="false">SUM(AG485:AG488)*Opex_Cont</f>
        <v>-181.40444054117</v>
      </c>
      <c r="AH489" s="8" t="n">
        <f aca="false">SUM(AH485:AH488)*Opex_Cont</f>
        <v>-185.757072517842</v>
      </c>
      <c r="AI489" s="8" t="n">
        <f aca="false">SUM(AI485:AI488)*Opex_Cont</f>
        <v>-190.214723791189</v>
      </c>
      <c r="AJ489" s="8" t="n">
        <f aca="false">SUM(AJ485:AJ488)*Opex_Cont</f>
        <v>-194.779938029627</v>
      </c>
      <c r="AK489" s="8" t="n">
        <f aca="false">SUM(AK485:AK488)*Opex_Cont</f>
        <v>-199.455320709436</v>
      </c>
      <c r="AL489" s="8" t="n">
        <f aca="false">SUM(AL485:AL488)*Opex_Cont</f>
        <v>-204.243540620918</v>
      </c>
      <c r="AM489" s="8" t="n">
        <f aca="false">SUM(AM485:AM488)*Opex_Cont</f>
        <v>-209.147331411349</v>
      </c>
      <c r="AN489" s="8" t="n">
        <f aca="false">SUM(AN485:AN488)*Opex_Cont</f>
        <v>-214.169493165633</v>
      </c>
      <c r="AO489" s="8" t="n">
        <f aca="false">SUM(AO485:AO488)*Opex_Cont</f>
        <v>-219.312894025575</v>
      </c>
      <c r="AP489" s="8" t="n">
        <f aca="false">SUM(AP485:AP488)*Opex_Cont</f>
        <v>-224.58047184873</v>
      </c>
      <c r="AQ489" s="8" t="n">
        <f aca="false">SUM(AQ485:AQ488)*Opex_Cont</f>
        <v>-229.975235907785</v>
      </c>
      <c r="AR489" s="8" t="n">
        <f aca="false">SUM(AR485:AR488)*Opex_Cont</f>
        <v>-235.500268631469</v>
      </c>
      <c r="AS489" s="8" t="n">
        <f aca="false">SUM(AS485:AS488)*Opex_Cont</f>
        <v>-120.579363694011</v>
      </c>
    </row>
    <row r="490" customFormat="false" ht="14.25" hidden="false" customHeight="false" outlineLevel="0" collapsed="false">
      <c r="C490" s="6" t="s">
        <v>313</v>
      </c>
      <c r="D490" s="2" t="s">
        <v>85</v>
      </c>
      <c r="H490" s="8" t="n">
        <f aca="false">SUM(J490:AS490)</f>
        <v>-12790.1964811942</v>
      </c>
      <c r="J490" s="8" t="n">
        <f aca="false">-J481*$G$12</f>
        <v>-0</v>
      </c>
      <c r="K490" s="8" t="n">
        <f aca="false">-K481*$G$12</f>
        <v>-0</v>
      </c>
      <c r="L490" s="8" t="n">
        <f aca="false">-L481*$G$12</f>
        <v>-0</v>
      </c>
      <c r="M490" s="8" t="n">
        <f aca="false">-M481*$G$12</f>
        <v>-0</v>
      </c>
      <c r="N490" s="8" t="n">
        <f aca="false">-N481*$G$12</f>
        <v>-0</v>
      </c>
      <c r="O490" s="8" t="n">
        <f aca="false">-O481*$G$12</f>
        <v>-222.264</v>
      </c>
      <c r="P490" s="8" t="n">
        <f aca="false">-P481*$G$12</f>
        <v>-444.528</v>
      </c>
      <c r="Q490" s="8" t="n">
        <f aca="false">-Q481*$G$12</f>
        <v>-443.194416</v>
      </c>
      <c r="R490" s="8" t="n">
        <f aca="false">-R481*$G$12</f>
        <v>-441.864832752</v>
      </c>
      <c r="S490" s="8" t="n">
        <f aca="false">-S481*$G$12</f>
        <v>-440.539238253744</v>
      </c>
      <c r="T490" s="8" t="n">
        <f aca="false">-T481*$G$12</f>
        <v>-439.217620538983</v>
      </c>
      <c r="U490" s="8" t="n">
        <f aca="false">-U481*$G$12</f>
        <v>-437.899967677366</v>
      </c>
      <c r="V490" s="8" t="n">
        <f aca="false">-V481*$G$12</f>
        <v>-436.586267774334</v>
      </c>
      <c r="W490" s="8" t="n">
        <f aca="false">-W481*$G$12</f>
        <v>-435.276508971011</v>
      </c>
      <c r="X490" s="8" t="n">
        <f aca="false">-X481*$G$12</f>
        <v>-433.970679444098</v>
      </c>
      <c r="Y490" s="8" t="n">
        <f aca="false">-Y481*$G$12</f>
        <v>-432.668767405765</v>
      </c>
      <c r="Z490" s="8" t="n">
        <f aca="false">-Z481*$G$12</f>
        <v>-431.370761103548</v>
      </c>
      <c r="AA490" s="8" t="n">
        <f aca="false">-AA481*$G$12</f>
        <v>-430.076648820237</v>
      </c>
      <c r="AB490" s="8" t="n">
        <f aca="false">-AB481*$G$12</f>
        <v>-428.786418873777</v>
      </c>
      <c r="AC490" s="8" t="n">
        <f aca="false">-AC481*$G$12</f>
        <v>-427.500059617155</v>
      </c>
      <c r="AD490" s="8" t="n">
        <f aca="false">-AD481*$G$12</f>
        <v>-426.217559438304</v>
      </c>
      <c r="AE490" s="8" t="n">
        <f aca="false">-AE481*$G$12</f>
        <v>-424.938906759989</v>
      </c>
      <c r="AF490" s="8" t="n">
        <f aca="false">-AF481*$G$12</f>
        <v>-423.664090039709</v>
      </c>
      <c r="AG490" s="8" t="n">
        <f aca="false">-AG481*$G$12</f>
        <v>-422.39309776959</v>
      </c>
      <c r="AH490" s="8" t="n">
        <f aca="false">-AH481*$G$12</f>
        <v>-421.125918476281</v>
      </c>
      <c r="AI490" s="8" t="n">
        <f aca="false">-AI481*$G$12</f>
        <v>-419.862540720852</v>
      </c>
      <c r="AJ490" s="8" t="n">
        <f aca="false">-AJ481*$G$12</f>
        <v>-418.60295309869</v>
      </c>
      <c r="AK490" s="8" t="n">
        <f aca="false">-AK481*$G$12</f>
        <v>-417.347144239394</v>
      </c>
      <c r="AL490" s="8" t="n">
        <f aca="false">-AL481*$G$12</f>
        <v>-416.095102806675</v>
      </c>
      <c r="AM490" s="8" t="n">
        <f aca="false">-AM481*$G$12</f>
        <v>-414.846817498256</v>
      </c>
      <c r="AN490" s="8" t="n">
        <f aca="false">-AN481*$G$12</f>
        <v>-413.602277045761</v>
      </c>
      <c r="AO490" s="8" t="n">
        <f aca="false">-AO481*$G$12</f>
        <v>-412.361470214623</v>
      </c>
      <c r="AP490" s="8" t="n">
        <f aca="false">-AP481*$G$12</f>
        <v>-411.12438580398</v>
      </c>
      <c r="AQ490" s="8" t="n">
        <f aca="false">-AQ481*$G$12</f>
        <v>-409.891012646568</v>
      </c>
      <c r="AR490" s="8" t="n">
        <f aca="false">-AR481*$G$12</f>
        <v>-408.661339608628</v>
      </c>
      <c r="AS490" s="8" t="n">
        <f aca="false">-AS481*$G$12</f>
        <v>-203.717677794901</v>
      </c>
    </row>
    <row r="491" customFormat="false" ht="14.25" hidden="false" customHeight="false" outlineLevel="0" collapsed="false">
      <c r="C491" s="6" t="s">
        <v>314</v>
      </c>
      <c r="D491" s="2" t="s">
        <v>85</v>
      </c>
      <c r="H491" s="8" t="n">
        <f aca="false">SUM(J491:AS491)</f>
        <v>-8922.61371458909</v>
      </c>
      <c r="J491" s="8" t="n">
        <f aca="false">-J483*HIPA_Rate</f>
        <v>-0</v>
      </c>
      <c r="K491" s="8" t="n">
        <f aca="false">-K483*HIPA_Rate</f>
        <v>-0</v>
      </c>
      <c r="L491" s="8" t="n">
        <f aca="false">-L483*HIPA_Rate</f>
        <v>-0</v>
      </c>
      <c r="M491" s="8" t="n">
        <f aca="false">-M483*HIPA_Rate</f>
        <v>-0</v>
      </c>
      <c r="N491" s="8" t="n">
        <f aca="false">-N483*HIPA_Rate</f>
        <v>-0</v>
      </c>
      <c r="O491" s="8" t="n">
        <f aca="false">-O483*HIPA_Rate</f>
        <v>-133.3584</v>
      </c>
      <c r="P491" s="8" t="n">
        <f aca="false">-P483*HIPA_Rate</f>
        <v>-269.383968</v>
      </c>
      <c r="Q491" s="8" t="n">
        <f aca="false">-Q483*HIPA_Rate</f>
        <v>-271.26157425696</v>
      </c>
      <c r="R491" s="8" t="n">
        <f aca="false">-R483*HIPA_Rate</f>
        <v>-273.152267429531</v>
      </c>
      <c r="S491" s="8" t="n">
        <f aca="false">-S483*HIPA_Rate</f>
        <v>-275.056138733515</v>
      </c>
      <c r="T491" s="8" t="n">
        <f aca="false">-T483*HIPA_Rate</f>
        <v>-276.973280020488</v>
      </c>
      <c r="U491" s="8" t="n">
        <f aca="false">-U483*HIPA_Rate</f>
        <v>-278.90378378223</v>
      </c>
      <c r="V491" s="8" t="n">
        <f aca="false">-V483*HIPA_Rate</f>
        <v>-280.847743155192</v>
      </c>
      <c r="W491" s="8" t="n">
        <f aca="false">-W483*HIPA_Rate</f>
        <v>-282.805251924984</v>
      </c>
      <c r="X491" s="8" t="n">
        <f aca="false">-X483*HIPA_Rate</f>
        <v>-284.776404530901</v>
      </c>
      <c r="Y491" s="8" t="n">
        <f aca="false">-Y483*HIPA_Rate</f>
        <v>-286.761296070482</v>
      </c>
      <c r="Z491" s="8" t="n">
        <f aca="false">-Z483*HIPA_Rate</f>
        <v>-288.760022304093</v>
      </c>
      <c r="AA491" s="8" t="n">
        <f aca="false">-AA483*HIPA_Rate</f>
        <v>-290.772679659552</v>
      </c>
      <c r="AB491" s="8" t="n">
        <f aca="false">-AB483*HIPA_Rate</f>
        <v>-292.799365236779</v>
      </c>
      <c r="AC491" s="8" t="n">
        <f aca="false">-AC483*HIPA_Rate</f>
        <v>-294.84017681248</v>
      </c>
      <c r="AD491" s="8" t="n">
        <f aca="false">-AD483*HIPA_Rate</f>
        <v>-296.895212844863</v>
      </c>
      <c r="AE491" s="8" t="n">
        <f aca="false">-AE483*HIPA_Rate</f>
        <v>-298.964572478392</v>
      </c>
      <c r="AF491" s="8" t="n">
        <f aca="false">-AF483*HIPA_Rate</f>
        <v>-301.048355548566</v>
      </c>
      <c r="AG491" s="8" t="n">
        <f aca="false">-AG483*HIPA_Rate</f>
        <v>-303.146662586739</v>
      </c>
      <c r="AH491" s="8" t="n">
        <f aca="false">-AH483*HIPA_Rate</f>
        <v>-305.259594824969</v>
      </c>
      <c r="AI491" s="8" t="n">
        <f aca="false">-AI483*HIPA_Rate</f>
        <v>-307.387254200899</v>
      </c>
      <c r="AJ491" s="8" t="n">
        <f aca="false">-AJ483*HIPA_Rate</f>
        <v>-309.529743362679</v>
      </c>
      <c r="AK491" s="8" t="n">
        <f aca="false">-AK483*HIPA_Rate</f>
        <v>-311.687165673917</v>
      </c>
      <c r="AL491" s="8" t="n">
        <f aca="false">-AL483*HIPA_Rate</f>
        <v>-313.859625218664</v>
      </c>
      <c r="AM491" s="8" t="n">
        <f aca="false">-AM483*HIPA_Rate</f>
        <v>-316.047226806439</v>
      </c>
      <c r="AN491" s="8" t="n">
        <f aca="false">-AN483*HIPA_Rate</f>
        <v>-318.250075977279</v>
      </c>
      <c r="AO491" s="8" t="n">
        <f aca="false">-AO483*HIPA_Rate</f>
        <v>-320.468279006841</v>
      </c>
      <c r="AP491" s="8" t="n">
        <f aca="false">-AP483*HIPA_Rate</f>
        <v>-322.701942911519</v>
      </c>
      <c r="AQ491" s="8" t="n">
        <f aca="false">-AQ483*HIPA_Rate</f>
        <v>-324.951175453612</v>
      </c>
      <c r="AR491" s="8" t="n">
        <f aca="false">-AR483*HIPA_Rate</f>
        <v>-327.216085146524</v>
      </c>
      <c r="AS491" s="8" t="n">
        <f aca="false">-AS483*HIPA_Rate</f>
        <v>-164.748390629997</v>
      </c>
    </row>
    <row r="492" customFormat="false" ht="14.25" hidden="false" customHeight="false" outlineLevel="0" collapsed="false">
      <c r="C492" s="1" t="s">
        <v>315</v>
      </c>
      <c r="D492" s="2" t="s">
        <v>85</v>
      </c>
      <c r="H492" s="32" t="n">
        <f aca="false">SUM(J492:AS492)</f>
        <v>-130425.697623429</v>
      </c>
      <c r="J492" s="32" t="n">
        <f aca="false">SUM(J485:J491)</f>
        <v>0</v>
      </c>
      <c r="K492" s="32" t="n">
        <f aca="false">SUM(K485:K491)</f>
        <v>0</v>
      </c>
      <c r="L492" s="32" t="n">
        <f aca="false">SUM(L485:L491)</f>
        <v>0</v>
      </c>
      <c r="M492" s="32" t="n">
        <f aca="false">SUM(M485:M491)</f>
        <v>0</v>
      </c>
      <c r="N492" s="32" t="n">
        <f aca="false">SUM(N485:N491)</f>
        <v>0</v>
      </c>
      <c r="O492" s="32" t="n">
        <f aca="false">SUM(O485:O491)</f>
        <v>-1598.148216</v>
      </c>
      <c r="P492" s="32" t="n">
        <f aca="false">SUM(P485:P491)</f>
        <v>-3260.87985132</v>
      </c>
      <c r="Q492" s="32" t="n">
        <f aca="false">SUM(Q485:Q491)</f>
        <v>-3322.39115932295</v>
      </c>
      <c r="R492" s="32" t="n">
        <f aca="false">SUM(R485:R491)</f>
        <v>-3385.38820151339</v>
      </c>
      <c r="S492" s="32" t="n">
        <f aca="false">SUM(S485:S491)</f>
        <v>-3449.90658222877</v>
      </c>
      <c r="T492" s="32" t="n">
        <f aca="false">SUM(T485:T491)</f>
        <v>-3515.98276867813</v>
      </c>
      <c r="U492" s="32" t="n">
        <f aca="false">SUM(U485:U491)</f>
        <v>-3583.65411193425</v>
      </c>
      <c r="V492" s="32" t="n">
        <f aca="false">SUM(V485:V491)</f>
        <v>-3652.95886843809</v>
      </c>
      <c r="W492" s="32" t="n">
        <f aca="false">SUM(W485:W491)</f>
        <v>-3723.93622202803</v>
      </c>
      <c r="X492" s="32" t="n">
        <f aca="false">SUM(X485:X491)</f>
        <v>-3796.62630650685</v>
      </c>
      <c r="Y492" s="32" t="n">
        <f aca="false">SUM(Y485:Y491)</f>
        <v>-3871.07022875947</v>
      </c>
      <c r="Z492" s="32" t="n">
        <f aca="false">SUM(Z485:Z491)</f>
        <v>-3947.31009243507</v>
      </c>
      <c r="AA492" s="32" t="n">
        <f aca="false">SUM(AA485:AA491)</f>
        <v>-4025.38902220729</v>
      </c>
      <c r="AB492" s="32" t="n">
        <f aca="false">SUM(AB485:AB491)</f>
        <v>-4105.3511886267</v>
      </c>
      <c r="AC492" s="32" t="n">
        <f aca="false">SUM(AC485:AC491)</f>
        <v>-4187.24183358009</v>
      </c>
      <c r="AD492" s="32" t="n">
        <f aca="false">SUM(AD485:AD491)</f>
        <v>-4271.10729637127</v>
      </c>
      <c r="AE492" s="32" t="n">
        <f aca="false">SUM(AE485:AE491)</f>
        <v>-4356.99504043889</v>
      </c>
      <c r="AF492" s="32" t="n">
        <f aca="false">SUM(AF485:AF491)</f>
        <v>-4444.95368072645</v>
      </c>
      <c r="AG492" s="32" t="n">
        <f aca="false">SUM(AG485:AG491)</f>
        <v>-4535.0330117209</v>
      </c>
      <c r="AH492" s="32" t="n">
        <f aca="false">SUM(AH485:AH491)</f>
        <v>-4627.28403617592</v>
      </c>
      <c r="AI492" s="32" t="n">
        <f aca="false">SUM(AI485:AI491)</f>
        <v>-4721.75899453672</v>
      </c>
      <c r="AJ492" s="32" t="n">
        <f aca="false">SUM(AJ485:AJ491)</f>
        <v>-4818.51139508354</v>
      </c>
      <c r="AK492" s="32" t="n">
        <f aca="false">SUM(AK485:AK491)</f>
        <v>-4917.59604481147</v>
      </c>
      <c r="AL492" s="32" t="n">
        <f aca="false">SUM(AL485:AL491)</f>
        <v>-5019.06908106463</v>
      </c>
      <c r="AM492" s="32" t="n">
        <f aca="false">SUM(AM485:AM491)</f>
        <v>-5122.98800394303</v>
      </c>
      <c r="AN492" s="32" t="n">
        <f aca="false">SUM(AN485:AN491)</f>
        <v>-5229.41170950133</v>
      </c>
      <c r="AO492" s="32" t="n">
        <f aca="false">SUM(AO485:AO491)</f>
        <v>-5338.40052375853</v>
      </c>
      <c r="AP492" s="32" t="n">
        <f aca="false">SUM(AP485:AP491)</f>
        <v>-5450.01623753884</v>
      </c>
      <c r="AQ492" s="32" t="n">
        <f aca="false">SUM(AQ485:AQ491)</f>
        <v>-5564.32214216366</v>
      </c>
      <c r="AR492" s="32" t="n">
        <f aca="false">SUM(AR485:AR491)</f>
        <v>-5681.38306601601</v>
      </c>
      <c r="AS492" s="32" t="n">
        <f aca="false">SUM(AS485:AS491)</f>
        <v>-2900.63270599912</v>
      </c>
    </row>
    <row r="493" customFormat="false" ht="14.25" hidden="false" customHeight="false" outlineLevel="0" collapsed="false">
      <c r="C493" s="1" t="s">
        <v>160</v>
      </c>
      <c r="D493" s="2" t="s">
        <v>85</v>
      </c>
      <c r="H493" s="15" t="n">
        <f aca="false">SUM(J493:AS493)</f>
        <v>315704.988106025</v>
      </c>
      <c r="J493" s="15" t="n">
        <f aca="false">J483+J492</f>
        <v>0</v>
      </c>
      <c r="K493" s="15" t="n">
        <f aca="false">K483+K492</f>
        <v>0</v>
      </c>
      <c r="L493" s="15" t="n">
        <f aca="false">L483+L492</f>
        <v>0</v>
      </c>
      <c r="M493" s="15" t="n">
        <f aca="false">M483+M492</f>
        <v>0</v>
      </c>
      <c r="N493" s="15" t="n">
        <f aca="false">N483+N492</f>
        <v>0</v>
      </c>
      <c r="O493" s="15" t="n">
        <f aca="false">O483+O492</f>
        <v>5069.771784</v>
      </c>
      <c r="P493" s="15" t="n">
        <f aca="false">P483+P492</f>
        <v>10208.31854868</v>
      </c>
      <c r="Q493" s="15" t="n">
        <f aca="false">Q483+Q492</f>
        <v>10240.6875535251</v>
      </c>
      <c r="R493" s="15" t="n">
        <f aca="false">R483+R492</f>
        <v>10272.2251699632</v>
      </c>
      <c r="S493" s="15" t="n">
        <f aca="false">S483+S492</f>
        <v>10302.900354447</v>
      </c>
      <c r="T493" s="15" t="n">
        <f aca="false">T483+T492</f>
        <v>10332.6812323462</v>
      </c>
      <c r="U493" s="15" t="n">
        <f aca="false">U483+U492</f>
        <v>10361.5350771773</v>
      </c>
      <c r="V493" s="15" t="n">
        <f aca="false">V483+V492</f>
        <v>10389.4282893215</v>
      </c>
      <c r="W493" s="15" t="n">
        <f aca="false">W483+W492</f>
        <v>10416.3263742212</v>
      </c>
      <c r="X493" s="15" t="n">
        <f aca="false">X483+X492</f>
        <v>10442.1939200382</v>
      </c>
      <c r="Y493" s="15" t="n">
        <f aca="false">Y483+Y492</f>
        <v>10466.9945747646</v>
      </c>
      <c r="Z493" s="15" t="n">
        <f aca="false">Z483+Z492</f>
        <v>10490.6910227696</v>
      </c>
      <c r="AA493" s="15" t="n">
        <f aca="false">AA483+AA492</f>
        <v>10513.2449607703</v>
      </c>
      <c r="AB493" s="15" t="n">
        <f aca="false">AB483+AB492</f>
        <v>10534.6170732123</v>
      </c>
      <c r="AC493" s="15" t="n">
        <f aca="false">AC483+AC492</f>
        <v>10554.7670070439</v>
      </c>
      <c r="AD493" s="15" t="n">
        <f aca="false">AD483+AD492</f>
        <v>10573.6533458719</v>
      </c>
      <c r="AE493" s="15" t="n">
        <f aca="false">AE483+AE492</f>
        <v>10591.2335834807</v>
      </c>
      <c r="AF493" s="15" t="n">
        <f aca="false">AF483+AF492</f>
        <v>10607.4640967019</v>
      </c>
      <c r="AG493" s="15" t="n">
        <f aca="false">AG483+AG492</f>
        <v>10622.3001176161</v>
      </c>
      <c r="AH493" s="15" t="n">
        <f aca="false">AH483+AH492</f>
        <v>10635.6957050725</v>
      </c>
      <c r="AI493" s="15" t="n">
        <f aca="false">AI483+AI492</f>
        <v>10647.6037155082</v>
      </c>
      <c r="AJ493" s="15" t="n">
        <f aca="false">AJ483+AJ492</f>
        <v>10657.9757730504</v>
      </c>
      <c r="AK493" s="15" t="n">
        <f aca="false">AK483+AK492</f>
        <v>10666.7622388844</v>
      </c>
      <c r="AL493" s="15" t="n">
        <f aca="false">AL483+AL492</f>
        <v>10673.9121798686</v>
      </c>
      <c r="AM493" s="15" t="n">
        <f aca="false">AM483+AM492</f>
        <v>10679.3733363789</v>
      </c>
      <c r="AN493" s="15" t="n">
        <f aca="false">AN483+AN492</f>
        <v>10683.0920893626</v>
      </c>
      <c r="AO493" s="15" t="n">
        <f aca="false">AO483+AO492</f>
        <v>10685.0134265835</v>
      </c>
      <c r="AP493" s="15" t="n">
        <f aca="false">AP483+AP492</f>
        <v>10685.0809080371</v>
      </c>
      <c r="AQ493" s="15" t="n">
        <f aca="false">AQ483+AQ492</f>
        <v>10683.2366305169</v>
      </c>
      <c r="AR493" s="15" t="n">
        <f aca="false">AR483+AR492</f>
        <v>10679.4211913102</v>
      </c>
      <c r="AS493" s="15" t="n">
        <f aca="false">AS483+AS492</f>
        <v>5336.78682550075</v>
      </c>
    </row>
    <row r="494" customFormat="false" ht="14.25" hidden="false" customHeight="false" outlineLevel="0" collapsed="false">
      <c r="C494" s="1" t="s">
        <v>316</v>
      </c>
      <c r="D494" s="2" t="s">
        <v>85</v>
      </c>
      <c r="H494" s="32" t="n">
        <f aca="false">SUM(J494:AS494)</f>
        <v>238904.92885945</v>
      </c>
      <c r="J494" s="32" t="n">
        <f aca="false">J479+J493</f>
        <v>0</v>
      </c>
      <c r="K494" s="32" t="n">
        <f aca="false">K479+K493</f>
        <v>0</v>
      </c>
      <c r="L494" s="32" t="n">
        <f aca="false">L479+L493</f>
        <v>0</v>
      </c>
      <c r="M494" s="32" t="n">
        <f aca="false">M479+M493</f>
        <v>-29757.5797945206</v>
      </c>
      <c r="N494" s="32" t="n">
        <f aca="false">N479+N493</f>
        <v>-31358</v>
      </c>
      <c r="O494" s="32" t="n">
        <f aca="false">O479+O493</f>
        <v>-13109.228216</v>
      </c>
      <c r="P494" s="32" t="n">
        <f aca="false">P479+P493</f>
        <v>10208.31854868</v>
      </c>
      <c r="Q494" s="32" t="n">
        <f aca="false">Q479+Q493</f>
        <v>12735.2081014703</v>
      </c>
      <c r="R494" s="32" t="n">
        <f aca="false">R479+R493</f>
        <v>10272.2251699632</v>
      </c>
      <c r="S494" s="32" t="n">
        <f aca="false">S479+S493</f>
        <v>10302.900354447</v>
      </c>
      <c r="T494" s="32" t="n">
        <f aca="false">T479+T493</f>
        <v>10332.6812323462</v>
      </c>
      <c r="U494" s="32" t="n">
        <f aca="false">U479+U493</f>
        <v>10361.5350771773</v>
      </c>
      <c r="V494" s="32" t="n">
        <f aca="false">V479+V493</f>
        <v>10389.4282893215</v>
      </c>
      <c r="W494" s="32" t="n">
        <f aca="false">W479+W493</f>
        <v>10416.3263742212</v>
      </c>
      <c r="X494" s="32" t="n">
        <f aca="false">X479+X493</f>
        <v>10442.1939200382</v>
      </c>
      <c r="Y494" s="32" t="n">
        <f aca="false">Y479+Y493</f>
        <v>10466.9945747646</v>
      </c>
      <c r="Z494" s="32" t="n">
        <f aca="false">Z479+Z493</f>
        <v>10490.6910227696</v>
      </c>
      <c r="AA494" s="32" t="n">
        <f aca="false">AA479+AA493</f>
        <v>10513.2449607703</v>
      </c>
      <c r="AB494" s="32" t="n">
        <f aca="false">AB479+AB493</f>
        <v>10534.6170732123</v>
      </c>
      <c r="AC494" s="32" t="n">
        <f aca="false">AC479+AC493</f>
        <v>10554.7670070439</v>
      </c>
      <c r="AD494" s="32" t="n">
        <f aca="false">AD479+AD493</f>
        <v>10573.6533458719</v>
      </c>
      <c r="AE494" s="32" t="n">
        <f aca="false">AE479+AE493</f>
        <v>10591.2335834807</v>
      </c>
      <c r="AF494" s="32" t="n">
        <f aca="false">AF479+AF493</f>
        <v>10607.4640967019</v>
      </c>
      <c r="AG494" s="32" t="n">
        <f aca="false">AG479+AG493</f>
        <v>10622.3001176161</v>
      </c>
      <c r="AH494" s="32" t="n">
        <f aca="false">AH479+AH493</f>
        <v>10635.6957050725</v>
      </c>
      <c r="AI494" s="32" t="n">
        <f aca="false">AI479+AI493</f>
        <v>10647.6037155082</v>
      </c>
      <c r="AJ494" s="32" t="n">
        <f aca="false">AJ479+AJ493</f>
        <v>10657.9757730504</v>
      </c>
      <c r="AK494" s="32" t="n">
        <f aca="false">AK479+AK493</f>
        <v>10666.7622388844</v>
      </c>
      <c r="AL494" s="32" t="n">
        <f aca="false">AL479+AL493</f>
        <v>10673.9121798686</v>
      </c>
      <c r="AM494" s="32" t="n">
        <f aca="false">AM479+AM493</f>
        <v>10679.3733363789</v>
      </c>
      <c r="AN494" s="32" t="n">
        <f aca="false">AN479+AN493</f>
        <v>10683.0920893626</v>
      </c>
      <c r="AO494" s="32" t="n">
        <f aca="false">AO479+AO493</f>
        <v>10685.0134265835</v>
      </c>
      <c r="AP494" s="32" t="n">
        <f aca="false">AP479+AP493</f>
        <v>10685.0809080371</v>
      </c>
      <c r="AQ494" s="32" t="n">
        <f aca="false">AQ479+AQ493</f>
        <v>10683.2366305169</v>
      </c>
      <c r="AR494" s="32" t="n">
        <f aca="false">AR479+AR493</f>
        <v>10679.4211913102</v>
      </c>
      <c r="AS494" s="32" t="n">
        <f aca="false">AS479+AS493</f>
        <v>5336.78682550075</v>
      </c>
    </row>
    <row r="495" customFormat="false" ht="14.25" hidden="false" customHeight="false" outlineLevel="0" collapsed="false">
      <c r="C495" s="6" t="s">
        <v>317</v>
      </c>
      <c r="D495" s="2" t="s">
        <v>85</v>
      </c>
      <c r="H495" s="8" t="n">
        <f aca="false">SUM(J495:AS495)</f>
        <v>-76800.0592465753</v>
      </c>
      <c r="J495" s="8" t="n">
        <f aca="false">-$G$99/Tax_Dep_Life*(J469&gt;=0)*(J469&lt;Tax_Dep_Life)</f>
        <v>-0</v>
      </c>
      <c r="K495" s="8" t="n">
        <f aca="false">-$G$99/Tax_Dep_Life*(K469&gt;=0)*(K469&lt;Tax_Dep_Life)</f>
        <v>-0</v>
      </c>
      <c r="L495" s="8" t="n">
        <f aca="false">-$G$99/Tax_Dep_Life*(L469&gt;=0)*(L469&lt;Tax_Dep_Life)</f>
        <v>-0</v>
      </c>
      <c r="M495" s="8" t="n">
        <f aca="false">-$G$99/Tax_Dep_Life*(M469&gt;=0)*(M469&lt;Tax_Dep_Life)</f>
        <v>-0</v>
      </c>
      <c r="N495" s="8" t="n">
        <f aca="false">-$G$99/Tax_Dep_Life*(N469&gt;=0)*(N469&lt;Tax_Dep_Life)</f>
        <v>-0</v>
      </c>
      <c r="O495" s="8" t="n">
        <f aca="false">-$G$99/Tax_Dep_Life*(O469&gt;=0)*(O469&lt;Tax_Dep_Life)</f>
        <v>-3840.00296232877</v>
      </c>
      <c r="P495" s="8" t="n">
        <f aca="false">-$G$99/Tax_Dep_Life*(P469&gt;=0)*(P469&lt;Tax_Dep_Life)</f>
        <v>-3840.00296232877</v>
      </c>
      <c r="Q495" s="8" t="n">
        <f aca="false">-$G$99/Tax_Dep_Life*(Q469&gt;=0)*(Q469&lt;Tax_Dep_Life)</f>
        <v>-3840.00296232877</v>
      </c>
      <c r="R495" s="8" t="n">
        <f aca="false">-$G$99/Tax_Dep_Life*(R469&gt;=0)*(R469&lt;Tax_Dep_Life)</f>
        <v>-3840.00296232877</v>
      </c>
      <c r="S495" s="8" t="n">
        <f aca="false">-$G$99/Tax_Dep_Life*(S469&gt;=0)*(S469&lt;Tax_Dep_Life)</f>
        <v>-3840.00296232877</v>
      </c>
      <c r="T495" s="8" t="n">
        <f aca="false">-$G$99/Tax_Dep_Life*(T469&gt;=0)*(T469&lt;Tax_Dep_Life)</f>
        <v>-3840.00296232877</v>
      </c>
      <c r="U495" s="8" t="n">
        <f aca="false">-$G$99/Tax_Dep_Life*(U469&gt;=0)*(U469&lt;Tax_Dep_Life)</f>
        <v>-3840.00296232877</v>
      </c>
      <c r="V495" s="8" t="n">
        <f aca="false">-$G$99/Tax_Dep_Life*(V469&gt;=0)*(V469&lt;Tax_Dep_Life)</f>
        <v>-3840.00296232877</v>
      </c>
      <c r="W495" s="8" t="n">
        <f aca="false">-$G$99/Tax_Dep_Life*(W469&gt;=0)*(W469&lt;Tax_Dep_Life)</f>
        <v>-3840.00296232877</v>
      </c>
      <c r="X495" s="8" t="n">
        <f aca="false">-$G$99/Tax_Dep_Life*(X469&gt;=0)*(X469&lt;Tax_Dep_Life)</f>
        <v>-3840.00296232877</v>
      </c>
      <c r="Y495" s="8" t="n">
        <f aca="false">-$G$99/Tax_Dep_Life*(Y469&gt;=0)*(Y469&lt;Tax_Dep_Life)</f>
        <v>-3840.00296232877</v>
      </c>
      <c r="Z495" s="8" t="n">
        <f aca="false">-$G$99/Tax_Dep_Life*(Z469&gt;=0)*(Z469&lt;Tax_Dep_Life)</f>
        <v>-3840.00296232877</v>
      </c>
      <c r="AA495" s="8" t="n">
        <f aca="false">-$G$99/Tax_Dep_Life*(AA469&gt;=0)*(AA469&lt;Tax_Dep_Life)</f>
        <v>-3840.00296232877</v>
      </c>
      <c r="AB495" s="8" t="n">
        <f aca="false">-$G$99/Tax_Dep_Life*(AB469&gt;=0)*(AB469&lt;Tax_Dep_Life)</f>
        <v>-3840.00296232877</v>
      </c>
      <c r="AC495" s="8" t="n">
        <f aca="false">-$G$99/Tax_Dep_Life*(AC469&gt;=0)*(AC469&lt;Tax_Dep_Life)</f>
        <v>-3840.00296232877</v>
      </c>
      <c r="AD495" s="8" t="n">
        <f aca="false">-$G$99/Tax_Dep_Life*(AD469&gt;=0)*(AD469&lt;Tax_Dep_Life)</f>
        <v>-3840.00296232877</v>
      </c>
      <c r="AE495" s="8" t="n">
        <f aca="false">-$G$99/Tax_Dep_Life*(AE469&gt;=0)*(AE469&lt;Tax_Dep_Life)</f>
        <v>-3840.00296232877</v>
      </c>
      <c r="AF495" s="8" t="n">
        <f aca="false">-$G$99/Tax_Dep_Life*(AF469&gt;=0)*(AF469&lt;Tax_Dep_Life)</f>
        <v>-3840.00296232877</v>
      </c>
      <c r="AG495" s="8" t="n">
        <f aca="false">-$G$99/Tax_Dep_Life*(AG469&gt;=0)*(AG469&lt;Tax_Dep_Life)</f>
        <v>-3840.00296232877</v>
      </c>
      <c r="AH495" s="8" t="n">
        <f aca="false">-$G$99/Tax_Dep_Life*(AH469&gt;=0)*(AH469&lt;Tax_Dep_Life)</f>
        <v>-3840.00296232877</v>
      </c>
      <c r="AI495" s="8" t="n">
        <f aca="false">-$G$99/Tax_Dep_Life*(AI469&gt;=0)*(AI469&lt;Tax_Dep_Life)</f>
        <v>-0</v>
      </c>
      <c r="AJ495" s="8" t="n">
        <f aca="false">-$G$99/Tax_Dep_Life*(AJ469&gt;=0)*(AJ469&lt;Tax_Dep_Life)</f>
        <v>-0</v>
      </c>
      <c r="AK495" s="8" t="n">
        <f aca="false">-$G$99/Tax_Dep_Life*(AK469&gt;=0)*(AK469&lt;Tax_Dep_Life)</f>
        <v>-0</v>
      </c>
      <c r="AL495" s="8" t="n">
        <f aca="false">-$G$99/Tax_Dep_Life*(AL469&gt;=0)*(AL469&lt;Tax_Dep_Life)</f>
        <v>-0</v>
      </c>
      <c r="AM495" s="8" t="n">
        <f aca="false">-$G$99/Tax_Dep_Life*(AM469&gt;=0)*(AM469&lt;Tax_Dep_Life)</f>
        <v>-0</v>
      </c>
      <c r="AN495" s="8" t="n">
        <f aca="false">-$G$99/Tax_Dep_Life*(AN469&gt;=0)*(AN469&lt;Tax_Dep_Life)</f>
        <v>-0</v>
      </c>
      <c r="AO495" s="8" t="n">
        <f aca="false">-$G$99/Tax_Dep_Life*(AO469&gt;=0)*(AO469&lt;Tax_Dep_Life)</f>
        <v>-0</v>
      </c>
      <c r="AP495" s="8" t="n">
        <f aca="false">-$G$99/Tax_Dep_Life*(AP469&gt;=0)*(AP469&lt;Tax_Dep_Life)</f>
        <v>-0</v>
      </c>
      <c r="AQ495" s="8" t="n">
        <f aca="false">-$G$99/Tax_Dep_Life*(AQ469&gt;=0)*(AQ469&lt;Tax_Dep_Life)</f>
        <v>-0</v>
      </c>
      <c r="AR495" s="8" t="n">
        <f aca="false">-$G$99/Tax_Dep_Life*(AR469&gt;=0)*(AR469&lt;Tax_Dep_Life)</f>
        <v>-0</v>
      </c>
      <c r="AS495" s="8" t="n">
        <f aca="false">-$G$99/Tax_Dep_Life*(AS469&gt;=0)*(AS469&lt;Tax_Dep_Life)</f>
        <v>-0</v>
      </c>
    </row>
    <row r="496" customFormat="false" ht="14.25" hidden="false" customHeight="false" outlineLevel="0" collapsed="false">
      <c r="C496" s="6" t="s">
        <v>318</v>
      </c>
      <c r="D496" s="2" t="s">
        <v>85</v>
      </c>
      <c r="H496" s="8" t="n">
        <f aca="false">SUM(J496:AS496)</f>
        <v>-35835.7393289174</v>
      </c>
      <c r="J496" s="8" t="n">
        <f aca="false">-MAX(0,J493+J495)*CIT_Rate*(J473&gt;0)</f>
        <v>-0</v>
      </c>
      <c r="K496" s="8" t="n">
        <f aca="false">-MAX(0,K493+K495)*CIT_Rate*(K473&gt;0)</f>
        <v>-0</v>
      </c>
      <c r="L496" s="8" t="n">
        <f aca="false">-MAX(0,L493+L495)*CIT_Rate*(L473&gt;0)</f>
        <v>-0</v>
      </c>
      <c r="M496" s="8" t="n">
        <f aca="false">-MAX(0,M493+M495)*CIT_Rate*(M473&gt;0)</f>
        <v>-0</v>
      </c>
      <c r="N496" s="8" t="n">
        <f aca="false">-MAX(0,N493+N495)*CIT_Rate*(N473&gt;0)</f>
        <v>-0</v>
      </c>
      <c r="O496" s="8" t="n">
        <f aca="false">-MAX(0,O493+O495)*CIT_Rate*(O473&gt;0)</f>
        <v>-184.465323250685</v>
      </c>
      <c r="P496" s="8" t="n">
        <f aca="false">-MAX(0,P493+P495)*CIT_Rate*(P473&gt;0)</f>
        <v>-955.247337952685</v>
      </c>
      <c r="Q496" s="8" t="n">
        <f aca="false">-MAX(0,Q493+Q495)*CIT_Rate*(Q473&gt;0)</f>
        <v>-960.102688679442</v>
      </c>
      <c r="R496" s="8" t="n">
        <f aca="false">-MAX(0,R493+R495)*CIT_Rate*(R473&gt;0)</f>
        <v>-964.833331145159</v>
      </c>
      <c r="S496" s="8" t="n">
        <f aca="false">-MAX(0,S493+S495)*CIT_Rate*(S473&gt;0)</f>
        <v>-969.434608817731</v>
      </c>
      <c r="T496" s="8" t="n">
        <f aca="false">-MAX(0,T493+T495)*CIT_Rate*(T473&gt;0)</f>
        <v>-973.901740502622</v>
      </c>
      <c r="U496" s="8" t="n">
        <f aca="false">-MAX(0,U493+U495)*CIT_Rate*(U473&gt;0)</f>
        <v>-978.229817227275</v>
      </c>
      <c r="V496" s="8" t="n">
        <f aca="false">-MAX(0,V493+V495)*CIT_Rate*(V473&gt;0)</f>
        <v>-982.413799048915</v>
      </c>
      <c r="W496" s="8" t="n">
        <f aca="false">-MAX(0,W493+W495)*CIT_Rate*(W473&gt;0)</f>
        <v>-986.448511783862</v>
      </c>
      <c r="X496" s="8" t="n">
        <f aca="false">-MAX(0,X493+X495)*CIT_Rate*(X473&gt;0)</f>
        <v>-990.328643656417</v>
      </c>
      <c r="Y496" s="8" t="n">
        <f aca="false">-MAX(0,Y493+Y495)*CIT_Rate*(Y473&gt;0)</f>
        <v>-994.048741865376</v>
      </c>
      <c r="Z496" s="8" t="n">
        <f aca="false">-MAX(0,Z493+Z495)*CIT_Rate*(Z473&gt;0)</f>
        <v>-997.60320906612</v>
      </c>
      <c r="AA496" s="8" t="n">
        <f aca="false">-MAX(0,AA493+AA495)*CIT_Rate*(AA473&gt;0)</f>
        <v>-1000.98629976623</v>
      </c>
      <c r="AB496" s="8" t="n">
        <f aca="false">-MAX(0,AB493+AB495)*CIT_Rate*(AB473&gt;0)</f>
        <v>-1004.19211663253</v>
      </c>
      <c r="AC496" s="8" t="n">
        <f aca="false">-MAX(0,AC493+AC495)*CIT_Rate*(AC473&gt;0)</f>
        <v>-1007.21460670727</v>
      </c>
      <c r="AD496" s="8" t="n">
        <f aca="false">-MAX(0,AD493+AD495)*CIT_Rate*(AD473&gt;0)</f>
        <v>-1010.04755753146</v>
      </c>
      <c r="AE496" s="8" t="n">
        <f aca="false">-MAX(0,AE493+AE495)*CIT_Rate*(AE473&gt;0)</f>
        <v>-1012.68459317279</v>
      </c>
      <c r="AF496" s="8" t="n">
        <f aca="false">-MAX(0,AF493+AF495)*CIT_Rate*(AF473&gt;0)</f>
        <v>-1015.11917015596</v>
      </c>
      <c r="AG496" s="8" t="n">
        <f aca="false">-MAX(0,AG493+AG495)*CIT_Rate*(AG473&gt;0)</f>
        <v>-1017.3445732931</v>
      </c>
      <c r="AH496" s="8" t="n">
        <f aca="false">-MAX(0,AH493+AH495)*CIT_Rate*(AH473&gt;0)</f>
        <v>-1019.35391141156</v>
      </c>
      <c r="AI496" s="8" t="n">
        <f aca="false">-MAX(0,AI493+AI495)*CIT_Rate*(AI473&gt;0)</f>
        <v>-1597.14055732624</v>
      </c>
      <c r="AJ496" s="8" t="n">
        <f aca="false">-MAX(0,AJ493+AJ495)*CIT_Rate*(AJ473&gt;0)</f>
        <v>-1598.69636595756</v>
      </c>
      <c r="AK496" s="8" t="n">
        <f aca="false">-MAX(0,AK493+AK495)*CIT_Rate*(AK473&gt;0)</f>
        <v>-1600.01433583266</v>
      </c>
      <c r="AL496" s="8" t="n">
        <f aca="false">-MAX(0,AL493+AL495)*CIT_Rate*(AL473&gt;0)</f>
        <v>-1601.08682698029</v>
      </c>
      <c r="AM496" s="8" t="n">
        <f aca="false">-MAX(0,AM493+AM495)*CIT_Rate*(AM473&gt;0)</f>
        <v>-1601.90600045683</v>
      </c>
      <c r="AN496" s="8" t="n">
        <f aca="false">-MAX(0,AN493+AN495)*CIT_Rate*(AN473&gt;0)</f>
        <v>-1602.4638134044</v>
      </c>
      <c r="AO496" s="8" t="n">
        <f aca="false">-MAX(0,AO493+AO495)*CIT_Rate*(AO473&gt;0)</f>
        <v>-1602.75201398753</v>
      </c>
      <c r="AP496" s="8" t="n">
        <f aca="false">-MAX(0,AP493+AP495)*CIT_Rate*(AP473&gt;0)</f>
        <v>-1602.76213620557</v>
      </c>
      <c r="AQ496" s="8" t="n">
        <f aca="false">-MAX(0,AQ493+AQ495)*CIT_Rate*(AQ473&gt;0)</f>
        <v>-1602.48549457754</v>
      </c>
      <c r="AR496" s="8" t="n">
        <f aca="false">-MAX(0,AR493+AR495)*CIT_Rate*(AR473&gt;0)</f>
        <v>-1601.91317869653</v>
      </c>
      <c r="AS496" s="8" t="n">
        <f aca="false">-MAX(0,AS493+AS495)*CIT_Rate*(AS473&gt;0)</f>
        <v>-800.518023825112</v>
      </c>
    </row>
    <row r="497" customFormat="false" ht="14.25" hidden="false" customHeight="false" outlineLevel="0" collapsed="false">
      <c r="C497" s="1" t="s">
        <v>319</v>
      </c>
      <c r="D497" s="2" t="s">
        <v>85</v>
      </c>
      <c r="H497" s="32" t="n">
        <f aca="false">SUM(J497:AS497)</f>
        <v>203069.189530532</v>
      </c>
      <c r="J497" s="32" t="n">
        <f aca="false">J494+J496</f>
        <v>0</v>
      </c>
      <c r="K497" s="32" t="n">
        <f aca="false">K494+K496</f>
        <v>0</v>
      </c>
      <c r="L497" s="32" t="n">
        <f aca="false">L494+L496</f>
        <v>0</v>
      </c>
      <c r="M497" s="32" t="n">
        <f aca="false">M494+M496</f>
        <v>-29757.5797945206</v>
      </c>
      <c r="N497" s="32" t="n">
        <f aca="false">N494+N496</f>
        <v>-31358</v>
      </c>
      <c r="O497" s="32" t="n">
        <f aca="false">O494+O496</f>
        <v>-13293.6935392507</v>
      </c>
      <c r="P497" s="32" t="n">
        <f aca="false">P494+P496</f>
        <v>9253.07121072731</v>
      </c>
      <c r="Q497" s="32" t="n">
        <f aca="false">Q494+Q496</f>
        <v>11775.1054127908</v>
      </c>
      <c r="R497" s="32" t="n">
        <f aca="false">R494+R496</f>
        <v>9307.391838818</v>
      </c>
      <c r="S497" s="32" t="n">
        <f aca="false">S494+S496</f>
        <v>9333.46574562924</v>
      </c>
      <c r="T497" s="32" t="n">
        <f aca="false">T494+T496</f>
        <v>9358.77949184362</v>
      </c>
      <c r="U497" s="32" t="n">
        <f aca="false">U494+U496</f>
        <v>9383.30525994999</v>
      </c>
      <c r="V497" s="32" t="n">
        <f aca="false">V494+V496</f>
        <v>9407.01449027262</v>
      </c>
      <c r="W497" s="32" t="n">
        <f aca="false">W494+W496</f>
        <v>9429.87786243732</v>
      </c>
      <c r="X497" s="32" t="n">
        <f aca="false">X494+X496</f>
        <v>9451.8652763818</v>
      </c>
      <c r="Y497" s="32" t="n">
        <f aca="false">Y494+Y496</f>
        <v>9472.94583289924</v>
      </c>
      <c r="Z497" s="32" t="n">
        <f aca="false">Z494+Z496</f>
        <v>9493.08781370345</v>
      </c>
      <c r="AA497" s="32" t="n">
        <f aca="false">AA494+AA496</f>
        <v>9512.25866100409</v>
      </c>
      <c r="AB497" s="32" t="n">
        <f aca="false">AB494+AB496</f>
        <v>9530.42495657974</v>
      </c>
      <c r="AC497" s="32" t="n">
        <f aca="false">AC494+AC496</f>
        <v>9547.55240033664</v>
      </c>
      <c r="AD497" s="32" t="n">
        <f aca="false">AD494+AD496</f>
        <v>9563.6057883404</v>
      </c>
      <c r="AE497" s="32" t="n">
        <f aca="false">AE494+AE496</f>
        <v>9578.5489903079</v>
      </c>
      <c r="AF497" s="32" t="n">
        <f aca="false">AF494+AF496</f>
        <v>9592.34492654589</v>
      </c>
      <c r="AG497" s="32" t="n">
        <f aca="false">AG494+AG496</f>
        <v>9604.95554432298</v>
      </c>
      <c r="AH497" s="32" t="n">
        <f aca="false">AH494+AH496</f>
        <v>9616.34179366096</v>
      </c>
      <c r="AI497" s="32" t="n">
        <f aca="false">AI494+AI496</f>
        <v>9050.463158182</v>
      </c>
      <c r="AJ497" s="32" t="n">
        <f aca="false">AJ494+AJ496</f>
        <v>9059.27940709287</v>
      </c>
      <c r="AK497" s="32" t="n">
        <f aca="false">AK494+AK496</f>
        <v>9066.74790305173</v>
      </c>
      <c r="AL497" s="32" t="n">
        <f aca="false">AL494+AL496</f>
        <v>9072.8253528883</v>
      </c>
      <c r="AM497" s="32" t="n">
        <f aca="false">AM494+AM496</f>
        <v>9077.46733592206</v>
      </c>
      <c r="AN497" s="32" t="n">
        <f aca="false">AN494+AN496</f>
        <v>9080.62827595824</v>
      </c>
      <c r="AO497" s="32" t="n">
        <f aca="false">AO494+AO496</f>
        <v>9082.26141259599</v>
      </c>
      <c r="AP497" s="32" t="n">
        <f aca="false">AP494+AP496</f>
        <v>9082.31877183154</v>
      </c>
      <c r="AQ497" s="32" t="n">
        <f aca="false">AQ494+AQ496</f>
        <v>9080.75113593939</v>
      </c>
      <c r="AR497" s="32" t="n">
        <f aca="false">AR494+AR496</f>
        <v>9077.50801261365</v>
      </c>
      <c r="AS497" s="32" t="n">
        <f aca="false">AS494+AS496</f>
        <v>4536.26880167564</v>
      </c>
    </row>
    <row r="498" customFormat="false" ht="14.25" hidden="false" customHeight="false" outlineLevel="0" collapsed="false">
      <c r="C498" s="6" t="s">
        <v>320</v>
      </c>
      <c r="D498" s="2" t="s">
        <v>85</v>
      </c>
      <c r="H498" s="8" t="n">
        <f aca="false">SUM(J498:AS498)</f>
        <v>46080.0355479452</v>
      </c>
      <c r="J498" s="8" t="n">
        <f aca="false">$G$99*Gearing*J474</f>
        <v>0</v>
      </c>
      <c r="K498" s="8" t="n">
        <f aca="false">$G$99*Gearing*K474</f>
        <v>0</v>
      </c>
      <c r="L498" s="8" t="n">
        <f aca="false">$G$99*Gearing*L474</f>
        <v>0</v>
      </c>
      <c r="M498" s="8" t="n">
        <f aca="false">$G$99*Gearing*M474</f>
        <v>0</v>
      </c>
      <c r="N498" s="8" t="n">
        <f aca="false">$G$99*Gearing*N474</f>
        <v>0</v>
      </c>
      <c r="O498" s="8" t="n">
        <f aca="false">$G$99*Gearing*O474</f>
        <v>46080.0355479452</v>
      </c>
      <c r="P498" s="8" t="n">
        <f aca="false">$G$99*Gearing*P474</f>
        <v>0</v>
      </c>
      <c r="Q498" s="8" t="n">
        <f aca="false">$G$99*Gearing*Q474</f>
        <v>0</v>
      </c>
      <c r="R498" s="8" t="n">
        <f aca="false">$G$99*Gearing*R474</f>
        <v>0</v>
      </c>
      <c r="S498" s="8" t="n">
        <f aca="false">$G$99*Gearing*S474</f>
        <v>0</v>
      </c>
      <c r="T498" s="8" t="n">
        <f aca="false">$G$99*Gearing*T474</f>
        <v>0</v>
      </c>
      <c r="U498" s="8" t="n">
        <f aca="false">$G$99*Gearing*U474</f>
        <v>0</v>
      </c>
      <c r="V498" s="8" t="n">
        <f aca="false">$G$99*Gearing*V474</f>
        <v>0</v>
      </c>
      <c r="W498" s="8" t="n">
        <f aca="false">$G$99*Gearing*W474</f>
        <v>0</v>
      </c>
      <c r="X498" s="8" t="n">
        <f aca="false">$G$99*Gearing*X474</f>
        <v>0</v>
      </c>
      <c r="Y498" s="8" t="n">
        <f aca="false">$G$99*Gearing*Y474</f>
        <v>0</v>
      </c>
      <c r="Z498" s="8" t="n">
        <f aca="false">$G$99*Gearing*Z474</f>
        <v>0</v>
      </c>
      <c r="AA498" s="8" t="n">
        <f aca="false">$G$99*Gearing*AA474</f>
        <v>0</v>
      </c>
      <c r="AB498" s="8" t="n">
        <f aca="false">$G$99*Gearing*AB474</f>
        <v>0</v>
      </c>
      <c r="AC498" s="8" t="n">
        <f aca="false">$G$99*Gearing*AC474</f>
        <v>0</v>
      </c>
      <c r="AD498" s="8" t="n">
        <f aca="false">$G$99*Gearing*AD474</f>
        <v>0</v>
      </c>
      <c r="AE498" s="8" t="n">
        <f aca="false">$G$99*Gearing*AE474</f>
        <v>0</v>
      </c>
      <c r="AF498" s="8" t="n">
        <f aca="false">$G$99*Gearing*AF474</f>
        <v>0</v>
      </c>
      <c r="AG498" s="8" t="n">
        <f aca="false">$G$99*Gearing*AG474</f>
        <v>0</v>
      </c>
      <c r="AH498" s="8" t="n">
        <f aca="false">$G$99*Gearing*AH474</f>
        <v>0</v>
      </c>
      <c r="AI498" s="8" t="n">
        <f aca="false">$G$99*Gearing*AI474</f>
        <v>0</v>
      </c>
      <c r="AJ498" s="8" t="n">
        <f aca="false">$G$99*Gearing*AJ474</f>
        <v>0</v>
      </c>
      <c r="AK498" s="8" t="n">
        <f aca="false">$G$99*Gearing*AK474</f>
        <v>0</v>
      </c>
      <c r="AL498" s="8" t="n">
        <f aca="false">$G$99*Gearing*AL474</f>
        <v>0</v>
      </c>
      <c r="AM498" s="8" t="n">
        <f aca="false">$G$99*Gearing*AM474</f>
        <v>0</v>
      </c>
      <c r="AN498" s="8" t="n">
        <f aca="false">$G$99*Gearing*AN474</f>
        <v>0</v>
      </c>
      <c r="AO498" s="8" t="n">
        <f aca="false">$G$99*Gearing*AO474</f>
        <v>0</v>
      </c>
      <c r="AP498" s="8" t="n">
        <f aca="false">$G$99*Gearing*AP474</f>
        <v>0</v>
      </c>
      <c r="AQ498" s="8" t="n">
        <f aca="false">$G$99*Gearing*AQ474</f>
        <v>0</v>
      </c>
      <c r="AR498" s="8" t="n">
        <f aca="false">$G$99*Gearing*AR474</f>
        <v>0</v>
      </c>
      <c r="AS498" s="8" t="n">
        <f aca="false">$G$99*Gearing*AS474</f>
        <v>0</v>
      </c>
    </row>
    <row r="499" customFormat="false" ht="14.25" hidden="false" customHeight="false" outlineLevel="0" collapsed="false">
      <c r="C499" s="6" t="s">
        <v>321</v>
      </c>
      <c r="D499" s="2" t="s">
        <v>85</v>
      </c>
      <c r="H499" s="8" t="n">
        <f aca="false">SUM(J499:AS499)</f>
        <v>-66591.8405670651</v>
      </c>
      <c r="J499" s="8" t="n">
        <f aca="false">PMT(Debt_Rate,Debt_Tenor,$G$99*Gearing)*(J469&gt;=1)*(J469&lt;=Debt_Tenor)</f>
        <v>-0</v>
      </c>
      <c r="K499" s="8" t="n">
        <f aca="false">PMT(Debt_Rate,Debt_Tenor,$G$99*Gearing)*(K469&gt;=1)*(K469&lt;=Debt_Tenor)</f>
        <v>-0</v>
      </c>
      <c r="L499" s="8" t="n">
        <f aca="false">PMT(Debt_Rate,Debt_Tenor,$G$99*Gearing)*(L469&gt;=1)*(L469&lt;=Debt_Tenor)</f>
        <v>-0</v>
      </c>
      <c r="M499" s="8" t="n">
        <f aca="false">PMT(Debt_Rate,Debt_Tenor,$G$99*Gearing)*(M469&gt;=1)*(M469&lt;=Debt_Tenor)</f>
        <v>-0</v>
      </c>
      <c r="N499" s="8" t="n">
        <f aca="false">PMT(Debt_Rate,Debt_Tenor,$G$99*Gearing)*(N469&gt;=1)*(N469&lt;=Debt_Tenor)</f>
        <v>-0</v>
      </c>
      <c r="O499" s="8" t="n">
        <f aca="false">PMT(Debt_Rate,Debt_Tenor,$G$99*Gearing)*(O469&gt;=1)*(O469&lt;=Debt_Tenor)</f>
        <v>-0</v>
      </c>
      <c r="P499" s="8" t="n">
        <f aca="false">PMT(Debt_Rate,Debt_Tenor,$G$99*Gearing)*(P469&gt;=1)*(P469&lt;=Debt_Tenor)</f>
        <v>-4439.45603780434</v>
      </c>
      <c r="Q499" s="8" t="n">
        <f aca="false">PMT(Debt_Rate,Debt_Tenor,$G$99*Gearing)*(Q469&gt;=1)*(Q469&lt;=Debt_Tenor)</f>
        <v>-4439.45603780434</v>
      </c>
      <c r="R499" s="8" t="n">
        <f aca="false">PMT(Debt_Rate,Debt_Tenor,$G$99*Gearing)*(R469&gt;=1)*(R469&lt;=Debt_Tenor)</f>
        <v>-4439.45603780434</v>
      </c>
      <c r="S499" s="8" t="n">
        <f aca="false">PMT(Debt_Rate,Debt_Tenor,$G$99*Gearing)*(S469&gt;=1)*(S469&lt;=Debt_Tenor)</f>
        <v>-4439.45603780434</v>
      </c>
      <c r="T499" s="8" t="n">
        <f aca="false">PMT(Debt_Rate,Debt_Tenor,$G$99*Gearing)*(T469&gt;=1)*(T469&lt;=Debt_Tenor)</f>
        <v>-4439.45603780434</v>
      </c>
      <c r="U499" s="8" t="n">
        <f aca="false">PMT(Debt_Rate,Debt_Tenor,$G$99*Gearing)*(U469&gt;=1)*(U469&lt;=Debt_Tenor)</f>
        <v>-4439.45603780434</v>
      </c>
      <c r="V499" s="8" t="n">
        <f aca="false">PMT(Debt_Rate,Debt_Tenor,$G$99*Gearing)*(V469&gt;=1)*(V469&lt;=Debt_Tenor)</f>
        <v>-4439.45603780434</v>
      </c>
      <c r="W499" s="8" t="n">
        <f aca="false">PMT(Debt_Rate,Debt_Tenor,$G$99*Gearing)*(W469&gt;=1)*(W469&lt;=Debt_Tenor)</f>
        <v>-4439.45603780434</v>
      </c>
      <c r="X499" s="8" t="n">
        <f aca="false">PMT(Debt_Rate,Debt_Tenor,$G$99*Gearing)*(X469&gt;=1)*(X469&lt;=Debt_Tenor)</f>
        <v>-4439.45603780434</v>
      </c>
      <c r="Y499" s="8" t="n">
        <f aca="false">PMT(Debt_Rate,Debt_Tenor,$G$99*Gearing)*(Y469&gt;=1)*(Y469&lt;=Debt_Tenor)</f>
        <v>-4439.45603780434</v>
      </c>
      <c r="Z499" s="8" t="n">
        <f aca="false">PMT(Debt_Rate,Debt_Tenor,$G$99*Gearing)*(Z469&gt;=1)*(Z469&lt;=Debt_Tenor)</f>
        <v>-4439.45603780434</v>
      </c>
      <c r="AA499" s="8" t="n">
        <f aca="false">PMT(Debt_Rate,Debt_Tenor,$G$99*Gearing)*(AA469&gt;=1)*(AA469&lt;=Debt_Tenor)</f>
        <v>-4439.45603780434</v>
      </c>
      <c r="AB499" s="8" t="n">
        <f aca="false">PMT(Debt_Rate,Debt_Tenor,$G$99*Gearing)*(AB469&gt;=1)*(AB469&lt;=Debt_Tenor)</f>
        <v>-4439.45603780434</v>
      </c>
      <c r="AC499" s="8" t="n">
        <f aca="false">PMT(Debt_Rate,Debt_Tenor,$G$99*Gearing)*(AC469&gt;=1)*(AC469&lt;=Debt_Tenor)</f>
        <v>-4439.45603780434</v>
      </c>
      <c r="AD499" s="8" t="n">
        <f aca="false">PMT(Debt_Rate,Debt_Tenor,$G$99*Gearing)*(AD469&gt;=1)*(AD469&lt;=Debt_Tenor)</f>
        <v>-4439.45603780434</v>
      </c>
      <c r="AE499" s="8" t="n">
        <f aca="false">PMT(Debt_Rate,Debt_Tenor,$G$99*Gearing)*(AE469&gt;=1)*(AE469&lt;=Debt_Tenor)</f>
        <v>-0</v>
      </c>
      <c r="AF499" s="8" t="n">
        <f aca="false">PMT(Debt_Rate,Debt_Tenor,$G$99*Gearing)*(AF469&gt;=1)*(AF469&lt;=Debt_Tenor)</f>
        <v>-0</v>
      </c>
      <c r="AG499" s="8" t="n">
        <f aca="false">PMT(Debt_Rate,Debt_Tenor,$G$99*Gearing)*(AG469&gt;=1)*(AG469&lt;=Debt_Tenor)</f>
        <v>-0</v>
      </c>
      <c r="AH499" s="8" t="n">
        <f aca="false">PMT(Debt_Rate,Debt_Tenor,$G$99*Gearing)*(AH469&gt;=1)*(AH469&lt;=Debt_Tenor)</f>
        <v>-0</v>
      </c>
      <c r="AI499" s="8" t="n">
        <f aca="false">PMT(Debt_Rate,Debt_Tenor,$G$99*Gearing)*(AI469&gt;=1)*(AI469&lt;=Debt_Tenor)</f>
        <v>-0</v>
      </c>
      <c r="AJ499" s="8" t="n">
        <f aca="false">PMT(Debt_Rate,Debt_Tenor,$G$99*Gearing)*(AJ469&gt;=1)*(AJ469&lt;=Debt_Tenor)</f>
        <v>-0</v>
      </c>
      <c r="AK499" s="8" t="n">
        <f aca="false">PMT(Debt_Rate,Debt_Tenor,$G$99*Gearing)*(AK469&gt;=1)*(AK469&lt;=Debt_Tenor)</f>
        <v>-0</v>
      </c>
      <c r="AL499" s="8" t="n">
        <f aca="false">PMT(Debt_Rate,Debt_Tenor,$G$99*Gearing)*(AL469&gt;=1)*(AL469&lt;=Debt_Tenor)</f>
        <v>-0</v>
      </c>
      <c r="AM499" s="8" t="n">
        <f aca="false">PMT(Debt_Rate,Debt_Tenor,$G$99*Gearing)*(AM469&gt;=1)*(AM469&lt;=Debt_Tenor)</f>
        <v>-0</v>
      </c>
      <c r="AN499" s="8" t="n">
        <f aca="false">PMT(Debt_Rate,Debt_Tenor,$G$99*Gearing)*(AN469&gt;=1)*(AN469&lt;=Debt_Tenor)</f>
        <v>-0</v>
      </c>
      <c r="AO499" s="8" t="n">
        <f aca="false">PMT(Debt_Rate,Debt_Tenor,$G$99*Gearing)*(AO469&gt;=1)*(AO469&lt;=Debt_Tenor)</f>
        <v>-0</v>
      </c>
      <c r="AP499" s="8" t="n">
        <f aca="false">PMT(Debt_Rate,Debt_Tenor,$G$99*Gearing)*(AP469&gt;=1)*(AP469&lt;=Debt_Tenor)</f>
        <v>-0</v>
      </c>
      <c r="AQ499" s="8" t="n">
        <f aca="false">PMT(Debt_Rate,Debt_Tenor,$G$99*Gearing)*(AQ469&gt;=1)*(AQ469&lt;=Debt_Tenor)</f>
        <v>-0</v>
      </c>
      <c r="AR499" s="8" t="n">
        <f aca="false">PMT(Debt_Rate,Debt_Tenor,$G$99*Gearing)*(AR469&gt;=1)*(AR469&lt;=Debt_Tenor)</f>
        <v>-0</v>
      </c>
      <c r="AS499" s="8" t="n">
        <f aca="false">PMT(Debt_Rate,Debt_Tenor,$G$99*Gearing)*(AS469&gt;=1)*(AS469&lt;=Debt_Tenor)</f>
        <v>-0</v>
      </c>
    </row>
    <row r="500" customFormat="false" ht="14.25" hidden="false" customHeight="false" outlineLevel="0" collapsed="false">
      <c r="C500" s="6" t="s">
        <v>322</v>
      </c>
      <c r="D500" s="2" t="s">
        <v>85</v>
      </c>
      <c r="H500" s="8" t="n">
        <f aca="false">SUM(J500:AS500)</f>
        <v>-20511.8050191199</v>
      </c>
      <c r="J500" s="8" t="n">
        <f aca="false">-I502*Debt_Rate*(J469&gt;=1)</f>
        <v>-0</v>
      </c>
      <c r="K500" s="8" t="n">
        <f aca="false">-J502*Debt_Rate*(K469&gt;=1)</f>
        <v>-0</v>
      </c>
      <c r="L500" s="8" t="n">
        <f aca="false">-K502*Debt_Rate*(L469&gt;=1)</f>
        <v>-0</v>
      </c>
      <c r="M500" s="8" t="n">
        <f aca="false">-L502*Debt_Rate*(M469&gt;=1)</f>
        <v>-0</v>
      </c>
      <c r="N500" s="8" t="n">
        <f aca="false">-M502*Debt_Rate*(N469&gt;=1)</f>
        <v>-0</v>
      </c>
      <c r="O500" s="8" t="n">
        <f aca="false">-N502*Debt_Rate*(O469&gt;=1)</f>
        <v>-0</v>
      </c>
      <c r="P500" s="8" t="n">
        <f aca="false">-O502*Debt_Rate*(P469&gt;=1)</f>
        <v>-2304.00177739726</v>
      </c>
      <c r="Q500" s="8" t="n">
        <f aca="false">-P502*Debt_Rate*(Q469&gt;=1)</f>
        <v>-2197.22906437691</v>
      </c>
      <c r="R500" s="8" t="n">
        <f aca="false">-Q502*Debt_Rate*(R469&gt;=1)</f>
        <v>-2085.11771570553</v>
      </c>
      <c r="S500" s="8" t="n">
        <f aca="false">-R502*Debt_Rate*(S469&gt;=1)</f>
        <v>-1967.40079960059</v>
      </c>
      <c r="T500" s="8" t="n">
        <f aca="false">-S502*Debt_Rate*(T469&gt;=1)</f>
        <v>-1843.79803769041</v>
      </c>
      <c r="U500" s="8" t="n">
        <f aca="false">-T502*Debt_Rate*(U469&gt;=1)</f>
        <v>-1714.01513768471</v>
      </c>
      <c r="V500" s="8" t="n">
        <f aca="false">-U502*Debt_Rate*(V469&gt;=1)</f>
        <v>-1577.74309267873</v>
      </c>
      <c r="W500" s="8" t="n">
        <f aca="false">-V502*Debt_Rate*(W469&gt;=1)</f>
        <v>-1434.65744542245</v>
      </c>
      <c r="X500" s="8" t="n">
        <f aca="false">-W502*Debt_Rate*(X469&gt;=1)</f>
        <v>-1284.41751580335</v>
      </c>
      <c r="Y500" s="8" t="n">
        <f aca="false">-X502*Debt_Rate*(Y469&gt;=1)</f>
        <v>-1126.6655897033</v>
      </c>
      <c r="Z500" s="8" t="n">
        <f aca="false">-Y502*Debt_Rate*(Z469&gt;=1)</f>
        <v>-961.026067298251</v>
      </c>
      <c r="AA500" s="8" t="n">
        <f aca="false">-Z502*Debt_Rate*(AA469&gt;=1)</f>
        <v>-787.104568772946</v>
      </c>
      <c r="AB500" s="8" t="n">
        <f aca="false">-AA502*Debt_Rate*(AB469&gt;=1)</f>
        <v>-604.486995321376</v>
      </c>
      <c r="AC500" s="8" t="n">
        <f aca="false">-AB502*Debt_Rate*(AC469&gt;=1)</f>
        <v>-412.738543197228</v>
      </c>
      <c r="AD500" s="8" t="n">
        <f aca="false">-AC502*Debt_Rate*(AD469&gt;=1)</f>
        <v>-211.402668466872</v>
      </c>
      <c r="AE500" s="8" t="n">
        <f aca="false">-AD502*Debt_Rate*(AE469&gt;=1)</f>
        <v>1.36424205265939E-012</v>
      </c>
      <c r="AF500" s="8" t="n">
        <f aca="false">-AE502*Debt_Rate*(AF469&gt;=1)</f>
        <v>1.43245415529236E-012</v>
      </c>
      <c r="AG500" s="8" t="n">
        <f aca="false">-AF502*Debt_Rate*(AG469&gt;=1)</f>
        <v>1.50407686305698E-012</v>
      </c>
      <c r="AH500" s="8" t="n">
        <f aca="false">-AG502*Debt_Rate*(AH469&gt;=1)</f>
        <v>1.57928070620983E-012</v>
      </c>
      <c r="AI500" s="8" t="n">
        <f aca="false">-AH502*Debt_Rate*(AI469&gt;=1)</f>
        <v>1.65824474152032E-012</v>
      </c>
      <c r="AJ500" s="8" t="n">
        <f aca="false">-AI502*Debt_Rate*(AJ469&gt;=1)</f>
        <v>1.74115697859634E-012</v>
      </c>
      <c r="AK500" s="8" t="n">
        <f aca="false">-AJ502*Debt_Rate*(AK469&gt;=1)</f>
        <v>1.82821482752615E-012</v>
      </c>
      <c r="AL500" s="8" t="n">
        <f aca="false">-AK502*Debt_Rate*(AL469&gt;=1)</f>
        <v>1.91962556890246E-012</v>
      </c>
      <c r="AM500" s="8" t="n">
        <f aca="false">-AL502*Debt_Rate*(AM469&gt;=1)</f>
        <v>2.01560684734758E-012</v>
      </c>
      <c r="AN500" s="8" t="n">
        <f aca="false">-AM502*Debt_Rate*(AN469&gt;=1)</f>
        <v>2.11638718971496E-012</v>
      </c>
      <c r="AO500" s="8" t="n">
        <f aca="false">-AN502*Debt_Rate*(AO469&gt;=1)</f>
        <v>2.22220654920071E-012</v>
      </c>
      <c r="AP500" s="8" t="n">
        <f aca="false">-AO502*Debt_Rate*(AP469&gt;=1)</f>
        <v>2.33331687666075E-012</v>
      </c>
      <c r="AQ500" s="8" t="n">
        <f aca="false">-AP502*Debt_Rate*(AQ469&gt;=1)</f>
        <v>2.44998272049379E-012</v>
      </c>
      <c r="AR500" s="8" t="n">
        <f aca="false">-AQ502*Debt_Rate*(AR469&gt;=1)</f>
        <v>2.57248185651847E-012</v>
      </c>
      <c r="AS500" s="8" t="n">
        <f aca="false">-AR502*Debt_Rate*(AS469&gt;=1)</f>
        <v>2.7011059493444E-012</v>
      </c>
    </row>
    <row r="501" customFormat="false" ht="14.25" hidden="false" customHeight="false" outlineLevel="0" collapsed="false">
      <c r="C501" s="6" t="s">
        <v>323</v>
      </c>
      <c r="D501" s="2" t="s">
        <v>85</v>
      </c>
      <c r="H501" s="8" t="n">
        <f aca="false">SUM(J501:AS501)</f>
        <v>-46080.0355479453</v>
      </c>
      <c r="J501" s="8" t="n">
        <f aca="false">J499-J500</f>
        <v>0</v>
      </c>
      <c r="K501" s="8" t="n">
        <f aca="false">K499-K500</f>
        <v>0</v>
      </c>
      <c r="L501" s="8" t="n">
        <f aca="false">L499-L500</f>
        <v>0</v>
      </c>
      <c r="M501" s="8" t="n">
        <f aca="false">M499-M500</f>
        <v>0</v>
      </c>
      <c r="N501" s="8" t="n">
        <f aca="false">N499-N500</f>
        <v>0</v>
      </c>
      <c r="O501" s="8" t="n">
        <f aca="false">O499-O500</f>
        <v>0</v>
      </c>
      <c r="P501" s="8" t="n">
        <f aca="false">P499-P500</f>
        <v>-2135.45426040708</v>
      </c>
      <c r="Q501" s="8" t="n">
        <f aca="false">Q499-Q500</f>
        <v>-2242.22697342744</v>
      </c>
      <c r="R501" s="8" t="n">
        <f aca="false">R499-R500</f>
        <v>-2354.33832209881</v>
      </c>
      <c r="S501" s="8" t="n">
        <f aca="false">S499-S500</f>
        <v>-2472.05523820375</v>
      </c>
      <c r="T501" s="8" t="n">
        <f aca="false">T499-T500</f>
        <v>-2595.65800011394</v>
      </c>
      <c r="U501" s="8" t="n">
        <f aca="false">U499-U500</f>
        <v>-2725.44090011963</v>
      </c>
      <c r="V501" s="8" t="n">
        <f aca="false">V499-V500</f>
        <v>-2861.71294512561</v>
      </c>
      <c r="W501" s="8" t="n">
        <f aca="false">W499-W500</f>
        <v>-3004.7985923819</v>
      </c>
      <c r="X501" s="8" t="n">
        <f aca="false">X499-X500</f>
        <v>-3155.03852200099</v>
      </c>
      <c r="Y501" s="8" t="n">
        <f aca="false">Y499-Y500</f>
        <v>-3312.79044810104</v>
      </c>
      <c r="Z501" s="8" t="n">
        <f aca="false">Z499-Z500</f>
        <v>-3478.42997050609</v>
      </c>
      <c r="AA501" s="8" t="n">
        <f aca="false">AA499-AA500</f>
        <v>-3652.3514690314</v>
      </c>
      <c r="AB501" s="8" t="n">
        <f aca="false">AB499-AB500</f>
        <v>-3834.96904248297</v>
      </c>
      <c r="AC501" s="8" t="n">
        <f aca="false">AC499-AC500</f>
        <v>-4026.71749460711</v>
      </c>
      <c r="AD501" s="8" t="n">
        <f aca="false">AD499-AD500</f>
        <v>-4228.05336933747</v>
      </c>
      <c r="AE501" s="8" t="n">
        <f aca="false">AE499-AE500</f>
        <v>-1.36424205265939E-012</v>
      </c>
      <c r="AF501" s="8" t="n">
        <f aca="false">AF499-AF500</f>
        <v>-1.43245415529236E-012</v>
      </c>
      <c r="AG501" s="8" t="n">
        <f aca="false">AG499-AG500</f>
        <v>-1.50407686305698E-012</v>
      </c>
      <c r="AH501" s="8" t="n">
        <f aca="false">AH499-AH500</f>
        <v>-1.57928070620983E-012</v>
      </c>
      <c r="AI501" s="8" t="n">
        <f aca="false">AI499-AI500</f>
        <v>-1.65824474152032E-012</v>
      </c>
      <c r="AJ501" s="8" t="n">
        <f aca="false">AJ499-AJ500</f>
        <v>-1.74115697859634E-012</v>
      </c>
      <c r="AK501" s="8" t="n">
        <f aca="false">AK499-AK500</f>
        <v>-1.82821482752615E-012</v>
      </c>
      <c r="AL501" s="8" t="n">
        <f aca="false">AL499-AL500</f>
        <v>-1.91962556890246E-012</v>
      </c>
      <c r="AM501" s="8" t="n">
        <f aca="false">AM499-AM500</f>
        <v>-2.01560684734758E-012</v>
      </c>
      <c r="AN501" s="8" t="n">
        <f aca="false">AN499-AN500</f>
        <v>-2.11638718971496E-012</v>
      </c>
      <c r="AO501" s="8" t="n">
        <f aca="false">AO499-AO500</f>
        <v>-2.22220654920071E-012</v>
      </c>
      <c r="AP501" s="8" t="n">
        <f aca="false">AP499-AP500</f>
        <v>-2.33331687666075E-012</v>
      </c>
      <c r="AQ501" s="8" t="n">
        <f aca="false">AQ499-AQ500</f>
        <v>-2.44998272049379E-012</v>
      </c>
      <c r="AR501" s="8" t="n">
        <f aca="false">AR499-AR500</f>
        <v>-2.57248185651847E-012</v>
      </c>
      <c r="AS501" s="8" t="n">
        <f aca="false">AS499-AS500</f>
        <v>-2.7011059493444E-012</v>
      </c>
    </row>
    <row r="502" customFormat="false" ht="14.25" hidden="false" customHeight="false" outlineLevel="0" collapsed="false">
      <c r="C502" s="6" t="s">
        <v>324</v>
      </c>
      <c r="D502" s="2" t="s">
        <v>85</v>
      </c>
      <c r="H502" s="8"/>
      <c r="J502" s="8" t="n">
        <f aca="false">I502+J498+J501</f>
        <v>0</v>
      </c>
      <c r="K502" s="8" t="n">
        <f aca="false">J502+K498+K501</f>
        <v>0</v>
      </c>
      <c r="L502" s="8" t="n">
        <f aca="false">K502+L498+L501</f>
        <v>0</v>
      </c>
      <c r="M502" s="8" t="n">
        <f aca="false">L502+M498+M501</f>
        <v>0</v>
      </c>
      <c r="N502" s="8" t="n">
        <f aca="false">M502+N498+N501</f>
        <v>0</v>
      </c>
      <c r="O502" s="8" t="n">
        <f aca="false">N502+O498+O501</f>
        <v>46080.0355479452</v>
      </c>
      <c r="P502" s="8" t="n">
        <f aca="false">O502+P498+P501</f>
        <v>43944.5812875381</v>
      </c>
      <c r="Q502" s="8" t="n">
        <f aca="false">P502+Q498+Q501</f>
        <v>41702.3543141107</v>
      </c>
      <c r="R502" s="8" t="n">
        <f aca="false">Q502+R498+R501</f>
        <v>39348.0159920119</v>
      </c>
      <c r="S502" s="8" t="n">
        <f aca="false">R502+S498+S501</f>
        <v>36875.9607538081</v>
      </c>
      <c r="T502" s="8" t="n">
        <f aca="false">S502+T498+T501</f>
        <v>34280.3027536942</v>
      </c>
      <c r="U502" s="8" t="n">
        <f aca="false">T502+U498+U501</f>
        <v>31554.8618535746</v>
      </c>
      <c r="V502" s="8" t="n">
        <f aca="false">U502+V498+V501</f>
        <v>28693.1489084489</v>
      </c>
      <c r="W502" s="8" t="n">
        <f aca="false">V502+W498+W501</f>
        <v>25688.350316067</v>
      </c>
      <c r="X502" s="8" t="n">
        <f aca="false">W502+X498+X501</f>
        <v>22533.3117940661</v>
      </c>
      <c r="Y502" s="8" t="n">
        <f aca="false">X502+Y498+Y501</f>
        <v>19220.521345965</v>
      </c>
      <c r="Z502" s="8" t="n">
        <f aca="false">Y502+Z498+Z501</f>
        <v>15742.0913754589</v>
      </c>
      <c r="AA502" s="8" t="n">
        <f aca="false">Z502+AA498+AA501</f>
        <v>12089.7399064275</v>
      </c>
      <c r="AB502" s="8" t="n">
        <f aca="false">AA502+AB498+AB501</f>
        <v>8254.77086394456</v>
      </c>
      <c r="AC502" s="8" t="n">
        <f aca="false">AB502+AC498+AC501</f>
        <v>4228.05336933744</v>
      </c>
      <c r="AD502" s="8" t="n">
        <f aca="false">AC502+AD498+AD501</f>
        <v>-2.72848410531878E-011</v>
      </c>
      <c r="AE502" s="8" t="n">
        <f aca="false">AD502+AE498+AE501</f>
        <v>-2.86490831058472E-011</v>
      </c>
      <c r="AF502" s="8" t="n">
        <f aca="false">AE502+AF498+AF501</f>
        <v>-3.00815372611396E-011</v>
      </c>
      <c r="AG502" s="8" t="n">
        <f aca="false">AF502+AG498+AG501</f>
        <v>-3.15856141241966E-011</v>
      </c>
      <c r="AH502" s="8" t="n">
        <f aca="false">AG502+AH498+AH501</f>
        <v>-3.31648948304064E-011</v>
      </c>
      <c r="AI502" s="8" t="n">
        <f aca="false">AH502+AI498+AI501</f>
        <v>-3.48231395719267E-011</v>
      </c>
      <c r="AJ502" s="8" t="n">
        <f aca="false">AI502+AJ498+AJ501</f>
        <v>-3.65642965505231E-011</v>
      </c>
      <c r="AK502" s="8" t="n">
        <f aca="false">AJ502+AK498+AK501</f>
        <v>-3.83925113780492E-011</v>
      </c>
      <c r="AL502" s="8" t="n">
        <f aca="false">AK502+AL498+AL501</f>
        <v>-4.03121369469517E-011</v>
      </c>
      <c r="AM502" s="8" t="n">
        <f aca="false">AL502+AM498+AM501</f>
        <v>-4.23277437942993E-011</v>
      </c>
      <c r="AN502" s="8" t="n">
        <f aca="false">AM502+AN498+AN501</f>
        <v>-4.44441309840142E-011</v>
      </c>
      <c r="AO502" s="8" t="n">
        <f aca="false">AN502+AO498+AO501</f>
        <v>-4.6666337533215E-011</v>
      </c>
      <c r="AP502" s="8" t="n">
        <f aca="false">AO502+AP498+AP501</f>
        <v>-4.89996544098757E-011</v>
      </c>
      <c r="AQ502" s="8" t="n">
        <f aca="false">AP502+AQ498+AQ501</f>
        <v>-5.14496371303695E-011</v>
      </c>
      <c r="AR502" s="8" t="n">
        <f aca="false">AQ502+AR498+AR501</f>
        <v>-5.4022118986888E-011</v>
      </c>
      <c r="AS502" s="8" t="n">
        <f aca="false">AR502+AS498+AS501</f>
        <v>-5.67232249362324E-011</v>
      </c>
    </row>
    <row r="503" customFormat="false" ht="14.25" hidden="false" customHeight="false" outlineLevel="0" collapsed="false">
      <c r="C503" s="6" t="s">
        <v>325</v>
      </c>
      <c r="D503" s="2" t="s">
        <v>85</v>
      </c>
      <c r="H503" s="8" t="n">
        <f aca="false">SUM(J503:AS503)</f>
        <v>-32758.9685760495</v>
      </c>
      <c r="J503" s="8" t="n">
        <f aca="false">-MAX(0,J493+J495+J500)*CIT_Rate*(J473&gt;0)</f>
        <v>-0</v>
      </c>
      <c r="K503" s="8" t="n">
        <f aca="false">-MAX(0,K493+K495+K500)*CIT_Rate*(K473&gt;0)</f>
        <v>-0</v>
      </c>
      <c r="L503" s="8" t="n">
        <f aca="false">-MAX(0,L493+L495+L500)*CIT_Rate*(L473&gt;0)</f>
        <v>-0</v>
      </c>
      <c r="M503" s="8" t="n">
        <f aca="false">-MAX(0,M493+M495+M500)*CIT_Rate*(M473&gt;0)</f>
        <v>-0</v>
      </c>
      <c r="N503" s="8" t="n">
        <f aca="false">-MAX(0,N493+N495+N500)*CIT_Rate*(N473&gt;0)</f>
        <v>-0</v>
      </c>
      <c r="O503" s="8" t="n">
        <f aca="false">-MAX(0,O493+O495+O500)*CIT_Rate*(O473&gt;0)</f>
        <v>-184.465323250685</v>
      </c>
      <c r="P503" s="8" t="n">
        <f aca="false">-MAX(0,P493+P495+P500)*CIT_Rate*(P473&gt;0)</f>
        <v>-609.647071343096</v>
      </c>
      <c r="Q503" s="8" t="n">
        <f aca="false">-MAX(0,Q493+Q495+Q500)*CIT_Rate*(Q473&gt;0)</f>
        <v>-630.518329022906</v>
      </c>
      <c r="R503" s="8" t="n">
        <f aca="false">-MAX(0,R493+R495+R500)*CIT_Rate*(R473&gt;0)</f>
        <v>-652.065673789328</v>
      </c>
      <c r="S503" s="8" t="n">
        <f aca="false">-MAX(0,S493+S495+S500)*CIT_Rate*(S473&gt;0)</f>
        <v>-674.324488877641</v>
      </c>
      <c r="T503" s="8" t="n">
        <f aca="false">-MAX(0,T493+T495+T500)*CIT_Rate*(T473&gt;0)</f>
        <v>-697.332034849061</v>
      </c>
      <c r="U503" s="8" t="n">
        <f aca="false">-MAX(0,U493+U495+U500)*CIT_Rate*(U473&gt;0)</f>
        <v>-721.127546574568</v>
      </c>
      <c r="V503" s="8" t="n">
        <f aca="false">-MAX(0,V493+V495+V500)*CIT_Rate*(V473&gt;0)</f>
        <v>-745.752335147106</v>
      </c>
      <c r="W503" s="8" t="n">
        <f aca="false">-MAX(0,W493+W495+W500)*CIT_Rate*(W473&gt;0)</f>
        <v>-771.249894970495</v>
      </c>
      <c r="X503" s="8" t="n">
        <f aca="false">-MAX(0,X493+X495+X500)*CIT_Rate*(X473&gt;0)</f>
        <v>-797.666016285915</v>
      </c>
      <c r="Y503" s="8" t="n">
        <f aca="false">-MAX(0,Y493+Y495+Y500)*CIT_Rate*(Y473&gt;0)</f>
        <v>-825.048903409881</v>
      </c>
      <c r="Z503" s="8" t="n">
        <f aca="false">-MAX(0,Z493+Z495+Z500)*CIT_Rate*(Z473&gt;0)</f>
        <v>-853.449298971383</v>
      </c>
      <c r="AA503" s="8" t="n">
        <f aca="false">-MAX(0,AA493+AA495+AA500)*CIT_Rate*(AA473&gt;0)</f>
        <v>-882.920614450292</v>
      </c>
      <c r="AB503" s="8" t="n">
        <f aca="false">-MAX(0,AB493+AB495+AB500)*CIT_Rate*(AB473&gt;0)</f>
        <v>-913.519067334319</v>
      </c>
      <c r="AC503" s="8" t="n">
        <f aca="false">-MAX(0,AC493+AC495+AC500)*CIT_Rate*(AC473&gt;0)</f>
        <v>-945.303825227687</v>
      </c>
      <c r="AD503" s="8" t="n">
        <f aca="false">-MAX(0,AD493+AD495+AD500)*CIT_Rate*(AD473&gt;0)</f>
        <v>-978.337157261434</v>
      </c>
      <c r="AE503" s="8" t="n">
        <f aca="false">-MAX(0,AE493+AE495+AE500)*CIT_Rate*(AE473&gt;0)</f>
        <v>-1012.68459317279</v>
      </c>
      <c r="AF503" s="8" t="n">
        <f aca="false">-MAX(0,AF493+AF495+AF500)*CIT_Rate*(AF473&gt;0)</f>
        <v>-1015.11917015596</v>
      </c>
      <c r="AG503" s="8" t="n">
        <f aca="false">-MAX(0,AG493+AG495+AG500)*CIT_Rate*(AG473&gt;0)</f>
        <v>-1017.3445732931</v>
      </c>
      <c r="AH503" s="8" t="n">
        <f aca="false">-MAX(0,AH493+AH495+AH500)*CIT_Rate*(AH473&gt;0)</f>
        <v>-1019.35391141156</v>
      </c>
      <c r="AI503" s="8" t="n">
        <f aca="false">-MAX(0,AI493+AI495+AI500)*CIT_Rate*(AI473&gt;0)</f>
        <v>-1597.14055732624</v>
      </c>
      <c r="AJ503" s="8" t="n">
        <f aca="false">-MAX(0,AJ493+AJ495+AJ500)*CIT_Rate*(AJ473&gt;0)</f>
        <v>-1598.69636595756</v>
      </c>
      <c r="AK503" s="8" t="n">
        <f aca="false">-MAX(0,AK493+AK495+AK500)*CIT_Rate*(AK473&gt;0)</f>
        <v>-1600.01433583266</v>
      </c>
      <c r="AL503" s="8" t="n">
        <f aca="false">-MAX(0,AL493+AL495+AL500)*CIT_Rate*(AL473&gt;0)</f>
        <v>-1601.08682698029</v>
      </c>
      <c r="AM503" s="8" t="n">
        <f aca="false">-MAX(0,AM493+AM495+AM500)*CIT_Rate*(AM473&gt;0)</f>
        <v>-1601.90600045683</v>
      </c>
      <c r="AN503" s="8" t="n">
        <f aca="false">-MAX(0,AN493+AN495+AN500)*CIT_Rate*(AN473&gt;0)</f>
        <v>-1602.4638134044</v>
      </c>
      <c r="AO503" s="8" t="n">
        <f aca="false">-MAX(0,AO493+AO495+AO500)*CIT_Rate*(AO473&gt;0)</f>
        <v>-1602.75201398753</v>
      </c>
      <c r="AP503" s="8" t="n">
        <f aca="false">-MAX(0,AP493+AP495+AP500)*CIT_Rate*(AP473&gt;0)</f>
        <v>-1602.76213620557</v>
      </c>
      <c r="AQ503" s="8" t="n">
        <f aca="false">-MAX(0,AQ493+AQ495+AQ500)*CIT_Rate*(AQ473&gt;0)</f>
        <v>-1602.48549457754</v>
      </c>
      <c r="AR503" s="8" t="n">
        <f aca="false">-MAX(0,AR493+AR495+AR500)*CIT_Rate*(AR473&gt;0)</f>
        <v>-1601.91317869653</v>
      </c>
      <c r="AS503" s="8" t="n">
        <f aca="false">-MAX(0,AS493+AS495+AS500)*CIT_Rate*(AS473&gt;0)</f>
        <v>-800.518023825113</v>
      </c>
    </row>
    <row r="504" customFormat="false" ht="14.25" hidden="false" customHeight="false" outlineLevel="0" collapsed="false">
      <c r="C504" s="1" t="s">
        <v>163</v>
      </c>
      <c r="D504" s="2" t="s">
        <v>85</v>
      </c>
      <c r="H504" s="32" t="n">
        <f aca="false">SUM(J504:AS504)</f>
        <v>185634.15526428</v>
      </c>
      <c r="J504" s="32" t="n">
        <f aca="false">J494+J498+J499+J503</f>
        <v>0</v>
      </c>
      <c r="K504" s="32" t="n">
        <f aca="false">K494+K498+K499+K503</f>
        <v>0</v>
      </c>
      <c r="L504" s="32" t="n">
        <f aca="false">L494+L498+L499+L503</f>
        <v>0</v>
      </c>
      <c r="M504" s="32" t="n">
        <f aca="false">M494+M498+M499+M503</f>
        <v>-29757.5797945206</v>
      </c>
      <c r="N504" s="32" t="n">
        <f aca="false">N494+N498+N499+N503</f>
        <v>-31358</v>
      </c>
      <c r="O504" s="32" t="n">
        <f aca="false">O494+O498+O499+O503</f>
        <v>32786.3420086945</v>
      </c>
      <c r="P504" s="32" t="n">
        <f aca="false">P494+P498+P499+P503</f>
        <v>5159.21543953256</v>
      </c>
      <c r="Q504" s="32" t="n">
        <f aca="false">Q494+Q498+Q499+Q503</f>
        <v>7665.23373464301</v>
      </c>
      <c r="R504" s="32" t="n">
        <f aca="false">R494+R498+R499+R503</f>
        <v>5180.70345836949</v>
      </c>
      <c r="S504" s="32" t="n">
        <f aca="false">S494+S498+S499+S503</f>
        <v>5189.11982776499</v>
      </c>
      <c r="T504" s="32" t="n">
        <f aca="false">T494+T498+T499+T503</f>
        <v>5195.89315969284</v>
      </c>
      <c r="U504" s="32" t="n">
        <f aca="false">U494+U498+U499+U503</f>
        <v>5200.95149279836</v>
      </c>
      <c r="V504" s="32" t="n">
        <f aca="false">V494+V498+V499+V503</f>
        <v>5204.21991637009</v>
      </c>
      <c r="W504" s="32" t="n">
        <f aca="false">W494+W498+W499+W503</f>
        <v>5205.62044144634</v>
      </c>
      <c r="X504" s="32" t="n">
        <f aca="false">X494+X498+X499+X503</f>
        <v>5205.07186594796</v>
      </c>
      <c r="Y504" s="32" t="n">
        <f aca="false">Y494+Y498+Y499+Y503</f>
        <v>5202.48963355039</v>
      </c>
      <c r="Z504" s="32" t="n">
        <f aca="false">Z494+Z498+Z499+Z503</f>
        <v>5197.78568599385</v>
      </c>
      <c r="AA504" s="32" t="n">
        <f aca="false">AA494+AA498+AA499+AA503</f>
        <v>5190.86830851569</v>
      </c>
      <c r="AB504" s="32" t="n">
        <f aca="false">AB494+AB498+AB499+AB503</f>
        <v>5181.64196807361</v>
      </c>
      <c r="AC504" s="32" t="n">
        <f aca="false">AC494+AC498+AC499+AC503</f>
        <v>5170.00714401188</v>
      </c>
      <c r="AD504" s="32" t="n">
        <f aca="false">AD494+AD498+AD499+AD503</f>
        <v>5155.86015080609</v>
      </c>
      <c r="AE504" s="32" t="n">
        <f aca="false">AE494+AE498+AE499+AE503</f>
        <v>9578.5489903079</v>
      </c>
      <c r="AF504" s="32" t="n">
        <f aca="false">AF494+AF498+AF499+AF503</f>
        <v>9592.34492654589</v>
      </c>
      <c r="AG504" s="32" t="n">
        <f aca="false">AG494+AG498+AG499+AG503</f>
        <v>9604.95554432298</v>
      </c>
      <c r="AH504" s="32" t="n">
        <f aca="false">AH494+AH498+AH499+AH503</f>
        <v>9616.34179366096</v>
      </c>
      <c r="AI504" s="32" t="n">
        <f aca="false">AI494+AI498+AI499+AI503</f>
        <v>9050.463158182</v>
      </c>
      <c r="AJ504" s="32" t="n">
        <f aca="false">AJ494+AJ498+AJ499+AJ503</f>
        <v>9059.27940709287</v>
      </c>
      <c r="AK504" s="32" t="n">
        <f aca="false">AK494+AK498+AK499+AK503</f>
        <v>9066.74790305173</v>
      </c>
      <c r="AL504" s="32" t="n">
        <f aca="false">AL494+AL498+AL499+AL503</f>
        <v>9072.8253528883</v>
      </c>
      <c r="AM504" s="32" t="n">
        <f aca="false">AM494+AM498+AM499+AM503</f>
        <v>9077.46733592206</v>
      </c>
      <c r="AN504" s="32" t="n">
        <f aca="false">AN494+AN498+AN499+AN503</f>
        <v>9080.62827595824</v>
      </c>
      <c r="AO504" s="32" t="n">
        <f aca="false">AO494+AO498+AO499+AO503</f>
        <v>9082.26141259599</v>
      </c>
      <c r="AP504" s="32" t="n">
        <f aca="false">AP494+AP498+AP499+AP503</f>
        <v>9082.31877183154</v>
      </c>
      <c r="AQ504" s="32" t="n">
        <f aca="false">AQ494+AQ498+AQ499+AQ503</f>
        <v>9080.75113593939</v>
      </c>
      <c r="AR504" s="32" t="n">
        <f aca="false">AR494+AR498+AR499+AR503</f>
        <v>9077.50801261365</v>
      </c>
      <c r="AS504" s="32" t="n">
        <f aca="false">AS494+AS498+AS499+AS503</f>
        <v>4536.26880167564</v>
      </c>
    </row>
    <row r="505" customFormat="false" ht="14.25" hidden="false" customHeight="false" outlineLevel="0" collapsed="false">
      <c r="C505" s="6" t="s">
        <v>326</v>
      </c>
      <c r="D505" s="2" t="s">
        <v>3</v>
      </c>
      <c r="H505" s="47" t="n">
        <f aca="false">MIN(J505:AS505)</f>
        <v>2.29945255944663</v>
      </c>
      <c r="J505" s="47" t="str">
        <f aca="false">IF(J499&lt;0,-J493/J499,"")</f>
        <v/>
      </c>
      <c r="K505" s="47" t="str">
        <f aca="false">IF(K499&lt;0,-K493/K499,"")</f>
        <v/>
      </c>
      <c r="L505" s="47" t="str">
        <f aca="false">IF(L499&lt;0,-L493/L499,"")</f>
        <v/>
      </c>
      <c r="M505" s="47" t="str">
        <f aca="false">IF(M499&lt;0,-M493/M499,"")</f>
        <v/>
      </c>
      <c r="N505" s="47" t="str">
        <f aca="false">IF(N499&lt;0,-N493/N499,"")</f>
        <v/>
      </c>
      <c r="O505" s="47" t="str">
        <f aca="false">IF(O499&lt;0,-O493/O499,"")</f>
        <v/>
      </c>
      <c r="P505" s="47" t="n">
        <f aca="false">IF(P499&lt;0,-P493/P499,"")</f>
        <v>2.29945255944663</v>
      </c>
      <c r="Q505" s="47" t="n">
        <f aca="false">IF(Q499&lt;0,-Q493/Q499,"")</f>
        <v>2.3067437691285</v>
      </c>
      <c r="R505" s="47" t="n">
        <f aca="false">IF(R499&lt;0,-R493/R499,"")</f>
        <v>2.31384770622564</v>
      </c>
      <c r="S505" s="47" t="n">
        <f aca="false">IF(S499&lt;0,-S493/S499,"")</f>
        <v>2.32075737809143</v>
      </c>
      <c r="T505" s="47" t="n">
        <f aca="false">IF(T499&lt;0,-T493/T499,"")</f>
        <v>2.32746560487545</v>
      </c>
      <c r="U505" s="47" t="n">
        <f aca="false">IF(U499&lt;0,-U493/U499,"")</f>
        <v>2.33396501484489</v>
      </c>
      <c r="V505" s="47" t="n">
        <f aca="false">IF(V499&lt;0,-V493/V499,"")</f>
        <v>2.34024803959089</v>
      </c>
      <c r="W505" s="47" t="n">
        <f aca="false">IF(W499&lt;0,-W493/W499,"")</f>
        <v>2.34630690911693</v>
      </c>
      <c r="X505" s="47" t="n">
        <f aca="false">IF(X499&lt;0,-X493/X499,"")</f>
        <v>2.35213364680658</v>
      </c>
      <c r="Y505" s="47" t="n">
        <f aca="false">IF(Y499&lt;0,-Y493/Y499,"")</f>
        <v>2.35772006426746</v>
      </c>
      <c r="Z505" s="47" t="n">
        <f aca="false">IF(Z499&lt;0,-Z493/Z499,"")</f>
        <v>2.36305775604843</v>
      </c>
      <c r="AA505" s="47" t="n">
        <f aca="false">IF(AA499&lt;0,-AA493/AA499,"")</f>
        <v>2.36813809422696</v>
      </c>
      <c r="AB505" s="47" t="n">
        <f aca="false">IF(AB499&lt;0,-AB493/AB499,"")</f>
        <v>2.37295222286343</v>
      </c>
      <c r="AC505" s="47" t="n">
        <f aca="false">IF(AC499&lt;0,-AC493/AC499,"")</f>
        <v>2.37749105231912</v>
      </c>
      <c r="AD505" s="47" t="n">
        <f aca="false">IF(AD499&lt;0,-AD493/AD499,"")</f>
        <v>2.38174525343455</v>
      </c>
      <c r="AE505" s="47" t="str">
        <f aca="false">IF(AE499&lt;0,-AE493/AE499,"")</f>
        <v/>
      </c>
      <c r="AF505" s="47" t="str">
        <f aca="false">IF(AF499&lt;0,-AF493/AF499,"")</f>
        <v/>
      </c>
      <c r="AG505" s="47" t="str">
        <f aca="false">IF(AG499&lt;0,-AG493/AG499,"")</f>
        <v/>
      </c>
      <c r="AH505" s="47" t="str">
        <f aca="false">IF(AH499&lt;0,-AH493/AH499,"")</f>
        <v/>
      </c>
      <c r="AI505" s="47" t="str">
        <f aca="false">IF(AI499&lt;0,-AI493/AI499,"")</f>
        <v/>
      </c>
      <c r="AJ505" s="47" t="str">
        <f aca="false">IF(AJ499&lt;0,-AJ493/AJ499,"")</f>
        <v/>
      </c>
      <c r="AK505" s="47" t="str">
        <f aca="false">IF(AK499&lt;0,-AK493/AK499,"")</f>
        <v/>
      </c>
      <c r="AL505" s="47" t="str">
        <f aca="false">IF(AL499&lt;0,-AL493/AL499,"")</f>
        <v/>
      </c>
      <c r="AM505" s="47" t="str">
        <f aca="false">IF(AM499&lt;0,-AM493/AM499,"")</f>
        <v/>
      </c>
      <c r="AN505" s="47" t="str">
        <f aca="false">IF(AN499&lt;0,-AN493/AN499,"")</f>
        <v/>
      </c>
      <c r="AO505" s="47" t="str">
        <f aca="false">IF(AO499&lt;0,-AO493/AO499,"")</f>
        <v/>
      </c>
      <c r="AP505" s="47" t="str">
        <f aca="false">IF(AP499&lt;0,-AP493/AP499,"")</f>
        <v/>
      </c>
      <c r="AQ505" s="47" t="str">
        <f aca="false">IF(AQ499&lt;0,-AQ493/AQ499,"")</f>
        <v/>
      </c>
      <c r="AR505" s="47" t="str">
        <f aca="false">IF(AR499&lt;0,-AR493/AR499,"")</f>
        <v/>
      </c>
      <c r="AS505" s="47" t="str">
        <f aca="false">IF(AS499&lt;0,-AS493/AS499,"")</f>
        <v/>
      </c>
    </row>
    <row r="506" customFormat="false" ht="14.25" hidden="false" customHeight="false" outlineLevel="0" collapsed="false">
      <c r="C506" s="6" t="s">
        <v>327</v>
      </c>
      <c r="D506" s="2" t="s">
        <v>3</v>
      </c>
      <c r="J506" s="77" t="n">
        <f aca="false">(1+Discount_Rate)^((Inputs!$G$26-J$364)/Days_In_Year)</f>
        <v>1.41371255107938</v>
      </c>
      <c r="K506" s="77" t="n">
        <f aca="false">(1+Discount_Rate)^((Inputs!$G$26-K$364)/Days_In_Year)</f>
        <v>1.30899310285128</v>
      </c>
      <c r="L506" s="77" t="n">
        <f aca="false">(1+Discount_Rate)^((Inputs!$G$26-L$364)/Days_In_Year)</f>
        <v>1.21177511843915</v>
      </c>
      <c r="M506" s="77" t="n">
        <f aca="false">(1+Discount_Rate)^((Inputs!$G$26-M$364)/Days_In_Year)</f>
        <v>1.12201399855477</v>
      </c>
      <c r="N506" s="77" t="n">
        <f aca="false">(1+Discount_Rate)^((Inputs!$G$26-N$364)/Days_In_Year)</f>
        <v>1.03890185051367</v>
      </c>
      <c r="O506" s="77" t="n">
        <f aca="false">(1+Discount_Rate)^((Inputs!$G$26-O$364)/Days_In_Year)</f>
        <v>0.961946157883031</v>
      </c>
      <c r="P506" s="77" t="n">
        <f aca="false">(1+Discount_Rate)^((Inputs!$G$26-P$364)/Days_In_Year)</f>
        <v>0.890503102622714</v>
      </c>
      <c r="Q506" s="77" t="n">
        <f aca="false">(1+Discount_Rate)^((Inputs!$G$26-Q$364)/Days_In_Year)</f>
        <v>0.824539909835846</v>
      </c>
      <c r="R506" s="77" t="n">
        <f aca="false">(1+Discount_Rate)^((Inputs!$G$26-R$364)/Days_In_Year)</f>
        <v>0.763462879477635</v>
      </c>
      <c r="S506" s="77" t="n">
        <f aca="false">(1+Discount_Rate)^((Inputs!$G$26-S$364)/Days_In_Year)</f>
        <v>0.706910073590403</v>
      </c>
      <c r="T506" s="77" t="n">
        <f aca="false">(1+Discount_Rate)^((Inputs!$G$26-T$364)/Days_In_Year)</f>
        <v>0.654408366464987</v>
      </c>
      <c r="U506" s="77" t="n">
        <f aca="false">(1+Discount_Rate)^((Inputs!$G$26-U$364)/Days_In_Year)</f>
        <v>0.605933672652766</v>
      </c>
      <c r="V506" s="77" t="n">
        <f aca="false">(1+Discount_Rate)^((Inputs!$G$26-V$364)/Days_In_Year)</f>
        <v>0.561049696900709</v>
      </c>
      <c r="W506" s="77" t="n">
        <f aca="false">(1+Discount_Rate)^((Inputs!$G$26-W$364)/Days_In_Year)</f>
        <v>0.519490460093249</v>
      </c>
      <c r="X506" s="77" t="n">
        <f aca="false">(1+Discount_Rate)^((Inputs!$G$26-X$364)/Days_In_Year)</f>
        <v>0.480908274028566</v>
      </c>
      <c r="Y506" s="77" t="n">
        <f aca="false">(1+Discount_Rate)^((Inputs!$G$26-Y$364)/Days_In_Year)</f>
        <v>0.445285438915339</v>
      </c>
      <c r="Z506" s="77" t="n">
        <f aca="false">(1+Discount_Rate)^((Inputs!$G$26-Z$364)/Days_In_Year)</f>
        <v>0.412301332329018</v>
      </c>
      <c r="AA506" s="77" t="n">
        <f aca="false">(1+Discount_Rate)^((Inputs!$G$26-AA$364)/Days_In_Year)</f>
        <v>0.381760492897239</v>
      </c>
      <c r="AB506" s="77" t="n">
        <f aca="false">(1+Discount_Rate)^((Inputs!$G$26-AB$364)/Days_In_Year)</f>
        <v>0.353407413292154</v>
      </c>
      <c r="AC506" s="77" t="n">
        <f aca="false">(1+Discount_Rate)^((Inputs!$G$26-AC$364)/Days_In_Year)</f>
        <v>0.327229086381624</v>
      </c>
      <c r="AD506" s="77" t="n">
        <f aca="false">(1+Discount_Rate)^((Inputs!$G$26-AD$364)/Days_In_Year)</f>
        <v>0.3029898947978</v>
      </c>
      <c r="AE506" s="77" t="n">
        <f aca="false">(1+Discount_Rate)^((Inputs!$G$26-AE$364)/Days_In_Year)</f>
        <v>0.280546198886852</v>
      </c>
      <c r="AF506" s="77" t="n">
        <f aca="false">(1+Discount_Rate)^((Inputs!$G$26-AF$364)/Days_In_Year)</f>
        <v>0.259710232730228</v>
      </c>
      <c r="AG506" s="77" t="n">
        <f aca="false">(1+Discount_Rate)^((Inputs!$G$26-AG$364)/Days_In_Year)</f>
        <v>0.240472437713174</v>
      </c>
      <c r="AH506" s="77" t="n">
        <f aca="false">(1+Discount_Rate)^((Inputs!$G$26-AH$364)/Days_In_Year)</f>
        <v>0.222659664549235</v>
      </c>
      <c r="AI506" s="77" t="n">
        <f aca="false">(1+Discount_Rate)^((Inputs!$G$26-AI$364)/Days_In_Year)</f>
        <v>0.206166356064106</v>
      </c>
      <c r="AJ506" s="77" t="n">
        <f aca="false">(1+Discount_Rate)^((Inputs!$G$26-AJ$364)/Days_In_Year)</f>
        <v>0.190854527799705</v>
      </c>
      <c r="AK506" s="77" t="n">
        <f aca="false">(1+Discount_Rate)^((Inputs!$G$26-AK$364)/Days_In_Year)</f>
        <v>0.176717155370097</v>
      </c>
      <c r="AL506" s="77" t="n">
        <f aca="false">(1+Discount_Rate)^((Inputs!$G$26-AL$364)/Days_In_Year)</f>
        <v>0.163626995713053</v>
      </c>
      <c r="AM506" s="77" t="n">
        <f aca="false">(1+Discount_Rate)^((Inputs!$G$26-AM$364)/Days_In_Year)</f>
        <v>0.151506477512086</v>
      </c>
      <c r="AN506" s="77" t="n">
        <f aca="false">(1+Discount_Rate)^((Inputs!$G$26-AN$364)/Days_In_Year)</f>
        <v>0.140254199454224</v>
      </c>
      <c r="AO506" s="77" t="n">
        <f aca="false">(1+Discount_Rate)^((Inputs!$G$26-AO$364)/Days_In_Year)</f>
        <v>0.129864999494652</v>
      </c>
      <c r="AP506" s="77" t="n">
        <f aca="false">(1+Discount_Rate)^((Inputs!$G$26-AP$364)/Days_In_Year)</f>
        <v>0.120245369902455</v>
      </c>
      <c r="AQ506" s="77" t="n">
        <f aca="false">(1+Discount_Rate)^((Inputs!$G$26-AQ$364)/Days_In_Year)</f>
        <v>0.111338305465236</v>
      </c>
      <c r="AR506" s="77" t="n">
        <f aca="false">(1+Discount_Rate)^((Inputs!$G$26-AR$364)/Days_In_Year)</f>
        <v>0.103069288904634</v>
      </c>
      <c r="AS506" s="77" t="n">
        <f aca="false">(1+Discount_Rate)^((Inputs!$G$26-AS$364)/Days_In_Year)</f>
        <v>0.0954345267635496</v>
      </c>
    </row>
    <row r="507" customFormat="false" ht="14.25" hidden="false" customHeight="false" outlineLevel="0" collapsed="false">
      <c r="C507" s="6" t="s">
        <v>328</v>
      </c>
      <c r="D507" s="2" t="s">
        <v>85</v>
      </c>
      <c r="H507" s="8" t="n">
        <f aca="false">SUM(J507:AS507)</f>
        <v>117317.066600666</v>
      </c>
      <c r="J507" s="8" t="n">
        <f aca="false">J493*J506</f>
        <v>0</v>
      </c>
      <c r="K507" s="8" t="n">
        <f aca="false">K493*K506</f>
        <v>0</v>
      </c>
      <c r="L507" s="8" t="n">
        <f aca="false">L493*L506</f>
        <v>0</v>
      </c>
      <c r="M507" s="8" t="n">
        <f aca="false">M493*M506</f>
        <v>0</v>
      </c>
      <c r="N507" s="8" t="n">
        <f aca="false">N493*N506</f>
        <v>0</v>
      </c>
      <c r="O507" s="8" t="n">
        <f aca="false">O493*O506</f>
        <v>4876.8474889626</v>
      </c>
      <c r="P507" s="8" t="n">
        <f aca="false">P493*P506</f>
        <v>9090.53934016054</v>
      </c>
      <c r="Q507" s="8" t="n">
        <f aca="false">Q493*Q506</f>
        <v>8443.85559204061</v>
      </c>
      <c r="R507" s="8" t="n">
        <f aca="false">R493*R506</f>
        <v>7842.46260690271</v>
      </c>
      <c r="S507" s="8" t="n">
        <f aca="false">S493*S506</f>
        <v>7283.2240477567</v>
      </c>
      <c r="T507" s="8" t="n">
        <f aca="false">T493*T506</f>
        <v>6761.79304646313</v>
      </c>
      <c r="U507" s="8" t="n">
        <f aca="false">U493*U506</f>
        <v>6278.40300363448</v>
      </c>
      <c r="V507" s="8" t="n">
        <f aca="false">V493*V506</f>
        <v>5828.9855926955</v>
      </c>
      <c r="W507" s="8" t="n">
        <f aca="false">W493*W506</f>
        <v>5411.1821806256</v>
      </c>
      <c r="X507" s="8" t="n">
        <f aca="false">X493*X506</f>
        <v>5021.73745515717</v>
      </c>
      <c r="Y507" s="8" t="n">
        <f aca="false">Y493*Y506</f>
        <v>4660.80027334854</v>
      </c>
      <c r="Z507" s="8" t="n">
        <f aca="false">Z493*Z506</f>
        <v>4325.32588573996</v>
      </c>
      <c r="AA507" s="8" t="n">
        <f aca="false">AA493*AA506</f>
        <v>4013.54157817309</v>
      </c>
      <c r="AB507" s="8" t="n">
        <f aca="false">AB493*AB506</f>
        <v>3723.01176986731</v>
      </c>
      <c r="AC507" s="8" t="n">
        <f aca="false">AC493*AC506</f>
        <v>3453.82676468588</v>
      </c>
      <c r="AD507" s="8" t="n">
        <f aca="false">AD493*AD506</f>
        <v>3203.71011489412</v>
      </c>
      <c r="AE507" s="8" t="n">
        <f aca="false">AE493*AE506</f>
        <v>2971.33032336828</v>
      </c>
      <c r="AF507" s="8" t="n">
        <f aca="false">AF493*AF506</f>
        <v>2754.86696923197</v>
      </c>
      <c r="AG507" s="8" t="n">
        <f aca="false">AG493*AG506</f>
        <v>2554.37040340407</v>
      </c>
      <c r="AH507" s="8" t="n">
        <f aca="false">AH493*AH506</f>
        <v>2368.14043793919</v>
      </c>
      <c r="AI507" s="8" t="n">
        <f aca="false">AI493*AI506</f>
        <v>2195.17765884097</v>
      </c>
      <c r="AJ507" s="8" t="n">
        <f aca="false">AJ493*AJ506</f>
        <v>2034.12293346623</v>
      </c>
      <c r="AK507" s="8" t="n">
        <f aca="false">AK493*AK506</f>
        <v>1884.99987986481</v>
      </c>
      <c r="AL507" s="8" t="n">
        <f aca="false">AL493*AL506</f>
        <v>1746.54018249686</v>
      </c>
      <c r="AM507" s="8" t="n">
        <f aca="false">AM493*AM506</f>
        <v>1617.99423623126</v>
      </c>
      <c r="AN507" s="8" t="n">
        <f aca="false">AN493*AN506</f>
        <v>1498.34852868931</v>
      </c>
      <c r="AO507" s="8" t="n">
        <f aca="false">AO493*AO506</f>
        <v>1387.60926324361</v>
      </c>
      <c r="AP507" s="8" t="n">
        <f aca="false">AP493*AP506</f>
        <v>1284.83150622458</v>
      </c>
      <c r="AQ507" s="8" t="n">
        <f aca="false">AQ493*AQ506</f>
        <v>1189.4534633259</v>
      </c>
      <c r="AR507" s="8" t="n">
        <f aca="false">AR493*AR506</f>
        <v>1100.72034810141</v>
      </c>
      <c r="AS507" s="8" t="n">
        <f aca="false">AS493*AS506</f>
        <v>509.31372512961</v>
      </c>
    </row>
    <row r="508" customFormat="false" ht="14.25" hidden="false" customHeight="false" outlineLevel="0" collapsed="false">
      <c r="C508" s="1" t="s">
        <v>329</v>
      </c>
      <c r="D508" s="2" t="s">
        <v>85</v>
      </c>
      <c r="H508" s="32" t="n">
        <f aca="false">SUM(J508:AS508)</f>
        <v>40517.0073540907</v>
      </c>
      <c r="J508" s="32" t="n">
        <f aca="false">J479*(J469&lt;=0)+J474*($H507+$G$62+$G$63)</f>
        <v>0</v>
      </c>
      <c r="K508" s="32" t="n">
        <f aca="false">K479*(K469&lt;=0)+K474*($H507+$G$62+$G$63)</f>
        <v>0</v>
      </c>
      <c r="L508" s="32" t="n">
        <f aca="false">L479*(L469&lt;=0)+L474*($H507+$G$62+$G$63)</f>
        <v>0</v>
      </c>
      <c r="M508" s="32" t="n">
        <f aca="false">M479*(M469&lt;=0)+M474*($H507+$G$62+$G$63)</f>
        <v>-29757.5797945206</v>
      </c>
      <c r="N508" s="32" t="n">
        <f aca="false">N479*(N469&lt;=0)+N474*($H507+$G$62+$G$63)</f>
        <v>-31358</v>
      </c>
      <c r="O508" s="32" t="n">
        <f aca="false">O479*(O469&lt;=0)+O474*($H507+$G$62+$G$63)</f>
        <v>101632.587148611</v>
      </c>
      <c r="P508" s="32" t="n">
        <f aca="false">P479*(P469&lt;=0)+P474*($H507+$G$62+$G$63)</f>
        <v>0</v>
      </c>
      <c r="Q508" s="32" t="n">
        <f aca="false">Q479*(Q469&lt;=0)+Q474*($H507+$G$62+$G$63)</f>
        <v>0</v>
      </c>
      <c r="R508" s="32" t="n">
        <f aca="false">R479*(R469&lt;=0)+R474*($H507+$G$62+$G$63)</f>
        <v>0</v>
      </c>
      <c r="S508" s="32" t="n">
        <f aca="false">S479*(S469&lt;=0)+S474*($H507+$G$62+$G$63)</f>
        <v>0</v>
      </c>
      <c r="T508" s="32" t="n">
        <f aca="false">T479*(T469&lt;=0)+T474*($H507+$G$62+$G$63)</f>
        <v>0</v>
      </c>
      <c r="U508" s="32" t="n">
        <f aca="false">U479*(U469&lt;=0)+U474*($H507+$G$62+$G$63)</f>
        <v>0</v>
      </c>
      <c r="V508" s="32" t="n">
        <f aca="false">V479*(V469&lt;=0)+V474*($H507+$G$62+$G$63)</f>
        <v>0</v>
      </c>
      <c r="W508" s="32" t="n">
        <f aca="false">W479*(W469&lt;=0)+W474*($H507+$G$62+$G$63)</f>
        <v>0</v>
      </c>
      <c r="X508" s="32" t="n">
        <f aca="false">X479*(X469&lt;=0)+X474*($H507+$G$62+$G$63)</f>
        <v>0</v>
      </c>
      <c r="Y508" s="32" t="n">
        <f aca="false">Y479*(Y469&lt;=0)+Y474*($H507+$G$62+$G$63)</f>
        <v>0</v>
      </c>
      <c r="Z508" s="32" t="n">
        <f aca="false">Z479*(Z469&lt;=0)+Z474*($H507+$G$62+$G$63)</f>
        <v>0</v>
      </c>
      <c r="AA508" s="32" t="n">
        <f aca="false">AA479*(AA469&lt;=0)+AA474*($H507+$G$62+$G$63)</f>
        <v>0</v>
      </c>
      <c r="AB508" s="32" t="n">
        <f aca="false">AB479*(AB469&lt;=0)+AB474*($H507+$G$62+$G$63)</f>
        <v>0</v>
      </c>
      <c r="AC508" s="32" t="n">
        <f aca="false">AC479*(AC469&lt;=0)+AC474*($H507+$G$62+$G$63)</f>
        <v>0</v>
      </c>
      <c r="AD508" s="32" t="n">
        <f aca="false">AD479*(AD469&lt;=0)+AD474*($H507+$G$62+$G$63)</f>
        <v>0</v>
      </c>
      <c r="AE508" s="32" t="n">
        <f aca="false">AE479*(AE469&lt;=0)+AE474*($H507+$G$62+$G$63)</f>
        <v>0</v>
      </c>
      <c r="AF508" s="32" t="n">
        <f aca="false">AF479*(AF469&lt;=0)+AF474*($H507+$G$62+$G$63)</f>
        <v>0</v>
      </c>
      <c r="AG508" s="32" t="n">
        <f aca="false">AG479*(AG469&lt;=0)+AG474*($H507+$G$62+$G$63)</f>
        <v>0</v>
      </c>
      <c r="AH508" s="32" t="n">
        <f aca="false">AH479*(AH469&lt;=0)+AH474*($H507+$G$62+$G$63)</f>
        <v>0</v>
      </c>
      <c r="AI508" s="32" t="n">
        <f aca="false">AI479*(AI469&lt;=0)+AI474*($H507+$G$62+$G$63)</f>
        <v>0</v>
      </c>
      <c r="AJ508" s="32" t="n">
        <f aca="false">AJ479*(AJ469&lt;=0)+AJ474*($H507+$G$62+$G$63)</f>
        <v>0</v>
      </c>
      <c r="AK508" s="32" t="n">
        <f aca="false">AK479*(AK469&lt;=0)+AK474*($H507+$G$62+$G$63)</f>
        <v>0</v>
      </c>
      <c r="AL508" s="32" t="n">
        <f aca="false">AL479*(AL469&lt;=0)+AL474*($H507+$G$62+$G$63)</f>
        <v>0</v>
      </c>
      <c r="AM508" s="32" t="n">
        <f aca="false">AM479*(AM469&lt;=0)+AM474*($H507+$G$62+$G$63)</f>
        <v>0</v>
      </c>
      <c r="AN508" s="32" t="n">
        <f aca="false">AN479*(AN469&lt;=0)+AN474*($H507+$G$62+$G$63)</f>
        <v>0</v>
      </c>
      <c r="AO508" s="32" t="n">
        <f aca="false">AO479*(AO469&lt;=0)+AO474*($H507+$G$62+$G$63)</f>
        <v>0</v>
      </c>
      <c r="AP508" s="32" t="n">
        <f aca="false">AP479*(AP469&lt;=0)+AP474*($H507+$G$62+$G$63)</f>
        <v>0</v>
      </c>
      <c r="AQ508" s="32" t="n">
        <f aca="false">AQ479*(AQ469&lt;=0)+AQ474*($H507+$G$62+$G$63)</f>
        <v>0</v>
      </c>
      <c r="AR508" s="32" t="n">
        <f aca="false">AR479*(AR469&lt;=0)+AR474*($H507+$G$62+$G$63)</f>
        <v>0</v>
      </c>
      <c r="AS508" s="32" t="n">
        <f aca="false">AS479*(AS469&lt;=0)+AS474*($H507+$G$62+$G$63)</f>
        <v>0</v>
      </c>
    </row>
    <row r="509" customFormat="false" ht="14.25" hidden="false" customHeight="false" outlineLevel="0" collapsed="false">
      <c r="C509" s="41" t="s">
        <v>330</v>
      </c>
      <c r="D509" s="42"/>
      <c r="E509" s="43"/>
      <c r="F509" s="43"/>
      <c r="G509" s="43"/>
      <c r="H509" s="43"/>
    </row>
    <row r="510" customFormat="false" ht="14.25" hidden="false" customHeight="false" outlineLevel="0" collapsed="false">
      <c r="C510" s="6" t="s">
        <v>331</v>
      </c>
      <c r="D510" s="2" t="s">
        <v>85</v>
      </c>
      <c r="H510" s="8"/>
      <c r="J510" s="8" t="n">
        <f aca="false">(I510*(1+Rate_Cash)-SUMPRODUCT($G345:$G350*$O345:$O350*(YEAR($L345:$L350)=J363)))*(J364&lt;$G190)*$G21</f>
        <v>0</v>
      </c>
      <c r="K510" s="8" t="n">
        <f aca="false">(J510*(1+Rate_Cash)-SUMPRODUCT($G345:$G350*$O345:$O350*(YEAR($L345:$L350)=K363)))*(K364&lt;$G190)*$G21</f>
        <v>0</v>
      </c>
      <c r="L510" s="8" t="n">
        <f aca="false">(K510*(1+Rate_Cash)-SUMPRODUCT($G345:$G350*$O345:$O350*(YEAR($L345:$L350)=L363)))*(L364&lt;$G190)*$G21</f>
        <v>0</v>
      </c>
      <c r="M510" s="8" t="n">
        <f aca="false">(L510*(1+Rate_Cash)-SUMPRODUCT($G345:$G350*$O345:$O350*(YEAR($L345:$L350)=M363)))*(M364&lt;$G190)*$G21</f>
        <v>0</v>
      </c>
      <c r="N510" s="8" t="n">
        <f aca="false">(M510*(1+Rate_Cash)-SUMPRODUCT($G345:$G350*$O345:$O350*(YEAR($L345:$L350)=N363)))*(N364&lt;$G190)*$G21</f>
        <v>0</v>
      </c>
      <c r="O510" s="8" t="n">
        <f aca="false">(N510*(1+Rate_Cash)-SUMPRODUCT($G345:$G350*$O345:$O350*(YEAR($L345:$L350)=O363)))*(O364&lt;$G190)*$G21</f>
        <v>0</v>
      </c>
      <c r="P510" s="8" t="n">
        <f aca="false">(O510*(1+Rate_Cash)-SUMPRODUCT($G345:$G350*$O345:$O350*(YEAR($L345:$L350)=P363)))*(P364&lt;$G190)*$G21</f>
        <v>0</v>
      </c>
      <c r="Q510" s="8" t="n">
        <f aca="false">(P510*(1+Rate_Cash)-SUMPRODUCT($G345:$G350*$O345:$O350*(YEAR($L345:$L350)=Q363)))*(Q364&lt;$G190)*$G21</f>
        <v>0</v>
      </c>
      <c r="R510" s="8" t="n">
        <f aca="false">(Q510*(1+Rate_Cash)-SUMPRODUCT($G345:$G350*$O345:$O350*(YEAR($L345:$L350)=R363)))*(R364&lt;$G190)*$G21</f>
        <v>0</v>
      </c>
      <c r="S510" s="8" t="n">
        <f aca="false">(R510*(1+Rate_Cash)-SUMPRODUCT($G345:$G350*$O345:$O350*(YEAR($L345:$L350)=S363)))*(S364&lt;$G190)*$G21</f>
        <v>0</v>
      </c>
      <c r="T510" s="8" t="n">
        <f aca="false">(S510*(1+Rate_Cash)-SUMPRODUCT($G345:$G350*$O345:$O350*(YEAR($L345:$L350)=T363)))*(T364&lt;$G190)*$G21</f>
        <v>0</v>
      </c>
      <c r="U510" s="8" t="n">
        <f aca="false">(T510*(1+Rate_Cash)-SUMPRODUCT($G345:$G350*$O345:$O350*(YEAR($L345:$L350)=U363)))*(U364&lt;$G190)*$G21</f>
        <v>0</v>
      </c>
      <c r="V510" s="8" t="n">
        <f aca="false">(U510*(1+Rate_Cash)-SUMPRODUCT($G345:$G350*$O345:$O350*(YEAR($L345:$L350)=V363)))*(V364&lt;$G190)*$G21</f>
        <v>0</v>
      </c>
      <c r="W510" s="8" t="n">
        <f aca="false">(V510*(1+Rate_Cash)-SUMPRODUCT($G345:$G350*$O345:$O350*(YEAR($L345:$L350)=W363)))*(W364&lt;$G190)*$G21</f>
        <v>0</v>
      </c>
      <c r="X510" s="8" t="n">
        <f aca="false">(W510*(1+Rate_Cash)-SUMPRODUCT($G345:$G350*$O345:$O350*(YEAR($L345:$L350)=X363)))*(X364&lt;$G190)*$G21</f>
        <v>0</v>
      </c>
      <c r="Y510" s="8" t="n">
        <f aca="false">(X510*(1+Rate_Cash)-SUMPRODUCT($G345:$G350*$O345:$O350*(YEAR($L345:$L350)=Y363)))*(Y364&lt;$G190)*$G21</f>
        <v>0</v>
      </c>
      <c r="Z510" s="8" t="n">
        <f aca="false">(Y510*(1+Rate_Cash)-SUMPRODUCT($G345:$G350*$O345:$O350*(YEAR($L345:$L350)=Z363)))*(Z364&lt;$G190)*$G21</f>
        <v>0</v>
      </c>
      <c r="AA510" s="8" t="n">
        <f aca="false">(Z510*(1+Rate_Cash)-SUMPRODUCT($G345:$G350*$O345:$O350*(YEAR($L345:$L350)=AA363)))*(AA364&lt;$G190)*$G21</f>
        <v>0</v>
      </c>
      <c r="AB510" s="8" t="n">
        <f aca="false">(AA510*(1+Rate_Cash)-SUMPRODUCT($G345:$G350*$O345:$O350*(YEAR($L345:$L350)=AB363)))*(AB364&lt;$G190)*$G21</f>
        <v>0</v>
      </c>
      <c r="AC510" s="8" t="n">
        <f aca="false">(AB510*(1+Rate_Cash)-SUMPRODUCT($G345:$G350*$O345:$O350*(YEAR($L345:$L350)=AC363)))*(AC364&lt;$G190)*$G21</f>
        <v>0</v>
      </c>
      <c r="AD510" s="8" t="n">
        <f aca="false">(AC510*(1+Rate_Cash)-SUMPRODUCT($G345:$G350*$O345:$O350*(YEAR($L345:$L350)=AD363)))*(AD364&lt;$G190)*$G21</f>
        <v>0</v>
      </c>
      <c r="AE510" s="8" t="n">
        <f aca="false">(AD510*(1+Rate_Cash)-SUMPRODUCT($G345:$G350*$O345:$O350*(YEAR($L345:$L350)=AE363)))*(AE364&lt;$G190)*$G21</f>
        <v>0</v>
      </c>
      <c r="AF510" s="8" t="n">
        <f aca="false">(AE510*(1+Rate_Cash)-SUMPRODUCT($G345:$G350*$O345:$O350*(YEAR($L345:$L350)=AF363)))*(AF364&lt;$G190)*$G21</f>
        <v>0</v>
      </c>
      <c r="AG510" s="8" t="n">
        <f aca="false">(AF510*(1+Rate_Cash)-SUMPRODUCT($G345:$G350*$O345:$O350*(YEAR($L345:$L350)=AG363)))*(AG364&lt;$G190)*$G21</f>
        <v>0</v>
      </c>
      <c r="AH510" s="8" t="n">
        <f aca="false">(AG510*(1+Rate_Cash)-SUMPRODUCT($G345:$G350*$O345:$O350*(YEAR($L345:$L350)=AH363)))*(AH364&lt;$G190)*$G21</f>
        <v>0</v>
      </c>
      <c r="AI510" s="8" t="n">
        <f aca="false">(AH510*(1+Rate_Cash)-SUMPRODUCT($G345:$G350*$O345:$O350*(YEAR($L345:$L350)=AI363)))*(AI364&lt;$G190)*$G21</f>
        <v>0</v>
      </c>
      <c r="AJ510" s="8" t="n">
        <f aca="false">(AI510*(1+Rate_Cash)-SUMPRODUCT($G345:$G350*$O345:$O350*(YEAR($L345:$L350)=AJ363)))*(AJ364&lt;$G190)*$G21</f>
        <v>0</v>
      </c>
      <c r="AK510" s="8" t="n">
        <f aca="false">(AJ510*(1+Rate_Cash)-SUMPRODUCT($G345:$G350*$O345:$O350*(YEAR($L345:$L350)=AK363)))*(AK364&lt;$G190)*$G21</f>
        <v>0</v>
      </c>
      <c r="AL510" s="8" t="n">
        <f aca="false">(AK510*(1+Rate_Cash)-SUMPRODUCT($G345:$G350*$O345:$O350*(YEAR($L345:$L350)=AL363)))*(AL364&lt;$G190)*$G21</f>
        <v>0</v>
      </c>
      <c r="AM510" s="8" t="n">
        <f aca="false">(AL510*(1+Rate_Cash)-SUMPRODUCT($G345:$G350*$O345:$O350*(YEAR($L345:$L350)=AM363)))*(AM364&lt;$G190)*$G21</f>
        <v>0</v>
      </c>
      <c r="AN510" s="8" t="n">
        <f aca="false">(AM510*(1+Rate_Cash)-SUMPRODUCT($G345:$G350*$O345:$O350*(YEAR($L345:$L350)=AN363)))*(AN364&lt;$G190)*$G21</f>
        <v>0</v>
      </c>
      <c r="AO510" s="8" t="n">
        <f aca="false">(AN510*(1+Rate_Cash)-SUMPRODUCT($G345:$G350*$O345:$O350*(YEAR($L345:$L350)=AO363)))*(AO364&lt;$G190)*$G21</f>
        <v>0</v>
      </c>
      <c r="AP510" s="8" t="n">
        <f aca="false">(AO510*(1+Rate_Cash)-SUMPRODUCT($G345:$G350*$O345:$O350*(YEAR($L345:$L350)=AP363)))*(AP364&lt;$G190)*$G21</f>
        <v>0</v>
      </c>
      <c r="AQ510" s="8" t="n">
        <f aca="false">(AP510*(1+Rate_Cash)-SUMPRODUCT($G345:$G350*$O345:$O350*(YEAR($L345:$L350)=AQ363)))*(AQ364&lt;$G190)*$G21</f>
        <v>0</v>
      </c>
      <c r="AR510" s="8" t="n">
        <f aca="false">(AQ510*(1+Rate_Cash)-SUMPRODUCT($G345:$G350*$O345:$O350*(YEAR($L345:$L350)=AR363)))*(AR364&lt;$G190)*$G21</f>
        <v>0</v>
      </c>
      <c r="AS510" s="8" t="n">
        <f aca="false">(AR510*(1+Rate_Cash)-SUMPRODUCT($G345:$G350*$O345:$O350*(YEAR($L345:$L350)=AS363)))*(AS364&lt;$G190)*$G21</f>
        <v>0</v>
      </c>
    </row>
    <row r="511" customFormat="false" ht="14.25" hidden="false" customHeight="false" outlineLevel="0" collapsed="false">
      <c r="C511" s="6" t="s">
        <v>332</v>
      </c>
      <c r="D511" s="2" t="s">
        <v>85</v>
      </c>
      <c r="H511" s="8"/>
      <c r="J511" s="8" t="n">
        <f aca="false">(I511*(1+Rate_Devex)-SUMPRODUCT($G351:$G352*$O351:$O352*(YEAR($L351:$L352)=J363)))*(J364&lt;$G190)*$G21</f>
        <v>0</v>
      </c>
      <c r="K511" s="8" t="n">
        <f aca="false">(J511*(1+Rate_Devex)-SUMPRODUCT($G351:$G352*$O351:$O352*(YEAR($L351:$L352)=K363)))*(K364&lt;$G190)*$G21</f>
        <v>0</v>
      </c>
      <c r="L511" s="8" t="n">
        <f aca="false">(K511*(1+Rate_Devex)-SUMPRODUCT($G351:$G352*$O351:$O352*(YEAR($L351:$L352)=L363)))*(L364&lt;$G190)*$G21</f>
        <v>0</v>
      </c>
      <c r="M511" s="8" t="n">
        <f aca="false">(L511*(1+Rate_Devex)-SUMPRODUCT($G351:$G352*$O351:$O352*(YEAR($L351:$L352)=M363)))*(M364&lt;$G190)*$G21</f>
        <v>0</v>
      </c>
      <c r="N511" s="8" t="n">
        <f aca="false">(M511*(1+Rate_Devex)-SUMPRODUCT($G351:$G352*$O351:$O352*(YEAR($L351:$L352)=N363)))*(N364&lt;$G190)*$G21</f>
        <v>0</v>
      </c>
      <c r="O511" s="8" t="n">
        <f aca="false">(N511*(1+Rate_Devex)-SUMPRODUCT($G351:$G352*$O351:$O352*(YEAR($L351:$L352)=O363)))*(O364&lt;$G190)*$G21</f>
        <v>0</v>
      </c>
      <c r="P511" s="8" t="n">
        <f aca="false">(O511*(1+Rate_Devex)-SUMPRODUCT($G351:$G352*$O351:$O352*(YEAR($L351:$L352)=P363)))*(P364&lt;$G190)*$G21</f>
        <v>0</v>
      </c>
      <c r="Q511" s="8" t="n">
        <f aca="false">(P511*(1+Rate_Devex)-SUMPRODUCT($G351:$G352*$O351:$O352*(YEAR($L351:$L352)=Q363)))*(Q364&lt;$G190)*$G21</f>
        <v>0</v>
      </c>
      <c r="R511" s="8" t="n">
        <f aca="false">(Q511*(1+Rate_Devex)-SUMPRODUCT($G351:$G352*$O351:$O352*(YEAR($L351:$L352)=R363)))*(R364&lt;$G190)*$G21</f>
        <v>0</v>
      </c>
      <c r="S511" s="8" t="n">
        <f aca="false">(R511*(1+Rate_Devex)-SUMPRODUCT($G351:$G352*$O351:$O352*(YEAR($L351:$L352)=S363)))*(S364&lt;$G190)*$G21</f>
        <v>0</v>
      </c>
      <c r="T511" s="8" t="n">
        <f aca="false">(S511*(1+Rate_Devex)-SUMPRODUCT($G351:$G352*$O351:$O352*(YEAR($L351:$L352)=T363)))*(T364&lt;$G190)*$G21</f>
        <v>0</v>
      </c>
      <c r="U511" s="8" t="n">
        <f aca="false">(T511*(1+Rate_Devex)-SUMPRODUCT($G351:$G352*$O351:$O352*(YEAR($L351:$L352)=U363)))*(U364&lt;$G190)*$G21</f>
        <v>0</v>
      </c>
      <c r="V511" s="8" t="n">
        <f aca="false">(U511*(1+Rate_Devex)-SUMPRODUCT($G351:$G352*$O351:$O352*(YEAR($L351:$L352)=V363)))*(V364&lt;$G190)*$G21</f>
        <v>0</v>
      </c>
      <c r="W511" s="8" t="n">
        <f aca="false">(V511*(1+Rate_Devex)-SUMPRODUCT($G351:$G352*$O351:$O352*(YEAR($L351:$L352)=W363)))*(W364&lt;$G190)*$G21</f>
        <v>0</v>
      </c>
      <c r="X511" s="8" t="n">
        <f aca="false">(W511*(1+Rate_Devex)-SUMPRODUCT($G351:$G352*$O351:$O352*(YEAR($L351:$L352)=X363)))*(X364&lt;$G190)*$G21</f>
        <v>0</v>
      </c>
      <c r="Y511" s="8" t="n">
        <f aca="false">(X511*(1+Rate_Devex)-SUMPRODUCT($G351:$G352*$O351:$O352*(YEAR($L351:$L352)=Y363)))*(Y364&lt;$G190)*$G21</f>
        <v>0</v>
      </c>
      <c r="Z511" s="8" t="n">
        <f aca="false">(Y511*(1+Rate_Devex)-SUMPRODUCT($G351:$G352*$O351:$O352*(YEAR($L351:$L352)=Z363)))*(Z364&lt;$G190)*$G21</f>
        <v>0</v>
      </c>
      <c r="AA511" s="8" t="n">
        <f aca="false">(Z511*(1+Rate_Devex)-SUMPRODUCT($G351:$G352*$O351:$O352*(YEAR($L351:$L352)=AA363)))*(AA364&lt;$G190)*$G21</f>
        <v>0</v>
      </c>
      <c r="AB511" s="8" t="n">
        <f aca="false">(AA511*(1+Rate_Devex)-SUMPRODUCT($G351:$G352*$O351:$O352*(YEAR($L351:$L352)=AB363)))*(AB364&lt;$G190)*$G21</f>
        <v>0</v>
      </c>
      <c r="AC511" s="8" t="n">
        <f aca="false">(AB511*(1+Rate_Devex)-SUMPRODUCT($G351:$G352*$O351:$O352*(YEAR($L351:$L352)=AC363)))*(AC364&lt;$G190)*$G21</f>
        <v>0</v>
      </c>
      <c r="AD511" s="8" t="n">
        <f aca="false">(AC511*(1+Rate_Devex)-SUMPRODUCT($G351:$G352*$O351:$O352*(YEAR($L351:$L352)=AD363)))*(AD364&lt;$G190)*$G21</f>
        <v>0</v>
      </c>
      <c r="AE511" s="8" t="n">
        <f aca="false">(AD511*(1+Rate_Devex)-SUMPRODUCT($G351:$G352*$O351:$O352*(YEAR($L351:$L352)=AE363)))*(AE364&lt;$G190)*$G21</f>
        <v>0</v>
      </c>
      <c r="AF511" s="8" t="n">
        <f aca="false">(AE511*(1+Rate_Devex)-SUMPRODUCT($G351:$G352*$O351:$O352*(YEAR($L351:$L352)=AF363)))*(AF364&lt;$G190)*$G21</f>
        <v>0</v>
      </c>
      <c r="AG511" s="8" t="n">
        <f aca="false">(AF511*(1+Rate_Devex)-SUMPRODUCT($G351:$G352*$O351:$O352*(YEAR($L351:$L352)=AG363)))*(AG364&lt;$G190)*$G21</f>
        <v>0</v>
      </c>
      <c r="AH511" s="8" t="n">
        <f aca="false">(AG511*(1+Rate_Devex)-SUMPRODUCT($G351:$G352*$O351:$O352*(YEAR($L351:$L352)=AH363)))*(AH364&lt;$G190)*$G21</f>
        <v>0</v>
      </c>
      <c r="AI511" s="8" t="n">
        <f aca="false">(AH511*(1+Rate_Devex)-SUMPRODUCT($G351:$G352*$O351:$O352*(YEAR($L351:$L352)=AI363)))*(AI364&lt;$G190)*$G21</f>
        <v>0</v>
      </c>
      <c r="AJ511" s="8" t="n">
        <f aca="false">(AI511*(1+Rate_Devex)-SUMPRODUCT($G351:$G352*$O351:$O352*(YEAR($L351:$L352)=AJ363)))*(AJ364&lt;$G190)*$G21</f>
        <v>0</v>
      </c>
      <c r="AK511" s="8" t="n">
        <f aca="false">(AJ511*(1+Rate_Devex)-SUMPRODUCT($G351:$G352*$O351:$O352*(YEAR($L351:$L352)=AK363)))*(AK364&lt;$G190)*$G21</f>
        <v>0</v>
      </c>
      <c r="AL511" s="8" t="n">
        <f aca="false">(AK511*(1+Rate_Devex)-SUMPRODUCT($G351:$G352*$O351:$O352*(YEAR($L351:$L352)=AL363)))*(AL364&lt;$G190)*$G21</f>
        <v>0</v>
      </c>
      <c r="AM511" s="8" t="n">
        <f aca="false">(AL511*(1+Rate_Devex)-SUMPRODUCT($G351:$G352*$O351:$O352*(YEAR($L351:$L352)=AM363)))*(AM364&lt;$G190)*$G21</f>
        <v>0</v>
      </c>
      <c r="AN511" s="8" t="n">
        <f aca="false">(AM511*(1+Rate_Devex)-SUMPRODUCT($G351:$G352*$O351:$O352*(YEAR($L351:$L352)=AN363)))*(AN364&lt;$G190)*$G21</f>
        <v>0</v>
      </c>
      <c r="AO511" s="8" t="n">
        <f aca="false">(AN511*(1+Rate_Devex)-SUMPRODUCT($G351:$G352*$O351:$O352*(YEAR($L351:$L352)=AO363)))*(AO364&lt;$G190)*$G21</f>
        <v>0</v>
      </c>
      <c r="AP511" s="8" t="n">
        <f aca="false">(AO511*(1+Rate_Devex)-SUMPRODUCT($G351:$G352*$O351:$O352*(YEAR($L351:$L352)=AP363)))*(AP364&lt;$G190)*$G21</f>
        <v>0</v>
      </c>
      <c r="AQ511" s="8" t="n">
        <f aca="false">(AP511*(1+Rate_Devex)-SUMPRODUCT($G351:$G352*$O351:$O352*(YEAR($L351:$L352)=AQ363)))*(AQ364&lt;$G190)*$G21</f>
        <v>0</v>
      </c>
      <c r="AR511" s="8" t="n">
        <f aca="false">(AQ511*(1+Rate_Devex)-SUMPRODUCT($G351:$G352*$O351:$O352*(YEAR($L351:$L352)=AR363)))*(AR364&lt;$G190)*$G21</f>
        <v>0</v>
      </c>
      <c r="AS511" s="8" t="n">
        <f aca="false">(AR511*(1+Rate_Devex)-SUMPRODUCT($G351:$G352*$O351:$O352*(YEAR($L351:$L352)=AS363)))*(AS364&lt;$G190)*$G21</f>
        <v>0</v>
      </c>
    </row>
    <row r="512" customFormat="false" ht="14.25" hidden="false" customHeight="false" outlineLevel="0" collapsed="false">
      <c r="C512" s="6" t="s">
        <v>333</v>
      </c>
      <c r="D512" s="2" t="s">
        <v>85</v>
      </c>
      <c r="H512" s="8" t="n">
        <f aca="false">SUM(J512:AS512)</f>
        <v>0</v>
      </c>
      <c r="J512" s="8" t="n">
        <f aca="false">-SUMPRODUCT($G345:$G352*(YEAR($L345:$L352)=J363))*(J364&lt;$G190)*$G21</f>
        <v>0</v>
      </c>
      <c r="K512" s="8" t="n">
        <f aca="false">-SUMPRODUCT($G345:$G352*(YEAR($L345:$L352)=K363))*(K364&lt;$G190)*$G21</f>
        <v>0</v>
      </c>
      <c r="L512" s="8" t="n">
        <f aca="false">-SUMPRODUCT($G345:$G352*(YEAR($L345:$L352)=L363))*(L364&lt;$G190)*$G21</f>
        <v>0</v>
      </c>
      <c r="M512" s="8" t="n">
        <f aca="false">-SUMPRODUCT($G345:$G352*(YEAR($L345:$L352)=M363))*(M364&lt;$G190)*$G21</f>
        <v>-0</v>
      </c>
      <c r="N512" s="8" t="n">
        <f aca="false">-SUMPRODUCT($G345:$G352*(YEAR($L345:$L352)=N363))*(N364&lt;$G190)*$G21</f>
        <v>-0</v>
      </c>
      <c r="O512" s="8" t="n">
        <f aca="false">-SUMPRODUCT($G345:$G352*(YEAR($L345:$L352)=O363))*(O364&lt;$G190)*$G21</f>
        <v>-0</v>
      </c>
      <c r="P512" s="8" t="n">
        <f aca="false">-SUMPRODUCT($G345:$G352*(YEAR($L345:$L352)=P363))*(P364&lt;$G190)*$G21</f>
        <v>-0</v>
      </c>
      <c r="Q512" s="8" t="n">
        <f aca="false">-SUMPRODUCT($G345:$G352*(YEAR($L345:$L352)=Q363))*(Q364&lt;$G190)*$G21</f>
        <v>-0</v>
      </c>
      <c r="R512" s="8" t="n">
        <f aca="false">-SUMPRODUCT($G345:$G352*(YEAR($L345:$L352)=R363))*(R364&lt;$G190)*$G21</f>
        <v>-0</v>
      </c>
      <c r="S512" s="8" t="n">
        <f aca="false">-SUMPRODUCT($G345:$G352*(YEAR($L345:$L352)=S363))*(S364&lt;$G190)*$G21</f>
        <v>-0</v>
      </c>
      <c r="T512" s="8" t="n">
        <f aca="false">-SUMPRODUCT($G345:$G352*(YEAR($L345:$L352)=T363))*(T364&lt;$G190)*$G21</f>
        <v>-0</v>
      </c>
      <c r="U512" s="8" t="n">
        <f aca="false">-SUMPRODUCT($G345:$G352*(YEAR($L345:$L352)=U363))*(U364&lt;$G190)*$G21</f>
        <v>-0</v>
      </c>
      <c r="V512" s="8" t="n">
        <f aca="false">-SUMPRODUCT($G345:$G352*(YEAR($L345:$L352)=V363))*(V364&lt;$G190)*$G21</f>
        <v>-0</v>
      </c>
      <c r="W512" s="8" t="n">
        <f aca="false">-SUMPRODUCT($G345:$G352*(YEAR($L345:$L352)=W363))*(W364&lt;$G190)*$G21</f>
        <v>-0</v>
      </c>
      <c r="X512" s="8" t="n">
        <f aca="false">-SUMPRODUCT($G345:$G352*(YEAR($L345:$L352)=X363))*(X364&lt;$G190)*$G21</f>
        <v>-0</v>
      </c>
      <c r="Y512" s="8" t="n">
        <f aca="false">-SUMPRODUCT($G345:$G352*(YEAR($L345:$L352)=Y363))*(Y364&lt;$G190)*$G21</f>
        <v>-0</v>
      </c>
      <c r="Z512" s="8" t="n">
        <f aca="false">-SUMPRODUCT($G345:$G352*(YEAR($L345:$L352)=Z363))*(Z364&lt;$G190)*$G21</f>
        <v>-0</v>
      </c>
      <c r="AA512" s="8" t="n">
        <f aca="false">-SUMPRODUCT($G345:$G352*(YEAR($L345:$L352)=AA363))*(AA364&lt;$G190)*$G21</f>
        <v>-0</v>
      </c>
      <c r="AB512" s="8" t="n">
        <f aca="false">-SUMPRODUCT($G345:$G352*(YEAR($L345:$L352)=AB363))*(AB364&lt;$G190)*$G21</f>
        <v>-0</v>
      </c>
      <c r="AC512" s="8" t="n">
        <f aca="false">-SUMPRODUCT($G345:$G352*(YEAR($L345:$L352)=AC363))*(AC364&lt;$G190)*$G21</f>
        <v>-0</v>
      </c>
      <c r="AD512" s="8" t="n">
        <f aca="false">-SUMPRODUCT($G345:$G352*(YEAR($L345:$L352)=AD363))*(AD364&lt;$G190)*$G21</f>
        <v>-0</v>
      </c>
      <c r="AE512" s="8" t="n">
        <f aca="false">-SUMPRODUCT($G345:$G352*(YEAR($L345:$L352)=AE363))*(AE364&lt;$G190)*$G21</f>
        <v>-0</v>
      </c>
      <c r="AF512" s="8" t="n">
        <f aca="false">-SUMPRODUCT($G345:$G352*(YEAR($L345:$L352)=AF363))*(AF364&lt;$G190)*$G21</f>
        <v>-0</v>
      </c>
      <c r="AG512" s="8" t="n">
        <f aca="false">-SUMPRODUCT($G345:$G352*(YEAR($L345:$L352)=AG363))*(AG364&lt;$G190)*$G21</f>
        <v>-0</v>
      </c>
      <c r="AH512" s="8" t="n">
        <f aca="false">-SUMPRODUCT($G345:$G352*(YEAR($L345:$L352)=AH363))*(AH364&lt;$G190)*$G21</f>
        <v>-0</v>
      </c>
      <c r="AI512" s="8" t="n">
        <f aca="false">-SUMPRODUCT($G345:$G352*(YEAR($L345:$L352)=AI363))*(AI364&lt;$G190)*$G21</f>
        <v>-0</v>
      </c>
      <c r="AJ512" s="8" t="n">
        <f aca="false">-SUMPRODUCT($G345:$G352*(YEAR($L345:$L352)=AJ363))*(AJ364&lt;$G190)*$G21</f>
        <v>-0</v>
      </c>
      <c r="AK512" s="8" t="n">
        <f aca="false">-SUMPRODUCT($G345:$G352*(YEAR($L345:$L352)=AK363))*(AK364&lt;$G190)*$G21</f>
        <v>-0</v>
      </c>
      <c r="AL512" s="8" t="n">
        <f aca="false">-SUMPRODUCT($G345:$G352*(YEAR($L345:$L352)=AL363))*(AL364&lt;$G190)*$G21</f>
        <v>-0</v>
      </c>
      <c r="AM512" s="8" t="n">
        <f aca="false">-SUMPRODUCT($G345:$G352*(YEAR($L345:$L352)=AM363))*(AM364&lt;$G190)*$G21</f>
        <v>-0</v>
      </c>
      <c r="AN512" s="8" t="n">
        <f aca="false">-SUMPRODUCT($G345:$G352*(YEAR($L345:$L352)=AN363))*(AN364&lt;$G190)*$G21</f>
        <v>-0</v>
      </c>
      <c r="AO512" s="8" t="n">
        <f aca="false">-SUMPRODUCT($G345:$G352*(YEAR($L345:$L352)=AO363))*(AO364&lt;$G190)*$G21</f>
        <v>-0</v>
      </c>
      <c r="AP512" s="8" t="n">
        <f aca="false">-SUMPRODUCT($G345:$G352*(YEAR($L345:$L352)=AP363))*(AP364&lt;$G190)*$G21</f>
        <v>-0</v>
      </c>
      <c r="AQ512" s="8" t="n">
        <f aca="false">-SUMPRODUCT($G345:$G352*(YEAR($L345:$L352)=AQ363))*(AQ364&lt;$G190)*$G21</f>
        <v>-0</v>
      </c>
      <c r="AR512" s="8" t="n">
        <f aca="false">-SUMPRODUCT($G345:$G352*(YEAR($L345:$L352)=AR363))*(AR364&lt;$G190)*$G21</f>
        <v>-0</v>
      </c>
      <c r="AS512" s="8" t="n">
        <f aca="false">-SUMPRODUCT($G345:$G352*(YEAR($L345:$L352)=AS363))*(AS364&lt;$G190)*$G21</f>
        <v>-0</v>
      </c>
    </row>
    <row r="513" customFormat="false" ht="14.25" hidden="false" customHeight="false" outlineLevel="0" collapsed="false">
      <c r="C513" s="6" t="s">
        <v>334</v>
      </c>
      <c r="D513" s="2" t="s">
        <v>85</v>
      </c>
      <c r="H513" s="8" t="n">
        <f aca="false">SUM(J513:AS513)</f>
        <v>0</v>
      </c>
      <c r="J513" s="8" t="n">
        <f aca="false">(J510+J511-I510-I511-J512)*(J364&lt;$G190)*$G21</f>
        <v>0</v>
      </c>
      <c r="K513" s="8" t="n">
        <f aca="false">(K510+K511-J510-J511-K512)*(K364&lt;$G190)*$G21</f>
        <v>0</v>
      </c>
      <c r="L513" s="8" t="n">
        <f aca="false">(L510+L511-K510-K511-L512)*(L364&lt;$G190)*$G21</f>
        <v>0</v>
      </c>
      <c r="M513" s="8" t="n">
        <f aca="false">(M510+M511-L510-L511-M512)*(M364&lt;$G190)*$G21</f>
        <v>0</v>
      </c>
      <c r="N513" s="8" t="n">
        <f aca="false">(N510+N511-M510-M511-N512)*(N364&lt;$G190)*$G21</f>
        <v>0</v>
      </c>
      <c r="O513" s="8" t="n">
        <f aca="false">(O510+O511-N510-N511-O512)*(O364&lt;$G190)*$G21</f>
        <v>0</v>
      </c>
      <c r="P513" s="8" t="n">
        <f aca="false">(P510+P511-O510-O511-P512)*(P364&lt;$G190)*$G21</f>
        <v>0</v>
      </c>
      <c r="Q513" s="8" t="n">
        <f aca="false">(Q510+Q511-P510-P511-Q512)*(Q364&lt;$G190)*$G21</f>
        <v>0</v>
      </c>
      <c r="R513" s="8" t="n">
        <f aca="false">(R510+R511-Q510-Q511-R512)*(R364&lt;$G190)*$G21</f>
        <v>0</v>
      </c>
      <c r="S513" s="8" t="n">
        <f aca="false">(S510+S511-R510-R511-S512)*(S364&lt;$G190)*$G21</f>
        <v>0</v>
      </c>
      <c r="T513" s="8" t="n">
        <f aca="false">(T510+T511-S510-S511-T512)*(T364&lt;$G190)*$G21</f>
        <v>0</v>
      </c>
      <c r="U513" s="8" t="n">
        <f aca="false">(U510+U511-T510-T511-U512)*(U364&lt;$G190)*$G21</f>
        <v>0</v>
      </c>
      <c r="V513" s="8" t="n">
        <f aca="false">(V510+V511-U510-U511-V512)*(V364&lt;$G190)*$G21</f>
        <v>0</v>
      </c>
      <c r="W513" s="8" t="n">
        <f aca="false">(W510+W511-V510-V511-W512)*(W364&lt;$G190)*$G21</f>
        <v>0</v>
      </c>
      <c r="X513" s="8" t="n">
        <f aca="false">(X510+X511-W510-W511-X512)*(X364&lt;$G190)*$G21</f>
        <v>0</v>
      </c>
      <c r="Y513" s="8" t="n">
        <f aca="false">(Y510+Y511-X510-X511-Y512)*(Y364&lt;$G190)*$G21</f>
        <v>0</v>
      </c>
      <c r="Z513" s="8" t="n">
        <f aca="false">(Z510+Z511-Y510-Y511-Z512)*(Z364&lt;$G190)*$G21</f>
        <v>0</v>
      </c>
      <c r="AA513" s="8" t="n">
        <f aca="false">(AA510+AA511-Z510-Z511-AA512)*(AA364&lt;$G190)*$G21</f>
        <v>0</v>
      </c>
      <c r="AB513" s="8" t="n">
        <f aca="false">(AB510+AB511-AA510-AA511-AB512)*(AB364&lt;$G190)*$G21</f>
        <v>0</v>
      </c>
      <c r="AC513" s="8" t="n">
        <f aca="false">(AC510+AC511-AB510-AB511-AC512)*(AC364&lt;$G190)*$G21</f>
        <v>0</v>
      </c>
      <c r="AD513" s="8" t="n">
        <f aca="false">(AD510+AD511-AC510-AC511-AD512)*(AD364&lt;$G190)*$G21</f>
        <v>0</v>
      </c>
      <c r="AE513" s="8" t="n">
        <f aca="false">(AE510+AE511-AD510-AD511-AE512)*(AE364&lt;$G190)*$G21</f>
        <v>0</v>
      </c>
      <c r="AF513" s="8" t="n">
        <f aca="false">(AF510+AF511-AE510-AE511-AF512)*(AF364&lt;$G190)*$G21</f>
        <v>0</v>
      </c>
      <c r="AG513" s="8" t="n">
        <f aca="false">(AG510+AG511-AF510-AF511-AG512)*(AG364&lt;$G190)*$G21</f>
        <v>0</v>
      </c>
      <c r="AH513" s="8" t="n">
        <f aca="false">(AH510+AH511-AG510-AG511-AH512)*(AH364&lt;$G190)*$G21</f>
        <v>0</v>
      </c>
      <c r="AI513" s="8" t="n">
        <f aca="false">(AI510+AI511-AH510-AH511-AI512)*(AI364&lt;$G190)*$G21</f>
        <v>0</v>
      </c>
      <c r="AJ513" s="8" t="n">
        <f aca="false">(AJ510+AJ511-AI510-AI511-AJ512)*(AJ364&lt;$G190)*$G21</f>
        <v>0</v>
      </c>
      <c r="AK513" s="8" t="n">
        <f aca="false">(AK510+AK511-AJ510-AJ511-AK512)*(AK364&lt;$G190)*$G21</f>
        <v>0</v>
      </c>
      <c r="AL513" s="8" t="n">
        <f aca="false">(AL510+AL511-AK510-AK511-AL512)*(AL364&lt;$G190)*$G21</f>
        <v>0</v>
      </c>
      <c r="AM513" s="8" t="n">
        <f aca="false">(AM510+AM511-AL510-AL511-AM512)*(AM364&lt;$G190)*$G21</f>
        <v>0</v>
      </c>
      <c r="AN513" s="8" t="n">
        <f aca="false">(AN510+AN511-AM510-AM511-AN512)*(AN364&lt;$G190)*$G21</f>
        <v>0</v>
      </c>
      <c r="AO513" s="8" t="n">
        <f aca="false">(AO510+AO511-AN510-AN511-AO512)*(AO364&lt;$G190)*$G21</f>
        <v>0</v>
      </c>
      <c r="AP513" s="8" t="n">
        <f aca="false">(AP510+AP511-AO510-AO511-AP512)*(AP364&lt;$G190)*$G21</f>
        <v>0</v>
      </c>
      <c r="AQ513" s="8" t="n">
        <f aca="false">(AQ510+AQ511-AP510-AP511-AQ512)*(AQ364&lt;$G190)*$G21</f>
        <v>0</v>
      </c>
      <c r="AR513" s="8" t="n">
        <f aca="false">(AR510+AR511-AQ510-AQ511-AR512)*(AR364&lt;$G190)*$G21</f>
        <v>0</v>
      </c>
      <c r="AS513" s="8" t="n">
        <f aca="false">(AS510+AS511-AR510-AR511-AS512)*(AS364&lt;$G190)*$G21</f>
        <v>0</v>
      </c>
    </row>
    <row r="514" customFormat="false" ht="14.25" hidden="false" customHeight="false" outlineLevel="0" collapsed="false">
      <c r="C514" s="6" t="s">
        <v>335</v>
      </c>
      <c r="D514" s="2" t="s">
        <v>85</v>
      </c>
      <c r="H514" s="8"/>
      <c r="J514" s="8" t="n">
        <f aca="false">(I514*(1+Rate_Cash)-SUMPRODUCT($G290:$G293*$O290:$O293*(YEAR($L290:$L293)=J363)))*(J364&lt;$G225)*$G21</f>
        <v>0</v>
      </c>
      <c r="K514" s="8" t="n">
        <f aca="false">(J514*(1+Rate_Cash)-SUMPRODUCT($G290:$G293*$O290:$O293*(YEAR($L290:$L293)=K363)))*(K364&lt;$G225)*$G21</f>
        <v>0</v>
      </c>
      <c r="L514" s="8" t="n">
        <f aca="false">(K514*(1+Rate_Cash)-SUMPRODUCT($G290:$G293*$O290:$O293*(YEAR($L290:$L293)=L363)))*(L364&lt;$G225)*$G21</f>
        <v>0</v>
      </c>
      <c r="M514" s="8" t="n">
        <f aca="false">(L514*(1+Rate_Cash)-SUMPRODUCT($G290:$G293*$O290:$O293*(YEAR($L290:$L293)=M363)))*(M364&lt;$G225)*$G21</f>
        <v>0</v>
      </c>
      <c r="N514" s="8" t="n">
        <f aca="false">(M514*(1+Rate_Cash)-SUMPRODUCT($G290:$G293*$O290:$O293*(YEAR($L290:$L293)=N363)))*(N364&lt;$G225)*$G21</f>
        <v>0</v>
      </c>
      <c r="O514" s="8" t="n">
        <f aca="false">(N514*(1+Rate_Cash)-SUMPRODUCT($G290:$G293*$O290:$O293*(YEAR($L290:$L293)=O363)))*(O364&lt;$G225)*$G21</f>
        <v>0</v>
      </c>
      <c r="P514" s="8" t="n">
        <f aca="false">(O514*(1+Rate_Cash)-SUMPRODUCT($G290:$G293*$O290:$O293*(YEAR($L290:$L293)=P363)))*(P364&lt;$G225)*$G21</f>
        <v>0</v>
      </c>
      <c r="Q514" s="8" t="n">
        <f aca="false">(P514*(1+Rate_Cash)-SUMPRODUCT($G290:$G293*$O290:$O293*(YEAR($L290:$L293)=Q363)))*(Q364&lt;$G225)*$G21</f>
        <v>0</v>
      </c>
      <c r="R514" s="8" t="n">
        <f aca="false">(Q514*(1+Rate_Cash)-SUMPRODUCT($G290:$G293*$O290:$O293*(YEAR($L290:$L293)=R363)))*(R364&lt;$G225)*$G21</f>
        <v>0</v>
      </c>
      <c r="S514" s="8" t="n">
        <f aca="false">(R514*(1+Rate_Cash)-SUMPRODUCT($G290:$G293*$O290:$O293*(YEAR($L290:$L293)=S363)))*(S364&lt;$G225)*$G21</f>
        <v>0</v>
      </c>
      <c r="T514" s="8" t="n">
        <f aca="false">(S514*(1+Rate_Cash)-SUMPRODUCT($G290:$G293*$O290:$O293*(YEAR($L290:$L293)=T363)))*(T364&lt;$G225)*$G21</f>
        <v>0</v>
      </c>
      <c r="U514" s="8" t="n">
        <f aca="false">(T514*(1+Rate_Cash)-SUMPRODUCT($G290:$G293*$O290:$O293*(YEAR($L290:$L293)=U363)))*(U364&lt;$G225)*$G21</f>
        <v>0</v>
      </c>
      <c r="V514" s="8" t="n">
        <f aca="false">(U514*(1+Rate_Cash)-SUMPRODUCT($G290:$G293*$O290:$O293*(YEAR($L290:$L293)=V363)))*(V364&lt;$G225)*$G21</f>
        <v>0</v>
      </c>
      <c r="W514" s="8" t="n">
        <f aca="false">(V514*(1+Rate_Cash)-SUMPRODUCT($G290:$G293*$O290:$O293*(YEAR($L290:$L293)=W363)))*(W364&lt;$G225)*$G21</f>
        <v>0</v>
      </c>
      <c r="X514" s="8" t="n">
        <f aca="false">(W514*(1+Rate_Cash)-SUMPRODUCT($G290:$G293*$O290:$O293*(YEAR($L290:$L293)=X363)))*(X364&lt;$G225)*$G21</f>
        <v>0</v>
      </c>
      <c r="Y514" s="8" t="n">
        <f aca="false">(X514*(1+Rate_Cash)-SUMPRODUCT($G290:$G293*$O290:$O293*(YEAR($L290:$L293)=Y363)))*(Y364&lt;$G225)*$G21</f>
        <v>0</v>
      </c>
      <c r="Z514" s="8" t="n">
        <f aca="false">(Y514*(1+Rate_Cash)-SUMPRODUCT($G290:$G293*$O290:$O293*(YEAR($L290:$L293)=Z363)))*(Z364&lt;$G225)*$G21</f>
        <v>0</v>
      </c>
      <c r="AA514" s="8" t="n">
        <f aca="false">(Z514*(1+Rate_Cash)-SUMPRODUCT($G290:$G293*$O290:$O293*(YEAR($L290:$L293)=AA363)))*(AA364&lt;$G225)*$G21</f>
        <v>0</v>
      </c>
      <c r="AB514" s="8" t="n">
        <f aca="false">(AA514*(1+Rate_Cash)-SUMPRODUCT($G290:$G293*$O290:$O293*(YEAR($L290:$L293)=AB363)))*(AB364&lt;$G225)*$G21</f>
        <v>0</v>
      </c>
      <c r="AC514" s="8" t="n">
        <f aca="false">(AB514*(1+Rate_Cash)-SUMPRODUCT($G290:$G293*$O290:$O293*(YEAR($L290:$L293)=AC363)))*(AC364&lt;$G225)*$G21</f>
        <v>0</v>
      </c>
      <c r="AD514" s="8" t="n">
        <f aca="false">(AC514*(1+Rate_Cash)-SUMPRODUCT($G290:$G293*$O290:$O293*(YEAR($L290:$L293)=AD363)))*(AD364&lt;$G225)*$G21</f>
        <v>0</v>
      </c>
      <c r="AE514" s="8" t="n">
        <f aca="false">(AD514*(1+Rate_Cash)-SUMPRODUCT($G290:$G293*$O290:$O293*(YEAR($L290:$L293)=AE363)))*(AE364&lt;$G225)*$G21</f>
        <v>0</v>
      </c>
      <c r="AF514" s="8" t="n">
        <f aca="false">(AE514*(1+Rate_Cash)-SUMPRODUCT($G290:$G293*$O290:$O293*(YEAR($L290:$L293)=AF363)))*(AF364&lt;$G225)*$G21</f>
        <v>0</v>
      </c>
      <c r="AG514" s="8" t="n">
        <f aca="false">(AF514*(1+Rate_Cash)-SUMPRODUCT($G290:$G293*$O290:$O293*(YEAR($L290:$L293)=AG363)))*(AG364&lt;$G225)*$G21</f>
        <v>0</v>
      </c>
      <c r="AH514" s="8" t="n">
        <f aca="false">(AG514*(1+Rate_Cash)-SUMPRODUCT($G290:$G293*$O290:$O293*(YEAR($L290:$L293)=AH363)))*(AH364&lt;$G225)*$G21</f>
        <v>0</v>
      </c>
      <c r="AI514" s="8" t="n">
        <f aca="false">(AH514*(1+Rate_Cash)-SUMPRODUCT($G290:$G293*$O290:$O293*(YEAR($L290:$L293)=AI363)))*(AI364&lt;$G225)*$G21</f>
        <v>0</v>
      </c>
      <c r="AJ514" s="8" t="n">
        <f aca="false">(AI514*(1+Rate_Cash)-SUMPRODUCT($G290:$G293*$O290:$O293*(YEAR($L290:$L293)=AJ363)))*(AJ364&lt;$G225)*$G21</f>
        <v>0</v>
      </c>
      <c r="AK514" s="8" t="n">
        <f aca="false">(AJ514*(1+Rate_Cash)-SUMPRODUCT($G290:$G293*$O290:$O293*(YEAR($L290:$L293)=AK363)))*(AK364&lt;$G225)*$G21</f>
        <v>0</v>
      </c>
      <c r="AL514" s="8" t="n">
        <f aca="false">(AK514*(1+Rate_Cash)-SUMPRODUCT($G290:$G293*$O290:$O293*(YEAR($L290:$L293)=AL363)))*(AL364&lt;$G225)*$G21</f>
        <v>0</v>
      </c>
      <c r="AM514" s="8" t="n">
        <f aca="false">(AL514*(1+Rate_Cash)-SUMPRODUCT($G290:$G293*$O290:$O293*(YEAR($L290:$L293)=AM363)))*(AM364&lt;$G225)*$G21</f>
        <v>0</v>
      </c>
      <c r="AN514" s="8" t="n">
        <f aca="false">(AM514*(1+Rate_Cash)-SUMPRODUCT($G290:$G293*$O290:$O293*(YEAR($L290:$L293)=AN363)))*(AN364&lt;$G225)*$G21</f>
        <v>0</v>
      </c>
      <c r="AO514" s="8" t="n">
        <f aca="false">(AN514*(1+Rate_Cash)-SUMPRODUCT($G290:$G293*$O290:$O293*(YEAR($L290:$L293)=AO363)))*(AO364&lt;$G225)*$G21</f>
        <v>0</v>
      </c>
      <c r="AP514" s="8" t="n">
        <f aca="false">(AO514*(1+Rate_Cash)-SUMPRODUCT($G290:$G293*$O290:$O293*(YEAR($L290:$L293)=AP363)))*(AP364&lt;$G225)*$G21</f>
        <v>0</v>
      </c>
      <c r="AQ514" s="8" t="n">
        <f aca="false">(AP514*(1+Rate_Cash)-SUMPRODUCT($G290:$G293*$O290:$O293*(YEAR($L290:$L293)=AQ363)))*(AQ364&lt;$G225)*$G21</f>
        <v>0</v>
      </c>
      <c r="AR514" s="8" t="n">
        <f aca="false">(AQ514*(1+Rate_Cash)-SUMPRODUCT($G290:$G293*$O290:$O293*(YEAR($L290:$L293)=AR363)))*(AR364&lt;$G225)*$G21</f>
        <v>0</v>
      </c>
      <c r="AS514" s="8" t="n">
        <f aca="false">(AR514*(1+Rate_Cash)-SUMPRODUCT($G290:$G293*$O290:$O293*(YEAR($L290:$L293)=AS363)))*(AS364&lt;$G225)*$G21</f>
        <v>0</v>
      </c>
    </row>
    <row r="515" customFormat="false" ht="14.25" hidden="false" customHeight="false" outlineLevel="0" collapsed="false">
      <c r="C515" s="6" t="s">
        <v>336</v>
      </c>
      <c r="D515" s="2" t="s">
        <v>85</v>
      </c>
      <c r="H515" s="8"/>
      <c r="J515" s="8" t="n">
        <f aca="false">(I515*(1+Rate_Devex)-SUMPRODUCT($G294:$G295*$O294:$O295*(YEAR($L294:$L295)=J363)))*(J364&lt;$G225)*$G21</f>
        <v>0</v>
      </c>
      <c r="K515" s="8" t="n">
        <f aca="false">(J515*(1+Rate_Devex)-SUMPRODUCT($G294:$G295*$O294:$O295*(YEAR($L294:$L295)=K363)))*(K364&lt;$G225)*$G21</f>
        <v>0</v>
      </c>
      <c r="L515" s="8" t="n">
        <f aca="false">(K515*(1+Rate_Devex)-SUMPRODUCT($G294:$G295*$O294:$O295*(YEAR($L294:$L295)=L363)))*(L364&lt;$G225)*$G21</f>
        <v>0</v>
      </c>
      <c r="M515" s="8" t="n">
        <f aca="false">(L515*(1+Rate_Devex)-SUMPRODUCT($G294:$G295*$O294:$O295*(YEAR($L294:$L295)=M363)))*(M364&lt;$G225)*$G21</f>
        <v>0</v>
      </c>
      <c r="N515" s="8" t="n">
        <f aca="false">(M515*(1+Rate_Devex)-SUMPRODUCT($G294:$G295*$O294:$O295*(YEAR($L294:$L295)=N363)))*(N364&lt;$G225)*$G21</f>
        <v>0</v>
      </c>
      <c r="O515" s="8" t="n">
        <f aca="false">(N515*(1+Rate_Devex)-SUMPRODUCT($G294:$G295*$O294:$O295*(YEAR($L294:$L295)=O363)))*(O364&lt;$G225)*$G21</f>
        <v>0</v>
      </c>
      <c r="P515" s="8" t="n">
        <f aca="false">(O515*(1+Rate_Devex)-SUMPRODUCT($G294:$G295*$O294:$O295*(YEAR($L294:$L295)=P363)))*(P364&lt;$G225)*$G21</f>
        <v>0</v>
      </c>
      <c r="Q515" s="8" t="n">
        <f aca="false">(P515*(1+Rate_Devex)-SUMPRODUCT($G294:$G295*$O294:$O295*(YEAR($L294:$L295)=Q363)))*(Q364&lt;$G225)*$G21</f>
        <v>0</v>
      </c>
      <c r="R515" s="8" t="n">
        <f aca="false">(Q515*(1+Rate_Devex)-SUMPRODUCT($G294:$G295*$O294:$O295*(YEAR($L294:$L295)=R363)))*(R364&lt;$G225)*$G21</f>
        <v>0</v>
      </c>
      <c r="S515" s="8" t="n">
        <f aca="false">(R515*(1+Rate_Devex)-SUMPRODUCT($G294:$G295*$O294:$O295*(YEAR($L294:$L295)=S363)))*(S364&lt;$G225)*$G21</f>
        <v>0</v>
      </c>
      <c r="T515" s="8" t="n">
        <f aca="false">(S515*(1+Rate_Devex)-SUMPRODUCT($G294:$G295*$O294:$O295*(YEAR($L294:$L295)=T363)))*(T364&lt;$G225)*$G21</f>
        <v>0</v>
      </c>
      <c r="U515" s="8" t="n">
        <f aca="false">(T515*(1+Rate_Devex)-SUMPRODUCT($G294:$G295*$O294:$O295*(YEAR($L294:$L295)=U363)))*(U364&lt;$G225)*$G21</f>
        <v>0</v>
      </c>
      <c r="V515" s="8" t="n">
        <f aca="false">(U515*(1+Rate_Devex)-SUMPRODUCT($G294:$G295*$O294:$O295*(YEAR($L294:$L295)=V363)))*(V364&lt;$G225)*$G21</f>
        <v>0</v>
      </c>
      <c r="W515" s="8" t="n">
        <f aca="false">(V515*(1+Rate_Devex)-SUMPRODUCT($G294:$G295*$O294:$O295*(YEAR($L294:$L295)=W363)))*(W364&lt;$G225)*$G21</f>
        <v>0</v>
      </c>
      <c r="X515" s="8" t="n">
        <f aca="false">(W515*(1+Rate_Devex)-SUMPRODUCT($G294:$G295*$O294:$O295*(YEAR($L294:$L295)=X363)))*(X364&lt;$G225)*$G21</f>
        <v>0</v>
      </c>
      <c r="Y515" s="8" t="n">
        <f aca="false">(X515*(1+Rate_Devex)-SUMPRODUCT($G294:$G295*$O294:$O295*(YEAR($L294:$L295)=Y363)))*(Y364&lt;$G225)*$G21</f>
        <v>0</v>
      </c>
      <c r="Z515" s="8" t="n">
        <f aca="false">(Y515*(1+Rate_Devex)-SUMPRODUCT($G294:$G295*$O294:$O295*(YEAR($L294:$L295)=Z363)))*(Z364&lt;$G225)*$G21</f>
        <v>0</v>
      </c>
      <c r="AA515" s="8" t="n">
        <f aca="false">(Z515*(1+Rate_Devex)-SUMPRODUCT($G294:$G295*$O294:$O295*(YEAR($L294:$L295)=AA363)))*(AA364&lt;$G225)*$G21</f>
        <v>0</v>
      </c>
      <c r="AB515" s="8" t="n">
        <f aca="false">(AA515*(1+Rate_Devex)-SUMPRODUCT($G294:$G295*$O294:$O295*(YEAR($L294:$L295)=AB363)))*(AB364&lt;$G225)*$G21</f>
        <v>0</v>
      </c>
      <c r="AC515" s="8" t="n">
        <f aca="false">(AB515*(1+Rate_Devex)-SUMPRODUCT($G294:$G295*$O294:$O295*(YEAR($L294:$L295)=AC363)))*(AC364&lt;$G225)*$G21</f>
        <v>0</v>
      </c>
      <c r="AD515" s="8" t="n">
        <f aca="false">(AC515*(1+Rate_Devex)-SUMPRODUCT($G294:$G295*$O294:$O295*(YEAR($L294:$L295)=AD363)))*(AD364&lt;$G225)*$G21</f>
        <v>0</v>
      </c>
      <c r="AE515" s="8" t="n">
        <f aca="false">(AD515*(1+Rate_Devex)-SUMPRODUCT($G294:$G295*$O294:$O295*(YEAR($L294:$L295)=AE363)))*(AE364&lt;$G225)*$G21</f>
        <v>0</v>
      </c>
      <c r="AF515" s="8" t="n">
        <f aca="false">(AE515*(1+Rate_Devex)-SUMPRODUCT($G294:$G295*$O294:$O295*(YEAR($L294:$L295)=AF363)))*(AF364&lt;$G225)*$G21</f>
        <v>0</v>
      </c>
      <c r="AG515" s="8" t="n">
        <f aca="false">(AF515*(1+Rate_Devex)-SUMPRODUCT($G294:$G295*$O294:$O295*(YEAR($L294:$L295)=AG363)))*(AG364&lt;$G225)*$G21</f>
        <v>0</v>
      </c>
      <c r="AH515" s="8" t="n">
        <f aca="false">(AG515*(1+Rate_Devex)-SUMPRODUCT($G294:$G295*$O294:$O295*(YEAR($L294:$L295)=AH363)))*(AH364&lt;$G225)*$G21</f>
        <v>0</v>
      </c>
      <c r="AI515" s="8" t="n">
        <f aca="false">(AH515*(1+Rate_Devex)-SUMPRODUCT($G294:$G295*$O294:$O295*(YEAR($L294:$L295)=AI363)))*(AI364&lt;$G225)*$G21</f>
        <v>0</v>
      </c>
      <c r="AJ515" s="8" t="n">
        <f aca="false">(AI515*(1+Rate_Devex)-SUMPRODUCT($G294:$G295*$O294:$O295*(YEAR($L294:$L295)=AJ363)))*(AJ364&lt;$G225)*$G21</f>
        <v>0</v>
      </c>
      <c r="AK515" s="8" t="n">
        <f aca="false">(AJ515*(1+Rate_Devex)-SUMPRODUCT($G294:$G295*$O294:$O295*(YEAR($L294:$L295)=AK363)))*(AK364&lt;$G225)*$G21</f>
        <v>0</v>
      </c>
      <c r="AL515" s="8" t="n">
        <f aca="false">(AK515*(1+Rate_Devex)-SUMPRODUCT($G294:$G295*$O294:$O295*(YEAR($L294:$L295)=AL363)))*(AL364&lt;$G225)*$G21</f>
        <v>0</v>
      </c>
      <c r="AM515" s="8" t="n">
        <f aca="false">(AL515*(1+Rate_Devex)-SUMPRODUCT($G294:$G295*$O294:$O295*(YEAR($L294:$L295)=AM363)))*(AM364&lt;$G225)*$G21</f>
        <v>0</v>
      </c>
      <c r="AN515" s="8" t="n">
        <f aca="false">(AM515*(1+Rate_Devex)-SUMPRODUCT($G294:$G295*$O294:$O295*(YEAR($L294:$L295)=AN363)))*(AN364&lt;$G225)*$G21</f>
        <v>0</v>
      </c>
      <c r="AO515" s="8" t="n">
        <f aca="false">(AN515*(1+Rate_Devex)-SUMPRODUCT($G294:$G295*$O294:$O295*(YEAR($L294:$L295)=AO363)))*(AO364&lt;$G225)*$G21</f>
        <v>0</v>
      </c>
      <c r="AP515" s="8" t="n">
        <f aca="false">(AO515*(1+Rate_Devex)-SUMPRODUCT($G294:$G295*$O294:$O295*(YEAR($L294:$L295)=AP363)))*(AP364&lt;$G225)*$G21</f>
        <v>0</v>
      </c>
      <c r="AQ515" s="8" t="n">
        <f aca="false">(AP515*(1+Rate_Devex)-SUMPRODUCT($G294:$G295*$O294:$O295*(YEAR($L294:$L295)=AQ363)))*(AQ364&lt;$G225)*$G21</f>
        <v>0</v>
      </c>
      <c r="AR515" s="8" t="n">
        <f aca="false">(AQ515*(1+Rate_Devex)-SUMPRODUCT($G294:$G295*$O294:$O295*(YEAR($L294:$L295)=AR363)))*(AR364&lt;$G225)*$G21</f>
        <v>0</v>
      </c>
      <c r="AS515" s="8" t="n">
        <f aca="false">(AR515*(1+Rate_Devex)-SUMPRODUCT($G294:$G295*$O294:$O295*(YEAR($L294:$L295)=AS363)))*(AS364&lt;$G225)*$G21</f>
        <v>0</v>
      </c>
    </row>
    <row r="516" customFormat="false" ht="14.25" hidden="false" customHeight="false" outlineLevel="0" collapsed="false">
      <c r="C516" s="6" t="s">
        <v>337</v>
      </c>
      <c r="D516" s="2" t="s">
        <v>85</v>
      </c>
      <c r="H516" s="8" t="n">
        <f aca="false">SUM(J516:AS516)</f>
        <v>0</v>
      </c>
      <c r="J516" s="8" t="n">
        <f aca="false">-SUMPRODUCT($G290:$G295*(YEAR($L290:$L295)=J363))*(J364&lt;$G225)*$G21</f>
        <v>0</v>
      </c>
      <c r="K516" s="8" t="n">
        <f aca="false">-SUMPRODUCT($G290:$G295*(YEAR($L290:$L295)=K363))*(K364&lt;$G225)*$G21</f>
        <v>0</v>
      </c>
      <c r="L516" s="8" t="n">
        <f aca="false">-SUMPRODUCT($G290:$G295*(YEAR($L290:$L295)=L363))*(L364&lt;$G225)*$G21</f>
        <v>-0</v>
      </c>
      <c r="M516" s="8" t="n">
        <f aca="false">-SUMPRODUCT($G290:$G295*(YEAR($L290:$L295)=M363))*(M364&lt;$G225)*$G21</f>
        <v>-0</v>
      </c>
      <c r="N516" s="8" t="n">
        <f aca="false">-SUMPRODUCT($G290:$G295*(YEAR($L290:$L295)=N363))*(N364&lt;$G225)*$G21</f>
        <v>-0</v>
      </c>
      <c r="O516" s="8" t="n">
        <f aca="false">-SUMPRODUCT($G290:$G295*(YEAR($L290:$L295)=O363))*(O364&lt;$G225)*$G21</f>
        <v>-0</v>
      </c>
      <c r="P516" s="8" t="n">
        <f aca="false">-SUMPRODUCT($G290:$G295*(YEAR($L290:$L295)=P363))*(P364&lt;$G225)*$G21</f>
        <v>-0</v>
      </c>
      <c r="Q516" s="8" t="n">
        <f aca="false">-SUMPRODUCT($G290:$G295*(YEAR($L290:$L295)=Q363))*(Q364&lt;$G225)*$G21</f>
        <v>-0</v>
      </c>
      <c r="R516" s="8" t="n">
        <f aca="false">-SUMPRODUCT($G290:$G295*(YEAR($L290:$L295)=R363))*(R364&lt;$G225)*$G21</f>
        <v>-0</v>
      </c>
      <c r="S516" s="8" t="n">
        <f aca="false">-SUMPRODUCT($G290:$G295*(YEAR($L290:$L295)=S363))*(S364&lt;$G225)*$G21</f>
        <v>-0</v>
      </c>
      <c r="T516" s="8" t="n">
        <f aca="false">-SUMPRODUCT($G290:$G295*(YEAR($L290:$L295)=T363))*(T364&lt;$G225)*$G21</f>
        <v>-0</v>
      </c>
      <c r="U516" s="8" t="n">
        <f aca="false">-SUMPRODUCT($G290:$G295*(YEAR($L290:$L295)=U363))*(U364&lt;$G225)*$G21</f>
        <v>-0</v>
      </c>
      <c r="V516" s="8" t="n">
        <f aca="false">-SUMPRODUCT($G290:$G295*(YEAR($L290:$L295)=V363))*(V364&lt;$G225)*$G21</f>
        <v>-0</v>
      </c>
      <c r="W516" s="8" t="n">
        <f aca="false">-SUMPRODUCT($G290:$G295*(YEAR($L290:$L295)=W363))*(W364&lt;$G225)*$G21</f>
        <v>-0</v>
      </c>
      <c r="X516" s="8" t="n">
        <f aca="false">-SUMPRODUCT($G290:$G295*(YEAR($L290:$L295)=X363))*(X364&lt;$G225)*$G21</f>
        <v>-0</v>
      </c>
      <c r="Y516" s="8" t="n">
        <f aca="false">-SUMPRODUCT($G290:$G295*(YEAR($L290:$L295)=Y363))*(Y364&lt;$G225)*$G21</f>
        <v>-0</v>
      </c>
      <c r="Z516" s="8" t="n">
        <f aca="false">-SUMPRODUCT($G290:$G295*(YEAR($L290:$L295)=Z363))*(Z364&lt;$G225)*$G21</f>
        <v>-0</v>
      </c>
      <c r="AA516" s="8" t="n">
        <f aca="false">-SUMPRODUCT($G290:$G295*(YEAR($L290:$L295)=AA363))*(AA364&lt;$G225)*$G21</f>
        <v>-0</v>
      </c>
      <c r="AB516" s="8" t="n">
        <f aca="false">-SUMPRODUCT($G290:$G295*(YEAR($L290:$L295)=AB363))*(AB364&lt;$G225)*$G21</f>
        <v>-0</v>
      </c>
      <c r="AC516" s="8" t="n">
        <f aca="false">-SUMPRODUCT($G290:$G295*(YEAR($L290:$L295)=AC363))*(AC364&lt;$G225)*$G21</f>
        <v>-0</v>
      </c>
      <c r="AD516" s="8" t="n">
        <f aca="false">-SUMPRODUCT($G290:$G295*(YEAR($L290:$L295)=AD363))*(AD364&lt;$G225)*$G21</f>
        <v>-0</v>
      </c>
      <c r="AE516" s="8" t="n">
        <f aca="false">-SUMPRODUCT($G290:$G295*(YEAR($L290:$L295)=AE363))*(AE364&lt;$G225)*$G21</f>
        <v>-0</v>
      </c>
      <c r="AF516" s="8" t="n">
        <f aca="false">-SUMPRODUCT($G290:$G295*(YEAR($L290:$L295)=AF363))*(AF364&lt;$G225)*$G21</f>
        <v>-0</v>
      </c>
      <c r="AG516" s="8" t="n">
        <f aca="false">-SUMPRODUCT($G290:$G295*(YEAR($L290:$L295)=AG363))*(AG364&lt;$G225)*$G21</f>
        <v>-0</v>
      </c>
      <c r="AH516" s="8" t="n">
        <f aca="false">-SUMPRODUCT($G290:$G295*(YEAR($L290:$L295)=AH363))*(AH364&lt;$G225)*$G21</f>
        <v>-0</v>
      </c>
      <c r="AI516" s="8" t="n">
        <f aca="false">-SUMPRODUCT($G290:$G295*(YEAR($L290:$L295)=AI363))*(AI364&lt;$G225)*$G21</f>
        <v>-0</v>
      </c>
      <c r="AJ516" s="8" t="n">
        <f aca="false">-SUMPRODUCT($G290:$G295*(YEAR($L290:$L295)=AJ363))*(AJ364&lt;$G225)*$G21</f>
        <v>-0</v>
      </c>
      <c r="AK516" s="8" t="n">
        <f aca="false">-SUMPRODUCT($G290:$G295*(YEAR($L290:$L295)=AK363))*(AK364&lt;$G225)*$G21</f>
        <v>-0</v>
      </c>
      <c r="AL516" s="8" t="n">
        <f aca="false">-SUMPRODUCT($G290:$G295*(YEAR($L290:$L295)=AL363))*(AL364&lt;$G225)*$G21</f>
        <v>-0</v>
      </c>
      <c r="AM516" s="8" t="n">
        <f aca="false">-SUMPRODUCT($G290:$G295*(YEAR($L290:$L295)=AM363))*(AM364&lt;$G225)*$G21</f>
        <v>-0</v>
      </c>
      <c r="AN516" s="8" t="n">
        <f aca="false">-SUMPRODUCT($G290:$G295*(YEAR($L290:$L295)=AN363))*(AN364&lt;$G225)*$G21</f>
        <v>-0</v>
      </c>
      <c r="AO516" s="8" t="n">
        <f aca="false">-SUMPRODUCT($G290:$G295*(YEAR($L290:$L295)=AO363))*(AO364&lt;$G225)*$G21</f>
        <v>-0</v>
      </c>
      <c r="AP516" s="8" t="n">
        <f aca="false">-SUMPRODUCT($G290:$G295*(YEAR($L290:$L295)=AP363))*(AP364&lt;$G225)*$G21</f>
        <v>-0</v>
      </c>
      <c r="AQ516" s="8" t="n">
        <f aca="false">-SUMPRODUCT($G290:$G295*(YEAR($L290:$L295)=AQ363))*(AQ364&lt;$G225)*$G21</f>
        <v>-0</v>
      </c>
      <c r="AR516" s="8" t="n">
        <f aca="false">-SUMPRODUCT($G290:$G295*(YEAR($L290:$L295)=AR363))*(AR364&lt;$G225)*$G21</f>
        <v>-0</v>
      </c>
      <c r="AS516" s="8" t="n">
        <f aca="false">-SUMPRODUCT($G290:$G295*(YEAR($L290:$L295)=AS363))*(AS364&lt;$G225)*$G21</f>
        <v>-0</v>
      </c>
    </row>
    <row r="517" customFormat="false" ht="14.25" hidden="false" customHeight="false" outlineLevel="0" collapsed="false">
      <c r="C517" s="6" t="s">
        <v>338</v>
      </c>
      <c r="D517" s="2" t="s">
        <v>85</v>
      </c>
      <c r="H517" s="8" t="n">
        <f aca="false">SUM(J517:AS517)</f>
        <v>0</v>
      </c>
      <c r="J517" s="8" t="n">
        <f aca="false">(J514+J515-I514-I515-J516)*(J364&lt;$G225)*$G21</f>
        <v>0</v>
      </c>
      <c r="K517" s="8" t="n">
        <f aca="false">(K514+K515-J514-J515-K516)*(K364&lt;$G225)*$G21</f>
        <v>0</v>
      </c>
      <c r="L517" s="8" t="n">
        <f aca="false">(L514+L515-K514-K515-L516)*(L364&lt;$G225)*$G21</f>
        <v>0</v>
      </c>
      <c r="M517" s="8" t="n">
        <f aca="false">(M514+M515-L514-L515-M516)*(M364&lt;$G225)*$G21</f>
        <v>0</v>
      </c>
      <c r="N517" s="8" t="n">
        <f aca="false">(N514+N515-M514-M515-N516)*(N364&lt;$G225)*$G21</f>
        <v>0</v>
      </c>
      <c r="O517" s="8" t="n">
        <f aca="false">(O514+O515-N514-N515-O516)*(O364&lt;$G225)*$G21</f>
        <v>0</v>
      </c>
      <c r="P517" s="8" t="n">
        <f aca="false">(P514+P515-O514-O515-P516)*(P364&lt;$G225)*$G21</f>
        <v>0</v>
      </c>
      <c r="Q517" s="8" t="n">
        <f aca="false">(Q514+Q515-P514-P515-Q516)*(Q364&lt;$G225)*$G21</f>
        <v>0</v>
      </c>
      <c r="R517" s="8" t="n">
        <f aca="false">(R514+R515-Q514-Q515-R516)*(R364&lt;$G225)*$G21</f>
        <v>0</v>
      </c>
      <c r="S517" s="8" t="n">
        <f aca="false">(S514+S515-R514-R515-S516)*(S364&lt;$G225)*$G21</f>
        <v>0</v>
      </c>
      <c r="T517" s="8" t="n">
        <f aca="false">(T514+T515-S514-S515-T516)*(T364&lt;$G225)*$G21</f>
        <v>0</v>
      </c>
      <c r="U517" s="8" t="n">
        <f aca="false">(U514+U515-T514-T515-U516)*(U364&lt;$G225)*$G21</f>
        <v>0</v>
      </c>
      <c r="V517" s="8" t="n">
        <f aca="false">(V514+V515-U514-U515-V516)*(V364&lt;$G225)*$G21</f>
        <v>0</v>
      </c>
      <c r="W517" s="8" t="n">
        <f aca="false">(W514+W515-V514-V515-W516)*(W364&lt;$G225)*$G21</f>
        <v>0</v>
      </c>
      <c r="X517" s="8" t="n">
        <f aca="false">(X514+X515-W514-W515-X516)*(X364&lt;$G225)*$G21</f>
        <v>0</v>
      </c>
      <c r="Y517" s="8" t="n">
        <f aca="false">(Y514+Y515-X514-X515-Y516)*(Y364&lt;$G225)*$G21</f>
        <v>0</v>
      </c>
      <c r="Z517" s="8" t="n">
        <f aca="false">(Z514+Z515-Y514-Y515-Z516)*(Z364&lt;$G225)*$G21</f>
        <v>0</v>
      </c>
      <c r="AA517" s="8" t="n">
        <f aca="false">(AA514+AA515-Z514-Z515-AA516)*(AA364&lt;$G225)*$G21</f>
        <v>0</v>
      </c>
      <c r="AB517" s="8" t="n">
        <f aca="false">(AB514+AB515-AA514-AA515-AB516)*(AB364&lt;$G225)*$G21</f>
        <v>0</v>
      </c>
      <c r="AC517" s="8" t="n">
        <f aca="false">(AC514+AC515-AB514-AB515-AC516)*(AC364&lt;$G225)*$G21</f>
        <v>0</v>
      </c>
      <c r="AD517" s="8" t="n">
        <f aca="false">(AD514+AD515-AC514-AC515-AD516)*(AD364&lt;$G225)*$G21</f>
        <v>0</v>
      </c>
      <c r="AE517" s="8" t="n">
        <f aca="false">(AE514+AE515-AD514-AD515-AE516)*(AE364&lt;$G225)*$G21</f>
        <v>0</v>
      </c>
      <c r="AF517" s="8" t="n">
        <f aca="false">(AF514+AF515-AE514-AE515-AF516)*(AF364&lt;$G225)*$G21</f>
        <v>0</v>
      </c>
      <c r="AG517" s="8" t="n">
        <f aca="false">(AG514+AG515-AF514-AF515-AG516)*(AG364&lt;$G225)*$G21</f>
        <v>0</v>
      </c>
      <c r="AH517" s="8" t="n">
        <f aca="false">(AH514+AH515-AG514-AG515-AH516)*(AH364&lt;$G225)*$G21</f>
        <v>0</v>
      </c>
      <c r="AI517" s="8" t="n">
        <f aca="false">(AI514+AI515-AH514-AH515-AI516)*(AI364&lt;$G225)*$G21</f>
        <v>0</v>
      </c>
      <c r="AJ517" s="8" t="n">
        <f aca="false">(AJ514+AJ515-AI514-AI515-AJ516)*(AJ364&lt;$G225)*$G21</f>
        <v>0</v>
      </c>
      <c r="AK517" s="8" t="n">
        <f aca="false">(AK514+AK515-AJ514-AJ515-AK516)*(AK364&lt;$G225)*$G21</f>
        <v>0</v>
      </c>
      <c r="AL517" s="8" t="n">
        <f aca="false">(AL514+AL515-AK514-AK515-AL516)*(AL364&lt;$G225)*$G21</f>
        <v>0</v>
      </c>
      <c r="AM517" s="8" t="n">
        <f aca="false">(AM514+AM515-AL514-AL515-AM516)*(AM364&lt;$G225)*$G21</f>
        <v>0</v>
      </c>
      <c r="AN517" s="8" t="n">
        <f aca="false">(AN514+AN515-AM514-AM515-AN516)*(AN364&lt;$G225)*$G21</f>
        <v>0</v>
      </c>
      <c r="AO517" s="8" t="n">
        <f aca="false">(AO514+AO515-AN514-AN515-AO516)*(AO364&lt;$G225)*$G21</f>
        <v>0</v>
      </c>
      <c r="AP517" s="8" t="n">
        <f aca="false">(AP514+AP515-AO514-AO515-AP516)*(AP364&lt;$G225)*$G21</f>
        <v>0</v>
      </c>
      <c r="AQ517" s="8" t="n">
        <f aca="false">(AQ514+AQ515-AP514-AP515-AQ516)*(AQ364&lt;$G225)*$G21</f>
        <v>0</v>
      </c>
      <c r="AR517" s="8" t="n">
        <f aca="false">(AR514+AR515-AQ514-AQ515-AR516)*(AR364&lt;$G225)*$G21</f>
        <v>0</v>
      </c>
      <c r="AS517" s="8" t="n">
        <f aca="false">(AS514+AS515-AR514-AR515-AS516)*(AS364&lt;$G225)*$G21</f>
        <v>0</v>
      </c>
    </row>
    <row r="519" customFormat="false" ht="14.25" hidden="false" customHeight="false" outlineLevel="0" collapsed="false">
      <c r="B519" s="4" t="s">
        <v>3</v>
      </c>
      <c r="C519" s="4" t="s">
        <v>341</v>
      </c>
      <c r="D519" s="4" t="s">
        <v>85</v>
      </c>
      <c r="E519" s="5" t="s">
        <v>5</v>
      </c>
      <c r="F519" s="5" t="s">
        <v>6</v>
      </c>
      <c r="G519" s="5" t="s">
        <v>7</v>
      </c>
      <c r="H519" s="5" t="s">
        <v>8</v>
      </c>
    </row>
    <row r="520" customFormat="false" ht="14.25" hidden="false" customHeight="false" outlineLevel="0" collapsed="false">
      <c r="C520" s="6" t="s">
        <v>259</v>
      </c>
      <c r="D520" s="2" t="s">
        <v>85</v>
      </c>
      <c r="E520" s="8" t="n">
        <f aca="false">-MAX(0,$H$406)*CIT_Rate*(1-Share_Exempt)</f>
        <v>-0</v>
      </c>
      <c r="F520" s="8" t="n">
        <f aca="false">-MAX(0,$H$457)*CIT_Rate*(1-Share_Exempt)</f>
        <v>-0</v>
      </c>
      <c r="G520" s="8" t="n">
        <f aca="false">-MAX(0,$H$508)*CIT_Rate*(1-Share_Exempt)</f>
        <v>-0</v>
      </c>
      <c r="H520" s="8" t="n">
        <f aca="false">SUM(E520:G520)</f>
        <v>0</v>
      </c>
    </row>
    <row r="521" customFormat="false" ht="14.25" hidden="false" customHeight="false" outlineLevel="0" collapsed="false">
      <c r="C521" s="1" t="s">
        <v>342</v>
      </c>
      <c r="D521" s="2" t="s">
        <v>85</v>
      </c>
      <c r="E521" s="15" t="n">
        <f aca="false">$H$406+E520</f>
        <v>32562.7204740098</v>
      </c>
      <c r="F521" s="15" t="n">
        <f aca="false">$H$457+F520</f>
        <v>40517.0073540907</v>
      </c>
      <c r="G521" s="15" t="n">
        <f aca="false">$H$508+G520</f>
        <v>40517.0073540907</v>
      </c>
      <c r="H521" s="15" t="n">
        <f aca="false">SUM(E521:G521)</f>
        <v>113596.735182191</v>
      </c>
    </row>
    <row r="523" customFormat="false" ht="14.25" hidden="false" customHeight="false" outlineLevel="0" collapsed="false">
      <c r="B523" s="4" t="s">
        <v>3</v>
      </c>
      <c r="C523" s="4" t="s">
        <v>343</v>
      </c>
      <c r="D523" s="4"/>
      <c r="E523" s="5" t="s">
        <v>5</v>
      </c>
      <c r="F523" s="5" t="s">
        <v>6</v>
      </c>
      <c r="G523" s="5" t="s">
        <v>7</v>
      </c>
      <c r="H523" s="5" t="s">
        <v>8</v>
      </c>
    </row>
    <row r="524" customFormat="false" ht="14.25" hidden="false" customHeight="false" outlineLevel="0" collapsed="false">
      <c r="C524" s="6" t="s">
        <v>344</v>
      </c>
      <c r="D524" s="2" t="s">
        <v>2</v>
      </c>
      <c r="E524" s="76" t="n">
        <f aca="false">(ABS(SUM(E344:E358)-E340)&gt;Tolerance)*1</f>
        <v>0</v>
      </c>
      <c r="F524" s="76" t="n">
        <f aca="false">(ABS(SUM(F344:F358)-F340)&gt;Tolerance)*1</f>
        <v>0</v>
      </c>
      <c r="G524" s="76" t="n">
        <f aca="false">(ABS(SUM(G344:G358)-G340)&gt;Tolerance)*1</f>
        <v>0</v>
      </c>
      <c r="H524" s="76" t="n">
        <f aca="false">SUM(E524:G524)</f>
        <v>0</v>
      </c>
    </row>
    <row r="525" customFormat="false" ht="14.25" hidden="false" customHeight="false" outlineLevel="0" collapsed="false">
      <c r="C525" s="6" t="s">
        <v>345</v>
      </c>
      <c r="D525" s="2" t="s">
        <v>2</v>
      </c>
      <c r="E525" s="76" t="n">
        <f aca="false">(YEAR(MAX(Inputs!E$21:E$24,$J$55:$J$56))&gt;=YEAR(E190))*1</f>
        <v>0</v>
      </c>
      <c r="F525" s="76" t="n">
        <f aca="false">(YEAR(MAX(Inputs!F$21:F$24,$J$55:$J$56))&gt;=YEAR(F190))*1</f>
        <v>0</v>
      </c>
      <c r="G525" s="76" t="n">
        <f aca="false">(YEAR(MAX(Inputs!G$21:G$24,$J$55:$J$56))&gt;=YEAR(G190))*1</f>
        <v>0</v>
      </c>
      <c r="H525" s="76" t="n">
        <f aca="false">SUM(E525:G525)</f>
        <v>0</v>
      </c>
    </row>
    <row r="526" customFormat="false" ht="14.25" hidden="false" customHeight="false" outlineLevel="0" collapsed="false">
      <c r="C526" s="6" t="s">
        <v>346</v>
      </c>
      <c r="D526" s="2" t="s">
        <v>2</v>
      </c>
      <c r="E526" s="76" t="n">
        <f aca="false">N(AND(E17&lt;&gt;"EU",E17&lt;&gt;"CN"))</f>
        <v>0</v>
      </c>
      <c r="F526" s="76" t="n">
        <f aca="false">N(AND(F17&lt;&gt;"EU",F17&lt;&gt;"CN"))</f>
        <v>0</v>
      </c>
      <c r="G526" s="76" t="n">
        <f aca="false">N(AND(G17&lt;&gt;"EU",G17&lt;&gt;"CN"))</f>
        <v>0</v>
      </c>
      <c r="H526" s="76" t="n">
        <f aca="false">SUM(E526:G526)</f>
        <v>0</v>
      </c>
    </row>
    <row r="527" customFormat="false" ht="14.25" hidden="false" customHeight="false" outlineLevel="0" collapsed="false">
      <c r="C527" s="6" t="s">
        <v>347</v>
      </c>
      <c r="D527" s="2" t="s">
        <v>2</v>
      </c>
      <c r="E527" s="76" t="n">
        <f aca="false">(ABS(SUM(Devex_HUF)/FX/Thousand*Inputs!E$18-E68-E67)&gt;Tolerance)*1</f>
        <v>0</v>
      </c>
      <c r="F527" s="76" t="n">
        <f aca="false">(ABS(SUM(Devex_HUF)/FX/Thousand*Inputs!F$18-F68-F67)&gt;Tolerance)*1</f>
        <v>0</v>
      </c>
      <c r="G527" s="76" t="n">
        <f aca="false">(ABS(SUM(Devex_HUF)/FX/Thousand*Inputs!G$18-G68-G67)&gt;Tolerance)*1</f>
        <v>0</v>
      </c>
      <c r="H527" s="76" t="n">
        <f aca="false">SUM(E527:G527)</f>
        <v>0</v>
      </c>
    </row>
    <row r="528" customFormat="false" ht="14.25" hidden="false" customHeight="false" outlineLevel="0" collapsed="false">
      <c r="C528" s="6" t="s">
        <v>348</v>
      </c>
      <c r="D528" s="2" t="s">
        <v>2</v>
      </c>
      <c r="E528" s="76" t="n">
        <f aca="false">N(ABS(E91+$H$375)&gt;Tolerance)</f>
        <v>0</v>
      </c>
      <c r="F528" s="76" t="n">
        <f aca="false">N(ABS(F91+$H$426)&gt;Tolerance)</f>
        <v>0</v>
      </c>
      <c r="G528" s="76" t="n">
        <f aca="false">N(ABS(G91+$H$477)&gt;Tolerance)</f>
        <v>0</v>
      </c>
      <c r="H528" s="76" t="n">
        <f aca="false">SUM(E528:G528)</f>
        <v>0</v>
      </c>
    </row>
    <row r="529" customFormat="false" ht="14.25" hidden="false" customHeight="false" outlineLevel="0" collapsed="false">
      <c r="C529" s="6" t="s">
        <v>349</v>
      </c>
      <c r="D529" s="2" t="s">
        <v>2</v>
      </c>
      <c r="E529" s="76" t="n">
        <f aca="false">N(ABS(E99+$H$377)&gt;Tolerance)</f>
        <v>0</v>
      </c>
      <c r="F529" s="76" t="n">
        <f aca="false">N(ABS(F99+$H$428)&gt;Tolerance)</f>
        <v>0</v>
      </c>
      <c r="G529" s="76" t="n">
        <f aca="false">N(ABS(G99+$H$479)&gt;Tolerance)</f>
        <v>0</v>
      </c>
      <c r="H529" s="76" t="n">
        <f aca="false">SUM(E529:G529)</f>
        <v>0</v>
      </c>
    </row>
    <row r="530" customFormat="false" ht="14.25" hidden="false" customHeight="false" outlineLevel="0" collapsed="false">
      <c r="C530" s="6" t="s">
        <v>350</v>
      </c>
      <c r="D530" s="2" t="s">
        <v>2</v>
      </c>
      <c r="E530" s="76" t="n">
        <f aca="false">N(ABS($H$371-Life)&gt;Tolerance)</f>
        <v>0</v>
      </c>
      <c r="F530" s="76" t="n">
        <f aca="false">N(ABS($H$422-Life)&gt;Tolerance)</f>
        <v>0</v>
      </c>
      <c r="G530" s="76" t="n">
        <f aca="false">N(ABS($H$473-Life)&gt;Tolerance)</f>
        <v>0</v>
      </c>
      <c r="H530" s="76" t="n">
        <f aca="false">SUM(E530:G530)</f>
        <v>0</v>
      </c>
    </row>
    <row r="531" customFormat="false" ht="14.25" hidden="false" customHeight="false" outlineLevel="0" collapsed="false">
      <c r="C531" s="6" t="s">
        <v>351</v>
      </c>
      <c r="D531" s="2" t="s">
        <v>2</v>
      </c>
      <c r="E531" s="76" t="n">
        <f aca="false">N(Sale_Date_A&gt;=Inputs!E$24)</f>
        <v>0</v>
      </c>
      <c r="F531" s="76" t="n">
        <f aca="false">N(Sale_Date_A&gt;=Inputs!F$24)</f>
        <v>0</v>
      </c>
      <c r="G531" s="76" t="n">
        <f aca="false">N(Sale_Date_A&gt;=Inputs!G$24)</f>
        <v>0</v>
      </c>
      <c r="H531" s="76" t="n">
        <f aca="false">SUM(E531:G531)</f>
        <v>0</v>
      </c>
    </row>
    <row r="532" customFormat="false" ht="14.25" hidden="false" customHeight="false" outlineLevel="0" collapsed="false">
      <c r="C532" s="6" t="s">
        <v>352</v>
      </c>
      <c r="D532" s="2" t="s">
        <v>2</v>
      </c>
      <c r="E532" s="76" t="n">
        <f aca="false">N(ABS(E133+$H$377)&gt;Tolerance)</f>
        <v>0</v>
      </c>
      <c r="F532" s="76" t="n">
        <f aca="false">N(ABS(F133+$H$428)&gt;Tolerance)</f>
        <v>0</v>
      </c>
      <c r="G532" s="76" t="n">
        <f aca="false">N(ABS(G133+$H$479)&gt;Tolerance)</f>
        <v>0</v>
      </c>
      <c r="H532" s="76" t="n">
        <f aca="false">SUM(E532:G532)</f>
        <v>0</v>
      </c>
    </row>
    <row r="533" customFormat="false" ht="14.25" hidden="false" customHeight="false" outlineLevel="0" collapsed="false">
      <c r="C533" s="6" t="s">
        <v>353</v>
      </c>
      <c r="D533" s="2" t="s">
        <v>2</v>
      </c>
      <c r="E533" s="76" t="n">
        <f aca="false">(ABS(SUM(E289:E301)-E284)&gt;Tolerance)*1</f>
        <v>0</v>
      </c>
      <c r="F533" s="76" t="n">
        <f aca="false">(ABS(SUM(F289:F301)-F284)&gt;Tolerance)*1</f>
        <v>0</v>
      </c>
      <c r="G533" s="76" t="n">
        <f aca="false">(ABS(SUM(G289:G301)-G284)&gt;Tolerance)*1</f>
        <v>0</v>
      </c>
      <c r="H533" s="76" t="n">
        <f aca="false">SUM(E533:G533)</f>
        <v>0</v>
      </c>
    </row>
    <row r="534" customFormat="false" ht="14.25" hidden="false" customHeight="false" outlineLevel="0" collapsed="false">
      <c r="C534" s="6" t="s">
        <v>354</v>
      </c>
      <c r="D534" s="2" t="s">
        <v>2</v>
      </c>
      <c r="E534" s="76" t="n">
        <f aca="false">N(ABS($AS$400)&gt;Tolerance)</f>
        <v>0</v>
      </c>
      <c r="F534" s="76" t="n">
        <f aca="false">N(ABS($AS$451)&gt;Tolerance)</f>
        <v>0</v>
      </c>
      <c r="G534" s="76" t="n">
        <f aca="false">N(ABS($AS$502)&gt;Tolerance)</f>
        <v>0</v>
      </c>
      <c r="H534" s="76" t="n">
        <f aca="false">SUM(E534:G534)</f>
        <v>0</v>
      </c>
    </row>
    <row r="535" customFormat="false" ht="14.25" hidden="false" customHeight="false" outlineLevel="0" collapsed="false">
      <c r="C535" s="6" t="s">
        <v>355</v>
      </c>
      <c r="D535" s="2" t="s">
        <v>2</v>
      </c>
      <c r="E535" s="76" t="n">
        <f aca="false">N(E357&gt;Tolerance)+N(E300&gt;Tolerance)</f>
        <v>0</v>
      </c>
      <c r="F535" s="76" t="n">
        <f aca="false">N(F357&gt;Tolerance)+N(F300&gt;Tolerance)</f>
        <v>0</v>
      </c>
      <c r="G535" s="76" t="n">
        <f aca="false">N(G357&gt;Tolerance)+N(G300&gt;Tolerance)</f>
        <v>0</v>
      </c>
      <c r="H535" s="76" t="n">
        <f aca="false">SUM(E535:G535)</f>
        <v>0</v>
      </c>
    </row>
    <row r="536" customFormat="false" ht="14.25" hidden="false" customHeight="false" outlineLevel="0" collapsed="false">
      <c r="C536" s="6" t="s">
        <v>356</v>
      </c>
      <c r="D536" s="2" t="s">
        <v>2</v>
      </c>
      <c r="E536" s="76"/>
      <c r="F536" s="76"/>
      <c r="G536" s="76"/>
      <c r="H536" s="76" t="n">
        <f aca="false">SUMPRODUCT(--ISERROR(E109:H149))</f>
        <v>0</v>
      </c>
    </row>
    <row r="537" customFormat="false" ht="14.25" hidden="false" customHeight="false" outlineLevel="0" collapsed="false">
      <c r="C537" s="1" t="s">
        <v>357</v>
      </c>
      <c r="D537" s="2" t="s">
        <v>2</v>
      </c>
      <c r="H537" s="78" t="n">
        <f aca="false">SUM(H524:H536)</f>
        <v>0</v>
      </c>
    </row>
    <row r="539" customFormat="false" ht="14.25" hidden="false" customHeight="false" outlineLevel="0" collapsed="false">
      <c r="C539" s="79" t="s">
        <v>358</v>
      </c>
    </row>
  </sheetData>
  <conditionalFormatting sqref="H3">
    <cfRule type="cellIs" priority="2" operator="equal" aboveAverage="0" equalAverage="0" bottom="0" percent="0" rank="0" text="" dxfId="0">
      <formula>0</formula>
    </cfRule>
    <cfRule type="cellIs" priority="3" operator="notEqual" aboveAverage="0" equalAverage="0" bottom="0" percent="0" rank="0" text="" dxfId="1">
      <formula>0</formula>
    </cfRule>
  </conditionalFormatting>
  <conditionalFormatting sqref="H537">
    <cfRule type="cellIs" priority="4" operator="notEqual" aboveAverage="0" equalAverage="0" bottom="0" percent="0" rank="0" text="" dxfId="2">
      <formula>0</formula>
    </cfRule>
  </conditionalFormatting>
  <dataValidations count="1">
    <dataValidation allowBlank="false" errorStyle="stop" operator="between" showDropDown="false" showErrorMessage="false" showInputMessage="false" sqref="H25" type="list">
      <formula1>"Base,Low,High"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P1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111" activePane="bottomRight" state="frozen"/>
      <selection pane="topLeft" activeCell="A1" activeCellId="0" sqref="A1"/>
      <selection pane="topRight" activeCell="E1" activeCellId="0" sqref="E1"/>
      <selection pane="bottomLeft" activeCell="A111" activeCellId="0" sqref="A111"/>
      <selection pane="bottomRight" activeCell="C124" activeCellId="0" sqref="C124"/>
    </sheetView>
  </sheetViews>
  <sheetFormatPr defaultColWidth="8.66796875" defaultRowHeight="14.25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54"/>
    <col collapsed="false" customWidth="true" hidden="false" outlineLevel="0" max="4" min="4" style="0" width="11"/>
    <col collapsed="false" customWidth="true" hidden="false" outlineLevel="0" max="7" min="5" style="0" width="13"/>
    <col collapsed="false" customWidth="true" hidden="false" outlineLevel="0" max="8" min="8" style="0" width="50"/>
  </cols>
  <sheetData>
    <row r="2" customFormat="false" ht="14.25" hidden="false" customHeight="false" outlineLevel="0" collapsed="false">
      <c r="C2" s="1" t="s">
        <v>359</v>
      </c>
    </row>
    <row r="4" customFormat="false" ht="14.25" hidden="false" customHeight="false" outlineLevel="0" collapsed="false">
      <c r="B4" s="4" t="s">
        <v>3</v>
      </c>
      <c r="C4" s="4" t="s">
        <v>360</v>
      </c>
      <c r="D4" s="4"/>
      <c r="E4" s="5" t="s">
        <v>5</v>
      </c>
      <c r="F4" s="5" t="s">
        <v>6</v>
      </c>
      <c r="G4" s="5" t="s">
        <v>7</v>
      </c>
      <c r="H4" s="4" t="s">
        <v>361</v>
      </c>
    </row>
    <row r="5" customFormat="false" ht="14.25" hidden="false" customHeight="false" outlineLevel="0" collapsed="false">
      <c r="C5" s="42" t="s">
        <v>362</v>
      </c>
      <c r="D5" s="42"/>
      <c r="E5" s="43"/>
      <c r="F5" s="43"/>
      <c r="G5" s="43"/>
      <c r="H5" s="43"/>
    </row>
    <row r="6" customFormat="false" ht="14.25" hidden="false" customHeight="false" outlineLevel="0" collapsed="false">
      <c r="C6" s="6" t="s">
        <v>363</v>
      </c>
      <c r="D6" s="2" t="s">
        <v>364</v>
      </c>
      <c r="E6" s="7" t="n">
        <v>365</v>
      </c>
      <c r="H6" s="2" t="s">
        <v>365</v>
      </c>
    </row>
    <row r="7" customFormat="false" ht="14.25" hidden="false" customHeight="false" outlineLevel="0" collapsed="false">
      <c r="C7" s="6" t="s">
        <v>366</v>
      </c>
      <c r="D7" s="2" t="s">
        <v>367</v>
      </c>
      <c r="E7" s="7" t="n">
        <v>406000000</v>
      </c>
      <c r="H7" s="2" t="s">
        <v>368</v>
      </c>
    </row>
    <row r="8" customFormat="false" ht="14.25" hidden="false" customHeight="false" outlineLevel="0" collapsed="false">
      <c r="C8" s="6" t="s">
        <v>369</v>
      </c>
      <c r="D8" s="2" t="s">
        <v>370</v>
      </c>
      <c r="E8" s="7" t="n">
        <v>200000000</v>
      </c>
      <c r="H8" s="2" t="s">
        <v>371</v>
      </c>
    </row>
    <row r="9" customFormat="false" ht="14.25" hidden="false" customHeight="false" outlineLevel="0" collapsed="false">
      <c r="C9" s="6" t="s">
        <v>372</v>
      </c>
      <c r="D9" s="2" t="s">
        <v>12</v>
      </c>
      <c r="E9" s="9" t="n">
        <v>0.005</v>
      </c>
      <c r="H9" s="2" t="s">
        <v>373</v>
      </c>
    </row>
    <row r="10" customFormat="false" ht="14.25" hidden="false" customHeight="false" outlineLevel="0" collapsed="false">
      <c r="C10" s="6" t="s">
        <v>374</v>
      </c>
      <c r="D10" s="2" t="s">
        <v>12</v>
      </c>
      <c r="E10" s="9" t="n">
        <v>0.025</v>
      </c>
      <c r="H10" s="2" t="s">
        <v>375</v>
      </c>
    </row>
    <row r="11" customFormat="false" ht="14.25" hidden="false" customHeight="false" outlineLevel="0" collapsed="false">
      <c r="C11" s="6" t="s">
        <v>376</v>
      </c>
      <c r="D11" s="2" t="s">
        <v>74</v>
      </c>
      <c r="E11" s="7" t="n">
        <v>3000000</v>
      </c>
      <c r="H11" s="2" t="s">
        <v>377</v>
      </c>
    </row>
    <row r="12" customFormat="false" ht="14.25" hidden="false" customHeight="false" outlineLevel="0" collapsed="false">
      <c r="C12" s="6" t="s">
        <v>77</v>
      </c>
      <c r="D12" s="2" t="s">
        <v>378</v>
      </c>
      <c r="E12" s="7" t="n">
        <v>4500000</v>
      </c>
      <c r="H12" s="2" t="s">
        <v>379</v>
      </c>
    </row>
    <row r="13" customFormat="false" ht="14.25" hidden="false" customHeight="false" outlineLevel="0" collapsed="false">
      <c r="C13" s="42" t="s">
        <v>380</v>
      </c>
      <c r="D13" s="42"/>
      <c r="E13" s="43"/>
      <c r="F13" s="43"/>
      <c r="G13" s="43"/>
      <c r="H13" s="43"/>
    </row>
    <row r="14" customFormat="false" ht="14.25" hidden="false" customHeight="false" outlineLevel="0" collapsed="false">
      <c r="C14" s="6" t="s">
        <v>381</v>
      </c>
      <c r="D14" s="2" t="s">
        <v>378</v>
      </c>
      <c r="E14" s="7" t="n">
        <v>73071306</v>
      </c>
      <c r="F14" s="7" t="n">
        <v>19826680</v>
      </c>
      <c r="G14" s="7" t="n">
        <v>19826680</v>
      </c>
      <c r="H14" s="2" t="s">
        <v>382</v>
      </c>
    </row>
    <row r="15" customFormat="false" ht="14.25" hidden="false" customHeight="false" outlineLevel="0" collapsed="false">
      <c r="C15" s="6" t="s">
        <v>383</v>
      </c>
      <c r="D15" s="2" t="s">
        <v>74</v>
      </c>
      <c r="E15" s="7" t="n">
        <v>508345804</v>
      </c>
      <c r="F15" s="7" t="n">
        <v>460000000</v>
      </c>
      <c r="G15" s="7" t="n">
        <v>460000000</v>
      </c>
      <c r="H15" s="2" t="s">
        <v>384</v>
      </c>
    </row>
    <row r="16" customFormat="false" ht="14.25" hidden="false" customHeight="false" outlineLevel="0" collapsed="false">
      <c r="C16" s="6" t="s">
        <v>385</v>
      </c>
      <c r="D16" s="2" t="s">
        <v>386</v>
      </c>
      <c r="E16" s="11" t="n">
        <v>2</v>
      </c>
      <c r="F16" s="11" t="n">
        <v>1</v>
      </c>
      <c r="G16" s="11" t="n">
        <v>1</v>
      </c>
      <c r="H16" s="2" t="s">
        <v>387</v>
      </c>
    </row>
    <row r="17" customFormat="false" ht="14.25" hidden="false" customHeight="false" outlineLevel="0" collapsed="false">
      <c r="C17" s="6" t="s">
        <v>82</v>
      </c>
      <c r="D17" s="2" t="s">
        <v>85</v>
      </c>
      <c r="E17" s="7" t="n">
        <v>100</v>
      </c>
      <c r="F17" s="7" t="n">
        <v>150</v>
      </c>
      <c r="G17" s="7" t="n">
        <v>150</v>
      </c>
      <c r="H17" s="2" t="s">
        <v>388</v>
      </c>
    </row>
    <row r="18" customFormat="false" ht="14.25" hidden="false" customHeight="false" outlineLevel="0" collapsed="false">
      <c r="C18" s="6" t="s">
        <v>389</v>
      </c>
      <c r="D18" s="2" t="s">
        <v>3</v>
      </c>
      <c r="E18" s="12" t="n">
        <v>0.25</v>
      </c>
      <c r="F18" s="12" t="n">
        <v>0.25</v>
      </c>
      <c r="G18" s="12" t="n">
        <v>0.25</v>
      </c>
      <c r="H18" s="2" t="s">
        <v>390</v>
      </c>
    </row>
    <row r="19" customFormat="false" ht="14.25" hidden="false" customHeight="false" outlineLevel="0" collapsed="false">
      <c r="C19" s="6" t="s">
        <v>391</v>
      </c>
      <c r="D19" s="2" t="s">
        <v>2</v>
      </c>
      <c r="E19" s="11" t="n">
        <v>0</v>
      </c>
      <c r="F19" s="11" t="n">
        <v>0</v>
      </c>
      <c r="G19" s="11" t="n">
        <v>0</v>
      </c>
      <c r="H19" s="2" t="s">
        <v>392</v>
      </c>
    </row>
    <row r="20" customFormat="false" ht="14.25" hidden="false" customHeight="false" outlineLevel="0" collapsed="false">
      <c r="C20" s="6" t="s">
        <v>393</v>
      </c>
      <c r="D20" s="2" t="s">
        <v>168</v>
      </c>
      <c r="E20" s="80" t="n">
        <v>46234</v>
      </c>
      <c r="F20" s="80" t="n">
        <v>46234</v>
      </c>
      <c r="G20" s="80" t="n">
        <v>46234</v>
      </c>
      <c r="H20" s="2" t="s">
        <v>394</v>
      </c>
    </row>
    <row r="21" customFormat="false" ht="14.25" hidden="false" customHeight="false" outlineLevel="0" collapsed="false">
      <c r="C21" s="6" t="s">
        <v>395</v>
      </c>
      <c r="D21" s="2" t="s">
        <v>168</v>
      </c>
      <c r="E21" s="80" t="n">
        <v>46325</v>
      </c>
      <c r="F21" s="80" t="n">
        <v>46325</v>
      </c>
      <c r="G21" s="80" t="n">
        <v>46325</v>
      </c>
      <c r="H21" s="2" t="s">
        <v>396</v>
      </c>
    </row>
    <row r="22" customFormat="false" ht="14.25" hidden="false" customHeight="false" outlineLevel="0" collapsed="false">
      <c r="C22" s="6" t="s">
        <v>397</v>
      </c>
      <c r="D22" s="2" t="s">
        <v>168</v>
      </c>
      <c r="E22" s="80" t="n">
        <v>46402</v>
      </c>
      <c r="F22" s="80" t="n">
        <v>46402</v>
      </c>
      <c r="G22" s="80" t="n">
        <v>46402</v>
      </c>
      <c r="H22" s="2" t="s">
        <v>398</v>
      </c>
    </row>
    <row r="23" customFormat="false" ht="14.25" hidden="false" customHeight="false" outlineLevel="0" collapsed="false">
      <c r="C23" s="6" t="s">
        <v>399</v>
      </c>
      <c r="D23" s="2" t="s">
        <v>168</v>
      </c>
      <c r="E23" s="80" t="n">
        <v>46402</v>
      </c>
      <c r="F23" s="80" t="n">
        <v>46402</v>
      </c>
      <c r="G23" s="80" t="n">
        <v>46402</v>
      </c>
      <c r="H23" s="2" t="s">
        <v>400</v>
      </c>
    </row>
    <row r="24" customFormat="false" ht="14.25" hidden="false" customHeight="false" outlineLevel="0" collapsed="false">
      <c r="C24" s="6" t="s">
        <v>401</v>
      </c>
      <c r="D24" s="2" t="s">
        <v>168</v>
      </c>
      <c r="E24" s="80" t="n">
        <v>47027</v>
      </c>
      <c r="F24" s="80" t="n">
        <v>47027</v>
      </c>
      <c r="G24" s="80" t="n">
        <v>47027</v>
      </c>
      <c r="H24" s="2" t="s">
        <v>402</v>
      </c>
    </row>
    <row r="25" customFormat="false" ht="14.25" hidden="false" customHeight="false" outlineLevel="0" collapsed="false">
      <c r="C25" s="6" t="s">
        <v>403</v>
      </c>
      <c r="D25" s="2" t="s">
        <v>168</v>
      </c>
      <c r="E25" s="80" t="n">
        <v>47299</v>
      </c>
      <c r="F25" s="80" t="n">
        <v>47299</v>
      </c>
      <c r="G25" s="80" t="n">
        <v>47299</v>
      </c>
      <c r="H25" s="2" t="s">
        <v>404</v>
      </c>
    </row>
    <row r="26" customFormat="false" ht="14.25" hidden="false" customHeight="false" outlineLevel="0" collapsed="false">
      <c r="C26" s="6" t="s">
        <v>405</v>
      </c>
      <c r="D26" s="2" t="s">
        <v>168</v>
      </c>
      <c r="E26" s="80" t="n">
        <v>48029</v>
      </c>
      <c r="F26" s="80" t="n">
        <v>48029</v>
      </c>
      <c r="G26" s="80" t="n">
        <v>48029</v>
      </c>
      <c r="H26" s="2" t="s">
        <v>406</v>
      </c>
    </row>
    <row r="27" customFormat="false" ht="14.25" hidden="false" customHeight="false" outlineLevel="0" collapsed="false">
      <c r="C27" s="6" t="s">
        <v>407</v>
      </c>
      <c r="D27" s="2" t="s">
        <v>168</v>
      </c>
      <c r="E27" s="80" t="n">
        <v>48669</v>
      </c>
      <c r="F27" s="80" t="n">
        <v>48669</v>
      </c>
      <c r="G27" s="80" t="n">
        <v>48669</v>
      </c>
      <c r="H27" s="2" t="s">
        <v>408</v>
      </c>
    </row>
    <row r="28" customFormat="false" ht="14.25" hidden="false" customHeight="false" outlineLevel="0" collapsed="false">
      <c r="C28" s="6" t="s">
        <v>409</v>
      </c>
      <c r="D28" s="2" t="s">
        <v>168</v>
      </c>
      <c r="E28" s="80" t="n">
        <v>46325</v>
      </c>
      <c r="F28" s="80" t="n">
        <v>46325</v>
      </c>
      <c r="G28" s="80" t="n">
        <v>46325</v>
      </c>
      <c r="H28" s="2" t="s">
        <v>410</v>
      </c>
    </row>
    <row r="29" customFormat="false" ht="14.25" hidden="false" customHeight="false" outlineLevel="0" collapsed="false">
      <c r="C29" s="42" t="s">
        <v>411</v>
      </c>
      <c r="D29" s="42"/>
      <c r="E29" s="43"/>
      <c r="F29" s="43"/>
      <c r="G29" s="43"/>
      <c r="H29" s="43"/>
    </row>
    <row r="30" customFormat="false" ht="14.25" hidden="false" customHeight="false" outlineLevel="0" collapsed="false">
      <c r="C30" s="6" t="s">
        <v>412</v>
      </c>
      <c r="D30" s="2" t="s">
        <v>12</v>
      </c>
      <c r="E30" s="9" t="n">
        <v>0.12</v>
      </c>
      <c r="H30" s="2" t="s">
        <v>413</v>
      </c>
    </row>
    <row r="31" customFormat="false" ht="14.25" hidden="false" customHeight="false" outlineLevel="0" collapsed="false">
      <c r="C31" s="6" t="s">
        <v>414</v>
      </c>
      <c r="D31" s="2" t="s">
        <v>12</v>
      </c>
      <c r="E31" s="9" t="n">
        <v>0.2</v>
      </c>
      <c r="H31" s="2" t="s">
        <v>415</v>
      </c>
    </row>
    <row r="32" customFormat="false" ht="14.25" hidden="false" customHeight="false" outlineLevel="0" collapsed="false">
      <c r="C32" s="6" t="s">
        <v>416</v>
      </c>
      <c r="D32" s="2" t="s">
        <v>3</v>
      </c>
      <c r="E32" s="12" t="n">
        <v>2</v>
      </c>
      <c r="H32" s="2" t="s">
        <v>417</v>
      </c>
    </row>
    <row r="33" customFormat="false" ht="14.25" hidden="false" customHeight="false" outlineLevel="0" collapsed="false">
      <c r="C33" s="6" t="s">
        <v>418</v>
      </c>
      <c r="D33" s="2" t="s">
        <v>168</v>
      </c>
      <c r="E33" s="80" t="n">
        <v>47299</v>
      </c>
      <c r="H33" s="2" t="s">
        <v>419</v>
      </c>
    </row>
    <row r="34" customFormat="false" ht="14.25" hidden="false" customHeight="false" outlineLevel="0" collapsed="false">
      <c r="C34" s="6" t="s">
        <v>420</v>
      </c>
      <c r="D34" s="2" t="s">
        <v>168</v>
      </c>
      <c r="E34" s="80" t="n">
        <v>47391</v>
      </c>
      <c r="H34" s="2" t="s">
        <v>421</v>
      </c>
    </row>
    <row r="35" customFormat="false" ht="14.25" hidden="false" customHeight="false" outlineLevel="0" collapsed="false">
      <c r="C35" s="6" t="s">
        <v>422</v>
      </c>
      <c r="D35" s="2" t="s">
        <v>168</v>
      </c>
      <c r="E35" s="80" t="n">
        <v>47026</v>
      </c>
      <c r="H35" s="2" t="s">
        <v>423</v>
      </c>
    </row>
    <row r="36" customFormat="false" ht="14.25" hidden="false" customHeight="false" outlineLevel="0" collapsed="false">
      <c r="C36" s="6" t="s">
        <v>424</v>
      </c>
      <c r="D36" s="2" t="s">
        <v>85</v>
      </c>
      <c r="E36" s="7" t="n">
        <v>250</v>
      </c>
      <c r="H36" s="2" t="s">
        <v>425</v>
      </c>
    </row>
    <row r="37" customFormat="false" ht="14.25" hidden="false" customHeight="false" outlineLevel="0" collapsed="false">
      <c r="C37" s="6" t="s">
        <v>426</v>
      </c>
      <c r="D37" s="2" t="s">
        <v>51</v>
      </c>
      <c r="E37" s="10" t="n">
        <v>2.5</v>
      </c>
      <c r="H37" s="2" t="s">
        <v>427</v>
      </c>
    </row>
    <row r="38" customFormat="false" ht="14.25" hidden="false" customHeight="false" outlineLevel="0" collapsed="false">
      <c r="C38" s="6" t="s">
        <v>428</v>
      </c>
      <c r="D38" s="2" t="s">
        <v>42</v>
      </c>
      <c r="E38" s="10" t="n">
        <v>10</v>
      </c>
      <c r="H38" s="2" t="s">
        <v>429</v>
      </c>
    </row>
    <row r="39" customFormat="false" ht="14.25" hidden="false" customHeight="false" outlineLevel="0" collapsed="false">
      <c r="C39" s="6" t="s">
        <v>430</v>
      </c>
      <c r="D39" s="2" t="s">
        <v>12</v>
      </c>
      <c r="E39" s="9" t="n">
        <v>0.15</v>
      </c>
      <c r="H39" s="2" t="s">
        <v>431</v>
      </c>
    </row>
    <row r="40" customFormat="false" ht="14.25" hidden="false" customHeight="false" outlineLevel="0" collapsed="false">
      <c r="C40" s="6" t="s">
        <v>432</v>
      </c>
      <c r="D40" s="2" t="s">
        <v>2</v>
      </c>
      <c r="E40" s="11" t="n">
        <v>1</v>
      </c>
      <c r="H40" s="2" t="s">
        <v>433</v>
      </c>
    </row>
    <row r="41" customFormat="false" ht="14.25" hidden="false" customHeight="false" outlineLevel="0" collapsed="false">
      <c r="C41" s="42" t="s">
        <v>434</v>
      </c>
      <c r="D41" s="42"/>
      <c r="E41" s="43"/>
      <c r="F41" s="43"/>
      <c r="G41" s="43"/>
      <c r="H41" s="43"/>
    </row>
    <row r="42" customFormat="false" ht="14.25" hidden="false" customHeight="false" outlineLevel="0" collapsed="false">
      <c r="C42" s="6" t="s">
        <v>435</v>
      </c>
      <c r="D42" s="2" t="s">
        <v>291</v>
      </c>
      <c r="E42" s="11" t="n">
        <v>20</v>
      </c>
      <c r="H42" s="2" t="s">
        <v>436</v>
      </c>
    </row>
    <row r="43" customFormat="false" ht="14.25" hidden="false" customHeight="false" outlineLevel="0" collapsed="false">
      <c r="C43" s="6" t="s">
        <v>437</v>
      </c>
      <c r="D43" s="2" t="s">
        <v>12</v>
      </c>
      <c r="E43" s="9" t="n">
        <v>0.6</v>
      </c>
      <c r="H43" s="2" t="s">
        <v>438</v>
      </c>
    </row>
    <row r="44" customFormat="false" ht="14.25" hidden="false" customHeight="false" outlineLevel="0" collapsed="false">
      <c r="C44" s="6" t="s">
        <v>439</v>
      </c>
      <c r="D44" s="2" t="s">
        <v>12</v>
      </c>
      <c r="E44" s="9" t="n">
        <v>0.05</v>
      </c>
      <c r="H44" s="2" t="s">
        <v>440</v>
      </c>
    </row>
    <row r="45" customFormat="false" ht="14.25" hidden="false" customHeight="false" outlineLevel="0" collapsed="false">
      <c r="C45" s="6" t="s">
        <v>441</v>
      </c>
      <c r="D45" s="2" t="s">
        <v>291</v>
      </c>
      <c r="E45" s="11" t="n">
        <v>15</v>
      </c>
      <c r="H45" s="2" t="s">
        <v>442</v>
      </c>
    </row>
    <row r="46" customFormat="false" ht="14.25" hidden="false" customHeight="false" outlineLevel="0" collapsed="false">
      <c r="C46" s="42" t="s">
        <v>443</v>
      </c>
      <c r="D46" s="42"/>
      <c r="E46" s="43"/>
      <c r="F46" s="43"/>
      <c r="G46" s="43"/>
      <c r="H46" s="43"/>
    </row>
    <row r="47" customFormat="false" ht="14.25" hidden="false" customHeight="false" outlineLevel="0" collapsed="false">
      <c r="C47" s="6" t="s">
        <v>444</v>
      </c>
      <c r="D47" s="2" t="s">
        <v>42</v>
      </c>
      <c r="E47" s="7" t="n">
        <v>80</v>
      </c>
      <c r="H47" s="2" t="s">
        <v>445</v>
      </c>
    </row>
    <row r="48" customFormat="false" ht="14.25" hidden="false" customHeight="false" outlineLevel="0" collapsed="false">
      <c r="C48" s="6" t="s">
        <v>102</v>
      </c>
      <c r="D48" s="2" t="s">
        <v>42</v>
      </c>
      <c r="E48" s="7" t="n">
        <v>90</v>
      </c>
      <c r="H48" s="2" t="s">
        <v>446</v>
      </c>
    </row>
    <row r="49" customFormat="false" ht="14.25" hidden="false" customHeight="false" outlineLevel="0" collapsed="false">
      <c r="C49" s="6" t="s">
        <v>103</v>
      </c>
      <c r="D49" s="2" t="s">
        <v>42</v>
      </c>
      <c r="E49" s="7" t="n">
        <v>70</v>
      </c>
      <c r="H49" s="2" t="s">
        <v>447</v>
      </c>
    </row>
    <row r="50" customFormat="false" ht="14.25" hidden="false" customHeight="false" outlineLevel="0" collapsed="false">
      <c r="C50" s="6" t="s">
        <v>104</v>
      </c>
      <c r="D50" s="2" t="s">
        <v>42</v>
      </c>
      <c r="E50" s="7" t="n">
        <v>60</v>
      </c>
      <c r="H50" s="2" t="s">
        <v>448</v>
      </c>
    </row>
    <row r="51" customFormat="false" ht="14.25" hidden="false" customHeight="false" outlineLevel="0" collapsed="false">
      <c r="C51" s="6" t="s">
        <v>105</v>
      </c>
      <c r="D51" s="2" t="s">
        <v>42</v>
      </c>
      <c r="E51" s="7" t="n">
        <v>40</v>
      </c>
      <c r="H51" s="2" t="s">
        <v>449</v>
      </c>
    </row>
    <row r="52" customFormat="false" ht="14.25" hidden="false" customHeight="false" outlineLevel="0" collapsed="false">
      <c r="C52" s="6" t="s">
        <v>106</v>
      </c>
      <c r="D52" s="2" t="s">
        <v>42</v>
      </c>
      <c r="E52" s="7" t="n">
        <v>0</v>
      </c>
      <c r="H52" s="2" t="s">
        <v>450</v>
      </c>
    </row>
    <row r="53" customFormat="false" ht="14.25" hidden="false" customHeight="false" outlineLevel="0" collapsed="false">
      <c r="C53" s="6" t="s">
        <v>451</v>
      </c>
      <c r="D53" s="2" t="s">
        <v>85</v>
      </c>
      <c r="E53" s="7" t="n">
        <v>12000</v>
      </c>
      <c r="H53" s="2" t="s">
        <v>452</v>
      </c>
    </row>
    <row r="54" customFormat="false" ht="14.25" hidden="false" customHeight="false" outlineLevel="0" collapsed="false">
      <c r="C54" s="6" t="s">
        <v>453</v>
      </c>
      <c r="D54" s="2" t="s">
        <v>10</v>
      </c>
      <c r="E54" s="7" t="n">
        <v>200</v>
      </c>
      <c r="H54" s="2" t="s">
        <v>454</v>
      </c>
    </row>
    <row r="55" customFormat="false" ht="14.25" hidden="false" customHeight="false" outlineLevel="0" collapsed="false">
      <c r="C55" s="6" t="s">
        <v>455</v>
      </c>
      <c r="D55" s="2" t="s">
        <v>12</v>
      </c>
      <c r="E55" s="9" t="n">
        <v>0.05</v>
      </c>
      <c r="H55" s="2" t="s">
        <v>456</v>
      </c>
    </row>
    <row r="56" customFormat="false" ht="14.25" hidden="false" customHeight="false" outlineLevel="0" collapsed="false">
      <c r="C56" s="6" t="s">
        <v>457</v>
      </c>
      <c r="D56" s="2" t="s">
        <v>458</v>
      </c>
      <c r="E56" s="7" t="n">
        <v>100</v>
      </c>
      <c r="H56" s="2" t="s">
        <v>459</v>
      </c>
    </row>
    <row r="57" customFormat="false" ht="14.25" hidden="false" customHeight="false" outlineLevel="0" collapsed="false">
      <c r="C57" s="42" t="s">
        <v>460</v>
      </c>
      <c r="D57" s="42"/>
      <c r="E57" s="43"/>
      <c r="F57" s="43"/>
      <c r="G57" s="43"/>
      <c r="H57" s="43"/>
    </row>
    <row r="58" customFormat="false" ht="14.25" hidden="false" customHeight="false" outlineLevel="0" collapsed="false">
      <c r="C58" s="6" t="s">
        <v>461</v>
      </c>
      <c r="D58" s="2" t="s">
        <v>12</v>
      </c>
      <c r="E58" s="9" t="n">
        <v>0.02</v>
      </c>
      <c r="H58" s="2" t="s">
        <v>462</v>
      </c>
    </row>
    <row r="59" customFormat="false" ht="14.25" hidden="false" customHeight="false" outlineLevel="0" collapsed="false">
      <c r="C59" s="6" t="s">
        <v>463</v>
      </c>
      <c r="D59" s="2" t="s">
        <v>12</v>
      </c>
      <c r="E59" s="9" t="n">
        <v>0.04</v>
      </c>
      <c r="H59" s="2" t="s">
        <v>464</v>
      </c>
    </row>
    <row r="60" customFormat="false" ht="14.25" hidden="false" customHeight="false" outlineLevel="0" collapsed="false">
      <c r="C60" s="6" t="s">
        <v>465</v>
      </c>
      <c r="D60" s="2" t="s">
        <v>466</v>
      </c>
      <c r="E60" s="9" t="n">
        <v>0.003</v>
      </c>
      <c r="H60" s="2" t="s">
        <v>467</v>
      </c>
    </row>
    <row r="61" customFormat="false" ht="14.25" hidden="false" customHeight="false" outlineLevel="0" collapsed="false">
      <c r="C61" s="6" t="s">
        <v>468</v>
      </c>
      <c r="D61" s="2" t="s">
        <v>466</v>
      </c>
      <c r="E61" s="9" t="n">
        <v>0.01</v>
      </c>
      <c r="H61" s="2" t="s">
        <v>469</v>
      </c>
    </row>
    <row r="62" customFormat="false" ht="14.25" hidden="false" customHeight="false" outlineLevel="0" collapsed="false">
      <c r="C62" s="42" t="s">
        <v>470</v>
      </c>
      <c r="D62" s="42"/>
      <c r="E62" s="43"/>
      <c r="F62" s="43"/>
      <c r="G62" s="43"/>
      <c r="H62" s="43"/>
    </row>
    <row r="63" customFormat="false" ht="14.25" hidden="false" customHeight="false" outlineLevel="0" collapsed="false">
      <c r="C63" s="6" t="s">
        <v>471</v>
      </c>
      <c r="D63" s="2" t="s">
        <v>51</v>
      </c>
      <c r="E63" s="10" t="n">
        <v>3</v>
      </c>
      <c r="H63" s="2" t="s">
        <v>472</v>
      </c>
    </row>
    <row r="64" customFormat="false" ht="14.25" hidden="false" customHeight="false" outlineLevel="0" collapsed="false">
      <c r="C64" s="6" t="s">
        <v>473</v>
      </c>
      <c r="D64" s="2" t="s">
        <v>51</v>
      </c>
      <c r="E64" s="10" t="n">
        <v>3</v>
      </c>
      <c r="H64" s="2" t="s">
        <v>474</v>
      </c>
    </row>
    <row r="65" customFormat="false" ht="14.25" hidden="false" customHeight="false" outlineLevel="0" collapsed="false">
      <c r="C65" s="6" t="s">
        <v>475</v>
      </c>
      <c r="D65" s="2" t="s">
        <v>51</v>
      </c>
      <c r="E65" s="10" t="n">
        <v>2.5</v>
      </c>
      <c r="H65" s="2" t="s">
        <v>476</v>
      </c>
    </row>
    <row r="66" customFormat="false" ht="14.25" hidden="false" customHeight="false" outlineLevel="0" collapsed="false">
      <c r="C66" s="6" t="s">
        <v>477</v>
      </c>
      <c r="D66" s="2" t="s">
        <v>51</v>
      </c>
      <c r="E66" s="10" t="n">
        <v>1.5</v>
      </c>
      <c r="H66" s="2" t="s">
        <v>478</v>
      </c>
    </row>
    <row r="67" customFormat="false" ht="14.25" hidden="false" customHeight="false" outlineLevel="0" collapsed="false">
      <c r="C67" s="6" t="s">
        <v>479</v>
      </c>
      <c r="D67" s="2" t="s">
        <v>51</v>
      </c>
      <c r="E67" s="10" t="n">
        <v>3</v>
      </c>
      <c r="H67" s="2" t="s">
        <v>480</v>
      </c>
    </row>
    <row r="68" customFormat="false" ht="14.25" hidden="false" customHeight="false" outlineLevel="0" collapsed="false">
      <c r="C68" s="6" t="s">
        <v>481</v>
      </c>
      <c r="D68" s="2" t="s">
        <v>482</v>
      </c>
      <c r="E68" s="7" t="n">
        <v>150</v>
      </c>
      <c r="H68" s="2" t="s">
        <v>483</v>
      </c>
    </row>
    <row r="69" customFormat="false" ht="14.25" hidden="false" customHeight="false" outlineLevel="0" collapsed="false">
      <c r="C69" s="6" t="s">
        <v>484</v>
      </c>
      <c r="D69" s="2" t="s">
        <v>20</v>
      </c>
      <c r="E69" s="10" t="n">
        <v>4</v>
      </c>
      <c r="H69" s="2" t="s">
        <v>485</v>
      </c>
    </row>
    <row r="70" customFormat="false" ht="14.25" hidden="false" customHeight="false" outlineLevel="0" collapsed="false">
      <c r="C70" s="6" t="s">
        <v>486</v>
      </c>
      <c r="D70" s="2" t="s">
        <v>20</v>
      </c>
      <c r="E70" s="10" t="n">
        <v>1</v>
      </c>
      <c r="H70" s="2" t="s">
        <v>487</v>
      </c>
    </row>
    <row r="71" customFormat="false" ht="14.25" hidden="false" customHeight="false" outlineLevel="0" collapsed="false">
      <c r="C71" s="6" t="s">
        <v>311</v>
      </c>
      <c r="D71" s="2" t="s">
        <v>488</v>
      </c>
      <c r="E71" s="9" t="n">
        <v>0.001</v>
      </c>
      <c r="H71" s="2" t="s">
        <v>489</v>
      </c>
    </row>
    <row r="72" customFormat="false" ht="14.25" hidden="false" customHeight="false" outlineLevel="0" collapsed="false">
      <c r="C72" s="6" t="s">
        <v>314</v>
      </c>
      <c r="D72" s="2" t="s">
        <v>488</v>
      </c>
      <c r="E72" s="9" t="n">
        <v>0.02</v>
      </c>
      <c r="H72" s="2" t="s">
        <v>490</v>
      </c>
    </row>
    <row r="73" customFormat="false" ht="14.25" hidden="false" customHeight="false" outlineLevel="0" collapsed="false">
      <c r="C73" s="6" t="s">
        <v>491</v>
      </c>
      <c r="D73" s="2" t="s">
        <v>12</v>
      </c>
      <c r="E73" s="9" t="n">
        <v>0.05</v>
      </c>
      <c r="H73" s="2" t="s">
        <v>492</v>
      </c>
    </row>
    <row r="74" customFormat="false" ht="14.25" hidden="false" customHeight="false" outlineLevel="0" collapsed="false">
      <c r="C74" s="6" t="s">
        <v>493</v>
      </c>
      <c r="D74" s="2" t="s">
        <v>466</v>
      </c>
      <c r="E74" s="9" t="n">
        <v>0.025</v>
      </c>
      <c r="H74" s="2" t="s">
        <v>494</v>
      </c>
    </row>
    <row r="75" customFormat="false" ht="14.25" hidden="false" customHeight="false" outlineLevel="0" collapsed="false">
      <c r="C75" s="42" t="s">
        <v>495</v>
      </c>
      <c r="D75" s="42"/>
      <c r="E75" s="43"/>
      <c r="F75" s="43"/>
      <c r="G75" s="43"/>
      <c r="H75" s="43"/>
    </row>
    <row r="76" customFormat="false" ht="14.25" hidden="false" customHeight="false" outlineLevel="0" collapsed="false">
      <c r="C76" s="6" t="s">
        <v>496</v>
      </c>
      <c r="D76" s="2" t="s">
        <v>291</v>
      </c>
      <c r="E76" s="11" t="n">
        <v>30</v>
      </c>
      <c r="H76" s="2" t="s">
        <v>497</v>
      </c>
    </row>
    <row r="77" customFormat="false" ht="14.25" hidden="false" customHeight="false" outlineLevel="0" collapsed="false">
      <c r="C77" s="6" t="s">
        <v>498</v>
      </c>
      <c r="D77" s="2" t="s">
        <v>12</v>
      </c>
      <c r="E77" s="9" t="n">
        <v>0.08</v>
      </c>
      <c r="H77" s="2" t="s">
        <v>499</v>
      </c>
    </row>
    <row r="78" customFormat="false" ht="14.25" hidden="false" customHeight="false" outlineLevel="0" collapsed="false">
      <c r="C78" s="6" t="s">
        <v>500</v>
      </c>
      <c r="D78" s="2" t="s">
        <v>156</v>
      </c>
      <c r="E78" s="11" t="n">
        <v>2026</v>
      </c>
      <c r="H78" s="2" t="s">
        <v>501</v>
      </c>
    </row>
    <row r="79" customFormat="false" ht="14.25" hidden="false" customHeight="false" outlineLevel="0" collapsed="false">
      <c r="C79" s="6" t="s">
        <v>502</v>
      </c>
      <c r="D79" s="2" t="s">
        <v>3</v>
      </c>
      <c r="E79" s="7" t="n">
        <v>1000</v>
      </c>
      <c r="H79" s="2" t="s">
        <v>503</v>
      </c>
    </row>
    <row r="80" customFormat="false" ht="14.25" hidden="false" customHeight="false" outlineLevel="0" collapsed="false">
      <c r="C80" s="6" t="s">
        <v>504</v>
      </c>
      <c r="D80" s="2" t="s">
        <v>172</v>
      </c>
      <c r="E80" s="11" t="n">
        <v>365</v>
      </c>
      <c r="H80" s="2" t="s">
        <v>503</v>
      </c>
    </row>
    <row r="81" customFormat="false" ht="14.25" hidden="false" customHeight="false" outlineLevel="0" collapsed="false">
      <c r="C81" s="6" t="s">
        <v>505</v>
      </c>
      <c r="D81" s="2" t="s">
        <v>293</v>
      </c>
      <c r="E81" s="11" t="n">
        <v>12</v>
      </c>
      <c r="H81" s="2" t="s">
        <v>503</v>
      </c>
    </row>
    <row r="82" customFormat="false" ht="14.25" hidden="false" customHeight="false" outlineLevel="0" collapsed="false">
      <c r="C82" s="6" t="s">
        <v>506</v>
      </c>
      <c r="D82" s="2" t="s">
        <v>85</v>
      </c>
      <c r="E82" s="81" t="n">
        <v>0.001</v>
      </c>
      <c r="H82" s="2" t="s">
        <v>503</v>
      </c>
    </row>
    <row r="84" customFormat="false" ht="14.25" hidden="false" customHeight="false" outlineLevel="0" collapsed="false">
      <c r="C84" s="42" t="s">
        <v>507</v>
      </c>
      <c r="D84" s="42"/>
      <c r="E84" s="43"/>
      <c r="F84" s="43"/>
      <c r="G84" s="43"/>
      <c r="H84" s="43"/>
    </row>
    <row r="85" customFormat="false" ht="14.25" hidden="false" customHeight="false" outlineLevel="0" collapsed="false">
      <c r="C85" s="6" t="s">
        <v>508</v>
      </c>
      <c r="D85" s="2" t="s">
        <v>74</v>
      </c>
      <c r="E85" s="7" t="n">
        <v>20590500</v>
      </c>
      <c r="F85" s="80" t="n">
        <v>46431</v>
      </c>
      <c r="G85" s="13" t="s">
        <v>116</v>
      </c>
      <c r="H85" s="2" t="s">
        <v>509</v>
      </c>
    </row>
    <row r="86" customFormat="false" ht="14.25" hidden="false" customHeight="false" outlineLevel="0" collapsed="false">
      <c r="C86" s="6" t="s">
        <v>510</v>
      </c>
      <c r="D86" s="2" t="s">
        <v>74</v>
      </c>
      <c r="E86" s="7" t="n">
        <v>45600000</v>
      </c>
      <c r="F86" s="80" t="n">
        <v>46431</v>
      </c>
      <c r="G86" s="13" t="s">
        <v>116</v>
      </c>
      <c r="H86" s="2" t="s">
        <v>511</v>
      </c>
    </row>
    <row r="87" customFormat="false" ht="14.25" hidden="false" customHeight="false" outlineLevel="0" collapsed="false">
      <c r="C87" s="6" t="s">
        <v>512</v>
      </c>
      <c r="D87" s="2" t="s">
        <v>74</v>
      </c>
      <c r="E87" s="7" t="n">
        <v>59142857.1428571</v>
      </c>
      <c r="F87" s="80" t="n">
        <v>46976</v>
      </c>
      <c r="G87" s="13" t="s">
        <v>513</v>
      </c>
      <c r="H87" s="2" t="s">
        <v>514</v>
      </c>
    </row>
    <row r="88" customFormat="false" ht="14.25" hidden="false" customHeight="false" outlineLevel="0" collapsed="false">
      <c r="C88" s="6" t="s">
        <v>515</v>
      </c>
      <c r="D88" s="2" t="s">
        <v>74</v>
      </c>
      <c r="E88" s="7" t="n">
        <v>750544</v>
      </c>
      <c r="F88" s="80" t="n">
        <v>46976</v>
      </c>
      <c r="G88" s="13" t="s">
        <v>513</v>
      </c>
      <c r="H88" s="2" t="s">
        <v>516</v>
      </c>
    </row>
    <row r="89" customFormat="false" ht="14.25" hidden="false" customHeight="false" outlineLevel="0" collapsed="false">
      <c r="C89" s="6" t="s">
        <v>517</v>
      </c>
      <c r="D89" s="2" t="s">
        <v>74</v>
      </c>
      <c r="E89" s="7" t="n">
        <v>65580000</v>
      </c>
      <c r="F89" s="80" t="n">
        <v>46296</v>
      </c>
      <c r="G89" s="13" t="s">
        <v>513</v>
      </c>
      <c r="H89" s="2" t="s">
        <v>518</v>
      </c>
    </row>
    <row r="90" customFormat="false" ht="14.25" hidden="false" customHeight="false" outlineLevel="0" collapsed="false">
      <c r="C90" s="6" t="s">
        <v>519</v>
      </c>
      <c r="D90" s="2" t="s">
        <v>74</v>
      </c>
      <c r="E90" s="7" t="n">
        <v>147260000</v>
      </c>
      <c r="F90" s="80" t="n">
        <v>46447</v>
      </c>
      <c r="G90" s="13" t="s">
        <v>513</v>
      </c>
      <c r="H90" s="2" t="s">
        <v>520</v>
      </c>
    </row>
    <row r="91" customFormat="false" ht="14.25" hidden="false" customHeight="false" outlineLevel="0" collapsed="false">
      <c r="C91" s="6" t="s">
        <v>521</v>
      </c>
      <c r="D91" s="2" t="s">
        <v>74</v>
      </c>
      <c r="E91" s="7" t="n">
        <v>3600000</v>
      </c>
      <c r="F91" s="80" t="n">
        <v>46388</v>
      </c>
      <c r="G91" s="13" t="s">
        <v>513</v>
      </c>
      <c r="H91" s="2" t="s">
        <v>522</v>
      </c>
    </row>
    <row r="92" customFormat="false" ht="14.25" hidden="false" customHeight="false" outlineLevel="0" collapsed="false">
      <c r="C92" s="6" t="s">
        <v>523</v>
      </c>
      <c r="D92" s="2" t="s">
        <v>74</v>
      </c>
      <c r="E92" s="7" t="n">
        <v>1665000</v>
      </c>
      <c r="F92" s="80" t="n">
        <v>46932</v>
      </c>
      <c r="G92" s="13" t="s">
        <v>513</v>
      </c>
      <c r="H92" s="2" t="s">
        <v>524</v>
      </c>
    </row>
    <row r="93" customFormat="false" ht="14.25" hidden="false" customHeight="false" outlineLevel="0" collapsed="false">
      <c r="C93" s="6" t="s">
        <v>525</v>
      </c>
      <c r="D93" s="2" t="s">
        <v>74</v>
      </c>
      <c r="E93" s="7" t="n">
        <v>960000</v>
      </c>
      <c r="F93" s="80" t="n">
        <v>46746</v>
      </c>
      <c r="G93" s="13" t="s">
        <v>513</v>
      </c>
      <c r="H93" s="2" t="s">
        <v>526</v>
      </c>
    </row>
    <row r="94" customFormat="false" ht="14.25" hidden="false" customHeight="false" outlineLevel="0" collapsed="false">
      <c r="C94" s="6" t="s">
        <v>527</v>
      </c>
      <c r="D94" s="2" t="s">
        <v>74</v>
      </c>
      <c r="E94" s="7" t="n">
        <v>8000000</v>
      </c>
      <c r="F94" s="80" t="n">
        <v>46596</v>
      </c>
      <c r="G94" s="13" t="s">
        <v>513</v>
      </c>
      <c r="H94" s="2" t="s">
        <v>528</v>
      </c>
    </row>
    <row r="95" customFormat="false" ht="14.25" hidden="false" customHeight="false" outlineLevel="0" collapsed="false">
      <c r="C95" s="6" t="s">
        <v>529</v>
      </c>
      <c r="D95" s="2" t="s">
        <v>74</v>
      </c>
      <c r="E95" s="7" t="n">
        <v>50000000</v>
      </c>
      <c r="F95" s="80" t="n">
        <v>46806</v>
      </c>
      <c r="G95" s="13" t="s">
        <v>513</v>
      </c>
      <c r="H95" s="2" t="s">
        <v>530</v>
      </c>
    </row>
    <row r="96" customFormat="false" ht="14.25" hidden="false" customHeight="false" outlineLevel="0" collapsed="false">
      <c r="C96" s="6" t="s">
        <v>531</v>
      </c>
      <c r="D96" s="2" t="s">
        <v>74</v>
      </c>
      <c r="E96" s="7" t="n">
        <v>35000000</v>
      </c>
      <c r="F96" s="80" t="n">
        <v>46806</v>
      </c>
      <c r="G96" s="13" t="s">
        <v>513</v>
      </c>
      <c r="H96" s="2" t="s">
        <v>532</v>
      </c>
    </row>
    <row r="97" customFormat="false" ht="14.25" hidden="false" customHeight="false" outlineLevel="0" collapsed="false">
      <c r="C97" s="6" t="s">
        <v>533</v>
      </c>
      <c r="D97" s="2" t="s">
        <v>74</v>
      </c>
      <c r="E97" s="7" t="n">
        <v>14832000</v>
      </c>
      <c r="F97" s="80" t="n">
        <v>46751</v>
      </c>
      <c r="G97" s="13" t="s">
        <v>513</v>
      </c>
      <c r="H97" s="2" t="s">
        <v>534</v>
      </c>
    </row>
    <row r="98" customFormat="false" ht="14.25" hidden="false" customHeight="false" outlineLevel="0" collapsed="false">
      <c r="C98" s="6" t="s">
        <v>535</v>
      </c>
      <c r="D98" s="2" t="s">
        <v>74</v>
      </c>
      <c r="E98" s="7" t="n">
        <v>40000</v>
      </c>
      <c r="F98" s="80" t="n">
        <v>46871</v>
      </c>
      <c r="G98" s="13" t="s">
        <v>513</v>
      </c>
      <c r="H98" s="2" t="s">
        <v>536</v>
      </c>
    </row>
    <row r="99" customFormat="false" ht="14.25" hidden="false" customHeight="false" outlineLevel="0" collapsed="false">
      <c r="C99" s="6" t="s">
        <v>537</v>
      </c>
      <c r="D99" s="2" t="s">
        <v>74</v>
      </c>
      <c r="E99" s="7" t="n">
        <v>32610000</v>
      </c>
      <c r="F99" s="80" t="n">
        <v>46841</v>
      </c>
      <c r="G99" s="13" t="s">
        <v>513</v>
      </c>
      <c r="H99" s="2" t="s">
        <v>538</v>
      </c>
    </row>
    <row r="100" customFormat="false" ht="14.25" hidden="false" customHeight="false" outlineLevel="0" collapsed="false">
      <c r="C100" s="6" t="s">
        <v>539</v>
      </c>
      <c r="D100" s="2" t="s">
        <v>74</v>
      </c>
      <c r="E100" s="7" t="n">
        <v>8000000</v>
      </c>
      <c r="F100" s="80" t="n">
        <v>46596</v>
      </c>
      <c r="G100" s="13" t="s">
        <v>513</v>
      </c>
      <c r="H100" s="2" t="s">
        <v>540</v>
      </c>
    </row>
    <row r="101" customFormat="false" ht="14.25" hidden="false" customHeight="false" outlineLevel="0" collapsed="false">
      <c r="C101" s="6" t="s">
        <v>541</v>
      </c>
      <c r="D101" s="2" t="s">
        <v>74</v>
      </c>
      <c r="E101" s="7" t="n">
        <v>8000000</v>
      </c>
      <c r="F101" s="80" t="n">
        <v>46566</v>
      </c>
      <c r="G101" s="13" t="s">
        <v>513</v>
      </c>
      <c r="H101" s="2" t="s">
        <v>542</v>
      </c>
    </row>
    <row r="102" customFormat="false" ht="14.25" hidden="false" customHeight="false" outlineLevel="0" collapsed="false">
      <c r="C102" s="6" t="s">
        <v>543</v>
      </c>
      <c r="D102" s="2" t="s">
        <v>74</v>
      </c>
      <c r="E102" s="7" t="n">
        <v>8000000</v>
      </c>
      <c r="F102" s="80" t="n">
        <v>46566</v>
      </c>
      <c r="G102" s="13" t="s">
        <v>513</v>
      </c>
      <c r="H102" s="2" t="s">
        <v>544</v>
      </c>
    </row>
    <row r="103" customFormat="false" ht="14.25" hidden="false" customHeight="false" outlineLevel="0" collapsed="false">
      <c r="C103" s="6" t="s">
        <v>545</v>
      </c>
      <c r="D103" s="2" t="s">
        <v>74</v>
      </c>
      <c r="E103" s="7" t="n">
        <v>4590000</v>
      </c>
      <c r="F103" s="80" t="n">
        <v>46780</v>
      </c>
      <c r="G103" s="13" t="s">
        <v>513</v>
      </c>
      <c r="H103" s="2" t="s">
        <v>546</v>
      </c>
    </row>
    <row r="104" customFormat="false" ht="14.25" hidden="false" customHeight="false" outlineLevel="0" collapsed="false">
      <c r="C104" s="6" t="s">
        <v>547</v>
      </c>
      <c r="D104" s="2" t="s">
        <v>74</v>
      </c>
      <c r="E104" s="7" t="n">
        <v>138000000</v>
      </c>
      <c r="F104" s="80" t="n">
        <v>46780</v>
      </c>
      <c r="G104" s="13" t="s">
        <v>513</v>
      </c>
      <c r="H104" s="2" t="s">
        <v>548</v>
      </c>
    </row>
    <row r="105" customFormat="false" ht="14.25" hidden="false" customHeight="false" outlineLevel="0" collapsed="false">
      <c r="C105" s="6" t="s">
        <v>549</v>
      </c>
      <c r="D105" s="2" t="s">
        <v>74</v>
      </c>
      <c r="E105" s="7" t="n">
        <v>45000000</v>
      </c>
      <c r="F105" s="80" t="n">
        <v>46780</v>
      </c>
      <c r="G105" s="13" t="s">
        <v>513</v>
      </c>
      <c r="H105" s="2" t="s">
        <v>550</v>
      </c>
    </row>
    <row r="106" customFormat="false" ht="14.25" hidden="false" customHeight="false" outlineLevel="0" collapsed="false">
      <c r="C106" s="6" t="s">
        <v>551</v>
      </c>
      <c r="D106" s="2" t="s">
        <v>74</v>
      </c>
      <c r="E106" s="7" t="n">
        <v>74896683.6734694</v>
      </c>
      <c r="F106" s="80" t="n">
        <v>46780</v>
      </c>
      <c r="G106" s="13" t="s">
        <v>513</v>
      </c>
      <c r="H106" s="2" t="s">
        <v>552</v>
      </c>
    </row>
    <row r="107" customFormat="false" ht="14.25" hidden="false" customHeight="false" outlineLevel="0" collapsed="false">
      <c r="C107" s="6" t="s">
        <v>553</v>
      </c>
      <c r="D107" s="2" t="s">
        <v>74</v>
      </c>
      <c r="E107" s="7" t="n">
        <v>15000000</v>
      </c>
      <c r="F107" s="80" t="n">
        <v>46720</v>
      </c>
      <c r="G107" s="13" t="s">
        <v>513</v>
      </c>
      <c r="H107" s="2" t="s">
        <v>554</v>
      </c>
    </row>
    <row r="108" customFormat="false" ht="14.25" hidden="false" customHeight="false" outlineLevel="0" collapsed="false">
      <c r="C108" s="6" t="s">
        <v>555</v>
      </c>
      <c r="D108" s="2" t="s">
        <v>74</v>
      </c>
      <c r="E108" s="7" t="n">
        <v>6000000</v>
      </c>
      <c r="F108" s="80" t="n">
        <v>46780</v>
      </c>
      <c r="G108" s="13" t="s">
        <v>513</v>
      </c>
      <c r="H108" s="2" t="s">
        <v>556</v>
      </c>
    </row>
    <row r="109" customFormat="false" ht="14.25" hidden="false" customHeight="false" outlineLevel="0" collapsed="false">
      <c r="C109" s="6" t="s">
        <v>557</v>
      </c>
      <c r="D109" s="2" t="s">
        <v>74</v>
      </c>
      <c r="E109" s="7" t="n">
        <v>45178571.4285714</v>
      </c>
      <c r="F109" s="80" t="n">
        <v>46780</v>
      </c>
      <c r="G109" s="13" t="s">
        <v>513</v>
      </c>
      <c r="H109" s="2" t="s">
        <v>558</v>
      </c>
    </row>
    <row r="110" customFormat="false" ht="14.25" hidden="false" customHeight="false" outlineLevel="0" collapsed="false">
      <c r="C110" s="6" t="s">
        <v>559</v>
      </c>
      <c r="D110" s="2" t="s">
        <v>74</v>
      </c>
      <c r="E110" s="7" t="n">
        <v>4590000</v>
      </c>
      <c r="F110" s="80" t="n">
        <v>46780</v>
      </c>
      <c r="G110" s="13" t="s">
        <v>513</v>
      </c>
      <c r="H110" s="2" t="s">
        <v>560</v>
      </c>
    </row>
    <row r="111" customFormat="false" ht="14.25" hidden="false" customHeight="false" outlineLevel="0" collapsed="false">
      <c r="C111" s="6" t="s">
        <v>561</v>
      </c>
      <c r="D111" s="2" t="s">
        <v>74</v>
      </c>
      <c r="E111" s="7" t="n">
        <v>70000000</v>
      </c>
      <c r="F111" s="80" t="n">
        <v>46780</v>
      </c>
      <c r="G111" s="13" t="s">
        <v>513</v>
      </c>
      <c r="H111" s="2" t="s">
        <v>562</v>
      </c>
    </row>
    <row r="112" customFormat="false" ht="14.25" hidden="false" customHeight="false" outlineLevel="0" collapsed="false">
      <c r="C112" s="6" t="s">
        <v>563</v>
      </c>
      <c r="D112" s="2" t="s">
        <v>74</v>
      </c>
      <c r="E112" s="7" t="n">
        <v>20000000</v>
      </c>
      <c r="F112" s="80" t="n">
        <v>47126</v>
      </c>
      <c r="G112" s="13" t="s">
        <v>513</v>
      </c>
      <c r="H112" s="2" t="s">
        <v>564</v>
      </c>
    </row>
    <row r="113" customFormat="false" ht="14.25" hidden="false" customHeight="false" outlineLevel="0" collapsed="false">
      <c r="C113" s="6" t="s">
        <v>565</v>
      </c>
      <c r="D113" s="2" t="s">
        <v>74</v>
      </c>
      <c r="E113" s="7" t="n">
        <v>12000000</v>
      </c>
      <c r="F113" s="80" t="n">
        <v>47066</v>
      </c>
      <c r="G113" s="13" t="s">
        <v>513</v>
      </c>
      <c r="H113" s="2" t="s">
        <v>566</v>
      </c>
    </row>
    <row r="114" customFormat="false" ht="14.25" hidden="false" customHeight="false" outlineLevel="0" collapsed="false">
      <c r="C114" s="6" t="s">
        <v>567</v>
      </c>
      <c r="D114" s="2" t="s">
        <v>74</v>
      </c>
      <c r="E114" s="7" t="n">
        <v>7400000</v>
      </c>
      <c r="F114" s="80" t="n">
        <v>46752</v>
      </c>
      <c r="G114" s="13" t="s">
        <v>513</v>
      </c>
      <c r="H114" s="2" t="s">
        <v>568</v>
      </c>
    </row>
    <row r="115" customFormat="false" ht="14.25" hidden="false" customHeight="false" outlineLevel="0" collapsed="false">
      <c r="C115" s="6" t="s">
        <v>569</v>
      </c>
      <c r="D115" s="2" t="s">
        <v>74</v>
      </c>
      <c r="E115" s="7" t="n">
        <v>29600000</v>
      </c>
      <c r="F115" s="80" t="n">
        <v>46752</v>
      </c>
      <c r="G115" s="13" t="s">
        <v>513</v>
      </c>
      <c r="H115" s="2" t="s">
        <v>570</v>
      </c>
    </row>
    <row r="116" customFormat="false" ht="14.25" hidden="false" customHeight="false" outlineLevel="0" collapsed="false">
      <c r="C116" s="6" t="s">
        <v>571</v>
      </c>
      <c r="D116" s="2" t="s">
        <v>74</v>
      </c>
      <c r="E116" s="7" t="n">
        <v>91200000</v>
      </c>
      <c r="F116" s="80" t="n">
        <v>47201</v>
      </c>
      <c r="G116" s="13" t="s">
        <v>116</v>
      </c>
      <c r="H116" s="2" t="s">
        <v>572</v>
      </c>
    </row>
    <row r="117" customFormat="false" ht="14.25" hidden="false" customHeight="false" outlineLevel="0" collapsed="false">
      <c r="C117" s="6" t="s">
        <v>573</v>
      </c>
      <c r="D117" s="2" t="s">
        <v>74</v>
      </c>
      <c r="E117" s="7" t="n">
        <v>107908615.62449</v>
      </c>
      <c r="F117" s="80" t="n">
        <v>46752</v>
      </c>
      <c r="G117" s="13" t="s">
        <v>513</v>
      </c>
      <c r="H117" s="2" t="s">
        <v>574</v>
      </c>
    </row>
    <row r="119" customFormat="false" ht="14.25" hidden="false" customHeight="false" outlineLevel="0" collapsed="false">
      <c r="B119" s="4" t="s">
        <v>3</v>
      </c>
      <c r="C119" s="4" t="s">
        <v>575</v>
      </c>
      <c r="D119" s="4"/>
      <c r="E119" s="5" t="s">
        <v>576</v>
      </c>
      <c r="F119" s="5"/>
      <c r="G119" s="5"/>
      <c r="H119" s="5"/>
    </row>
    <row r="120" customFormat="false" ht="14.25" hidden="false" customHeight="false" outlineLevel="0" collapsed="false">
      <c r="C120" s="6" t="s">
        <v>577</v>
      </c>
      <c r="E120" s="13" t="n">
        <v>10</v>
      </c>
      <c r="F120" s="13" t="n">
        <v>15</v>
      </c>
      <c r="G120" s="13" t="n">
        <v>20</v>
      </c>
      <c r="H120" s="13" t="n">
        <v>25</v>
      </c>
      <c r="I120" s="13" t="n">
        <v>30</v>
      </c>
      <c r="J120" s="13" t="n">
        <v>35</v>
      </c>
      <c r="K120" s="13" t="n">
        <v>40</v>
      </c>
      <c r="L120" s="13" t="n">
        <v>45</v>
      </c>
      <c r="M120" s="13" t="n">
        <v>50</v>
      </c>
    </row>
    <row r="121" customFormat="false" ht="14.25" hidden="false" customHeight="false" outlineLevel="0" collapsed="false">
      <c r="C121" s="6" t="s">
        <v>578</v>
      </c>
      <c r="E121" s="13" t="n">
        <v>0</v>
      </c>
      <c r="F121" s="13" t="n">
        <v>0</v>
      </c>
      <c r="G121" s="13" t="n">
        <v>0</v>
      </c>
      <c r="H121" s="13" t="n">
        <v>0</v>
      </c>
      <c r="I121" s="13" t="n">
        <v>0</v>
      </c>
      <c r="J121" s="13" t="n">
        <v>0</v>
      </c>
      <c r="K121" s="13" t="n">
        <v>0</v>
      </c>
      <c r="L121" s="13" t="n">
        <v>0</v>
      </c>
      <c r="M121" s="13" t="n">
        <v>1</v>
      </c>
    </row>
    <row r="122" customFormat="false" ht="14.25" hidden="false" customHeight="false" outlineLevel="0" collapsed="false">
      <c r="C122" s="6" t="s">
        <v>579</v>
      </c>
      <c r="E122" s="13" t="n">
        <v>0</v>
      </c>
      <c r="F122" s="13" t="n">
        <v>10</v>
      </c>
      <c r="G122" s="13" t="n">
        <v>20</v>
      </c>
      <c r="H122" s="13" t="n">
        <v>30</v>
      </c>
      <c r="I122" s="13" t="n">
        <v>40</v>
      </c>
      <c r="J122" s="13" t="n">
        <v>55</v>
      </c>
      <c r="K122" s="13" t="n">
        <v>70</v>
      </c>
      <c r="L122" s="13" t="n">
        <v>80</v>
      </c>
      <c r="M122" s="13" t="n">
        <v>90</v>
      </c>
      <c r="N122" s="13" t="n">
        <v>100</v>
      </c>
    </row>
    <row r="123" customFormat="false" ht="14.25" hidden="false" customHeight="false" outlineLevel="0" collapsed="false">
      <c r="C123" s="6" t="s">
        <v>580</v>
      </c>
      <c r="E123" s="13" t="n">
        <v>2</v>
      </c>
      <c r="F123" s="13" t="n">
        <v>2.1</v>
      </c>
      <c r="G123" s="13" t="n">
        <v>2.2</v>
      </c>
      <c r="H123" s="13" t="n">
        <v>2.3</v>
      </c>
      <c r="I123" s="13" t="n">
        <v>2.4</v>
      </c>
      <c r="J123" s="13" t="n">
        <v>2.5</v>
      </c>
      <c r="K123" s="13" t="n">
        <v>2.6</v>
      </c>
      <c r="L123" s="13" t="n">
        <v>2.7</v>
      </c>
      <c r="M123" s="13" t="n">
        <v>2.8</v>
      </c>
      <c r="N123" s="13" t="n">
        <v>2.9</v>
      </c>
      <c r="O123" s="13" t="n">
        <v>3</v>
      </c>
    </row>
    <row r="124" customFormat="false" ht="14.25" hidden="false" customHeight="false" outlineLevel="0" collapsed="false">
      <c r="C124" s="6" t="s">
        <v>581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0</v>
      </c>
      <c r="L124" s="13" t="n">
        <v>0</v>
      </c>
      <c r="M124" s="13" t="n">
        <v>0</v>
      </c>
      <c r="N124" s="13" t="n">
        <v>0</v>
      </c>
      <c r="O124" s="13" t="n">
        <v>1</v>
      </c>
    </row>
    <row r="125" customFormat="false" ht="14.25" hidden="false" customHeight="false" outlineLevel="0" collapsed="false">
      <c r="C125" s="6" t="s">
        <v>582</v>
      </c>
      <c r="E125" s="13" t="n">
        <v>0</v>
      </c>
      <c r="F125" s="13" t="n">
        <v>5</v>
      </c>
      <c r="G125" s="13" t="n">
        <v>10</v>
      </c>
      <c r="H125" s="13" t="n">
        <v>20</v>
      </c>
      <c r="I125" s="13" t="n">
        <v>30</v>
      </c>
      <c r="J125" s="13" t="n">
        <v>40</v>
      </c>
      <c r="K125" s="13" t="n">
        <v>50</v>
      </c>
      <c r="L125" s="13" t="n">
        <v>60</v>
      </c>
      <c r="M125" s="13" t="n">
        <v>70</v>
      </c>
      <c r="N125" s="13" t="n">
        <v>80</v>
      </c>
      <c r="O125" s="13" t="n">
        <v>90</v>
      </c>
      <c r="P125" s="13" t="n">
        <v>100</v>
      </c>
    </row>
    <row r="126" customFormat="false" ht="14.25" hidden="false" customHeight="false" outlineLevel="0" collapsed="false">
      <c r="C126" s="6" t="s">
        <v>583</v>
      </c>
      <c r="E126" s="13" t="n">
        <v>0.02</v>
      </c>
      <c r="F126" s="13" t="n">
        <v>0.05</v>
      </c>
      <c r="G126" s="13" t="n">
        <v>0.1</v>
      </c>
      <c r="H126" s="13" t="n">
        <v>0.15</v>
      </c>
      <c r="I126" s="13" t="n">
        <v>0.2</v>
      </c>
      <c r="J126" s="13" t="n">
        <v>0.25</v>
      </c>
      <c r="K126" s="13" t="n">
        <v>0.3</v>
      </c>
      <c r="L126" s="13" t="n">
        <v>0.35</v>
      </c>
      <c r="M126" s="13" t="n">
        <v>0.4</v>
      </c>
      <c r="N126" s="13" t="n">
        <v>0.5</v>
      </c>
    </row>
    <row r="127" customFormat="false" ht="14.25" hidden="false" customHeight="false" outlineLevel="0" collapsed="false">
      <c r="C127" s="6" t="s">
        <v>584</v>
      </c>
      <c r="E127" s="13" t="n">
        <v>0</v>
      </c>
      <c r="F127" s="13" t="n">
        <v>1</v>
      </c>
      <c r="G127" s="13" t="n">
        <v>1</v>
      </c>
      <c r="H127" s="13" t="n">
        <v>1</v>
      </c>
      <c r="I127" s="13" t="n">
        <v>1</v>
      </c>
      <c r="J127" s="13" t="n">
        <v>1</v>
      </c>
      <c r="K127" s="13" t="n">
        <v>1</v>
      </c>
      <c r="L127" s="13" t="n">
        <v>1</v>
      </c>
      <c r="M127" s="13" t="n">
        <v>1</v>
      </c>
      <c r="N127" s="13" t="n">
        <v>0</v>
      </c>
    </row>
    <row r="128" customFormat="false" ht="14.25" hidden="false" customHeight="false" outlineLevel="0" collapsed="false">
      <c r="C128" s="6" t="s">
        <v>585</v>
      </c>
      <c r="E128" s="13" t="n">
        <v>0</v>
      </c>
      <c r="F128" s="13" t="n">
        <v>10</v>
      </c>
      <c r="G128" s="13" t="n">
        <v>20</v>
      </c>
      <c r="H128" s="13" t="n">
        <v>30</v>
      </c>
      <c r="I128" s="13" t="n">
        <v>40</v>
      </c>
      <c r="J128" s="13" t="n">
        <v>50</v>
      </c>
      <c r="K128" s="13" t="n">
        <v>60</v>
      </c>
      <c r="L128" s="13" t="n">
        <v>70</v>
      </c>
      <c r="M128" s="13" t="n">
        <v>80</v>
      </c>
      <c r="N128" s="13" t="n">
        <v>90</v>
      </c>
      <c r="O128" s="13" t="n">
        <v>100</v>
      </c>
    </row>
    <row r="129" customFormat="false" ht="14.25" hidden="false" customHeight="false" outlineLevel="0" collapsed="false">
      <c r="B129" s="0" t="s">
        <v>586</v>
      </c>
      <c r="C129" s="6"/>
      <c r="E129" s="13" t="n">
        <v>0.02</v>
      </c>
      <c r="F129" s="13" t="n">
        <v>0.05</v>
      </c>
      <c r="G129" s="13" t="n">
        <v>0.1</v>
      </c>
      <c r="H129" s="13" t="n">
        <v>0.15</v>
      </c>
      <c r="I129" s="13" t="n">
        <v>0.2</v>
      </c>
      <c r="J129" s="13" t="n">
        <v>0.25</v>
      </c>
      <c r="K129" s="13" t="n">
        <v>0.3</v>
      </c>
      <c r="L129" s="13" t="n">
        <v>0.35</v>
      </c>
      <c r="M129" s="13" t="n">
        <v>0.4</v>
      </c>
      <c r="N129" s="13" t="n">
        <v>0.5</v>
      </c>
    </row>
    <row r="130" customFormat="false" ht="14.25" hidden="false" customHeight="false" outlineLevel="0" collapsed="false">
      <c r="B130" s="0" t="s">
        <v>587</v>
      </c>
      <c r="C130" s="6"/>
      <c r="E130" s="13" t="n">
        <v>0</v>
      </c>
      <c r="F130" s="13" t="n">
        <v>1</v>
      </c>
      <c r="G130" s="13" t="n">
        <v>1</v>
      </c>
      <c r="H130" s="13" t="n">
        <v>1</v>
      </c>
      <c r="I130" s="13" t="n">
        <v>1</v>
      </c>
      <c r="J130" s="13" t="n">
        <v>1</v>
      </c>
      <c r="K130" s="13" t="n">
        <v>1</v>
      </c>
      <c r="L130" s="13" t="n">
        <v>1</v>
      </c>
      <c r="M130" s="13" t="n">
        <v>1</v>
      </c>
      <c r="N130" s="13" t="n">
        <v>0</v>
      </c>
    </row>
    <row r="131" customFormat="false" ht="14.25" hidden="false" customHeight="false" outlineLevel="0" collapsed="false">
      <c r="B131" s="0" t="s">
        <v>588</v>
      </c>
      <c r="C131" s="6"/>
      <c r="E131" s="13" t="n">
        <v>0</v>
      </c>
      <c r="F131" s="13" t="n">
        <v>10</v>
      </c>
      <c r="G131" s="13" t="n">
        <v>20</v>
      </c>
      <c r="H131" s="13" t="n">
        <v>30</v>
      </c>
      <c r="I131" s="13" t="n">
        <v>40</v>
      </c>
      <c r="J131" s="13" t="n">
        <v>50</v>
      </c>
      <c r="K131" s="13" t="n">
        <v>60</v>
      </c>
      <c r="L131" s="13" t="n">
        <v>70</v>
      </c>
      <c r="M131" s="13" t="n">
        <v>80</v>
      </c>
      <c r="N131" s="13" t="n">
        <v>90</v>
      </c>
      <c r="O131" s="13" t="n">
        <v>100</v>
      </c>
      <c r="P131" s="82" t="s">
        <v>589</v>
      </c>
    </row>
    <row r="132" customFormat="false" ht="14.25" hidden="false" customHeight="false" outlineLevel="0" collapsed="false">
      <c r="C132" s="6" t="s">
        <v>590</v>
      </c>
      <c r="E132" s="13" t="n">
        <v>1</v>
      </c>
      <c r="F132" s="13" t="n">
        <v>1.2</v>
      </c>
      <c r="G132" s="13" t="n">
        <v>1.3</v>
      </c>
      <c r="H132" s="13" t="n">
        <v>1.4</v>
      </c>
      <c r="I132" s="13" t="n">
        <v>1.5</v>
      </c>
      <c r="J132" s="13" t="n">
        <v>1.6</v>
      </c>
      <c r="K132" s="13" t="n">
        <v>1.7</v>
      </c>
      <c r="L132" s="13" t="n">
        <v>1.8</v>
      </c>
      <c r="M132" s="13" t="n">
        <v>1.9</v>
      </c>
      <c r="N132" s="13" t="n">
        <v>2</v>
      </c>
    </row>
    <row r="133" customFormat="false" ht="14.25" hidden="false" customHeight="false" outlineLevel="0" collapsed="false">
      <c r="C133" s="6" t="s">
        <v>591</v>
      </c>
      <c r="E133" s="13" t="n">
        <v>0</v>
      </c>
      <c r="F133" s="13" t="n">
        <v>1</v>
      </c>
      <c r="G133" s="13" t="n">
        <v>1</v>
      </c>
      <c r="H133" s="13" t="n">
        <v>1</v>
      </c>
      <c r="I133" s="13" t="n">
        <v>1</v>
      </c>
      <c r="J133" s="13" t="n">
        <v>1</v>
      </c>
      <c r="K133" s="13" t="n">
        <v>1</v>
      </c>
      <c r="L133" s="13" t="n">
        <v>1</v>
      </c>
      <c r="M133" s="13" t="n">
        <v>1</v>
      </c>
      <c r="N133" s="13" t="n">
        <v>0</v>
      </c>
      <c r="P133" s="82" t="s">
        <v>592</v>
      </c>
    </row>
    <row r="134" customFormat="false" ht="14.25" hidden="false" customHeight="false" outlineLevel="0" collapsed="false">
      <c r="C134" s="6" t="s">
        <v>593</v>
      </c>
      <c r="E134" s="13" t="n">
        <v>0</v>
      </c>
      <c r="F134" s="13" t="n">
        <v>10</v>
      </c>
      <c r="G134" s="13" t="n">
        <v>20</v>
      </c>
      <c r="H134" s="13" t="n">
        <v>30</v>
      </c>
      <c r="I134" s="13" t="n">
        <v>40</v>
      </c>
      <c r="J134" s="13" t="n">
        <v>50</v>
      </c>
      <c r="K134" s="13" t="n">
        <v>60</v>
      </c>
      <c r="L134" s="13" t="n">
        <v>70</v>
      </c>
      <c r="M134" s="13" t="n">
        <v>80</v>
      </c>
      <c r="N134" s="13" t="n">
        <v>90</v>
      </c>
      <c r="O134" s="13" t="n">
        <v>100</v>
      </c>
    </row>
    <row r="135" customFormat="false" ht="14.25" hidden="false" customHeight="false" outlineLevel="0" collapsed="false">
      <c r="C135" s="6" t="s">
        <v>594</v>
      </c>
      <c r="E135" s="13" t="n">
        <v>100</v>
      </c>
    </row>
    <row r="136" customFormat="false" ht="14.25" hidden="false" customHeight="false" outlineLevel="0" collapsed="false">
      <c r="C136" s="6" t="s">
        <v>595</v>
      </c>
      <c r="E136" s="13" t="n">
        <v>100</v>
      </c>
    </row>
    <row r="137" customFormat="false" ht="14.25" hidden="false" customHeight="false" outlineLevel="0" collapsed="false">
      <c r="C137" s="6" t="s">
        <v>596</v>
      </c>
      <c r="E137" s="13" t="n">
        <v>100</v>
      </c>
    </row>
    <row r="138" customFormat="false" ht="14.25" hidden="false" customHeight="false" outlineLevel="0" collapsed="false">
      <c r="C138" s="6" t="s">
        <v>597</v>
      </c>
      <c r="E138" s="13" t="n">
        <v>80</v>
      </c>
    </row>
    <row r="139" customFormat="false" ht="14.25" hidden="false" customHeight="false" outlineLevel="0" collapsed="false">
      <c r="C139" s="6" t="s">
        <v>598</v>
      </c>
      <c r="E139" s="13" t="n">
        <v>20</v>
      </c>
    </row>
    <row r="140" customFormat="false" ht="14.25" hidden="false" customHeight="false" outlineLevel="0" collapsed="false">
      <c r="C140" s="6" t="s">
        <v>599</v>
      </c>
      <c r="E140" s="13" t="n">
        <v>0.2</v>
      </c>
    </row>
    <row r="141" customFormat="false" ht="14.25" hidden="false" customHeight="false" outlineLevel="0" collapsed="false">
      <c r="C141" s="6" t="s">
        <v>600</v>
      </c>
      <c r="E141" s="13" t="n">
        <v>0.15</v>
      </c>
    </row>
    <row r="142" customFormat="false" ht="14.25" hidden="false" customHeight="false" outlineLevel="0" collapsed="false">
      <c r="C142" s="6" t="s">
        <v>601</v>
      </c>
      <c r="E142" s="13" t="n">
        <v>0.1</v>
      </c>
    </row>
    <row r="143" customFormat="false" ht="14.25" hidden="false" customHeight="false" outlineLevel="0" collapsed="false">
      <c r="C143" s="6" t="s">
        <v>602</v>
      </c>
      <c r="E143" s="13" t="n">
        <v>0.15</v>
      </c>
    </row>
    <row r="144" customFormat="false" ht="14.25" hidden="false" customHeight="false" outlineLevel="0" collapsed="false">
      <c r="C144" s="6" t="s">
        <v>603</v>
      </c>
      <c r="E144" s="13" t="n">
        <v>0.05</v>
      </c>
    </row>
    <row r="145" customFormat="false" ht="14.25" hidden="false" customHeight="false" outlineLevel="0" collapsed="false">
      <c r="C145" s="6" t="s">
        <v>604</v>
      </c>
      <c r="E145" s="13" t="n">
        <v>0.05</v>
      </c>
    </row>
    <row r="146" customFormat="false" ht="14.25" hidden="false" customHeight="false" outlineLevel="0" collapsed="false">
      <c r="C146" s="6" t="s">
        <v>605</v>
      </c>
      <c r="E146" s="13" t="n">
        <v>0.1</v>
      </c>
    </row>
    <row r="147" customFormat="false" ht="14.25" hidden="false" customHeight="false" outlineLevel="0" collapsed="false">
      <c r="C147" s="6" t="s">
        <v>606</v>
      </c>
      <c r="E147" s="13" t="n">
        <v>0.05</v>
      </c>
    </row>
    <row r="148" customFormat="false" ht="14.25" hidden="false" customHeight="false" outlineLevel="0" collapsed="false">
      <c r="C148" s="6" t="s">
        <v>607</v>
      </c>
      <c r="E148" s="13" t="n">
        <v>0.15</v>
      </c>
    </row>
    <row r="150" customFormat="false" ht="14.25" hidden="false" customHeight="false" outlineLevel="0" collapsed="false">
      <c r="C150" s="79" t="s">
        <v>358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2026-10-27T15:34:29Z</dcterms:created>
  <dc:creator>openpyxl</dc:creator>
  <dc:description/>
  <dc:language>en-US</dc:language>
  <cp:lastModifiedBy/>
  <dcterms:modified xsi:type="dcterms:W3CDTF">2026-10-28T23:45:20Z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0x010100CB25C80BA76C054AAAC0D3CDDFCEC309</vt:lpwstr>
  </property>
  <property fmtid="{D5CDD505-2E9C-101B-9397-08002B2CF9AE}" pid="3" name="MediaServiceImageTags">
    <vt:lpwstr/>
  </property>
</Properties>
</file>