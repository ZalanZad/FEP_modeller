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ebextensions/taskpanes.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microsoft.com/office/2011/relationships/webextensiontaskpanes" Target="xl/webextensions/taskpanes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</sheets>
  <definedNames>
    <definedName function="false" hidden="false" name="Balancing" vbProcedure="false">Inputs!$E$71</definedName>
    <definedName function="false" hidden="false" name="Bench_BESS" vbProcedure="false">Inputs!$E$8</definedName>
    <definedName function="false" hidden="false" name="Bench_Wind" vbProcedure="false">Inputs!$E$7</definedName>
    <definedName function="false" hidden="false" name="BESS_Capex" vbProcedure="false">Inputs!$E$58</definedName>
    <definedName function="false" hidden="false" name="Bid_Sec_Rate" vbProcedure="false">Inputs!$E$9</definedName>
    <definedName function="false" hidden="false" name="Capex_Civil" vbProcedure="false">Inputs!$E$51</definedName>
    <definedName function="false" hidden="false" name="Capex_Cont" vbProcedure="false">Inputs!$E$57</definedName>
    <definedName function="false" hidden="false" name="Capex_Elec" vbProcedure="false">Inputs!$E$52</definedName>
    <definedName function="false" hidden="false" name="Capex_Fdn" vbProcedure="false">Inputs!$E$50</definedName>
    <definedName function="false" hidden="false" name="Capex_Install" vbProcedure="false">Inputs!$E$49</definedName>
    <definedName function="false" hidden="false" name="Capex_Land" vbProcedure="false">Inputs!$E$54</definedName>
    <definedName function="false" hidden="false" name="Capex_Owner" vbProcedure="false">Inputs!$E$53</definedName>
    <definedName function="false" hidden="false" name="Case_CN" vbProcedure="false">Dashboard!$H$27</definedName>
    <definedName function="false" hidden="false" name="Case_EU" vbProcedure="false">Dashboard!$H$26</definedName>
    <definedName function="false" hidden="false" name="Case_OM" vbProcedure="false">Dashboard!$H$30</definedName>
    <definedName function="false" hidden="false" name="Case_P50" vbProcedure="false">Dashboard!$H$29</definedName>
    <definedName function="false" hidden="false" name="Case_PPA" vbProcedure="false">Dashboard!$H$28</definedName>
    <definedName function="false" hidden="false" name="CIT_Rate" vbProcedure="false">Inputs!$E$39</definedName>
    <definedName function="false" hidden="false" name="Clipping" vbProcedure="false">Inputs!$E$61</definedName>
    <definedName function="false" hidden="false" name="Curtailment" vbProcedure="false">Inputs!$E$60</definedName>
    <definedName function="false" hidden="false" name="Dash_BESS_Share" vbProcedure="false">Dashboard!$E$8:$G$8</definedName>
    <definedName function="false" hidden="false" name="Dash_Brownfield" vbProcedure="false">Dashboard!$E$15:$G$15</definedName>
    <definedName function="false" hidden="false" name="Dash_Case" vbProcedure="false">Dashboard!$H$25</definedName>
    <definedName function="false" hidden="false" name="Dash_Case_CN" vbProcedure="false">Dashboard!$E$27:$G$27</definedName>
    <definedName function="false" hidden="false" name="Dash_Case_EU" vbProcedure="false">Dashboard!$E$26:$G$26</definedName>
    <definedName function="false" hidden="false" name="Dash_Case_OM" vbProcedure="false">Dashboard!$E$30:$G$30</definedName>
    <definedName function="false" hidden="false" name="Dash_Case_P50" vbProcedure="false">Dashboard!$E$29:$G$29</definedName>
    <definedName function="false" hidden="false" name="Dash_Case_PPA" vbProcedure="false">Dashboard!$E$28:$G$28</definedName>
    <definedName function="false" hidden="false" name="Dash_Community" vbProcedure="false">Dashboard!$E$12:$G$12</definedName>
    <definedName function="false" hidden="false" name="Dash_DSA" vbProcedure="false">Dashboard!$E$20:$G$20</definedName>
    <definedName function="false" hidden="false" name="Dash_FEP_Share" vbProcedure="false">Dashboard!$E$19:$G$19</definedName>
    <definedName function="false" hidden="false" name="Dash_Hours" vbProcedure="false">Dashboard!$E$9:$G$9</definedName>
    <definedName function="false" hidden="false" name="Dash_JV" vbProcedure="false">Dashboard!$E$21:$G$21</definedName>
    <definedName function="false" hidden="false" name="Dash_Municipal" vbProcedure="false">Dashboard!$E$11:$G$11</definedName>
    <definedName function="false" hidden="false" name="Dash_MVA" vbProcedure="false">Dashboard!$E$6:$G$6</definedName>
    <definedName function="false" hidden="false" name="Dash_Overbuild" vbProcedure="false">Dashboard!$E$7:$G$7</definedName>
    <definedName function="false" hidden="false" name="Dash_P50" vbProcedure="false">Dashboard!$E$22:$G$22</definedName>
    <definedName function="false" hidden="false" name="Dash_Partial" vbProcedure="false">Dashboard!$E$13:$G$13</definedName>
    <definedName function="false" hidden="false" name="Dash_PB_Mult" vbProcedure="false">Dashboard!$E$14:$G$14</definedName>
    <definedName function="false" hidden="false" name="Dash_Premium" vbProcedure="false">Dashboard!$E$18:$G$18</definedName>
    <definedName function="false" hidden="false" name="Dash_Shared" vbProcedure="false">Dashboard!$E$16:$G$16</definedName>
    <definedName function="false" hidden="false" name="Dash_Shortfall" vbProcedure="false">Dashboard!$E$10:$G$10</definedName>
    <definedName function="false" hidden="false" name="Dash_Turbine" vbProcedure="false">Dashboard!$E$17:$G$17</definedName>
    <definedName function="false" hidden="false" name="Days_In_Year" vbProcedure="false">Inputs!$E$82</definedName>
    <definedName function="false" hidden="false" name="Debt_Fee" vbProcedure="false">Inputs!$E$46</definedName>
    <definedName function="false" hidden="false" name="Debt_Rate" vbProcedure="false">Inputs!$E$44</definedName>
    <definedName function="false" hidden="false" name="Debt_Tenor" vbProcedure="false">Inputs!$E$45</definedName>
    <definedName function="false" hidden="false" name="Degradation" vbProcedure="false">Inputs!$E$62</definedName>
    <definedName function="false" hidden="false" name="Devex_Class" vbProcedure="false">Inputs!$G$87:$G$119</definedName>
    <definedName function="false" hidden="false" name="Devex_Date" vbProcedure="false">Inputs!$F$87:$F$119</definedName>
    <definedName function="false" hidden="false" name="Devex_Floor" vbProcedure="false">Inputs!$E$32</definedName>
    <definedName function="false" hidden="false" name="Devex_HUF" vbProcedure="false">Inputs!$E$87:$E$119</definedName>
    <definedName function="false" hidden="false" name="Discount_Rate" vbProcedure="false">Inputs!$E$79</definedName>
    <definedName function="false" hidden="false" name="DSA_Cap" vbProcedure="false">Inputs!$E$38</definedName>
    <definedName function="false" hidden="false" name="DSA_Rate" vbProcedure="false">Inputs!$E$37</definedName>
    <definedName function="false" hidden="false" name="First_Year" vbProcedure="false">Inputs!$E$80</definedName>
    <definedName function="false" hidden="false" name="Freeze_Date" vbProcedure="false">Inputs!$E$33</definedName>
    <definedName function="false" hidden="false" name="FX" vbProcedure="false">Inputs!$E$6</definedName>
    <definedName function="false" hidden="false" name="Gearing" vbProcedure="false">Inputs!$E$43</definedName>
    <definedName function="false" hidden="false" name="Grid_Charges" vbProcedure="false">Inputs!$E$72</definedName>
    <definedName function="false" hidden="false" name="HIPA_Rate" vbProcedure="false">Inputs!$E$74</definedName>
    <definedName function="false" hidden="false" name="IDC_Draw_Share" vbProcedure="false">Inputs!$E$47</definedName>
    <definedName function="false" hidden="false" name="Life" vbProcedure="false">Inputs!$E$78</definedName>
    <definedName function="false" hidden="false" name="Lump_Basis" vbProcedure="false">Inputs!$E$56</definedName>
    <definedName function="false" hidden="false" name="Master_Check" vbProcedure="false">Dashboard!$H$551</definedName>
    <definedName function="false" hidden="false" name="MEKH_Fee" vbProcedure="false">Inputs!$E$73</definedName>
    <definedName function="false" hidden="false" name="Months_In_Year" vbProcedure="false">Inputs!$E$83</definedName>
    <definedName function="false" hidden="false" name="Opex_Admin" vbProcedure="false">Inputs!$E$70</definedName>
    <definedName function="false" hidden="false" name="Opex_Cont" vbProcedure="false">Inputs!$E$75</definedName>
    <definedName function="false" hidden="false" name="Opex_Esc" vbProcedure="false">Inputs!$E$76</definedName>
    <definedName function="false" hidden="false" name="Opex_Per_MW" vbProcedure="false">Inputs!$E$65:$E$69</definedName>
    <definedName function="false" hidden="false" name="Osz1_Incl" vbProcedure="false">Inputs!$E$123:$M$123</definedName>
    <definedName function="false" hidden="false" name="Osz1_LB" vbProcedure="false">Inputs!$E$122:$M$122</definedName>
    <definedName function="false" hidden="false" name="Osz1_Pts" vbProcedure="false">Inputs!$E$124:$N$124</definedName>
    <definedName function="false" hidden="false" name="Osz1_W" vbProcedure="false">Inputs!$E$142</definedName>
    <definedName function="false" hidden="false" name="Osz2_Incl" vbProcedure="false">Inputs!$E$126:$O$126</definedName>
    <definedName function="false" hidden="false" name="Osz2_LB" vbProcedure="false">Inputs!$E$125:$O$125</definedName>
    <definedName function="false" hidden="false" name="Osz2_Pts" vbProcedure="false">Inputs!$E$127:$P$127</definedName>
    <definedName function="false" hidden="false" name="Osz2_W" vbProcedure="false">Inputs!$E$143</definedName>
    <definedName function="false" hidden="false" name="Osz3_Incl" vbProcedure="false">Inputs!$E$129:$N$129</definedName>
    <definedName function="false" hidden="false" name="Osz3_LB" vbProcedure="false">Inputs!$E$128:$N$128</definedName>
    <definedName function="false" hidden="false" name="Osz3_Pts" vbProcedure="false">Inputs!$E$130:$O$130</definedName>
    <definedName function="false" hidden="false" name="Osz3_W" vbProcedure="false">Inputs!$E$144</definedName>
    <definedName function="false" hidden="false" name="Osz4_Incl" vbProcedure="false">Inputs!$E$132:$N$132</definedName>
    <definedName function="false" hidden="false" name="Osz4_LB" vbProcedure="false">Inputs!$E$131:$N$131</definedName>
    <definedName function="false" hidden="false" name="Osz4_Pts" vbProcedure="false">Inputs!$E$133:$O$133</definedName>
    <definedName function="false" hidden="false" name="Osz4_W" vbProcedure="false">Inputs!$E$145</definedName>
    <definedName function="false" hidden="false" name="Osz5_Pts" vbProcedure="false">Inputs!$E$137</definedName>
    <definedName function="false" hidden="false" name="Osz5_W" vbProcedure="false">Inputs!$E$146</definedName>
    <definedName function="false" hidden="false" name="Osz6_Incl" vbProcedure="false">Inputs!$E$135:$N$135</definedName>
    <definedName function="false" hidden="false" name="Osz6_LB" vbProcedure="false">Inputs!$E$134:$N$134</definedName>
    <definedName function="false" hidden="false" name="Osz6_Pts" vbProcedure="false">Inputs!$E$136:$O$136</definedName>
    <definedName function="false" hidden="false" name="Osz6_W" vbProcedure="false">Inputs!$E$147</definedName>
    <definedName function="false" hidden="false" name="Osz7_Pts" vbProcedure="false">Inputs!$E$138</definedName>
    <definedName function="false" hidden="false" name="Osz7_W" vbProcedure="false">Inputs!$E$148</definedName>
    <definedName function="false" hidden="false" name="Osz8_Pts" vbProcedure="false">Inputs!$E$139</definedName>
    <definedName function="false" hidden="false" name="Osz8_W" vbProcedure="false">Inputs!$E$149</definedName>
    <definedName function="false" hidden="false" name="Osz9a_Pts" vbProcedure="false">Inputs!$E$140</definedName>
    <definedName function="false" hidden="false" name="Osz9b_Pts" vbProcedure="false">Inputs!$E$141</definedName>
    <definedName function="false" hidden="false" name="Osz9_W" vbProcedure="false">Inputs!$E$150</definedName>
    <definedName function="false" hidden="false" name="Part_Fee" vbProcedure="false">Inputs!$E$11</definedName>
    <definedName function="false" hidden="false" name="PB_Rate" vbProcedure="false">Inputs!$E$10</definedName>
    <definedName function="false" hidden="false" name="PPA_Esc" vbProcedure="false">Inputs!$E$63</definedName>
    <definedName function="false" hidden="false" name="Rate_Cash" vbProcedure="false">Inputs!$E$30</definedName>
    <definedName function="false" hidden="false" name="Rate_Devex" vbProcedure="false">Inputs!$E$31</definedName>
    <definedName function="false" hidden="false" name="Sale_Costs" vbProcedure="false">Inputs!$E$36</definedName>
    <definedName function="false" hidden="false" name="Sale_Date" vbProcedure="false">Inputs!$E$34</definedName>
    <definedName function="false" hidden="false" name="Sale_Date_A" vbProcedure="false">Inputs!$E$35</definedName>
    <definedName function="false" hidden="false" name="Share_Exempt" vbProcedure="false">Inputs!$E$40</definedName>
    <definedName function="false" hidden="false" name="Subs_Lump" vbProcedure="false">Inputs!$E$55</definedName>
    <definedName function="false" hidden="false" name="Tax_Dep_Life" vbProcedure="false">Inputs!$E$42</definedName>
    <definedName function="false" hidden="false" name="Thousand" vbProcedure="false">Inputs!$E$81</definedName>
    <definedName function="false" hidden="false" name="Tolerance" vbProcedure="false">Inputs!$E$84</definedName>
    <definedName function="false" hidden="false" name="TSO_Rate" vbProcedure="false">Inputs!$E$12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<sst xmlns="http://schemas.openxmlformats.org/spreadsheetml/2006/main" count="1539" uniqueCount="616">
  <si>
    <t xml:space="preserve">HU wind projects</t>
  </si>
  <si>
    <t xml:space="preserve">Master check (0 = OK; checks at the end of the detail)</t>
  </si>
  <si>
    <t xml:space="preserve">flag</t>
  </si>
  <si>
    <t xml:space="preserve">x</t>
  </si>
  <si>
    <t xml:space="preserve">Key inputs: the bids</t>
  </si>
  <si>
    <t xml:space="preserve">Bora</t>
  </si>
  <si>
    <t xml:space="preserve">Iváncsa</t>
  </si>
  <si>
    <t xml:space="preserve">Dunaújváros</t>
  </si>
  <si>
    <t xml:space="preserve">Total</t>
  </si>
  <si>
    <t xml:space="preserve">Net connection capacity</t>
  </si>
  <si>
    <t xml:space="preserve">MVA</t>
  </si>
  <si>
    <t xml:space="preserve">Overbuild (ÖSZ-3)</t>
  </si>
  <si>
    <t xml:space="preserve">%</t>
  </si>
  <si>
    <t xml:space="preserve">BESS power, share of MVA (ÖSZ-4)</t>
  </si>
  <si>
    <t xml:space="preserve">BESS duration</t>
  </si>
  <si>
    <t xml:space="preserve">h</t>
  </si>
  <si>
    <t xml:space="preserve">Wind built below the bid</t>
  </si>
  <si>
    <t xml:space="preserve">Municipal one-off (ÖSZ-1), at COD</t>
  </si>
  <si>
    <t xml:space="preserve">EUR k/MVA</t>
  </si>
  <si>
    <t xml:space="preserve">Community contribution (ÖSZ-2)</t>
  </si>
  <si>
    <t xml:space="preserve">EUR/MWh</t>
  </si>
  <si>
    <t xml:space="preserve">Partial award accepted (ÖSZ-5)</t>
  </si>
  <si>
    <t xml:space="preserve">Performance security multiple (ÖSZ-6)</t>
  </si>
  <si>
    <t xml:space="preserve">Brownfield site (ÖSZ-7)</t>
  </si>
  <si>
    <t xml:space="preserve">Shared connection (ÖSZ-8)</t>
  </si>
  <si>
    <t xml:space="preserve">Turbine route (EU or CN; EU scores ÖSZ-9)</t>
  </si>
  <si>
    <t xml:space="preserve">text</t>
  </si>
  <si>
    <t xml:space="preserve">CN</t>
  </si>
  <si>
    <t xml:space="preserve">RtB premium</t>
  </si>
  <si>
    <t xml:space="preserve">FEP share of distributable proceeds</t>
  </si>
  <si>
    <t xml:space="preserve">Developer success fee (DSA) on</t>
  </si>
  <si>
    <t xml:space="preserve">JV with a developer (1 = yes; shareholder-loan claims apply)</t>
  </si>
  <si>
    <t xml:space="preserve">Net P50 hours (project wind study)</t>
  </si>
  <si>
    <t xml:space="preserve">h/yr</t>
  </si>
  <si>
    <t xml:space="preserve">Case: turbine price, PPA, O&amp;M</t>
  </si>
  <si>
    <t xml:space="preserve">Base</t>
  </si>
  <si>
    <t xml:space="preserve">Low</t>
  </si>
  <si>
    <t xml:space="preserve">High</t>
  </si>
  <si>
    <t xml:space="preserve">Live</t>
  </si>
  <si>
    <t xml:space="preserve">Case selected (Base, Low or High)</t>
  </si>
  <si>
    <t xml:space="preserve">case</t>
  </si>
  <si>
    <t xml:space="preserve">Turbine supply incl. transport, EU route</t>
  </si>
  <si>
    <t xml:space="preserve">EUR k/MW</t>
  </si>
  <si>
    <t xml:space="preserve">Bora Dashboard H8 / Inputs G162</t>
  </si>
  <si>
    <t xml:space="preserve">Turbine supply incl. transport, CN route</t>
  </si>
  <si>
    <t xml:space="preserve">Bora Inputs H162</t>
  </si>
  <si>
    <t xml:space="preserve">PPA price in the COD year</t>
  </si>
  <si>
    <t xml:space="preserve">Bora Dashboard H9</t>
  </si>
  <si>
    <t xml:space="preserve">Net P50 hours (not used: project P50 in row 22)</t>
  </si>
  <si>
    <t xml:space="preserve">Bora Dashboard H10</t>
  </si>
  <si>
    <t xml:space="preserve">O&amp;M full-service contract</t>
  </si>
  <si>
    <t xml:space="preserve">EUR k/MW/yr</t>
  </si>
  <si>
    <t xml:space="preserve">Bora Dashboard H11</t>
  </si>
  <si>
    <t xml:space="preserve">Bid points and capacity</t>
  </si>
  <si>
    <t xml:space="preserve">Points – municipal one-off</t>
  </si>
  <si>
    <t xml:space="preserve">points</t>
  </si>
  <si>
    <t xml:space="preserve">Points – community contribution</t>
  </si>
  <si>
    <t xml:space="preserve">Points – overbuild</t>
  </si>
  <si>
    <t xml:space="preserve">Points – BESS</t>
  </si>
  <si>
    <t xml:space="preserve">Points – partial award</t>
  </si>
  <si>
    <t xml:space="preserve">Points – performance security</t>
  </si>
  <si>
    <t xml:space="preserve">Points – brownfield</t>
  </si>
  <si>
    <t xml:space="preserve">Points – shared connection</t>
  </si>
  <si>
    <t xml:space="preserve">Points – EU turbines</t>
  </si>
  <si>
    <t xml:space="preserve">Points – EU transformers</t>
  </si>
  <si>
    <t xml:space="preserve">Points total</t>
  </si>
  <si>
    <t xml:space="preserve">Wind committed in the bid</t>
  </si>
  <si>
    <t xml:space="preserve">MW</t>
  </si>
  <si>
    <t xml:space="preserve">BESS energy</t>
  </si>
  <si>
    <t xml:space="preserve">MWh</t>
  </si>
  <si>
    <t xml:space="preserve">Wind built (committed less the build shortfall)</t>
  </si>
  <si>
    <t xml:space="preserve">Guarantees, securities and connection fees, DEVEX (HUF)</t>
  </si>
  <si>
    <t xml:space="preserve">Date</t>
  </si>
  <si>
    <t xml:space="preserve">Participation fee</t>
  </si>
  <si>
    <t xml:space="preserve">HUF</t>
  </si>
  <si>
    <t xml:space="preserve">Bid security</t>
  </si>
  <si>
    <t xml:space="preserve">Performance security payable (bid security deducted)</t>
  </si>
  <si>
    <t xml:space="preserve">TSO connection-request security</t>
  </si>
  <si>
    <t xml:space="preserve">Direct connection fee (per point ÷ bids sharing it)</t>
  </si>
  <si>
    <t xml:space="preserve">Indirect connection fee, payable (TSO security deducted)</t>
  </si>
  <si>
    <t xml:space="preserve">DEVEX – development (devex items excl. land)</t>
  </si>
  <si>
    <t xml:space="preserve">DEVEX – land (reservation and purchase)</t>
  </si>
  <si>
    <t xml:space="preserve">Signing fee and DD</t>
  </si>
  <si>
    <t xml:space="preserve">Total cash to RtB (incl. signing and DD)</t>
  </si>
  <si>
    <t xml:space="preserve">Guarantees, securities and connection fees, DEVEX (EUR k)</t>
  </si>
  <si>
    <t xml:space="preserve">EUR k</t>
  </si>
  <si>
    <t xml:space="preserve">Cash to RtB by nature: sunk, returned, or borne by the buyer (EUR k)</t>
  </si>
  <si>
    <t xml:space="preserve">Who bears it</t>
  </si>
  <si>
    <t xml:space="preserve">Sunk fees and devex (signing and DD, participation fee, development devex)</t>
  </si>
  <si>
    <t xml:space="preserve">FEP – sunk; recovered only via the claims at the sale</t>
  </si>
  <si>
    <t xml:space="preserve">Securities and land, returned or reimbursed at cost (bid, performance, TSO; land)</t>
  </si>
  <si>
    <t xml:space="preserve">FEP – cash out, returned or reimbursed at the sale</t>
  </si>
  <si>
    <t xml:space="preserve">Grid connection fees (direct + indirect, payable at HCSSZ)</t>
  </si>
  <si>
    <t xml:space="preserve">Buyer at RtB; FEP pays only if no buyer is found</t>
  </si>
  <si>
    <t xml:space="preserve">Total cash to RtB (= total above)</t>
  </si>
  <si>
    <t xml:space="preserve">Case B: FEP pre-funds everything</t>
  </si>
  <si>
    <t xml:space="preserve">Grid connection fees, share of the total</t>
  </si>
  <si>
    <t xml:space="preserve">FEP exposure if the buyer pays the grid connection fees</t>
  </si>
  <si>
    <t xml:space="preserve">Case A: FEP funds sunk fees, devex and securities only; the Case A detail counts the devex paid by sale A</t>
  </si>
  <si>
    <t xml:space="preserve">Capex breakdown to COD</t>
  </si>
  <si>
    <t xml:space="preserve">Turbines (route price, live case)</t>
  </si>
  <si>
    <t xml:space="preserve">Installation and erection</t>
  </si>
  <si>
    <t xml:space="preserve">Foundations</t>
  </si>
  <si>
    <t xml:space="preserve">Balance of plant – civil</t>
  </si>
  <si>
    <t xml:space="preserve">Balance of plant – electrical</t>
  </si>
  <si>
    <t xml:space="preserve">Owner's costs, engineering, PM, construction insurance</t>
  </si>
  <si>
    <t xml:space="preserve">Land purchase and easements</t>
  </si>
  <si>
    <t xml:space="preserve">Substation and 132 kV bay (scaled by MVA)</t>
  </si>
  <si>
    <t xml:space="preserve">Contingency (not on BESS)</t>
  </si>
  <si>
    <t xml:space="preserve">BESS (on BESS energy; points only, no BESS revenue or opex modelled)</t>
  </si>
  <si>
    <t xml:space="preserve">Construction capex</t>
  </si>
  <si>
    <t xml:space="preserve">Connection fees (TSO security, direct, indirect)</t>
  </si>
  <si>
    <t xml:space="preserve">TSO connection-request security (returned)</t>
  </si>
  <si>
    <t xml:space="preserve">Bid security (returned)</t>
  </si>
  <si>
    <t xml:space="preserve">Performance security: 0 (returned)</t>
  </si>
  <si>
    <t xml:space="preserve">Municipal one-off</t>
  </si>
  <si>
    <t xml:space="preserve">Land</t>
  </si>
  <si>
    <t xml:space="preserve">Developer premium paid for the RtB project (150 k€/MVA × MVA; replaces FEP's devex, which the buyer does not bear)</t>
  </si>
  <si>
    <t xml:space="preserve">All-in cost to COD for a buyer (securities excluded: returned)</t>
  </si>
  <si>
    <t xml:space="preserve">All-in cost per MW built</t>
  </si>
  <si>
    <t xml:space="preserve">All-in cost per MVA</t>
  </si>
  <si>
    <t xml:space="preserve">Devex breakdown (BORA_Devex 02-Oct-26 items × the scale; tender fee and securities above)</t>
  </si>
  <si>
    <t xml:space="preserve">Development devex (incl. contingency)</t>
  </si>
  <si>
    <t xml:space="preserve">Devex total (= DEVEX lines above; devex items × scale)</t>
  </si>
  <si>
    <t xml:space="preserve">Returns RTB COD HTM</t>
  </si>
  <si>
    <t xml:space="preserve">RTB exit, Case A: buyer pays the grid connection fees (FEP does not pre-fund)</t>
  </si>
  <si>
    <t xml:space="preserve">Grid connection fees paid by the buyer (not FEP cash)</t>
  </si>
  <si>
    <t xml:space="preserve">Total FEP cash out to RtB (peak exposure)</t>
  </si>
  <si>
    <t xml:space="preserve">Total proceeds to FEP at the sale</t>
  </si>
  <si>
    <t xml:space="preserve">FEP profit, post-tax</t>
  </si>
  <si>
    <t xml:space="preserve">MOIC, pre-tax</t>
  </si>
  <si>
    <t xml:space="preserve">IRR, pre-tax</t>
  </si>
  <si>
    <t xml:space="preserve">MOIC, post-tax</t>
  </si>
  <si>
    <t xml:space="preserve">IRR, post-tax</t>
  </si>
  <si>
    <t xml:space="preserve">RTB exit, Case B: FEP pre-funds the grid connection fees, buyer reimburses them at the sale</t>
  </si>
  <si>
    <t xml:space="preserve">COD exit (as the RtB buyer: pays the RtB price, securities and fees at the Case B sale, builds, sells at COD)</t>
  </si>
  <si>
    <t xml:space="preserve">Connection fees (direct, indirect; the TSO security is credited against the indirect fee)</t>
  </si>
  <si>
    <t xml:space="preserve">Development devex: 0 (FEP's cost, replaced by the RtB premium paid at the sale)</t>
  </si>
  <si>
    <t xml:space="preserve">RtB premium paid to FEP at the sale (150 k€/MVA × MVA)</t>
  </si>
  <si>
    <t xml:space="preserve">Total costs to COD (= all-in cost to COD for a buyer)</t>
  </si>
  <si>
    <t xml:space="preserve">Sale price at COD (PV of unlevered post-tax cash flow)</t>
  </si>
  <si>
    <t xml:space="preserve">Buyer profit (sale price at COD less the costs above)</t>
  </si>
  <si>
    <t xml:space="preserve">Hold to maturity (as the RtB buyer; EBITDA, CIT, optional debt)</t>
  </si>
  <si>
    <t xml:space="preserve">Total capex and costs to COD (= all-in cost to COD for a buyer)</t>
  </si>
  <si>
    <t xml:space="preserve">Total revenue over the life</t>
  </si>
  <si>
    <t xml:space="preserve">Total opex over the life</t>
  </si>
  <si>
    <t xml:space="preserve">Total EBITDA over the life</t>
  </si>
  <si>
    <t xml:space="preserve">Project IRR, pre-tax</t>
  </si>
  <si>
    <t xml:space="preserve">NPV at the discount rate, at the first year end</t>
  </si>
  <si>
    <t xml:space="preserve">CIT over the life, unlevered</t>
  </si>
  <si>
    <t xml:space="preserve">Project IRR, post-tax</t>
  </si>
  <si>
    <t xml:space="preserve">Debt at COD (draws + capitalised interest)</t>
  </si>
  <si>
    <t xml:space="preserve">Equity IRR, post-tax (geared)</t>
  </si>
  <si>
    <t xml:space="preserve">Minimum DSCR</t>
  </si>
  <si>
    <t xml:space="preserve">Annual cash flow per project (EUR k)</t>
  </si>
  <si>
    <t xml:space="preserve">Year</t>
  </si>
  <si>
    <t xml:space="preserve">year</t>
  </si>
  <si>
    <t xml:space="preserve">Spending (RtB purchase, capex, fees, securities), net</t>
  </si>
  <si>
    <t xml:space="preserve">Revenue</t>
  </si>
  <si>
    <t xml:space="preserve">Opex</t>
  </si>
  <si>
    <t xml:space="preserve">EBITDA</t>
  </si>
  <si>
    <t xml:space="preserve">Net cash flow</t>
  </si>
  <si>
    <t xml:space="preserve">Net cash flow, post-tax</t>
  </si>
  <si>
    <t xml:space="preserve">Equity cash flow, post-tax (geared)</t>
  </si>
  <si>
    <t xml:space="preserve">Cumulative net cash flow</t>
  </si>
  <si>
    <t xml:space="preserve">Detailed calculations: claims, waterfall, dated flows, timelines, checks – expand the group</t>
  </si>
  <si>
    <t xml:space="preserve">RtB exit, Case B: FEP claims at the sale (interest to the freeze, act/365, capitalised 31-Dec)</t>
  </si>
  <si>
    <t xml:space="preserve">Interest accrual end (earlier of freeze and sale)</t>
  </si>
  <si>
    <t xml:space="preserve">date</t>
  </si>
  <si>
    <t xml:space="preserve">Accrual factor in the end year, cash rate</t>
  </si>
  <si>
    <t xml:space="preserve">Accrual factor in the end year, devex rate</t>
  </si>
  <si>
    <t xml:space="preserve">Days to the first 31-Dec from bid submission</t>
  </si>
  <si>
    <t xml:space="preserve">days</t>
  </si>
  <si>
    <t xml:space="preserve">Accrual factor from bid submission</t>
  </si>
  <si>
    <t xml:space="preserve">Days to the first 31-Dec from performance security posting</t>
  </si>
  <si>
    <t xml:space="preserve">Accrual factor from performance security posting</t>
  </si>
  <si>
    <t xml:space="preserve">Days to the first 31-Dec from TSO security payment</t>
  </si>
  <si>
    <t xml:space="preserve">Accrual factor from TSO security payment</t>
  </si>
  <si>
    <t xml:space="preserve">Days to the first 31-Dec from connection agreement (HCSSZ)</t>
  </si>
  <si>
    <t xml:space="preserve">Accrual factor from connection agreement (HCSSZ)</t>
  </si>
  <si>
    <t xml:space="preserve">Days to the first 31-Dec from land payment (amount-weighted)</t>
  </si>
  <si>
    <t xml:space="preserve">Accrual factor from land payment (amount-weighted)</t>
  </si>
  <si>
    <t xml:space="preserve">Days to the first 31-Dec from development devex payment (amount-weighted)</t>
  </si>
  <si>
    <t xml:space="preserve">Accrual factor from development devex payment (amount-weighted)</t>
  </si>
  <si>
    <t xml:space="preserve">Claim on FEP's shareholder loan (JV only): participation fee (not reimbursed)</t>
  </si>
  <si>
    <t xml:space="preserve">Claim on FEP's shareholder loan (JV only): bid security (cash)</t>
  </si>
  <si>
    <t xml:space="preserve">Claim on FEP's shareholder loan (JV only): performance security payable (cash)</t>
  </si>
  <si>
    <t xml:space="preserve">Claim on FEP's shareholder loan (JV only): TSO connection-request security</t>
  </si>
  <si>
    <t xml:space="preserve">Claim on FEP's shareholder loan (JV only): direct connection fee</t>
  </si>
  <si>
    <t xml:space="preserve">Claim on FEP's shareholder loan (JV only): indirect connection fee, payable</t>
  </si>
  <si>
    <t xml:space="preserve">Claim on FEP's shareholder loan (JV only): land, MAX(20 % accrued, 1× principal)</t>
  </si>
  <si>
    <t xml:space="preserve">Claim on FEP's shareholder loan (JV only): development devex, MAX(20 % accrued, 1× principal)</t>
  </si>
  <si>
    <t xml:space="preserve">Total FEP claims on its shareholder loans (JV only)</t>
  </si>
  <si>
    <t xml:space="preserve">Developer success fee due (DSA, capped)</t>
  </si>
  <si>
    <t xml:space="preserve">RtB exit, Case A: buyer pays the grid connection fees directly (FEP does not pre-fund them)</t>
  </si>
  <si>
    <t xml:space="preserve">Grid connection fees paid by the buyer at HCSSZ (direct + indirect, payable)</t>
  </si>
  <si>
    <t xml:space="preserve">Case A devex – land: items paid by sale A (devex file, unscaled)</t>
  </si>
  <si>
    <t xml:space="preserve">Case A devex – land: amount-weighted payment date</t>
  </si>
  <si>
    <t xml:space="preserve">Case A devex – land (× scale)</t>
  </si>
  <si>
    <t xml:space="preserve">Case A devex – development: items paid by sale A (devex file, unscaled)</t>
  </si>
  <si>
    <t xml:space="preserve">Case A devex – development: amount-weighted payment date</t>
  </si>
  <si>
    <t xml:space="preserve">Case A devex – development (× scale)</t>
  </si>
  <si>
    <t xml:space="preserve">FEP cash out to RtB, Case A (peak exposure)</t>
  </si>
  <si>
    <t xml:space="preserve">Case A: interest accrual end (earlier of freeze and sale A)</t>
  </si>
  <si>
    <t xml:space="preserve">Case A: start of the accrual end year</t>
  </si>
  <si>
    <t xml:space="preserve">Case A, from bid submission: factor in the payment year (if before the end year)</t>
  </si>
  <si>
    <t xml:space="preserve">Case A, from bid submission: factor in the end year (to the accrual end)</t>
  </si>
  <si>
    <t xml:space="preserve">Case A, from bid submission: accrual factor</t>
  </si>
  <si>
    <t xml:space="preserve">Case A, from performance security posting: factor in the payment year (if before the end year)</t>
  </si>
  <si>
    <t xml:space="preserve">Case A, from performance security posting: factor in the end year (to the accrual end)</t>
  </si>
  <si>
    <t xml:space="preserve">Case A, from performance security posting: accrual factor</t>
  </si>
  <si>
    <t xml:space="preserve">Case A, from TSO security payment: factor in the payment year (if before the end year)</t>
  </si>
  <si>
    <t xml:space="preserve">Case A, from TSO security payment: factor in the end year (to the accrual end)</t>
  </si>
  <si>
    <t xml:space="preserve">Case A, from TSO security payment: accrual factor</t>
  </si>
  <si>
    <t xml:space="preserve">Case A, from land payment (amount-weighted): factor in the payment year (if before the end year)</t>
  </si>
  <si>
    <t xml:space="preserve">Case A, from land payment (amount-weighted): factor in the end year (to the accrual end)</t>
  </si>
  <si>
    <t xml:space="preserve">Case A, from land payment (amount-weighted): accrual factor</t>
  </si>
  <si>
    <t xml:space="preserve">Case A, from development devex payment (amount-weighted): factor in the payment year (if before the end year)</t>
  </si>
  <si>
    <t xml:space="preserve">Case A, from development devex payment (amount-weighted): factor in the end year (to the accrual end)</t>
  </si>
  <si>
    <t xml:space="preserve">Case A, from development devex payment (amount-weighted): accrual factor</t>
  </si>
  <si>
    <t xml:space="preserve">Case A: claim on FEP's shareholder loan (JV only): participation fee (not reimbursed)</t>
  </si>
  <si>
    <t xml:space="preserve">Case A: claim on FEP's shareholder loan (JV only): bid security (cash)</t>
  </si>
  <si>
    <t xml:space="preserve">Case A: claim on FEP's shareholder loan (JV only): performance security payable (cash)</t>
  </si>
  <si>
    <t xml:space="preserve">Case A: claim on FEP's shareholder loan (JV only): TSO connection-request security</t>
  </si>
  <si>
    <t xml:space="preserve">Case A: claim on FEP's shareholder loan (JV only): land, MAX(20 % accrued, 1× principal)</t>
  </si>
  <si>
    <t xml:space="preserve">Case A: claim on FEP's shareholder loan (JV only): development devex, MAX(20 % accrued, 1× principal)</t>
  </si>
  <si>
    <t xml:space="preserve">Total FEP claims on its shareholder loans, Case A (JV only; no connection-fee claims)</t>
  </si>
  <si>
    <t xml:space="preserve">Case A: developer success fee due (DSA to sale A, capped)</t>
  </si>
  <si>
    <t xml:space="preserve">Waterfall at the sale, Case A</t>
  </si>
  <si>
    <t xml:space="preserve">Buyer reimburses securities at cost (no connection fees to reimburse)</t>
  </si>
  <si>
    <t xml:space="preserve">Buyer pays the land at cost (on top of the premium)</t>
  </si>
  <si>
    <t xml:space="preserve">Total proceeds</t>
  </si>
  <si>
    <t xml:space="preserve">Less sale costs</t>
  </si>
  <si>
    <t xml:space="preserve">Less securities repaid to FEP</t>
  </si>
  <si>
    <t xml:space="preserve">Less land repaid to FEP at cost</t>
  </si>
  <si>
    <t xml:space="preserve">Less FEP claims at 12 % on FEP's shareholder loan (JV only)</t>
  </si>
  <si>
    <t xml:space="preserve">Less FEP land and devex return on FEP's shareholder loan (JV only)</t>
  </si>
  <si>
    <t xml:space="preserve">Less developer success fee (DSA)</t>
  </si>
  <si>
    <t xml:space="preserve">Distributable proceeds</t>
  </si>
  <si>
    <t xml:space="preserve">FEP share of distributable</t>
  </si>
  <si>
    <t xml:space="preserve">Developer share of distributable</t>
  </si>
  <si>
    <t xml:space="preserve">FEP profit, Case A (at sale A): what the buyer pays, less deductions</t>
  </si>
  <si>
    <t xml:space="preserve">Date: Bora</t>
  </si>
  <si>
    <t xml:space="preserve">RtB premium paid by the buyer (150 k EUR/MVA × MVA)</t>
  </si>
  <si>
    <t xml:space="preserve">Land: 0 (bought by the RtB buyer at cost; FEP's land outlay is repaid, not deducted)</t>
  </si>
  <si>
    <t xml:space="preserve">Bid security: 0 (paid back to FEP at the sale)</t>
  </si>
  <si>
    <t xml:space="preserve">Performance security: 0 (paid back to FEP at the sale)</t>
  </si>
  <si>
    <t xml:space="preserve">Less: sale costs</t>
  </si>
  <si>
    <t xml:space="preserve">Less: developer success fee (DSA)</t>
  </si>
  <si>
    <t xml:space="preserve">Less: developer share of distributable proceeds</t>
  </si>
  <si>
    <t xml:space="preserve">FEP claims at 12 % on FEP's shareholder loan (interest, JV only)</t>
  </si>
  <si>
    <t xml:space="preserve">FEP land and devex return on FEP's shareholder loan (JV only)</t>
  </si>
  <si>
    <t xml:space="preserve">FEP receipts at sale A (claims + return + FEP share)</t>
  </si>
  <si>
    <t xml:space="preserve">Less: signing fee and DD</t>
  </si>
  <si>
    <t xml:space="preserve">Less: participation fee (not reimbursed)</t>
  </si>
  <si>
    <t xml:space="preserve">Less: development devex</t>
  </si>
  <si>
    <t xml:space="preserve">FEP profit, pre-tax</t>
  </si>
  <si>
    <t xml:space="preserve">CIT on the exit gain (0 while the participation exemption flag is on)</t>
  </si>
  <si>
    <t xml:space="preserve">CIT on the interest of FEP's shareholder loans (JV only; paid yearly as capitalised)</t>
  </si>
  <si>
    <t xml:space="preserve">MOIC, pre-tax (dated cash flows below)</t>
  </si>
  <si>
    <t xml:space="preserve">IRR, pre-tax (dated cash flows below)</t>
  </si>
  <si>
    <t xml:space="preserve">Memo: pre-tax profit vs Case B (connection-fee claims no longer earned, FEP share)</t>
  </si>
  <si>
    <t xml:space="preserve">Memo: FEP dated cash flows, Case A, for MOIC and IRR (securities are paid and repaid at cost: net zero, excluded from the profit above)</t>
  </si>
  <si>
    <t xml:space="preserve">Factor to the first 31-Dec: Bora</t>
  </si>
  <si>
    <t xml:space="preserve">Factor to the first 31-Dec: Iváncsa</t>
  </si>
  <si>
    <t xml:space="preserve">Factor to the first 31-Dec: Dunaújváros</t>
  </si>
  <si>
    <t xml:space="preserve">Performance security payable</t>
  </si>
  <si>
    <t xml:space="preserve">Development devex</t>
  </si>
  <si>
    <t xml:space="preserve">FEP receipts at sale A (receipts above + securities and land repaid)</t>
  </si>
  <si>
    <t xml:space="preserve">CIT on the interest capitalised at 31-Dec-2026</t>
  </si>
  <si>
    <t xml:space="preserve">CIT on the interest capitalised at 31-Dec-2027</t>
  </si>
  <si>
    <t xml:space="preserve">CIT on the interest capitalised at 31-Dec-2028</t>
  </si>
  <si>
    <t xml:space="preserve">CIT on the rest at the sale (stub to the accrual end, devex floor top-up)</t>
  </si>
  <si>
    <t xml:space="preserve">MOIC, post-tax (dated cash flows incl. the CIT rows)</t>
  </si>
  <si>
    <t xml:space="preserve">IRR, post-tax (dated cash flows incl. the CIT rows)</t>
  </si>
  <si>
    <t xml:space="preserve">RtB exit, Case B: waterfall at the sale</t>
  </si>
  <si>
    <t xml:space="preserve">Buyer reimburses securities and connection fees at cost</t>
  </si>
  <si>
    <t xml:space="preserve">Less securities and fees repaid to FEP</t>
  </si>
  <si>
    <t xml:space="preserve">FEP profit, Case B (at the sale): what the buyer pays, less deductions</t>
  </si>
  <si>
    <t xml:space="preserve">FEP receipts at the sale (claims + return + FEP share)</t>
  </si>
  <si>
    <t xml:space="preserve">Memo: FEP dated cash flows, Case B, for MOIC and IRR (securities and connection fees are paid and repaid at cost: net zero, excluded from the profit above)</t>
  </si>
  <si>
    <t xml:space="preserve">Direct connection fee</t>
  </si>
  <si>
    <t xml:space="preserve">Indirect connection fee, payable</t>
  </si>
  <si>
    <t xml:space="preserve">FEP receipts at the sale (receipts above + securities, fees and land repaid)</t>
  </si>
  <si>
    <t xml:space="preserve">Annual timeline</t>
  </si>
  <si>
    <t xml:space="preserve">Year end</t>
  </si>
  <si>
    <t xml:space="preserve">Bora: annual cash flow (EUR k)</t>
  </si>
  <si>
    <t xml:space="preserve">Value</t>
  </si>
  <si>
    <t xml:space="preserve">Years from the COD year</t>
  </si>
  <si>
    <t xml:space="preserve">years</t>
  </si>
  <si>
    <t xml:space="preserve">Construction months by year end (value: construction period)</t>
  </si>
  <si>
    <t xml:space="preserve">months</t>
  </si>
  <si>
    <t xml:space="preserve">Construction share of the year (NTP to COD)</t>
  </si>
  <si>
    <t xml:space="preserve">Months operated by year end (value: operating life)</t>
  </si>
  <si>
    <t xml:space="preserve">Operating share of the year (COD to end of life)</t>
  </si>
  <si>
    <t xml:space="preserve">COD year flag</t>
  </si>
  <si>
    <t xml:space="preserve">Buyer pays at the Case B sale: RtB premium, land at cost, securities and connection fees reimbursed to FEP</t>
  </si>
  <si>
    <t xml:space="preserve">Performance security released (bid security included)</t>
  </si>
  <si>
    <t xml:space="preserve">Construction capex (straight-line NTP to COD)</t>
  </si>
  <si>
    <t xml:space="preserve">Municipal one-off at COD</t>
  </si>
  <si>
    <t xml:space="preserve">Investment cash flow</t>
  </si>
  <si>
    <t xml:space="preserve">Degradation factor (from the first full year)</t>
  </si>
  <si>
    <t xml:space="preserve">Net generation</t>
  </si>
  <si>
    <t xml:space="preserve">GWh</t>
  </si>
  <si>
    <t xml:space="preserve">PPA price</t>
  </si>
  <si>
    <t xml:space="preserve">Opex index (COD year = 1)</t>
  </si>
  <si>
    <t xml:space="preserve">O&amp;M, BoP, lease, insurance, management, property tax</t>
  </si>
  <si>
    <t xml:space="preserve">Administration, audit, compliance</t>
  </si>
  <si>
    <t xml:space="preserve">Balancing and grid charges</t>
  </si>
  <si>
    <t xml:space="preserve">MEKH supervisory fee</t>
  </si>
  <si>
    <t xml:space="preserve">Opex contingency</t>
  </si>
  <si>
    <t xml:space="preserve">Community contribution</t>
  </si>
  <si>
    <t xml:space="preserve">HIPA local business tax</t>
  </si>
  <si>
    <t xml:space="preserve">Total opex</t>
  </si>
  <si>
    <t xml:space="preserve">Unlevered pre-tax cash flow</t>
  </si>
  <si>
    <t xml:space="preserve">Tax depreciation share of the year (Tax_Dep_Life years from COD)</t>
  </si>
  <si>
    <t xml:space="preserve">Depreciable base, unlevered (construction capex, connection fees, municipal)</t>
  </si>
  <si>
    <t xml:space="preserve">Tax depreciation, unlevered</t>
  </si>
  <si>
    <t xml:space="preserve">CIT, unlevered</t>
  </si>
  <si>
    <t xml:space="preserve">Unlevered post-tax cash flow</t>
  </si>
  <si>
    <t xml:space="preserve">Debt size (gearing × all-in cost to COD)</t>
  </si>
  <si>
    <t xml:space="preserve">Debt drawn (pro rata with construction)</t>
  </si>
  <si>
    <t xml:space="preserve">Interest during construction, capitalised (on draws and IDC to date, mid-year draws)</t>
  </si>
  <si>
    <t xml:space="preserve">Debt upfront fee at the first draw (equity-paid; deductible in the year paid, no loss carry-forward)</t>
  </si>
  <si>
    <t xml:space="preserve">Interest paid</t>
  </si>
  <si>
    <t xml:space="preserve">Debt service (interest in the COD year; annuity from the first full operating year)</t>
  </si>
  <si>
    <t xml:space="preserve">Principal repaid</t>
  </si>
  <si>
    <t xml:space="preserve">Debt balance, closing</t>
  </si>
  <si>
    <t xml:space="preserve">Tax depreciation of the capitalised interest</t>
  </si>
  <si>
    <t xml:space="preserve">CIT, levered (interest deductible)</t>
  </si>
  <si>
    <t xml:space="preserve">DSCR (EBITDA + CIT) ÷ debt service</t>
  </si>
  <si>
    <t xml:space="preserve">Discount factor to COD (buyer's rate)</t>
  </si>
  <si>
    <t xml:space="preserve">Unlevered post-tax cash flow valued at COD (total = COD price)</t>
  </si>
  <si>
    <t xml:space="preserve">COD exit: buyer's cash flow (to COD, price and securities at COD)</t>
  </si>
  <si>
    <t xml:space="preserve">FEP shareholder loans to the JV (RtB cases): balance at 31-Dec and interest capitalised, taxed yearly</t>
  </si>
  <si>
    <t xml:space="preserve">Case B: loan balance at 31-Dec, cash lines</t>
  </si>
  <si>
    <t xml:space="preserve">Case B: loan balance at 31-Dec, land and devex</t>
  </si>
  <si>
    <t xml:space="preserve">Case B: loans drawn in the year</t>
  </si>
  <si>
    <t xml:space="preserve">Case B: interest capitalised in the year (taxable at FEP)</t>
  </si>
  <si>
    <t xml:space="preserve">Case A: loan balance at 31-Dec, cash lines</t>
  </si>
  <si>
    <t xml:space="preserve">Case A: loan balance at 31-Dec, land and devex</t>
  </si>
  <si>
    <t xml:space="preserve">Case A: loans drawn in the year</t>
  </si>
  <si>
    <t xml:space="preserve">Case A: interest capitalised in the year (taxable at FEP)</t>
  </si>
  <si>
    <t xml:space="preserve">Iváncsa: annual cash flow (EUR k)</t>
  </si>
  <si>
    <t xml:space="preserve">Dunaújváros: annual cash flow (EUR k)</t>
  </si>
  <si>
    <t xml:space="preserve">COD exit: tax on the gain (price and profit: totals of the cash-flow blocks above)</t>
  </si>
  <si>
    <t xml:space="preserve">Buyer profit, post-tax</t>
  </si>
  <si>
    <t xml:space="preserve">Checks (0 = OK)</t>
  </si>
  <si>
    <t xml:space="preserve">Case B dated cash flows tie to the post-tax profit</t>
  </si>
  <si>
    <t xml:space="preserve">Claim lines paid before the accrual end year</t>
  </si>
  <si>
    <t xml:space="preserve">Turbine route is EU or CN</t>
  </si>
  <si>
    <t xml:space="preserve">Devex items × scale = project devex (land + development)</t>
  </si>
  <si>
    <t xml:space="preserve">Construction capex spread in full (timeline = capex)</t>
  </si>
  <si>
    <t xml:space="preserve">Investment cash flows = all-in cost to COD for a buyer (RtB price, capex, fees, municipal, land)</t>
  </si>
  <si>
    <t xml:space="preserve">Operating life inside the timeline</t>
  </si>
  <si>
    <t xml:space="preserve">Sale date A before the HCSSZ date (Case A exits before the connection fees)</t>
  </si>
  <si>
    <t xml:space="preserve">COD cost stack = timeline investment flows</t>
  </si>
  <si>
    <t xml:space="preserve">Case A dated cash flows tie to the post-tax profit</t>
  </si>
  <si>
    <t xml:space="preserve">Debt repaid by the end of the tenor (closing balance in the last timeline year = 0)</t>
  </si>
  <si>
    <t xml:space="preserve">RtB loan CIT: the rest taxed at the sale is ≤ 0 (yearly schedule does not over-accrue), Case B + Case A</t>
  </si>
  <si>
    <t xml:space="preserve">No errors in the summary block</t>
  </si>
  <si>
    <t xml:space="preserve">Master check</t>
  </si>
  <si>
    <t xml:space="preserve">***END***</t>
  </si>
  <si>
    <t xml:space="preserve">HU wind bids – other inputs (blue) with sources</t>
  </si>
  <si>
    <t xml:space="preserve">Inputs</t>
  </si>
  <si>
    <t xml:space="preserve">Source</t>
  </si>
  <si>
    <t xml:space="preserve">Tender and grid (all projects; value in column E)</t>
  </si>
  <si>
    <t xml:space="preserve">FX rate</t>
  </si>
  <si>
    <t xml:space="preserve">HUF/EUR</t>
  </si>
  <si>
    <t xml:space="preserve">Bora Inputs E11; Bid_Cash E45</t>
  </si>
  <si>
    <t xml:space="preserve">Security base: benchmark investment, wind</t>
  </si>
  <si>
    <t xml:space="preserve">HUF/MW</t>
  </si>
  <si>
    <t xml:space="preserve">Bora Inputs E75; Bid_Cash E46</t>
  </si>
  <si>
    <t xml:space="preserve">Security base: benchmark investment, BESS</t>
  </si>
  <si>
    <t xml:space="preserve">HUF/MWh</t>
  </si>
  <si>
    <t xml:space="preserve">Bora Inputs E89; Bid_Cash E47</t>
  </si>
  <si>
    <t xml:space="preserve">Bid security, share of base</t>
  </si>
  <si>
    <t xml:space="preserve">Bora Inputs E76; Bid_Cash E49</t>
  </si>
  <si>
    <t xml:space="preserve">Performance security, minimum share of base</t>
  </si>
  <si>
    <t xml:space="preserve">Bora Inputs E77; Bid_Cash E50</t>
  </si>
  <si>
    <t xml:space="preserve">Participation fee per bid</t>
  </si>
  <si>
    <t xml:space="preserve">Bora Inputs E81; Bid_Cash E48</t>
  </si>
  <si>
    <t xml:space="preserve">HUF/MVA</t>
  </si>
  <si>
    <t xml:space="preserve">Bora Inputs E83; Bid_Cash E51</t>
  </si>
  <si>
    <t xml:space="preserve">Per project: fees, devex, dates</t>
  </si>
  <si>
    <t xml:space="preserve">Indirect connection fee</t>
  </si>
  <si>
    <t xml:space="preserve">Bora Inputs G290; Bid_Cash E52</t>
  </si>
  <si>
    <t xml:space="preserve">Direct connection fee per connection point</t>
  </si>
  <si>
    <t xml:space="preserve">Bora Inputs G291; Bid_Cash E53</t>
  </si>
  <si>
    <t xml:space="preserve">Bids sharing the connection point</t>
  </si>
  <si>
    <t xml:space="preserve">count</t>
  </si>
  <si>
    <t xml:space="preserve">Bora: 2 bids per point (SPEC §22.2)</t>
  </si>
  <si>
    <t xml:space="preserve">user, 29-Oct-2026</t>
  </si>
  <si>
    <t xml:space="preserve">Devex scale (bid MVA ÷ 200 MVA of the devex file)</t>
  </si>
  <si>
    <t xml:space="preserve">SPEC §26.2: 50/200; 1 = the full devex file</t>
  </si>
  <si>
    <t xml:space="preserve">EU transformers ≥ 80 % (ÖSZ-9)</t>
  </si>
  <si>
    <t xml:space="preserve">Bid_Cash E16; SPEC §23.1</t>
  </si>
  <si>
    <t xml:space="preserve">Signing fee and DD paid</t>
  </si>
  <si>
    <t xml:space="preserve">Bora Inputs E27; Bid_Cash E34</t>
  </si>
  <si>
    <t xml:space="preserve">Bid submission: fee paid, bid security posted</t>
  </si>
  <si>
    <t xml:space="preserve">Bora Inputs E95; Bid_Cash E35</t>
  </si>
  <si>
    <t xml:space="preserve">Performance security posted</t>
  </si>
  <si>
    <t xml:space="preserve">Bora Deposits K10 (E96 + 17 d); Bid_Cash E36</t>
  </si>
  <si>
    <t xml:space="preserve">TSO security paid</t>
  </si>
  <si>
    <t xml:space="preserve">Bora Inputs E97; Bid_Cash E37</t>
  </si>
  <si>
    <t xml:space="preserve">Connection agreement (HCSSZ): fees paid</t>
  </si>
  <si>
    <t xml:space="preserve">Bora Inputs E99; Bid_Cash E39</t>
  </si>
  <si>
    <t xml:space="preserve">Notice to proceed</t>
  </si>
  <si>
    <t xml:space="preserve">Bora Inputs E154; Bid_Cash E40</t>
  </si>
  <si>
    <t xml:space="preserve">COD</t>
  </si>
  <si>
    <t xml:space="preserve">Bora Inputs E155; Bid_Cash E41</t>
  </si>
  <si>
    <t xml:space="preserve">Performance security released</t>
  </si>
  <si>
    <t xml:space="preserve">Bid_Cash E42 (Kiírás XII.13, estimate)</t>
  </si>
  <si>
    <t xml:space="preserve">DSA accrual start</t>
  </si>
  <si>
    <t xml:space="preserve">Bora Inputs E70; others: signing (DSA off)</t>
  </si>
  <si>
    <t xml:space="preserve">RtB exit terms (all projects; value in column E)</t>
  </si>
  <si>
    <t xml:space="preserve">Claim rate, cash lines (incl. cash-posted securities)</t>
  </si>
  <si>
    <t xml:space="preserve">Devex file V18; SPEC §21.1</t>
  </si>
  <si>
    <t xml:space="preserve">Claim rate, devex</t>
  </si>
  <si>
    <t xml:space="preserve">Devex file V19</t>
  </si>
  <si>
    <t xml:space="preserve">Devex minimum return multiple</t>
  </si>
  <si>
    <t xml:space="preserve">Devex file V20</t>
  </si>
  <si>
    <t xml:space="preserve">Interest freeze date</t>
  </si>
  <si>
    <t xml:space="preserve">Devex file V24</t>
  </si>
  <si>
    <t xml:space="preserve">Sale date, Case B (RtB exit after HCSSZ)</t>
  </si>
  <si>
    <t xml:space="preserve">Bora Inputs E58; SPEC §21.1</t>
  </si>
  <si>
    <t xml:space="preserve">Sale date, Case A (before HCSSZ)</t>
  </si>
  <si>
    <t xml:space="preserve">SPEC §25.2 (user, 28-Oct-2026)</t>
  </si>
  <si>
    <t xml:space="preserve">Sale costs per project</t>
  </si>
  <si>
    <t xml:space="preserve">SPEC §21.1</t>
  </si>
  <si>
    <t xml:space="preserve">Developer success fee (on committed MW, 30/360)</t>
  </si>
  <si>
    <t xml:space="preserve">Bora Inputs E36</t>
  </si>
  <si>
    <t xml:space="preserve">Developer success fee cap</t>
  </si>
  <si>
    <t xml:space="preserve">Bora Inputs E37</t>
  </si>
  <si>
    <t xml:space="preserve">Corporate income tax (operating profit; exit gains)</t>
  </si>
  <si>
    <t xml:space="preserve">SPEC §27 (exits exempt by the flag below)</t>
  </si>
  <si>
    <t xml:space="preserve">Share deal, participation exemption on the share gain (1 = on); claims taxed as interest</t>
  </si>
  <si>
    <t xml:space="preserve">user, 27-Oct-2026 (share deal)</t>
  </si>
  <si>
    <t xml:space="preserve">Tax and debt (hold case)</t>
  </si>
  <si>
    <t xml:space="preserve">Tax depreciation life (straight line on the depreciable base, from COD)</t>
  </si>
  <si>
    <t xml:space="preserve">HU CIT Act Annex 2, 5 % p.a. power plants – to confirm</t>
  </si>
  <si>
    <t xml:space="preserve">Gearing (debt ÷ all-in cost to COD)</t>
  </si>
  <si>
    <t xml:space="preserve">user, 27-Oct-2026</t>
  </si>
  <si>
    <t xml:space="preserve">Debt interest rate</t>
  </si>
  <si>
    <t xml:space="preserve">Bora model Inputs G220</t>
  </si>
  <si>
    <t xml:space="preserve">Debt tenor (annuity from the first full operating year)</t>
  </si>
  <si>
    <t xml:space="preserve">Bora model Inputs G222</t>
  </si>
  <si>
    <t xml:space="preserve">Debt upfront fee (on the debt size, at the first draw)</t>
  </si>
  <si>
    <t xml:space="preserve">Bora model Inputs E85 / HTM E85</t>
  </si>
  <si>
    <t xml:space="preserve">Share of the year's draw bearing interest in that year (mid-year draws)</t>
  </si>
  <si>
    <t xml:space="preserve">Bora model HTM (IDC on half the year's draw)</t>
  </si>
  <si>
    <t xml:space="preserve">Capex (per MW of wind built unless stated; turbines: case table on the Dashboard)</t>
  </si>
  <si>
    <t xml:space="preserve">Turbine installation and erection</t>
  </si>
  <si>
    <t xml:space="preserve">Bora Inputs G163</t>
  </si>
  <si>
    <t xml:space="preserve">Bora Inputs G164</t>
  </si>
  <si>
    <t xml:space="preserve">Bora Inputs G165</t>
  </si>
  <si>
    <t xml:space="preserve">Bora Inputs G166</t>
  </si>
  <si>
    <t xml:space="preserve">Bora Inputs G169</t>
  </si>
  <si>
    <t xml:space="preserve">Land is in the devex (Inputs rows 87, 88, 118) and bought by the RtB buyer at cost</t>
  </si>
  <si>
    <t xml:space="preserve">On-site substation and 132 kV bay (lump sum)</t>
  </si>
  <si>
    <t xml:space="preserve">Bora Inputs G167</t>
  </si>
  <si>
    <t xml:space="preserve">Source basis of the lump sums</t>
  </si>
  <si>
    <t xml:space="preserve">Bora Inputs E305</t>
  </si>
  <si>
    <t xml:space="preserve">Capex contingency (not on BESS)</t>
  </si>
  <si>
    <t xml:space="preserve">Bora Inputs G173</t>
  </si>
  <si>
    <t xml:space="preserve">BESS capex</t>
  </si>
  <si>
    <t xml:space="preserve">EUR k/MWh</t>
  </si>
  <si>
    <t xml:space="preserve">CLAUDE.md standing assumption, 15-Oct-26</t>
  </si>
  <si>
    <t xml:space="preserve">Generation (hours and PPA price: case table on the Dashboard)</t>
  </si>
  <si>
    <t xml:space="preserve">Curtailment</t>
  </si>
  <si>
    <t xml:space="preserve">Bora Inputs G183</t>
  </si>
  <si>
    <t xml:space="preserve">Clipping</t>
  </si>
  <si>
    <t xml:space="preserve">Bora Dash_Clip_Override (user, 26-Oct-26)</t>
  </si>
  <si>
    <t xml:space="preserve">Degradation</t>
  </si>
  <si>
    <t xml:space="preserve">% p.a.</t>
  </si>
  <si>
    <t xml:space="preserve">Bora Inputs G184</t>
  </si>
  <si>
    <t xml:space="preserve">PPA escalation</t>
  </si>
  <si>
    <t xml:space="preserve">Bora Inputs G194</t>
  </si>
  <si>
    <t xml:space="preserve">Opex (COD-year prices; O&amp;M contract: case table on the Dashboard)</t>
  </si>
  <si>
    <t xml:space="preserve">Balance of plant maintenance</t>
  </si>
  <si>
    <t xml:space="preserve">Bora Inputs G204</t>
  </si>
  <si>
    <t xml:space="preserve">Land lease</t>
  </si>
  <si>
    <t xml:space="preserve">Bora Inputs G205</t>
  </si>
  <si>
    <t xml:space="preserve">Operational insurance</t>
  </si>
  <si>
    <t xml:space="preserve">Bora Inputs G206</t>
  </si>
  <si>
    <t xml:space="preserve">Asset and commercial management</t>
  </si>
  <si>
    <t xml:space="preserve">Bora Inputs G207</t>
  </si>
  <si>
    <t xml:space="preserve">Property tax</t>
  </si>
  <si>
    <t xml:space="preserve">Bora Inputs G208</t>
  </si>
  <si>
    <t xml:space="preserve">Administration, audit, compliance (at the source basis)</t>
  </si>
  <si>
    <t xml:space="preserve">EUR k/yr</t>
  </si>
  <si>
    <t xml:space="preserve">Bora Inputs G209</t>
  </si>
  <si>
    <t xml:space="preserve">Balancing cost</t>
  </si>
  <si>
    <t xml:space="preserve">Bora Inputs G196</t>
  </si>
  <si>
    <t xml:space="preserve">Grid use-of-system charges</t>
  </si>
  <si>
    <t xml:space="preserve">Bora Inputs G197</t>
  </si>
  <si>
    <t xml:space="preserve">% of rev.</t>
  </si>
  <si>
    <t xml:space="preserve">Bora Inputs G198</t>
  </si>
  <si>
    <t xml:space="preserve">Bora Inputs G212</t>
  </si>
  <si>
    <t xml:space="preserve">Opex contingency (not on community, HIPA)</t>
  </si>
  <si>
    <t xml:space="preserve">Bora Inputs G210</t>
  </si>
  <si>
    <t xml:space="preserve">Opex escalation</t>
  </si>
  <si>
    <t xml:space="preserve">Bora Inputs G211</t>
  </si>
  <si>
    <t xml:space="preserve">Valuation, timeline and constants</t>
  </si>
  <si>
    <t xml:space="preserve">Operating life from COD</t>
  </si>
  <si>
    <t xml:space="preserve">Bora Inputs G157</t>
  </si>
  <si>
    <t xml:space="preserve">Discount rate (buyer's unlevered post-tax return at COD)</t>
  </si>
  <si>
    <t xml:space="preserve">Bora Inputs G226</t>
  </si>
  <si>
    <t xml:space="preserve">First year of the annual timeline</t>
  </si>
  <si>
    <t xml:space="preserve">Year of the first signing</t>
  </si>
  <si>
    <t xml:space="preserve">Thousand</t>
  </si>
  <si>
    <t xml:space="preserve">Constant</t>
  </si>
  <si>
    <t xml:space="preserve">Days in a year (act/365)</t>
  </si>
  <si>
    <t xml:space="preserve">Months in a year</t>
  </si>
  <si>
    <t xml:space="preserve">Check tolerance</t>
  </si>
  <si>
    <t xml:space="preserve">Devex items (BORA_Devex 02-Oct-26; all projects × the scale): HUF | date | class</t>
  </si>
  <si>
    <t xml:space="preserve">Capacity allocation process - Awarding – Land reservation fee</t>
  </si>
  <si>
    <t xml:space="preserve">BORA_Devex 02-Oct-26 row 14</t>
  </si>
  <si>
    <t xml:space="preserve">Capacity allocation process - Awarding – Land purchase price</t>
  </si>
  <si>
    <t xml:space="preserve">BORA_Devex 02-Oct-26 row 15</t>
  </si>
  <si>
    <t xml:space="preserve">Grid connection plan – Design fee</t>
  </si>
  <si>
    <t xml:space="preserve">Devex</t>
  </si>
  <si>
    <t xml:space="preserve">BORA_Devex 02-Oct-26 row 16</t>
  </si>
  <si>
    <t xml:space="preserve">Grid connection plan – Administrative fee</t>
  </si>
  <si>
    <t xml:space="preserve">BORA_Devex 02-Oct-26 row 17</t>
  </si>
  <si>
    <t xml:space="preserve">Land contracting (additional land) – Legal fee, agent fee</t>
  </si>
  <si>
    <t xml:space="preserve">BORA_Devex 02-Oct-26 row 20</t>
  </si>
  <si>
    <t xml:space="preserve">Wind measurement – Met Masts</t>
  </si>
  <si>
    <t xml:space="preserve">BORA_Devex 02-Oct-26 row 21</t>
  </si>
  <si>
    <t xml:space="preserve">Wind measurement – Design fee</t>
  </si>
  <si>
    <t xml:space="preserve">BORA_Devex 02-Oct-26 row 22</t>
  </si>
  <si>
    <t xml:space="preserve">Wind measurement – EYA</t>
  </si>
  <si>
    <t xml:space="preserve">BORA_Devex 02-Oct-26 row 23</t>
  </si>
  <si>
    <t xml:space="preserve">Land reclassification – Administrative fee</t>
  </si>
  <si>
    <t xml:space="preserve">BORA_Devex 02-Oct-26 row 24</t>
  </si>
  <si>
    <t xml:space="preserve">Land reclassification – Report fee</t>
  </si>
  <si>
    <t xml:space="preserve">BORA_Devex 02-Oct-26 row 25</t>
  </si>
  <si>
    <t xml:space="preserve">Zoning plan modification – Design fee</t>
  </si>
  <si>
    <t xml:space="preserve">BORA_Devex 02-Oct-26 row 26</t>
  </si>
  <si>
    <t xml:space="preserve">Municipality donation – Donation</t>
  </si>
  <si>
    <t xml:space="preserve">BORA_Devex 02-Oct-26 row 27</t>
  </si>
  <si>
    <t xml:space="preserve">Environmental assessment – Bird-bat monitoring</t>
  </si>
  <si>
    <t xml:space="preserve">BORA_Devex 02-Oct-26 row 28</t>
  </si>
  <si>
    <t xml:space="preserve">Environmental assessment – Administrative fee</t>
  </si>
  <si>
    <t xml:space="preserve">BORA_Devex 02-Oct-26 row 29</t>
  </si>
  <si>
    <t xml:space="preserve">Environmental assessment – Assessment fee</t>
  </si>
  <si>
    <t xml:space="preserve">BORA_Devex 02-Oct-26 row 30</t>
  </si>
  <si>
    <t xml:space="preserve">Other project development – Geotechnical assessment fee</t>
  </si>
  <si>
    <t xml:space="preserve">BORA_Devex 02-Oct-26 row 31</t>
  </si>
  <si>
    <t xml:space="preserve">Other project development – Archaeological</t>
  </si>
  <si>
    <t xml:space="preserve">BORA_Devex 02-Oct-26 row 32</t>
  </si>
  <si>
    <t xml:space="preserve">Other project development – Topography</t>
  </si>
  <si>
    <t xml:space="preserve">BORA_Devex 02-Oct-26 row 33</t>
  </si>
  <si>
    <t xml:space="preserve">Building permit - Turbines – Administrative fee</t>
  </si>
  <si>
    <t xml:space="preserve">BORA_Devex 02-Oct-26 row 34</t>
  </si>
  <si>
    <t xml:space="preserve">Building permit - Turbines – Design fee</t>
  </si>
  <si>
    <t xml:space="preserve">BORA_Devex 02-Oct-26 row 35</t>
  </si>
  <si>
    <t xml:space="preserve">Cable right – Administrative fee</t>
  </si>
  <si>
    <t xml:space="preserve">BORA_Devex 02-Oct-26 row 36</t>
  </si>
  <si>
    <t xml:space="preserve">Cable right – Design fee</t>
  </si>
  <si>
    <t xml:space="preserve">BORA_Devex 02-Oct-26 row 37</t>
  </si>
  <si>
    <t xml:space="preserve">Cable right – Compensation</t>
  </si>
  <si>
    <t xml:space="preserve">BORA_Devex 02-Oct-26 row 38</t>
  </si>
  <si>
    <t xml:space="preserve">Building permit - Substation, switching station – Administrative fee</t>
  </si>
  <si>
    <t xml:space="preserve">BORA_Devex 02-Oct-26 row 39</t>
  </si>
  <si>
    <t xml:space="preserve">Building permit - Substation, switching station – Design fee</t>
  </si>
  <si>
    <t xml:space="preserve">BORA_Devex 02-Oct-26 row 40</t>
  </si>
  <si>
    <t xml:space="preserve">Building permit - BESS – Administrative fee</t>
  </si>
  <si>
    <t xml:space="preserve">BORA_Devex 02-Oct-26 row 41</t>
  </si>
  <si>
    <t xml:space="preserve">Building permit - BESS – Design fee</t>
  </si>
  <si>
    <t xml:space="preserve">BORA_Devex 02-Oct-26 row 42</t>
  </si>
  <si>
    <t xml:space="preserve">HEPURA permit – Administrative fee</t>
  </si>
  <si>
    <t xml:space="preserve">BORA_Devex 02-Oct-26 row 43</t>
  </si>
  <si>
    <t xml:space="preserve">HEPURA permit – Report fee</t>
  </si>
  <si>
    <t xml:space="preserve">BORA_Devex 02-Oct-26 row 44</t>
  </si>
  <si>
    <t xml:space="preserve">Legal costs – Legal costs</t>
  </si>
  <si>
    <t xml:space="preserve">BORA_Devex 02-Oct-26 row 45; continuous: 31-Dec-27</t>
  </si>
  <si>
    <t xml:space="preserve">Financial costs – Financial costs</t>
  </si>
  <si>
    <t xml:space="preserve">BORA_Devex 02-Oct-26 row 46; continuous: 31-Dec-27</t>
  </si>
  <si>
    <t xml:space="preserve">RtB – Land purchase price</t>
  </si>
  <si>
    <t xml:space="preserve">BORA_Devex 02-Oct-26 row 47</t>
  </si>
  <si>
    <t xml:space="preserve">Contingency – Contingency</t>
  </si>
  <si>
    <t xml:space="preserve">BORA_Devex 02-Oct-26 row 48; continuous: 31-Dec-27</t>
  </si>
  <si>
    <t xml:space="preserve">Band tables for the points (ÖSZ, Kiírás Annex 4) – expand the group</t>
  </si>
  <si>
    <t xml:space="preserve">Values →</t>
  </si>
  <si>
    <t xml:space="preserve">Osz1_LB</t>
  </si>
  <si>
    <t xml:space="preserve">Osz1_Incl</t>
  </si>
  <si>
    <t xml:space="preserve">Osz1_Pts</t>
  </si>
  <si>
    <t xml:space="preserve">Osz2_LB</t>
  </si>
  <si>
    <t xml:space="preserve">Osz2_Incl</t>
  </si>
  <si>
    <t xml:space="preserve">Osz2_Pts</t>
  </si>
  <si>
    <t xml:space="preserve">Osz3_LB</t>
  </si>
  <si>
    <t xml:space="preserve">Osz3_Incl</t>
  </si>
  <si>
    <t xml:space="preserve">Osz3_Pts</t>
  </si>
  <si>
    <t xml:space="preserve">Osz4_LB</t>
  </si>
  <si>
    <t xml:space="preserve">Osz4_Incl</t>
  </si>
  <si>
    <t xml:space="preserve">Osz4_Pts</t>
  </si>
  <si>
    <t xml:space="preserve">Kiírás Annex 4, ÖSZ-4: 2&lt;x&lt;5:10 … 40≤x&lt;50:90, 50&lt;x:100 (x = 50 % not defined; scored 90)</t>
  </si>
  <si>
    <t xml:space="preserve">Osz6_LB</t>
  </si>
  <si>
    <t xml:space="preserve">Osz6_Incl</t>
  </si>
  <si>
    <t xml:space="preserve">Kiírás Annex 4, ÖSZ-6: 100 pts only if x &gt; 200 % (strict); 190≤x&lt;200: 90</t>
  </si>
  <si>
    <t xml:space="preserve">Osz6_Pts</t>
  </si>
  <si>
    <t xml:space="preserve">Osz5_Pts</t>
  </si>
  <si>
    <t xml:space="preserve">Osz7_Pts</t>
  </si>
  <si>
    <t xml:space="preserve">Osz8_Pts</t>
  </si>
  <si>
    <t xml:space="preserve">Osz9a_Pts</t>
  </si>
  <si>
    <t xml:space="preserve">Osz9b_Pts</t>
  </si>
  <si>
    <t xml:space="preserve">Osz1_W</t>
  </si>
  <si>
    <t xml:space="preserve">Osz2_W</t>
  </si>
  <si>
    <t xml:space="preserve">Osz3_W</t>
  </si>
  <si>
    <t xml:space="preserve">Osz4_W</t>
  </si>
  <si>
    <t xml:space="preserve">Osz5_W</t>
  </si>
  <si>
    <t xml:space="preserve">Osz6_W</t>
  </si>
  <si>
    <t xml:space="preserve">Osz7_W</t>
  </si>
  <si>
    <t xml:space="preserve">Osz8_W</t>
  </si>
  <si>
    <t xml:space="preserve">Osz9_W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</si>
</sst>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&quot;CHECK &quot;0;&quot;CHECK -&quot;0;&quot;OK&quot;"/>
    <numFmt numFmtId="166" formatCode="#,##0;\(#,##0\);\–"/>
    <numFmt numFmtId="167" formatCode="0.0%;\(0.0%\);\–"/>
    <numFmt numFmtId="168" formatCode="#,##0.0;\(#,##0.0\);\–"/>
    <numFmt numFmtId="169" formatCode="0"/>
    <numFmt numFmtId="170" formatCode="0.00\x"/>
    <numFmt numFmtId="171" formatCode="#,##0"/>
    <numFmt numFmtId="172" formatCode="d\-mmm\-yy"/>
    <numFmt numFmtId="173" formatCode="0.0%"/>
    <numFmt numFmtId="174" formatCode="0.0000"/>
    <numFmt numFmtId="175" formatCode="_(* #,##0.00_);_(* \(#,##0.00\);_(* \-??_);_(@_)"/>
    <numFmt numFmtId="176" formatCode="_-* #,##0.00_-;\-* #,##0.00_-;_-* \-??_-;_-@_-"/>
    <numFmt numFmtId="177" formatCode="#,##0.00;\(#,##0.00\);\–"/>
    <numFmt numFmtId="178" formatCode="0;\-0;\–"/>
    <numFmt numFmtId="179" formatCode="0.000;\(0.000\);\–"/>
    <numFmt numFmtId="180" formatCode="0.00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sz val="10"/>
      <color rgb="FF000000"/>
      <name val="Aptos Narrow"/>
      <family val="0"/>
      <charset val="1"/>
    </font>
    <font>
      <sz val="10"/>
      <color rgb="FF0000FF"/>
      <name val="Aptos Narrow"/>
      <family val="0"/>
      <charset val="1"/>
    </font>
    <font>
      <b val="true"/>
      <sz val="10"/>
      <color rgb="FF000000"/>
      <name val="Aptos Narrow"/>
      <family val="2"/>
      <charset val="1"/>
    </font>
    <font>
      <b val="true"/>
      <i val="true"/>
      <sz val="10"/>
      <color rgb="FF808080"/>
      <name val="Aptos Narrow"/>
      <family val="2"/>
      <charset val="1"/>
    </font>
    <font>
      <i val="true"/>
      <sz val="10"/>
      <color rgb="FF808080"/>
      <name val="Aptos Narrow"/>
      <family val="2"/>
      <charset val="1"/>
    </font>
    <font>
      <b val="true"/>
      <sz val="11"/>
      <color theme="1"/>
      <name val="Calibri"/>
      <family val="2"/>
      <charset val="238"/>
    </font>
    <font>
      <b val="true"/>
      <sz val="10"/>
      <color rgb="FFFFFFFF"/>
      <name val="Aptos Narrow"/>
      <family val="2"/>
      <charset val="1"/>
    </font>
    <font>
      <b val="true"/>
      <sz val="10"/>
      <color rgb="FFFFFFFF"/>
      <name val="Aptos Narrow"/>
      <family val="2"/>
      <charset val="238"/>
    </font>
    <font>
      <b val="true"/>
      <sz val="10"/>
      <color rgb="FF3C3C3B"/>
      <name val="Aptos Narrow"/>
      <family val="2"/>
      <charset val="1"/>
    </font>
    <font>
      <b val="true"/>
      <sz val="10"/>
      <color rgb="FF3C3C3B"/>
      <name val="Aptos Narrow"/>
      <family val="0"/>
      <charset val="1"/>
    </font>
    <font>
      <b val="true"/>
      <i val="true"/>
      <sz val="10"/>
      <color rgb="FF808080"/>
      <name val="Aptos Narrow"/>
      <family val="0"/>
      <charset val="1"/>
    </font>
    <font>
      <sz val="10"/>
      <color rgb="FF808080"/>
      <name val="Aptos Narrow"/>
      <family val="0"/>
      <charset val="1"/>
    </font>
    <font>
      <i val="true"/>
      <sz val="10"/>
      <color rgb="FF000000"/>
      <name val="Aptos Narrow"/>
      <family val="2"/>
      <charset val="1"/>
    </font>
    <font>
      <sz val="10"/>
      <name val="Arial"/>
      <family val="0"/>
      <charset val="1"/>
    </font>
    <font>
      <b val="true"/>
      <sz val="10"/>
      <color rgb="FF808080"/>
      <name val="Aptos Narrow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DEADA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theme="9" tint="0.7998"/>
        <bgColor rgb="FFFDE9D9"/>
      </patternFill>
    </fill>
    <fill>
      <patternFill patternType="solid">
        <fgColor rgb="FFFDE9D9"/>
        <bgColor rgb="FFFDEADA"/>
      </patternFill>
    </fill>
    <fill>
      <patternFill patternType="solid">
        <fgColor rgb="FFE6F4EC"/>
        <bgColor rgb="FFF2F2F2"/>
      </patternFill>
    </fill>
    <fill>
      <patternFill patternType="solid">
        <fgColor theme="0" tint="-0.05"/>
        <bgColor rgb="FFE6F4E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5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7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0" fillId="0" borderId="0" xfId="15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9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0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b val="1"/>
        <color rgb="FF00B050"/>
      </font>
    </dxf>
    <dxf>
      <font>
        <b val="1"/>
        <color rgb="FFFF000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DEADA"/>
      <rgbColor rgb="FF99CCFF"/>
      <rgbColor rgb="FFFF99CC"/>
      <rgbColor rgb="FFCC99FF"/>
      <rgbColor rgb="FFFDE9D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S553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E128" activeCellId="0" sqref="E128"/>
    </sheetView>
  </sheetViews>
  <sheetFormatPr defaultColWidth="8.66796875" defaultRowHeight="14.25" zeroHeight="false" outlineLevelRow="1" outlineLevelCol="0"/>
  <cols>
    <col collapsed="false" customWidth="true" hidden="false" outlineLevel="0" max="2" min="1" style="0" width="2"/>
    <col collapsed="false" customWidth="true" hidden="false" outlineLevel="0" max="3" min="3" style="0" width="56"/>
    <col collapsed="false" customWidth="true" hidden="false" outlineLevel="0" max="4" min="4" style="0" width="10"/>
    <col collapsed="false" customWidth="true" hidden="false" outlineLevel="0" max="7" min="5" style="0" width="13"/>
    <col collapsed="false" customWidth="true" hidden="false" outlineLevel="0" max="8" min="8" style="0" width="15"/>
    <col collapsed="false" customWidth="true" hidden="false" outlineLevel="0" max="9" min="9" style="0" width="2"/>
    <col collapsed="false" customWidth="true" hidden="false" outlineLevel="0" max="45" min="10" style="0" width="10"/>
  </cols>
  <sheetData>
    <row r="2" customFormat="false" ht="14.25" hidden="false" customHeight="false" outlineLevel="0" collapsed="false">
      <c r="C2" s="1" t="s">
        <v>0</v>
      </c>
    </row>
    <row r="3" customFormat="false" ht="14.25" hidden="false" customHeight="false" outlineLevel="0" collapsed="false">
      <c r="C3" s="1" t="s">
        <v>1</v>
      </c>
      <c r="D3" s="2" t="s">
        <v>2</v>
      </c>
      <c r="H3" s="3" t="n">
        <f aca="false">Master_Check</f>
        <v>0</v>
      </c>
    </row>
    <row r="5" customFormat="false" ht="14.25" hidden="false" customHeight="false" outlineLevel="0" collapsed="false">
      <c r="B5" s="4" t="s">
        <v>3</v>
      </c>
      <c r="C5" s="4" t="s">
        <v>4</v>
      </c>
      <c r="D5" s="4"/>
      <c r="E5" s="5" t="s">
        <v>5</v>
      </c>
      <c r="F5" s="5" t="s">
        <v>6</v>
      </c>
      <c r="G5" s="5" t="s">
        <v>7</v>
      </c>
      <c r="H5" s="5" t="s">
        <v>8</v>
      </c>
    </row>
    <row r="6" customFormat="false" ht="14.25" hidden="false" customHeight="false" outlineLevel="0" collapsed="false">
      <c r="C6" s="6" t="s">
        <v>9</v>
      </c>
      <c r="D6" s="2" t="s">
        <v>10</v>
      </c>
      <c r="E6" s="7" t="n">
        <v>50</v>
      </c>
      <c r="F6" s="7" t="n">
        <v>50</v>
      </c>
      <c r="G6" s="7" t="n">
        <v>50</v>
      </c>
      <c r="H6" s="8" t="n">
        <f aca="false">SUM(E6:G6)</f>
        <v>150</v>
      </c>
    </row>
    <row r="7" customFormat="false" ht="14.25" hidden="false" customHeight="false" outlineLevel="0" collapsed="false">
      <c r="C7" s="6" t="s">
        <v>11</v>
      </c>
      <c r="D7" s="2" t="s">
        <v>12</v>
      </c>
      <c r="E7" s="9" t="n">
        <v>0.2</v>
      </c>
      <c r="F7" s="9" t="n">
        <v>0.4</v>
      </c>
      <c r="G7" s="9" t="n">
        <v>0.4</v>
      </c>
    </row>
    <row r="8" customFormat="false" ht="14.25" hidden="false" customHeight="false" outlineLevel="0" collapsed="false">
      <c r="C8" s="6" t="s">
        <v>13</v>
      </c>
      <c r="D8" s="2" t="s">
        <v>12</v>
      </c>
      <c r="E8" s="9" t="n">
        <v>0.1</v>
      </c>
      <c r="F8" s="9" t="n">
        <v>0.2</v>
      </c>
      <c r="G8" s="9" t="n">
        <v>0.2</v>
      </c>
    </row>
    <row r="9" customFormat="false" ht="14.25" hidden="false" customHeight="false" outlineLevel="0" collapsed="false">
      <c r="C9" s="6" t="s">
        <v>14</v>
      </c>
      <c r="D9" s="2" t="s">
        <v>15</v>
      </c>
      <c r="E9" s="7" t="n">
        <v>4</v>
      </c>
      <c r="F9" s="7" t="n">
        <v>4</v>
      </c>
      <c r="G9" s="7" t="n">
        <v>4</v>
      </c>
    </row>
    <row r="10" customFormat="false" ht="14.25" hidden="false" customHeight="false" outlineLevel="0" collapsed="false">
      <c r="C10" s="6" t="s">
        <v>16</v>
      </c>
      <c r="D10" s="2" t="s">
        <v>12</v>
      </c>
      <c r="E10" s="9" t="n">
        <v>0.1</v>
      </c>
      <c r="F10" s="9" t="n">
        <v>0.1</v>
      </c>
      <c r="G10" s="9" t="n">
        <v>0.1</v>
      </c>
    </row>
    <row r="11" customFormat="false" ht="14.25" hidden="false" customHeight="false" outlineLevel="0" collapsed="false">
      <c r="C11" s="6" t="s">
        <v>17</v>
      </c>
      <c r="D11" s="2" t="s">
        <v>18</v>
      </c>
      <c r="E11" s="7" t="n">
        <v>20</v>
      </c>
      <c r="F11" s="7" t="n">
        <v>50</v>
      </c>
      <c r="G11" s="7" t="n">
        <v>50</v>
      </c>
    </row>
    <row r="12" customFormat="false" ht="14.25" hidden="false" customHeight="false" outlineLevel="0" collapsed="false">
      <c r="C12" s="6" t="s">
        <v>19</v>
      </c>
      <c r="D12" s="2" t="s">
        <v>20</v>
      </c>
      <c r="E12" s="10" t="n">
        <v>0</v>
      </c>
      <c r="F12" s="10" t="n">
        <v>3</v>
      </c>
      <c r="G12" s="10" t="n">
        <v>3</v>
      </c>
    </row>
    <row r="13" customFormat="false" ht="14.25" hidden="false" customHeight="false" outlineLevel="0" collapsed="false">
      <c r="C13" s="6" t="s">
        <v>21</v>
      </c>
      <c r="D13" s="2" t="s">
        <v>2</v>
      </c>
      <c r="E13" s="11" t="n">
        <v>1</v>
      </c>
      <c r="F13" s="11" t="n">
        <v>1</v>
      </c>
      <c r="G13" s="11" t="n">
        <v>1</v>
      </c>
    </row>
    <row r="14" customFormat="false" ht="14.25" hidden="false" customHeight="false" outlineLevel="0" collapsed="false">
      <c r="C14" s="6" t="s">
        <v>22</v>
      </c>
      <c r="D14" s="2" t="s">
        <v>3</v>
      </c>
      <c r="E14" s="12" t="n">
        <v>1</v>
      </c>
      <c r="F14" s="12" t="n">
        <v>1</v>
      </c>
      <c r="G14" s="12" t="n">
        <v>1</v>
      </c>
    </row>
    <row r="15" customFormat="false" ht="14.25" hidden="false" customHeight="false" outlineLevel="0" collapsed="false">
      <c r="C15" s="6" t="s">
        <v>23</v>
      </c>
      <c r="D15" s="2" t="s">
        <v>2</v>
      </c>
      <c r="E15" s="11" t="n">
        <v>0</v>
      </c>
      <c r="F15" s="11" t="n">
        <v>0</v>
      </c>
      <c r="G15" s="11" t="n">
        <v>0</v>
      </c>
    </row>
    <row r="16" customFormat="false" ht="14.25" hidden="false" customHeight="false" outlineLevel="0" collapsed="false">
      <c r="C16" s="6" t="s">
        <v>24</v>
      </c>
      <c r="D16" s="2" t="s">
        <v>2</v>
      </c>
      <c r="E16" s="11" t="n">
        <v>1</v>
      </c>
      <c r="F16" s="11" t="n">
        <v>1</v>
      </c>
      <c r="G16" s="11" t="n">
        <v>1</v>
      </c>
    </row>
    <row r="17" customFormat="false" ht="14.25" hidden="false" customHeight="false" outlineLevel="0" collapsed="false">
      <c r="C17" s="6" t="s">
        <v>25</v>
      </c>
      <c r="D17" s="2" t="s">
        <v>26</v>
      </c>
      <c r="E17" s="13" t="s">
        <v>27</v>
      </c>
      <c r="F17" s="13" t="s">
        <v>27</v>
      </c>
      <c r="G17" s="13" t="s">
        <v>27</v>
      </c>
    </row>
    <row r="18" customFormat="false" ht="14.25" hidden="false" customHeight="false" outlineLevel="0" collapsed="false">
      <c r="C18" s="6" t="s">
        <v>28</v>
      </c>
      <c r="D18" s="2" t="s">
        <v>18</v>
      </c>
      <c r="E18" s="7" t="n">
        <v>150</v>
      </c>
      <c r="F18" s="7" t="n">
        <v>150</v>
      </c>
      <c r="G18" s="7" t="n">
        <v>150</v>
      </c>
    </row>
    <row r="19" customFormat="false" ht="14.25" hidden="false" customHeight="false" outlineLevel="0" collapsed="false">
      <c r="C19" s="6" t="s">
        <v>29</v>
      </c>
      <c r="D19" s="2" t="s">
        <v>12</v>
      </c>
      <c r="E19" s="9" t="n">
        <v>0.7</v>
      </c>
      <c r="F19" s="9" t="n">
        <v>1</v>
      </c>
      <c r="G19" s="9" t="n">
        <v>1</v>
      </c>
    </row>
    <row r="20" customFormat="false" ht="14.25" hidden="false" customHeight="false" outlineLevel="0" collapsed="false">
      <c r="C20" s="6" t="s">
        <v>30</v>
      </c>
      <c r="D20" s="2" t="s">
        <v>2</v>
      </c>
      <c r="E20" s="11" t="n">
        <v>1</v>
      </c>
      <c r="F20" s="11" t="n">
        <v>0</v>
      </c>
      <c r="G20" s="11" t="n">
        <v>0</v>
      </c>
    </row>
    <row r="21" customFormat="false" ht="14.25" hidden="false" customHeight="false" outlineLevel="0" collapsed="false">
      <c r="C21" s="6" t="s">
        <v>31</v>
      </c>
      <c r="D21" s="2" t="s">
        <v>2</v>
      </c>
      <c r="E21" s="11" t="n">
        <v>1</v>
      </c>
      <c r="F21" s="11" t="n">
        <v>0</v>
      </c>
      <c r="G21" s="11" t="n">
        <v>0</v>
      </c>
    </row>
    <row r="22" customFormat="false" ht="14.25" hidden="false" customHeight="false" outlineLevel="0" collapsed="false">
      <c r="C22" s="6" t="s">
        <v>32</v>
      </c>
      <c r="D22" s="2" t="s">
        <v>33</v>
      </c>
      <c r="E22" s="14" t="n">
        <v>2500</v>
      </c>
      <c r="F22" s="14" t="n">
        <v>2500</v>
      </c>
      <c r="G22" s="14" t="n">
        <v>2500</v>
      </c>
    </row>
    <row r="24" customFormat="false" ht="14.25" hidden="false" customHeight="false" outlineLevel="0" collapsed="false">
      <c r="B24" s="4" t="s">
        <v>3</v>
      </c>
      <c r="C24" s="4" t="s">
        <v>34</v>
      </c>
      <c r="D24" s="4"/>
      <c r="E24" s="5" t="s">
        <v>35</v>
      </c>
      <c r="F24" s="5" t="s">
        <v>36</v>
      </c>
      <c r="G24" s="5" t="s">
        <v>37</v>
      </c>
      <c r="H24" s="5" t="s">
        <v>38</v>
      </c>
    </row>
    <row r="25" customFormat="false" ht="14.25" hidden="false" customHeight="false" outlineLevel="0" collapsed="false">
      <c r="C25" s="1" t="s">
        <v>39</v>
      </c>
      <c r="D25" s="2" t="s">
        <v>40</v>
      </c>
      <c r="H25" s="13" t="s">
        <v>35</v>
      </c>
    </row>
    <row r="26" customFormat="false" ht="14.25" hidden="false" customHeight="false" outlineLevel="0" collapsed="false">
      <c r="C26" s="6" t="s">
        <v>41</v>
      </c>
      <c r="D26" s="2" t="s">
        <v>42</v>
      </c>
      <c r="E26" s="7" t="n">
        <v>850</v>
      </c>
      <c r="F26" s="7" t="n">
        <v>950</v>
      </c>
      <c r="G26" s="7" t="n">
        <v>800</v>
      </c>
      <c r="H26" s="15" t="n">
        <f aca="false">INDEX(E26:G26,MATCH(Dash_Case,$E$24:$G$24,0))</f>
        <v>850</v>
      </c>
      <c r="J26" s="2" t="s">
        <v>43</v>
      </c>
    </row>
    <row r="27" customFormat="false" ht="14.25" hidden="false" customHeight="false" outlineLevel="0" collapsed="false">
      <c r="C27" s="6" t="s">
        <v>44</v>
      </c>
      <c r="D27" s="2" t="s">
        <v>42</v>
      </c>
      <c r="E27" s="7" t="n">
        <v>500</v>
      </c>
      <c r="F27" s="7" t="n">
        <v>600</v>
      </c>
      <c r="G27" s="7" t="n">
        <v>480</v>
      </c>
      <c r="H27" s="15" t="n">
        <f aca="false">INDEX(E27:G27,MATCH(Dash_Case,$E$24:$G$24,0))</f>
        <v>500</v>
      </c>
      <c r="J27" s="2" t="s">
        <v>45</v>
      </c>
    </row>
    <row r="28" customFormat="false" ht="14.25" hidden="false" customHeight="false" outlineLevel="0" collapsed="false">
      <c r="C28" s="6" t="s">
        <v>46</v>
      </c>
      <c r="D28" s="2" t="s">
        <v>20</v>
      </c>
      <c r="E28" s="10" t="n">
        <v>90</v>
      </c>
      <c r="F28" s="10" t="n">
        <v>90</v>
      </c>
      <c r="G28" s="10" t="n">
        <v>100</v>
      </c>
      <c r="H28" s="16" t="n">
        <f aca="false">INDEX(E28:G28,MATCH(Dash_Case,$E$24:$G$24,0))</f>
        <v>90</v>
      </c>
      <c r="J28" s="2" t="s">
        <v>47</v>
      </c>
    </row>
    <row r="29" customFormat="false" ht="14.25" hidden="false" customHeight="false" outlineLevel="0" collapsed="false">
      <c r="C29" s="6" t="s">
        <v>48</v>
      </c>
      <c r="D29" s="2" t="s">
        <v>33</v>
      </c>
      <c r="E29" s="7" t="n">
        <v>2400</v>
      </c>
      <c r="F29" s="7" t="n">
        <v>2350</v>
      </c>
      <c r="G29" s="7" t="n">
        <v>2500</v>
      </c>
      <c r="H29" s="15" t="n">
        <f aca="false">INDEX(E29:G29,MATCH(Dash_Case,$E$24:$G$24,0))</f>
        <v>2400</v>
      </c>
      <c r="J29" s="2" t="s">
        <v>49</v>
      </c>
    </row>
    <row r="30" customFormat="false" ht="14.25" hidden="false" customHeight="false" outlineLevel="0" collapsed="false">
      <c r="C30" s="6" t="s">
        <v>50</v>
      </c>
      <c r="D30" s="2" t="s">
        <v>51</v>
      </c>
      <c r="E30" s="10" t="n">
        <v>12</v>
      </c>
      <c r="F30" s="10" t="n">
        <v>12</v>
      </c>
      <c r="G30" s="10" t="n">
        <v>10</v>
      </c>
      <c r="H30" s="16" t="n">
        <f aca="false">INDEX(E30:G30,MATCH(Dash_Case,$E$24:$G$24,0))</f>
        <v>12</v>
      </c>
      <c r="J30" s="2" t="s">
        <v>52</v>
      </c>
    </row>
    <row r="32" customFormat="false" ht="14.25" hidden="false" customHeight="false" outlineLevel="0" collapsed="false">
      <c r="B32" s="4" t="s">
        <v>3</v>
      </c>
      <c r="C32" s="4" t="s">
        <v>53</v>
      </c>
      <c r="D32" s="4"/>
      <c r="E32" s="5" t="s">
        <v>5</v>
      </c>
      <c r="F32" s="5" t="s">
        <v>6</v>
      </c>
      <c r="G32" s="5" t="s">
        <v>7</v>
      </c>
      <c r="H32" s="5" t="s">
        <v>8</v>
      </c>
    </row>
    <row r="33" customFormat="false" ht="14.25" hidden="false" customHeight="false" outlineLevel="0" collapsed="false">
      <c r="C33" s="6" t="s">
        <v>54</v>
      </c>
      <c r="D33" s="2" t="s">
        <v>55</v>
      </c>
      <c r="E33" s="17" t="n">
        <f aca="false">INDEX(Osz1_Pts,1+SUMPRODUCT((Osz1_LB&lt;E11)+(Osz1_LB=E11)*Osz1_Incl))*Osz1_W</f>
        <v>4</v>
      </c>
      <c r="F33" s="17" t="n">
        <f aca="false">INDEX(Osz1_Pts,1+SUMPRODUCT((Osz1_LB&lt;F11)+(Osz1_LB=F11)*Osz1_Incl))*Osz1_W</f>
        <v>20</v>
      </c>
      <c r="G33" s="17" t="n">
        <f aca="false">INDEX(Osz1_Pts,1+SUMPRODUCT((Osz1_LB&lt;G11)+(Osz1_LB=G11)*Osz1_Incl))*Osz1_W</f>
        <v>20</v>
      </c>
    </row>
    <row r="34" customFormat="false" ht="14.25" hidden="false" customHeight="false" outlineLevel="0" collapsed="false">
      <c r="C34" s="6" t="s">
        <v>56</v>
      </c>
      <c r="D34" s="2" t="s">
        <v>55</v>
      </c>
      <c r="E34" s="17" t="n">
        <f aca="false">INDEX(Osz2_Pts,1+SUMPRODUCT((Osz2_LB&lt;E12)+(Osz2_LB=E12)*Osz2_Incl))*Osz2_W</f>
        <v>0</v>
      </c>
      <c r="F34" s="17" t="n">
        <f aca="false">INDEX(Osz2_Pts,1+SUMPRODUCT((Osz2_LB&lt;F12)+(Osz2_LB=F12)*Osz2_Incl))*Osz2_W</f>
        <v>15</v>
      </c>
      <c r="G34" s="17" t="n">
        <f aca="false">INDEX(Osz2_Pts,1+SUMPRODUCT((Osz2_LB&lt;G12)+(Osz2_LB=G12)*Osz2_Incl))*Osz2_W</f>
        <v>15</v>
      </c>
    </row>
    <row r="35" customFormat="false" ht="14.25" hidden="false" customHeight="false" outlineLevel="0" collapsed="false">
      <c r="C35" s="6" t="s">
        <v>57</v>
      </c>
      <c r="D35" s="2" t="s">
        <v>55</v>
      </c>
      <c r="E35" s="17" t="n">
        <f aca="false">INDEX(Osz3_Pts,1+SUMPRODUCT((Osz3_LB&lt;E7)+(Osz3_LB=E7)*Osz3_Incl))*Osz3_W</f>
        <v>5</v>
      </c>
      <c r="F35" s="17" t="n">
        <f aca="false">INDEX(Osz3_Pts,1+SUMPRODUCT((Osz3_LB&lt;F7)+(Osz3_LB=F7)*Osz3_Incl))*Osz3_W</f>
        <v>9</v>
      </c>
      <c r="G35" s="17" t="n">
        <f aca="false">INDEX(Osz3_Pts,1+SUMPRODUCT((Osz3_LB&lt;G7)+(Osz3_LB=G7)*Osz3_Incl))*Osz3_W</f>
        <v>9</v>
      </c>
    </row>
    <row r="36" customFormat="false" ht="14.25" hidden="false" customHeight="false" outlineLevel="0" collapsed="false">
      <c r="C36" s="6" t="s">
        <v>58</v>
      </c>
      <c r="D36" s="2" t="s">
        <v>55</v>
      </c>
      <c r="E36" s="17" t="n">
        <f aca="false" t="array" ref="E36:E36">INDEX(Osz4_Pts,1+SUMPRODUCT((Osz4_LB&lt;E8)+(Osz4_LB=E8)*Osz4_Incl))*Osz4_W</f>
        <v>4.5</v>
      </c>
      <c r="F36" s="17" t="n">
        <f aca="false" t="array" ref="F36:F36">INDEX(Osz4_Pts,1+SUMPRODUCT((Osz4_LB&lt;F8)+(Osz4_LB=F8)*Osz4_Incl))*Osz4_W</f>
        <v>7.5</v>
      </c>
      <c r="G36" s="17" t="n">
        <f aca="false" t="array" ref="G36:G36">INDEX(Osz4_Pts,1+SUMPRODUCT((Osz4_LB&lt;G8)+(Osz4_LB=G8)*Osz4_Incl))*Osz4_W</f>
        <v>7.5</v>
      </c>
    </row>
    <row r="37" customFormat="false" ht="14.25" hidden="false" customHeight="false" outlineLevel="0" collapsed="false">
      <c r="C37" s="6" t="s">
        <v>59</v>
      </c>
      <c r="D37" s="2" t="s">
        <v>55</v>
      </c>
      <c r="E37" s="17" t="n">
        <f aca="false">E13*Osz5_Pts*Osz5_W</f>
        <v>5</v>
      </c>
      <c r="F37" s="17" t="n">
        <f aca="false">F13*Osz5_Pts*Osz5_W</f>
        <v>5</v>
      </c>
      <c r="G37" s="17" t="n">
        <f aca="false">G13*Osz5_Pts*Osz5_W</f>
        <v>5</v>
      </c>
    </row>
    <row r="38" customFormat="false" ht="14.25" hidden="false" customHeight="false" outlineLevel="0" collapsed="false">
      <c r="C38" s="6" t="s">
        <v>60</v>
      </c>
      <c r="D38" s="2" t="s">
        <v>55</v>
      </c>
      <c r="E38" s="17" t="n">
        <f aca="false">INDEX(Osz6_Pts,1+SUMPRODUCT((Osz6_LB&lt;E14)+(Osz6_LB=E14)*Osz6_Incl))*Osz6_W</f>
        <v>0</v>
      </c>
      <c r="F38" s="17" t="n">
        <f aca="false">INDEX(Osz6_Pts,1+SUMPRODUCT((Osz6_LB&lt;F14)+(Osz6_LB=F14)*Osz6_Incl))*Osz6_W</f>
        <v>0</v>
      </c>
      <c r="G38" s="17" t="n">
        <f aca="false">INDEX(Osz6_Pts,1+SUMPRODUCT((Osz6_LB&lt;G14)+(Osz6_LB=G14)*Osz6_Incl))*Osz6_W</f>
        <v>0</v>
      </c>
    </row>
    <row r="39" customFormat="false" ht="14.25" hidden="false" customHeight="false" outlineLevel="0" collapsed="false">
      <c r="C39" s="6" t="s">
        <v>61</v>
      </c>
      <c r="D39" s="2" t="s">
        <v>55</v>
      </c>
      <c r="E39" s="17" t="n">
        <f aca="false">E15*Osz7_Pts*Osz7_W</f>
        <v>0</v>
      </c>
      <c r="F39" s="17" t="n">
        <f aca="false">F15*Osz7_Pts*Osz7_W</f>
        <v>0</v>
      </c>
      <c r="G39" s="17" t="n">
        <f aca="false">G15*Osz7_Pts*Osz7_W</f>
        <v>0</v>
      </c>
    </row>
    <row r="40" customFormat="false" ht="14.25" hidden="false" customHeight="false" outlineLevel="0" collapsed="false">
      <c r="C40" s="6" t="s">
        <v>62</v>
      </c>
      <c r="D40" s="2" t="s">
        <v>55</v>
      </c>
      <c r="E40" s="17" t="n">
        <f aca="false">E16*Osz8_Pts*Osz8_W</f>
        <v>5</v>
      </c>
      <c r="F40" s="17" t="n">
        <f aca="false">F16*Osz8_Pts*Osz8_W</f>
        <v>5</v>
      </c>
      <c r="G40" s="17" t="n">
        <f aca="false">G16*Osz8_Pts*Osz8_W</f>
        <v>5</v>
      </c>
    </row>
    <row r="41" customFormat="false" ht="14.25" hidden="false" customHeight="false" outlineLevel="0" collapsed="false">
      <c r="C41" s="6" t="s">
        <v>63</v>
      </c>
      <c r="D41" s="2" t="s">
        <v>55</v>
      </c>
      <c r="E41" s="17" t="n">
        <f aca="false">N(E17="EU")*Osz9a_Pts*Osz9_W</f>
        <v>0</v>
      </c>
      <c r="F41" s="17" t="n">
        <f aca="false">N(F17="EU")*Osz9a_Pts*Osz9_W</f>
        <v>0</v>
      </c>
      <c r="G41" s="17" t="n">
        <f aca="false">N(G17="EU")*Osz9a_Pts*Osz9_W</f>
        <v>0</v>
      </c>
    </row>
    <row r="42" customFormat="false" ht="14.25" hidden="false" customHeight="false" outlineLevel="0" collapsed="false">
      <c r="C42" s="6" t="s">
        <v>64</v>
      </c>
      <c r="D42" s="2" t="s">
        <v>55</v>
      </c>
      <c r="E42" s="17" t="n">
        <f aca="false">Inputs!E$19*Osz9b_Pts*Osz9_W</f>
        <v>0</v>
      </c>
      <c r="F42" s="17" t="n">
        <f aca="false">Inputs!F$19*Osz9b_Pts*Osz9_W</f>
        <v>0</v>
      </c>
      <c r="G42" s="17" t="n">
        <f aca="false">Inputs!G$19*Osz9b_Pts*Osz9_W</f>
        <v>0</v>
      </c>
    </row>
    <row r="43" customFormat="false" ht="14.25" hidden="false" customHeight="false" outlineLevel="0" collapsed="false">
      <c r="C43" s="1" t="s">
        <v>65</v>
      </c>
      <c r="D43" s="2" t="s">
        <v>55</v>
      </c>
      <c r="E43" s="18" t="n">
        <f aca="false">SUM(E33:E42)</f>
        <v>23.5</v>
      </c>
      <c r="F43" s="18" t="n">
        <f aca="false">SUM(F33:F42)</f>
        <v>61.5</v>
      </c>
      <c r="G43" s="18" t="n">
        <f aca="false">SUM(G33:G42)</f>
        <v>61.5</v>
      </c>
    </row>
    <row r="44" customFormat="false" ht="14.25" hidden="false" customHeight="false" outlineLevel="0" collapsed="false">
      <c r="C44" s="6" t="s">
        <v>66</v>
      </c>
      <c r="D44" s="2" t="s">
        <v>67</v>
      </c>
      <c r="E44" s="17" t="n">
        <f aca="false">E6*(1+E7)</f>
        <v>60</v>
      </c>
      <c r="F44" s="17" t="n">
        <f aca="false">F6*(1+F7)</f>
        <v>70</v>
      </c>
      <c r="G44" s="17" t="n">
        <f aca="false">G6*(1+G7)</f>
        <v>70</v>
      </c>
      <c r="H44" s="17" t="n">
        <f aca="false">SUM(E44:G44)</f>
        <v>200</v>
      </c>
    </row>
    <row r="45" customFormat="false" ht="14.25" hidden="false" customHeight="false" outlineLevel="0" collapsed="false">
      <c r="C45" s="6" t="s">
        <v>68</v>
      </c>
      <c r="D45" s="2" t="s">
        <v>69</v>
      </c>
      <c r="E45" s="17" t="n">
        <f aca="false">E6*E8*E9</f>
        <v>20</v>
      </c>
      <c r="F45" s="17" t="n">
        <f aca="false">F6*F8*F9</f>
        <v>40</v>
      </c>
      <c r="G45" s="17" t="n">
        <f aca="false">G6*G8*G9</f>
        <v>40</v>
      </c>
      <c r="H45" s="17" t="n">
        <f aca="false">SUM(E45:G45)</f>
        <v>100</v>
      </c>
    </row>
    <row r="46" customFormat="false" ht="14.25" hidden="false" customHeight="false" outlineLevel="0" collapsed="false">
      <c r="C46" s="6" t="s">
        <v>70</v>
      </c>
      <c r="D46" s="2" t="s">
        <v>67</v>
      </c>
      <c r="E46" s="17" t="n">
        <f aca="false">E44*(1-E10)</f>
        <v>54</v>
      </c>
      <c r="F46" s="17" t="n">
        <f aca="false">F44*(1-F10)</f>
        <v>63</v>
      </c>
      <c r="G46" s="17" t="n">
        <f aca="false">G44*(1-G10)</f>
        <v>63</v>
      </c>
      <c r="H46" s="17" t="n">
        <f aca="false">SUM(E46:G46)</f>
        <v>180</v>
      </c>
    </row>
    <row r="47" customFormat="false" ht="14.25" hidden="false" customHeight="false" outlineLevel="0" collapsed="false">
      <c r="K47" s="19"/>
      <c r="L47" s="19"/>
      <c r="M47" s="19"/>
    </row>
    <row r="48" customFormat="false" ht="14.25" hidden="false" customHeight="false" outlineLevel="0" collapsed="false">
      <c r="B48" s="4" t="s">
        <v>3</v>
      </c>
      <c r="C48" s="4" t="s">
        <v>71</v>
      </c>
      <c r="D48" s="4"/>
      <c r="E48" s="5" t="s">
        <v>5</v>
      </c>
      <c r="F48" s="5" t="s">
        <v>6</v>
      </c>
      <c r="G48" s="5" t="s">
        <v>7</v>
      </c>
      <c r="H48" s="5" t="s">
        <v>8</v>
      </c>
      <c r="J48" s="5" t="s">
        <v>72</v>
      </c>
      <c r="K48" s="20"/>
      <c r="L48" s="20"/>
      <c r="M48" s="19"/>
    </row>
    <row r="49" customFormat="false" ht="14.25" hidden="false" customHeight="false" outlineLevel="0" collapsed="false">
      <c r="C49" s="21" t="s">
        <v>73</v>
      </c>
      <c r="D49" s="22" t="s">
        <v>74</v>
      </c>
      <c r="E49" s="23" t="n">
        <f aca="false">Part_Fee</f>
        <v>3000000</v>
      </c>
      <c r="F49" s="23" t="n">
        <f aca="false">Part_Fee</f>
        <v>3000000</v>
      </c>
      <c r="G49" s="23" t="n">
        <f aca="false">Part_Fee</f>
        <v>3000000</v>
      </c>
      <c r="H49" s="23" t="n">
        <f aca="false">SUM(E49:G49)</f>
        <v>9000000</v>
      </c>
      <c r="J49" s="24" t="n">
        <f aca="false">Inputs!E$21</f>
        <v>46325</v>
      </c>
      <c r="K49" s="25"/>
      <c r="L49" s="25"/>
      <c r="M49" s="19"/>
    </row>
    <row r="50" customFormat="false" ht="14.25" hidden="false" customHeight="false" outlineLevel="0" collapsed="false">
      <c r="C50" s="21" t="s">
        <v>75</v>
      </c>
      <c r="D50" s="22" t="s">
        <v>74</v>
      </c>
      <c r="E50" s="23" t="n">
        <f aca="false">Bid_Sec_Rate*(E44*Bench_Wind+E45*Bench_BESS)</f>
        <v>141800000</v>
      </c>
      <c r="F50" s="23" t="n">
        <f aca="false">Bid_Sec_Rate*(F44*Bench_Wind+F45*Bench_BESS)</f>
        <v>182100000</v>
      </c>
      <c r="G50" s="23" t="n">
        <f aca="false">Bid_Sec_Rate*(G44*Bench_Wind+G45*Bench_BESS)</f>
        <v>182100000</v>
      </c>
      <c r="H50" s="23" t="n">
        <f aca="false">SUM(E50:G50)</f>
        <v>506000000</v>
      </c>
      <c r="J50" s="24" t="n">
        <f aca="false">Inputs!E$21</f>
        <v>46325</v>
      </c>
      <c r="K50" s="25"/>
      <c r="L50" s="25"/>
      <c r="M50" s="19"/>
    </row>
    <row r="51" customFormat="false" ht="14.25" hidden="false" customHeight="false" outlineLevel="0" collapsed="false">
      <c r="C51" s="21" t="s">
        <v>76</v>
      </c>
      <c r="D51" s="22" t="s">
        <v>74</v>
      </c>
      <c r="E51" s="23" t="n">
        <f aca="false">PB_Rate*E14*(E44*Bench_Wind+E45*Bench_BESS)-E50</f>
        <v>567200000</v>
      </c>
      <c r="F51" s="23" t="n">
        <f aca="false">PB_Rate*F14*(F44*Bench_Wind+F45*Bench_BESS)-F50</f>
        <v>728400000</v>
      </c>
      <c r="G51" s="23" t="n">
        <f aca="false">PB_Rate*G14*(G44*Bench_Wind+G45*Bench_BESS)-G50</f>
        <v>728400000</v>
      </c>
      <c r="H51" s="23" t="n">
        <f aca="false">SUM(E51:G51)</f>
        <v>2024000000</v>
      </c>
      <c r="J51" s="24" t="n">
        <f aca="false">Inputs!E$22</f>
        <v>46402</v>
      </c>
      <c r="K51" s="25"/>
      <c r="L51" s="25"/>
      <c r="M51" s="19"/>
    </row>
    <row r="52" customFormat="false" ht="14.25" hidden="false" customHeight="false" outlineLevel="0" collapsed="false">
      <c r="C52" s="26" t="s">
        <v>77</v>
      </c>
      <c r="D52" s="27" t="s">
        <v>74</v>
      </c>
      <c r="E52" s="28" t="n">
        <f aca="false">TSO_Rate*E6</f>
        <v>225000000</v>
      </c>
      <c r="F52" s="28" t="n">
        <f aca="false">TSO_Rate*F6</f>
        <v>225000000</v>
      </c>
      <c r="G52" s="28" t="n">
        <f aca="false">TSO_Rate*G6</f>
        <v>225000000</v>
      </c>
      <c r="H52" s="28" t="n">
        <f aca="false">SUM(E52:G52)</f>
        <v>675000000</v>
      </c>
      <c r="J52" s="24" t="n">
        <f aca="false">Inputs!E$23</f>
        <v>46402</v>
      </c>
      <c r="K52" s="25"/>
      <c r="L52" s="25"/>
      <c r="M52" s="19"/>
    </row>
    <row r="53" customFormat="false" ht="14.25" hidden="false" customHeight="false" outlineLevel="0" collapsed="false">
      <c r="C53" s="29" t="s">
        <v>78</v>
      </c>
      <c r="D53" s="30" t="s">
        <v>74</v>
      </c>
      <c r="E53" s="31" t="n">
        <f aca="false">Inputs!E$15/Inputs!E$16</f>
        <v>254172902</v>
      </c>
      <c r="F53" s="31" t="n">
        <f aca="false">Inputs!F$15/Inputs!F$16</f>
        <v>460000000</v>
      </c>
      <c r="G53" s="31" t="n">
        <f aca="false">Inputs!G$15/Inputs!G$16</f>
        <v>460000000</v>
      </c>
      <c r="H53" s="31" t="n">
        <f aca="false">SUM(E53:G53)</f>
        <v>1174172902</v>
      </c>
      <c r="J53" s="24" t="n">
        <f aca="false">Inputs!E$24</f>
        <v>47027</v>
      </c>
      <c r="K53" s="25"/>
      <c r="L53" s="25"/>
      <c r="M53" s="19"/>
    </row>
    <row r="54" customFormat="false" ht="14.25" hidden="false" customHeight="false" outlineLevel="0" collapsed="false">
      <c r="C54" s="29" t="s">
        <v>79</v>
      </c>
      <c r="D54" s="30" t="s">
        <v>74</v>
      </c>
      <c r="E54" s="31" t="n">
        <f aca="false">Inputs!E$14*E6-E52</f>
        <v>3428565300</v>
      </c>
      <c r="F54" s="31" t="n">
        <f aca="false">Inputs!F$14*F6-F52</f>
        <v>766334000</v>
      </c>
      <c r="G54" s="31" t="n">
        <f aca="false">Inputs!G$14*G6-G52</f>
        <v>766334000</v>
      </c>
      <c r="H54" s="31" t="n">
        <f aca="false">SUM(E54:G54)</f>
        <v>4961233300</v>
      </c>
      <c r="J54" s="24" t="n">
        <f aca="false">Inputs!E$24</f>
        <v>47027</v>
      </c>
      <c r="K54" s="25"/>
      <c r="L54" s="25"/>
      <c r="M54" s="19"/>
    </row>
    <row r="55" customFormat="false" ht="14.25" hidden="false" customHeight="false" outlineLevel="0" collapsed="false">
      <c r="C55" s="6" t="s">
        <v>80</v>
      </c>
      <c r="D55" s="2" t="s">
        <v>74</v>
      </c>
      <c r="E55" s="8" t="n">
        <f aca="false">SUMIF(Devex_Class,"Devex",Devex_HUF)*Inputs!E$18</f>
        <v>255901067.967347</v>
      </c>
      <c r="F55" s="8" t="n">
        <f aca="false">SUMIF(Devex_Class,"Devex",Devex_HUF)*Inputs!F$18</f>
        <v>255901067.967347</v>
      </c>
      <c r="G55" s="8" t="n">
        <f aca="false">SUMIF(Devex_Class,"Devex",Devex_HUF)*Inputs!G$18</f>
        <v>255901067.967347</v>
      </c>
      <c r="H55" s="8" t="n">
        <f aca="false">SUM(E55:G55)</f>
        <v>767703203.902041</v>
      </c>
      <c r="J55" s="24" t="n">
        <f aca="false">SUMPRODUCT((Devex_Class="Devex")*Devex_HUF,Devex_Date)/SUMIF(Devex_Class,"Devex",Devex_HUF)</f>
        <v>46714.1242758881</v>
      </c>
      <c r="K55" s="25"/>
      <c r="L55" s="25"/>
      <c r="M55" s="19"/>
    </row>
    <row r="56" customFormat="false" ht="14.25" hidden="false" customHeight="false" outlineLevel="0" collapsed="false">
      <c r="C56" s="6" t="s">
        <v>81</v>
      </c>
      <c r="D56" s="2" t="s">
        <v>74</v>
      </c>
      <c r="E56" s="8" t="n">
        <f aca="false">SUMIF(Devex_Class,"Land",Devex_HUF)*Inputs!E$18</f>
        <v>39347625</v>
      </c>
      <c r="F56" s="8" t="n">
        <f aca="false">SUMIF(Devex_Class,"Land",Devex_HUF)*Inputs!F$18</f>
        <v>39347625</v>
      </c>
      <c r="G56" s="8" t="n">
        <f aca="false">SUMIF(Devex_Class,"Land",Devex_HUF)*Inputs!G$18</f>
        <v>39347625</v>
      </c>
      <c r="H56" s="8" t="n">
        <f aca="false">SUM(E56:G56)</f>
        <v>118042875</v>
      </c>
      <c r="J56" s="24" t="n">
        <f aca="false">SUMPRODUCT((Devex_Class="Land")*Devex_HUF,Devex_Date)/SUMIF(Devex_Class,"Land",Devex_HUF)</f>
        <v>46877.176865821</v>
      </c>
      <c r="K56" s="25"/>
      <c r="L56" s="25"/>
      <c r="M56" s="19"/>
    </row>
    <row r="57" customFormat="false" ht="14.25" hidden="false" customHeight="false" outlineLevel="0" collapsed="false">
      <c r="C57" s="6" t="s">
        <v>82</v>
      </c>
      <c r="D57" s="2" t="s">
        <v>74</v>
      </c>
      <c r="E57" s="8" t="n">
        <f aca="false">Inputs!E$17*FX*Thousand</f>
        <v>49275000</v>
      </c>
      <c r="F57" s="8" t="n">
        <f aca="false">Inputs!F$17*FX*Thousand</f>
        <v>49275000</v>
      </c>
      <c r="G57" s="8" t="n">
        <f aca="false">Inputs!G$17*FX*Thousand</f>
        <v>49275000</v>
      </c>
      <c r="H57" s="8" t="n">
        <f aca="false">SUM(E57:G57)</f>
        <v>147825000</v>
      </c>
      <c r="J57" s="24" t="n">
        <f aca="false">Inputs!E$20</f>
        <v>46234</v>
      </c>
      <c r="K57" s="25"/>
      <c r="L57" s="25"/>
      <c r="M57" s="19"/>
    </row>
    <row r="58" customFormat="false" ht="14.25" hidden="false" customHeight="false" outlineLevel="0" collapsed="false">
      <c r="C58" s="1" t="s">
        <v>83</v>
      </c>
      <c r="D58" s="2" t="s">
        <v>74</v>
      </c>
      <c r="E58" s="32" t="n">
        <f aca="false">SUM(E49:E57)</f>
        <v>4964261894.96735</v>
      </c>
      <c r="F58" s="32" t="n">
        <f aca="false">SUM(F49:F57)</f>
        <v>2709357692.96735</v>
      </c>
      <c r="G58" s="32" t="n">
        <f aca="false">SUM(G49:G57)</f>
        <v>2709357692.96735</v>
      </c>
      <c r="H58" s="32" t="n">
        <f aca="false">SUM(E58:G58)</f>
        <v>10382977280.902</v>
      </c>
      <c r="K58" s="19"/>
      <c r="L58" s="19"/>
      <c r="M58" s="19"/>
    </row>
    <row r="59" customFormat="false" ht="14.25" hidden="false" customHeight="false" outlineLevel="0" collapsed="false">
      <c r="K59" s="19"/>
      <c r="L59" s="19"/>
      <c r="M59" s="19"/>
    </row>
    <row r="60" customFormat="false" ht="14.25" hidden="false" customHeight="false" outlineLevel="0" collapsed="false">
      <c r="B60" s="4" t="s">
        <v>3</v>
      </c>
      <c r="C60" s="4" t="s">
        <v>84</v>
      </c>
      <c r="D60" s="4"/>
      <c r="E60" s="5" t="s">
        <v>5</v>
      </c>
      <c r="F60" s="5" t="s">
        <v>6</v>
      </c>
      <c r="G60" s="5" t="s">
        <v>7</v>
      </c>
      <c r="H60" s="5" t="s">
        <v>8</v>
      </c>
      <c r="J60" s="5" t="s">
        <v>72</v>
      </c>
      <c r="K60" s="20"/>
      <c r="L60" s="20"/>
      <c r="M60" s="19"/>
    </row>
    <row r="61" customFormat="false" ht="14.25" hidden="false" customHeight="false" outlineLevel="0" collapsed="false">
      <c r="C61" s="21" t="s">
        <v>73</v>
      </c>
      <c r="D61" s="22" t="s">
        <v>85</v>
      </c>
      <c r="E61" s="33" t="n">
        <f aca="false">E49/FX/Thousand</f>
        <v>8.21917808219178</v>
      </c>
      <c r="F61" s="33" t="n">
        <f aca="false">F49/FX/Thousand</f>
        <v>8.21917808219178</v>
      </c>
      <c r="G61" s="33" t="n">
        <f aca="false">G49/FX/Thousand</f>
        <v>8.21917808219178</v>
      </c>
      <c r="H61" s="33" t="n">
        <f aca="false">SUM(E61:G61)</f>
        <v>24.6575342465753</v>
      </c>
      <c r="J61" s="24" t="n">
        <f aca="false">Inputs!E$21</f>
        <v>46325</v>
      </c>
      <c r="K61" s="25"/>
      <c r="L61" s="25"/>
      <c r="M61" s="19"/>
    </row>
    <row r="62" customFormat="false" ht="14.25" hidden="false" customHeight="false" outlineLevel="0" collapsed="false">
      <c r="C62" s="21" t="s">
        <v>75</v>
      </c>
      <c r="D62" s="22" t="s">
        <v>85</v>
      </c>
      <c r="E62" s="23" t="n">
        <f aca="false">E50/FX/Thousand</f>
        <v>388.493150684932</v>
      </c>
      <c r="F62" s="23" t="n">
        <f aca="false">F50/FX/Thousand</f>
        <v>498.904109589041</v>
      </c>
      <c r="G62" s="23" t="n">
        <f aca="false">G50/FX/Thousand</f>
        <v>498.904109589041</v>
      </c>
      <c r="H62" s="23" t="n">
        <f aca="false">SUM(E62:G62)</f>
        <v>1386.30136986301</v>
      </c>
      <c r="J62" s="24" t="n">
        <f aca="false">Inputs!E$21</f>
        <v>46325</v>
      </c>
      <c r="K62" s="25"/>
      <c r="L62" s="25"/>
      <c r="M62" s="19"/>
    </row>
    <row r="63" customFormat="false" ht="14.25" hidden="false" customHeight="false" outlineLevel="0" collapsed="false">
      <c r="C63" s="21" t="s">
        <v>76</v>
      </c>
      <c r="D63" s="22" t="s">
        <v>85</v>
      </c>
      <c r="E63" s="23" t="n">
        <f aca="false">E51/FX/Thousand</f>
        <v>1553.97260273973</v>
      </c>
      <c r="F63" s="23" t="n">
        <f aca="false">F51/FX/Thousand</f>
        <v>1995.61643835616</v>
      </c>
      <c r="G63" s="23" t="n">
        <f aca="false">G51/FX/Thousand</f>
        <v>1995.61643835616</v>
      </c>
      <c r="H63" s="23" t="n">
        <f aca="false">SUM(E63:G63)</f>
        <v>5545.20547945205</v>
      </c>
      <c r="J63" s="24" t="n">
        <f aca="false">Inputs!E$22</f>
        <v>46402</v>
      </c>
      <c r="K63" s="25"/>
      <c r="L63" s="25"/>
      <c r="M63" s="19"/>
    </row>
    <row r="64" customFormat="false" ht="14.25" hidden="false" customHeight="false" outlineLevel="0" collapsed="false">
      <c r="C64" s="26" t="s">
        <v>77</v>
      </c>
      <c r="D64" s="27" t="s">
        <v>85</v>
      </c>
      <c r="E64" s="28" t="n">
        <f aca="false">E52/FX/Thousand</f>
        <v>616.438356164384</v>
      </c>
      <c r="F64" s="28" t="n">
        <f aca="false">F52/FX/Thousand</f>
        <v>616.438356164384</v>
      </c>
      <c r="G64" s="28" t="n">
        <f aca="false">G52/FX/Thousand</f>
        <v>616.438356164384</v>
      </c>
      <c r="H64" s="28" t="n">
        <f aca="false">SUM(E64:G64)</f>
        <v>1849.31506849315</v>
      </c>
      <c r="J64" s="24" t="n">
        <f aca="false">Inputs!E$23</f>
        <v>46402</v>
      </c>
      <c r="K64" s="24"/>
      <c r="L64" s="24"/>
    </row>
    <row r="65" customFormat="false" ht="14.25" hidden="false" customHeight="false" outlineLevel="0" collapsed="false">
      <c r="C65" s="29" t="s">
        <v>78</v>
      </c>
      <c r="D65" s="30" t="s">
        <v>85</v>
      </c>
      <c r="E65" s="31" t="n">
        <f aca="false">E53/FX/Thousand</f>
        <v>696.364115068493</v>
      </c>
      <c r="F65" s="31" t="n">
        <f aca="false">F53/FX/Thousand</f>
        <v>1260.27397260274</v>
      </c>
      <c r="G65" s="31" t="n">
        <f aca="false">G53/FX/Thousand</f>
        <v>1260.27397260274</v>
      </c>
      <c r="H65" s="31" t="n">
        <f aca="false">SUM(E65:G65)</f>
        <v>3216.91206027397</v>
      </c>
      <c r="J65" s="24" t="n">
        <f aca="false">Inputs!E$24</f>
        <v>47027</v>
      </c>
      <c r="K65" s="24"/>
      <c r="L65" s="24"/>
    </row>
    <row r="66" customFormat="false" ht="14.25" hidden="false" customHeight="false" outlineLevel="0" collapsed="false">
      <c r="C66" s="29" t="s">
        <v>79</v>
      </c>
      <c r="D66" s="30" t="s">
        <v>85</v>
      </c>
      <c r="E66" s="31" t="n">
        <f aca="false">E54/FX/Thousand</f>
        <v>9393.3295890411</v>
      </c>
      <c r="F66" s="31" t="n">
        <f aca="false">F54/FX/Thousand</f>
        <v>2099.54520547945</v>
      </c>
      <c r="G66" s="31" t="n">
        <f aca="false">G54/FX/Thousand</f>
        <v>2099.54520547945</v>
      </c>
      <c r="H66" s="31" t="n">
        <f aca="false">SUM(E66:G66)</f>
        <v>13592.42</v>
      </c>
      <c r="J66" s="24" t="n">
        <f aca="false">Inputs!E$24</f>
        <v>47027</v>
      </c>
      <c r="K66" s="24"/>
      <c r="L66" s="24"/>
    </row>
    <row r="67" customFormat="false" ht="14.25" hidden="false" customHeight="false" outlineLevel="0" collapsed="false">
      <c r="C67" s="6" t="s">
        <v>80</v>
      </c>
      <c r="D67" s="2" t="s">
        <v>85</v>
      </c>
      <c r="E67" s="8" t="n">
        <f aca="false">E55/FX/Thousand</f>
        <v>701.098816348896</v>
      </c>
      <c r="F67" s="8" t="n">
        <f aca="false">F55/FX/Thousand</f>
        <v>701.098816348896</v>
      </c>
      <c r="G67" s="8" t="n">
        <f aca="false">G55/FX/Thousand</f>
        <v>701.098816348896</v>
      </c>
      <c r="H67" s="8" t="n">
        <f aca="false">SUM(E67:G67)</f>
        <v>2103.29644904669</v>
      </c>
      <c r="J67" s="24" t="n">
        <f aca="false">J55</f>
        <v>46714.1242758881</v>
      </c>
      <c r="K67" s="24"/>
      <c r="L67" s="24"/>
    </row>
    <row r="68" customFormat="false" ht="14.25" hidden="false" customHeight="false" outlineLevel="0" collapsed="false">
      <c r="C68" s="6" t="s">
        <v>81</v>
      </c>
      <c r="D68" s="2" t="s">
        <v>85</v>
      </c>
      <c r="E68" s="8" t="n">
        <f aca="false">E56/FX/Thousand</f>
        <v>107.801712328767</v>
      </c>
      <c r="F68" s="8" t="n">
        <f aca="false">F56/FX/Thousand</f>
        <v>107.801712328767</v>
      </c>
      <c r="G68" s="8" t="n">
        <f aca="false">G56/FX/Thousand</f>
        <v>107.801712328767</v>
      </c>
      <c r="H68" s="8" t="n">
        <f aca="false">SUM(E68:G68)</f>
        <v>323.405136986301</v>
      </c>
      <c r="J68" s="24" t="n">
        <f aca="false">J56</f>
        <v>46877.176865821</v>
      </c>
      <c r="K68" s="24"/>
      <c r="L68" s="24"/>
    </row>
    <row r="69" customFormat="false" ht="14.25" hidden="false" customHeight="false" outlineLevel="0" collapsed="false">
      <c r="C69" s="6" t="s">
        <v>82</v>
      </c>
      <c r="D69" s="2" t="s">
        <v>85</v>
      </c>
      <c r="E69" s="8" t="n">
        <f aca="false">E57/FX/Thousand</f>
        <v>135</v>
      </c>
      <c r="F69" s="8" t="n">
        <f aca="false">F57/FX/Thousand</f>
        <v>135</v>
      </c>
      <c r="G69" s="8" t="n">
        <f aca="false">G57/FX/Thousand</f>
        <v>135</v>
      </c>
      <c r="H69" s="8" t="n">
        <f aca="false">SUM(E69:G69)</f>
        <v>405</v>
      </c>
      <c r="J69" s="24" t="n">
        <f aca="false">Inputs!E$20</f>
        <v>46234</v>
      </c>
      <c r="K69" s="24"/>
      <c r="L69" s="24"/>
    </row>
    <row r="70" customFormat="false" ht="14.25" hidden="false" customHeight="false" outlineLevel="0" collapsed="false">
      <c r="C70" s="1" t="s">
        <v>83</v>
      </c>
      <c r="D70" s="2" t="s">
        <v>85</v>
      </c>
      <c r="E70" s="32" t="n">
        <f aca="false">SUM(E61:E69)</f>
        <v>13600.7175204585</v>
      </c>
      <c r="F70" s="32" t="n">
        <f aca="false">SUM(F61:F69)</f>
        <v>7422.89778895164</v>
      </c>
      <c r="G70" s="32" t="n">
        <f aca="false">SUM(G61:G69)</f>
        <v>7422.89778895164</v>
      </c>
      <c r="H70" s="32" t="n">
        <f aca="false">SUM(E70:G70)</f>
        <v>28446.5130983618</v>
      </c>
    </row>
    <row r="72" customFormat="false" ht="14.25" hidden="false" customHeight="false" outlineLevel="0" collapsed="false">
      <c r="B72" s="4" t="s">
        <v>3</v>
      </c>
      <c r="C72" s="4" t="s">
        <v>86</v>
      </c>
      <c r="D72" s="4"/>
      <c r="E72" s="5" t="s">
        <v>5</v>
      </c>
      <c r="F72" s="5" t="s">
        <v>6</v>
      </c>
      <c r="G72" s="5" t="s">
        <v>7</v>
      </c>
      <c r="H72" s="5" t="s">
        <v>8</v>
      </c>
      <c r="J72" s="5" t="s">
        <v>87</v>
      </c>
    </row>
    <row r="73" customFormat="false" ht="14.25" hidden="false" customHeight="false" outlineLevel="0" collapsed="false">
      <c r="C73" s="6" t="s">
        <v>88</v>
      </c>
      <c r="D73" s="2" t="s">
        <v>85</v>
      </c>
      <c r="E73" s="8" t="n">
        <f aca="false">E61+E67+E69</f>
        <v>844.317994431088</v>
      </c>
      <c r="F73" s="8" t="n">
        <f aca="false">F61+F67+F69</f>
        <v>844.317994431088</v>
      </c>
      <c r="G73" s="8" t="n">
        <f aca="false">G61+G67+G69</f>
        <v>844.317994431088</v>
      </c>
      <c r="H73" s="8" t="n">
        <f aca="false">SUM(E73:G73)</f>
        <v>2532.95398329326</v>
      </c>
      <c r="J73" s="34" t="s">
        <v>89</v>
      </c>
    </row>
    <row r="74" customFormat="false" ht="14.25" hidden="false" customHeight="false" outlineLevel="0" collapsed="false">
      <c r="C74" s="6" t="s">
        <v>90</v>
      </c>
      <c r="D74" s="2" t="s">
        <v>85</v>
      </c>
      <c r="E74" s="8" t="n">
        <f aca="false">SUM(E62:E64)+E68</f>
        <v>2666.70582191781</v>
      </c>
      <c r="F74" s="8" t="n">
        <f aca="false">SUM(F62:F64)+F68</f>
        <v>3218.76061643836</v>
      </c>
      <c r="G74" s="8" t="n">
        <f aca="false">SUM(G62:G64)+G68</f>
        <v>3218.76061643836</v>
      </c>
      <c r="H74" s="8" t="n">
        <f aca="false">SUM(E74:G74)</f>
        <v>9104.22705479452</v>
      </c>
      <c r="J74" s="34" t="s">
        <v>91</v>
      </c>
    </row>
    <row r="75" customFormat="false" ht="14.25" hidden="false" customHeight="false" outlineLevel="0" collapsed="false">
      <c r="C75" s="6" t="s">
        <v>92</v>
      </c>
      <c r="D75" s="2" t="s">
        <v>85</v>
      </c>
      <c r="E75" s="35" t="n">
        <f aca="false">E65+E66</f>
        <v>10089.6937041096</v>
      </c>
      <c r="F75" s="35" t="n">
        <f aca="false">F65+F66</f>
        <v>3359.81917808219</v>
      </c>
      <c r="G75" s="35" t="n">
        <f aca="false">G65+G66</f>
        <v>3359.81917808219</v>
      </c>
      <c r="H75" s="35" t="n">
        <f aca="false">SUM(E75:G75)</f>
        <v>16809.332060274</v>
      </c>
      <c r="J75" s="34" t="s">
        <v>93</v>
      </c>
    </row>
    <row r="76" customFormat="false" ht="14.25" hidden="false" customHeight="false" outlineLevel="0" collapsed="false">
      <c r="C76" s="1" t="s">
        <v>94</v>
      </c>
      <c r="D76" s="2" t="s">
        <v>85</v>
      </c>
      <c r="E76" s="15" t="n">
        <f aca="false">SUM(E73:E75)</f>
        <v>13600.7175204585</v>
      </c>
      <c r="F76" s="15" t="n">
        <f aca="false">SUM(F73:F75)</f>
        <v>7422.89778895164</v>
      </c>
      <c r="G76" s="15" t="n">
        <f aca="false">SUM(G73:G75)</f>
        <v>7422.89778895164</v>
      </c>
      <c r="H76" s="15" t="n">
        <f aca="false">SUM(E76:G76)</f>
        <v>28446.5130983618</v>
      </c>
      <c r="J76" s="34" t="s">
        <v>95</v>
      </c>
    </row>
    <row r="77" customFormat="false" ht="14.25" hidden="false" customHeight="false" outlineLevel="0" collapsed="false">
      <c r="C77" s="0" t="s">
        <v>96</v>
      </c>
      <c r="D77" s="0" t="s">
        <v>12</v>
      </c>
      <c r="E77" s="36" t="n">
        <f aca="false">E75/E76</f>
        <v>0.741850103785514</v>
      </c>
      <c r="F77" s="36" t="n">
        <f aca="false">F75/F76</f>
        <v>0.452629050487938</v>
      </c>
      <c r="G77" s="36" t="n">
        <f aca="false">G75/G76</f>
        <v>0.452629050487938</v>
      </c>
      <c r="H77" s="36" t="n">
        <f aca="false">H75/H76</f>
        <v>0.590910105648134</v>
      </c>
      <c r="J77" s="34"/>
    </row>
    <row r="78" customFormat="false" ht="14.25" hidden="false" customHeight="false" outlineLevel="0" collapsed="false">
      <c r="C78" s="1" t="s">
        <v>97</v>
      </c>
      <c r="D78" s="2" t="s">
        <v>85</v>
      </c>
      <c r="E78" s="32" t="n">
        <f aca="false">E76-E75</f>
        <v>3511.0238163489</v>
      </c>
      <c r="F78" s="32" t="n">
        <f aca="false">F76-F75</f>
        <v>4063.07861086944</v>
      </c>
      <c r="G78" s="32" t="n">
        <f aca="false">G76-G75</f>
        <v>4063.07861086944</v>
      </c>
      <c r="H78" s="32" t="n">
        <f aca="false">SUM(E78:G78)</f>
        <v>11637.1810380878</v>
      </c>
      <c r="J78" s="34" t="s">
        <v>98</v>
      </c>
    </row>
    <row r="80" customFormat="false" ht="14.25" hidden="false" customHeight="false" outlineLevel="0" collapsed="false">
      <c r="B80" s="4" t="s">
        <v>3</v>
      </c>
      <c r="C80" s="4" t="s">
        <v>99</v>
      </c>
      <c r="D80" s="4"/>
      <c r="E80" s="5" t="s">
        <v>5</v>
      </c>
      <c r="F80" s="5" t="s">
        <v>6</v>
      </c>
      <c r="G80" s="5" t="s">
        <v>7</v>
      </c>
      <c r="H80" s="5" t="s">
        <v>8</v>
      </c>
    </row>
    <row r="81" customFormat="false" ht="14.25" hidden="false" customHeight="false" outlineLevel="0" collapsed="false">
      <c r="C81" s="6" t="s">
        <v>100</v>
      </c>
      <c r="D81" s="2" t="s">
        <v>85</v>
      </c>
      <c r="E81" s="8" t="n">
        <f aca="false">IF(E17="EU",Case_EU,Case_CN)*E46</f>
        <v>27000</v>
      </c>
      <c r="F81" s="8" t="n">
        <f aca="false">IF(F17="EU",Case_EU,Case_CN)*F46</f>
        <v>31500</v>
      </c>
      <c r="G81" s="8" t="n">
        <f aca="false">IF(G17="EU",Case_EU,Case_CN)*G46</f>
        <v>31500</v>
      </c>
      <c r="H81" s="8" t="n">
        <f aca="false">SUM(E81:G81)</f>
        <v>90000</v>
      </c>
    </row>
    <row r="82" customFormat="false" ht="14.25" hidden="false" customHeight="false" outlineLevel="0" collapsed="false">
      <c r="C82" s="6" t="s">
        <v>101</v>
      </c>
      <c r="D82" s="2" t="s">
        <v>85</v>
      </c>
      <c r="E82" s="8" t="n">
        <f aca="false">Capex_Install*E46</f>
        <v>4320</v>
      </c>
      <c r="F82" s="8" t="n">
        <f aca="false">Capex_Install*F46</f>
        <v>5040</v>
      </c>
      <c r="G82" s="8" t="n">
        <f aca="false">Capex_Install*G46</f>
        <v>5040</v>
      </c>
      <c r="H82" s="8" t="n">
        <f aca="false">SUM(E82:G82)</f>
        <v>14400</v>
      </c>
    </row>
    <row r="83" customFormat="false" ht="14.25" hidden="false" customHeight="false" outlineLevel="0" collapsed="false">
      <c r="C83" s="6" t="s">
        <v>102</v>
      </c>
      <c r="D83" s="2" t="s">
        <v>85</v>
      </c>
      <c r="E83" s="8" t="n">
        <f aca="false">Capex_Fdn*E46</f>
        <v>4860</v>
      </c>
      <c r="F83" s="8" t="n">
        <f aca="false">Capex_Fdn*F46</f>
        <v>5670</v>
      </c>
      <c r="G83" s="8" t="n">
        <f aca="false">Capex_Fdn*G46</f>
        <v>5670</v>
      </c>
      <c r="H83" s="8" t="n">
        <f aca="false">SUM(E83:G83)</f>
        <v>16200</v>
      </c>
    </row>
    <row r="84" customFormat="false" ht="14.25" hidden="false" customHeight="false" outlineLevel="0" collapsed="false">
      <c r="C84" s="6" t="s">
        <v>103</v>
      </c>
      <c r="D84" s="2" t="s">
        <v>85</v>
      </c>
      <c r="E84" s="8" t="n">
        <f aca="false">Capex_Civil*E46</f>
        <v>3780</v>
      </c>
      <c r="F84" s="8" t="n">
        <f aca="false">Capex_Civil*F46</f>
        <v>4410</v>
      </c>
      <c r="G84" s="8" t="n">
        <f aca="false">Capex_Civil*G46</f>
        <v>4410</v>
      </c>
      <c r="H84" s="8" t="n">
        <f aca="false">SUM(E84:G84)</f>
        <v>12600</v>
      </c>
    </row>
    <row r="85" customFormat="false" ht="14.25" hidden="false" customHeight="false" outlineLevel="0" collapsed="false">
      <c r="C85" s="6" t="s">
        <v>104</v>
      </c>
      <c r="D85" s="2" t="s">
        <v>85</v>
      </c>
      <c r="E85" s="8" t="n">
        <f aca="false">Capex_Elec*E46</f>
        <v>3240</v>
      </c>
      <c r="F85" s="8" t="n">
        <f aca="false">Capex_Elec*F46</f>
        <v>3780</v>
      </c>
      <c r="G85" s="8" t="n">
        <f aca="false">Capex_Elec*G46</f>
        <v>3780</v>
      </c>
      <c r="H85" s="8" t="n">
        <f aca="false">SUM(E85:G85)</f>
        <v>10800</v>
      </c>
    </row>
    <row r="86" customFormat="false" ht="14.25" hidden="false" customHeight="false" outlineLevel="0" collapsed="false">
      <c r="C86" s="6" t="s">
        <v>105</v>
      </c>
      <c r="D86" s="2" t="s">
        <v>85</v>
      </c>
      <c r="E86" s="8" t="n">
        <f aca="false">Capex_Owner*E46</f>
        <v>2160</v>
      </c>
      <c r="F86" s="8" t="n">
        <f aca="false">Capex_Owner*F46</f>
        <v>2520</v>
      </c>
      <c r="G86" s="8" t="n">
        <f aca="false">Capex_Owner*G46</f>
        <v>2520</v>
      </c>
      <c r="H86" s="8" t="n">
        <f aca="false">SUM(E86:G86)</f>
        <v>7200</v>
      </c>
    </row>
    <row r="87" customFormat="false" ht="14.25" hidden="false" customHeight="false" outlineLevel="0" collapsed="false">
      <c r="C87" s="6" t="s">
        <v>106</v>
      </c>
      <c r="D87" s="2" t="s">
        <v>85</v>
      </c>
      <c r="E87" s="8" t="n">
        <f aca="false">Capex_Land*E46</f>
        <v>0</v>
      </c>
      <c r="F87" s="8" t="n">
        <f aca="false">Capex_Land*F46</f>
        <v>0</v>
      </c>
      <c r="G87" s="8" t="n">
        <f aca="false">Capex_Land*G46</f>
        <v>0</v>
      </c>
      <c r="H87" s="8" t="n">
        <f aca="false">SUM(E87:G87)</f>
        <v>0</v>
      </c>
    </row>
    <row r="88" customFormat="false" ht="14.25" hidden="false" customHeight="false" outlineLevel="0" collapsed="false">
      <c r="C88" s="6" t="s">
        <v>107</v>
      </c>
      <c r="D88" s="2" t="s">
        <v>85</v>
      </c>
      <c r="E88" s="8" t="n">
        <f aca="false">Subs_Lump*E6/Lump_Basis</f>
        <v>3000</v>
      </c>
      <c r="F88" s="8" t="n">
        <f aca="false">Subs_Lump*F6/Lump_Basis</f>
        <v>3000</v>
      </c>
      <c r="G88" s="8" t="n">
        <f aca="false">Subs_Lump*G6/Lump_Basis</f>
        <v>3000</v>
      </c>
      <c r="H88" s="8" t="n">
        <f aca="false">SUM(E88:G88)</f>
        <v>9000</v>
      </c>
    </row>
    <row r="89" customFormat="false" ht="14.25" hidden="false" customHeight="false" outlineLevel="0" collapsed="false">
      <c r="C89" s="6" t="s">
        <v>108</v>
      </c>
      <c r="D89" s="2" t="s">
        <v>85</v>
      </c>
      <c r="E89" s="8" t="n">
        <f aca="false">SUM(E81:E88)*Capex_Cont</f>
        <v>2418</v>
      </c>
      <c r="F89" s="8" t="n">
        <f aca="false">SUM(F81:F88)*Capex_Cont</f>
        <v>2796</v>
      </c>
      <c r="G89" s="8" t="n">
        <f aca="false">SUM(G81:G88)*Capex_Cont</f>
        <v>2796</v>
      </c>
      <c r="H89" s="8" t="n">
        <f aca="false">SUM(E89:G89)</f>
        <v>8010</v>
      </c>
    </row>
    <row r="90" customFormat="false" ht="14.25" hidden="false" customHeight="false" outlineLevel="0" collapsed="false">
      <c r="C90" s="6" t="s">
        <v>109</v>
      </c>
      <c r="D90" s="2" t="s">
        <v>85</v>
      </c>
      <c r="E90" s="8" t="n">
        <f aca="false">BESS_Capex*E45</f>
        <v>2000</v>
      </c>
      <c r="F90" s="8" t="n">
        <f aca="false">BESS_Capex*F45</f>
        <v>4000</v>
      </c>
      <c r="G90" s="8" t="n">
        <f aca="false">BESS_Capex*G45</f>
        <v>4000</v>
      </c>
      <c r="H90" s="8" t="n">
        <f aca="false">SUM(E90:G90)</f>
        <v>10000</v>
      </c>
    </row>
    <row r="91" customFormat="false" ht="14.25" hidden="false" customHeight="false" outlineLevel="0" collapsed="false">
      <c r="C91" s="1" t="s">
        <v>110</v>
      </c>
      <c r="D91" s="2" t="s">
        <v>85</v>
      </c>
      <c r="E91" s="32" t="n">
        <f aca="false">SUM(E81:E90)</f>
        <v>52778</v>
      </c>
      <c r="F91" s="32" t="n">
        <f aca="false">SUM(F81:F90)</f>
        <v>62716</v>
      </c>
      <c r="G91" s="32" t="n">
        <f aca="false">SUM(G81:G90)</f>
        <v>62716</v>
      </c>
      <c r="H91" s="32" t="n">
        <f aca="false">SUM(E91:G91)</f>
        <v>178210</v>
      </c>
    </row>
    <row r="92" customFormat="false" ht="14.25" hidden="false" customHeight="false" outlineLevel="0" collapsed="false">
      <c r="C92" s="29" t="s">
        <v>111</v>
      </c>
      <c r="D92" s="30" t="s">
        <v>85</v>
      </c>
      <c r="E92" s="31" t="n">
        <f aca="false">E64+E65+E66</f>
        <v>10706.132060274</v>
      </c>
      <c r="F92" s="31" t="n">
        <f aca="false">F64+F65+F66</f>
        <v>3976.25753424658</v>
      </c>
      <c r="G92" s="31" t="n">
        <f aca="false">G64+G65+G66</f>
        <v>3976.25753424658</v>
      </c>
      <c r="H92" s="31" t="n">
        <f aca="false">SUM(E92:G92)</f>
        <v>18658.6471287671</v>
      </c>
    </row>
    <row r="93" customFormat="false" ht="14.25" hidden="false" customHeight="false" outlineLevel="0" collapsed="false">
      <c r="C93" s="29" t="s">
        <v>112</v>
      </c>
      <c r="D93" s="30" t="s">
        <v>85</v>
      </c>
      <c r="E93" s="31" t="n">
        <f aca="false">0</f>
        <v>0</v>
      </c>
      <c r="F93" s="31" t="n">
        <f aca="false">0</f>
        <v>0</v>
      </c>
      <c r="G93" s="31" t="n">
        <f aca="false">0</f>
        <v>0</v>
      </c>
      <c r="H93" s="31" t="n">
        <f aca="false">SUM(E93:G93)</f>
        <v>0</v>
      </c>
    </row>
    <row r="94" customFormat="false" ht="14.25" hidden="false" customHeight="false" outlineLevel="0" collapsed="false">
      <c r="C94" s="29" t="s">
        <v>113</v>
      </c>
      <c r="D94" s="30" t="s">
        <v>85</v>
      </c>
      <c r="E94" s="31" t="n">
        <f aca="false">0</f>
        <v>0</v>
      </c>
      <c r="F94" s="31" t="n">
        <f aca="false">0</f>
        <v>0</v>
      </c>
      <c r="G94" s="31" t="n">
        <f aca="false">0</f>
        <v>0</v>
      </c>
      <c r="H94" s="31" t="n">
        <f aca="false">SUM(E94:G94)</f>
        <v>0</v>
      </c>
    </row>
    <row r="95" customFormat="false" ht="14.25" hidden="false" customHeight="false" outlineLevel="0" collapsed="false">
      <c r="C95" s="29" t="s">
        <v>114</v>
      </c>
      <c r="D95" s="30" t="s">
        <v>85</v>
      </c>
      <c r="E95" s="31" t="n">
        <f aca="false">0</f>
        <v>0</v>
      </c>
      <c r="F95" s="31" t="n">
        <f aca="false">0</f>
        <v>0</v>
      </c>
      <c r="G95" s="31" t="n">
        <f aca="false">0</f>
        <v>0</v>
      </c>
      <c r="H95" s="31" t="n">
        <f aca="false">SUM(E95:G95)</f>
        <v>0</v>
      </c>
    </row>
    <row r="96" customFormat="false" ht="14.25" hidden="false" customHeight="false" outlineLevel="0" collapsed="false">
      <c r="C96" s="6" t="s">
        <v>115</v>
      </c>
      <c r="D96" s="2" t="s">
        <v>85</v>
      </c>
      <c r="E96" s="8" t="n">
        <f aca="false">E11*E6</f>
        <v>1000</v>
      </c>
      <c r="F96" s="8" t="n">
        <f aca="false">F11*F6</f>
        <v>2500</v>
      </c>
      <c r="G96" s="8" t="n">
        <f aca="false">G11*G6</f>
        <v>2500</v>
      </c>
      <c r="H96" s="8" t="n">
        <f aca="false">SUM(E96:G96)</f>
        <v>6000</v>
      </c>
    </row>
    <row r="97" customFormat="false" ht="14.25" hidden="false" customHeight="false" outlineLevel="0" collapsed="false">
      <c r="C97" s="6" t="s">
        <v>116</v>
      </c>
      <c r="D97" s="2" t="s">
        <v>85</v>
      </c>
      <c r="E97" s="8" t="n">
        <f aca="false">E68</f>
        <v>107.801712328767</v>
      </c>
      <c r="F97" s="8" t="n">
        <f aca="false">F68</f>
        <v>107.801712328767</v>
      </c>
      <c r="G97" s="8" t="n">
        <f aca="false">G68</f>
        <v>107.801712328767</v>
      </c>
      <c r="H97" s="8" t="n">
        <f aca="false">SUM(E97:G97)</f>
        <v>323.405136986301</v>
      </c>
    </row>
    <row r="98" customFormat="false" ht="14.25" hidden="false" customHeight="false" outlineLevel="0" collapsed="false">
      <c r="C98" s="6" t="s">
        <v>117</v>
      </c>
      <c r="D98" s="2" t="s">
        <v>85</v>
      </c>
      <c r="E98" s="8" t="n">
        <f aca="false">E18*E6</f>
        <v>7500</v>
      </c>
      <c r="F98" s="8" t="n">
        <f aca="false">F18*F6</f>
        <v>7500</v>
      </c>
      <c r="G98" s="8" t="n">
        <f aca="false">G18*G6</f>
        <v>7500</v>
      </c>
      <c r="H98" s="8" t="n">
        <f aca="false">SUM(E98:G98)</f>
        <v>22500</v>
      </c>
    </row>
    <row r="99" customFormat="false" ht="14.25" hidden="false" customHeight="false" outlineLevel="0" collapsed="false">
      <c r="C99" s="1" t="s">
        <v>118</v>
      </c>
      <c r="D99" s="2" t="s">
        <v>85</v>
      </c>
      <c r="E99" s="32" t="n">
        <f aca="false">E91+SUM(E92:E98)</f>
        <v>72091.9337726027</v>
      </c>
      <c r="F99" s="32" t="n">
        <f aca="false">F91+SUM(F92:F98)</f>
        <v>76800.0592465753</v>
      </c>
      <c r="G99" s="32" t="n">
        <f aca="false">G91+SUM(G92:G98)</f>
        <v>76800.0592465753</v>
      </c>
      <c r="H99" s="32" t="n">
        <f aca="false">SUM(E99:G99)</f>
        <v>225692.052265753</v>
      </c>
    </row>
    <row r="100" customFormat="false" ht="14.25" hidden="false" customHeight="false" outlineLevel="0" collapsed="false">
      <c r="C100" s="6" t="s">
        <v>119</v>
      </c>
      <c r="D100" s="2" t="s">
        <v>42</v>
      </c>
      <c r="E100" s="17" t="n">
        <f aca="false">E99/E46</f>
        <v>1335.03581060375</v>
      </c>
      <c r="F100" s="17" t="n">
        <f aca="false">F99/F46</f>
        <v>1219.04855946945</v>
      </c>
      <c r="G100" s="17" t="n">
        <f aca="false">G99/G46</f>
        <v>1219.04855946945</v>
      </c>
      <c r="H100" s="17" t="n">
        <f aca="false">H99/H46</f>
        <v>1253.84473480974</v>
      </c>
    </row>
    <row r="101" s="37" customFormat="true" ht="14.25" hidden="false" customHeight="false" outlineLevel="0" collapsed="false">
      <c r="C101" s="6" t="s">
        <v>120</v>
      </c>
      <c r="D101" s="2" t="s">
        <v>18</v>
      </c>
      <c r="E101" s="17" t="n">
        <f aca="false">E99/E6</f>
        <v>1441.83867545205</v>
      </c>
      <c r="F101" s="17" t="n">
        <f aca="false">F99/F6</f>
        <v>1536.00118493151</v>
      </c>
      <c r="G101" s="17" t="n">
        <f aca="false">G99/G6</f>
        <v>1536.00118493151</v>
      </c>
      <c r="H101" s="17" t="n">
        <f aca="false">H99/H6</f>
        <v>1504.61368177169</v>
      </c>
    </row>
    <row r="103" customFormat="false" ht="14.25" hidden="false" customHeight="false" outlineLevel="0" collapsed="false">
      <c r="B103" s="4" t="s">
        <v>3</v>
      </c>
      <c r="C103" s="4" t="s">
        <v>121</v>
      </c>
      <c r="D103" s="4"/>
      <c r="E103" s="5" t="s">
        <v>5</v>
      </c>
      <c r="F103" s="5" t="s">
        <v>6</v>
      </c>
      <c r="G103" s="5" t="s">
        <v>7</v>
      </c>
      <c r="H103" s="5" t="s">
        <v>8</v>
      </c>
    </row>
    <row r="104" customFormat="false" ht="14.25" hidden="false" customHeight="false" outlineLevel="0" collapsed="false">
      <c r="C104" s="6" t="s">
        <v>116</v>
      </c>
      <c r="D104" s="2" t="s">
        <v>85</v>
      </c>
      <c r="E104" s="17" t="n">
        <f aca="false">E68</f>
        <v>107.801712328767</v>
      </c>
      <c r="F104" s="17" t="n">
        <f aca="false">F68</f>
        <v>107.801712328767</v>
      </c>
      <c r="G104" s="17" t="n">
        <f aca="false">G68</f>
        <v>107.801712328767</v>
      </c>
      <c r="H104" s="17" t="n">
        <f aca="false">SUM(E104:G104)</f>
        <v>323.405136986301</v>
      </c>
    </row>
    <row r="105" customFormat="false" ht="14.25" hidden="false" customHeight="false" outlineLevel="0" collapsed="false">
      <c r="C105" s="6" t="s">
        <v>122</v>
      </c>
      <c r="D105" s="2" t="s">
        <v>85</v>
      </c>
      <c r="E105" s="17" t="n">
        <f aca="false">E67</f>
        <v>701.098816348896</v>
      </c>
      <c r="F105" s="17" t="n">
        <f aca="false">F67</f>
        <v>701.098816348896</v>
      </c>
      <c r="G105" s="17" t="n">
        <f aca="false">G67</f>
        <v>701.098816348896</v>
      </c>
      <c r="H105" s="17" t="n">
        <f aca="false">SUM(E105:G105)</f>
        <v>2103.29644904669</v>
      </c>
    </row>
    <row r="106" customFormat="false" ht="14.25" hidden="false" customHeight="false" outlineLevel="0" collapsed="false">
      <c r="C106" s="1" t="s">
        <v>123</v>
      </c>
      <c r="D106" s="2" t="s">
        <v>85</v>
      </c>
      <c r="E106" s="18" t="n">
        <f aca="false">SUM(E104:E105)</f>
        <v>808.900528677663</v>
      </c>
      <c r="F106" s="18" t="n">
        <f aca="false">SUM(F104:F105)</f>
        <v>808.900528677663</v>
      </c>
      <c r="G106" s="18" t="n">
        <f aca="false">SUM(G104:G105)</f>
        <v>808.900528677663</v>
      </c>
      <c r="H106" s="18" t="n">
        <f aca="false">SUM(E106:G106)</f>
        <v>2426.70158603299</v>
      </c>
    </row>
    <row r="108" customFormat="false" ht="14.25" hidden="false" customHeight="false" outlineLevel="0" collapsed="false">
      <c r="A108" s="37"/>
      <c r="B108" s="38" t="s">
        <v>3</v>
      </c>
      <c r="C108" s="39" t="s">
        <v>124</v>
      </c>
      <c r="D108" s="38"/>
      <c r="E108" s="40" t="s">
        <v>5</v>
      </c>
      <c r="F108" s="40" t="s">
        <v>6</v>
      </c>
      <c r="G108" s="40" t="s">
        <v>7</v>
      </c>
      <c r="H108" s="40" t="s">
        <v>8</v>
      </c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</row>
    <row r="109" customFormat="false" ht="14.25" hidden="false" customHeight="false" outlineLevel="0" collapsed="false">
      <c r="C109" s="41" t="s">
        <v>125</v>
      </c>
      <c r="D109" s="42"/>
      <c r="E109" s="43"/>
      <c r="F109" s="43"/>
      <c r="G109" s="43"/>
      <c r="H109" s="43"/>
    </row>
    <row r="110" customFormat="false" ht="14.25" hidden="false" customHeight="false" outlineLevel="0" collapsed="false">
      <c r="C110" s="6" t="s">
        <v>126</v>
      </c>
      <c r="D110" s="2" t="s">
        <v>85</v>
      </c>
      <c r="E110" s="8" t="n">
        <f aca="false">E217</f>
        <v>10089.6937041096</v>
      </c>
      <c r="F110" s="8" t="n">
        <f aca="false">F217</f>
        <v>3359.81917808219</v>
      </c>
      <c r="G110" s="8" t="n">
        <f aca="false">G217</f>
        <v>3359.81917808219</v>
      </c>
      <c r="H110" s="8" t="n">
        <f aca="false">SUM(E110:G110)</f>
        <v>16809.332060274</v>
      </c>
    </row>
    <row r="111" customFormat="false" ht="14.25" hidden="false" customHeight="false" outlineLevel="0" collapsed="false">
      <c r="C111" s="44" t="s">
        <v>127</v>
      </c>
      <c r="D111" s="45" t="s">
        <v>85</v>
      </c>
      <c r="E111" s="46" t="n">
        <f aca="false">E224</f>
        <v>3426.64025470506</v>
      </c>
      <c r="F111" s="46" t="n">
        <f aca="false">F224</f>
        <v>3978.69504922561</v>
      </c>
      <c r="G111" s="46" t="n">
        <f aca="false">G224</f>
        <v>3978.69504922561</v>
      </c>
      <c r="H111" s="46" t="n">
        <f aca="false">SUM(E111:G111)</f>
        <v>11384.0303531563</v>
      </c>
    </row>
    <row r="112" customFormat="false" ht="14.25" hidden="false" customHeight="false" outlineLevel="0" collapsed="false">
      <c r="C112" s="6" t="s">
        <v>128</v>
      </c>
      <c r="D112" s="2" t="s">
        <v>85</v>
      </c>
      <c r="E112" s="8" t="n">
        <f aca="false">E294</f>
        <v>7865.20493804327</v>
      </c>
      <c r="F112" s="8" t="n">
        <f aca="false">F294</f>
        <v>10406.2948630137</v>
      </c>
      <c r="G112" s="8" t="n">
        <f aca="false">G294</f>
        <v>10406.2948630137</v>
      </c>
      <c r="H112" s="8" t="n">
        <f aca="false">SUM(E112:G112)</f>
        <v>28677.7946640707</v>
      </c>
    </row>
    <row r="113" customFormat="false" ht="14.25" hidden="false" customHeight="false" outlineLevel="0" collapsed="false">
      <c r="C113" s="44" t="s">
        <v>129</v>
      </c>
      <c r="D113" s="45" t="s">
        <v>85</v>
      </c>
      <c r="E113" s="46" t="n">
        <f aca="false">E282</f>
        <v>4244.95724856315</v>
      </c>
      <c r="F113" s="46" t="n">
        <f aca="false">F282</f>
        <v>6427.59981378809</v>
      </c>
      <c r="G113" s="46" t="n">
        <f aca="false">G282</f>
        <v>6427.59981378809</v>
      </c>
      <c r="H113" s="46" t="n">
        <f aca="false">SUM(E113:G113)</f>
        <v>17100.1568761393</v>
      </c>
    </row>
    <row r="114" customFormat="false" ht="14.25" hidden="false" customHeight="false" outlineLevel="0" collapsed="false">
      <c r="C114" s="6" t="s">
        <v>130</v>
      </c>
      <c r="D114" s="2" t="s">
        <v>3</v>
      </c>
      <c r="E114" s="47" t="n">
        <f aca="false">E283</f>
        <v>2.29531096158801</v>
      </c>
      <c r="F114" s="47" t="n">
        <f aca="false">F283</f>
        <v>2.61550451448626</v>
      </c>
      <c r="G114" s="47" t="n">
        <f aca="false">G283</f>
        <v>2.61550451448626</v>
      </c>
      <c r="H114" s="47" t="n">
        <f aca="false">H283</f>
        <v>2.51912492978549</v>
      </c>
    </row>
    <row r="115" customFormat="false" ht="14.25" hidden="false" customHeight="false" outlineLevel="0" collapsed="false">
      <c r="C115" s="6" t="s">
        <v>131</v>
      </c>
      <c r="D115" s="2" t="s">
        <v>12</v>
      </c>
      <c r="E115" s="48" t="n">
        <f aca="false">E284</f>
        <v>0.669984944789679</v>
      </c>
      <c r="F115" s="48" t="n">
        <f aca="false">F284</f>
        <v>0.795403064715325</v>
      </c>
      <c r="G115" s="48" t="n">
        <f aca="false">G284</f>
        <v>0.795403064715325</v>
      </c>
      <c r="H115" s="49" t="n">
        <f aca="false">H284</f>
        <v>0.758838225005592</v>
      </c>
    </row>
    <row r="116" customFormat="false" ht="14.25" hidden="false" customHeight="false" outlineLevel="0" collapsed="false">
      <c r="C116" s="6" t="s">
        <v>132</v>
      </c>
      <c r="D116" s="2" t="s">
        <v>3</v>
      </c>
      <c r="E116" s="47" t="n">
        <f aca="false">E300</f>
        <v>2.17255989442334</v>
      </c>
      <c r="F116" s="47" t="n">
        <f aca="false">F300</f>
        <v>2.61550451448626</v>
      </c>
      <c r="G116" s="47" t="n">
        <f aca="false">G300</f>
        <v>2.61550451448626</v>
      </c>
      <c r="H116" s="47" t="n">
        <f aca="false">H300</f>
        <v>2.47699877897068</v>
      </c>
    </row>
    <row r="117" customFormat="false" ht="14.25" hidden="false" customHeight="false" outlineLevel="0" collapsed="false">
      <c r="C117" s="6" t="s">
        <v>133</v>
      </c>
      <c r="D117" s="2" t="s">
        <v>12</v>
      </c>
      <c r="E117" s="48" t="n">
        <f aca="false">E301</f>
        <v>0.641832928036373</v>
      </c>
      <c r="F117" s="48" t="n">
        <f aca="false">F301</f>
        <v>0.795403064715325</v>
      </c>
      <c r="G117" s="48" t="n">
        <f aca="false">G301</f>
        <v>0.795403064715325</v>
      </c>
      <c r="H117" s="49" t="n">
        <f aca="false">H301</f>
        <v>0.750676749529129</v>
      </c>
    </row>
    <row r="118" customFormat="false" ht="14.25" hidden="false" customHeight="false" outlineLevel="0" collapsed="false">
      <c r="C118" s="41" t="s">
        <v>134</v>
      </c>
      <c r="D118" s="42"/>
      <c r="E118" s="43"/>
      <c r="F118" s="43"/>
      <c r="G118" s="43"/>
      <c r="H118" s="43"/>
    </row>
    <row r="119" customFormat="false" ht="14.25" hidden="false" customHeight="false" outlineLevel="0" collapsed="false">
      <c r="C119" s="44" t="s">
        <v>127</v>
      </c>
      <c r="D119" s="50" t="s">
        <v>85</v>
      </c>
      <c r="E119" s="46" t="n">
        <f aca="false">E70</f>
        <v>13600.7175204585</v>
      </c>
      <c r="F119" s="46" t="n">
        <f aca="false">F70</f>
        <v>7422.89778895164</v>
      </c>
      <c r="G119" s="46" t="n">
        <f aca="false">G70</f>
        <v>7422.89778895164</v>
      </c>
      <c r="H119" s="46" t="n">
        <f aca="false">SUM(E119:G119)</f>
        <v>28446.5130983618</v>
      </c>
    </row>
    <row r="120" customFormat="false" ht="14.25" hidden="false" customHeight="false" outlineLevel="0" collapsed="false">
      <c r="C120" s="6" t="s">
        <v>128</v>
      </c>
      <c r="D120" s="2" t="s">
        <v>85</v>
      </c>
      <c r="E120" s="8" t="n">
        <f aca="false">E349</f>
        <v>18298.0729861777</v>
      </c>
      <c r="F120" s="8" t="n">
        <f aca="false">F349</f>
        <v>13828.5797945205</v>
      </c>
      <c r="G120" s="8" t="n">
        <f aca="false">G349</f>
        <v>13828.5797945205</v>
      </c>
      <c r="H120" s="8" t="n">
        <f aca="false">SUM(E120:G120)</f>
        <v>45955.2325752188</v>
      </c>
    </row>
    <row r="121" customFormat="false" ht="14.25" hidden="false" customHeight="false" outlineLevel="0" collapsed="false">
      <c r="C121" s="44" t="s">
        <v>129</v>
      </c>
      <c r="D121" s="45" t="s">
        <v>85</v>
      </c>
      <c r="E121" s="46" t="n">
        <f aca="false">E336</f>
        <v>4310.89373564404</v>
      </c>
      <c r="F121" s="46" t="n">
        <f aca="false">F336</f>
        <v>6405.68200556891</v>
      </c>
      <c r="G121" s="46" t="n">
        <f aca="false">G336</f>
        <v>6405.68200556891</v>
      </c>
      <c r="H121" s="15" t="n">
        <f aca="false">SUM(E121:G121)</f>
        <v>17122.2577467819</v>
      </c>
    </row>
    <row r="122" customFormat="false" ht="14.25" hidden="false" customHeight="false" outlineLevel="0" collapsed="false">
      <c r="C122" s="6" t="s">
        <v>130</v>
      </c>
      <c r="D122" s="2" t="s">
        <v>3</v>
      </c>
      <c r="E122" s="47" t="n">
        <f aca="false">E337</f>
        <v>1.34537556262405</v>
      </c>
      <c r="F122" s="47" t="n">
        <f aca="false">F337</f>
        <v>1.86296244239052</v>
      </c>
      <c r="G122" s="47" t="n">
        <f aca="false">G337</f>
        <v>1.86296244239052</v>
      </c>
      <c r="H122" s="47" t="n">
        <f aca="false">H337</f>
        <v>1.61549615646444</v>
      </c>
    </row>
    <row r="123" customFormat="false" ht="14.25" hidden="false" customHeight="false" outlineLevel="0" collapsed="false">
      <c r="C123" s="6" t="s">
        <v>131</v>
      </c>
      <c r="D123" s="2" t="s">
        <v>12</v>
      </c>
      <c r="E123" s="48" t="n">
        <f aca="false">E338</f>
        <v>0.226964322274131</v>
      </c>
      <c r="F123" s="48" t="n">
        <f aca="false">F338</f>
        <v>0.371762816518574</v>
      </c>
      <c r="G123" s="48" t="n">
        <f aca="false">G338</f>
        <v>0.371762816518574</v>
      </c>
      <c r="H123" s="49" t="n">
        <f aca="false">H338</f>
        <v>0.319139022863017</v>
      </c>
    </row>
    <row r="124" customFormat="false" ht="14.25" hidden="false" customHeight="false" outlineLevel="0" collapsed="false">
      <c r="C124" s="6" t="s">
        <v>132</v>
      </c>
      <c r="D124" s="2" t="s">
        <v>3</v>
      </c>
      <c r="E124" s="47" t="n">
        <f aca="false">E355</f>
        <v>1.30820322371143</v>
      </c>
      <c r="F124" s="47" t="n">
        <f aca="false">F355</f>
        <v>1.86296244239052</v>
      </c>
      <c r="G124" s="47" t="n">
        <f aca="false">G355</f>
        <v>1.86296244239052</v>
      </c>
      <c r="H124" s="47" t="n">
        <f aca="false">H355</f>
        <v>1.59384291245227</v>
      </c>
    </row>
    <row r="125" customFormat="false" ht="14.25" hidden="false" customHeight="false" outlineLevel="0" collapsed="false">
      <c r="C125" s="6" t="s">
        <v>133</v>
      </c>
      <c r="D125" s="2" t="s">
        <v>12</v>
      </c>
      <c r="E125" s="48" t="n">
        <f aca="false">E356</f>
        <v>0.207977245637379</v>
      </c>
      <c r="F125" s="48" t="n">
        <f aca="false">F356</f>
        <v>0.371762816518574</v>
      </c>
      <c r="G125" s="48" t="n">
        <f aca="false">G356</f>
        <v>0.371762816518574</v>
      </c>
      <c r="H125" s="49" t="n">
        <f aca="false">H356</f>
        <v>0.312152638975026</v>
      </c>
    </row>
    <row r="126" customFormat="false" ht="14.25" hidden="false" customHeight="false" outlineLevel="0" collapsed="false">
      <c r="C126" s="41" t="s">
        <v>135</v>
      </c>
      <c r="D126" s="42"/>
      <c r="E126" s="43"/>
      <c r="F126" s="43"/>
      <c r="G126" s="43"/>
      <c r="H126" s="43"/>
    </row>
    <row r="127" customFormat="false" ht="14.25" hidden="false" customHeight="false" outlineLevel="0" collapsed="false">
      <c r="C127" s="6" t="s">
        <v>110</v>
      </c>
      <c r="D127" s="2" t="s">
        <v>85</v>
      </c>
      <c r="E127" s="8" t="n">
        <f aca="false">E91</f>
        <v>52778</v>
      </c>
      <c r="F127" s="8" t="n">
        <f aca="false">F91</f>
        <v>62716</v>
      </c>
      <c r="G127" s="8" t="n">
        <f aca="false">G91</f>
        <v>62716</v>
      </c>
      <c r="H127" s="8" t="n">
        <f aca="false">SUM(E127:G127)</f>
        <v>178210</v>
      </c>
    </row>
    <row r="128" customFormat="false" ht="14.25" hidden="false" customHeight="false" outlineLevel="0" collapsed="false">
      <c r="C128" s="6" t="s">
        <v>136</v>
      </c>
      <c r="D128" s="2" t="s">
        <v>85</v>
      </c>
      <c r="E128" s="8" t="n">
        <f aca="false">E92</f>
        <v>10706.132060274</v>
      </c>
      <c r="F128" s="8" t="n">
        <f aca="false">F92</f>
        <v>3976.25753424658</v>
      </c>
      <c r="G128" s="8" t="n">
        <f aca="false">G92</f>
        <v>3976.25753424658</v>
      </c>
      <c r="H128" s="8" t="n">
        <f aca="false">SUM(E128:G128)</f>
        <v>18658.6471287671</v>
      </c>
    </row>
    <row r="129" customFormat="false" ht="14.25" hidden="false" customHeight="false" outlineLevel="0" collapsed="false">
      <c r="C129" s="6" t="s">
        <v>115</v>
      </c>
      <c r="D129" s="2" t="s">
        <v>85</v>
      </c>
      <c r="E129" s="8" t="n">
        <f aca="false">E96</f>
        <v>1000</v>
      </c>
      <c r="F129" s="8" t="n">
        <f aca="false">F96</f>
        <v>2500</v>
      </c>
      <c r="G129" s="8" t="n">
        <f aca="false">G96</f>
        <v>2500</v>
      </c>
      <c r="H129" s="8" t="n">
        <f aca="false">SUM(E129:G129)</f>
        <v>6000</v>
      </c>
    </row>
    <row r="130" customFormat="false" ht="14.25" hidden="false" customHeight="false" outlineLevel="0" collapsed="false">
      <c r="C130" s="6" t="s">
        <v>116</v>
      </c>
      <c r="D130" s="2" t="s">
        <v>85</v>
      </c>
      <c r="E130" s="8" t="n">
        <f aca="false">E68</f>
        <v>107.801712328767</v>
      </c>
      <c r="F130" s="8" t="n">
        <f aca="false">F68</f>
        <v>107.801712328767</v>
      </c>
      <c r="G130" s="8" t="n">
        <f aca="false">G68</f>
        <v>107.801712328767</v>
      </c>
      <c r="H130" s="8" t="n">
        <f aca="false">SUM(E130:G130)</f>
        <v>323.405136986301</v>
      </c>
    </row>
    <row r="131" customFormat="false" ht="14.25" hidden="false" customHeight="false" outlineLevel="0" collapsed="false">
      <c r="C131" s="6" t="s">
        <v>137</v>
      </c>
      <c r="D131" s="2" t="s">
        <v>85</v>
      </c>
      <c r="E131" s="8" t="n">
        <f aca="false">0</f>
        <v>0</v>
      </c>
      <c r="F131" s="8" t="n">
        <f aca="false">0</f>
        <v>0</v>
      </c>
      <c r="G131" s="8" t="n">
        <f aca="false">0</f>
        <v>0</v>
      </c>
      <c r="H131" s="8" t="n">
        <f aca="false">SUM(E131:G131)</f>
        <v>0</v>
      </c>
    </row>
    <row r="132" customFormat="false" ht="14.25" hidden="false" customHeight="false" outlineLevel="0" collapsed="false">
      <c r="C132" s="6" t="s">
        <v>138</v>
      </c>
      <c r="D132" s="2" t="s">
        <v>85</v>
      </c>
      <c r="E132" s="8" t="n">
        <f aca="false">E98</f>
        <v>7500</v>
      </c>
      <c r="F132" s="8" t="n">
        <f aca="false">F98</f>
        <v>7500</v>
      </c>
      <c r="G132" s="8" t="n">
        <f aca="false">G98</f>
        <v>7500</v>
      </c>
      <c r="H132" s="8" t="n">
        <f aca="false">SUM(E132:G132)</f>
        <v>22500</v>
      </c>
    </row>
    <row r="133" customFormat="false" ht="14.25" hidden="false" customHeight="false" outlineLevel="0" collapsed="false">
      <c r="C133" s="1" t="s">
        <v>139</v>
      </c>
      <c r="D133" s="51" t="s">
        <v>85</v>
      </c>
      <c r="E133" s="15" t="n">
        <f aca="false">SUM(E127:E132)</f>
        <v>72091.9337726027</v>
      </c>
      <c r="F133" s="15" t="n">
        <f aca="false">SUM(F127:F132)</f>
        <v>76800.0592465753</v>
      </c>
      <c r="G133" s="15" t="n">
        <f aca="false">SUM(G127:G132)</f>
        <v>76800.0592465753</v>
      </c>
      <c r="H133" s="15" t="n">
        <f aca="false">SUM(E133:G133)</f>
        <v>225692.052265753</v>
      </c>
    </row>
    <row r="134" customFormat="false" ht="14.25" hidden="false" customHeight="false" outlineLevel="0" collapsed="false">
      <c r="C134" s="6" t="s">
        <v>140</v>
      </c>
      <c r="D134" s="2" t="s">
        <v>85</v>
      </c>
      <c r="E134" s="8" t="n">
        <f aca="false">$H$407</f>
        <v>93704.5637567043</v>
      </c>
      <c r="F134" s="8" t="n">
        <f aca="false">$H$464</f>
        <v>104814.283831267</v>
      </c>
      <c r="G134" s="8" t="n">
        <f aca="false">$H$521</f>
        <v>104814.283831267</v>
      </c>
      <c r="H134" s="8" t="n">
        <f aca="false">SUM(E134:G134)</f>
        <v>303333.131419238</v>
      </c>
    </row>
    <row r="135" customFormat="false" ht="14.25" hidden="false" customHeight="false" outlineLevel="0" collapsed="false">
      <c r="C135" s="1" t="s">
        <v>141</v>
      </c>
      <c r="D135" s="2" t="s">
        <v>85</v>
      </c>
      <c r="E135" s="15" t="n">
        <f aca="false">E535</f>
        <v>21612.6299841015</v>
      </c>
      <c r="F135" s="15" t="n">
        <f aca="false">F535</f>
        <v>28014.2245846914</v>
      </c>
      <c r="G135" s="15" t="n">
        <f aca="false">G535</f>
        <v>28014.2245846914</v>
      </c>
      <c r="H135" s="15" t="n">
        <f aca="false">SUM(E135:G135)</f>
        <v>77641.0791534844</v>
      </c>
    </row>
    <row r="136" customFormat="false" ht="14.25" hidden="false" customHeight="false" outlineLevel="0" collapsed="false">
      <c r="C136" s="6" t="s">
        <v>130</v>
      </c>
      <c r="D136" s="2" t="s">
        <v>3</v>
      </c>
      <c r="E136" s="47" t="n">
        <f aca="false">SUMIF($J$408:$AS$408,"&gt;0")/-SUMIF($J$408:$AS$408,"&lt;0")</f>
        <v>1.36117423584077</v>
      </c>
      <c r="F136" s="47" t="n">
        <f aca="false">SUMIF($J$465:$AS$465,"&gt;0")/-SUMIF($J$465:$AS$465,"&lt;0")</f>
        <v>1.4583810654972</v>
      </c>
      <c r="G136" s="47" t="n">
        <f aca="false">SUMIF($J$522:$AS$522,"&gt;0")/-SUMIF($J$522:$AS$522,"&lt;0")</f>
        <v>1.4583810654972</v>
      </c>
    </row>
    <row r="137" customFormat="false" ht="14.25" hidden="false" customHeight="false" outlineLevel="0" collapsed="false">
      <c r="C137" s="6" t="s">
        <v>131</v>
      </c>
      <c r="D137" s="2" t="s">
        <v>12</v>
      </c>
      <c r="E137" s="48" t="n">
        <f aca="false">XIRR($J$408:$AS$408,$J$360:$AS$360)</f>
        <v>0.215082100372754</v>
      </c>
      <c r="F137" s="48" t="n">
        <f aca="false">XIRR($J$465:$AS$465,$J$360:$AS$360)</f>
        <v>0.282200179512195</v>
      </c>
      <c r="G137" s="48" t="n">
        <f aca="false">XIRR($J$522:$AS$522,$J$360:$AS$360)</f>
        <v>0.282200179512195</v>
      </c>
      <c r="J137" s="52"/>
    </row>
    <row r="138" customFormat="false" ht="14.25" hidden="false" customHeight="false" outlineLevel="0" collapsed="false">
      <c r="C138" s="41" t="s">
        <v>142</v>
      </c>
      <c r="D138" s="42"/>
      <c r="E138" s="43"/>
      <c r="F138" s="43"/>
      <c r="G138" s="43"/>
      <c r="H138" s="43"/>
    </row>
    <row r="139" customFormat="false" ht="14.25" hidden="false" customHeight="false" outlineLevel="0" collapsed="false">
      <c r="C139" s="6" t="s">
        <v>143</v>
      </c>
      <c r="D139" s="2" t="s">
        <v>85</v>
      </c>
      <c r="E139" s="8" t="n">
        <f aca="false">E99</f>
        <v>72091.9337726027</v>
      </c>
      <c r="F139" s="8" t="n">
        <f aca="false">F99</f>
        <v>76800.0592465753</v>
      </c>
      <c r="G139" s="8" t="n">
        <f aca="false">G99</f>
        <v>76800.0592465753</v>
      </c>
      <c r="H139" s="8" t="n">
        <f aca="false">SUM(E139:G139)</f>
        <v>225692.052265753</v>
      </c>
    </row>
    <row r="140" customFormat="false" ht="14.25" hidden="false" customHeight="false" outlineLevel="0" collapsed="false">
      <c r="C140" s="6" t="s">
        <v>144</v>
      </c>
      <c r="D140" s="2" t="s">
        <v>85</v>
      </c>
      <c r="E140" s="8" t="n">
        <f aca="false">$H$377</f>
        <v>382397.730625247</v>
      </c>
      <c r="F140" s="8" t="n">
        <f aca="false">$H$434</f>
        <v>446130.685729454</v>
      </c>
      <c r="G140" s="8" t="n">
        <f aca="false">$H$491</f>
        <v>446130.685729454</v>
      </c>
      <c r="H140" s="8" t="n">
        <f aca="false">SUM(E140:G140)</f>
        <v>1274659.10208416</v>
      </c>
    </row>
    <row r="141" customFormat="false" ht="14.25" hidden="false" customHeight="false" outlineLevel="0" collapsed="false">
      <c r="C141" s="6" t="s">
        <v>145</v>
      </c>
      <c r="D141" s="2" t="s">
        <v>85</v>
      </c>
      <c r="E141" s="8" t="n">
        <f aca="false">$H$386</f>
        <v>-101080.469164597</v>
      </c>
      <c r="F141" s="8" t="n">
        <f aca="false">$H$443</f>
        <v>-130425.697623429</v>
      </c>
      <c r="G141" s="8" t="n">
        <f aca="false">$H$500</f>
        <v>-130425.697623429</v>
      </c>
      <c r="H141" s="8" t="n">
        <f aca="false">SUM(E141:G141)</f>
        <v>-361931.864411456</v>
      </c>
    </row>
    <row r="142" customFormat="false" ht="14.25" hidden="false" customHeight="false" outlineLevel="0" collapsed="false">
      <c r="C142" s="6" t="s">
        <v>146</v>
      </c>
      <c r="D142" s="2" t="s">
        <v>85</v>
      </c>
      <c r="E142" s="8" t="n">
        <f aca="false">$H$387</f>
        <v>281317.26146065</v>
      </c>
      <c r="F142" s="8" t="n">
        <f aca="false">$H$444</f>
        <v>315704.988106025</v>
      </c>
      <c r="G142" s="8" t="n">
        <f aca="false">$H$501</f>
        <v>315704.988106025</v>
      </c>
      <c r="H142" s="8" t="n">
        <f aca="false">SUM(E142:G142)</f>
        <v>912727.2376727</v>
      </c>
    </row>
    <row r="143" customFormat="false" ht="14.25" hidden="false" customHeight="false" outlineLevel="0" collapsed="false">
      <c r="C143" s="1" t="s">
        <v>147</v>
      </c>
      <c r="D143" s="2" t="s">
        <v>12</v>
      </c>
      <c r="E143" s="53" t="n">
        <f aca="false">XIRR($J$388:$AS$388,$J$360:$AS$360)</f>
        <v>0.112566927188828</v>
      </c>
      <c r="F143" s="53" t="n">
        <f aca="false">XIRR($J$445:$AS$445,$J$360:$AS$360)</f>
        <v>0.119923687881452</v>
      </c>
      <c r="G143" s="53" t="n">
        <f aca="false">XIRR($J$502:$AS$502,$J$360:$AS$360)</f>
        <v>0.119923687881452</v>
      </c>
    </row>
    <row r="144" customFormat="false" ht="14.25" hidden="false" customHeight="false" outlineLevel="0" collapsed="false">
      <c r="C144" s="6" t="s">
        <v>148</v>
      </c>
      <c r="D144" s="2" t="s">
        <v>85</v>
      </c>
      <c r="E144" s="8" t="n">
        <f aca="false">XNPV(Discount_Rate,$J$388:$AS$388,$J$360:$AS$360)</f>
        <v>19561.2549092521</v>
      </c>
      <c r="F144" s="8" t="n">
        <f aca="false">XNPV(Discount_Rate,$J$445:$AS$445,$J$360:$AS$360)</f>
        <v>25408.5413585676</v>
      </c>
      <c r="G144" s="8" t="n">
        <f aca="false">XNPV(Discount_Rate,$J$502:$AS$502,$J$360:$AS$360)</f>
        <v>25408.5413585676</v>
      </c>
      <c r="H144" s="8" t="n">
        <f aca="false">SUM(E144:G144)</f>
        <v>70378.3376263873</v>
      </c>
    </row>
    <row r="145" customFormat="false" ht="14.25" hidden="false" customHeight="false" outlineLevel="0" collapsed="false">
      <c r="C145" s="6" t="s">
        <v>149</v>
      </c>
      <c r="D145" s="2" t="s">
        <v>85</v>
      </c>
      <c r="E145" s="8" t="n">
        <f aca="false">$H$392</f>
        <v>-32524.9694100564</v>
      </c>
      <c r="F145" s="8" t="n">
        <f aca="false">$H$449</f>
        <v>-36976.9095857668</v>
      </c>
      <c r="G145" s="8" t="n">
        <f aca="false">$H$506</f>
        <v>-36976.9095857668</v>
      </c>
      <c r="H145" s="8" t="n">
        <f aca="false">SUM(E145:G145)</f>
        <v>-106478.78858159</v>
      </c>
    </row>
    <row r="146" customFormat="false" ht="14.25" hidden="false" customHeight="false" outlineLevel="0" collapsed="false">
      <c r="C146" s="1" t="s">
        <v>150</v>
      </c>
      <c r="D146" s="2" t="s">
        <v>12</v>
      </c>
      <c r="E146" s="53" t="n">
        <f aca="false">XIRR($J$393:$AS$393,$J$360:$AS$360)</f>
        <v>0.100346952019002</v>
      </c>
      <c r="F146" s="53" t="n">
        <f aca="false">XIRR($J$450:$AS$450,$J$360:$AS$360)</f>
        <v>0.106902830783639</v>
      </c>
      <c r="G146" s="53" t="n">
        <f aca="false">XIRR($J$507:$AS$507,$J$360:$AS$360)</f>
        <v>0.106902830783639</v>
      </c>
    </row>
    <row r="147" customFormat="false" ht="14.25" hidden="false" customHeight="false" outlineLevel="0" collapsed="false">
      <c r="C147" s="6" t="s">
        <v>151</v>
      </c>
      <c r="D147" s="2" t="s">
        <v>85</v>
      </c>
      <c r="E147" s="8" t="n">
        <f aca="false">$H$395+$H$396</f>
        <v>45455.259645561</v>
      </c>
      <c r="F147" s="8" t="n">
        <f aca="false">$H$452+$H$453</f>
        <v>48423.8173560303</v>
      </c>
      <c r="G147" s="8" t="n">
        <f aca="false">$H$509+$H$510</f>
        <v>48423.8173560303</v>
      </c>
      <c r="H147" s="8" t="n">
        <f aca="false">SUM(E147:G147)</f>
        <v>142302.894357622</v>
      </c>
    </row>
    <row r="148" customFormat="false" ht="14.25" hidden="false" customHeight="false" outlineLevel="0" collapsed="false">
      <c r="C148" s="1" t="s">
        <v>152</v>
      </c>
      <c r="D148" s="2" t="s">
        <v>12</v>
      </c>
      <c r="E148" s="53" t="n">
        <f aca="false">XIRR($J$404:$AS$404,$J$360:$AS$360)</f>
        <v>0.135102335022622</v>
      </c>
      <c r="F148" s="53" t="n">
        <f aca="false">XIRR($J$461:$AS$461,$J$360:$AS$360)</f>
        <v>0.148320183134312</v>
      </c>
      <c r="G148" s="53" t="n">
        <f aca="false">XIRR($J$518:$AS$518,$J$360:$AS$360)</f>
        <v>0.148320183134312</v>
      </c>
    </row>
    <row r="149" customFormat="false" ht="14.25" hidden="false" customHeight="false" outlineLevel="0" collapsed="false">
      <c r="C149" s="6" t="s">
        <v>153</v>
      </c>
      <c r="D149" s="2" t="s">
        <v>3</v>
      </c>
      <c r="E149" s="47" t="n">
        <f aca="false">$H$405</f>
        <v>1.94979790288333</v>
      </c>
      <c r="F149" s="47" t="n">
        <f aca="false">$H$462</f>
        <v>2.04864170303641</v>
      </c>
      <c r="G149" s="47" t="n">
        <f aca="false">$H$519</f>
        <v>2.04864170303641</v>
      </c>
      <c r="H149" s="47"/>
    </row>
    <row r="154" customFormat="false" ht="14.25" hidden="false" customHeight="false" outlineLevel="0" collapsed="false">
      <c r="B154" s="4" t="s">
        <v>3</v>
      </c>
      <c r="C154" s="4" t="s">
        <v>154</v>
      </c>
      <c r="D154" s="4"/>
      <c r="E154" s="5"/>
      <c r="F154" s="5"/>
      <c r="G154" s="5"/>
      <c r="H154" s="5" t="s">
        <v>8</v>
      </c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</row>
    <row r="155" customFormat="false" ht="14.25" hidden="false" customHeight="false" outlineLevel="0" collapsed="false">
      <c r="C155" s="6" t="s">
        <v>155</v>
      </c>
      <c r="D155" s="2" t="s">
        <v>156</v>
      </c>
      <c r="J155" s="54" t="n">
        <f aca="false">J359</f>
        <v>2026</v>
      </c>
      <c r="K155" s="54" t="n">
        <f aca="false">K359</f>
        <v>2027</v>
      </c>
      <c r="L155" s="54" t="n">
        <f aca="false">L359</f>
        <v>2028</v>
      </c>
      <c r="M155" s="54" t="n">
        <f aca="false">M359</f>
        <v>2029</v>
      </c>
      <c r="N155" s="54" t="n">
        <f aca="false">N359</f>
        <v>2030</v>
      </c>
      <c r="O155" s="54" t="n">
        <f aca="false">O359</f>
        <v>2031</v>
      </c>
      <c r="P155" s="54" t="n">
        <f aca="false">P359</f>
        <v>2032</v>
      </c>
      <c r="Q155" s="54" t="n">
        <f aca="false">Q359</f>
        <v>2033</v>
      </c>
      <c r="R155" s="54" t="n">
        <f aca="false">R359</f>
        <v>2034</v>
      </c>
      <c r="S155" s="54" t="n">
        <f aca="false">S359</f>
        <v>2035</v>
      </c>
      <c r="T155" s="54" t="n">
        <f aca="false">T359</f>
        <v>2036</v>
      </c>
      <c r="U155" s="54" t="n">
        <f aca="false">U359</f>
        <v>2037</v>
      </c>
      <c r="V155" s="54" t="n">
        <f aca="false">V359</f>
        <v>2038</v>
      </c>
      <c r="W155" s="54" t="n">
        <f aca="false">W359</f>
        <v>2039</v>
      </c>
      <c r="X155" s="54" t="n">
        <f aca="false">X359</f>
        <v>2040</v>
      </c>
      <c r="Y155" s="54" t="n">
        <f aca="false">Y359</f>
        <v>2041</v>
      </c>
      <c r="Z155" s="54" t="n">
        <f aca="false">Z359</f>
        <v>2042</v>
      </c>
      <c r="AA155" s="54" t="n">
        <f aca="false">AA359</f>
        <v>2043</v>
      </c>
      <c r="AB155" s="54" t="n">
        <f aca="false">AB359</f>
        <v>2044</v>
      </c>
      <c r="AC155" s="54" t="n">
        <f aca="false">AC359</f>
        <v>2045</v>
      </c>
      <c r="AD155" s="54" t="n">
        <f aca="false">AD359</f>
        <v>2046</v>
      </c>
      <c r="AE155" s="54" t="n">
        <f aca="false">AE359</f>
        <v>2047</v>
      </c>
      <c r="AF155" s="54" t="n">
        <f aca="false">AF359</f>
        <v>2048</v>
      </c>
      <c r="AG155" s="54" t="n">
        <f aca="false">AG359</f>
        <v>2049</v>
      </c>
      <c r="AH155" s="54" t="n">
        <f aca="false">AH359</f>
        <v>2050</v>
      </c>
      <c r="AI155" s="54" t="n">
        <f aca="false">AI359</f>
        <v>2051</v>
      </c>
      <c r="AJ155" s="54" t="n">
        <f aca="false">AJ359</f>
        <v>2052</v>
      </c>
      <c r="AK155" s="54" t="n">
        <f aca="false">AK359</f>
        <v>2053</v>
      </c>
      <c r="AL155" s="54" t="n">
        <f aca="false">AL359</f>
        <v>2054</v>
      </c>
      <c r="AM155" s="54" t="n">
        <f aca="false">AM359</f>
        <v>2055</v>
      </c>
      <c r="AN155" s="54" t="n">
        <f aca="false">AN359</f>
        <v>2056</v>
      </c>
      <c r="AO155" s="54" t="n">
        <f aca="false">AO359</f>
        <v>2057</v>
      </c>
      <c r="AP155" s="54" t="n">
        <f aca="false">AP359</f>
        <v>2058</v>
      </c>
      <c r="AQ155" s="54" t="n">
        <f aca="false">AQ359</f>
        <v>2059</v>
      </c>
      <c r="AR155" s="54" t="n">
        <f aca="false">AR359</f>
        <v>2060</v>
      </c>
      <c r="AS155" s="54" t="n">
        <f aca="false">AS359</f>
        <v>2061</v>
      </c>
    </row>
    <row r="157" customFormat="false" ht="14.25" hidden="false" customHeight="false" outlineLevel="0" collapsed="false">
      <c r="C157" s="42" t="s">
        <v>5</v>
      </c>
      <c r="D157" s="42"/>
      <c r="E157" s="43"/>
      <c r="F157" s="43"/>
      <c r="G157" s="43"/>
      <c r="H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  <c r="AL157" s="43"/>
      <c r="AM157" s="43"/>
      <c r="AN157" s="43"/>
      <c r="AO157" s="43"/>
      <c r="AP157" s="43"/>
      <c r="AQ157" s="43"/>
      <c r="AR157" s="43"/>
      <c r="AS157" s="43"/>
    </row>
    <row r="158" customFormat="false" ht="14.25" hidden="false" customHeight="false" outlineLevel="0" collapsed="false">
      <c r="C158" s="6" t="s">
        <v>157</v>
      </c>
      <c r="D158" s="2" t="s">
        <v>85</v>
      </c>
      <c r="H158" s="8" t="n">
        <f aca="false">SUM(J158:AS158)</f>
        <v>-72091.9337726027</v>
      </c>
      <c r="J158" s="8" t="n">
        <f aca="false">J373</f>
        <v>0</v>
      </c>
      <c r="K158" s="8" t="n">
        <f aca="false">K373</f>
        <v>0</v>
      </c>
      <c r="L158" s="8" t="n">
        <f aca="false">L373</f>
        <v>0</v>
      </c>
      <c r="M158" s="8" t="n">
        <f aca="false">M373</f>
        <v>-33450.8995260274</v>
      </c>
      <c r="N158" s="8" t="n">
        <f aca="false">N373</f>
        <v>-26389</v>
      </c>
      <c r="O158" s="8" t="n">
        <f aca="false">O373</f>
        <v>-14194.5</v>
      </c>
      <c r="P158" s="8" t="n">
        <f aca="false">P373</f>
        <v>0</v>
      </c>
      <c r="Q158" s="8" t="n">
        <f aca="false">Q373</f>
        <v>1942.46575342466</v>
      </c>
      <c r="R158" s="8" t="n">
        <f aca="false">R373</f>
        <v>0</v>
      </c>
      <c r="S158" s="8" t="n">
        <f aca="false">S373</f>
        <v>0</v>
      </c>
      <c r="T158" s="8" t="n">
        <f aca="false">T373</f>
        <v>0</v>
      </c>
      <c r="U158" s="8" t="n">
        <f aca="false">U373</f>
        <v>0</v>
      </c>
      <c r="V158" s="8" t="n">
        <f aca="false">V373</f>
        <v>0</v>
      </c>
      <c r="W158" s="8" t="n">
        <f aca="false">W373</f>
        <v>0</v>
      </c>
      <c r="X158" s="8" t="n">
        <f aca="false">X373</f>
        <v>0</v>
      </c>
      <c r="Y158" s="8" t="n">
        <f aca="false">Y373</f>
        <v>0</v>
      </c>
      <c r="Z158" s="8" t="n">
        <f aca="false">Z373</f>
        <v>0</v>
      </c>
      <c r="AA158" s="8" t="n">
        <f aca="false">AA373</f>
        <v>0</v>
      </c>
      <c r="AB158" s="8" t="n">
        <f aca="false">AB373</f>
        <v>0</v>
      </c>
      <c r="AC158" s="8" t="n">
        <f aca="false">AC373</f>
        <v>0</v>
      </c>
      <c r="AD158" s="8" t="n">
        <f aca="false">AD373</f>
        <v>0</v>
      </c>
      <c r="AE158" s="8" t="n">
        <f aca="false">AE373</f>
        <v>0</v>
      </c>
      <c r="AF158" s="8" t="n">
        <f aca="false">AF373</f>
        <v>0</v>
      </c>
      <c r="AG158" s="8" t="n">
        <f aca="false">AG373</f>
        <v>0</v>
      </c>
      <c r="AH158" s="8" t="n">
        <f aca="false">AH373</f>
        <v>0</v>
      </c>
      <c r="AI158" s="8" t="n">
        <f aca="false">AI373</f>
        <v>0</v>
      </c>
      <c r="AJ158" s="8" t="n">
        <f aca="false">AJ373</f>
        <v>0</v>
      </c>
      <c r="AK158" s="8" t="n">
        <f aca="false">AK373</f>
        <v>0</v>
      </c>
      <c r="AL158" s="8" t="n">
        <f aca="false">AL373</f>
        <v>0</v>
      </c>
      <c r="AM158" s="8" t="n">
        <f aca="false">AM373</f>
        <v>0</v>
      </c>
      <c r="AN158" s="8" t="n">
        <f aca="false">AN373</f>
        <v>0</v>
      </c>
      <c r="AO158" s="8" t="n">
        <f aca="false">AO373</f>
        <v>0</v>
      </c>
      <c r="AP158" s="8" t="n">
        <f aca="false">AP373</f>
        <v>0</v>
      </c>
      <c r="AQ158" s="8" t="n">
        <f aca="false">AQ373</f>
        <v>0</v>
      </c>
      <c r="AR158" s="8" t="n">
        <f aca="false">AR373</f>
        <v>0</v>
      </c>
      <c r="AS158" s="8" t="n">
        <f aca="false">AS373</f>
        <v>0</v>
      </c>
    </row>
    <row r="159" customFormat="false" ht="14.25" hidden="false" customHeight="false" outlineLevel="0" collapsed="false">
      <c r="C159" s="6" t="s">
        <v>158</v>
      </c>
      <c r="D159" s="2" t="s">
        <v>85</v>
      </c>
      <c r="H159" s="8" t="n">
        <f aca="false">SUM(J159:AS159)</f>
        <v>382397.730625247</v>
      </c>
      <c r="J159" s="8" t="n">
        <f aca="false">J377</f>
        <v>0</v>
      </c>
      <c r="K159" s="8" t="n">
        <f aca="false">K377</f>
        <v>0</v>
      </c>
      <c r="L159" s="8" t="n">
        <f aca="false">L377</f>
        <v>0</v>
      </c>
      <c r="M159" s="8" t="n">
        <f aca="false">M377</f>
        <v>0</v>
      </c>
      <c r="N159" s="8" t="n">
        <f aca="false">N377</f>
        <v>0</v>
      </c>
      <c r="O159" s="8" t="n">
        <f aca="false">O377</f>
        <v>5715.36</v>
      </c>
      <c r="P159" s="8" t="n">
        <f aca="false">P377</f>
        <v>11545.0272</v>
      </c>
      <c r="Q159" s="8" t="n">
        <f aca="false">Q377</f>
        <v>11625.496039584</v>
      </c>
      <c r="R159" s="8" t="n">
        <f aca="false">R377</f>
        <v>11706.5257469799</v>
      </c>
      <c r="S159" s="8" t="n">
        <f aca="false">S377</f>
        <v>11788.1202314363</v>
      </c>
      <c r="T159" s="8" t="n">
        <f aca="false">T377</f>
        <v>11870.2834294495</v>
      </c>
      <c r="U159" s="8" t="n">
        <f aca="false">U377</f>
        <v>11953.0193049527</v>
      </c>
      <c r="V159" s="8" t="n">
        <f aca="false">V377</f>
        <v>12036.3318495082</v>
      </c>
      <c r="W159" s="8" t="n">
        <f aca="false">W377</f>
        <v>12120.2250824993</v>
      </c>
      <c r="X159" s="8" t="n">
        <f aca="false">X377</f>
        <v>12204.7030513243</v>
      </c>
      <c r="Y159" s="8" t="n">
        <f aca="false">Y377</f>
        <v>12289.7698315921</v>
      </c>
      <c r="Z159" s="8" t="n">
        <f aca="false">Z377</f>
        <v>12375.4295273183</v>
      </c>
      <c r="AA159" s="8" t="n">
        <f aca="false">AA377</f>
        <v>12461.6862711237</v>
      </c>
      <c r="AB159" s="8" t="n">
        <f aca="false">AB377</f>
        <v>12548.5442244334</v>
      </c>
      <c r="AC159" s="8" t="n">
        <f aca="false">AC377</f>
        <v>12636.0075776777</v>
      </c>
      <c r="AD159" s="8" t="n">
        <f aca="false">AD377</f>
        <v>12724.0805504941</v>
      </c>
      <c r="AE159" s="8" t="n">
        <f aca="false">AE377</f>
        <v>12812.7673919311</v>
      </c>
      <c r="AF159" s="8" t="n">
        <f aca="false">AF377</f>
        <v>12902.0723806528</v>
      </c>
      <c r="AG159" s="8" t="n">
        <f aca="false">AG377</f>
        <v>12991.999825146</v>
      </c>
      <c r="AH159" s="8" t="n">
        <f aca="false">AH377</f>
        <v>13082.5540639272</v>
      </c>
      <c r="AI159" s="8" t="n">
        <f aca="false">AI377</f>
        <v>13173.7394657528</v>
      </c>
      <c r="AJ159" s="8" t="n">
        <f aca="false">AJ377</f>
        <v>13265.5604298291</v>
      </c>
      <c r="AK159" s="8" t="n">
        <f aca="false">AK377</f>
        <v>13358.021386025</v>
      </c>
      <c r="AL159" s="8" t="n">
        <f aca="false">AL377</f>
        <v>13451.1267950856</v>
      </c>
      <c r="AM159" s="8" t="n">
        <f aca="false">AM377</f>
        <v>13544.8811488474</v>
      </c>
      <c r="AN159" s="8" t="n">
        <f aca="false">AN377</f>
        <v>13639.2889704548</v>
      </c>
      <c r="AO159" s="8" t="n">
        <f aca="false">AO377</f>
        <v>13734.3548145789</v>
      </c>
      <c r="AP159" s="8" t="n">
        <f aca="false">AP377</f>
        <v>13830.0832676365</v>
      </c>
      <c r="AQ159" s="8" t="n">
        <f aca="false">AQ377</f>
        <v>13926.4789480119</v>
      </c>
      <c r="AR159" s="8" t="n">
        <f aca="false">AR377</f>
        <v>14023.5465062796</v>
      </c>
      <c r="AS159" s="8" t="n">
        <f aca="false">AS377</f>
        <v>7060.64531271418</v>
      </c>
    </row>
    <row r="160" customFormat="false" ht="14.25" hidden="false" customHeight="false" outlineLevel="0" collapsed="false">
      <c r="C160" s="6" t="s">
        <v>159</v>
      </c>
      <c r="D160" s="2" t="s">
        <v>85</v>
      </c>
      <c r="H160" s="8" t="n">
        <f aca="false">SUM(J160:AS160)</f>
        <v>-101080.469164597</v>
      </c>
      <c r="J160" s="8" t="n">
        <f aca="false">J386</f>
        <v>0</v>
      </c>
      <c r="K160" s="8" t="n">
        <f aca="false">K386</f>
        <v>0</v>
      </c>
      <c r="L160" s="8" t="n">
        <f aca="false">L386</f>
        <v>0</v>
      </c>
      <c r="M160" s="8" t="n">
        <f aca="false">M386</f>
        <v>0</v>
      </c>
      <c r="N160" s="8" t="n">
        <f aca="false">N386</f>
        <v>0</v>
      </c>
      <c r="O160" s="8" t="n">
        <f aca="false">O386</f>
        <v>-1182.141828</v>
      </c>
      <c r="P160" s="8" t="n">
        <f aca="false">P386</f>
        <v>-2419.78149756</v>
      </c>
      <c r="Q160" s="8" t="n">
        <f aca="false">Q386</f>
        <v>-2473.79268847324</v>
      </c>
      <c r="R160" s="8" t="n">
        <f aca="false">R386</f>
        <v>-2529.07754013253</v>
      </c>
      <c r="S160" s="8" t="n">
        <f aca="false">S386</f>
        <v>-2585.66667091693</v>
      </c>
      <c r="T160" s="8" t="n">
        <f aca="false">T386</f>
        <v>-2643.59144103106</v>
      </c>
      <c r="U160" s="8" t="n">
        <f aca="false">U386</f>
        <v>-2702.88397055478</v>
      </c>
      <c r="V160" s="8" t="n">
        <f aca="false">V386</f>
        <v>-2763.57715793331</v>
      </c>
      <c r="W160" s="8" t="n">
        <f aca="false">W386</f>
        <v>-2825.70469891879</v>
      </c>
      <c r="X160" s="8" t="n">
        <f aca="false">X386</f>
        <v>-2889.30110597403</v>
      </c>
      <c r="Y160" s="8" t="n">
        <f aca="false">Y386</f>
        <v>-2954.40172814999</v>
      </c>
      <c r="Z160" s="8" t="n">
        <f aca="false">Z386</f>
        <v>-3021.04277144858</v>
      </c>
      <c r="AA160" s="8" t="n">
        <f aca="false">AA386</f>
        <v>-3089.26131968243</v>
      </c>
      <c r="AB160" s="8" t="n">
        <f aca="false">AB386</f>
        <v>-3159.09535584409</v>
      </c>
      <c r="AC160" s="8" t="n">
        <f aca="false">AC386</f>
        <v>-3230.58378399692</v>
      </c>
      <c r="AD160" s="8" t="n">
        <f aca="false">AD386</f>
        <v>-3303.76645170053</v>
      </c>
      <c r="AE160" s="8" t="n">
        <f aca="false">AE386</f>
        <v>-3378.68417298384</v>
      </c>
      <c r="AF160" s="8" t="n">
        <f aca="false">AF386</f>
        <v>-3455.37875187918</v>
      </c>
      <c r="AG160" s="8" t="n">
        <f aca="false">AG386</f>
        <v>-3533.89300653108</v>
      </c>
      <c r="AH160" s="8" t="n">
        <f aca="false">AH386</f>
        <v>-3614.27079389397</v>
      </c>
      <c r="AI160" s="8" t="n">
        <f aca="false">AI386</f>
        <v>-3696.55703503309</v>
      </c>
      <c r="AJ160" s="8" t="n">
        <f aca="false">AJ386</f>
        <v>-3780.79774104342</v>
      </c>
      <c r="AK160" s="8" t="n">
        <f aca="false">AK386</f>
        <v>-3867.04003960174</v>
      </c>
      <c r="AL160" s="8" t="n">
        <f aca="false">AL386</f>
        <v>-3955.33220216742</v>
      </c>
      <c r="AM160" s="8" t="n">
        <f aca="false">AM386</f>
        <v>-4045.72367184764</v>
      </c>
      <c r="AN160" s="8" t="n">
        <f aca="false">AN386</f>
        <v>-4138.26509194355</v>
      </c>
      <c r="AO160" s="8" t="n">
        <f aca="false">AO386</f>
        <v>-4233.00833519381</v>
      </c>
      <c r="AP160" s="8" t="n">
        <f aca="false">AP386</f>
        <v>-4330.00653373281</v>
      </c>
      <c r="AQ160" s="8" t="n">
        <f aca="false">AQ386</f>
        <v>-4429.31410978088</v>
      </c>
      <c r="AR160" s="8" t="n">
        <f aca="false">AR386</f>
        <v>-4530.98680708456</v>
      </c>
      <c r="AS160" s="8" t="n">
        <f aca="false">AS386</f>
        <v>-2317.54086156264</v>
      </c>
    </row>
    <row r="161" customFormat="false" ht="14.25" hidden="false" customHeight="false" outlineLevel="0" collapsed="false">
      <c r="C161" s="6" t="s">
        <v>160</v>
      </c>
      <c r="D161" s="2" t="s">
        <v>85</v>
      </c>
      <c r="H161" s="8" t="n">
        <f aca="false">SUM(J161:AS161)</f>
        <v>281317.26146065</v>
      </c>
      <c r="J161" s="8" t="n">
        <f aca="false">J387</f>
        <v>0</v>
      </c>
      <c r="K161" s="8" t="n">
        <f aca="false">K387</f>
        <v>0</v>
      </c>
      <c r="L161" s="8" t="n">
        <f aca="false">L387</f>
        <v>0</v>
      </c>
      <c r="M161" s="8" t="n">
        <f aca="false">M387</f>
        <v>0</v>
      </c>
      <c r="N161" s="8" t="n">
        <f aca="false">N387</f>
        <v>0</v>
      </c>
      <c r="O161" s="8" t="n">
        <f aca="false">O387</f>
        <v>4533.218172</v>
      </c>
      <c r="P161" s="8" t="n">
        <f aca="false">P387</f>
        <v>9125.24570244</v>
      </c>
      <c r="Q161" s="8" t="n">
        <f aca="false">Q387</f>
        <v>9151.70335111076</v>
      </c>
      <c r="R161" s="8" t="n">
        <f aca="false">R387</f>
        <v>9177.44820684737</v>
      </c>
      <c r="S161" s="8" t="n">
        <f aca="false">S387</f>
        <v>9202.45356051942</v>
      </c>
      <c r="T161" s="8" t="n">
        <f aca="false">T387</f>
        <v>9226.6919884184</v>
      </c>
      <c r="U161" s="8" t="n">
        <f aca="false">U387</f>
        <v>9250.13533439795</v>
      </c>
      <c r="V161" s="8" t="n">
        <f aca="false">V387</f>
        <v>9272.75469157493</v>
      </c>
      <c r="W161" s="8" t="n">
        <f aca="false">W387</f>
        <v>9294.52038358052</v>
      </c>
      <c r="X161" s="8" t="n">
        <f aca="false">X387</f>
        <v>9315.40194535031</v>
      </c>
      <c r="Y161" s="8" t="n">
        <f aca="false">Y387</f>
        <v>9335.36810344208</v>
      </c>
      <c r="Z161" s="8" t="n">
        <f aca="false">Z387</f>
        <v>9354.38675586968</v>
      </c>
      <c r="AA161" s="8" t="n">
        <f aca="false">AA387</f>
        <v>9372.42495144124</v>
      </c>
      <c r="AB161" s="8" t="n">
        <f aca="false">AB387</f>
        <v>9389.44886858932</v>
      </c>
      <c r="AC161" s="8" t="n">
        <f aca="false">AC387</f>
        <v>9405.42379368079</v>
      </c>
      <c r="AD161" s="8" t="n">
        <f aca="false">AD387</f>
        <v>9420.31409879359</v>
      </c>
      <c r="AE161" s="8" t="n">
        <f aca="false">AE387</f>
        <v>9434.08321894722</v>
      </c>
      <c r="AF161" s="8" t="n">
        <f aca="false">AF387</f>
        <v>9446.69362877364</v>
      </c>
      <c r="AG161" s="8" t="n">
        <f aca="false">AG387</f>
        <v>9458.1068186149</v>
      </c>
      <c r="AH161" s="8" t="n">
        <f aca="false">AH387</f>
        <v>9468.28327003328</v>
      </c>
      <c r="AI161" s="8" t="n">
        <f aca="false">AI387</f>
        <v>9477.18243071973</v>
      </c>
      <c r="AJ161" s="8" t="n">
        <f aca="false">AJ387</f>
        <v>9484.7626887857</v>
      </c>
      <c r="AK161" s="8" t="n">
        <f aca="false">AK387</f>
        <v>9490.98134642328</v>
      </c>
      <c r="AL161" s="8" t="n">
        <f aca="false">AL387</f>
        <v>9495.7945929182</v>
      </c>
      <c r="AM161" s="8" t="n">
        <f aca="false">AM387</f>
        <v>9499.15747699973</v>
      </c>
      <c r="AN161" s="8" t="n">
        <f aca="false">AN387</f>
        <v>9501.02387851128</v>
      </c>
      <c r="AO161" s="8" t="n">
        <f aca="false">AO387</f>
        <v>9501.34647938509</v>
      </c>
      <c r="AP161" s="8" t="n">
        <f aca="false">AP387</f>
        <v>9500.07673390371</v>
      </c>
      <c r="AQ161" s="8" t="n">
        <f aca="false">AQ387</f>
        <v>9497.16483823106</v>
      </c>
      <c r="AR161" s="8" t="n">
        <f aca="false">AR387</f>
        <v>9492.55969919502</v>
      </c>
      <c r="AS161" s="8" t="n">
        <f aca="false">AS387</f>
        <v>4743.10445115153</v>
      </c>
    </row>
    <row r="162" customFormat="false" ht="14.25" hidden="false" customHeight="false" outlineLevel="0" collapsed="false">
      <c r="C162" s="1" t="s">
        <v>161</v>
      </c>
      <c r="D162" s="2" t="s">
        <v>85</v>
      </c>
      <c r="H162" s="15" t="n">
        <f aca="false">SUM(J162:AS162)</f>
        <v>209225.327688047</v>
      </c>
      <c r="J162" s="15" t="n">
        <f aca="false">J388</f>
        <v>0</v>
      </c>
      <c r="K162" s="15" t="n">
        <f aca="false">K388</f>
        <v>0</v>
      </c>
      <c r="L162" s="15" t="n">
        <f aca="false">L388</f>
        <v>0</v>
      </c>
      <c r="M162" s="15" t="n">
        <f aca="false">M388</f>
        <v>-33450.8995260274</v>
      </c>
      <c r="N162" s="15" t="n">
        <f aca="false">N388</f>
        <v>-26389</v>
      </c>
      <c r="O162" s="15" t="n">
        <f aca="false">O388</f>
        <v>-9661.281828</v>
      </c>
      <c r="P162" s="15" t="n">
        <f aca="false">P388</f>
        <v>9125.24570244</v>
      </c>
      <c r="Q162" s="15" t="n">
        <f aca="false">Q388</f>
        <v>11094.1691045354</v>
      </c>
      <c r="R162" s="15" t="n">
        <f aca="false">R388</f>
        <v>9177.44820684737</v>
      </c>
      <c r="S162" s="15" t="n">
        <f aca="false">S388</f>
        <v>9202.45356051942</v>
      </c>
      <c r="T162" s="15" t="n">
        <f aca="false">T388</f>
        <v>9226.6919884184</v>
      </c>
      <c r="U162" s="15" t="n">
        <f aca="false">U388</f>
        <v>9250.13533439795</v>
      </c>
      <c r="V162" s="15" t="n">
        <f aca="false">V388</f>
        <v>9272.75469157493</v>
      </c>
      <c r="W162" s="15" t="n">
        <f aca="false">W388</f>
        <v>9294.52038358052</v>
      </c>
      <c r="X162" s="15" t="n">
        <f aca="false">X388</f>
        <v>9315.40194535031</v>
      </c>
      <c r="Y162" s="15" t="n">
        <f aca="false">Y388</f>
        <v>9335.36810344208</v>
      </c>
      <c r="Z162" s="15" t="n">
        <f aca="false">Z388</f>
        <v>9354.38675586968</v>
      </c>
      <c r="AA162" s="15" t="n">
        <f aca="false">AA388</f>
        <v>9372.42495144124</v>
      </c>
      <c r="AB162" s="15" t="n">
        <f aca="false">AB388</f>
        <v>9389.44886858932</v>
      </c>
      <c r="AC162" s="15" t="n">
        <f aca="false">AC388</f>
        <v>9405.42379368079</v>
      </c>
      <c r="AD162" s="15" t="n">
        <f aca="false">AD388</f>
        <v>9420.31409879359</v>
      </c>
      <c r="AE162" s="15" t="n">
        <f aca="false">AE388</f>
        <v>9434.08321894722</v>
      </c>
      <c r="AF162" s="15" t="n">
        <f aca="false">AF388</f>
        <v>9446.69362877364</v>
      </c>
      <c r="AG162" s="15" t="n">
        <f aca="false">AG388</f>
        <v>9458.1068186149</v>
      </c>
      <c r="AH162" s="15" t="n">
        <f aca="false">AH388</f>
        <v>9468.28327003328</v>
      </c>
      <c r="AI162" s="15" t="n">
        <f aca="false">AI388</f>
        <v>9477.18243071973</v>
      </c>
      <c r="AJ162" s="15" t="n">
        <f aca="false">AJ388</f>
        <v>9484.7626887857</v>
      </c>
      <c r="AK162" s="15" t="n">
        <f aca="false">AK388</f>
        <v>9490.98134642328</v>
      </c>
      <c r="AL162" s="15" t="n">
        <f aca="false">AL388</f>
        <v>9495.7945929182</v>
      </c>
      <c r="AM162" s="15" t="n">
        <f aca="false">AM388</f>
        <v>9499.15747699973</v>
      </c>
      <c r="AN162" s="15" t="n">
        <f aca="false">AN388</f>
        <v>9501.02387851128</v>
      </c>
      <c r="AO162" s="15" t="n">
        <f aca="false">AO388</f>
        <v>9501.34647938509</v>
      </c>
      <c r="AP162" s="15" t="n">
        <f aca="false">AP388</f>
        <v>9500.07673390371</v>
      </c>
      <c r="AQ162" s="15" t="n">
        <f aca="false">AQ388</f>
        <v>9497.16483823106</v>
      </c>
      <c r="AR162" s="15" t="n">
        <f aca="false">AR388</f>
        <v>9492.55969919502</v>
      </c>
      <c r="AS162" s="15" t="n">
        <f aca="false">AS388</f>
        <v>4743.10445115153</v>
      </c>
    </row>
    <row r="163" customFormat="false" ht="14.25" hidden="false" customHeight="false" outlineLevel="0" collapsed="false">
      <c r="C163" s="1" t="s">
        <v>162</v>
      </c>
      <c r="D163" s="2" t="s">
        <v>85</v>
      </c>
      <c r="H163" s="15" t="n">
        <f aca="false">SUM(J163:AS163)</f>
        <v>176700.358277991</v>
      </c>
      <c r="J163" s="15" t="n">
        <f aca="false">J393</f>
        <v>0</v>
      </c>
      <c r="K163" s="15" t="n">
        <f aca="false">K393</f>
        <v>0</v>
      </c>
      <c r="L163" s="15" t="n">
        <f aca="false">L393</f>
        <v>0</v>
      </c>
      <c r="M163" s="15" t="n">
        <f aca="false">M393</f>
        <v>-33450.8995260274</v>
      </c>
      <c r="N163" s="15" t="n">
        <f aca="false">N393</f>
        <v>-26389</v>
      </c>
      <c r="O163" s="15" t="n">
        <f aca="false">O393</f>
        <v>-10099.449058574</v>
      </c>
      <c r="P163" s="15" t="n">
        <f aca="false">P393</f>
        <v>8240.08983752606</v>
      </c>
      <c r="Q163" s="15" t="n">
        <f aca="false">Q393</f>
        <v>10205.0445923209</v>
      </c>
      <c r="R163" s="15" t="n">
        <f aca="false">R393</f>
        <v>8284.46196627232</v>
      </c>
      <c r="S163" s="15" t="n">
        <f aca="false">S393</f>
        <v>8305.71651689356</v>
      </c>
      <c r="T163" s="15" t="n">
        <f aca="false">T393</f>
        <v>8326.31918060769</v>
      </c>
      <c r="U163" s="15" t="n">
        <f aca="false">U393</f>
        <v>8346.24602469031</v>
      </c>
      <c r="V163" s="15" t="n">
        <f aca="false">V393</f>
        <v>8365.47247829075</v>
      </c>
      <c r="W163" s="15" t="n">
        <f aca="false">W393</f>
        <v>8383.9733164955</v>
      </c>
      <c r="X163" s="15" t="n">
        <f aca="false">X393</f>
        <v>8401.72264399982</v>
      </c>
      <c r="Y163" s="15" t="n">
        <f aca="false">Y393</f>
        <v>8418.69387837782</v>
      </c>
      <c r="Z163" s="15" t="n">
        <f aca="false">Z393</f>
        <v>8434.85973294128</v>
      </c>
      <c r="AA163" s="15" t="n">
        <f aca="false">AA393</f>
        <v>8450.19219917711</v>
      </c>
      <c r="AB163" s="15" t="n">
        <f aca="false">AB393</f>
        <v>8464.66252875297</v>
      </c>
      <c r="AC163" s="15" t="n">
        <f aca="false">AC393</f>
        <v>8478.24121508073</v>
      </c>
      <c r="AD163" s="15" t="n">
        <f aca="false">AD393</f>
        <v>8490.89797442661</v>
      </c>
      <c r="AE163" s="15" t="n">
        <f aca="false">AE393</f>
        <v>8502.6017265572</v>
      </c>
      <c r="AF163" s="15" t="n">
        <f aca="false">AF393</f>
        <v>8513.32057490965</v>
      </c>
      <c r="AG163" s="15" t="n">
        <f aca="false">AG393</f>
        <v>8523.02178627472</v>
      </c>
      <c r="AH163" s="15" t="n">
        <f aca="false">AH393</f>
        <v>8531.67176998034</v>
      </c>
      <c r="AI163" s="15" t="n">
        <f aca="false">AI393</f>
        <v>8297.4205613378</v>
      </c>
      <c r="AJ163" s="15" t="n">
        <f aca="false">AJ393</f>
        <v>8062.04828546784</v>
      </c>
      <c r="AK163" s="15" t="n">
        <f aca="false">AK393</f>
        <v>8067.33414445979</v>
      </c>
      <c r="AL163" s="15" t="n">
        <f aca="false">AL393</f>
        <v>8071.42540398047</v>
      </c>
      <c r="AM163" s="15" t="n">
        <f aca="false">AM393</f>
        <v>8074.28385544977</v>
      </c>
      <c r="AN163" s="15" t="n">
        <f aca="false">AN393</f>
        <v>8075.87029673459</v>
      </c>
      <c r="AO163" s="15" t="n">
        <f aca="false">AO393</f>
        <v>8076.14450747733</v>
      </c>
      <c r="AP163" s="15" t="n">
        <f aca="false">AP393</f>
        <v>8075.06522381815</v>
      </c>
      <c r="AQ163" s="15" t="n">
        <f aca="false">AQ393</f>
        <v>8072.5901124964</v>
      </c>
      <c r="AR163" s="15" t="n">
        <f aca="false">AR393</f>
        <v>8068.67574431577</v>
      </c>
      <c r="AS163" s="15" t="n">
        <f aca="false">AS393</f>
        <v>4031.6387834788</v>
      </c>
    </row>
    <row r="164" customFormat="false" ht="14.25" hidden="false" customHeight="false" outlineLevel="0" collapsed="false">
      <c r="C164" s="1" t="s">
        <v>163</v>
      </c>
      <c r="D164" s="2" t="s">
        <v>85</v>
      </c>
      <c r="H164" s="15" t="n">
        <f aca="false">SUM(J164:AS164)</f>
        <v>155908.742778837</v>
      </c>
      <c r="J164" s="15" t="n">
        <f aca="false">J404</f>
        <v>0</v>
      </c>
      <c r="K164" s="15" t="n">
        <f aca="false">K404</f>
        <v>0</v>
      </c>
      <c r="L164" s="15" t="n">
        <f aca="false">L404</f>
        <v>0</v>
      </c>
      <c r="M164" s="15" t="n">
        <f aca="false">M404</f>
        <v>-23394.0747647493</v>
      </c>
      <c r="N164" s="15" t="n">
        <f aca="false">N404</f>
        <v>-4761.41986821918</v>
      </c>
      <c r="O164" s="15" t="n">
        <f aca="false">O404</f>
        <v>-243.332887469236</v>
      </c>
      <c r="P164" s="15" t="n">
        <f aca="false">P404</f>
        <v>4218.24133210724</v>
      </c>
      <c r="Q164" s="15" t="n">
        <f aca="false">Q404</f>
        <v>6167.39733153318</v>
      </c>
      <c r="R164" s="15" t="n">
        <f aca="false">R404</f>
        <v>4230.22601234735</v>
      </c>
      <c r="S164" s="15" t="n">
        <f aca="false">S404</f>
        <v>4234.06243517443</v>
      </c>
      <c r="T164" s="15" t="n">
        <f aca="false">T404</f>
        <v>4236.37606470469</v>
      </c>
      <c r="U164" s="15" t="n">
        <f aca="false">U404</f>
        <v>4237.09942289424</v>
      </c>
      <c r="V164" s="15" t="n">
        <f aca="false">V404</f>
        <v>4236.16221630696</v>
      </c>
      <c r="W164" s="15" t="n">
        <f aca="false">W404</f>
        <v>4233.49121131461</v>
      </c>
      <c r="X164" s="15" t="n">
        <f aca="false">X404</f>
        <v>4229.01010346197</v>
      </c>
      <c r="Y164" s="15" t="n">
        <f aca="false">Y404</f>
        <v>4222.63938071516</v>
      </c>
      <c r="Z164" s="15" t="n">
        <f aca="false">Z404</f>
        <v>4214.29618029757</v>
      </c>
      <c r="AA164" s="15" t="n">
        <f aca="false">AA404</f>
        <v>4203.8941388033</v>
      </c>
      <c r="AB164" s="15" t="n">
        <f aca="false">AB404</f>
        <v>4191.34323526256</v>
      </c>
      <c r="AC164" s="15" t="n">
        <f aca="false">AC404</f>
        <v>4176.54962681787</v>
      </c>
      <c r="AD164" s="15" t="n">
        <f aca="false">AD404</f>
        <v>4159.4154766527</v>
      </c>
      <c r="AE164" s="15" t="n">
        <f aca="false">AE404</f>
        <v>8519.10247192219</v>
      </c>
      <c r="AF164" s="15" t="n">
        <f aca="false">AF404</f>
        <v>8529.82132027465</v>
      </c>
      <c r="AG164" s="15" t="n">
        <f aca="false">AG404</f>
        <v>8539.52253163971</v>
      </c>
      <c r="AH164" s="15" t="n">
        <f aca="false">AH404</f>
        <v>8548.17251534533</v>
      </c>
      <c r="AI164" s="15" t="n">
        <f aca="false">AI404</f>
        <v>8305.67093402029</v>
      </c>
      <c r="AJ164" s="15" t="n">
        <f aca="false">AJ404</f>
        <v>8062.04828546784</v>
      </c>
      <c r="AK164" s="15" t="n">
        <f aca="false">AK404</f>
        <v>8067.33414445979</v>
      </c>
      <c r="AL164" s="15" t="n">
        <f aca="false">AL404</f>
        <v>8071.42540398047</v>
      </c>
      <c r="AM164" s="15" t="n">
        <f aca="false">AM404</f>
        <v>8074.28385544977</v>
      </c>
      <c r="AN164" s="15" t="n">
        <f aca="false">AN404</f>
        <v>8075.87029673459</v>
      </c>
      <c r="AO164" s="15" t="n">
        <f aca="false">AO404</f>
        <v>8076.14450747733</v>
      </c>
      <c r="AP164" s="15" t="n">
        <f aca="false">AP404</f>
        <v>8075.06522381815</v>
      </c>
      <c r="AQ164" s="15" t="n">
        <f aca="false">AQ404</f>
        <v>8072.5901124964</v>
      </c>
      <c r="AR164" s="15" t="n">
        <f aca="false">AR404</f>
        <v>8068.67574431577</v>
      </c>
      <c r="AS164" s="15" t="n">
        <f aca="false">AS404</f>
        <v>4031.6387834788</v>
      </c>
    </row>
    <row r="165" customFormat="false" ht="14.25" hidden="false" customHeight="false" outlineLevel="0" collapsed="false">
      <c r="C165" s="6" t="s">
        <v>164</v>
      </c>
      <c r="D165" s="2" t="s">
        <v>85</v>
      </c>
      <c r="J165" s="8" t="n">
        <f aca="false">SUM($J162:J162)</f>
        <v>0</v>
      </c>
      <c r="K165" s="8" t="n">
        <f aca="false">SUM($J162:K162)</f>
        <v>0</v>
      </c>
      <c r="L165" s="8" t="n">
        <f aca="false">SUM($J162:L162)</f>
        <v>0</v>
      </c>
      <c r="M165" s="8" t="n">
        <f aca="false">SUM($J162:M162)</f>
        <v>-33450.8995260274</v>
      </c>
      <c r="N165" s="8" t="n">
        <f aca="false">SUM($J162:N162)</f>
        <v>-59839.8995260274</v>
      </c>
      <c r="O165" s="8" t="n">
        <f aca="false">SUM($J162:O162)</f>
        <v>-69501.1813540274</v>
      </c>
      <c r="P165" s="8" t="n">
        <f aca="false">SUM($J162:P162)</f>
        <v>-60375.9356515874</v>
      </c>
      <c r="Q165" s="8" t="n">
        <f aca="false">SUM($J162:Q162)</f>
        <v>-49281.766547052</v>
      </c>
      <c r="R165" s="8" t="n">
        <f aca="false">SUM($J162:R162)</f>
        <v>-40104.3183402046</v>
      </c>
      <c r="S165" s="8" t="n">
        <f aca="false">SUM($J162:S162)</f>
        <v>-30901.8647796852</v>
      </c>
      <c r="T165" s="8" t="n">
        <f aca="false">SUM($J162:T162)</f>
        <v>-21675.1727912668</v>
      </c>
      <c r="U165" s="8" t="n">
        <f aca="false">SUM($J162:U162)</f>
        <v>-12425.0374568688</v>
      </c>
      <c r="V165" s="8" t="n">
        <f aca="false">SUM($J162:V162)</f>
        <v>-3152.28276529391</v>
      </c>
      <c r="W165" s="8" t="n">
        <f aca="false">SUM($J162:W162)</f>
        <v>6142.23761828661</v>
      </c>
      <c r="X165" s="8" t="n">
        <f aca="false">SUM($J162:X162)</f>
        <v>15457.6395636369</v>
      </c>
      <c r="Y165" s="8" t="n">
        <f aca="false">SUM($J162:Y162)</f>
        <v>24793.007667079</v>
      </c>
      <c r="Z165" s="8" t="n">
        <f aca="false">SUM($J162:Z162)</f>
        <v>34147.3944229487</v>
      </c>
      <c r="AA165" s="8" t="n">
        <f aca="false">SUM($J162:AA162)</f>
        <v>43519.8193743899</v>
      </c>
      <c r="AB165" s="8" t="n">
        <f aca="false">SUM($J162:AB162)</f>
        <v>52909.2682429792</v>
      </c>
      <c r="AC165" s="8" t="n">
        <f aca="false">SUM($J162:AC162)</f>
        <v>62314.69203666</v>
      </c>
      <c r="AD165" s="8" t="n">
        <f aca="false">SUM($J162:AD162)</f>
        <v>71735.0061354536</v>
      </c>
      <c r="AE165" s="8" t="n">
        <f aca="false">SUM($J162:AE162)</f>
        <v>81169.0893544008</v>
      </c>
      <c r="AF165" s="8" t="n">
        <f aca="false">SUM($J162:AF162)</f>
        <v>90615.7829831745</v>
      </c>
      <c r="AG165" s="8" t="n">
        <f aca="false">SUM($J162:AG162)</f>
        <v>100073.889801789</v>
      </c>
      <c r="AH165" s="8" t="n">
        <f aca="false">SUM($J162:AH162)</f>
        <v>109542.173071823</v>
      </c>
      <c r="AI165" s="8" t="n">
        <f aca="false">SUM($J162:AI162)</f>
        <v>119019.355502542</v>
      </c>
      <c r="AJ165" s="8" t="n">
        <f aca="false">SUM($J162:AJ162)</f>
        <v>128504.118191328</v>
      </c>
      <c r="AK165" s="8" t="n">
        <f aca="false">SUM($J162:AK162)</f>
        <v>137995.099537751</v>
      </c>
      <c r="AL165" s="8" t="n">
        <f aca="false">SUM($J162:AL162)</f>
        <v>147490.89413067</v>
      </c>
      <c r="AM165" s="8" t="n">
        <f aca="false">SUM($J162:AM162)</f>
        <v>156990.051607669</v>
      </c>
      <c r="AN165" s="8" t="n">
        <f aca="false">SUM($J162:AN162)</f>
        <v>166491.075486181</v>
      </c>
      <c r="AO165" s="8" t="n">
        <f aca="false">SUM($J162:AO162)</f>
        <v>175992.421965566</v>
      </c>
      <c r="AP165" s="8" t="n">
        <f aca="false">SUM($J162:AP162)</f>
        <v>185492.498699469</v>
      </c>
      <c r="AQ165" s="8" t="n">
        <f aca="false">SUM($J162:AQ162)</f>
        <v>194989.6635377</v>
      </c>
      <c r="AR165" s="8" t="n">
        <f aca="false">SUM($J162:AR162)</f>
        <v>204482.223236895</v>
      </c>
      <c r="AS165" s="8" t="n">
        <f aca="false">SUM($J162:AS162)</f>
        <v>209225.327688047</v>
      </c>
    </row>
    <row r="167" customFormat="false" ht="14.25" hidden="false" customHeight="false" outlineLevel="0" collapsed="false">
      <c r="C167" s="42" t="s">
        <v>6</v>
      </c>
      <c r="D167" s="42"/>
      <c r="E167" s="43"/>
      <c r="F167" s="43"/>
      <c r="G167" s="43"/>
      <c r="H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  <c r="AB167" s="43"/>
      <c r="AC167" s="43"/>
      <c r="AD167" s="43"/>
      <c r="AE167" s="43"/>
      <c r="AF167" s="43"/>
      <c r="AG167" s="43"/>
      <c r="AH167" s="43"/>
      <c r="AI167" s="43"/>
      <c r="AJ167" s="43"/>
      <c r="AK167" s="43"/>
      <c r="AL167" s="43"/>
      <c r="AM167" s="43"/>
      <c r="AN167" s="43"/>
      <c r="AO167" s="43"/>
      <c r="AP167" s="43"/>
      <c r="AQ167" s="43"/>
      <c r="AR167" s="43"/>
      <c r="AS167" s="43"/>
    </row>
    <row r="168" customFormat="false" ht="14.25" hidden="false" customHeight="false" outlineLevel="0" collapsed="false">
      <c r="C168" s="6" t="s">
        <v>157</v>
      </c>
      <c r="D168" s="2" t="s">
        <v>85</v>
      </c>
      <c r="H168" s="8" t="n">
        <f aca="false">SUM(J168:AS168)</f>
        <v>-76800.0592465753</v>
      </c>
      <c r="J168" s="8" t="n">
        <f aca="false">J430</f>
        <v>0</v>
      </c>
      <c r="K168" s="8" t="n">
        <f aca="false">K430</f>
        <v>0</v>
      </c>
      <c r="L168" s="8" t="n">
        <f aca="false">L430</f>
        <v>0</v>
      </c>
      <c r="M168" s="8" t="n">
        <f aca="false">M430</f>
        <v>-29757.5797945206</v>
      </c>
      <c r="N168" s="8" t="n">
        <f aca="false">N430</f>
        <v>-31358</v>
      </c>
      <c r="O168" s="8" t="n">
        <f aca="false">O430</f>
        <v>-18179</v>
      </c>
      <c r="P168" s="8" t="n">
        <f aca="false">P430</f>
        <v>0</v>
      </c>
      <c r="Q168" s="8" t="n">
        <f aca="false">Q430</f>
        <v>2494.52054794521</v>
      </c>
      <c r="R168" s="8" t="n">
        <f aca="false">R430</f>
        <v>0</v>
      </c>
      <c r="S168" s="8" t="n">
        <f aca="false">S430</f>
        <v>0</v>
      </c>
      <c r="T168" s="8" t="n">
        <f aca="false">T430</f>
        <v>0</v>
      </c>
      <c r="U168" s="8" t="n">
        <f aca="false">U430</f>
        <v>0</v>
      </c>
      <c r="V168" s="8" t="n">
        <f aca="false">V430</f>
        <v>0</v>
      </c>
      <c r="W168" s="8" t="n">
        <f aca="false">W430</f>
        <v>0</v>
      </c>
      <c r="X168" s="8" t="n">
        <f aca="false">X430</f>
        <v>0</v>
      </c>
      <c r="Y168" s="8" t="n">
        <f aca="false">Y430</f>
        <v>0</v>
      </c>
      <c r="Z168" s="8" t="n">
        <f aca="false">Z430</f>
        <v>0</v>
      </c>
      <c r="AA168" s="8" t="n">
        <f aca="false">AA430</f>
        <v>0</v>
      </c>
      <c r="AB168" s="8" t="n">
        <f aca="false">AB430</f>
        <v>0</v>
      </c>
      <c r="AC168" s="8" t="n">
        <f aca="false">AC430</f>
        <v>0</v>
      </c>
      <c r="AD168" s="8" t="n">
        <f aca="false">AD430</f>
        <v>0</v>
      </c>
      <c r="AE168" s="8" t="n">
        <f aca="false">AE430</f>
        <v>0</v>
      </c>
      <c r="AF168" s="8" t="n">
        <f aca="false">AF430</f>
        <v>0</v>
      </c>
      <c r="AG168" s="8" t="n">
        <f aca="false">AG430</f>
        <v>0</v>
      </c>
      <c r="AH168" s="8" t="n">
        <f aca="false">AH430</f>
        <v>0</v>
      </c>
      <c r="AI168" s="8" t="n">
        <f aca="false">AI430</f>
        <v>0</v>
      </c>
      <c r="AJ168" s="8" t="n">
        <f aca="false">AJ430</f>
        <v>0</v>
      </c>
      <c r="AK168" s="8" t="n">
        <f aca="false">AK430</f>
        <v>0</v>
      </c>
      <c r="AL168" s="8" t="n">
        <f aca="false">AL430</f>
        <v>0</v>
      </c>
      <c r="AM168" s="8" t="n">
        <f aca="false">AM430</f>
        <v>0</v>
      </c>
      <c r="AN168" s="8" t="n">
        <f aca="false">AN430</f>
        <v>0</v>
      </c>
      <c r="AO168" s="8" t="n">
        <f aca="false">AO430</f>
        <v>0</v>
      </c>
      <c r="AP168" s="8" t="n">
        <f aca="false">AP430</f>
        <v>0</v>
      </c>
      <c r="AQ168" s="8" t="n">
        <f aca="false">AQ430</f>
        <v>0</v>
      </c>
      <c r="AR168" s="8" t="n">
        <f aca="false">AR430</f>
        <v>0</v>
      </c>
      <c r="AS168" s="8" t="n">
        <f aca="false">AS430</f>
        <v>0</v>
      </c>
    </row>
    <row r="169" customFormat="false" ht="14.25" hidden="false" customHeight="false" outlineLevel="0" collapsed="false">
      <c r="C169" s="6" t="s">
        <v>158</v>
      </c>
      <c r="D169" s="2" t="s">
        <v>85</v>
      </c>
      <c r="H169" s="8" t="n">
        <f aca="false">SUM(J169:AS169)</f>
        <v>446130.685729454</v>
      </c>
      <c r="J169" s="8" t="n">
        <f aca="false">J434</f>
        <v>0</v>
      </c>
      <c r="K169" s="8" t="n">
        <f aca="false">K434</f>
        <v>0</v>
      </c>
      <c r="L169" s="8" t="n">
        <f aca="false">L434</f>
        <v>0</v>
      </c>
      <c r="M169" s="8" t="n">
        <f aca="false">M434</f>
        <v>0</v>
      </c>
      <c r="N169" s="8" t="n">
        <f aca="false">N434</f>
        <v>0</v>
      </c>
      <c r="O169" s="8" t="n">
        <f aca="false">O434</f>
        <v>6667.92</v>
      </c>
      <c r="P169" s="8" t="n">
        <f aca="false">P434</f>
        <v>13469.1984</v>
      </c>
      <c r="Q169" s="8" t="n">
        <f aca="false">Q434</f>
        <v>13563.078712848</v>
      </c>
      <c r="R169" s="8" t="n">
        <f aca="false">R434</f>
        <v>13657.6133714766</v>
      </c>
      <c r="S169" s="8" t="n">
        <f aca="false">S434</f>
        <v>13752.8069366757</v>
      </c>
      <c r="T169" s="8" t="n">
        <f aca="false">T434</f>
        <v>13848.6640010244</v>
      </c>
      <c r="U169" s="8" t="n">
        <f aca="false">U434</f>
        <v>13945.1891891115</v>
      </c>
      <c r="V169" s="8" t="n">
        <f aca="false">V434</f>
        <v>14042.3871577596</v>
      </c>
      <c r="W169" s="8" t="n">
        <f aca="false">W434</f>
        <v>14140.2625962492</v>
      </c>
      <c r="X169" s="8" t="n">
        <f aca="false">X434</f>
        <v>14238.8202265451</v>
      </c>
      <c r="Y169" s="8" t="n">
        <f aca="false">Y434</f>
        <v>14338.0648035241</v>
      </c>
      <c r="Z169" s="8" t="n">
        <f aca="false">Z434</f>
        <v>14438.0011152046</v>
      </c>
      <c r="AA169" s="8" t="n">
        <f aca="false">AA434</f>
        <v>14538.6339829776</v>
      </c>
      <c r="AB169" s="8" t="n">
        <f aca="false">AB434</f>
        <v>14639.968261839</v>
      </c>
      <c r="AC169" s="8" t="n">
        <f aca="false">AC434</f>
        <v>14742.008840624</v>
      </c>
      <c r="AD169" s="8" t="n">
        <f aca="false">AD434</f>
        <v>14844.7606422431</v>
      </c>
      <c r="AE169" s="8" t="n">
        <f aca="false">AE434</f>
        <v>14948.2286239196</v>
      </c>
      <c r="AF169" s="8" t="n">
        <f aca="false">AF434</f>
        <v>15052.4177774283</v>
      </c>
      <c r="AG169" s="8" t="n">
        <f aca="false">AG434</f>
        <v>15157.333129337</v>
      </c>
      <c r="AH169" s="8" t="n">
        <f aca="false">AH434</f>
        <v>15262.9797412485</v>
      </c>
      <c r="AI169" s="8" t="n">
        <f aca="false">AI434</f>
        <v>15369.362710045</v>
      </c>
      <c r="AJ169" s="8" t="n">
        <f aca="false">AJ434</f>
        <v>15476.487168134</v>
      </c>
      <c r="AK169" s="8" t="n">
        <f aca="false">AK434</f>
        <v>15584.3582836959</v>
      </c>
      <c r="AL169" s="8" t="n">
        <f aca="false">AL434</f>
        <v>15692.9812609332</v>
      </c>
      <c r="AM169" s="8" t="n">
        <f aca="false">AM434</f>
        <v>15802.3613403219</v>
      </c>
      <c r="AN169" s="8" t="n">
        <f aca="false">AN434</f>
        <v>15912.503798864</v>
      </c>
      <c r="AO169" s="8" t="n">
        <f aca="false">AO434</f>
        <v>16023.4139503421</v>
      </c>
      <c r="AP169" s="8" t="n">
        <f aca="false">AP434</f>
        <v>16135.0971455759</v>
      </c>
      <c r="AQ169" s="8" t="n">
        <f aca="false">AQ434</f>
        <v>16247.5587726806</v>
      </c>
      <c r="AR169" s="8" t="n">
        <f aca="false">AR434</f>
        <v>16360.8042573262</v>
      </c>
      <c r="AS169" s="8" t="n">
        <f aca="false">AS434</f>
        <v>8237.41953149987</v>
      </c>
    </row>
    <row r="170" customFormat="false" ht="14.25" hidden="false" customHeight="false" outlineLevel="0" collapsed="false">
      <c r="C170" s="6" t="s">
        <v>159</v>
      </c>
      <c r="D170" s="2" t="s">
        <v>85</v>
      </c>
      <c r="H170" s="8" t="n">
        <f aca="false">SUM(J170:AS170)</f>
        <v>-130425.697623429</v>
      </c>
      <c r="J170" s="8" t="n">
        <f aca="false">J443</f>
        <v>0</v>
      </c>
      <c r="K170" s="8" t="n">
        <f aca="false">K443</f>
        <v>0</v>
      </c>
      <c r="L170" s="8" t="n">
        <f aca="false">L443</f>
        <v>0</v>
      </c>
      <c r="M170" s="8" t="n">
        <f aca="false">M443</f>
        <v>0</v>
      </c>
      <c r="N170" s="8" t="n">
        <f aca="false">N443</f>
        <v>0</v>
      </c>
      <c r="O170" s="8" t="n">
        <f aca="false">O443</f>
        <v>-1598.148216</v>
      </c>
      <c r="P170" s="8" t="n">
        <f aca="false">P443</f>
        <v>-3260.87985132</v>
      </c>
      <c r="Q170" s="8" t="n">
        <f aca="false">Q443</f>
        <v>-3322.39115932295</v>
      </c>
      <c r="R170" s="8" t="n">
        <f aca="false">R443</f>
        <v>-3385.38820151339</v>
      </c>
      <c r="S170" s="8" t="n">
        <f aca="false">S443</f>
        <v>-3449.90658222877</v>
      </c>
      <c r="T170" s="8" t="n">
        <f aca="false">T443</f>
        <v>-3515.98276867813</v>
      </c>
      <c r="U170" s="8" t="n">
        <f aca="false">U443</f>
        <v>-3583.65411193425</v>
      </c>
      <c r="V170" s="8" t="n">
        <f aca="false">V443</f>
        <v>-3652.95886843809</v>
      </c>
      <c r="W170" s="8" t="n">
        <f aca="false">W443</f>
        <v>-3723.93622202803</v>
      </c>
      <c r="X170" s="8" t="n">
        <f aca="false">X443</f>
        <v>-3796.62630650685</v>
      </c>
      <c r="Y170" s="8" t="n">
        <f aca="false">Y443</f>
        <v>-3871.07022875947</v>
      </c>
      <c r="Z170" s="8" t="n">
        <f aca="false">Z443</f>
        <v>-3947.31009243507</v>
      </c>
      <c r="AA170" s="8" t="n">
        <f aca="false">AA443</f>
        <v>-4025.38902220729</v>
      </c>
      <c r="AB170" s="8" t="n">
        <f aca="false">AB443</f>
        <v>-4105.3511886267</v>
      </c>
      <c r="AC170" s="8" t="n">
        <f aca="false">AC443</f>
        <v>-4187.24183358009</v>
      </c>
      <c r="AD170" s="8" t="n">
        <f aca="false">AD443</f>
        <v>-4271.10729637127</v>
      </c>
      <c r="AE170" s="8" t="n">
        <f aca="false">AE443</f>
        <v>-4356.99504043889</v>
      </c>
      <c r="AF170" s="8" t="n">
        <f aca="false">AF443</f>
        <v>-4444.95368072645</v>
      </c>
      <c r="AG170" s="8" t="n">
        <f aca="false">AG443</f>
        <v>-4535.0330117209</v>
      </c>
      <c r="AH170" s="8" t="n">
        <f aca="false">AH443</f>
        <v>-4627.28403617592</v>
      </c>
      <c r="AI170" s="8" t="n">
        <f aca="false">AI443</f>
        <v>-4721.75899453672</v>
      </c>
      <c r="AJ170" s="8" t="n">
        <f aca="false">AJ443</f>
        <v>-4818.51139508354</v>
      </c>
      <c r="AK170" s="8" t="n">
        <f aca="false">AK443</f>
        <v>-4917.59604481147</v>
      </c>
      <c r="AL170" s="8" t="n">
        <f aca="false">AL443</f>
        <v>-5019.06908106463</v>
      </c>
      <c r="AM170" s="8" t="n">
        <f aca="false">AM443</f>
        <v>-5122.98800394303</v>
      </c>
      <c r="AN170" s="8" t="n">
        <f aca="false">AN443</f>
        <v>-5229.41170950133</v>
      </c>
      <c r="AO170" s="8" t="n">
        <f aca="false">AO443</f>
        <v>-5338.40052375853</v>
      </c>
      <c r="AP170" s="8" t="n">
        <f aca="false">AP443</f>
        <v>-5450.01623753884</v>
      </c>
      <c r="AQ170" s="8" t="n">
        <f aca="false">AQ443</f>
        <v>-5564.32214216366</v>
      </c>
      <c r="AR170" s="8" t="n">
        <f aca="false">AR443</f>
        <v>-5681.38306601601</v>
      </c>
      <c r="AS170" s="8" t="n">
        <f aca="false">AS443</f>
        <v>-2900.63270599912</v>
      </c>
    </row>
    <row r="171" customFormat="false" ht="14.25" hidden="false" customHeight="false" outlineLevel="0" collapsed="false">
      <c r="C171" s="6" t="s">
        <v>160</v>
      </c>
      <c r="D171" s="2" t="s">
        <v>85</v>
      </c>
      <c r="H171" s="8" t="n">
        <f aca="false">SUM(J171:AS171)</f>
        <v>315704.988106025</v>
      </c>
      <c r="J171" s="8" t="n">
        <f aca="false">J444</f>
        <v>0</v>
      </c>
      <c r="K171" s="8" t="n">
        <f aca="false">K444</f>
        <v>0</v>
      </c>
      <c r="L171" s="8" t="n">
        <f aca="false">L444</f>
        <v>0</v>
      </c>
      <c r="M171" s="8" t="n">
        <f aca="false">M444</f>
        <v>0</v>
      </c>
      <c r="N171" s="8" t="n">
        <f aca="false">N444</f>
        <v>0</v>
      </c>
      <c r="O171" s="8" t="n">
        <f aca="false">O444</f>
        <v>5069.771784</v>
      </c>
      <c r="P171" s="8" t="n">
        <f aca="false">P444</f>
        <v>10208.31854868</v>
      </c>
      <c r="Q171" s="8" t="n">
        <f aca="false">Q444</f>
        <v>10240.6875535251</v>
      </c>
      <c r="R171" s="8" t="n">
        <f aca="false">R444</f>
        <v>10272.2251699632</v>
      </c>
      <c r="S171" s="8" t="n">
        <f aca="false">S444</f>
        <v>10302.900354447</v>
      </c>
      <c r="T171" s="8" t="n">
        <f aca="false">T444</f>
        <v>10332.6812323462</v>
      </c>
      <c r="U171" s="8" t="n">
        <f aca="false">U444</f>
        <v>10361.5350771773</v>
      </c>
      <c r="V171" s="8" t="n">
        <f aca="false">V444</f>
        <v>10389.4282893215</v>
      </c>
      <c r="W171" s="8" t="n">
        <f aca="false">W444</f>
        <v>10416.3263742212</v>
      </c>
      <c r="X171" s="8" t="n">
        <f aca="false">X444</f>
        <v>10442.1939200382</v>
      </c>
      <c r="Y171" s="8" t="n">
        <f aca="false">Y444</f>
        <v>10466.9945747646</v>
      </c>
      <c r="Z171" s="8" t="n">
        <f aca="false">Z444</f>
        <v>10490.6910227696</v>
      </c>
      <c r="AA171" s="8" t="n">
        <f aca="false">AA444</f>
        <v>10513.2449607703</v>
      </c>
      <c r="AB171" s="8" t="n">
        <f aca="false">AB444</f>
        <v>10534.6170732123</v>
      </c>
      <c r="AC171" s="8" t="n">
        <f aca="false">AC444</f>
        <v>10554.7670070439</v>
      </c>
      <c r="AD171" s="8" t="n">
        <f aca="false">AD444</f>
        <v>10573.6533458719</v>
      </c>
      <c r="AE171" s="8" t="n">
        <f aca="false">AE444</f>
        <v>10591.2335834807</v>
      </c>
      <c r="AF171" s="8" t="n">
        <f aca="false">AF444</f>
        <v>10607.4640967019</v>
      </c>
      <c r="AG171" s="8" t="n">
        <f aca="false">AG444</f>
        <v>10622.3001176161</v>
      </c>
      <c r="AH171" s="8" t="n">
        <f aca="false">AH444</f>
        <v>10635.6957050725</v>
      </c>
      <c r="AI171" s="8" t="n">
        <f aca="false">AI444</f>
        <v>10647.6037155082</v>
      </c>
      <c r="AJ171" s="8" t="n">
        <f aca="false">AJ444</f>
        <v>10657.9757730504</v>
      </c>
      <c r="AK171" s="8" t="n">
        <f aca="false">AK444</f>
        <v>10666.7622388844</v>
      </c>
      <c r="AL171" s="8" t="n">
        <f aca="false">AL444</f>
        <v>10673.9121798686</v>
      </c>
      <c r="AM171" s="8" t="n">
        <f aca="false">AM444</f>
        <v>10679.3733363789</v>
      </c>
      <c r="AN171" s="8" t="n">
        <f aca="false">AN444</f>
        <v>10683.0920893626</v>
      </c>
      <c r="AO171" s="8" t="n">
        <f aca="false">AO444</f>
        <v>10685.0134265835</v>
      </c>
      <c r="AP171" s="8" t="n">
        <f aca="false">AP444</f>
        <v>10685.0809080371</v>
      </c>
      <c r="AQ171" s="8" t="n">
        <f aca="false">AQ444</f>
        <v>10683.2366305169</v>
      </c>
      <c r="AR171" s="8" t="n">
        <f aca="false">AR444</f>
        <v>10679.4211913102</v>
      </c>
      <c r="AS171" s="8" t="n">
        <f aca="false">AS444</f>
        <v>5336.78682550075</v>
      </c>
    </row>
    <row r="172" customFormat="false" ht="14.25" hidden="false" customHeight="false" outlineLevel="0" collapsed="false">
      <c r="C172" s="1" t="s">
        <v>161</v>
      </c>
      <c r="D172" s="2" t="s">
        <v>85</v>
      </c>
      <c r="H172" s="15" t="n">
        <f aca="false">SUM(J172:AS172)</f>
        <v>238904.92885945</v>
      </c>
      <c r="J172" s="15" t="n">
        <f aca="false">J445</f>
        <v>0</v>
      </c>
      <c r="K172" s="15" t="n">
        <f aca="false">K445</f>
        <v>0</v>
      </c>
      <c r="L172" s="15" t="n">
        <f aca="false">L445</f>
        <v>0</v>
      </c>
      <c r="M172" s="15" t="n">
        <f aca="false">M445</f>
        <v>-29757.5797945206</v>
      </c>
      <c r="N172" s="15" t="n">
        <f aca="false">N445</f>
        <v>-31358</v>
      </c>
      <c r="O172" s="15" t="n">
        <f aca="false">O445</f>
        <v>-13109.228216</v>
      </c>
      <c r="P172" s="15" t="n">
        <f aca="false">P445</f>
        <v>10208.31854868</v>
      </c>
      <c r="Q172" s="15" t="n">
        <f aca="false">Q445</f>
        <v>12735.2081014703</v>
      </c>
      <c r="R172" s="15" t="n">
        <f aca="false">R445</f>
        <v>10272.2251699632</v>
      </c>
      <c r="S172" s="15" t="n">
        <f aca="false">S445</f>
        <v>10302.900354447</v>
      </c>
      <c r="T172" s="15" t="n">
        <f aca="false">T445</f>
        <v>10332.6812323462</v>
      </c>
      <c r="U172" s="15" t="n">
        <f aca="false">U445</f>
        <v>10361.5350771773</v>
      </c>
      <c r="V172" s="15" t="n">
        <f aca="false">V445</f>
        <v>10389.4282893215</v>
      </c>
      <c r="W172" s="15" t="n">
        <f aca="false">W445</f>
        <v>10416.3263742212</v>
      </c>
      <c r="X172" s="15" t="n">
        <f aca="false">X445</f>
        <v>10442.1939200382</v>
      </c>
      <c r="Y172" s="15" t="n">
        <f aca="false">Y445</f>
        <v>10466.9945747646</v>
      </c>
      <c r="Z172" s="15" t="n">
        <f aca="false">Z445</f>
        <v>10490.6910227696</v>
      </c>
      <c r="AA172" s="15" t="n">
        <f aca="false">AA445</f>
        <v>10513.2449607703</v>
      </c>
      <c r="AB172" s="15" t="n">
        <f aca="false">AB445</f>
        <v>10534.6170732123</v>
      </c>
      <c r="AC172" s="15" t="n">
        <f aca="false">AC445</f>
        <v>10554.7670070439</v>
      </c>
      <c r="AD172" s="15" t="n">
        <f aca="false">AD445</f>
        <v>10573.6533458719</v>
      </c>
      <c r="AE172" s="15" t="n">
        <f aca="false">AE445</f>
        <v>10591.2335834807</v>
      </c>
      <c r="AF172" s="15" t="n">
        <f aca="false">AF445</f>
        <v>10607.4640967019</v>
      </c>
      <c r="AG172" s="15" t="n">
        <f aca="false">AG445</f>
        <v>10622.3001176161</v>
      </c>
      <c r="AH172" s="15" t="n">
        <f aca="false">AH445</f>
        <v>10635.6957050725</v>
      </c>
      <c r="AI172" s="15" t="n">
        <f aca="false">AI445</f>
        <v>10647.6037155082</v>
      </c>
      <c r="AJ172" s="15" t="n">
        <f aca="false">AJ445</f>
        <v>10657.9757730504</v>
      </c>
      <c r="AK172" s="15" t="n">
        <f aca="false">AK445</f>
        <v>10666.7622388844</v>
      </c>
      <c r="AL172" s="15" t="n">
        <f aca="false">AL445</f>
        <v>10673.9121798686</v>
      </c>
      <c r="AM172" s="15" t="n">
        <f aca="false">AM445</f>
        <v>10679.3733363789</v>
      </c>
      <c r="AN172" s="15" t="n">
        <f aca="false">AN445</f>
        <v>10683.0920893626</v>
      </c>
      <c r="AO172" s="15" t="n">
        <f aca="false">AO445</f>
        <v>10685.0134265835</v>
      </c>
      <c r="AP172" s="15" t="n">
        <f aca="false">AP445</f>
        <v>10685.0809080371</v>
      </c>
      <c r="AQ172" s="15" t="n">
        <f aca="false">AQ445</f>
        <v>10683.2366305169</v>
      </c>
      <c r="AR172" s="15" t="n">
        <f aca="false">AR445</f>
        <v>10679.4211913102</v>
      </c>
      <c r="AS172" s="15" t="n">
        <f aca="false">AS445</f>
        <v>5336.78682550075</v>
      </c>
    </row>
    <row r="173" customFormat="false" ht="14.25" hidden="false" customHeight="false" outlineLevel="0" collapsed="false">
      <c r="C173" s="1" t="s">
        <v>162</v>
      </c>
      <c r="D173" s="2" t="s">
        <v>85</v>
      </c>
      <c r="H173" s="15" t="n">
        <f aca="false">SUM(J173:AS173)</f>
        <v>201928.019273683</v>
      </c>
      <c r="J173" s="15" t="n">
        <f aca="false">J450</f>
        <v>0</v>
      </c>
      <c r="K173" s="15" t="n">
        <f aca="false">K450</f>
        <v>0</v>
      </c>
      <c r="L173" s="15" t="n">
        <f aca="false">L450</f>
        <v>0</v>
      </c>
      <c r="M173" s="15" t="n">
        <f aca="false">M450</f>
        <v>-29757.5797945206</v>
      </c>
      <c r="N173" s="15" t="n">
        <f aca="false">N450</f>
        <v>-31358</v>
      </c>
      <c r="O173" s="15" t="n">
        <f aca="false">O450</f>
        <v>-13610.2230178466</v>
      </c>
      <c r="P173" s="15" t="n">
        <f aca="false">P450</f>
        <v>9196.01269788485</v>
      </c>
      <c r="Q173" s="15" t="n">
        <f aca="false">Q450</f>
        <v>11718.0468999483</v>
      </c>
      <c r="R173" s="15" t="n">
        <f aca="false">R450</f>
        <v>9250.33332597553</v>
      </c>
      <c r="S173" s="15" t="n">
        <f aca="false">S450</f>
        <v>9276.40723278677</v>
      </c>
      <c r="T173" s="15" t="n">
        <f aca="false">T450</f>
        <v>9301.72097900116</v>
      </c>
      <c r="U173" s="15" t="n">
        <f aca="false">U450</f>
        <v>9326.24674710753</v>
      </c>
      <c r="V173" s="15" t="n">
        <f aca="false">V450</f>
        <v>9349.95597743015</v>
      </c>
      <c r="W173" s="15" t="n">
        <f aca="false">W450</f>
        <v>9372.81934959485</v>
      </c>
      <c r="X173" s="15" t="n">
        <f aca="false">X450</f>
        <v>9394.80676353933</v>
      </c>
      <c r="Y173" s="15" t="n">
        <f aca="false">Y450</f>
        <v>9415.88732005677</v>
      </c>
      <c r="Z173" s="15" t="n">
        <f aca="false">Z450</f>
        <v>9436.02930086098</v>
      </c>
      <c r="AA173" s="15" t="n">
        <f aca="false">AA450</f>
        <v>9455.20014816163</v>
      </c>
      <c r="AB173" s="15" t="n">
        <f aca="false">AB450</f>
        <v>9473.36644373728</v>
      </c>
      <c r="AC173" s="15" t="n">
        <f aca="false">AC450</f>
        <v>9490.49388749417</v>
      </c>
      <c r="AD173" s="15" t="n">
        <f aca="false">AD450</f>
        <v>9506.54727549794</v>
      </c>
      <c r="AE173" s="15" t="n">
        <f aca="false">AE450</f>
        <v>9521.49047746544</v>
      </c>
      <c r="AF173" s="15" t="n">
        <f aca="false">AF450</f>
        <v>9535.28641370342</v>
      </c>
      <c r="AG173" s="15" t="n">
        <f aca="false">AG450</f>
        <v>9547.89703148051</v>
      </c>
      <c r="AH173" s="15" t="n">
        <f aca="false">AH450</f>
        <v>9559.2832808185</v>
      </c>
      <c r="AI173" s="15" t="n">
        <f aca="false">AI450</f>
        <v>9309.93412393542</v>
      </c>
      <c r="AJ173" s="15" t="n">
        <f aca="false">AJ450</f>
        <v>9059.27940709287</v>
      </c>
      <c r="AK173" s="15" t="n">
        <f aca="false">AK450</f>
        <v>9066.74790305173</v>
      </c>
      <c r="AL173" s="15" t="n">
        <f aca="false">AL450</f>
        <v>9072.8253528883</v>
      </c>
      <c r="AM173" s="15" t="n">
        <f aca="false">AM450</f>
        <v>9077.46733592206</v>
      </c>
      <c r="AN173" s="15" t="n">
        <f aca="false">AN450</f>
        <v>9080.62827595824</v>
      </c>
      <c r="AO173" s="15" t="n">
        <f aca="false">AO450</f>
        <v>9082.26141259599</v>
      </c>
      <c r="AP173" s="15" t="n">
        <f aca="false">AP450</f>
        <v>9082.31877183154</v>
      </c>
      <c r="AQ173" s="15" t="n">
        <f aca="false">AQ450</f>
        <v>9080.75113593939</v>
      </c>
      <c r="AR173" s="15" t="n">
        <f aca="false">AR450</f>
        <v>9077.50801261365</v>
      </c>
      <c r="AS173" s="15" t="n">
        <f aca="false">AS450</f>
        <v>4536.26880167564</v>
      </c>
    </row>
    <row r="174" customFormat="false" ht="14.25" hidden="false" customHeight="false" outlineLevel="0" collapsed="false">
      <c r="C174" s="1" t="s">
        <v>163</v>
      </c>
      <c r="D174" s="2" t="s">
        <v>85</v>
      </c>
      <c r="H174" s="15" t="n">
        <f aca="false">SUM(J174:AS174)</f>
        <v>179778.560678166</v>
      </c>
      <c r="J174" s="15" t="n">
        <f aca="false">J461</f>
        <v>0</v>
      </c>
      <c r="K174" s="15" t="n">
        <f aca="false">K461</f>
        <v>0</v>
      </c>
      <c r="L174" s="15" t="n">
        <f aca="false">L461</f>
        <v>0</v>
      </c>
      <c r="M174" s="15" t="n">
        <f aca="false">M461</f>
        <v>-19043.9715296233</v>
      </c>
      <c r="N174" s="15" t="n">
        <f aca="false">N461</f>
        <v>-8317.9822260274</v>
      </c>
      <c r="O174" s="15" t="n">
        <f aca="false">O461</f>
        <v>-3110.4310678956</v>
      </c>
      <c r="P174" s="15" t="n">
        <f aca="false">P461</f>
        <v>4911.50835276352</v>
      </c>
      <c r="Q174" s="15" t="n">
        <f aca="false">Q461</f>
        <v>7416.71202629414</v>
      </c>
      <c r="R174" s="15" t="n">
        <f aca="false">R461</f>
        <v>4931.3263973618</v>
      </c>
      <c r="S174" s="15" t="n">
        <f aca="false">S461</f>
        <v>4938.84464646554</v>
      </c>
      <c r="T174" s="15" t="n">
        <f aca="false">T461</f>
        <v>4944.67495208705</v>
      </c>
      <c r="U174" s="15" t="n">
        <f aca="false">U461</f>
        <v>4948.7431075709</v>
      </c>
      <c r="V174" s="15" t="n">
        <f aca="false">V461</f>
        <v>4950.97184463988</v>
      </c>
      <c r="W174" s="15" t="n">
        <f aca="false">W461</f>
        <v>4951.28069888825</v>
      </c>
      <c r="X174" s="15" t="n">
        <f aca="false">X461</f>
        <v>4949.58586902059</v>
      </c>
      <c r="Y174" s="15" t="n">
        <f aca="false">Y461</f>
        <v>4945.80006953527</v>
      </c>
      <c r="Z174" s="15" t="n">
        <f aca="false">Z461</f>
        <v>4939.8323765366</v>
      </c>
      <c r="AA174" s="15" t="n">
        <f aca="false">AA461</f>
        <v>4931.58806634421</v>
      </c>
      <c r="AB174" s="15" t="n">
        <f aca="false">AB461</f>
        <v>4920.96844655218</v>
      </c>
      <c r="AC174" s="15" t="n">
        <f aca="false">AC461</f>
        <v>4907.870679173</v>
      </c>
      <c r="AD174" s="15" t="n">
        <f aca="false">AD461</f>
        <v>4892.18759548389</v>
      </c>
      <c r="AE174" s="15" t="n">
        <f aca="false">AE461</f>
        <v>9539.06884102607</v>
      </c>
      <c r="AF174" s="15" t="n">
        <f aca="false">AF461</f>
        <v>9552.86477726406</v>
      </c>
      <c r="AG174" s="15" t="n">
        <f aca="false">AG461</f>
        <v>9565.47539504115</v>
      </c>
      <c r="AH174" s="15" t="n">
        <f aca="false">AH461</f>
        <v>9576.86164437914</v>
      </c>
      <c r="AI174" s="15" t="n">
        <f aca="false">AI461</f>
        <v>9318.72330571574</v>
      </c>
      <c r="AJ174" s="15" t="n">
        <f aca="false">AJ461</f>
        <v>9059.27940709287</v>
      </c>
      <c r="AK174" s="15" t="n">
        <f aca="false">AK461</f>
        <v>9066.74790305173</v>
      </c>
      <c r="AL174" s="15" t="n">
        <f aca="false">AL461</f>
        <v>9072.8253528883</v>
      </c>
      <c r="AM174" s="15" t="n">
        <f aca="false">AM461</f>
        <v>9077.46733592206</v>
      </c>
      <c r="AN174" s="15" t="n">
        <f aca="false">AN461</f>
        <v>9080.62827595824</v>
      </c>
      <c r="AO174" s="15" t="n">
        <f aca="false">AO461</f>
        <v>9082.26141259599</v>
      </c>
      <c r="AP174" s="15" t="n">
        <f aca="false">AP461</f>
        <v>9082.31877183154</v>
      </c>
      <c r="AQ174" s="15" t="n">
        <f aca="false">AQ461</f>
        <v>9080.75113593939</v>
      </c>
      <c r="AR174" s="15" t="n">
        <f aca="false">AR461</f>
        <v>9077.50801261365</v>
      </c>
      <c r="AS174" s="15" t="n">
        <f aca="false">AS461</f>
        <v>4536.26880167564</v>
      </c>
    </row>
    <row r="175" customFormat="false" ht="14.25" hidden="false" customHeight="false" outlineLevel="0" collapsed="false">
      <c r="C175" s="6" t="s">
        <v>164</v>
      </c>
      <c r="D175" s="2" t="s">
        <v>85</v>
      </c>
      <c r="J175" s="8" t="n">
        <f aca="false">SUM($J172:J172)</f>
        <v>0</v>
      </c>
      <c r="K175" s="8" t="n">
        <f aca="false">SUM($J172:K172)</f>
        <v>0</v>
      </c>
      <c r="L175" s="8" t="n">
        <f aca="false">SUM($J172:L172)</f>
        <v>0</v>
      </c>
      <c r="M175" s="8" t="n">
        <f aca="false">SUM($J172:M172)</f>
        <v>-29757.5797945206</v>
      </c>
      <c r="N175" s="8" t="n">
        <f aca="false">SUM($J172:N172)</f>
        <v>-61115.5797945206</v>
      </c>
      <c r="O175" s="8" t="n">
        <f aca="false">SUM($J172:O172)</f>
        <v>-74224.8080105205</v>
      </c>
      <c r="P175" s="8" t="n">
        <f aca="false">SUM($J172:P172)</f>
        <v>-64016.4894618405</v>
      </c>
      <c r="Q175" s="8" t="n">
        <f aca="false">SUM($J172:Q172)</f>
        <v>-51281.2813603703</v>
      </c>
      <c r="R175" s="8" t="n">
        <f aca="false">SUM($J172:R172)</f>
        <v>-41009.0561904071</v>
      </c>
      <c r="S175" s="8" t="n">
        <f aca="false">SUM($J172:S172)</f>
        <v>-30706.1558359602</v>
      </c>
      <c r="T175" s="8" t="n">
        <f aca="false">SUM($J172:T172)</f>
        <v>-20373.4746036139</v>
      </c>
      <c r="U175" s="8" t="n">
        <f aca="false">SUM($J172:U172)</f>
        <v>-10011.9395264367</v>
      </c>
      <c r="V175" s="8" t="n">
        <f aca="false">SUM($J172:V172)</f>
        <v>377.488762884879</v>
      </c>
      <c r="W175" s="8" t="n">
        <f aca="false">SUM($J172:W172)</f>
        <v>10793.8151371061</v>
      </c>
      <c r="X175" s="8" t="n">
        <f aca="false">SUM($J172:X172)</f>
        <v>21236.0090571443</v>
      </c>
      <c r="Y175" s="8" t="n">
        <f aca="false">SUM($J172:Y172)</f>
        <v>31703.0036319089</v>
      </c>
      <c r="Z175" s="8" t="n">
        <f aca="false">SUM($J172:Z172)</f>
        <v>42193.6946546785</v>
      </c>
      <c r="AA175" s="8" t="n">
        <f aca="false">SUM($J172:AA172)</f>
        <v>52706.9396154488</v>
      </c>
      <c r="AB175" s="8" t="n">
        <f aca="false">SUM($J172:AB172)</f>
        <v>63241.5566886611</v>
      </c>
      <c r="AC175" s="8" t="n">
        <f aca="false">SUM($J172:AC172)</f>
        <v>73796.323695705</v>
      </c>
      <c r="AD175" s="8" t="n">
        <f aca="false">SUM($J172:AD172)</f>
        <v>84369.9770415768</v>
      </c>
      <c r="AE175" s="8" t="n">
        <f aca="false">SUM($J172:AE172)</f>
        <v>94961.2106250575</v>
      </c>
      <c r="AF175" s="8" t="n">
        <f aca="false">SUM($J172:AF172)</f>
        <v>105568.674721759</v>
      </c>
      <c r="AG175" s="8" t="n">
        <f aca="false">SUM($J172:AG172)</f>
        <v>116190.974839375</v>
      </c>
      <c r="AH175" s="8" t="n">
        <f aca="false">SUM($J172:AH172)</f>
        <v>126826.670544448</v>
      </c>
      <c r="AI175" s="8" t="n">
        <f aca="false">SUM($J172:AI172)</f>
        <v>137474.274259956</v>
      </c>
      <c r="AJ175" s="8" t="n">
        <f aca="false">SUM($J172:AJ172)</f>
        <v>148132.250033007</v>
      </c>
      <c r="AK175" s="8" t="n">
        <f aca="false">SUM($J172:AK172)</f>
        <v>158799.012271891</v>
      </c>
      <c r="AL175" s="8" t="n">
        <f aca="false">SUM($J172:AL172)</f>
        <v>169472.92445176</v>
      </c>
      <c r="AM175" s="8" t="n">
        <f aca="false">SUM($J172:AM172)</f>
        <v>180152.297788139</v>
      </c>
      <c r="AN175" s="8" t="n">
        <f aca="false">SUM($J172:AN172)</f>
        <v>190835.389877501</v>
      </c>
      <c r="AO175" s="8" t="n">
        <f aca="false">SUM($J172:AO172)</f>
        <v>201520.403304085</v>
      </c>
      <c r="AP175" s="8" t="n">
        <f aca="false">SUM($J172:AP172)</f>
        <v>212205.484212122</v>
      </c>
      <c r="AQ175" s="8" t="n">
        <f aca="false">SUM($J172:AQ172)</f>
        <v>222888.720842639</v>
      </c>
      <c r="AR175" s="8" t="n">
        <f aca="false">SUM($J172:AR172)</f>
        <v>233568.142033949</v>
      </c>
      <c r="AS175" s="8" t="n">
        <f aca="false">SUM($J172:AS172)</f>
        <v>238904.92885945</v>
      </c>
    </row>
    <row r="177" customFormat="false" ht="14.25" hidden="false" customHeight="false" outlineLevel="0" collapsed="false">
      <c r="C177" s="42" t="s">
        <v>7</v>
      </c>
      <c r="D177" s="42"/>
      <c r="E177" s="43"/>
      <c r="F177" s="43"/>
      <c r="G177" s="43"/>
      <c r="H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K177" s="43"/>
      <c r="AL177" s="43"/>
      <c r="AM177" s="43"/>
      <c r="AN177" s="43"/>
      <c r="AO177" s="43"/>
      <c r="AP177" s="43"/>
      <c r="AQ177" s="43"/>
      <c r="AR177" s="43"/>
      <c r="AS177" s="43"/>
    </row>
    <row r="178" customFormat="false" ht="14.25" hidden="false" customHeight="false" outlineLevel="0" collapsed="false">
      <c r="C178" s="6" t="s">
        <v>157</v>
      </c>
      <c r="D178" s="2" t="s">
        <v>85</v>
      </c>
      <c r="H178" s="8" t="n">
        <f aca="false">SUM(J178:AS178)</f>
        <v>-76800.0592465753</v>
      </c>
      <c r="J178" s="8" t="n">
        <f aca="false">J487</f>
        <v>0</v>
      </c>
      <c r="K178" s="8" t="n">
        <f aca="false">K487</f>
        <v>0</v>
      </c>
      <c r="L178" s="8" t="n">
        <f aca="false">L487</f>
        <v>0</v>
      </c>
      <c r="M178" s="8" t="n">
        <f aca="false">M487</f>
        <v>-29757.5797945206</v>
      </c>
      <c r="N178" s="8" t="n">
        <f aca="false">N487</f>
        <v>-31358</v>
      </c>
      <c r="O178" s="8" t="n">
        <f aca="false">O487</f>
        <v>-18179</v>
      </c>
      <c r="P178" s="8" t="n">
        <f aca="false">P487</f>
        <v>0</v>
      </c>
      <c r="Q178" s="8" t="n">
        <f aca="false">Q487</f>
        <v>2494.52054794521</v>
      </c>
      <c r="R178" s="8" t="n">
        <f aca="false">R487</f>
        <v>0</v>
      </c>
      <c r="S178" s="8" t="n">
        <f aca="false">S487</f>
        <v>0</v>
      </c>
      <c r="T178" s="8" t="n">
        <f aca="false">T487</f>
        <v>0</v>
      </c>
      <c r="U178" s="8" t="n">
        <f aca="false">U487</f>
        <v>0</v>
      </c>
      <c r="V178" s="8" t="n">
        <f aca="false">V487</f>
        <v>0</v>
      </c>
      <c r="W178" s="8" t="n">
        <f aca="false">W487</f>
        <v>0</v>
      </c>
      <c r="X178" s="8" t="n">
        <f aca="false">X487</f>
        <v>0</v>
      </c>
      <c r="Y178" s="8" t="n">
        <f aca="false">Y487</f>
        <v>0</v>
      </c>
      <c r="Z178" s="8" t="n">
        <f aca="false">Z487</f>
        <v>0</v>
      </c>
      <c r="AA178" s="8" t="n">
        <f aca="false">AA487</f>
        <v>0</v>
      </c>
      <c r="AB178" s="8" t="n">
        <f aca="false">AB487</f>
        <v>0</v>
      </c>
      <c r="AC178" s="8" t="n">
        <f aca="false">AC487</f>
        <v>0</v>
      </c>
      <c r="AD178" s="8" t="n">
        <f aca="false">AD487</f>
        <v>0</v>
      </c>
      <c r="AE178" s="8" t="n">
        <f aca="false">AE487</f>
        <v>0</v>
      </c>
      <c r="AF178" s="8" t="n">
        <f aca="false">AF487</f>
        <v>0</v>
      </c>
      <c r="AG178" s="8" t="n">
        <f aca="false">AG487</f>
        <v>0</v>
      </c>
      <c r="AH178" s="8" t="n">
        <f aca="false">AH487</f>
        <v>0</v>
      </c>
      <c r="AI178" s="8" t="n">
        <f aca="false">AI487</f>
        <v>0</v>
      </c>
      <c r="AJ178" s="8" t="n">
        <f aca="false">AJ487</f>
        <v>0</v>
      </c>
      <c r="AK178" s="8" t="n">
        <f aca="false">AK487</f>
        <v>0</v>
      </c>
      <c r="AL178" s="8" t="n">
        <f aca="false">AL487</f>
        <v>0</v>
      </c>
      <c r="AM178" s="8" t="n">
        <f aca="false">AM487</f>
        <v>0</v>
      </c>
      <c r="AN178" s="8" t="n">
        <f aca="false">AN487</f>
        <v>0</v>
      </c>
      <c r="AO178" s="8" t="n">
        <f aca="false">AO487</f>
        <v>0</v>
      </c>
      <c r="AP178" s="8" t="n">
        <f aca="false">AP487</f>
        <v>0</v>
      </c>
      <c r="AQ178" s="8" t="n">
        <f aca="false">AQ487</f>
        <v>0</v>
      </c>
      <c r="AR178" s="8" t="n">
        <f aca="false">AR487</f>
        <v>0</v>
      </c>
      <c r="AS178" s="8" t="n">
        <f aca="false">AS487</f>
        <v>0</v>
      </c>
    </row>
    <row r="179" customFormat="false" ht="14.25" hidden="false" customHeight="false" outlineLevel="0" collapsed="false">
      <c r="C179" s="6" t="s">
        <v>158</v>
      </c>
      <c r="D179" s="2" t="s">
        <v>85</v>
      </c>
      <c r="H179" s="8" t="n">
        <f aca="false">SUM(J179:AS179)</f>
        <v>446130.685729454</v>
      </c>
      <c r="J179" s="8" t="n">
        <f aca="false">J491</f>
        <v>0</v>
      </c>
      <c r="K179" s="8" t="n">
        <f aca="false">K491</f>
        <v>0</v>
      </c>
      <c r="L179" s="8" t="n">
        <f aca="false">L491</f>
        <v>0</v>
      </c>
      <c r="M179" s="8" t="n">
        <f aca="false">M491</f>
        <v>0</v>
      </c>
      <c r="N179" s="8" t="n">
        <f aca="false">N491</f>
        <v>0</v>
      </c>
      <c r="O179" s="8" t="n">
        <f aca="false">O491</f>
        <v>6667.92</v>
      </c>
      <c r="P179" s="8" t="n">
        <f aca="false">P491</f>
        <v>13469.1984</v>
      </c>
      <c r="Q179" s="8" t="n">
        <f aca="false">Q491</f>
        <v>13563.078712848</v>
      </c>
      <c r="R179" s="8" t="n">
        <f aca="false">R491</f>
        <v>13657.6133714766</v>
      </c>
      <c r="S179" s="8" t="n">
        <f aca="false">S491</f>
        <v>13752.8069366757</v>
      </c>
      <c r="T179" s="8" t="n">
        <f aca="false">T491</f>
        <v>13848.6640010244</v>
      </c>
      <c r="U179" s="8" t="n">
        <f aca="false">U491</f>
        <v>13945.1891891115</v>
      </c>
      <c r="V179" s="8" t="n">
        <f aca="false">V491</f>
        <v>14042.3871577596</v>
      </c>
      <c r="W179" s="8" t="n">
        <f aca="false">W491</f>
        <v>14140.2625962492</v>
      </c>
      <c r="X179" s="8" t="n">
        <f aca="false">X491</f>
        <v>14238.8202265451</v>
      </c>
      <c r="Y179" s="8" t="n">
        <f aca="false">Y491</f>
        <v>14338.0648035241</v>
      </c>
      <c r="Z179" s="8" t="n">
        <f aca="false">Z491</f>
        <v>14438.0011152046</v>
      </c>
      <c r="AA179" s="8" t="n">
        <f aca="false">AA491</f>
        <v>14538.6339829776</v>
      </c>
      <c r="AB179" s="8" t="n">
        <f aca="false">AB491</f>
        <v>14639.968261839</v>
      </c>
      <c r="AC179" s="8" t="n">
        <f aca="false">AC491</f>
        <v>14742.008840624</v>
      </c>
      <c r="AD179" s="8" t="n">
        <f aca="false">AD491</f>
        <v>14844.7606422431</v>
      </c>
      <c r="AE179" s="8" t="n">
        <f aca="false">AE491</f>
        <v>14948.2286239196</v>
      </c>
      <c r="AF179" s="8" t="n">
        <f aca="false">AF491</f>
        <v>15052.4177774283</v>
      </c>
      <c r="AG179" s="8" t="n">
        <f aca="false">AG491</f>
        <v>15157.333129337</v>
      </c>
      <c r="AH179" s="8" t="n">
        <f aca="false">AH491</f>
        <v>15262.9797412485</v>
      </c>
      <c r="AI179" s="8" t="n">
        <f aca="false">AI491</f>
        <v>15369.362710045</v>
      </c>
      <c r="AJ179" s="8" t="n">
        <f aca="false">AJ491</f>
        <v>15476.487168134</v>
      </c>
      <c r="AK179" s="8" t="n">
        <f aca="false">AK491</f>
        <v>15584.3582836959</v>
      </c>
      <c r="AL179" s="8" t="n">
        <f aca="false">AL491</f>
        <v>15692.9812609332</v>
      </c>
      <c r="AM179" s="8" t="n">
        <f aca="false">AM491</f>
        <v>15802.3613403219</v>
      </c>
      <c r="AN179" s="8" t="n">
        <f aca="false">AN491</f>
        <v>15912.503798864</v>
      </c>
      <c r="AO179" s="8" t="n">
        <f aca="false">AO491</f>
        <v>16023.4139503421</v>
      </c>
      <c r="AP179" s="8" t="n">
        <f aca="false">AP491</f>
        <v>16135.0971455759</v>
      </c>
      <c r="AQ179" s="8" t="n">
        <f aca="false">AQ491</f>
        <v>16247.5587726806</v>
      </c>
      <c r="AR179" s="8" t="n">
        <f aca="false">AR491</f>
        <v>16360.8042573262</v>
      </c>
      <c r="AS179" s="8" t="n">
        <f aca="false">AS491</f>
        <v>8237.41953149987</v>
      </c>
    </row>
    <row r="180" customFormat="false" ht="14.25" hidden="false" customHeight="false" outlineLevel="0" collapsed="false">
      <c r="C180" s="6" t="s">
        <v>159</v>
      </c>
      <c r="D180" s="2" t="s">
        <v>85</v>
      </c>
      <c r="H180" s="8" t="n">
        <f aca="false">SUM(J180:AS180)</f>
        <v>-130425.697623429</v>
      </c>
      <c r="J180" s="8" t="n">
        <f aca="false">J500</f>
        <v>0</v>
      </c>
      <c r="K180" s="8" t="n">
        <f aca="false">K500</f>
        <v>0</v>
      </c>
      <c r="L180" s="8" t="n">
        <f aca="false">L500</f>
        <v>0</v>
      </c>
      <c r="M180" s="8" t="n">
        <f aca="false">M500</f>
        <v>0</v>
      </c>
      <c r="N180" s="8" t="n">
        <f aca="false">N500</f>
        <v>0</v>
      </c>
      <c r="O180" s="8" t="n">
        <f aca="false">O500</f>
        <v>-1598.148216</v>
      </c>
      <c r="P180" s="8" t="n">
        <f aca="false">P500</f>
        <v>-3260.87985132</v>
      </c>
      <c r="Q180" s="8" t="n">
        <f aca="false">Q500</f>
        <v>-3322.39115932295</v>
      </c>
      <c r="R180" s="8" t="n">
        <f aca="false">R500</f>
        <v>-3385.38820151339</v>
      </c>
      <c r="S180" s="8" t="n">
        <f aca="false">S500</f>
        <v>-3449.90658222877</v>
      </c>
      <c r="T180" s="8" t="n">
        <f aca="false">T500</f>
        <v>-3515.98276867813</v>
      </c>
      <c r="U180" s="8" t="n">
        <f aca="false">U500</f>
        <v>-3583.65411193425</v>
      </c>
      <c r="V180" s="8" t="n">
        <f aca="false">V500</f>
        <v>-3652.95886843809</v>
      </c>
      <c r="W180" s="8" t="n">
        <f aca="false">W500</f>
        <v>-3723.93622202803</v>
      </c>
      <c r="X180" s="8" t="n">
        <f aca="false">X500</f>
        <v>-3796.62630650685</v>
      </c>
      <c r="Y180" s="8" t="n">
        <f aca="false">Y500</f>
        <v>-3871.07022875947</v>
      </c>
      <c r="Z180" s="8" t="n">
        <f aca="false">Z500</f>
        <v>-3947.31009243507</v>
      </c>
      <c r="AA180" s="8" t="n">
        <f aca="false">AA500</f>
        <v>-4025.38902220729</v>
      </c>
      <c r="AB180" s="8" t="n">
        <f aca="false">AB500</f>
        <v>-4105.3511886267</v>
      </c>
      <c r="AC180" s="8" t="n">
        <f aca="false">AC500</f>
        <v>-4187.24183358009</v>
      </c>
      <c r="AD180" s="8" t="n">
        <f aca="false">AD500</f>
        <v>-4271.10729637127</v>
      </c>
      <c r="AE180" s="8" t="n">
        <f aca="false">AE500</f>
        <v>-4356.99504043889</v>
      </c>
      <c r="AF180" s="8" t="n">
        <f aca="false">AF500</f>
        <v>-4444.95368072645</v>
      </c>
      <c r="AG180" s="8" t="n">
        <f aca="false">AG500</f>
        <v>-4535.0330117209</v>
      </c>
      <c r="AH180" s="8" t="n">
        <f aca="false">AH500</f>
        <v>-4627.28403617592</v>
      </c>
      <c r="AI180" s="8" t="n">
        <f aca="false">AI500</f>
        <v>-4721.75899453672</v>
      </c>
      <c r="AJ180" s="8" t="n">
        <f aca="false">AJ500</f>
        <v>-4818.51139508354</v>
      </c>
      <c r="AK180" s="8" t="n">
        <f aca="false">AK500</f>
        <v>-4917.59604481147</v>
      </c>
      <c r="AL180" s="8" t="n">
        <f aca="false">AL500</f>
        <v>-5019.06908106463</v>
      </c>
      <c r="AM180" s="8" t="n">
        <f aca="false">AM500</f>
        <v>-5122.98800394303</v>
      </c>
      <c r="AN180" s="8" t="n">
        <f aca="false">AN500</f>
        <v>-5229.41170950133</v>
      </c>
      <c r="AO180" s="8" t="n">
        <f aca="false">AO500</f>
        <v>-5338.40052375853</v>
      </c>
      <c r="AP180" s="8" t="n">
        <f aca="false">AP500</f>
        <v>-5450.01623753884</v>
      </c>
      <c r="AQ180" s="8" t="n">
        <f aca="false">AQ500</f>
        <v>-5564.32214216366</v>
      </c>
      <c r="AR180" s="8" t="n">
        <f aca="false">AR500</f>
        <v>-5681.38306601601</v>
      </c>
      <c r="AS180" s="8" t="n">
        <f aca="false">AS500</f>
        <v>-2900.63270599912</v>
      </c>
    </row>
    <row r="181" customFormat="false" ht="14.25" hidden="false" customHeight="false" outlineLevel="0" collapsed="false">
      <c r="C181" s="6" t="s">
        <v>160</v>
      </c>
      <c r="D181" s="2" t="s">
        <v>85</v>
      </c>
      <c r="H181" s="8" t="n">
        <f aca="false">SUM(J181:AS181)</f>
        <v>315704.988106025</v>
      </c>
      <c r="J181" s="8" t="n">
        <f aca="false">J501</f>
        <v>0</v>
      </c>
      <c r="K181" s="8" t="n">
        <f aca="false">K501</f>
        <v>0</v>
      </c>
      <c r="L181" s="8" t="n">
        <f aca="false">L501</f>
        <v>0</v>
      </c>
      <c r="M181" s="8" t="n">
        <f aca="false">M501</f>
        <v>0</v>
      </c>
      <c r="N181" s="8" t="n">
        <f aca="false">N501</f>
        <v>0</v>
      </c>
      <c r="O181" s="8" t="n">
        <f aca="false">O501</f>
        <v>5069.771784</v>
      </c>
      <c r="P181" s="8" t="n">
        <f aca="false">P501</f>
        <v>10208.31854868</v>
      </c>
      <c r="Q181" s="8" t="n">
        <f aca="false">Q501</f>
        <v>10240.6875535251</v>
      </c>
      <c r="R181" s="8" t="n">
        <f aca="false">R501</f>
        <v>10272.2251699632</v>
      </c>
      <c r="S181" s="8" t="n">
        <f aca="false">S501</f>
        <v>10302.900354447</v>
      </c>
      <c r="T181" s="8" t="n">
        <f aca="false">T501</f>
        <v>10332.6812323462</v>
      </c>
      <c r="U181" s="8" t="n">
        <f aca="false">U501</f>
        <v>10361.5350771773</v>
      </c>
      <c r="V181" s="8" t="n">
        <f aca="false">V501</f>
        <v>10389.4282893215</v>
      </c>
      <c r="W181" s="8" t="n">
        <f aca="false">W501</f>
        <v>10416.3263742212</v>
      </c>
      <c r="X181" s="8" t="n">
        <f aca="false">X501</f>
        <v>10442.1939200382</v>
      </c>
      <c r="Y181" s="8" t="n">
        <f aca="false">Y501</f>
        <v>10466.9945747646</v>
      </c>
      <c r="Z181" s="8" t="n">
        <f aca="false">Z501</f>
        <v>10490.6910227696</v>
      </c>
      <c r="AA181" s="8" t="n">
        <f aca="false">AA501</f>
        <v>10513.2449607703</v>
      </c>
      <c r="AB181" s="8" t="n">
        <f aca="false">AB501</f>
        <v>10534.6170732123</v>
      </c>
      <c r="AC181" s="8" t="n">
        <f aca="false">AC501</f>
        <v>10554.7670070439</v>
      </c>
      <c r="AD181" s="8" t="n">
        <f aca="false">AD501</f>
        <v>10573.6533458719</v>
      </c>
      <c r="AE181" s="8" t="n">
        <f aca="false">AE501</f>
        <v>10591.2335834807</v>
      </c>
      <c r="AF181" s="8" t="n">
        <f aca="false">AF501</f>
        <v>10607.4640967019</v>
      </c>
      <c r="AG181" s="8" t="n">
        <f aca="false">AG501</f>
        <v>10622.3001176161</v>
      </c>
      <c r="AH181" s="8" t="n">
        <f aca="false">AH501</f>
        <v>10635.6957050725</v>
      </c>
      <c r="AI181" s="8" t="n">
        <f aca="false">AI501</f>
        <v>10647.6037155082</v>
      </c>
      <c r="AJ181" s="8" t="n">
        <f aca="false">AJ501</f>
        <v>10657.9757730504</v>
      </c>
      <c r="AK181" s="8" t="n">
        <f aca="false">AK501</f>
        <v>10666.7622388844</v>
      </c>
      <c r="AL181" s="8" t="n">
        <f aca="false">AL501</f>
        <v>10673.9121798686</v>
      </c>
      <c r="AM181" s="8" t="n">
        <f aca="false">AM501</f>
        <v>10679.3733363789</v>
      </c>
      <c r="AN181" s="8" t="n">
        <f aca="false">AN501</f>
        <v>10683.0920893626</v>
      </c>
      <c r="AO181" s="8" t="n">
        <f aca="false">AO501</f>
        <v>10685.0134265835</v>
      </c>
      <c r="AP181" s="8" t="n">
        <f aca="false">AP501</f>
        <v>10685.0809080371</v>
      </c>
      <c r="AQ181" s="8" t="n">
        <f aca="false">AQ501</f>
        <v>10683.2366305169</v>
      </c>
      <c r="AR181" s="8" t="n">
        <f aca="false">AR501</f>
        <v>10679.4211913102</v>
      </c>
      <c r="AS181" s="8" t="n">
        <f aca="false">AS501</f>
        <v>5336.78682550075</v>
      </c>
    </row>
    <row r="182" customFormat="false" ht="14.25" hidden="false" customHeight="false" outlineLevel="0" collapsed="false">
      <c r="C182" s="1" t="s">
        <v>161</v>
      </c>
      <c r="D182" s="2" t="s">
        <v>85</v>
      </c>
      <c r="H182" s="15" t="n">
        <f aca="false">SUM(J182:AS182)</f>
        <v>238904.92885945</v>
      </c>
      <c r="J182" s="15" t="n">
        <f aca="false">J502</f>
        <v>0</v>
      </c>
      <c r="K182" s="15" t="n">
        <f aca="false">K502</f>
        <v>0</v>
      </c>
      <c r="L182" s="15" t="n">
        <f aca="false">L502</f>
        <v>0</v>
      </c>
      <c r="M182" s="15" t="n">
        <f aca="false">M502</f>
        <v>-29757.5797945206</v>
      </c>
      <c r="N182" s="15" t="n">
        <f aca="false">N502</f>
        <v>-31358</v>
      </c>
      <c r="O182" s="15" t="n">
        <f aca="false">O502</f>
        <v>-13109.228216</v>
      </c>
      <c r="P182" s="15" t="n">
        <f aca="false">P502</f>
        <v>10208.31854868</v>
      </c>
      <c r="Q182" s="15" t="n">
        <f aca="false">Q502</f>
        <v>12735.2081014703</v>
      </c>
      <c r="R182" s="15" t="n">
        <f aca="false">R502</f>
        <v>10272.2251699632</v>
      </c>
      <c r="S182" s="15" t="n">
        <f aca="false">S502</f>
        <v>10302.900354447</v>
      </c>
      <c r="T182" s="15" t="n">
        <f aca="false">T502</f>
        <v>10332.6812323462</v>
      </c>
      <c r="U182" s="15" t="n">
        <f aca="false">U502</f>
        <v>10361.5350771773</v>
      </c>
      <c r="V182" s="15" t="n">
        <f aca="false">V502</f>
        <v>10389.4282893215</v>
      </c>
      <c r="W182" s="15" t="n">
        <f aca="false">W502</f>
        <v>10416.3263742212</v>
      </c>
      <c r="X182" s="15" t="n">
        <f aca="false">X502</f>
        <v>10442.1939200382</v>
      </c>
      <c r="Y182" s="15" t="n">
        <f aca="false">Y502</f>
        <v>10466.9945747646</v>
      </c>
      <c r="Z182" s="15" t="n">
        <f aca="false">Z502</f>
        <v>10490.6910227696</v>
      </c>
      <c r="AA182" s="15" t="n">
        <f aca="false">AA502</f>
        <v>10513.2449607703</v>
      </c>
      <c r="AB182" s="15" t="n">
        <f aca="false">AB502</f>
        <v>10534.6170732123</v>
      </c>
      <c r="AC182" s="15" t="n">
        <f aca="false">AC502</f>
        <v>10554.7670070439</v>
      </c>
      <c r="AD182" s="15" t="n">
        <f aca="false">AD502</f>
        <v>10573.6533458719</v>
      </c>
      <c r="AE182" s="15" t="n">
        <f aca="false">AE502</f>
        <v>10591.2335834807</v>
      </c>
      <c r="AF182" s="15" t="n">
        <f aca="false">AF502</f>
        <v>10607.4640967019</v>
      </c>
      <c r="AG182" s="15" t="n">
        <f aca="false">AG502</f>
        <v>10622.3001176161</v>
      </c>
      <c r="AH182" s="15" t="n">
        <f aca="false">AH502</f>
        <v>10635.6957050725</v>
      </c>
      <c r="AI182" s="15" t="n">
        <f aca="false">AI502</f>
        <v>10647.6037155082</v>
      </c>
      <c r="AJ182" s="15" t="n">
        <f aca="false">AJ502</f>
        <v>10657.9757730504</v>
      </c>
      <c r="AK182" s="15" t="n">
        <f aca="false">AK502</f>
        <v>10666.7622388844</v>
      </c>
      <c r="AL182" s="15" t="n">
        <f aca="false">AL502</f>
        <v>10673.9121798686</v>
      </c>
      <c r="AM182" s="15" t="n">
        <f aca="false">AM502</f>
        <v>10679.3733363789</v>
      </c>
      <c r="AN182" s="15" t="n">
        <f aca="false">AN502</f>
        <v>10683.0920893626</v>
      </c>
      <c r="AO182" s="15" t="n">
        <f aca="false">AO502</f>
        <v>10685.0134265835</v>
      </c>
      <c r="AP182" s="15" t="n">
        <f aca="false">AP502</f>
        <v>10685.0809080371</v>
      </c>
      <c r="AQ182" s="15" t="n">
        <f aca="false">AQ502</f>
        <v>10683.2366305169</v>
      </c>
      <c r="AR182" s="15" t="n">
        <f aca="false">AR502</f>
        <v>10679.4211913102</v>
      </c>
      <c r="AS182" s="15" t="n">
        <f aca="false">AS502</f>
        <v>5336.78682550075</v>
      </c>
    </row>
    <row r="183" customFormat="false" ht="14.25" hidden="false" customHeight="false" outlineLevel="0" collapsed="false">
      <c r="C183" s="1" t="s">
        <v>162</v>
      </c>
      <c r="D183" s="2" t="s">
        <v>85</v>
      </c>
      <c r="H183" s="15" t="n">
        <f aca="false">SUM(J183:AS183)</f>
        <v>201928.019273683</v>
      </c>
      <c r="J183" s="15" t="n">
        <f aca="false">J507</f>
        <v>0</v>
      </c>
      <c r="K183" s="15" t="n">
        <f aca="false">K507</f>
        <v>0</v>
      </c>
      <c r="L183" s="15" t="n">
        <f aca="false">L507</f>
        <v>0</v>
      </c>
      <c r="M183" s="15" t="n">
        <f aca="false">M507</f>
        <v>-29757.5797945206</v>
      </c>
      <c r="N183" s="15" t="n">
        <f aca="false">N507</f>
        <v>-31358</v>
      </c>
      <c r="O183" s="15" t="n">
        <f aca="false">O507</f>
        <v>-13610.2230178466</v>
      </c>
      <c r="P183" s="15" t="n">
        <f aca="false">P507</f>
        <v>9196.01269788485</v>
      </c>
      <c r="Q183" s="15" t="n">
        <f aca="false">Q507</f>
        <v>11718.0468999483</v>
      </c>
      <c r="R183" s="15" t="n">
        <f aca="false">R507</f>
        <v>9250.33332597553</v>
      </c>
      <c r="S183" s="15" t="n">
        <f aca="false">S507</f>
        <v>9276.40723278677</v>
      </c>
      <c r="T183" s="15" t="n">
        <f aca="false">T507</f>
        <v>9301.72097900116</v>
      </c>
      <c r="U183" s="15" t="n">
        <f aca="false">U507</f>
        <v>9326.24674710753</v>
      </c>
      <c r="V183" s="15" t="n">
        <f aca="false">V507</f>
        <v>9349.95597743015</v>
      </c>
      <c r="W183" s="15" t="n">
        <f aca="false">W507</f>
        <v>9372.81934959485</v>
      </c>
      <c r="X183" s="15" t="n">
        <f aca="false">X507</f>
        <v>9394.80676353933</v>
      </c>
      <c r="Y183" s="15" t="n">
        <f aca="false">Y507</f>
        <v>9415.88732005677</v>
      </c>
      <c r="Z183" s="15" t="n">
        <f aca="false">Z507</f>
        <v>9436.02930086098</v>
      </c>
      <c r="AA183" s="15" t="n">
        <f aca="false">AA507</f>
        <v>9455.20014816163</v>
      </c>
      <c r="AB183" s="15" t="n">
        <f aca="false">AB507</f>
        <v>9473.36644373728</v>
      </c>
      <c r="AC183" s="15" t="n">
        <f aca="false">AC507</f>
        <v>9490.49388749417</v>
      </c>
      <c r="AD183" s="15" t="n">
        <f aca="false">AD507</f>
        <v>9506.54727549794</v>
      </c>
      <c r="AE183" s="15" t="n">
        <f aca="false">AE507</f>
        <v>9521.49047746544</v>
      </c>
      <c r="AF183" s="15" t="n">
        <f aca="false">AF507</f>
        <v>9535.28641370342</v>
      </c>
      <c r="AG183" s="15" t="n">
        <f aca="false">AG507</f>
        <v>9547.89703148051</v>
      </c>
      <c r="AH183" s="15" t="n">
        <f aca="false">AH507</f>
        <v>9559.2832808185</v>
      </c>
      <c r="AI183" s="15" t="n">
        <f aca="false">AI507</f>
        <v>9309.93412393542</v>
      </c>
      <c r="AJ183" s="15" t="n">
        <f aca="false">AJ507</f>
        <v>9059.27940709287</v>
      </c>
      <c r="AK183" s="15" t="n">
        <f aca="false">AK507</f>
        <v>9066.74790305173</v>
      </c>
      <c r="AL183" s="15" t="n">
        <f aca="false">AL507</f>
        <v>9072.8253528883</v>
      </c>
      <c r="AM183" s="15" t="n">
        <f aca="false">AM507</f>
        <v>9077.46733592206</v>
      </c>
      <c r="AN183" s="15" t="n">
        <f aca="false">AN507</f>
        <v>9080.62827595824</v>
      </c>
      <c r="AO183" s="15" t="n">
        <f aca="false">AO507</f>
        <v>9082.26141259599</v>
      </c>
      <c r="AP183" s="15" t="n">
        <f aca="false">AP507</f>
        <v>9082.31877183154</v>
      </c>
      <c r="AQ183" s="15" t="n">
        <f aca="false">AQ507</f>
        <v>9080.75113593939</v>
      </c>
      <c r="AR183" s="15" t="n">
        <f aca="false">AR507</f>
        <v>9077.50801261365</v>
      </c>
      <c r="AS183" s="15" t="n">
        <f aca="false">AS507</f>
        <v>4536.26880167564</v>
      </c>
    </row>
    <row r="184" customFormat="false" ht="14.25" hidden="false" customHeight="false" outlineLevel="0" collapsed="false">
      <c r="C184" s="1" t="s">
        <v>163</v>
      </c>
      <c r="D184" s="2" t="s">
        <v>85</v>
      </c>
      <c r="H184" s="15" t="n">
        <f aca="false">SUM(J184:AS184)</f>
        <v>179778.560678166</v>
      </c>
      <c r="J184" s="15" t="n">
        <f aca="false">J518</f>
        <v>0</v>
      </c>
      <c r="K184" s="15" t="n">
        <f aca="false">K518</f>
        <v>0</v>
      </c>
      <c r="L184" s="15" t="n">
        <f aca="false">L518</f>
        <v>0</v>
      </c>
      <c r="M184" s="15" t="n">
        <f aca="false">M518</f>
        <v>-19043.9715296233</v>
      </c>
      <c r="N184" s="15" t="n">
        <f aca="false">N518</f>
        <v>-8317.9822260274</v>
      </c>
      <c r="O184" s="15" t="n">
        <f aca="false">O518</f>
        <v>-3110.4310678956</v>
      </c>
      <c r="P184" s="15" t="n">
        <f aca="false">P518</f>
        <v>4911.50835276352</v>
      </c>
      <c r="Q184" s="15" t="n">
        <f aca="false">Q518</f>
        <v>7416.71202629414</v>
      </c>
      <c r="R184" s="15" t="n">
        <f aca="false">R518</f>
        <v>4931.3263973618</v>
      </c>
      <c r="S184" s="15" t="n">
        <f aca="false">S518</f>
        <v>4938.84464646554</v>
      </c>
      <c r="T184" s="15" t="n">
        <f aca="false">T518</f>
        <v>4944.67495208705</v>
      </c>
      <c r="U184" s="15" t="n">
        <f aca="false">U518</f>
        <v>4948.7431075709</v>
      </c>
      <c r="V184" s="15" t="n">
        <f aca="false">V518</f>
        <v>4950.97184463988</v>
      </c>
      <c r="W184" s="15" t="n">
        <f aca="false">W518</f>
        <v>4951.28069888825</v>
      </c>
      <c r="X184" s="15" t="n">
        <f aca="false">X518</f>
        <v>4949.58586902059</v>
      </c>
      <c r="Y184" s="15" t="n">
        <f aca="false">Y518</f>
        <v>4945.80006953527</v>
      </c>
      <c r="Z184" s="15" t="n">
        <f aca="false">Z518</f>
        <v>4939.8323765366</v>
      </c>
      <c r="AA184" s="15" t="n">
        <f aca="false">AA518</f>
        <v>4931.58806634421</v>
      </c>
      <c r="AB184" s="15" t="n">
        <f aca="false">AB518</f>
        <v>4920.96844655218</v>
      </c>
      <c r="AC184" s="15" t="n">
        <f aca="false">AC518</f>
        <v>4907.870679173</v>
      </c>
      <c r="AD184" s="15" t="n">
        <f aca="false">AD518</f>
        <v>4892.18759548389</v>
      </c>
      <c r="AE184" s="15" t="n">
        <f aca="false">AE518</f>
        <v>9539.06884102607</v>
      </c>
      <c r="AF184" s="15" t="n">
        <f aca="false">AF518</f>
        <v>9552.86477726406</v>
      </c>
      <c r="AG184" s="15" t="n">
        <f aca="false">AG518</f>
        <v>9565.47539504115</v>
      </c>
      <c r="AH184" s="15" t="n">
        <f aca="false">AH518</f>
        <v>9576.86164437914</v>
      </c>
      <c r="AI184" s="15" t="n">
        <f aca="false">AI518</f>
        <v>9318.72330571574</v>
      </c>
      <c r="AJ184" s="15" t="n">
        <f aca="false">AJ518</f>
        <v>9059.27940709287</v>
      </c>
      <c r="AK184" s="15" t="n">
        <f aca="false">AK518</f>
        <v>9066.74790305173</v>
      </c>
      <c r="AL184" s="15" t="n">
        <f aca="false">AL518</f>
        <v>9072.8253528883</v>
      </c>
      <c r="AM184" s="15" t="n">
        <f aca="false">AM518</f>
        <v>9077.46733592206</v>
      </c>
      <c r="AN184" s="15" t="n">
        <f aca="false">AN518</f>
        <v>9080.62827595824</v>
      </c>
      <c r="AO184" s="15" t="n">
        <f aca="false">AO518</f>
        <v>9082.26141259599</v>
      </c>
      <c r="AP184" s="15" t="n">
        <f aca="false">AP518</f>
        <v>9082.31877183154</v>
      </c>
      <c r="AQ184" s="15" t="n">
        <f aca="false">AQ518</f>
        <v>9080.75113593939</v>
      </c>
      <c r="AR184" s="15" t="n">
        <f aca="false">AR518</f>
        <v>9077.50801261365</v>
      </c>
      <c r="AS184" s="15" t="n">
        <f aca="false">AS518</f>
        <v>4536.26880167564</v>
      </c>
    </row>
    <row r="185" customFormat="false" ht="14.25" hidden="false" customHeight="false" outlineLevel="0" collapsed="false">
      <c r="C185" s="6" t="s">
        <v>164</v>
      </c>
      <c r="D185" s="2" t="s">
        <v>85</v>
      </c>
      <c r="J185" s="8" t="n">
        <f aca="false">SUM($J182:J182)</f>
        <v>0</v>
      </c>
      <c r="K185" s="8" t="n">
        <f aca="false">SUM($J182:K182)</f>
        <v>0</v>
      </c>
      <c r="L185" s="8" t="n">
        <f aca="false">SUM($J182:L182)</f>
        <v>0</v>
      </c>
      <c r="M185" s="8" t="n">
        <f aca="false">SUM($J182:M182)</f>
        <v>-29757.5797945206</v>
      </c>
      <c r="N185" s="8" t="n">
        <f aca="false">SUM($J182:N182)</f>
        <v>-61115.5797945206</v>
      </c>
      <c r="O185" s="8" t="n">
        <f aca="false">SUM($J182:O182)</f>
        <v>-74224.8080105205</v>
      </c>
      <c r="P185" s="8" t="n">
        <f aca="false">SUM($J182:P182)</f>
        <v>-64016.4894618405</v>
      </c>
      <c r="Q185" s="8" t="n">
        <f aca="false">SUM($J182:Q182)</f>
        <v>-51281.2813603703</v>
      </c>
      <c r="R185" s="8" t="n">
        <f aca="false">SUM($J182:R182)</f>
        <v>-41009.0561904071</v>
      </c>
      <c r="S185" s="8" t="n">
        <f aca="false">SUM($J182:S182)</f>
        <v>-30706.1558359602</v>
      </c>
      <c r="T185" s="8" t="n">
        <f aca="false">SUM($J182:T182)</f>
        <v>-20373.4746036139</v>
      </c>
      <c r="U185" s="8" t="n">
        <f aca="false">SUM($J182:U182)</f>
        <v>-10011.9395264367</v>
      </c>
      <c r="V185" s="8" t="n">
        <f aca="false">SUM($J182:V182)</f>
        <v>377.488762884879</v>
      </c>
      <c r="W185" s="8" t="n">
        <f aca="false">SUM($J182:W182)</f>
        <v>10793.8151371061</v>
      </c>
      <c r="X185" s="8" t="n">
        <f aca="false">SUM($J182:X182)</f>
        <v>21236.0090571443</v>
      </c>
      <c r="Y185" s="8" t="n">
        <f aca="false">SUM($J182:Y182)</f>
        <v>31703.0036319089</v>
      </c>
      <c r="Z185" s="8" t="n">
        <f aca="false">SUM($J182:Z182)</f>
        <v>42193.6946546785</v>
      </c>
      <c r="AA185" s="8" t="n">
        <f aca="false">SUM($J182:AA182)</f>
        <v>52706.9396154488</v>
      </c>
      <c r="AB185" s="8" t="n">
        <f aca="false">SUM($J182:AB182)</f>
        <v>63241.5566886611</v>
      </c>
      <c r="AC185" s="8" t="n">
        <f aca="false">SUM($J182:AC182)</f>
        <v>73796.323695705</v>
      </c>
      <c r="AD185" s="8" t="n">
        <f aca="false">SUM($J182:AD182)</f>
        <v>84369.9770415768</v>
      </c>
      <c r="AE185" s="8" t="n">
        <f aca="false">SUM($J182:AE182)</f>
        <v>94961.2106250575</v>
      </c>
      <c r="AF185" s="8" t="n">
        <f aca="false">SUM($J182:AF182)</f>
        <v>105568.674721759</v>
      </c>
      <c r="AG185" s="8" t="n">
        <f aca="false">SUM($J182:AG182)</f>
        <v>116190.974839375</v>
      </c>
      <c r="AH185" s="8" t="n">
        <f aca="false">SUM($J182:AH182)</f>
        <v>126826.670544448</v>
      </c>
      <c r="AI185" s="8" t="n">
        <f aca="false">SUM($J182:AI182)</f>
        <v>137474.274259956</v>
      </c>
      <c r="AJ185" s="8" t="n">
        <f aca="false">SUM($J182:AJ182)</f>
        <v>148132.250033007</v>
      </c>
      <c r="AK185" s="8" t="n">
        <f aca="false">SUM($J182:AK182)</f>
        <v>158799.012271891</v>
      </c>
      <c r="AL185" s="8" t="n">
        <f aca="false">SUM($J182:AL182)</f>
        <v>169472.92445176</v>
      </c>
      <c r="AM185" s="8" t="n">
        <f aca="false">SUM($J182:AM182)</f>
        <v>180152.297788139</v>
      </c>
      <c r="AN185" s="8" t="n">
        <f aca="false">SUM($J182:AN182)</f>
        <v>190835.389877501</v>
      </c>
      <c r="AO185" s="8" t="n">
        <f aca="false">SUM($J182:AO182)</f>
        <v>201520.403304085</v>
      </c>
      <c r="AP185" s="8" t="n">
        <f aca="false">SUM($J182:AP182)</f>
        <v>212205.484212122</v>
      </c>
      <c r="AQ185" s="8" t="n">
        <f aca="false">SUM($J182:AQ182)</f>
        <v>222888.720842639</v>
      </c>
      <c r="AR185" s="8" t="n">
        <f aca="false">SUM($J182:AR182)</f>
        <v>233568.142033949</v>
      </c>
      <c r="AS185" s="8" t="n">
        <f aca="false">SUM($J182:AS182)</f>
        <v>238904.92885945</v>
      </c>
    </row>
    <row r="187" customFormat="false" ht="14.25" hidden="false" customHeight="false" outlineLevel="0" collapsed="false">
      <c r="B187" s="4" t="s">
        <v>3</v>
      </c>
      <c r="C187" s="4" t="s">
        <v>165</v>
      </c>
      <c r="D187" s="4"/>
      <c r="E187" s="5" t="s">
        <v>5</v>
      </c>
      <c r="F187" s="5" t="s">
        <v>6</v>
      </c>
      <c r="G187" s="5" t="s">
        <v>7</v>
      </c>
      <c r="H187" s="5" t="s">
        <v>8</v>
      </c>
    </row>
    <row r="189" customFormat="false" ht="14.25" hidden="false" customHeight="false" outlineLevel="0" collapsed="false">
      <c r="B189" s="4" t="s">
        <v>3</v>
      </c>
      <c r="C189" s="4" t="s">
        <v>166</v>
      </c>
      <c r="D189" s="4"/>
      <c r="E189" s="5" t="s">
        <v>5</v>
      </c>
      <c r="F189" s="5" t="s">
        <v>6</v>
      </c>
      <c r="G189" s="5" t="s">
        <v>7</v>
      </c>
      <c r="H189" s="5" t="s">
        <v>8</v>
      </c>
    </row>
    <row r="190" customFormat="false" ht="14.25" hidden="false" customHeight="false" outlineLevel="0" collapsed="false">
      <c r="C190" s="55" t="s">
        <v>167</v>
      </c>
      <c r="D190" s="56" t="s">
        <v>168</v>
      </c>
      <c r="E190" s="57" t="n">
        <f aca="false">MIN(Freeze_Date,Sale_Date)</f>
        <v>47299</v>
      </c>
      <c r="F190" s="57" t="n">
        <f aca="false">MIN(Freeze_Date,Sale_Date)</f>
        <v>47299</v>
      </c>
      <c r="G190" s="57" t="n">
        <f aca="false">MIN(Freeze_Date,Sale_Date)</f>
        <v>47299</v>
      </c>
      <c r="H190" s="58"/>
    </row>
    <row r="191" customFormat="false" ht="14.25" hidden="false" customHeight="false" outlineLevel="0" collapsed="false">
      <c r="C191" s="55" t="s">
        <v>169</v>
      </c>
      <c r="D191" s="56" t="s">
        <v>3</v>
      </c>
      <c r="E191" s="59" t="n">
        <f aca="false">1+Rate_Cash*(E190-DATE(YEAR(E190),1,1)+1)/Days_In_Year</f>
        <v>1.05950684931507</v>
      </c>
      <c r="F191" s="59" t="n">
        <f aca="false">1+Rate_Cash*(F190-DATE(YEAR(F190),1,1)+1)/Days_In_Year</f>
        <v>1.05950684931507</v>
      </c>
      <c r="G191" s="59" t="n">
        <f aca="false">1+Rate_Cash*(G190-DATE(YEAR(G190),1,1)+1)/Days_In_Year</f>
        <v>1.05950684931507</v>
      </c>
      <c r="H191" s="58"/>
    </row>
    <row r="192" customFormat="false" ht="14.25" hidden="false" customHeight="false" outlineLevel="0" collapsed="false">
      <c r="C192" s="55" t="s">
        <v>170</v>
      </c>
      <c r="D192" s="56" t="s">
        <v>3</v>
      </c>
      <c r="E192" s="59" t="n">
        <f aca="false">1+Rate_Devex*(E190-DATE(YEAR(E190),1,1)+1)/Days_In_Year</f>
        <v>1.09917808219178</v>
      </c>
      <c r="F192" s="59" t="n">
        <f aca="false">1+Rate_Devex*(F190-DATE(YEAR(F190),1,1)+1)/Days_In_Year</f>
        <v>1.09917808219178</v>
      </c>
      <c r="G192" s="59" t="n">
        <f aca="false">1+Rate_Devex*(G190-DATE(YEAR(G190),1,1)+1)/Days_In_Year</f>
        <v>1.09917808219178</v>
      </c>
      <c r="H192" s="58"/>
    </row>
    <row r="193" customFormat="false" ht="14.25" hidden="false" customHeight="false" outlineLevel="0" collapsed="false">
      <c r="C193" s="55" t="s">
        <v>171</v>
      </c>
      <c r="D193" s="56" t="s">
        <v>172</v>
      </c>
      <c r="E193" s="60" t="n">
        <f aca="false">DATE(YEAR(Inputs!E$21)+1,1,1)-Inputs!E$21</f>
        <v>63</v>
      </c>
      <c r="F193" s="60" t="n">
        <f aca="false">DATE(YEAR(Inputs!F$21)+1,1,1)-Inputs!F$21</f>
        <v>63</v>
      </c>
      <c r="G193" s="60" t="n">
        <f aca="false">DATE(YEAR(Inputs!G$21)+1,1,1)-Inputs!G$21</f>
        <v>63</v>
      </c>
      <c r="H193" s="58"/>
    </row>
    <row r="194" customFormat="false" ht="14.25" hidden="false" customHeight="false" outlineLevel="0" collapsed="false">
      <c r="C194" s="55" t="s">
        <v>173</v>
      </c>
      <c r="D194" s="56" t="s">
        <v>3</v>
      </c>
      <c r="E194" s="59" t="n">
        <f aca="false">(1+Rate_Cash*E193/Days_In_Year)*(1+Rate_Cash)^(YEAR(E190)-YEAR(Inputs!E$21)-1)*E191</f>
        <v>1.35657301688182</v>
      </c>
      <c r="F194" s="59" t="n">
        <f aca="false">(1+Rate_Cash*F193/Days_In_Year)*(1+Rate_Cash)^(YEAR(F190)-YEAR(Inputs!F$21)-1)*F191</f>
        <v>1.35657301688182</v>
      </c>
      <c r="G194" s="59" t="n">
        <f aca="false">(1+Rate_Cash*G193/Days_In_Year)*(1+Rate_Cash)^(YEAR(G190)-YEAR(Inputs!G$21)-1)*G191</f>
        <v>1.35657301688182</v>
      </c>
      <c r="H194" s="58"/>
    </row>
    <row r="195" customFormat="false" ht="14.25" hidden="false" customHeight="false" outlineLevel="0" collapsed="false">
      <c r="C195" s="55" t="s">
        <v>174</v>
      </c>
      <c r="D195" s="56" t="s">
        <v>172</v>
      </c>
      <c r="E195" s="60" t="n">
        <f aca="false">DATE(YEAR(Inputs!E$22)+1,1,1)-Inputs!E$22</f>
        <v>351</v>
      </c>
      <c r="F195" s="60" t="n">
        <f aca="false">DATE(YEAR(Inputs!F$22)+1,1,1)-Inputs!F$22</f>
        <v>351</v>
      </c>
      <c r="G195" s="60" t="n">
        <f aca="false">DATE(YEAR(Inputs!G$22)+1,1,1)-Inputs!G$22</f>
        <v>351</v>
      </c>
      <c r="H195" s="58"/>
    </row>
    <row r="196" customFormat="false" ht="14.25" hidden="false" customHeight="false" outlineLevel="0" collapsed="false">
      <c r="C196" s="55" t="s">
        <v>175</v>
      </c>
      <c r="D196" s="56" t="s">
        <v>3</v>
      </c>
      <c r="E196" s="59" t="n">
        <f aca="false">(1+Rate_Cash*E195/Days_In_Year)*(1+Rate_Cash)^(YEAR(E190)-YEAR(Inputs!E$22)-1)*E191</f>
        <v>1.32358356140364</v>
      </c>
      <c r="F196" s="59" t="n">
        <f aca="false">(1+Rate_Cash*F195/Days_In_Year)*(1+Rate_Cash)^(YEAR(F190)-YEAR(Inputs!F$22)-1)*F191</f>
        <v>1.32358356140364</v>
      </c>
      <c r="G196" s="59" t="n">
        <f aca="false">(1+Rate_Cash*G195/Days_In_Year)*(1+Rate_Cash)^(YEAR(G190)-YEAR(Inputs!G$22)-1)*G191</f>
        <v>1.32358356140364</v>
      </c>
      <c r="H196" s="58"/>
    </row>
    <row r="197" customFormat="false" ht="14.25" hidden="false" customHeight="false" outlineLevel="0" collapsed="false">
      <c r="C197" s="55" t="s">
        <v>176</v>
      </c>
      <c r="D197" s="56" t="s">
        <v>172</v>
      </c>
      <c r="E197" s="60" t="n">
        <f aca="false">DATE(YEAR(Inputs!E$23)+1,1,1)-Inputs!E$23</f>
        <v>351</v>
      </c>
      <c r="F197" s="60" t="n">
        <f aca="false">DATE(YEAR(Inputs!F$23)+1,1,1)-Inputs!F$23</f>
        <v>351</v>
      </c>
      <c r="G197" s="60" t="n">
        <f aca="false">DATE(YEAR(Inputs!G$23)+1,1,1)-Inputs!G$23</f>
        <v>351</v>
      </c>
      <c r="H197" s="58"/>
    </row>
    <row r="198" customFormat="false" ht="14.25" hidden="false" customHeight="false" outlineLevel="0" collapsed="false">
      <c r="C198" s="55" t="s">
        <v>177</v>
      </c>
      <c r="D198" s="56" t="s">
        <v>3</v>
      </c>
      <c r="E198" s="59" t="n">
        <f aca="false">(1+Rate_Cash*E197/Days_In_Year)*(1+Rate_Cash)^(YEAR(E190)-YEAR(Inputs!E$23)-1)*E191</f>
        <v>1.32358356140364</v>
      </c>
      <c r="F198" s="59" t="n">
        <f aca="false">(1+Rate_Cash*F197/Days_In_Year)*(1+Rate_Cash)^(YEAR(F190)-YEAR(Inputs!F$23)-1)*F191</f>
        <v>1.32358356140364</v>
      </c>
      <c r="G198" s="59" t="n">
        <f aca="false">(1+Rate_Cash*G197/Days_In_Year)*(1+Rate_Cash)^(YEAR(G190)-YEAR(Inputs!G$23)-1)*G191</f>
        <v>1.32358356140364</v>
      </c>
      <c r="H198" s="58"/>
    </row>
    <row r="199" customFormat="false" ht="14.25" hidden="false" customHeight="false" outlineLevel="0" collapsed="false">
      <c r="C199" s="55" t="s">
        <v>178</v>
      </c>
      <c r="D199" s="56" t="s">
        <v>172</v>
      </c>
      <c r="E199" s="60" t="n">
        <f aca="false">DATE(YEAR(Inputs!E$24)+1,1,1)-Inputs!E$24</f>
        <v>92</v>
      </c>
      <c r="F199" s="60" t="n">
        <f aca="false">DATE(YEAR(Inputs!F$24)+1,1,1)-Inputs!F$24</f>
        <v>92</v>
      </c>
      <c r="G199" s="60" t="n">
        <f aca="false">DATE(YEAR(Inputs!G$24)+1,1,1)-Inputs!G$24</f>
        <v>92</v>
      </c>
      <c r="H199" s="58"/>
    </row>
    <row r="200" customFormat="false" ht="14.25" hidden="false" customHeight="false" outlineLevel="0" collapsed="false">
      <c r="C200" s="55" t="s">
        <v>179</v>
      </c>
      <c r="D200" s="56" t="s">
        <v>3</v>
      </c>
      <c r="E200" s="59" t="n">
        <f aca="false">(1+Rate_Cash*E199/Days_In_Year)*(1+Rate_Cash)^(YEAR(E190)-YEAR(Inputs!E$24)-1)*E191</f>
        <v>1.09155330305874</v>
      </c>
      <c r="F200" s="59" t="n">
        <f aca="false">(1+Rate_Cash*F199/Days_In_Year)*(1+Rate_Cash)^(YEAR(F190)-YEAR(Inputs!F$24)-1)*F191</f>
        <v>1.09155330305874</v>
      </c>
      <c r="G200" s="59" t="n">
        <f aca="false">(1+Rate_Cash*G199/Days_In_Year)*(1+Rate_Cash)^(YEAR(G190)-YEAR(Inputs!G$24)-1)*G191</f>
        <v>1.09155330305874</v>
      </c>
      <c r="H200" s="58"/>
    </row>
    <row r="201" customFormat="false" ht="14.25" hidden="false" customHeight="false" outlineLevel="0" collapsed="false">
      <c r="C201" s="55" t="s">
        <v>180</v>
      </c>
      <c r="D201" s="56" t="s">
        <v>172</v>
      </c>
      <c r="E201" s="60" t="n">
        <f aca="false">DATE(YEAR($J$56)+1,1,1)-$J$56</f>
        <v>241.823134179002</v>
      </c>
      <c r="F201" s="60" t="n">
        <f aca="false">DATE(YEAR($J$56)+1,1,1)-$J$56</f>
        <v>241.823134179002</v>
      </c>
      <c r="G201" s="60" t="n">
        <f aca="false">DATE(YEAR($J$56)+1,1,1)-$J$56</f>
        <v>241.823134179002</v>
      </c>
      <c r="H201" s="58"/>
    </row>
    <row r="202" customFormat="false" ht="14.25" hidden="false" customHeight="false" outlineLevel="0" collapsed="false">
      <c r="C202" s="55" t="s">
        <v>181</v>
      </c>
      <c r="D202" s="56" t="s">
        <v>3</v>
      </c>
      <c r="E202" s="59" t="n">
        <f aca="false">(1+Rate_Devex*E201/Days_In_Year)*(1+Rate_Devex)^(YEAR(E190)-YEAR($J$56)-1)*E192</f>
        <v>1.24482558293506</v>
      </c>
      <c r="F202" s="59" t="n">
        <f aca="false">(1+Rate_Devex*F201/Days_In_Year)*(1+Rate_Devex)^(YEAR(F190)-YEAR($J$56)-1)*F192</f>
        <v>1.24482558293506</v>
      </c>
      <c r="G202" s="59" t="n">
        <f aca="false">(1+Rate_Devex*G201/Days_In_Year)*(1+Rate_Devex)^(YEAR(G190)-YEAR($J$56)-1)*G192</f>
        <v>1.24482558293506</v>
      </c>
      <c r="H202" s="58"/>
    </row>
    <row r="203" customFormat="false" ht="14.25" hidden="false" customHeight="false" outlineLevel="0" collapsed="false">
      <c r="C203" s="55" t="s">
        <v>182</v>
      </c>
      <c r="D203" s="56" t="s">
        <v>172</v>
      </c>
      <c r="E203" s="60" t="n">
        <f aca="false">DATE(YEAR($J$55)+1,1,1)-$J$55</f>
        <v>38.8757241119529</v>
      </c>
      <c r="F203" s="60" t="n">
        <f aca="false">DATE(YEAR($J$55)+1,1,1)-$J$55</f>
        <v>38.8757241119529</v>
      </c>
      <c r="G203" s="60" t="n">
        <f aca="false">DATE(YEAR($J$55)+1,1,1)-$J$55</f>
        <v>38.8757241119529</v>
      </c>
      <c r="H203" s="58"/>
    </row>
    <row r="204" customFormat="false" ht="14.25" hidden="false" customHeight="false" outlineLevel="0" collapsed="false">
      <c r="C204" s="55" t="s">
        <v>183</v>
      </c>
      <c r="D204" s="56" t="s">
        <v>3</v>
      </c>
      <c r="E204" s="59" t="n">
        <f aca="false">(1+Rate_Devex*E203/Days_In_Year)*(1+Rate_Devex)^(YEAR(E190)-YEAR($J$55)-1)*E192</f>
        <v>1.34711102062895</v>
      </c>
      <c r="F204" s="59" t="n">
        <f aca="false">(1+Rate_Devex*F203/Days_In_Year)*(1+Rate_Devex)^(YEAR(F190)-YEAR($J$55)-1)*F192</f>
        <v>1.34711102062895</v>
      </c>
      <c r="G204" s="59" t="n">
        <f aca="false">(1+Rate_Devex*G203/Days_In_Year)*(1+Rate_Devex)^(YEAR(G190)-YEAR($J$55)-1)*G192</f>
        <v>1.34711102062895</v>
      </c>
      <c r="H204" s="58"/>
    </row>
    <row r="205" customFormat="false" ht="14.25" hidden="false" customHeight="false" outlineLevel="0" collapsed="false">
      <c r="C205" s="55" t="s">
        <v>184</v>
      </c>
      <c r="D205" s="56" t="s">
        <v>85</v>
      </c>
      <c r="E205" s="61" t="n">
        <f aca="false">E$21*E61*(E194-1)</f>
        <v>2.93073712505603</v>
      </c>
      <c r="F205" s="61" t="n">
        <f aca="false">F$21*F61*(F194-1)</f>
        <v>0</v>
      </c>
      <c r="G205" s="61" t="n">
        <f aca="false">G$21*G61*(G194-1)</f>
        <v>0</v>
      </c>
      <c r="H205" s="61" t="n">
        <f aca="false">SUM(E205:G205)</f>
        <v>2.93073712505603</v>
      </c>
    </row>
    <row r="206" customFormat="false" ht="14.25" hidden="false" customHeight="false" outlineLevel="0" collapsed="false">
      <c r="C206" s="55" t="s">
        <v>185</v>
      </c>
      <c r="D206" s="56" t="s">
        <v>85</v>
      </c>
      <c r="E206" s="62" t="n">
        <f aca="false">E$21*E62*(E194-1)</f>
        <v>138.526174777648</v>
      </c>
      <c r="F206" s="62" t="n">
        <f aca="false">F$21*F62*(F194-1)</f>
        <v>0</v>
      </c>
      <c r="G206" s="62" t="n">
        <f aca="false">G$21*G62*(G194-1)</f>
        <v>0</v>
      </c>
      <c r="H206" s="62" t="n">
        <f aca="false">SUM(E206:G206)</f>
        <v>138.526174777648</v>
      </c>
    </row>
    <row r="207" customFormat="false" ht="14.25" hidden="false" customHeight="false" outlineLevel="0" collapsed="false">
      <c r="C207" s="55" t="s">
        <v>186</v>
      </c>
      <c r="D207" s="56" t="s">
        <v>85</v>
      </c>
      <c r="E207" s="62" t="n">
        <f aca="false">E$21*E63*(E196-1)</f>
        <v>502.839989118205</v>
      </c>
      <c r="F207" s="62" t="n">
        <f aca="false">F$21*F63*(F196-1)</f>
        <v>0</v>
      </c>
      <c r="G207" s="62" t="n">
        <f aca="false">G$21*G63*(G196-1)</f>
        <v>0</v>
      </c>
      <c r="H207" s="62" t="n">
        <f aca="false">SUM(E207:G207)</f>
        <v>502.839989118205</v>
      </c>
    </row>
    <row r="208" customFormat="false" ht="14.25" hidden="false" customHeight="false" outlineLevel="0" collapsed="false">
      <c r="C208" s="55" t="s">
        <v>187</v>
      </c>
      <c r="D208" s="56" t="s">
        <v>85</v>
      </c>
      <c r="E208" s="62" t="n">
        <f aca="false">E$21*E64*(E198-1)</f>
        <v>199.469318673477</v>
      </c>
      <c r="F208" s="62" t="n">
        <f aca="false">F$21*F64*(F198-1)</f>
        <v>0</v>
      </c>
      <c r="G208" s="62" t="n">
        <f aca="false">G$21*G64*(G198-1)</f>
        <v>0</v>
      </c>
      <c r="H208" s="62" t="n">
        <f aca="false">SUM(E208:G208)</f>
        <v>199.469318673477</v>
      </c>
    </row>
    <row r="209" customFormat="false" ht="14.25" hidden="false" customHeight="false" outlineLevel="0" collapsed="false">
      <c r="C209" s="55" t="s">
        <v>188</v>
      </c>
      <c r="D209" s="56" t="s">
        <v>85</v>
      </c>
      <c r="E209" s="62" t="n">
        <f aca="false">E$21*E65*(E200-1)</f>
        <v>63.7544348660937</v>
      </c>
      <c r="F209" s="62" t="n">
        <f aca="false">F$21*F65*(F200-1)</f>
        <v>0</v>
      </c>
      <c r="G209" s="62" t="n">
        <f aca="false">G$21*G65*(G200-1)</f>
        <v>0</v>
      </c>
      <c r="H209" s="62" t="n">
        <f aca="false">SUM(E209:G209)</f>
        <v>63.7544348660937</v>
      </c>
    </row>
    <row r="210" customFormat="false" ht="14.25" hidden="false" customHeight="false" outlineLevel="0" collapsed="false">
      <c r="C210" s="55" t="s">
        <v>189</v>
      </c>
      <c r="D210" s="56" t="s">
        <v>85</v>
      </c>
      <c r="E210" s="62" t="n">
        <f aca="false">E$21*E66*(E200-1)</f>
        <v>859.990350596064</v>
      </c>
      <c r="F210" s="62" t="n">
        <f aca="false">F$21*F66*(F200-1)</f>
        <v>0</v>
      </c>
      <c r="G210" s="62" t="n">
        <f aca="false">G$21*G66*(G200-1)</f>
        <v>0</v>
      </c>
      <c r="H210" s="62" t="n">
        <f aca="false">SUM(E210:G210)</f>
        <v>859.990350596064</v>
      </c>
    </row>
    <row r="211" customFormat="false" ht="14.25" hidden="false" customHeight="false" outlineLevel="0" collapsed="false">
      <c r="C211" s="55" t="s">
        <v>190</v>
      </c>
      <c r="D211" s="56" t="s">
        <v>85</v>
      </c>
      <c r="E211" s="62" t="n">
        <f aca="false">E$21*E68*MAX(E202-1,Devex_Floor-1)</f>
        <v>107.801712328767</v>
      </c>
      <c r="F211" s="62" t="n">
        <f aca="false">F$21*F68*MAX(F202-1,Devex_Floor-1)</f>
        <v>0</v>
      </c>
      <c r="G211" s="62" t="n">
        <f aca="false">G$21*G68*MAX(G202-1,Devex_Floor-1)</f>
        <v>0</v>
      </c>
      <c r="H211" s="62" t="n">
        <f aca="false">SUM(E211:G211)</f>
        <v>107.801712328767</v>
      </c>
    </row>
    <row r="212" customFormat="false" ht="14.25" hidden="false" customHeight="false" outlineLevel="0" collapsed="false">
      <c r="C212" s="55" t="s">
        <v>191</v>
      </c>
      <c r="D212" s="56" t="s">
        <v>85</v>
      </c>
      <c r="E212" s="62" t="n">
        <f aca="false">E$21*E67*MAX(E204-1,Devex_Floor-1)</f>
        <v>701.098816348896</v>
      </c>
      <c r="F212" s="62" t="n">
        <f aca="false">F$21*F67*MAX(F204-1,Devex_Floor-1)</f>
        <v>0</v>
      </c>
      <c r="G212" s="62" t="n">
        <f aca="false">G$21*G67*MAX(G204-1,Devex_Floor-1)</f>
        <v>0</v>
      </c>
      <c r="H212" s="62" t="n">
        <f aca="false">SUM(E212:G212)</f>
        <v>701.098816348896</v>
      </c>
    </row>
    <row r="213" customFormat="false" ht="14.25" hidden="false" customHeight="false" outlineLevel="0" collapsed="false">
      <c r="C213" s="63" t="s">
        <v>192</v>
      </c>
      <c r="D213" s="56" t="s">
        <v>85</v>
      </c>
      <c r="E213" s="64" t="n">
        <f aca="false">SUM(E205:E212)</f>
        <v>2576.41153383421</v>
      </c>
      <c r="F213" s="64" t="n">
        <f aca="false">SUM(F205:F212)</f>
        <v>0</v>
      </c>
      <c r="G213" s="64" t="n">
        <f aca="false">SUM(G205:G212)</f>
        <v>0</v>
      </c>
      <c r="H213" s="64" t="n">
        <f aca="false">SUM(E213:G213)</f>
        <v>2576.41153383421</v>
      </c>
    </row>
    <row r="214" customFormat="false" ht="14.25" hidden="false" customHeight="false" outlineLevel="0" collapsed="false">
      <c r="C214" s="55" t="s">
        <v>193</v>
      </c>
      <c r="D214" s="56" t="s">
        <v>85</v>
      </c>
      <c r="E214" s="62" t="n">
        <f aca="false">E20*MIN(DSA_Rate*YEARFRAC(Inputs!E$28,Sale_Date),DSA_Cap)*E44</f>
        <v>437.5</v>
      </c>
      <c r="F214" s="62" t="n">
        <f aca="false">F20*MIN(DSA_Rate*YEARFRAC(Inputs!F$28,Sale_Date),DSA_Cap)*F44</f>
        <v>0</v>
      </c>
      <c r="G214" s="62" t="n">
        <f aca="false">G20*MIN(DSA_Rate*YEARFRAC(Inputs!G$28,Sale_Date),DSA_Cap)*G44</f>
        <v>0</v>
      </c>
      <c r="H214" s="62" t="n">
        <f aca="false">SUM(E214:G214)</f>
        <v>437.5</v>
      </c>
    </row>
    <row r="216" customFormat="false" ht="14.25" hidden="false" customHeight="false" outlineLevel="0" collapsed="false">
      <c r="B216" s="4" t="s">
        <v>3</v>
      </c>
      <c r="C216" s="4" t="s">
        <v>194</v>
      </c>
      <c r="D216" s="4"/>
      <c r="E216" s="5" t="s">
        <v>5</v>
      </c>
      <c r="F216" s="5" t="s">
        <v>6</v>
      </c>
      <c r="G216" s="5" t="s">
        <v>7</v>
      </c>
      <c r="H216" s="5" t="s">
        <v>8</v>
      </c>
    </row>
    <row r="217" customFormat="false" ht="14.25" hidden="false" customHeight="false" outlineLevel="0" collapsed="false">
      <c r="C217" s="55" t="s">
        <v>195</v>
      </c>
      <c r="D217" s="56" t="s">
        <v>85</v>
      </c>
      <c r="E217" s="62" t="n">
        <f aca="false">E65+E66</f>
        <v>10089.6937041096</v>
      </c>
      <c r="F217" s="62" t="n">
        <f aca="false">F65+F66</f>
        <v>3359.81917808219</v>
      </c>
      <c r="G217" s="62" t="n">
        <f aca="false">G65+G66</f>
        <v>3359.81917808219</v>
      </c>
      <c r="H217" s="62" t="n">
        <f aca="false">SUM(E217:G217)</f>
        <v>16809.332060274</v>
      </c>
    </row>
    <row r="218" customFormat="false" ht="14.25" hidden="false" customHeight="false" outlineLevel="0" collapsed="false">
      <c r="C218" s="55" t="s">
        <v>196</v>
      </c>
      <c r="D218" s="56" t="s">
        <v>74</v>
      </c>
      <c r="E218" s="62" t="n">
        <f aca="false">SUMIFS(Devex_HUF,Devex_Class,"Land",Devex_Date,"&lt;="&amp;Sale_Date_A)</f>
        <v>66190500</v>
      </c>
      <c r="F218" s="62" t="n">
        <f aca="false">SUMIFS(Devex_HUF,Devex_Class,"Land",Devex_Date,"&lt;="&amp;Sale_Date_A)</f>
        <v>66190500</v>
      </c>
      <c r="G218" s="62" t="n">
        <f aca="false">SUMIFS(Devex_HUF,Devex_Class,"Land",Devex_Date,"&lt;="&amp;Sale_Date_A)</f>
        <v>66190500</v>
      </c>
      <c r="H218" s="62"/>
    </row>
    <row r="219" customFormat="false" ht="14.25" hidden="false" customHeight="false" outlineLevel="0" collapsed="false">
      <c r="C219" s="55" t="s">
        <v>197</v>
      </c>
      <c r="D219" s="56" t="s">
        <v>168</v>
      </c>
      <c r="E219" s="57" t="n">
        <f aca="false">SUMPRODUCT((Devex_Class="Land")*(Devex_Date&lt;=Sale_Date_A)*Devex_HUF,Devex_Date)/E218</f>
        <v>46431</v>
      </c>
      <c r="F219" s="57" t="n">
        <f aca="false">SUMPRODUCT((Devex_Class="Land")*(Devex_Date&lt;=Sale_Date_A)*Devex_HUF,Devex_Date)/F218</f>
        <v>46431</v>
      </c>
      <c r="G219" s="57" t="n">
        <f aca="false">SUMPRODUCT((Devex_Class="Land")*(Devex_Date&lt;=Sale_Date_A)*Devex_HUF,Devex_Date)/G218</f>
        <v>46431</v>
      </c>
      <c r="H219" s="58"/>
    </row>
    <row r="220" customFormat="false" ht="14.25" hidden="false" customHeight="false" outlineLevel="0" collapsed="false">
      <c r="C220" s="55" t="s">
        <v>198</v>
      </c>
      <c r="D220" s="56" t="s">
        <v>85</v>
      </c>
      <c r="E220" s="62" t="n">
        <f aca="false">E218/FX/Thousand*Inputs!E$18</f>
        <v>45.3359589041096</v>
      </c>
      <c r="F220" s="62" t="n">
        <f aca="false">F218/FX/Thousand*Inputs!F$18</f>
        <v>45.3359589041096</v>
      </c>
      <c r="G220" s="62" t="n">
        <f aca="false">G218/FX/Thousand*Inputs!G$18</f>
        <v>45.3359589041096</v>
      </c>
      <c r="H220" s="62" t="n">
        <f aca="false">SUM(E220:G220)</f>
        <v>136.007876712329</v>
      </c>
    </row>
    <row r="221" customFormat="false" ht="14.25" hidden="false" customHeight="false" outlineLevel="0" collapsed="false">
      <c r="C221" s="55" t="s">
        <v>199</v>
      </c>
      <c r="D221" s="56" t="s">
        <v>74</v>
      </c>
      <c r="E221" s="62" t="n">
        <f aca="false">SUMIFS(Devex_HUF,Devex_Class,"Devex",Devex_Date,"&lt;="&amp;Sale_Date_A)</f>
        <v>991604271.869388</v>
      </c>
      <c r="F221" s="62" t="n">
        <f aca="false">SUMIFS(Devex_HUF,Devex_Class,"Devex",Devex_Date,"&lt;="&amp;Sale_Date_A)</f>
        <v>991604271.869388</v>
      </c>
      <c r="G221" s="62" t="n">
        <f aca="false">SUMIFS(Devex_HUF,Devex_Class,"Devex",Devex_Date,"&lt;="&amp;Sale_Date_A)</f>
        <v>991604271.869388</v>
      </c>
      <c r="H221" s="62"/>
    </row>
    <row r="222" customFormat="false" ht="14.25" hidden="false" customHeight="false" outlineLevel="0" collapsed="false">
      <c r="C222" s="55" t="s">
        <v>200</v>
      </c>
      <c r="D222" s="56" t="s">
        <v>168</v>
      </c>
      <c r="E222" s="57" t="n">
        <f aca="false">SUMPRODUCT((Devex_Class="Devex")*(Devex_Date&lt;=Sale_Date_A)*Devex_HUF,Devex_Date)/E221</f>
        <v>46701.5587560279</v>
      </c>
      <c r="F222" s="57" t="n">
        <f aca="false">SUMPRODUCT((Devex_Class="Devex")*(Devex_Date&lt;=Sale_Date_A)*Devex_HUF,Devex_Date)/F221</f>
        <v>46701.5587560279</v>
      </c>
      <c r="G222" s="57" t="n">
        <f aca="false">SUMPRODUCT((Devex_Class="Devex")*(Devex_Date&lt;=Sale_Date_A)*Devex_HUF,Devex_Date)/G221</f>
        <v>46701.5587560279</v>
      </c>
      <c r="H222" s="58"/>
    </row>
    <row r="223" customFormat="false" ht="14.25" hidden="false" customHeight="false" outlineLevel="0" collapsed="false">
      <c r="C223" s="55" t="s">
        <v>201</v>
      </c>
      <c r="D223" s="56" t="s">
        <v>85</v>
      </c>
      <c r="E223" s="62" t="n">
        <f aca="false">E221/FX/Thousand*Inputs!E$18</f>
        <v>679.181008129718</v>
      </c>
      <c r="F223" s="62" t="n">
        <f aca="false">F221/FX/Thousand*Inputs!F$18</f>
        <v>679.181008129718</v>
      </c>
      <c r="G223" s="62" t="n">
        <f aca="false">G221/FX/Thousand*Inputs!G$18</f>
        <v>679.181008129718</v>
      </c>
      <c r="H223" s="62" t="n">
        <f aca="false">SUM(E223:G223)</f>
        <v>2037.54302438915</v>
      </c>
    </row>
    <row r="224" customFormat="false" ht="14.25" hidden="false" customHeight="false" outlineLevel="0" collapsed="false">
      <c r="C224" s="55" t="s">
        <v>202</v>
      </c>
      <c r="D224" s="56" t="s">
        <v>85</v>
      </c>
      <c r="E224" s="62" t="n">
        <f aca="false">E61+SUM(E62:E64)+E220+E223+E69</f>
        <v>3426.64025470506</v>
      </c>
      <c r="F224" s="62" t="n">
        <f aca="false">F61+SUM(F62:F64)+F220+F223+F69</f>
        <v>3978.69504922561</v>
      </c>
      <c r="G224" s="62" t="n">
        <f aca="false">G61+SUM(G62:G64)+G220+G223+G69</f>
        <v>3978.69504922561</v>
      </c>
      <c r="H224" s="62" t="n">
        <f aca="false">SUM(E224:G224)</f>
        <v>11384.0303531563</v>
      </c>
    </row>
    <row r="225" customFormat="false" ht="14.25" hidden="false" customHeight="false" outlineLevel="0" collapsed="false">
      <c r="C225" s="55" t="s">
        <v>203</v>
      </c>
      <c r="D225" s="56" t="s">
        <v>168</v>
      </c>
      <c r="E225" s="57" t="n">
        <f aca="false">MIN(Freeze_Date,Sale_Date_A)</f>
        <v>47026</v>
      </c>
      <c r="F225" s="57" t="n">
        <f aca="false">MIN(Freeze_Date,Sale_Date_A)</f>
        <v>47026</v>
      </c>
      <c r="G225" s="57" t="n">
        <f aca="false">MIN(Freeze_Date,Sale_Date_A)</f>
        <v>47026</v>
      </c>
      <c r="H225" s="58"/>
    </row>
    <row r="226" customFormat="false" ht="14.25" hidden="false" customHeight="false" outlineLevel="0" collapsed="false">
      <c r="C226" s="55" t="s">
        <v>204</v>
      </c>
      <c r="D226" s="56" t="s">
        <v>168</v>
      </c>
      <c r="E226" s="57" t="n">
        <f aca="false">DATE(YEAR(E225),1,1)</f>
        <v>46753</v>
      </c>
      <c r="F226" s="57" t="n">
        <f aca="false">DATE(YEAR(F225),1,1)</f>
        <v>46753</v>
      </c>
      <c r="G226" s="57" t="n">
        <f aca="false">DATE(YEAR(G225),1,1)</f>
        <v>46753</v>
      </c>
      <c r="H226" s="58"/>
    </row>
    <row r="227" customFormat="false" ht="14.25" hidden="false" customHeight="false" outlineLevel="0" collapsed="false">
      <c r="C227" s="55" t="s">
        <v>205</v>
      </c>
      <c r="D227" s="56" t="s">
        <v>3</v>
      </c>
      <c r="E227" s="59" t="n">
        <f aca="false">1+Rate_Cash*(DATE(YEAR(Inputs!E$21)+1,1,1)-Inputs!E$21)*(Inputs!E$21&lt;E226)/Days_In_Year</f>
        <v>1.02071232876712</v>
      </c>
      <c r="F227" s="59" t="n">
        <f aca="false">1+Rate_Cash*(DATE(YEAR(Inputs!F$21)+1,1,1)-Inputs!F$21)*(Inputs!F$21&lt;F226)/Days_In_Year</f>
        <v>1.02071232876712</v>
      </c>
      <c r="G227" s="59" t="n">
        <f aca="false">1+Rate_Cash*(DATE(YEAR(Inputs!G$21)+1,1,1)-Inputs!G$21)*(Inputs!G$21&lt;G226)/Days_In_Year</f>
        <v>1.02071232876712</v>
      </c>
      <c r="H227" s="58"/>
    </row>
    <row r="228" customFormat="false" ht="14.25" hidden="false" customHeight="false" outlineLevel="0" collapsed="false">
      <c r="C228" s="55" t="s">
        <v>206</v>
      </c>
      <c r="D228" s="56" t="s">
        <v>3</v>
      </c>
      <c r="E228" s="59" t="n">
        <f aca="false">1+Rate_Cash*MAX(0,E225-MAX(Inputs!E$21,E226)+1)/Days_In_Year</f>
        <v>1.09008219178082</v>
      </c>
      <c r="F228" s="59" t="n">
        <f aca="false">1+Rate_Cash*MAX(0,F225-MAX(Inputs!F$21,F226)+1)/Days_In_Year</f>
        <v>1.09008219178082</v>
      </c>
      <c r="G228" s="59" t="n">
        <f aca="false">1+Rate_Cash*MAX(0,G225-MAX(Inputs!G$21,G226)+1)/Days_In_Year</f>
        <v>1.09008219178082</v>
      </c>
      <c r="H228" s="58"/>
    </row>
    <row r="229" customFormat="false" ht="14.25" hidden="false" customHeight="false" outlineLevel="0" collapsed="false">
      <c r="C229" s="55" t="s">
        <v>207</v>
      </c>
      <c r="D229" s="56" t="s">
        <v>3</v>
      </c>
      <c r="E229" s="59" t="n">
        <f aca="false">E227*(1+Rate_Cash)^MAX(0,YEAR(E226)-YEAR(Inputs!E$21)-1)*E228</f>
        <v>1.24617957242259</v>
      </c>
      <c r="F229" s="59" t="n">
        <f aca="false">F227*(1+Rate_Cash)^MAX(0,YEAR(F226)-YEAR(Inputs!F$21)-1)*F228</f>
        <v>1.24617957242259</v>
      </c>
      <c r="G229" s="59" t="n">
        <f aca="false">G227*(1+Rate_Cash)^MAX(0,YEAR(G226)-YEAR(Inputs!G$21)-1)*G228</f>
        <v>1.24617957242259</v>
      </c>
      <c r="H229" s="58"/>
    </row>
    <row r="230" customFormat="false" ht="14.25" hidden="false" customHeight="false" outlineLevel="0" collapsed="false">
      <c r="C230" s="55" t="s">
        <v>208</v>
      </c>
      <c r="D230" s="56" t="s">
        <v>3</v>
      </c>
      <c r="E230" s="59" t="n">
        <f aca="false">1+Rate_Cash*(DATE(YEAR(Inputs!E$22)+1,1,1)-Inputs!E$22)*(Inputs!E$22&lt;E226)/Days_In_Year</f>
        <v>1.11539726027397</v>
      </c>
      <c r="F230" s="59" t="n">
        <f aca="false">1+Rate_Cash*(DATE(YEAR(Inputs!F$22)+1,1,1)-Inputs!F$22)*(Inputs!F$22&lt;F226)/Days_In_Year</f>
        <v>1.11539726027397</v>
      </c>
      <c r="G230" s="59" t="n">
        <f aca="false">1+Rate_Cash*(DATE(YEAR(Inputs!G$22)+1,1,1)-Inputs!G$22)*(Inputs!G$22&lt;G226)/Days_In_Year</f>
        <v>1.11539726027397</v>
      </c>
      <c r="H230" s="58"/>
    </row>
    <row r="231" customFormat="false" ht="14.25" hidden="false" customHeight="false" outlineLevel="0" collapsed="false">
      <c r="C231" s="55" t="s">
        <v>209</v>
      </c>
      <c r="D231" s="56" t="s">
        <v>3</v>
      </c>
      <c r="E231" s="59" t="n">
        <f aca="false">1+Rate_Cash*MAX(0,E225-MAX(Inputs!E$22,E226)+1)/Days_In_Year</f>
        <v>1.09008219178082</v>
      </c>
      <c r="F231" s="59" t="n">
        <f aca="false">1+Rate_Cash*MAX(0,F225-MAX(Inputs!F$22,F226)+1)/Days_In_Year</f>
        <v>1.09008219178082</v>
      </c>
      <c r="G231" s="59" t="n">
        <f aca="false">1+Rate_Cash*MAX(0,G225-MAX(Inputs!G$22,G226)+1)/Days_In_Year</f>
        <v>1.09008219178082</v>
      </c>
      <c r="H231" s="58"/>
    </row>
    <row r="232" customFormat="false" ht="14.25" hidden="false" customHeight="false" outlineLevel="0" collapsed="false">
      <c r="C232" s="55" t="s">
        <v>210</v>
      </c>
      <c r="D232" s="56" t="s">
        <v>3</v>
      </c>
      <c r="E232" s="59" t="n">
        <f aca="false">E230*(1+Rate_Cash)^MAX(0,YEAR(E226)-YEAR(Inputs!E$22)-1)*E231</f>
        <v>1.21587469018578</v>
      </c>
      <c r="F232" s="59" t="n">
        <f aca="false">F230*(1+Rate_Cash)^MAX(0,YEAR(F226)-YEAR(Inputs!F$22)-1)*F231</f>
        <v>1.21587469018578</v>
      </c>
      <c r="G232" s="59" t="n">
        <f aca="false">G230*(1+Rate_Cash)^MAX(0,YEAR(G226)-YEAR(Inputs!G$22)-1)*G231</f>
        <v>1.21587469018578</v>
      </c>
      <c r="H232" s="58"/>
    </row>
    <row r="233" customFormat="false" ht="14.25" hidden="false" customHeight="false" outlineLevel="0" collapsed="false">
      <c r="C233" s="55" t="s">
        <v>211</v>
      </c>
      <c r="D233" s="56" t="s">
        <v>3</v>
      </c>
      <c r="E233" s="59" t="n">
        <f aca="false">1+Rate_Cash*(DATE(YEAR(Inputs!E$23)+1,1,1)-Inputs!E$23)*(Inputs!E$23&lt;E226)/Days_In_Year</f>
        <v>1.11539726027397</v>
      </c>
      <c r="F233" s="59" t="n">
        <f aca="false">1+Rate_Cash*(DATE(YEAR(Inputs!F$23)+1,1,1)-Inputs!F$23)*(Inputs!F$23&lt;F226)/Days_In_Year</f>
        <v>1.11539726027397</v>
      </c>
      <c r="G233" s="59" t="n">
        <f aca="false">1+Rate_Cash*(DATE(YEAR(Inputs!G$23)+1,1,1)-Inputs!G$23)*(Inputs!G$23&lt;G226)/Days_In_Year</f>
        <v>1.11539726027397</v>
      </c>
      <c r="H233" s="58"/>
    </row>
    <row r="234" customFormat="false" ht="14.25" hidden="false" customHeight="false" outlineLevel="0" collapsed="false">
      <c r="C234" s="55" t="s">
        <v>212</v>
      </c>
      <c r="D234" s="56" t="s">
        <v>3</v>
      </c>
      <c r="E234" s="59" t="n">
        <f aca="false">1+Rate_Cash*MAX(0,E225-MAX(Inputs!E$23,E226)+1)/Days_In_Year</f>
        <v>1.09008219178082</v>
      </c>
      <c r="F234" s="59" t="n">
        <f aca="false">1+Rate_Cash*MAX(0,F225-MAX(Inputs!F$23,F226)+1)/Days_In_Year</f>
        <v>1.09008219178082</v>
      </c>
      <c r="G234" s="59" t="n">
        <f aca="false">1+Rate_Cash*MAX(0,G225-MAX(Inputs!G$23,G226)+1)/Days_In_Year</f>
        <v>1.09008219178082</v>
      </c>
      <c r="H234" s="58"/>
    </row>
    <row r="235" customFormat="false" ht="14.25" hidden="false" customHeight="false" outlineLevel="0" collapsed="false">
      <c r="C235" s="55" t="s">
        <v>213</v>
      </c>
      <c r="D235" s="56" t="s">
        <v>3</v>
      </c>
      <c r="E235" s="59" t="n">
        <f aca="false">E233*(1+Rate_Cash)^MAX(0,YEAR(E226)-YEAR(Inputs!E$23)-1)*E234</f>
        <v>1.21587469018578</v>
      </c>
      <c r="F235" s="59" t="n">
        <f aca="false">F233*(1+Rate_Cash)^MAX(0,YEAR(F226)-YEAR(Inputs!F$23)-1)*F234</f>
        <v>1.21587469018578</v>
      </c>
      <c r="G235" s="59" t="n">
        <f aca="false">G233*(1+Rate_Cash)^MAX(0,YEAR(G226)-YEAR(Inputs!G$23)-1)*G234</f>
        <v>1.21587469018578</v>
      </c>
      <c r="H235" s="58"/>
    </row>
    <row r="236" customFormat="false" ht="14.25" hidden="false" customHeight="false" outlineLevel="0" collapsed="false">
      <c r="C236" s="55" t="s">
        <v>214</v>
      </c>
      <c r="D236" s="56" t="s">
        <v>3</v>
      </c>
      <c r="E236" s="59" t="n">
        <f aca="false">1+Rate_Devex*(DATE(YEAR(E219)+1,1,1)-E219)*(E219&lt;E226)/Days_In_Year</f>
        <v>1.17643835616438</v>
      </c>
      <c r="F236" s="59" t="n">
        <f aca="false">1+Rate_Devex*(DATE(YEAR(F219)+1,1,1)-F219)*(F219&lt;F226)/Days_In_Year</f>
        <v>1.17643835616438</v>
      </c>
      <c r="G236" s="59" t="n">
        <f aca="false">1+Rate_Devex*(DATE(YEAR(G219)+1,1,1)-G219)*(G219&lt;G226)/Days_In_Year</f>
        <v>1.17643835616438</v>
      </c>
      <c r="H236" s="58"/>
    </row>
    <row r="237" customFormat="false" ht="14.25" hidden="false" customHeight="false" outlineLevel="0" collapsed="false">
      <c r="C237" s="55" t="s">
        <v>215</v>
      </c>
      <c r="D237" s="56" t="s">
        <v>3</v>
      </c>
      <c r="E237" s="59" t="n">
        <f aca="false">1+Rate_Devex*MAX(0,E225-MAX(E219,E226)+1)/Days_In_Year</f>
        <v>1.15013698630137</v>
      </c>
      <c r="F237" s="59" t="n">
        <f aca="false">1+Rate_Devex*MAX(0,F225-MAX(F219,F226)+1)/Days_In_Year</f>
        <v>1.15013698630137</v>
      </c>
      <c r="G237" s="59" t="n">
        <f aca="false">1+Rate_Devex*MAX(0,G225-MAX(G219,G226)+1)/Days_In_Year</f>
        <v>1.15013698630137</v>
      </c>
      <c r="H237" s="58"/>
    </row>
    <row r="238" customFormat="false" ht="14.25" hidden="false" customHeight="false" outlineLevel="0" collapsed="false">
      <c r="C238" s="55" t="s">
        <v>216</v>
      </c>
      <c r="D238" s="56" t="s">
        <v>3</v>
      </c>
      <c r="E238" s="59" t="n">
        <f aca="false">E236*(1+Rate_Devex)^MAX(0,YEAR(E226)-YEAR(E219)-1)*E237</f>
        <v>1.35306526552824</v>
      </c>
      <c r="F238" s="59" t="n">
        <f aca="false">F236*(1+Rate_Devex)^MAX(0,YEAR(F226)-YEAR(F219)-1)*F237</f>
        <v>1.35306526552824</v>
      </c>
      <c r="G238" s="59" t="n">
        <f aca="false">G236*(1+Rate_Devex)^MAX(0,YEAR(G226)-YEAR(G219)-1)*G237</f>
        <v>1.35306526552824</v>
      </c>
      <c r="H238" s="58"/>
    </row>
    <row r="239" customFormat="false" ht="14.25" hidden="false" customHeight="false" outlineLevel="0" collapsed="false">
      <c r="C239" s="55" t="s">
        <v>217</v>
      </c>
      <c r="D239" s="56" t="s">
        <v>3</v>
      </c>
      <c r="E239" s="59" t="n">
        <f aca="false">1+Rate_Devex*(DATE(YEAR(E222)+1,1,1)-E222)*(E222&lt;E226)/Days_In_Year</f>
        <v>1.02818698299841</v>
      </c>
      <c r="F239" s="59" t="n">
        <f aca="false">1+Rate_Devex*(DATE(YEAR(F222)+1,1,1)-F222)*(F222&lt;F226)/Days_In_Year</f>
        <v>1.02818698299841</v>
      </c>
      <c r="G239" s="59" t="n">
        <f aca="false">1+Rate_Devex*(DATE(YEAR(G222)+1,1,1)-G222)*(G222&lt;G226)/Days_In_Year</f>
        <v>1.02818698299841</v>
      </c>
      <c r="H239" s="58"/>
    </row>
    <row r="240" customFormat="false" ht="14.25" hidden="false" customHeight="false" outlineLevel="0" collapsed="false">
      <c r="C240" s="55" t="s">
        <v>218</v>
      </c>
      <c r="D240" s="56" t="s">
        <v>3</v>
      </c>
      <c r="E240" s="59" t="n">
        <f aca="false">1+Rate_Devex*MAX(0,E225-MAX(E222,E226)+1)/Days_In_Year</f>
        <v>1.15013698630137</v>
      </c>
      <c r="F240" s="59" t="n">
        <f aca="false">1+Rate_Devex*MAX(0,F225-MAX(F222,F226)+1)/Days_In_Year</f>
        <v>1.15013698630137</v>
      </c>
      <c r="G240" s="59" t="n">
        <f aca="false">1+Rate_Devex*MAX(0,G225-MAX(G222,G226)+1)/Days_In_Year</f>
        <v>1.15013698630137</v>
      </c>
      <c r="H240" s="58"/>
    </row>
    <row r="241" customFormat="false" ht="14.25" hidden="false" customHeight="false" outlineLevel="0" collapsed="false">
      <c r="C241" s="55" t="s">
        <v>219</v>
      </c>
      <c r="D241" s="56" t="s">
        <v>3</v>
      </c>
      <c r="E241" s="59" t="n">
        <f aca="false">E239*(1+Rate_Devex)^MAX(0,YEAR(E226)-YEAR(E222)-1)*E240</f>
        <v>1.18255587798009</v>
      </c>
      <c r="F241" s="59" t="n">
        <f aca="false">F239*(1+Rate_Devex)^MAX(0,YEAR(F226)-YEAR(F222)-1)*F240</f>
        <v>1.18255587798009</v>
      </c>
      <c r="G241" s="59" t="n">
        <f aca="false">G239*(1+Rate_Devex)^MAX(0,YEAR(G226)-YEAR(G222)-1)*G240</f>
        <v>1.18255587798009</v>
      </c>
      <c r="H241" s="58"/>
    </row>
    <row r="242" customFormat="false" ht="14.25" hidden="false" customHeight="false" outlineLevel="0" collapsed="false">
      <c r="C242" s="55" t="s">
        <v>220</v>
      </c>
      <c r="D242" s="56" t="s">
        <v>85</v>
      </c>
      <c r="E242" s="61" t="n">
        <f aca="false">E$21*E61*(E229-1)</f>
        <v>2.02339374593912</v>
      </c>
      <c r="F242" s="61" t="n">
        <f aca="false">F$21*F61*(F229-1)</f>
        <v>0</v>
      </c>
      <c r="G242" s="61" t="n">
        <f aca="false">G$21*G61*(G229-1)</f>
        <v>0</v>
      </c>
      <c r="H242" s="61" t="n">
        <f aca="false">SUM(E242:G242)</f>
        <v>2.02339374593912</v>
      </c>
    </row>
    <row r="243" customFormat="false" ht="14.25" hidden="false" customHeight="false" outlineLevel="0" collapsed="false">
      <c r="C243" s="55" t="s">
        <v>221</v>
      </c>
      <c r="D243" s="56" t="s">
        <v>85</v>
      </c>
      <c r="E243" s="61" t="n">
        <f aca="false">E$21*E62*(E229-1)</f>
        <v>95.6390777247226</v>
      </c>
      <c r="F243" s="61" t="n">
        <f aca="false">F$21*F62*(F229-1)</f>
        <v>0</v>
      </c>
      <c r="G243" s="61" t="n">
        <f aca="false">G$21*G62*(G229-1)</f>
        <v>0</v>
      </c>
      <c r="H243" s="61" t="n">
        <f aca="false">SUM(E243:G243)</f>
        <v>95.6390777247226</v>
      </c>
    </row>
    <row r="244" customFormat="false" ht="14.25" hidden="false" customHeight="false" outlineLevel="0" collapsed="false">
      <c r="C244" s="55" t="s">
        <v>222</v>
      </c>
      <c r="D244" s="56" t="s">
        <v>85</v>
      </c>
      <c r="E244" s="61" t="n">
        <f aca="false">E$21*E63*(E232-1)</f>
        <v>335.463354173622</v>
      </c>
      <c r="F244" s="61" t="n">
        <f aca="false">F$21*F63*(F232-1)</f>
        <v>0</v>
      </c>
      <c r="G244" s="61" t="n">
        <f aca="false">G$21*G63*(G232-1)</f>
        <v>0</v>
      </c>
      <c r="H244" s="61" t="n">
        <f aca="false">SUM(E244:G244)</f>
        <v>335.463354173622</v>
      </c>
    </row>
    <row r="245" customFormat="false" ht="14.25" hidden="false" customHeight="false" outlineLevel="0" collapsed="false">
      <c r="C245" s="55" t="s">
        <v>223</v>
      </c>
      <c r="D245" s="56" t="s">
        <v>85</v>
      </c>
      <c r="E245" s="61" t="n">
        <f aca="false">E$21*E64*(E235-1)</f>
        <v>133.073439155615</v>
      </c>
      <c r="F245" s="61" t="n">
        <f aca="false">F$21*F64*(F235-1)</f>
        <v>0</v>
      </c>
      <c r="G245" s="61" t="n">
        <f aca="false">G$21*G64*(G235-1)</f>
        <v>0</v>
      </c>
      <c r="H245" s="61" t="n">
        <f aca="false">SUM(E245:G245)</f>
        <v>133.073439155615</v>
      </c>
    </row>
    <row r="246" customFormat="false" ht="14.25" hidden="false" customHeight="false" outlineLevel="0" collapsed="false">
      <c r="C246" s="55" t="s">
        <v>224</v>
      </c>
      <c r="D246" s="56" t="s">
        <v>85</v>
      </c>
      <c r="E246" s="61" t="n">
        <f aca="false">E$21*E220*MAX(E238-1,Devex_Floor-1)</f>
        <v>45.3359589041096</v>
      </c>
      <c r="F246" s="61" t="n">
        <f aca="false">F$21*F220*MAX(F238-1,Devex_Floor-1)</f>
        <v>0</v>
      </c>
      <c r="G246" s="61" t="n">
        <f aca="false">G$21*G220*MAX(G238-1,Devex_Floor-1)</f>
        <v>0</v>
      </c>
      <c r="H246" s="61" t="n">
        <f aca="false">SUM(E246:G246)</f>
        <v>45.3359589041096</v>
      </c>
    </row>
    <row r="247" customFormat="false" ht="14.25" hidden="false" customHeight="false" outlineLevel="0" collapsed="false">
      <c r="C247" s="55" t="s">
        <v>225</v>
      </c>
      <c r="D247" s="56" t="s">
        <v>85</v>
      </c>
      <c r="E247" s="61" t="n">
        <f aca="false">E$21*E223*MAX(E241-1,Devex_Floor-1)</f>
        <v>679.181008129718</v>
      </c>
      <c r="F247" s="61" t="n">
        <f aca="false">F$21*F223*MAX(F241-1,Devex_Floor-1)</f>
        <v>0</v>
      </c>
      <c r="G247" s="61" t="n">
        <f aca="false">G$21*G223*MAX(G241-1,Devex_Floor-1)</f>
        <v>0</v>
      </c>
      <c r="H247" s="61" t="n">
        <f aca="false">SUM(E247:G247)</f>
        <v>679.181008129718</v>
      </c>
    </row>
    <row r="248" customFormat="false" ht="14.25" hidden="false" customHeight="false" outlineLevel="0" collapsed="false">
      <c r="C248" s="65" t="s">
        <v>226</v>
      </c>
      <c r="D248" s="66" t="s">
        <v>85</v>
      </c>
      <c r="E248" s="67" t="n">
        <f aca="false">SUM(E242:E247)</f>
        <v>1290.71623183373</v>
      </c>
      <c r="F248" s="67" t="n">
        <f aca="false">SUM(F242:F247)</f>
        <v>0</v>
      </c>
      <c r="G248" s="67" t="n">
        <f aca="false">SUM(G242:G247)</f>
        <v>0</v>
      </c>
      <c r="H248" s="67" t="n">
        <f aca="false">SUM(E248:G248)</f>
        <v>1290.71623183373</v>
      </c>
    </row>
    <row r="249" customFormat="false" ht="14.25" hidden="false" customHeight="false" outlineLevel="0" collapsed="false">
      <c r="C249" s="55" t="s">
        <v>227</v>
      </c>
      <c r="D249" s="56" t="s">
        <v>85</v>
      </c>
      <c r="E249" s="61" t="n">
        <f aca="false">E20*MIN(DSA_Rate*YEARFRAC(Inputs!E$28,Sale_Date_A),DSA_Cap)*E44</f>
        <v>287.5</v>
      </c>
      <c r="F249" s="61" t="n">
        <f aca="false">F20*MIN(DSA_Rate*YEARFRAC(Inputs!F$28,Sale_Date_A),DSA_Cap)*F44</f>
        <v>0</v>
      </c>
      <c r="G249" s="61" t="n">
        <f aca="false">G20*MIN(DSA_Rate*YEARFRAC(Inputs!G$28,Sale_Date_A),DSA_Cap)*G44</f>
        <v>0</v>
      </c>
      <c r="H249" s="61" t="n">
        <f aca="false">SUM(E249:G249)</f>
        <v>287.5</v>
      </c>
    </row>
    <row r="250" customFormat="false" ht="14.25" hidden="false" customHeight="false" outlineLevel="0" collapsed="false">
      <c r="C250" s="41" t="s">
        <v>228</v>
      </c>
      <c r="D250" s="42"/>
      <c r="E250" s="43"/>
      <c r="F250" s="43"/>
      <c r="G250" s="43"/>
      <c r="H250" s="43"/>
    </row>
    <row r="251" customFormat="false" ht="14.25" hidden="false" customHeight="false" outlineLevel="0" collapsed="false">
      <c r="C251" s="6" t="s">
        <v>28</v>
      </c>
      <c r="D251" s="2" t="s">
        <v>85</v>
      </c>
      <c r="E251" s="8" t="n">
        <f aca="false">E98</f>
        <v>7500</v>
      </c>
      <c r="F251" s="8" t="n">
        <f aca="false">F98</f>
        <v>7500</v>
      </c>
      <c r="G251" s="8" t="n">
        <f aca="false">G98</f>
        <v>7500</v>
      </c>
      <c r="H251" s="8" t="n">
        <f aca="false">SUM(E251:G251)</f>
        <v>22500</v>
      </c>
    </row>
    <row r="252" customFormat="false" ht="14.25" hidden="false" customHeight="false" outlineLevel="0" collapsed="false">
      <c r="C252" s="6" t="s">
        <v>229</v>
      </c>
      <c r="D252" s="2" t="s">
        <v>85</v>
      </c>
      <c r="E252" s="8" t="n">
        <f aca="false">SUM(E62:E64)</f>
        <v>2558.90410958904</v>
      </c>
      <c r="F252" s="8" t="n">
        <f aca="false">SUM(F62:F64)</f>
        <v>3110.95890410959</v>
      </c>
      <c r="G252" s="8" t="n">
        <f aca="false">SUM(G62:G64)</f>
        <v>3110.95890410959</v>
      </c>
      <c r="H252" s="8" t="n">
        <f aca="false">SUM(E252:G252)</f>
        <v>8780.82191780822</v>
      </c>
    </row>
    <row r="253" customFormat="false" ht="14.25" hidden="false" customHeight="false" outlineLevel="0" collapsed="false">
      <c r="C253" s="6" t="s">
        <v>230</v>
      </c>
      <c r="D253" s="2" t="s">
        <v>85</v>
      </c>
      <c r="E253" s="8" t="n">
        <f aca="false">E220</f>
        <v>45.3359589041096</v>
      </c>
      <c r="F253" s="8" t="n">
        <f aca="false">F220</f>
        <v>45.3359589041096</v>
      </c>
      <c r="G253" s="8" t="n">
        <f aca="false">G220</f>
        <v>45.3359589041096</v>
      </c>
      <c r="H253" s="8" t="n">
        <f aca="false">SUM(E253:G253)</f>
        <v>136.007876712329</v>
      </c>
    </row>
    <row r="254" customFormat="false" ht="14.25" hidden="false" customHeight="false" outlineLevel="0" collapsed="false">
      <c r="C254" s="6" t="s">
        <v>231</v>
      </c>
      <c r="D254" s="2" t="s">
        <v>85</v>
      </c>
      <c r="E254" s="8" t="n">
        <f aca="false">SUM(E251:E253)</f>
        <v>10104.2400684932</v>
      </c>
      <c r="F254" s="8" t="n">
        <f aca="false">SUM(F251:F253)</f>
        <v>10656.2948630137</v>
      </c>
      <c r="G254" s="8" t="n">
        <f aca="false">SUM(G251:G253)</f>
        <v>10656.2948630137</v>
      </c>
      <c r="H254" s="8" t="n">
        <f aca="false">SUM(E254:G254)</f>
        <v>31416.8297945206</v>
      </c>
    </row>
    <row r="255" customFormat="false" ht="14.25" hidden="false" customHeight="false" outlineLevel="0" collapsed="false">
      <c r="C255" s="6" t="s">
        <v>232</v>
      </c>
      <c r="D255" s="2" t="s">
        <v>85</v>
      </c>
      <c r="E255" s="8" t="n">
        <f aca="false">-MIN(E254,Sale_Costs)</f>
        <v>-250</v>
      </c>
      <c r="F255" s="8" t="n">
        <f aca="false">-MIN(F254,Sale_Costs)</f>
        <v>-250</v>
      </c>
      <c r="G255" s="8" t="n">
        <f aca="false">-MIN(G254,Sale_Costs)</f>
        <v>-250</v>
      </c>
      <c r="H255" s="8" t="n">
        <f aca="false">SUM(E255:G255)</f>
        <v>-750</v>
      </c>
    </row>
    <row r="256" customFormat="false" ht="14.25" hidden="false" customHeight="false" outlineLevel="0" collapsed="false">
      <c r="C256" s="6" t="s">
        <v>233</v>
      </c>
      <c r="D256" s="2" t="s">
        <v>85</v>
      </c>
      <c r="E256" s="8" t="n">
        <f aca="false">-MIN(SUM(E254:E255),E252)</f>
        <v>-2558.90410958904</v>
      </c>
      <c r="F256" s="8" t="n">
        <f aca="false">-MIN(SUM(F254:F255),F252)</f>
        <v>-3110.95890410959</v>
      </c>
      <c r="G256" s="8" t="n">
        <f aca="false">-MIN(SUM(G254:G255),G252)</f>
        <v>-3110.95890410959</v>
      </c>
      <c r="H256" s="8" t="n">
        <f aca="false">SUM(E256:G256)</f>
        <v>-8780.82191780822</v>
      </c>
    </row>
    <row r="257" customFormat="false" ht="14.25" hidden="false" customHeight="false" outlineLevel="0" collapsed="false">
      <c r="C257" s="6" t="s">
        <v>234</v>
      </c>
      <c r="D257" s="2" t="s">
        <v>85</v>
      </c>
      <c r="E257" s="8" t="n">
        <f aca="false">-MIN(SUM(E254:E256),E253)</f>
        <v>-45.3359589041096</v>
      </c>
      <c r="F257" s="8" t="n">
        <f aca="false">-MIN(SUM(F254:F256),F253)</f>
        <v>-45.3359589041096</v>
      </c>
      <c r="G257" s="8" t="n">
        <f aca="false">-MIN(SUM(G254:G256),G253)</f>
        <v>-45.3359589041096</v>
      </c>
      <c r="H257" s="8" t="n">
        <f aca="false">SUM(E257:G257)</f>
        <v>-136.007876712329</v>
      </c>
    </row>
    <row r="258" customFormat="false" ht="14.25" hidden="false" customHeight="false" outlineLevel="0" collapsed="false">
      <c r="C258" s="6" t="s">
        <v>235</v>
      </c>
      <c r="D258" s="2" t="s">
        <v>85</v>
      </c>
      <c r="E258" s="8" t="n">
        <f aca="false">-MIN(SUM(E254:E257),SUM(E242:E245))</f>
        <v>-566.199264799899</v>
      </c>
      <c r="F258" s="8" t="n">
        <f aca="false">-MIN(SUM(F254:F257),SUM(F242:F245))</f>
        <v>-0</v>
      </c>
      <c r="G258" s="8" t="n">
        <f aca="false">-MIN(SUM(G254:G257),SUM(G242:G245))</f>
        <v>-0</v>
      </c>
      <c r="H258" s="8" t="n">
        <f aca="false">SUM(E258:G258)</f>
        <v>-566.199264799899</v>
      </c>
    </row>
    <row r="259" customFormat="false" ht="14.25" hidden="false" customHeight="false" outlineLevel="0" collapsed="false">
      <c r="C259" s="6" t="s">
        <v>236</v>
      </c>
      <c r="D259" s="2" t="s">
        <v>85</v>
      </c>
      <c r="E259" s="8" t="n">
        <f aca="false">-MIN(SUM(E254:E258),SUM(E246:E247))</f>
        <v>-724.516967033827</v>
      </c>
      <c r="F259" s="8" t="n">
        <f aca="false">-MIN(SUM(F254:F258),SUM(F246:F247))</f>
        <v>-0</v>
      </c>
      <c r="G259" s="8" t="n">
        <f aca="false">-MIN(SUM(G254:G258),SUM(G246:G247))</f>
        <v>-0</v>
      </c>
      <c r="H259" s="8" t="n">
        <f aca="false">SUM(E259:G259)</f>
        <v>-724.516967033827</v>
      </c>
    </row>
    <row r="260" customFormat="false" ht="14.25" hidden="false" customHeight="false" outlineLevel="0" collapsed="false">
      <c r="C260" s="6" t="s">
        <v>237</v>
      </c>
      <c r="D260" s="2" t="s">
        <v>85</v>
      </c>
      <c r="E260" s="8" t="n">
        <f aca="false">-MIN(SUM(E254:E259),E249)</f>
        <v>-287.5</v>
      </c>
      <c r="F260" s="8" t="n">
        <f aca="false">-MIN(SUM(F254:F259),F249)</f>
        <v>-0</v>
      </c>
      <c r="G260" s="8" t="n">
        <f aca="false">-MIN(SUM(G254:G259),G249)</f>
        <v>-0</v>
      </c>
      <c r="H260" s="8" t="n">
        <f aca="false">SUM(E260:G260)</f>
        <v>-287.5</v>
      </c>
    </row>
    <row r="261" customFormat="false" ht="14.25" hidden="false" customHeight="false" outlineLevel="0" collapsed="false">
      <c r="C261" s="6" t="s">
        <v>238</v>
      </c>
      <c r="D261" s="2" t="s">
        <v>85</v>
      </c>
      <c r="E261" s="8" t="n">
        <f aca="false">SUM(E254:E260)</f>
        <v>5671.78376816627</v>
      </c>
      <c r="F261" s="8" t="n">
        <f aca="false">SUM(F254:F260)</f>
        <v>7250</v>
      </c>
      <c r="G261" s="8" t="n">
        <f aca="false">SUM(G254:G260)</f>
        <v>7250</v>
      </c>
      <c r="H261" s="8" t="n">
        <f aca="false">SUM(E261:G261)</f>
        <v>20171.7837681663</v>
      </c>
    </row>
    <row r="262" customFormat="false" ht="14.25" hidden="false" customHeight="false" outlineLevel="0" collapsed="false">
      <c r="C262" s="6" t="s">
        <v>239</v>
      </c>
      <c r="D262" s="2" t="s">
        <v>85</v>
      </c>
      <c r="E262" s="8" t="n">
        <f aca="false">E261*E19</f>
        <v>3970.24863771639</v>
      </c>
      <c r="F262" s="8" t="n">
        <f aca="false">F261*F19</f>
        <v>7250</v>
      </c>
      <c r="G262" s="8" t="n">
        <f aca="false">G261*G19</f>
        <v>7250</v>
      </c>
      <c r="H262" s="8" t="n">
        <f aca="false">SUM(E262:G262)</f>
        <v>18470.2486377164</v>
      </c>
    </row>
    <row r="263" customFormat="false" ht="14.25" hidden="false" customHeight="false" outlineLevel="0" collapsed="false">
      <c r="C263" s="6" t="s">
        <v>240</v>
      </c>
      <c r="D263" s="2" t="s">
        <v>85</v>
      </c>
      <c r="E263" s="8" t="n">
        <f aca="false">E261-E262</f>
        <v>1701.53513044988</v>
      </c>
      <c r="F263" s="8" t="n">
        <f aca="false">F261-F262</f>
        <v>0</v>
      </c>
      <c r="G263" s="8" t="n">
        <f aca="false">G261-G262</f>
        <v>0</v>
      </c>
      <c r="H263" s="8" t="n">
        <f aca="false">SUM(E263:G263)</f>
        <v>1701.53513044988</v>
      </c>
    </row>
    <row r="264" customFormat="false" ht="14.25" hidden="false" customHeight="false" outlineLevel="0" collapsed="false">
      <c r="C264" s="42" t="s">
        <v>241</v>
      </c>
      <c r="D264" s="42"/>
      <c r="E264" s="43" t="s">
        <v>5</v>
      </c>
      <c r="F264" s="43" t="s">
        <v>6</v>
      </c>
      <c r="G264" s="43" t="s">
        <v>7</v>
      </c>
      <c r="H264" s="43" t="s">
        <v>8</v>
      </c>
      <c r="J264" s="43" t="s">
        <v>242</v>
      </c>
      <c r="K264" s="43" t="s">
        <v>6</v>
      </c>
      <c r="L264" s="43" t="s">
        <v>7</v>
      </c>
    </row>
    <row r="265" customFormat="false" ht="14.25" hidden="false" customHeight="false" outlineLevel="0" collapsed="false">
      <c r="C265" s="6" t="s">
        <v>243</v>
      </c>
      <c r="D265" s="2" t="s">
        <v>85</v>
      </c>
      <c r="E265" s="8" t="n">
        <f aca="false">E98</f>
        <v>7500</v>
      </c>
      <c r="F265" s="8" t="n">
        <f aca="false">F98</f>
        <v>7500</v>
      </c>
      <c r="G265" s="8" t="n">
        <f aca="false">G98</f>
        <v>7500</v>
      </c>
      <c r="H265" s="8" t="n">
        <f aca="false">SUM(E265:G265)</f>
        <v>22500</v>
      </c>
      <c r="J265" s="24"/>
      <c r="K265" s="24"/>
      <c r="L265" s="24"/>
    </row>
    <row r="266" customFormat="false" ht="14.25" hidden="false" customHeight="false" outlineLevel="0" collapsed="false">
      <c r="C266" s="6" t="s">
        <v>244</v>
      </c>
      <c r="D266" s="2" t="s">
        <v>85</v>
      </c>
      <c r="E266" s="8" t="n">
        <f aca="false">0</f>
        <v>0</v>
      </c>
      <c r="F266" s="8" t="n">
        <f aca="false">0</f>
        <v>0</v>
      </c>
      <c r="G266" s="8" t="n">
        <f aca="false">0</f>
        <v>0</v>
      </c>
      <c r="H266" s="8" t="n">
        <f aca="false">SUM(E266:G266)</f>
        <v>0</v>
      </c>
      <c r="J266" s="24"/>
      <c r="K266" s="24"/>
      <c r="L266" s="24"/>
    </row>
    <row r="267" customFormat="false" ht="14.25" hidden="false" customHeight="false" outlineLevel="0" collapsed="false">
      <c r="C267" s="6" t="s">
        <v>245</v>
      </c>
      <c r="D267" s="2" t="s">
        <v>85</v>
      </c>
      <c r="E267" s="8" t="n">
        <f aca="false">0</f>
        <v>0</v>
      </c>
      <c r="F267" s="8" t="n">
        <f aca="false">0</f>
        <v>0</v>
      </c>
      <c r="G267" s="8" t="n">
        <f aca="false">0</f>
        <v>0</v>
      </c>
      <c r="H267" s="8" t="n">
        <f aca="false">SUM(E267:G267)</f>
        <v>0</v>
      </c>
      <c r="J267" s="24"/>
      <c r="K267" s="24"/>
      <c r="L267" s="24"/>
    </row>
    <row r="268" customFormat="false" ht="14.25" hidden="false" customHeight="false" outlineLevel="0" collapsed="false">
      <c r="C268" s="6" t="s">
        <v>246</v>
      </c>
      <c r="D268" s="2" t="s">
        <v>85</v>
      </c>
      <c r="E268" s="8" t="n">
        <f aca="false">0</f>
        <v>0</v>
      </c>
      <c r="F268" s="8" t="n">
        <f aca="false">0</f>
        <v>0</v>
      </c>
      <c r="G268" s="8" t="n">
        <f aca="false">0</f>
        <v>0</v>
      </c>
      <c r="H268" s="8" t="n">
        <f aca="false">SUM(E268:G268)</f>
        <v>0</v>
      </c>
      <c r="J268" s="24"/>
      <c r="K268" s="24"/>
      <c r="L268" s="24"/>
    </row>
    <row r="269" customFormat="false" ht="14.25" hidden="false" customHeight="false" outlineLevel="0" collapsed="false">
      <c r="C269" s="6" t="s">
        <v>247</v>
      </c>
      <c r="D269" s="2" t="s">
        <v>85</v>
      </c>
      <c r="E269" s="8" t="n">
        <f aca="false">E255</f>
        <v>-250</v>
      </c>
      <c r="F269" s="8" t="n">
        <f aca="false">F255</f>
        <v>-250</v>
      </c>
      <c r="G269" s="8" t="n">
        <f aca="false">G255</f>
        <v>-250</v>
      </c>
      <c r="H269" s="8" t="n">
        <f aca="false">SUM(E269:G269)</f>
        <v>-750</v>
      </c>
      <c r="J269" s="24"/>
      <c r="K269" s="24"/>
      <c r="L269" s="24"/>
    </row>
    <row r="270" customFormat="false" ht="14.25" hidden="false" customHeight="false" outlineLevel="0" collapsed="false">
      <c r="C270" s="6" t="s">
        <v>248</v>
      </c>
      <c r="D270" s="2" t="s">
        <v>85</v>
      </c>
      <c r="E270" s="8" t="n">
        <f aca="false">E260</f>
        <v>-287.5</v>
      </c>
      <c r="F270" s="8" t="n">
        <f aca="false">F260</f>
        <v>-0</v>
      </c>
      <c r="G270" s="8" t="n">
        <f aca="false">G260</f>
        <v>-0</v>
      </c>
      <c r="H270" s="8" t="n">
        <f aca="false">SUM(E270:G270)</f>
        <v>-287.5</v>
      </c>
      <c r="J270" s="24"/>
      <c r="K270" s="24"/>
      <c r="L270" s="24"/>
    </row>
    <row r="271" customFormat="false" ht="14.25" hidden="false" customHeight="false" outlineLevel="0" collapsed="false">
      <c r="C271" s="6" t="s">
        <v>249</v>
      </c>
      <c r="D271" s="2" t="s">
        <v>85</v>
      </c>
      <c r="E271" s="8" t="n">
        <f aca="false">-E263</f>
        <v>-1701.53513044988</v>
      </c>
      <c r="F271" s="8" t="n">
        <f aca="false">-F263</f>
        <v>-0</v>
      </c>
      <c r="G271" s="8" t="n">
        <f aca="false">-G263</f>
        <v>-0</v>
      </c>
      <c r="H271" s="8" t="n">
        <f aca="false">SUM(E271:G271)</f>
        <v>-1701.53513044988</v>
      </c>
      <c r="J271" s="24"/>
      <c r="K271" s="24"/>
      <c r="L271" s="24"/>
    </row>
    <row r="272" customFormat="false" ht="14.25" hidden="false" customHeight="false" outlineLevel="0" collapsed="false">
      <c r="C272" s="6" t="s">
        <v>250</v>
      </c>
      <c r="D272" s="68" t="s">
        <v>85</v>
      </c>
      <c r="E272" s="8" t="n">
        <f aca="false">-E258</f>
        <v>566.199264799899</v>
      </c>
      <c r="F272" s="8" t="n">
        <f aca="false">-F258</f>
        <v>0</v>
      </c>
      <c r="G272" s="8" t="n">
        <f aca="false">-G258</f>
        <v>0</v>
      </c>
      <c r="H272" s="8" t="n">
        <f aca="false">SUM(E272:G272)</f>
        <v>566.199264799899</v>
      </c>
      <c r="J272" s="24"/>
      <c r="K272" s="24"/>
      <c r="L272" s="24"/>
    </row>
    <row r="273" customFormat="false" ht="14.25" hidden="false" customHeight="false" outlineLevel="0" collapsed="false">
      <c r="C273" s="6" t="s">
        <v>251</v>
      </c>
      <c r="D273" s="68" t="s">
        <v>85</v>
      </c>
      <c r="E273" s="8" t="n">
        <f aca="false">-E259</f>
        <v>724.516967033827</v>
      </c>
      <c r="F273" s="8" t="n">
        <f aca="false">-F259</f>
        <v>0</v>
      </c>
      <c r="G273" s="8" t="n">
        <f aca="false">-G259</f>
        <v>0</v>
      </c>
      <c r="H273" s="8" t="n">
        <f aca="false">SUM(E273:G273)</f>
        <v>724.516967033827</v>
      </c>
      <c r="J273" s="24"/>
      <c r="K273" s="24"/>
      <c r="L273" s="24"/>
    </row>
    <row r="274" customFormat="false" ht="14.25" hidden="false" customHeight="false" outlineLevel="0" collapsed="false">
      <c r="C274" s="6" t="s">
        <v>29</v>
      </c>
      <c r="D274" s="68" t="s">
        <v>85</v>
      </c>
      <c r="E274" s="8" t="n">
        <f aca="false">E262</f>
        <v>3970.24863771639</v>
      </c>
      <c r="F274" s="8" t="n">
        <f aca="false">F262</f>
        <v>7250</v>
      </c>
      <c r="G274" s="8" t="n">
        <f aca="false">G262</f>
        <v>7250</v>
      </c>
      <c r="H274" s="8" t="n">
        <f aca="false">SUM(E274:G274)</f>
        <v>18470.2486377164</v>
      </c>
      <c r="J274" s="24"/>
      <c r="K274" s="24"/>
      <c r="L274" s="24"/>
    </row>
    <row r="275" customFormat="false" ht="14.25" hidden="false" customHeight="false" outlineLevel="0" collapsed="false">
      <c r="C275" s="44" t="s">
        <v>252</v>
      </c>
      <c r="D275" s="45" t="s">
        <v>85</v>
      </c>
      <c r="E275" s="69" t="n">
        <f aca="false">SUM(E272:E274)</f>
        <v>5260.96486955012</v>
      </c>
      <c r="F275" s="69" t="n">
        <f aca="false">SUM(F272:F274)</f>
        <v>7250</v>
      </c>
      <c r="G275" s="69" t="n">
        <f aca="false">SUM(G272:G274)</f>
        <v>7250</v>
      </c>
      <c r="H275" s="69" t="n">
        <f aca="false">SUM(E275:G275)</f>
        <v>19760.9648695501</v>
      </c>
    </row>
    <row r="276" customFormat="false" ht="14.25" hidden="false" customHeight="false" outlineLevel="0" collapsed="false">
      <c r="C276" s="6" t="s">
        <v>253</v>
      </c>
      <c r="D276" s="2" t="s">
        <v>85</v>
      </c>
      <c r="E276" s="8" t="n">
        <f aca="false">-E69</f>
        <v>-135</v>
      </c>
      <c r="F276" s="8" t="n">
        <f aca="false">-F69</f>
        <v>-135</v>
      </c>
      <c r="G276" s="8" t="n">
        <f aca="false">-G69</f>
        <v>-135</v>
      </c>
      <c r="H276" s="8" t="n">
        <f aca="false">SUM(E276:G276)</f>
        <v>-405</v>
      </c>
      <c r="J276" s="24"/>
      <c r="K276" s="24"/>
      <c r="L276" s="24"/>
    </row>
    <row r="277" customFormat="false" ht="14.25" hidden="false" customHeight="false" outlineLevel="0" collapsed="false">
      <c r="C277" s="6" t="s">
        <v>254</v>
      </c>
      <c r="D277" s="2" t="s">
        <v>85</v>
      </c>
      <c r="E277" s="8" t="n">
        <f aca="false">-E61</f>
        <v>-8.21917808219178</v>
      </c>
      <c r="F277" s="8" t="n">
        <f aca="false">-F61</f>
        <v>-8.21917808219178</v>
      </c>
      <c r="G277" s="8" t="n">
        <f aca="false">-G61</f>
        <v>-8.21917808219178</v>
      </c>
      <c r="H277" s="8" t="n">
        <f aca="false">SUM(E277:G277)</f>
        <v>-24.6575342465753</v>
      </c>
      <c r="J277" s="24"/>
      <c r="K277" s="24"/>
      <c r="L277" s="24"/>
    </row>
    <row r="278" customFormat="false" ht="14.25" hidden="false" customHeight="false" outlineLevel="0" collapsed="false">
      <c r="C278" s="6" t="s">
        <v>255</v>
      </c>
      <c r="D278" s="2" t="s">
        <v>85</v>
      </c>
      <c r="E278" s="8" t="n">
        <f aca="false">-E223</f>
        <v>-679.181008129718</v>
      </c>
      <c r="F278" s="8" t="n">
        <f aca="false">-F223</f>
        <v>-679.181008129718</v>
      </c>
      <c r="G278" s="8" t="n">
        <f aca="false">-G223</f>
        <v>-679.181008129718</v>
      </c>
      <c r="H278" s="8" t="n">
        <f aca="false">SUM(E278:G278)</f>
        <v>-2037.54302438915</v>
      </c>
      <c r="J278" s="24"/>
      <c r="K278" s="24"/>
      <c r="L278" s="24"/>
    </row>
    <row r="279" customFormat="false" ht="14.25" hidden="false" customHeight="false" outlineLevel="0" collapsed="false">
      <c r="C279" s="44" t="s">
        <v>256</v>
      </c>
      <c r="D279" s="45" t="s">
        <v>85</v>
      </c>
      <c r="E279" s="69" t="n">
        <f aca="false">E275+SUM(E276:E278)</f>
        <v>4438.56468333821</v>
      </c>
      <c r="F279" s="69" t="n">
        <f aca="false">F275+SUM(F276:F278)</f>
        <v>6427.59981378809</v>
      </c>
      <c r="G279" s="69" t="n">
        <f aca="false">G275+SUM(G276:G278)</f>
        <v>6427.59981378809</v>
      </c>
      <c r="H279" s="69" t="n">
        <f aca="false">SUM(E279:G279)</f>
        <v>17293.7643109144</v>
      </c>
    </row>
    <row r="280" customFormat="false" ht="14.25" hidden="false" customHeight="false" outlineLevel="0" collapsed="false">
      <c r="C280" s="1" t="s">
        <v>257</v>
      </c>
      <c r="D280" s="2" t="s">
        <v>85</v>
      </c>
      <c r="E280" s="32" t="n">
        <f aca="false">-MAX(0,E279)*CIT_Rate*(1-Share_Exempt)</f>
        <v>-0</v>
      </c>
      <c r="F280" s="32" t="n">
        <f aca="false">-MAX(0,F279)*CIT_Rate*(1-Share_Exempt)</f>
        <v>-0</v>
      </c>
      <c r="G280" s="32" t="n">
        <f aca="false">-MAX(0,G279)*CIT_Rate*(1-Share_Exempt)</f>
        <v>-0</v>
      </c>
      <c r="H280" s="32" t="n">
        <f aca="false">SUM(E280:G280)</f>
        <v>0</v>
      </c>
    </row>
    <row r="281" customFormat="false" ht="14.25" hidden="false" customHeight="false" outlineLevel="0" collapsed="false">
      <c r="C281" s="1" t="s">
        <v>258</v>
      </c>
      <c r="D281" s="2" t="s">
        <v>85</v>
      </c>
      <c r="E281" s="32" t="n">
        <f aca="false">-E248*CIT_Rate*E$21</f>
        <v>-193.607434775059</v>
      </c>
      <c r="F281" s="32" t="n">
        <f aca="false">-F248*CIT_Rate*F$21</f>
        <v>-0</v>
      </c>
      <c r="G281" s="32" t="n">
        <f aca="false">-G248*CIT_Rate*G$21</f>
        <v>-0</v>
      </c>
      <c r="H281" s="32" t="n">
        <f aca="false">SUM(E281:G281)</f>
        <v>-193.607434775059</v>
      </c>
    </row>
    <row r="282" customFormat="false" ht="14.25" hidden="false" customHeight="false" outlineLevel="0" collapsed="false">
      <c r="C282" s="44" t="s">
        <v>129</v>
      </c>
      <c r="D282" s="45" t="s">
        <v>85</v>
      </c>
      <c r="E282" s="69" t="n">
        <f aca="false">E279+E280+E281</f>
        <v>4244.95724856315</v>
      </c>
      <c r="F282" s="69" t="n">
        <f aca="false">F279+F280+F281</f>
        <v>6427.59981378809</v>
      </c>
      <c r="G282" s="69" t="n">
        <f aca="false">G279+G280+G281</f>
        <v>6427.59981378809</v>
      </c>
      <c r="H282" s="69" t="n">
        <f aca="false">SUM(E282:G282)</f>
        <v>17100.1568761393</v>
      </c>
    </row>
    <row r="283" customFormat="false" ht="14.25" hidden="false" customHeight="false" outlineLevel="0" collapsed="false">
      <c r="C283" s="6" t="s">
        <v>259</v>
      </c>
      <c r="D283" s="2" t="s">
        <v>3</v>
      </c>
      <c r="E283" s="47" t="n">
        <f aca="false">SUMIF(E287:E294,"&gt;0")/-SUMIF(E287:E294,"&lt;0")</f>
        <v>2.29531096158801</v>
      </c>
      <c r="F283" s="47" t="n">
        <f aca="false">SUMIF(F287:F294,"&gt;0")/-SUMIF(F287:F294,"&lt;0")</f>
        <v>2.61550451448626</v>
      </c>
      <c r="G283" s="47" t="n">
        <f aca="false">SUMIF(G287:G294,"&gt;0")/-SUMIF(G287:G294,"&lt;0")</f>
        <v>2.61550451448626</v>
      </c>
      <c r="H283" s="47" t="n">
        <f aca="false">SUMIF(H287:H294,"&gt;0")/-SUMIF(H287:H294,"&lt;0")</f>
        <v>2.51912492978549</v>
      </c>
    </row>
    <row r="284" customFormat="false" ht="14.25" hidden="false" customHeight="false" outlineLevel="0" collapsed="false">
      <c r="C284" s="6" t="s">
        <v>260</v>
      </c>
      <c r="D284" s="2" t="s">
        <v>12</v>
      </c>
      <c r="E284" s="48" t="n">
        <f aca="false">XIRR(E287:E294,J287:J294)</f>
        <v>0.669984944789679</v>
      </c>
      <c r="F284" s="48" t="n">
        <f aca="false">XIRR(F287:F294,K287:K294)</f>
        <v>0.795403064715325</v>
      </c>
      <c r="G284" s="48" t="n">
        <f aca="false">XIRR(G287:G294,L287:L294)</f>
        <v>0.795403064715325</v>
      </c>
      <c r="H284" s="49" t="n">
        <f aca="false">XIRR(H287:H294,J287:J294)</f>
        <v>0.758838225005592</v>
      </c>
    </row>
    <row r="285" customFormat="false" ht="14.25" hidden="false" customHeight="false" outlineLevel="0" collapsed="false">
      <c r="C285" s="70" t="s">
        <v>261</v>
      </c>
      <c r="D285" s="34" t="s">
        <v>85</v>
      </c>
      <c r="E285" s="8" t="n">
        <f aca="false">E279-E333</f>
        <v>-258.790782380967</v>
      </c>
      <c r="F285" s="8" t="n">
        <f aca="false">F279-F333</f>
        <v>21.9178082191811</v>
      </c>
      <c r="G285" s="8" t="n">
        <f aca="false">G279-G333</f>
        <v>21.9178082191811</v>
      </c>
      <c r="H285" s="8" t="n">
        <f aca="false">SUM(E285:G285)</f>
        <v>-214.955165942605</v>
      </c>
    </row>
    <row r="286" customFormat="false" ht="14.25" hidden="false" customHeight="false" outlineLevel="0" collapsed="false">
      <c r="C286" s="42" t="s">
        <v>262</v>
      </c>
      <c r="D286" s="42"/>
      <c r="E286" s="43"/>
      <c r="F286" s="43"/>
      <c r="G286" s="43"/>
      <c r="H286" s="43"/>
      <c r="J286" s="43" t="s">
        <v>242</v>
      </c>
      <c r="K286" s="43" t="s">
        <v>6</v>
      </c>
      <c r="L286" s="43" t="s">
        <v>7</v>
      </c>
      <c r="M286" s="43" t="s">
        <v>263</v>
      </c>
      <c r="N286" s="43" t="s">
        <v>264</v>
      </c>
      <c r="O286" s="43" t="s">
        <v>265</v>
      </c>
    </row>
    <row r="287" customFormat="false" ht="14.25" hidden="false" customHeight="false" outlineLevel="1" collapsed="false">
      <c r="C287" s="6" t="s">
        <v>82</v>
      </c>
      <c r="D287" s="2" t="s">
        <v>85</v>
      </c>
      <c r="E287" s="8" t="n">
        <f aca="false">-E69</f>
        <v>-135</v>
      </c>
      <c r="F287" s="8" t="n">
        <f aca="false">-F69</f>
        <v>-135</v>
      </c>
      <c r="G287" s="8" t="n">
        <f aca="false">-G69</f>
        <v>-135</v>
      </c>
      <c r="H287" s="8" t="n">
        <f aca="false">SUM(E287:G287)</f>
        <v>-405</v>
      </c>
      <c r="J287" s="24" t="n">
        <f aca="false">Inputs!E$20</f>
        <v>46234</v>
      </c>
      <c r="K287" s="24" t="n">
        <f aca="false">Inputs!F$20</f>
        <v>46234</v>
      </c>
      <c r="L287" s="24" t="n">
        <f aca="false">Inputs!G$20</f>
        <v>46234</v>
      </c>
    </row>
    <row r="288" customFormat="false" ht="14.25" hidden="false" customHeight="false" outlineLevel="1" collapsed="false">
      <c r="C288" s="6" t="s">
        <v>73</v>
      </c>
      <c r="D288" s="2" t="s">
        <v>85</v>
      </c>
      <c r="E288" s="8" t="n">
        <f aca="false">-E61</f>
        <v>-8.21917808219178</v>
      </c>
      <c r="F288" s="8" t="n">
        <f aca="false">-F61</f>
        <v>-8.21917808219178</v>
      </c>
      <c r="G288" s="8" t="n">
        <f aca="false">-G61</f>
        <v>-8.21917808219178</v>
      </c>
      <c r="H288" s="8" t="n">
        <f aca="false">SUM(E288:G288)</f>
        <v>-24.6575342465753</v>
      </c>
      <c r="J288" s="24" t="n">
        <f aca="false">Inputs!E$21</f>
        <v>46325</v>
      </c>
      <c r="K288" s="24" t="n">
        <f aca="false">Inputs!F$21</f>
        <v>46325</v>
      </c>
      <c r="L288" s="24" t="n">
        <f aca="false">Inputs!G$21</f>
        <v>46325</v>
      </c>
      <c r="M288" s="71" t="n">
        <f aca="false">1+Rate_Cash*(DATE(YEAR(J288)+1,1,1)-J288)/Days_In_Year</f>
        <v>1.02071232876712</v>
      </c>
      <c r="N288" s="71" t="n">
        <f aca="false">1+Rate_Cash*(DATE(YEAR(K288)+1,1,1)-K288)/Days_In_Year</f>
        <v>1.02071232876712</v>
      </c>
      <c r="O288" s="71" t="n">
        <f aca="false">1+Rate_Cash*(DATE(YEAR(L288)+1,1,1)-L288)/Days_In_Year</f>
        <v>1.02071232876712</v>
      </c>
    </row>
    <row r="289" customFormat="false" ht="14.25" hidden="false" customHeight="false" outlineLevel="1" collapsed="false">
      <c r="C289" s="6" t="s">
        <v>75</v>
      </c>
      <c r="D289" s="2" t="s">
        <v>85</v>
      </c>
      <c r="E289" s="8" t="n">
        <f aca="false">-E62</f>
        <v>-388.493150684932</v>
      </c>
      <c r="F289" s="8" t="n">
        <f aca="false">-F62</f>
        <v>-498.904109589041</v>
      </c>
      <c r="G289" s="8" t="n">
        <f aca="false">-G62</f>
        <v>-498.904109589041</v>
      </c>
      <c r="H289" s="8" t="n">
        <f aca="false">SUM(E289:G289)</f>
        <v>-1386.30136986301</v>
      </c>
      <c r="J289" s="24" t="n">
        <f aca="false">Inputs!E$21</f>
        <v>46325</v>
      </c>
      <c r="K289" s="24" t="n">
        <f aca="false">Inputs!F$21</f>
        <v>46325</v>
      </c>
      <c r="L289" s="24" t="n">
        <f aca="false">Inputs!G$21</f>
        <v>46325</v>
      </c>
      <c r="M289" s="71" t="n">
        <f aca="false">1+Rate_Cash*(DATE(YEAR(J289)+1,1,1)-J289)/Days_In_Year</f>
        <v>1.02071232876712</v>
      </c>
      <c r="N289" s="71" t="n">
        <f aca="false">1+Rate_Cash*(DATE(YEAR(K289)+1,1,1)-K289)/Days_In_Year</f>
        <v>1.02071232876712</v>
      </c>
      <c r="O289" s="71" t="n">
        <f aca="false">1+Rate_Cash*(DATE(YEAR(L289)+1,1,1)-L289)/Days_In_Year</f>
        <v>1.02071232876712</v>
      </c>
    </row>
    <row r="290" customFormat="false" ht="14.25" hidden="false" customHeight="false" outlineLevel="1" collapsed="false">
      <c r="C290" s="6" t="s">
        <v>266</v>
      </c>
      <c r="D290" s="2" t="s">
        <v>85</v>
      </c>
      <c r="E290" s="8" t="n">
        <f aca="false">-E63</f>
        <v>-1553.97260273973</v>
      </c>
      <c r="F290" s="8" t="n">
        <f aca="false">-F63</f>
        <v>-1995.61643835616</v>
      </c>
      <c r="G290" s="8" t="n">
        <f aca="false">-G63</f>
        <v>-1995.61643835616</v>
      </c>
      <c r="H290" s="8" t="n">
        <f aca="false">SUM(E290:G290)</f>
        <v>-5545.20547945205</v>
      </c>
      <c r="J290" s="24" t="n">
        <f aca="false">Inputs!E$22</f>
        <v>46402</v>
      </c>
      <c r="K290" s="24" t="n">
        <f aca="false">Inputs!F$22</f>
        <v>46402</v>
      </c>
      <c r="L290" s="24" t="n">
        <f aca="false">Inputs!G$22</f>
        <v>46402</v>
      </c>
      <c r="M290" s="71" t="n">
        <f aca="false">1+Rate_Cash*(DATE(YEAR(J290)+1,1,1)-J290)/Days_In_Year</f>
        <v>1.11539726027397</v>
      </c>
      <c r="N290" s="71" t="n">
        <f aca="false">1+Rate_Cash*(DATE(YEAR(K290)+1,1,1)-K290)/Days_In_Year</f>
        <v>1.11539726027397</v>
      </c>
      <c r="O290" s="71" t="n">
        <f aca="false">1+Rate_Cash*(DATE(YEAR(L290)+1,1,1)-L290)/Days_In_Year</f>
        <v>1.11539726027397</v>
      </c>
    </row>
    <row r="291" customFormat="false" ht="14.25" hidden="false" customHeight="false" outlineLevel="1" collapsed="false">
      <c r="C291" s="6" t="s">
        <v>77</v>
      </c>
      <c r="D291" s="2" t="s">
        <v>85</v>
      </c>
      <c r="E291" s="8" t="n">
        <f aca="false">-E64</f>
        <v>-616.438356164384</v>
      </c>
      <c r="F291" s="8" t="n">
        <f aca="false">-F64</f>
        <v>-616.438356164384</v>
      </c>
      <c r="G291" s="8" t="n">
        <f aca="false">-G64</f>
        <v>-616.438356164384</v>
      </c>
      <c r="H291" s="8" t="n">
        <f aca="false">SUM(E291:G291)</f>
        <v>-1849.31506849315</v>
      </c>
      <c r="J291" s="24" t="n">
        <f aca="false">Inputs!E$23</f>
        <v>46402</v>
      </c>
      <c r="K291" s="24" t="n">
        <f aca="false">Inputs!F$23</f>
        <v>46402</v>
      </c>
      <c r="L291" s="24" t="n">
        <f aca="false">Inputs!G$23</f>
        <v>46402</v>
      </c>
      <c r="M291" s="71" t="n">
        <f aca="false">1+Rate_Cash*(DATE(YEAR(J291)+1,1,1)-J291)/Days_In_Year</f>
        <v>1.11539726027397</v>
      </c>
      <c r="N291" s="71" t="n">
        <f aca="false">1+Rate_Cash*(DATE(YEAR(K291)+1,1,1)-K291)/Days_In_Year</f>
        <v>1.11539726027397</v>
      </c>
      <c r="O291" s="71" t="n">
        <f aca="false">1+Rate_Cash*(DATE(YEAR(L291)+1,1,1)-L291)/Days_In_Year</f>
        <v>1.11539726027397</v>
      </c>
    </row>
    <row r="292" customFormat="false" ht="14.25" hidden="false" customHeight="false" outlineLevel="1" collapsed="false">
      <c r="C292" s="6" t="s">
        <v>116</v>
      </c>
      <c r="D292" s="2" t="s">
        <v>85</v>
      </c>
      <c r="E292" s="8" t="n">
        <f aca="false">-E220</f>
        <v>-45.3359589041096</v>
      </c>
      <c r="F292" s="8" t="n">
        <f aca="false">-F220</f>
        <v>-45.3359589041096</v>
      </c>
      <c r="G292" s="8" t="n">
        <f aca="false">-G220</f>
        <v>-45.3359589041096</v>
      </c>
      <c r="H292" s="8" t="n">
        <f aca="false">SUM(E292:G292)</f>
        <v>-136.007876712329</v>
      </c>
      <c r="J292" s="24" t="n">
        <f aca="false">E219</f>
        <v>46431</v>
      </c>
      <c r="K292" s="24" t="n">
        <f aca="false">F219</f>
        <v>46431</v>
      </c>
      <c r="L292" s="24" t="n">
        <f aca="false">G219</f>
        <v>46431</v>
      </c>
      <c r="M292" s="71" t="n">
        <f aca="false">1+Rate_Devex*(DATE(YEAR(J292)+1,1,1)-J292)/Days_In_Year</f>
        <v>1.17643835616438</v>
      </c>
      <c r="N292" s="71" t="n">
        <f aca="false">1+Rate_Devex*(DATE(YEAR(K292)+1,1,1)-K292)/Days_In_Year</f>
        <v>1.17643835616438</v>
      </c>
      <c r="O292" s="71" t="n">
        <f aca="false">1+Rate_Devex*(DATE(YEAR(L292)+1,1,1)-L292)/Days_In_Year</f>
        <v>1.17643835616438</v>
      </c>
    </row>
    <row r="293" customFormat="false" ht="14.25" hidden="false" customHeight="false" outlineLevel="1" collapsed="false">
      <c r="C293" s="6" t="s">
        <v>267</v>
      </c>
      <c r="D293" s="2" t="s">
        <v>85</v>
      </c>
      <c r="E293" s="8" t="n">
        <f aca="false">-E223</f>
        <v>-679.181008129718</v>
      </c>
      <c r="F293" s="8" t="n">
        <f aca="false">-F223</f>
        <v>-679.181008129718</v>
      </c>
      <c r="G293" s="8" t="n">
        <f aca="false">-G223</f>
        <v>-679.181008129718</v>
      </c>
      <c r="H293" s="8" t="n">
        <f aca="false">SUM(E293:G293)</f>
        <v>-2037.54302438915</v>
      </c>
      <c r="J293" s="24" t="n">
        <f aca="false">E222</f>
        <v>46701.5587560279</v>
      </c>
      <c r="K293" s="24" t="n">
        <f aca="false">F222</f>
        <v>46701.5587560279</v>
      </c>
      <c r="L293" s="24" t="n">
        <f aca="false">G222</f>
        <v>46701.5587560279</v>
      </c>
      <c r="M293" s="71" t="n">
        <f aca="false">1+Rate_Devex*(DATE(YEAR(J293)+1,1,1)-J293)/Days_In_Year</f>
        <v>1.02818698299841</v>
      </c>
      <c r="N293" s="71" t="n">
        <f aca="false">1+Rate_Devex*(DATE(YEAR(K293)+1,1,1)-K293)/Days_In_Year</f>
        <v>1.02818698299841</v>
      </c>
      <c r="O293" s="71" t="n">
        <f aca="false">1+Rate_Devex*(DATE(YEAR(L293)+1,1,1)-L293)/Days_In_Year</f>
        <v>1.02818698299841</v>
      </c>
    </row>
    <row r="294" customFormat="false" ht="14.25" hidden="false" customHeight="false" outlineLevel="1" collapsed="false">
      <c r="C294" s="6" t="s">
        <v>268</v>
      </c>
      <c r="D294" s="2" t="s">
        <v>85</v>
      </c>
      <c r="E294" s="8" t="n">
        <f aca="false">E275-E256-E257</f>
        <v>7865.20493804327</v>
      </c>
      <c r="F294" s="8" t="n">
        <f aca="false">F275-F256-F257</f>
        <v>10406.2948630137</v>
      </c>
      <c r="G294" s="8" t="n">
        <f aca="false">G275-G256-G257</f>
        <v>10406.2948630137</v>
      </c>
      <c r="H294" s="8" t="n">
        <f aca="false">SUM(E294:G294)</f>
        <v>28677.7946640707</v>
      </c>
      <c r="J294" s="24" t="n">
        <f aca="false">Sale_Date_A</f>
        <v>47026</v>
      </c>
      <c r="K294" s="24" t="n">
        <f aca="false">Sale_Date_A</f>
        <v>47026</v>
      </c>
      <c r="L294" s="24" t="n">
        <f aca="false">Sale_Date_A</f>
        <v>47026</v>
      </c>
    </row>
    <row r="295" customFormat="false" ht="14.25" hidden="false" customHeight="false" outlineLevel="0" collapsed="false">
      <c r="C295" s="6" t="s">
        <v>269</v>
      </c>
      <c r="D295" s="2" t="s">
        <v>85</v>
      </c>
      <c r="E295" s="8" t="n">
        <f aca="false">-J$417*CIT_Rate*E$21</f>
        <v>-1.23252542690937</v>
      </c>
      <c r="F295" s="8" t="n">
        <f aca="false">-J$474*CIT_Rate*F$21</f>
        <v>-0</v>
      </c>
      <c r="G295" s="8" t="n">
        <f aca="false">-J$531*CIT_Rate*G$21</f>
        <v>-0</v>
      </c>
      <c r="H295" s="8" t="n">
        <f aca="false">SUM(E295:G295)</f>
        <v>-1.23252542690937</v>
      </c>
      <c r="J295" s="24" t="n">
        <f aca="false">J$360</f>
        <v>46387</v>
      </c>
      <c r="K295" s="24" t="n">
        <f aca="false">J$360</f>
        <v>46387</v>
      </c>
      <c r="L295" s="24" t="n">
        <f aca="false">J$360</f>
        <v>46387</v>
      </c>
    </row>
    <row r="296" customFormat="false" ht="14.25" hidden="false" customHeight="false" outlineLevel="0" collapsed="false">
      <c r="C296" s="6" t="s">
        <v>270</v>
      </c>
      <c r="D296" s="2" t="s">
        <v>85</v>
      </c>
      <c r="E296" s="8" t="n">
        <f aca="false">-K$417*CIT_Rate*E$21</f>
        <v>-48.9291065569347</v>
      </c>
      <c r="F296" s="8" t="n">
        <f aca="false">-K$474*CIT_Rate*F$21</f>
        <v>-0</v>
      </c>
      <c r="G296" s="8" t="n">
        <f aca="false">-K$531*CIT_Rate*G$21</f>
        <v>-0</v>
      </c>
      <c r="H296" s="8" t="n">
        <f aca="false">SUM(E296:G296)</f>
        <v>-48.9291065569347</v>
      </c>
      <c r="J296" s="24" t="n">
        <f aca="false">K$360</f>
        <v>46752</v>
      </c>
      <c r="K296" s="24" t="n">
        <f aca="false">K$360</f>
        <v>46752</v>
      </c>
      <c r="L296" s="24" t="n">
        <f aca="false">K$360</f>
        <v>46752</v>
      </c>
    </row>
    <row r="297" customFormat="false" ht="14.25" hidden="false" customHeight="false" outlineLevel="0" collapsed="false">
      <c r="C297" s="6" t="s">
        <v>271</v>
      </c>
      <c r="D297" s="2" t="s">
        <v>85</v>
      </c>
      <c r="E297" s="8" t="n">
        <f aca="false">-L$417*CIT_Rate*E$21</f>
        <v>0</v>
      </c>
      <c r="F297" s="8" t="n">
        <f aca="false">-L$474*CIT_Rate*F$21</f>
        <v>-0</v>
      </c>
      <c r="G297" s="8" t="n">
        <f aca="false">-L$531*CIT_Rate*G$21</f>
        <v>-0</v>
      </c>
      <c r="H297" s="8" t="n">
        <f aca="false">SUM(E297:G297)</f>
        <v>0</v>
      </c>
      <c r="J297" s="24" t="n">
        <f aca="false">L$360</f>
        <v>47118</v>
      </c>
      <c r="K297" s="24" t="n">
        <f aca="false">L$360</f>
        <v>47118</v>
      </c>
      <c r="L297" s="24" t="n">
        <f aca="false">L$360</f>
        <v>47118</v>
      </c>
    </row>
    <row r="298" customFormat="false" ht="14.25" hidden="false" customHeight="false" outlineLevel="0" collapsed="false">
      <c r="C298" s="6" t="s">
        <v>272</v>
      </c>
      <c r="D298" s="2" t="s">
        <v>85</v>
      </c>
      <c r="E298" s="8" t="n">
        <f aca="false">-E248*CIT_Rate*E$21-SUM(E295:E297)</f>
        <v>-143.445802791215</v>
      </c>
      <c r="F298" s="8" t="n">
        <f aca="false">-F248*CIT_Rate*F$21-SUM(F295:F297)</f>
        <v>-0</v>
      </c>
      <c r="G298" s="8" t="n">
        <f aca="false">-G248*CIT_Rate*G$21-SUM(G295:G297)</f>
        <v>-0</v>
      </c>
      <c r="H298" s="8" t="n">
        <f aca="false">SUM(E298:G298)</f>
        <v>-143.445802791215</v>
      </c>
      <c r="J298" s="24" t="n">
        <f aca="false">Sale_Date_A</f>
        <v>47026</v>
      </c>
      <c r="K298" s="24" t="n">
        <f aca="false">Sale_Date_A</f>
        <v>47026</v>
      </c>
      <c r="L298" s="24" t="n">
        <f aca="false">Sale_Date_A</f>
        <v>47026</v>
      </c>
    </row>
    <row r="299" customFormat="false" ht="14.25" hidden="false" customHeight="false" outlineLevel="0" collapsed="false">
      <c r="C299" s="6" t="s">
        <v>257</v>
      </c>
      <c r="D299" s="2" t="s">
        <v>85</v>
      </c>
      <c r="E299" s="8" t="n">
        <f aca="false">E280</f>
        <v>-0</v>
      </c>
      <c r="F299" s="8" t="n">
        <f aca="false">F280</f>
        <v>-0</v>
      </c>
      <c r="G299" s="8" t="n">
        <f aca="false">G280</f>
        <v>-0</v>
      </c>
      <c r="H299" s="8" t="n">
        <f aca="false">SUM(E299:G299)</f>
        <v>0</v>
      </c>
      <c r="J299" s="24" t="n">
        <f aca="false">Sale_Date_A</f>
        <v>47026</v>
      </c>
      <c r="K299" s="24" t="n">
        <f aca="false">Sale_Date_A</f>
        <v>47026</v>
      </c>
      <c r="L299" s="24" t="n">
        <f aca="false">Sale_Date_A</f>
        <v>47026</v>
      </c>
    </row>
    <row r="300" customFormat="false" ht="14.25" hidden="false" customHeight="false" outlineLevel="0" collapsed="false">
      <c r="C300" s="6" t="s">
        <v>273</v>
      </c>
      <c r="D300" s="2" t="s">
        <v>3</v>
      </c>
      <c r="E300" s="47" t="n">
        <f aca="false">SUMIF(E287:E299,"&gt;0")/-SUMIF(E287:E299,"&lt;0")</f>
        <v>2.17255989442334</v>
      </c>
      <c r="F300" s="47" t="n">
        <f aca="false">SUMIF(F287:F299,"&gt;0")/-SUMIF(F287:F299,"&lt;0")</f>
        <v>2.61550451448626</v>
      </c>
      <c r="G300" s="47" t="n">
        <f aca="false">SUMIF(G287:G299,"&gt;0")/-SUMIF(G287:G299,"&lt;0")</f>
        <v>2.61550451448626</v>
      </c>
      <c r="H300" s="47" t="n">
        <f aca="false">SUMIF(H287:H299,"&gt;0")/-SUMIF(H287:H299,"&lt;0")</f>
        <v>2.47699877897068</v>
      </c>
      <c r="J300" s="24"/>
      <c r="K300" s="24"/>
      <c r="L300" s="24"/>
    </row>
    <row r="301" customFormat="false" ht="14.25" hidden="false" customHeight="false" outlineLevel="0" collapsed="false">
      <c r="C301" s="6" t="s">
        <v>274</v>
      </c>
      <c r="D301" s="2" t="s">
        <v>12</v>
      </c>
      <c r="E301" s="48" t="n">
        <f aca="false">XIRR(E287:E299,J287:J299)</f>
        <v>0.641832928036373</v>
      </c>
      <c r="F301" s="48" t="n">
        <f aca="false">XIRR(F287:F299,K287:K299)</f>
        <v>0.795403064715325</v>
      </c>
      <c r="G301" s="48" t="n">
        <f aca="false">XIRR(G287:G299,L287:L299)</f>
        <v>0.795403064715325</v>
      </c>
      <c r="H301" s="49" t="n">
        <f aca="false">XIRR(H287:H299,J287:J299)</f>
        <v>0.750676749529129</v>
      </c>
      <c r="J301" s="24"/>
      <c r="K301" s="24"/>
      <c r="L301" s="24"/>
    </row>
    <row r="303" customFormat="false" ht="14.25" hidden="false" customHeight="false" outlineLevel="0" collapsed="false">
      <c r="B303" s="4" t="s">
        <v>3</v>
      </c>
      <c r="C303" s="4" t="s">
        <v>275</v>
      </c>
      <c r="D303" s="4"/>
      <c r="E303" s="5" t="s">
        <v>5</v>
      </c>
      <c r="F303" s="5" t="s">
        <v>6</v>
      </c>
      <c r="G303" s="5" t="s">
        <v>7</v>
      </c>
      <c r="H303" s="5" t="s">
        <v>8</v>
      </c>
    </row>
    <row r="304" customFormat="false" ht="14.25" hidden="false" customHeight="false" outlineLevel="0" collapsed="false">
      <c r="C304" s="6" t="s">
        <v>28</v>
      </c>
      <c r="D304" s="2" t="s">
        <v>85</v>
      </c>
      <c r="E304" s="8" t="n">
        <f aca="false">E98</f>
        <v>7500</v>
      </c>
      <c r="F304" s="8" t="n">
        <f aca="false">F98</f>
        <v>7500</v>
      </c>
      <c r="G304" s="8" t="n">
        <f aca="false">G98</f>
        <v>7500</v>
      </c>
      <c r="H304" s="8" t="n">
        <f aca="false">SUM(E304:G304)</f>
        <v>22500</v>
      </c>
    </row>
    <row r="305" customFormat="false" ht="14.25" hidden="false" customHeight="false" outlineLevel="0" collapsed="false">
      <c r="C305" s="6" t="s">
        <v>276</v>
      </c>
      <c r="D305" s="2" t="s">
        <v>85</v>
      </c>
      <c r="E305" s="8" t="n">
        <f aca="false">SUM(E62:E66)</f>
        <v>12648.5978136986</v>
      </c>
      <c r="F305" s="8" t="n">
        <f aca="false">SUM(F62:F66)</f>
        <v>6470.77808219178</v>
      </c>
      <c r="G305" s="8" t="n">
        <f aca="false">SUM(G62:G66)</f>
        <v>6470.77808219178</v>
      </c>
      <c r="H305" s="8" t="n">
        <f aca="false">SUM(E305:G305)</f>
        <v>25590.1539780822</v>
      </c>
    </row>
    <row r="306" customFormat="false" ht="14.25" hidden="false" customHeight="false" outlineLevel="0" collapsed="false">
      <c r="C306" s="1" t="s">
        <v>230</v>
      </c>
      <c r="D306" s="2" t="s">
        <v>85</v>
      </c>
      <c r="E306" s="15" t="n">
        <f aca="false">E68</f>
        <v>107.801712328767</v>
      </c>
      <c r="F306" s="15" t="n">
        <f aca="false">F68</f>
        <v>107.801712328767</v>
      </c>
      <c r="G306" s="15" t="n">
        <f aca="false">G68</f>
        <v>107.801712328767</v>
      </c>
      <c r="H306" s="15" t="n">
        <f aca="false">SUM(E306:G306)</f>
        <v>323.405136986301</v>
      </c>
    </row>
    <row r="307" customFormat="false" ht="14.25" hidden="false" customHeight="false" outlineLevel="0" collapsed="false">
      <c r="C307" s="6" t="s">
        <v>231</v>
      </c>
      <c r="D307" s="2" t="s">
        <v>85</v>
      </c>
      <c r="E307" s="8" t="n">
        <f aca="false">SUM(E304:E306)</f>
        <v>20256.3995260274</v>
      </c>
      <c r="F307" s="8" t="n">
        <f aca="false">SUM(F304:F306)</f>
        <v>14078.5797945205</v>
      </c>
      <c r="G307" s="8" t="n">
        <f aca="false">SUM(G304:G306)</f>
        <v>14078.5797945205</v>
      </c>
      <c r="H307" s="8" t="n">
        <f aca="false">SUM(E307:G307)</f>
        <v>48413.5591150685</v>
      </c>
    </row>
    <row r="308" customFormat="false" ht="14.25" hidden="false" customHeight="false" outlineLevel="0" collapsed="false">
      <c r="C308" s="6" t="s">
        <v>232</v>
      </c>
      <c r="D308" s="2" t="s">
        <v>85</v>
      </c>
      <c r="E308" s="8" t="n">
        <f aca="false">-MIN(E307,Sale_Costs)</f>
        <v>-250</v>
      </c>
      <c r="F308" s="8" t="n">
        <f aca="false">-MIN(F307,Sale_Costs)</f>
        <v>-250</v>
      </c>
      <c r="G308" s="8" t="n">
        <f aca="false">-MIN(G307,Sale_Costs)</f>
        <v>-250</v>
      </c>
      <c r="H308" s="8" t="n">
        <f aca="false">SUM(E308:G308)</f>
        <v>-750</v>
      </c>
    </row>
    <row r="309" customFormat="false" ht="14.25" hidden="false" customHeight="false" outlineLevel="0" collapsed="false">
      <c r="C309" s="6" t="s">
        <v>277</v>
      </c>
      <c r="D309" s="2" t="s">
        <v>85</v>
      </c>
      <c r="E309" s="8" t="n">
        <f aca="false">-MIN(SUM(E307:E308),E305)</f>
        <v>-12648.5978136986</v>
      </c>
      <c r="F309" s="8" t="n">
        <f aca="false">-MIN(SUM(F307:F308),F305)</f>
        <v>-6470.77808219178</v>
      </c>
      <c r="G309" s="8" t="n">
        <f aca="false">-MIN(SUM(G307:G308),G305)</f>
        <v>-6470.77808219178</v>
      </c>
      <c r="H309" s="8" t="n">
        <f aca="false">SUM(E309:G309)</f>
        <v>-25590.1539780822</v>
      </c>
    </row>
    <row r="310" customFormat="false" ht="14.25" hidden="false" customHeight="false" outlineLevel="0" collapsed="false">
      <c r="C310" s="6" t="s">
        <v>234</v>
      </c>
      <c r="D310" s="2" t="s">
        <v>85</v>
      </c>
      <c r="E310" s="8" t="n">
        <f aca="false">-MIN(SUM(E307:E309),E306)</f>
        <v>-107.801712328767</v>
      </c>
      <c r="F310" s="8" t="n">
        <f aca="false">-MIN(SUM(F307:F309),F306)</f>
        <v>-107.801712328767</v>
      </c>
      <c r="G310" s="8" t="n">
        <f aca="false">-MIN(SUM(G307:G309),G306)</f>
        <v>-107.801712328767</v>
      </c>
      <c r="H310" s="8" t="n">
        <f aca="false">SUM(E310:G310)</f>
        <v>-323.405136986301</v>
      </c>
    </row>
    <row r="311" customFormat="false" ht="14.25" hidden="false" customHeight="false" outlineLevel="0" collapsed="false">
      <c r="C311" s="6" t="s">
        <v>235</v>
      </c>
      <c r="D311" s="2" t="s">
        <v>85</v>
      </c>
      <c r="E311" s="8" t="n">
        <f aca="false">-MIN(SUM(E307:E310),SUM(E205:E210))</f>
        <v>-1767.51100515654</v>
      </c>
      <c r="F311" s="8" t="n">
        <f aca="false">-MIN(SUM(F307:F310),SUM(F205:F210))</f>
        <v>-0</v>
      </c>
      <c r="G311" s="8" t="n">
        <f aca="false">-MIN(SUM(G307:G310),SUM(G205:G210))</f>
        <v>-0</v>
      </c>
      <c r="H311" s="8" t="n">
        <f aca="false">SUM(E311:G311)</f>
        <v>-1767.51100515654</v>
      </c>
      <c r="N311" s="72"/>
    </row>
    <row r="312" customFormat="false" ht="14.25" hidden="false" customHeight="false" outlineLevel="0" collapsed="false">
      <c r="C312" s="6" t="s">
        <v>236</v>
      </c>
      <c r="D312" s="2" t="s">
        <v>85</v>
      </c>
      <c r="E312" s="8" t="n">
        <f aca="false">-MIN(SUM(E307:E311),SUM(E211:E212))</f>
        <v>-808.900528677663</v>
      </c>
      <c r="F312" s="8" t="n">
        <f aca="false">-MIN(SUM(F307:F311),SUM(F211:F212))</f>
        <v>-0</v>
      </c>
      <c r="G312" s="8" t="n">
        <f aca="false">-MIN(SUM(G307:G311),SUM(G211:G212))</f>
        <v>-0</v>
      </c>
      <c r="H312" s="8" t="n">
        <f aca="false">SUM(E312:G312)</f>
        <v>-808.900528677663</v>
      </c>
      <c r="N312" s="72"/>
    </row>
    <row r="313" customFormat="false" ht="14.25" hidden="false" customHeight="false" outlineLevel="0" collapsed="false">
      <c r="C313" s="6" t="s">
        <v>237</v>
      </c>
      <c r="D313" s="2" t="s">
        <v>85</v>
      </c>
      <c r="E313" s="8" t="n">
        <f aca="false">-MIN(SUM(E307:E312),E214)</f>
        <v>-437.5</v>
      </c>
      <c r="F313" s="8" t="n">
        <f aca="false">-MIN(SUM(F307:F312),F214)</f>
        <v>-0</v>
      </c>
      <c r="G313" s="8" t="n">
        <f aca="false">-MIN(SUM(G307:G312),G214)</f>
        <v>-0</v>
      </c>
      <c r="H313" s="8" t="n">
        <f aca="false">SUM(E313:G313)</f>
        <v>-437.5</v>
      </c>
    </row>
    <row r="314" customFormat="false" ht="14.25" hidden="false" customHeight="false" outlineLevel="0" collapsed="false">
      <c r="C314" s="1" t="s">
        <v>238</v>
      </c>
      <c r="D314" s="2" t="s">
        <v>85</v>
      </c>
      <c r="E314" s="32" t="n">
        <f aca="false">SUM(E307:E313)</f>
        <v>4236.08846616579</v>
      </c>
      <c r="F314" s="32" t="n">
        <f aca="false">SUM(F307:F313)</f>
        <v>7250</v>
      </c>
      <c r="G314" s="32" t="n">
        <f aca="false">SUM(G307:G313)</f>
        <v>7250</v>
      </c>
      <c r="H314" s="32" t="n">
        <f aca="false">SUM(E314:G314)</f>
        <v>18736.0884661658</v>
      </c>
    </row>
    <row r="315" customFormat="false" ht="14.25" hidden="false" customHeight="false" outlineLevel="0" collapsed="false">
      <c r="C315" s="6" t="s">
        <v>239</v>
      </c>
      <c r="D315" s="2" t="s">
        <v>85</v>
      </c>
      <c r="E315" s="8" t="n">
        <f aca="false">E314*E19</f>
        <v>2965.26192631606</v>
      </c>
      <c r="F315" s="8" t="n">
        <f aca="false">F314*F19</f>
        <v>7250</v>
      </c>
      <c r="G315" s="8" t="n">
        <f aca="false">G314*G19</f>
        <v>7250</v>
      </c>
      <c r="H315" s="8" t="n">
        <f aca="false">SUM(E315:G315)</f>
        <v>17465.2619263161</v>
      </c>
    </row>
    <row r="316" customFormat="false" ht="14.25" hidden="false" customHeight="false" outlineLevel="0" collapsed="false">
      <c r="C316" s="6" t="s">
        <v>240</v>
      </c>
      <c r="D316" s="2" t="s">
        <v>85</v>
      </c>
      <c r="E316" s="8" t="n">
        <f aca="false">E314-E315</f>
        <v>1270.82653984974</v>
      </c>
      <c r="F316" s="8" t="n">
        <f aca="false">F314-F315</f>
        <v>0</v>
      </c>
      <c r="G316" s="8" t="n">
        <f aca="false">G314-G315</f>
        <v>0</v>
      </c>
      <c r="H316" s="8" t="n">
        <f aca="false">SUM(E316:G316)</f>
        <v>1270.82653984974</v>
      </c>
    </row>
    <row r="318" customFormat="false" ht="14.25" hidden="false" customHeight="false" outlineLevel="0" collapsed="false">
      <c r="C318" s="42" t="s">
        <v>278</v>
      </c>
      <c r="D318" s="42"/>
      <c r="E318" s="43" t="s">
        <v>5</v>
      </c>
      <c r="F318" s="43" t="s">
        <v>6</v>
      </c>
      <c r="G318" s="43" t="s">
        <v>7</v>
      </c>
      <c r="H318" s="43" t="s">
        <v>8</v>
      </c>
      <c r="J318" s="43"/>
      <c r="K318" s="43"/>
      <c r="L318" s="43"/>
    </row>
    <row r="319" customFormat="false" ht="14.25" hidden="false" customHeight="false" outlineLevel="0" collapsed="false">
      <c r="C319" s="6" t="s">
        <v>243</v>
      </c>
      <c r="D319" s="2" t="s">
        <v>85</v>
      </c>
      <c r="E319" s="8" t="n">
        <f aca="false">E98</f>
        <v>7500</v>
      </c>
      <c r="F319" s="8" t="n">
        <f aca="false">F98</f>
        <v>7500</v>
      </c>
      <c r="G319" s="8" t="n">
        <f aca="false">G98</f>
        <v>7500</v>
      </c>
      <c r="H319" s="8" t="n">
        <f aca="false">SUM(E319:G319)</f>
        <v>22500</v>
      </c>
      <c r="J319" s="24"/>
      <c r="K319" s="24"/>
      <c r="L319" s="24"/>
    </row>
    <row r="320" customFormat="false" ht="14.25" hidden="false" customHeight="false" outlineLevel="0" collapsed="false">
      <c r="C320" s="6" t="s">
        <v>244</v>
      </c>
      <c r="D320" s="2" t="s">
        <v>85</v>
      </c>
      <c r="E320" s="8" t="n">
        <f aca="false">0</f>
        <v>0</v>
      </c>
      <c r="F320" s="8" t="n">
        <f aca="false">0</f>
        <v>0</v>
      </c>
      <c r="G320" s="8" t="n">
        <f aca="false">0</f>
        <v>0</v>
      </c>
      <c r="H320" s="8" t="n">
        <f aca="false">SUM(E320:G320)</f>
        <v>0</v>
      </c>
      <c r="J320" s="24"/>
      <c r="K320" s="24"/>
      <c r="L320" s="24"/>
    </row>
    <row r="321" customFormat="false" ht="14.25" hidden="false" customHeight="false" outlineLevel="0" collapsed="false">
      <c r="C321" s="6" t="s">
        <v>245</v>
      </c>
      <c r="D321" s="2" t="s">
        <v>85</v>
      </c>
      <c r="E321" s="8" t="n">
        <f aca="false">0</f>
        <v>0</v>
      </c>
      <c r="F321" s="8" t="n">
        <f aca="false">0</f>
        <v>0</v>
      </c>
      <c r="G321" s="8" t="n">
        <f aca="false">0</f>
        <v>0</v>
      </c>
      <c r="H321" s="8" t="n">
        <f aca="false">SUM(E321:G321)</f>
        <v>0</v>
      </c>
      <c r="J321" s="24"/>
      <c r="K321" s="24"/>
      <c r="L321" s="24"/>
    </row>
    <row r="322" customFormat="false" ht="14.25" hidden="false" customHeight="false" outlineLevel="0" collapsed="false">
      <c r="C322" s="6" t="s">
        <v>246</v>
      </c>
      <c r="D322" s="2" t="s">
        <v>85</v>
      </c>
      <c r="E322" s="8" t="n">
        <f aca="false">0</f>
        <v>0</v>
      </c>
      <c r="F322" s="8" t="n">
        <f aca="false">0</f>
        <v>0</v>
      </c>
      <c r="G322" s="8" t="n">
        <f aca="false">0</f>
        <v>0</v>
      </c>
      <c r="H322" s="8" t="n">
        <f aca="false">SUM(E322:G322)</f>
        <v>0</v>
      </c>
      <c r="J322" s="24"/>
      <c r="K322" s="24"/>
      <c r="L322" s="24"/>
    </row>
    <row r="323" customFormat="false" ht="14.25" hidden="false" customHeight="false" outlineLevel="0" collapsed="false">
      <c r="C323" s="6" t="s">
        <v>247</v>
      </c>
      <c r="D323" s="2" t="s">
        <v>85</v>
      </c>
      <c r="E323" s="8" t="n">
        <f aca="false">E308</f>
        <v>-250</v>
      </c>
      <c r="F323" s="8" t="n">
        <f aca="false">F308</f>
        <v>-250</v>
      </c>
      <c r="G323" s="8" t="n">
        <f aca="false">G308</f>
        <v>-250</v>
      </c>
      <c r="H323" s="8" t="n">
        <f aca="false">SUM(E323:G323)</f>
        <v>-750</v>
      </c>
      <c r="J323" s="24"/>
      <c r="K323" s="24"/>
      <c r="L323" s="24"/>
    </row>
    <row r="324" customFormat="false" ht="14.25" hidden="false" customHeight="false" outlineLevel="0" collapsed="false">
      <c r="C324" s="6" t="s">
        <v>248</v>
      </c>
      <c r="D324" s="2" t="s">
        <v>85</v>
      </c>
      <c r="E324" s="8" t="n">
        <f aca="false">E313</f>
        <v>-437.5</v>
      </c>
      <c r="F324" s="8" t="n">
        <f aca="false">F313</f>
        <v>-0</v>
      </c>
      <c r="G324" s="8" t="n">
        <f aca="false">G313</f>
        <v>-0</v>
      </c>
      <c r="H324" s="8" t="n">
        <f aca="false">SUM(E324:G324)</f>
        <v>-437.5</v>
      </c>
      <c r="J324" s="24"/>
      <c r="K324" s="24"/>
      <c r="L324" s="24"/>
    </row>
    <row r="325" customFormat="false" ht="14.25" hidden="false" customHeight="false" outlineLevel="0" collapsed="false">
      <c r="C325" s="6" t="s">
        <v>249</v>
      </c>
      <c r="D325" s="2" t="s">
        <v>85</v>
      </c>
      <c r="E325" s="8" t="n">
        <f aca="false">-E316</f>
        <v>-1270.82653984974</v>
      </c>
      <c r="F325" s="8" t="n">
        <f aca="false">-F316</f>
        <v>-0</v>
      </c>
      <c r="G325" s="8" t="n">
        <f aca="false">-G316</f>
        <v>-0</v>
      </c>
      <c r="H325" s="8" t="n">
        <f aca="false">SUM(E325:G325)</f>
        <v>-1270.82653984974</v>
      </c>
      <c r="J325" s="24"/>
      <c r="K325" s="24"/>
      <c r="L325" s="24"/>
    </row>
    <row r="326" customFormat="false" ht="14.25" hidden="false" customHeight="false" outlineLevel="0" collapsed="false">
      <c r="C326" s="6" t="s">
        <v>250</v>
      </c>
      <c r="D326" s="68" t="s">
        <v>85</v>
      </c>
      <c r="E326" s="8" t="n">
        <f aca="false">-E311</f>
        <v>1767.51100515654</v>
      </c>
      <c r="F326" s="8" t="n">
        <f aca="false">-F311</f>
        <v>0</v>
      </c>
      <c r="G326" s="8" t="n">
        <f aca="false">-G311</f>
        <v>0</v>
      </c>
      <c r="H326" s="8" t="n">
        <f aca="false">SUM(E326:G326)</f>
        <v>1767.51100515654</v>
      </c>
      <c r="J326" s="24"/>
      <c r="K326" s="24"/>
      <c r="L326" s="24"/>
    </row>
    <row r="327" customFormat="false" ht="14.25" hidden="false" customHeight="false" outlineLevel="0" collapsed="false">
      <c r="C327" s="6" t="s">
        <v>251</v>
      </c>
      <c r="D327" s="68" t="s">
        <v>85</v>
      </c>
      <c r="E327" s="8" t="n">
        <f aca="false">-E312</f>
        <v>808.900528677663</v>
      </c>
      <c r="F327" s="8" t="n">
        <f aca="false">-F312</f>
        <v>0</v>
      </c>
      <c r="G327" s="8" t="n">
        <f aca="false">-G312</f>
        <v>0</v>
      </c>
      <c r="H327" s="8" t="n">
        <f aca="false">SUM(E327:G327)</f>
        <v>808.900528677663</v>
      </c>
      <c r="J327" s="24"/>
      <c r="K327" s="24"/>
      <c r="L327" s="24"/>
    </row>
    <row r="328" customFormat="false" ht="14.25" hidden="false" customHeight="false" outlineLevel="0" collapsed="false">
      <c r="C328" s="6" t="s">
        <v>29</v>
      </c>
      <c r="D328" s="68" t="s">
        <v>85</v>
      </c>
      <c r="E328" s="8" t="n">
        <f aca="false">E315</f>
        <v>2965.26192631606</v>
      </c>
      <c r="F328" s="8" t="n">
        <f aca="false">F315</f>
        <v>7250</v>
      </c>
      <c r="G328" s="8" t="n">
        <f aca="false">G315</f>
        <v>7250</v>
      </c>
      <c r="H328" s="8" t="n">
        <f aca="false">SUM(E328:G328)</f>
        <v>17465.2619263161</v>
      </c>
      <c r="J328" s="24"/>
      <c r="K328" s="24"/>
      <c r="L328" s="24"/>
    </row>
    <row r="329" customFormat="false" ht="14.25" hidden="false" customHeight="false" outlineLevel="0" collapsed="false">
      <c r="C329" s="44" t="s">
        <v>279</v>
      </c>
      <c r="D329" s="45" t="s">
        <v>85</v>
      </c>
      <c r="E329" s="69" t="n">
        <f aca="false">SUM(E326:E328)</f>
        <v>5541.67346015026</v>
      </c>
      <c r="F329" s="69" t="n">
        <f aca="false">SUM(F326:F328)</f>
        <v>7250</v>
      </c>
      <c r="G329" s="69" t="n">
        <f aca="false">SUM(G326:G328)</f>
        <v>7250</v>
      </c>
      <c r="H329" s="69" t="n">
        <f aca="false">SUM(E329:G329)</f>
        <v>20041.6734601503</v>
      </c>
    </row>
    <row r="330" customFormat="false" ht="14.25" hidden="false" customHeight="false" outlineLevel="0" collapsed="false">
      <c r="C330" s="6" t="s">
        <v>253</v>
      </c>
      <c r="D330" s="2" t="s">
        <v>85</v>
      </c>
      <c r="E330" s="8" t="n">
        <f aca="false">-E69</f>
        <v>-135</v>
      </c>
      <c r="F330" s="8" t="n">
        <f aca="false">-F69</f>
        <v>-135</v>
      </c>
      <c r="G330" s="8" t="n">
        <f aca="false">-G69</f>
        <v>-135</v>
      </c>
      <c r="H330" s="8" t="n">
        <f aca="false">SUM(E330:G330)</f>
        <v>-405</v>
      </c>
      <c r="J330" s="24"/>
      <c r="K330" s="24"/>
      <c r="L330" s="24"/>
    </row>
    <row r="331" customFormat="false" ht="14.25" hidden="false" customHeight="false" outlineLevel="0" collapsed="false">
      <c r="C331" s="6" t="s">
        <v>254</v>
      </c>
      <c r="D331" s="2" t="s">
        <v>85</v>
      </c>
      <c r="E331" s="8" t="n">
        <f aca="false">-E61</f>
        <v>-8.21917808219178</v>
      </c>
      <c r="F331" s="8" t="n">
        <f aca="false">-F61</f>
        <v>-8.21917808219178</v>
      </c>
      <c r="G331" s="8" t="n">
        <f aca="false">-G61</f>
        <v>-8.21917808219178</v>
      </c>
      <c r="H331" s="8" t="n">
        <f aca="false">SUM(E331:G331)</f>
        <v>-24.6575342465753</v>
      </c>
      <c r="J331" s="24"/>
      <c r="K331" s="24"/>
      <c r="L331" s="24"/>
    </row>
    <row r="332" customFormat="false" ht="14.25" hidden="false" customHeight="false" outlineLevel="0" collapsed="false">
      <c r="C332" s="6" t="s">
        <v>255</v>
      </c>
      <c r="D332" s="2" t="s">
        <v>85</v>
      </c>
      <c r="E332" s="8" t="n">
        <f aca="false">-E67</f>
        <v>-701.098816348896</v>
      </c>
      <c r="F332" s="8" t="n">
        <f aca="false">-F67</f>
        <v>-701.098816348896</v>
      </c>
      <c r="G332" s="8" t="n">
        <f aca="false">-G67</f>
        <v>-701.098816348896</v>
      </c>
      <c r="H332" s="8" t="n">
        <f aca="false">SUM(E332:G332)</f>
        <v>-2103.29644904669</v>
      </c>
      <c r="J332" s="24"/>
      <c r="K332" s="24"/>
      <c r="L332" s="24"/>
    </row>
    <row r="333" customFormat="false" ht="14.25" hidden="false" customHeight="false" outlineLevel="0" collapsed="false">
      <c r="C333" s="44" t="s">
        <v>256</v>
      </c>
      <c r="D333" s="45" t="s">
        <v>85</v>
      </c>
      <c r="E333" s="69" t="n">
        <f aca="false">E329+SUM(E330:E332)</f>
        <v>4697.35546571918</v>
      </c>
      <c r="F333" s="69" t="n">
        <f aca="false">F329+SUM(F330:F332)</f>
        <v>6405.68200556891</v>
      </c>
      <c r="G333" s="69" t="n">
        <f aca="false">G329+SUM(G330:G332)</f>
        <v>6405.68200556891</v>
      </c>
      <c r="H333" s="69" t="n">
        <f aca="false">SUM(E333:G333)</f>
        <v>17508.719476857</v>
      </c>
    </row>
    <row r="334" customFormat="false" ht="14.25" hidden="false" customHeight="false" outlineLevel="0" collapsed="false">
      <c r="C334" s="1" t="s">
        <v>257</v>
      </c>
      <c r="D334" s="2" t="s">
        <v>85</v>
      </c>
      <c r="E334" s="32" t="n">
        <f aca="false">-MAX(0,E333)*CIT_Rate*(1-Share_Exempt)</f>
        <v>-0</v>
      </c>
      <c r="F334" s="32" t="n">
        <f aca="false">-MAX(0,F333)*CIT_Rate*(1-Share_Exempt)</f>
        <v>-0</v>
      </c>
      <c r="G334" s="32" t="n">
        <f aca="false">-MAX(0,G333)*CIT_Rate*(1-Share_Exempt)</f>
        <v>-0</v>
      </c>
      <c r="H334" s="32" t="n">
        <f aca="false">SUM(E334:G334)</f>
        <v>0</v>
      </c>
    </row>
    <row r="335" customFormat="false" ht="14.25" hidden="false" customHeight="false" outlineLevel="0" collapsed="false">
      <c r="C335" s="1" t="s">
        <v>258</v>
      </c>
      <c r="D335" s="2" t="s">
        <v>85</v>
      </c>
      <c r="E335" s="32" t="n">
        <f aca="false">-E213*CIT_Rate*E$21</f>
        <v>-386.461730075131</v>
      </c>
      <c r="F335" s="32" t="n">
        <f aca="false">-F213*CIT_Rate*F$21</f>
        <v>-0</v>
      </c>
      <c r="G335" s="32" t="n">
        <f aca="false">-G213*CIT_Rate*G$21</f>
        <v>-0</v>
      </c>
      <c r="H335" s="32" t="n">
        <f aca="false">SUM(E335:G335)</f>
        <v>-386.461730075131</v>
      </c>
    </row>
    <row r="336" customFormat="false" ht="14.25" hidden="false" customHeight="false" outlineLevel="0" collapsed="false">
      <c r="C336" s="44" t="s">
        <v>129</v>
      </c>
      <c r="D336" s="45" t="s">
        <v>85</v>
      </c>
      <c r="E336" s="69" t="n">
        <f aca="false">E333+E334+E335</f>
        <v>4310.89373564404</v>
      </c>
      <c r="F336" s="69" t="n">
        <f aca="false">F333+F334+F335</f>
        <v>6405.68200556891</v>
      </c>
      <c r="G336" s="69" t="n">
        <f aca="false">G333+G334+G335</f>
        <v>6405.68200556891</v>
      </c>
      <c r="H336" s="69" t="n">
        <f aca="false">SUM(E336:G336)</f>
        <v>17122.2577467819</v>
      </c>
    </row>
    <row r="337" customFormat="false" ht="14.25" hidden="false" customHeight="false" outlineLevel="0" collapsed="false">
      <c r="C337" s="6" t="s">
        <v>259</v>
      </c>
      <c r="D337" s="2" t="s">
        <v>3</v>
      </c>
      <c r="E337" s="47" t="n">
        <f aca="false">SUMIF(E340:E349,"&gt;0")/-SUMIF(E340:E349,"&lt;0")</f>
        <v>1.34537556262405</v>
      </c>
      <c r="F337" s="47" t="n">
        <f aca="false">SUMIF(F340:F349,"&gt;0")/-SUMIF(F340:F349,"&lt;0")</f>
        <v>1.86296244239052</v>
      </c>
      <c r="G337" s="47" t="n">
        <f aca="false">SUMIF(G340:G349,"&gt;0")/-SUMIF(G340:G349,"&lt;0")</f>
        <v>1.86296244239052</v>
      </c>
      <c r="H337" s="47" t="n">
        <f aca="false">SUMIF(H340:H349,"&gt;0")/-SUMIF(H340:H349,"&lt;0")</f>
        <v>1.61549615646444</v>
      </c>
    </row>
    <row r="338" customFormat="false" ht="14.25" hidden="false" customHeight="false" outlineLevel="0" collapsed="false">
      <c r="C338" s="6" t="s">
        <v>260</v>
      </c>
      <c r="D338" s="2" t="s">
        <v>12</v>
      </c>
      <c r="E338" s="48" t="n">
        <f aca="false">XIRR(E340:E349,J340:J349)</f>
        <v>0.226964322274131</v>
      </c>
      <c r="F338" s="48" t="n">
        <f aca="false">XIRR(F340:F349,K340:K349)</f>
        <v>0.371762816518574</v>
      </c>
      <c r="G338" s="48" t="n">
        <f aca="false">XIRR(G340:G349,L340:L349)</f>
        <v>0.371762816518574</v>
      </c>
      <c r="H338" s="49" t="n">
        <f aca="false">XIRR(H340:H349,J340:J349)</f>
        <v>0.319139022863017</v>
      </c>
    </row>
    <row r="339" customFormat="false" ht="14.25" hidden="false" customHeight="false" outlineLevel="0" collapsed="false">
      <c r="C339" s="42" t="s">
        <v>280</v>
      </c>
      <c r="D339" s="42"/>
      <c r="E339" s="43"/>
      <c r="F339" s="43"/>
      <c r="G339" s="43"/>
      <c r="H339" s="43"/>
      <c r="J339" s="43" t="s">
        <v>242</v>
      </c>
      <c r="K339" s="43" t="s">
        <v>6</v>
      </c>
      <c r="L339" s="43" t="s">
        <v>7</v>
      </c>
      <c r="M339" s="43" t="s">
        <v>263</v>
      </c>
      <c r="N339" s="43" t="s">
        <v>264</v>
      </c>
      <c r="O339" s="43" t="s">
        <v>265</v>
      </c>
    </row>
    <row r="340" customFormat="false" ht="14.25" hidden="false" customHeight="false" outlineLevel="1" collapsed="false">
      <c r="C340" s="6" t="s">
        <v>82</v>
      </c>
      <c r="D340" s="2" t="s">
        <v>85</v>
      </c>
      <c r="E340" s="8" t="n">
        <f aca="false">-E69</f>
        <v>-135</v>
      </c>
      <c r="F340" s="8" t="n">
        <f aca="false">-F69</f>
        <v>-135</v>
      </c>
      <c r="G340" s="8" t="n">
        <f aca="false">-G69</f>
        <v>-135</v>
      </c>
      <c r="H340" s="8" t="n">
        <f aca="false">SUM(E340:G340)</f>
        <v>-405</v>
      </c>
      <c r="J340" s="24" t="n">
        <f aca="false">Inputs!E$20</f>
        <v>46234</v>
      </c>
      <c r="K340" s="24" t="n">
        <f aca="false">Inputs!F$20</f>
        <v>46234</v>
      </c>
      <c r="L340" s="24" t="n">
        <f aca="false">Inputs!G$20</f>
        <v>46234</v>
      </c>
    </row>
    <row r="341" customFormat="false" ht="14.25" hidden="false" customHeight="false" outlineLevel="1" collapsed="false">
      <c r="C341" s="6" t="s">
        <v>73</v>
      </c>
      <c r="D341" s="2" t="s">
        <v>85</v>
      </c>
      <c r="E341" s="8" t="n">
        <f aca="false">-E61</f>
        <v>-8.21917808219178</v>
      </c>
      <c r="F341" s="8" t="n">
        <f aca="false">-F61</f>
        <v>-8.21917808219178</v>
      </c>
      <c r="G341" s="8" t="n">
        <f aca="false">-G61</f>
        <v>-8.21917808219178</v>
      </c>
      <c r="H341" s="8" t="n">
        <f aca="false">SUM(E341:G341)</f>
        <v>-24.6575342465753</v>
      </c>
      <c r="J341" s="24" t="n">
        <f aca="false">Inputs!E$21</f>
        <v>46325</v>
      </c>
      <c r="K341" s="24" t="n">
        <f aca="false">Inputs!F$21</f>
        <v>46325</v>
      </c>
      <c r="L341" s="24" t="n">
        <f aca="false">Inputs!G$21</f>
        <v>46325</v>
      </c>
      <c r="M341" s="71" t="n">
        <f aca="false">1+Rate_Cash*(DATE(YEAR(J341)+1,1,1)-J341)/Days_In_Year</f>
        <v>1.02071232876712</v>
      </c>
      <c r="N341" s="71" t="n">
        <f aca="false">1+Rate_Cash*(DATE(YEAR(K341)+1,1,1)-K341)/Days_In_Year</f>
        <v>1.02071232876712</v>
      </c>
      <c r="O341" s="71" t="n">
        <f aca="false">1+Rate_Cash*(DATE(YEAR(L341)+1,1,1)-L341)/Days_In_Year</f>
        <v>1.02071232876712</v>
      </c>
    </row>
    <row r="342" customFormat="false" ht="14.25" hidden="false" customHeight="false" outlineLevel="1" collapsed="false">
      <c r="C342" s="6" t="s">
        <v>75</v>
      </c>
      <c r="D342" s="2" t="s">
        <v>85</v>
      </c>
      <c r="E342" s="8" t="n">
        <f aca="false">-E62</f>
        <v>-388.493150684932</v>
      </c>
      <c r="F342" s="8" t="n">
        <f aca="false">-F62</f>
        <v>-498.904109589041</v>
      </c>
      <c r="G342" s="8" t="n">
        <f aca="false">-G62</f>
        <v>-498.904109589041</v>
      </c>
      <c r="H342" s="8" t="n">
        <f aca="false">SUM(E342:G342)</f>
        <v>-1386.30136986301</v>
      </c>
      <c r="J342" s="24" t="n">
        <f aca="false">Inputs!E$21</f>
        <v>46325</v>
      </c>
      <c r="K342" s="24" t="n">
        <f aca="false">Inputs!F$21</f>
        <v>46325</v>
      </c>
      <c r="L342" s="24" t="n">
        <f aca="false">Inputs!G$21</f>
        <v>46325</v>
      </c>
      <c r="M342" s="71" t="n">
        <f aca="false">1+Rate_Cash*(DATE(YEAR(J342)+1,1,1)-J342)/Days_In_Year</f>
        <v>1.02071232876712</v>
      </c>
      <c r="N342" s="71" t="n">
        <f aca="false">1+Rate_Cash*(DATE(YEAR(K342)+1,1,1)-K342)/Days_In_Year</f>
        <v>1.02071232876712</v>
      </c>
      <c r="O342" s="71" t="n">
        <f aca="false">1+Rate_Cash*(DATE(YEAR(L342)+1,1,1)-L342)/Days_In_Year</f>
        <v>1.02071232876712</v>
      </c>
    </row>
    <row r="343" customFormat="false" ht="14.25" hidden="false" customHeight="false" outlineLevel="1" collapsed="false">
      <c r="C343" s="6" t="s">
        <v>266</v>
      </c>
      <c r="D343" s="2" t="s">
        <v>85</v>
      </c>
      <c r="E343" s="8" t="n">
        <f aca="false">-E63</f>
        <v>-1553.97260273973</v>
      </c>
      <c r="F343" s="8" t="n">
        <f aca="false">-F63</f>
        <v>-1995.61643835616</v>
      </c>
      <c r="G343" s="8" t="n">
        <f aca="false">-G63</f>
        <v>-1995.61643835616</v>
      </c>
      <c r="H343" s="8" t="n">
        <f aca="false">SUM(E343:G343)</f>
        <v>-5545.20547945205</v>
      </c>
      <c r="J343" s="24" t="n">
        <f aca="false">Inputs!E$22</f>
        <v>46402</v>
      </c>
      <c r="K343" s="24" t="n">
        <f aca="false">Inputs!F$22</f>
        <v>46402</v>
      </c>
      <c r="L343" s="24" t="n">
        <f aca="false">Inputs!G$22</f>
        <v>46402</v>
      </c>
      <c r="M343" s="71" t="n">
        <f aca="false">1+Rate_Cash*(DATE(YEAR(J343)+1,1,1)-J343)/Days_In_Year</f>
        <v>1.11539726027397</v>
      </c>
      <c r="N343" s="71" t="n">
        <f aca="false">1+Rate_Cash*(DATE(YEAR(K343)+1,1,1)-K343)/Days_In_Year</f>
        <v>1.11539726027397</v>
      </c>
      <c r="O343" s="71" t="n">
        <f aca="false">1+Rate_Cash*(DATE(YEAR(L343)+1,1,1)-L343)/Days_In_Year</f>
        <v>1.11539726027397</v>
      </c>
    </row>
    <row r="344" customFormat="false" ht="14.25" hidden="false" customHeight="false" outlineLevel="1" collapsed="false">
      <c r="C344" s="6" t="s">
        <v>77</v>
      </c>
      <c r="D344" s="2" t="s">
        <v>85</v>
      </c>
      <c r="E344" s="8" t="n">
        <f aca="false">-E64</f>
        <v>-616.438356164384</v>
      </c>
      <c r="F344" s="8" t="n">
        <f aca="false">-F64</f>
        <v>-616.438356164384</v>
      </c>
      <c r="G344" s="8" t="n">
        <f aca="false">-G64</f>
        <v>-616.438356164384</v>
      </c>
      <c r="H344" s="8" t="n">
        <f aca="false">SUM(E344:G344)</f>
        <v>-1849.31506849315</v>
      </c>
      <c r="J344" s="24" t="n">
        <f aca="false">Inputs!E$23</f>
        <v>46402</v>
      </c>
      <c r="K344" s="24" t="n">
        <f aca="false">Inputs!F$23</f>
        <v>46402</v>
      </c>
      <c r="L344" s="24" t="n">
        <f aca="false">Inputs!G$23</f>
        <v>46402</v>
      </c>
      <c r="M344" s="71" t="n">
        <f aca="false">1+Rate_Cash*(DATE(YEAR(J344)+1,1,1)-J344)/Days_In_Year</f>
        <v>1.11539726027397</v>
      </c>
      <c r="N344" s="71" t="n">
        <f aca="false">1+Rate_Cash*(DATE(YEAR(K344)+1,1,1)-K344)/Days_In_Year</f>
        <v>1.11539726027397</v>
      </c>
      <c r="O344" s="71" t="n">
        <f aca="false">1+Rate_Cash*(DATE(YEAR(L344)+1,1,1)-L344)/Days_In_Year</f>
        <v>1.11539726027397</v>
      </c>
    </row>
    <row r="345" customFormat="false" ht="14.25" hidden="false" customHeight="false" outlineLevel="1" collapsed="false">
      <c r="C345" s="6" t="s">
        <v>281</v>
      </c>
      <c r="D345" s="2" t="s">
        <v>85</v>
      </c>
      <c r="E345" s="8" t="n">
        <f aca="false">-E65</f>
        <v>-696.364115068493</v>
      </c>
      <c r="F345" s="8" t="n">
        <f aca="false">-F65</f>
        <v>-1260.27397260274</v>
      </c>
      <c r="G345" s="8" t="n">
        <f aca="false">-G65</f>
        <v>-1260.27397260274</v>
      </c>
      <c r="H345" s="8" t="n">
        <f aca="false">SUM(E345:G345)</f>
        <v>-3216.91206027397</v>
      </c>
      <c r="J345" s="24" t="n">
        <f aca="false">Inputs!E$24</f>
        <v>47027</v>
      </c>
      <c r="K345" s="24" t="n">
        <f aca="false">Inputs!F$24</f>
        <v>47027</v>
      </c>
      <c r="L345" s="24" t="n">
        <f aca="false">Inputs!G$24</f>
        <v>47027</v>
      </c>
      <c r="M345" s="71" t="n">
        <f aca="false">1+Rate_Cash*(DATE(YEAR(J345)+1,1,1)-J345)/Days_In_Year</f>
        <v>1.03024657534247</v>
      </c>
      <c r="N345" s="71" t="n">
        <f aca="false">1+Rate_Cash*(DATE(YEAR(K345)+1,1,1)-K345)/Days_In_Year</f>
        <v>1.03024657534247</v>
      </c>
      <c r="O345" s="71" t="n">
        <f aca="false">1+Rate_Cash*(DATE(YEAR(L345)+1,1,1)-L345)/Days_In_Year</f>
        <v>1.03024657534247</v>
      </c>
    </row>
    <row r="346" customFormat="false" ht="14.25" hidden="false" customHeight="false" outlineLevel="1" collapsed="false">
      <c r="C346" s="6" t="s">
        <v>282</v>
      </c>
      <c r="D346" s="2" t="s">
        <v>85</v>
      </c>
      <c r="E346" s="8" t="n">
        <f aca="false">-E66</f>
        <v>-9393.3295890411</v>
      </c>
      <c r="F346" s="8" t="n">
        <f aca="false">-F66</f>
        <v>-2099.54520547945</v>
      </c>
      <c r="G346" s="8" t="n">
        <f aca="false">-G66</f>
        <v>-2099.54520547945</v>
      </c>
      <c r="H346" s="8" t="n">
        <f aca="false">SUM(E346:G346)</f>
        <v>-13592.42</v>
      </c>
      <c r="J346" s="24" t="n">
        <f aca="false">Inputs!E$24</f>
        <v>47027</v>
      </c>
      <c r="K346" s="24" t="n">
        <f aca="false">Inputs!F$24</f>
        <v>47027</v>
      </c>
      <c r="L346" s="24" t="n">
        <f aca="false">Inputs!G$24</f>
        <v>47027</v>
      </c>
      <c r="M346" s="71" t="n">
        <f aca="false">1+Rate_Cash*(DATE(YEAR(J346)+1,1,1)-J346)/Days_In_Year</f>
        <v>1.03024657534247</v>
      </c>
      <c r="N346" s="71" t="n">
        <f aca="false">1+Rate_Cash*(DATE(YEAR(K346)+1,1,1)-K346)/Days_In_Year</f>
        <v>1.03024657534247</v>
      </c>
      <c r="O346" s="71" t="n">
        <f aca="false">1+Rate_Cash*(DATE(YEAR(L346)+1,1,1)-L346)/Days_In_Year</f>
        <v>1.03024657534247</v>
      </c>
    </row>
    <row r="347" customFormat="false" ht="14.25" hidden="false" customHeight="false" outlineLevel="1" collapsed="false">
      <c r="C347" s="6" t="s">
        <v>116</v>
      </c>
      <c r="D347" s="2" t="s">
        <v>85</v>
      </c>
      <c r="E347" s="8" t="n">
        <f aca="false">-E68</f>
        <v>-107.801712328767</v>
      </c>
      <c r="F347" s="8" t="n">
        <f aca="false">-F68</f>
        <v>-107.801712328767</v>
      </c>
      <c r="G347" s="8" t="n">
        <f aca="false">-G68</f>
        <v>-107.801712328767</v>
      </c>
      <c r="H347" s="8" t="n">
        <f aca="false">SUM(E347:G347)</f>
        <v>-323.405136986301</v>
      </c>
      <c r="J347" s="24" t="n">
        <f aca="false">$J$56</f>
        <v>46877.176865821</v>
      </c>
      <c r="K347" s="24" t="n">
        <f aca="false">$J$56</f>
        <v>46877.176865821</v>
      </c>
      <c r="L347" s="24" t="n">
        <f aca="false">$J$56</f>
        <v>46877.176865821</v>
      </c>
      <c r="M347" s="71" t="n">
        <f aca="false">1+Rate_Devex*(DATE(YEAR(J347)+1,1,1)-J347)/Days_In_Year</f>
        <v>1.1325058269474</v>
      </c>
      <c r="N347" s="71" t="n">
        <f aca="false">1+Rate_Devex*(DATE(YEAR(K347)+1,1,1)-K347)/Days_In_Year</f>
        <v>1.1325058269474</v>
      </c>
      <c r="O347" s="71" t="n">
        <f aca="false">1+Rate_Devex*(DATE(YEAR(L347)+1,1,1)-L347)/Days_In_Year</f>
        <v>1.1325058269474</v>
      </c>
    </row>
    <row r="348" customFormat="false" ht="14.25" hidden="false" customHeight="false" outlineLevel="1" collapsed="false">
      <c r="C348" s="6" t="s">
        <v>267</v>
      </c>
      <c r="D348" s="2" t="s">
        <v>85</v>
      </c>
      <c r="E348" s="8" t="n">
        <f aca="false">-E67</f>
        <v>-701.098816348896</v>
      </c>
      <c r="F348" s="8" t="n">
        <f aca="false">-F67</f>
        <v>-701.098816348896</v>
      </c>
      <c r="G348" s="8" t="n">
        <f aca="false">-G67</f>
        <v>-701.098816348896</v>
      </c>
      <c r="H348" s="8" t="n">
        <f aca="false">SUM(E348:G348)</f>
        <v>-2103.29644904669</v>
      </c>
      <c r="J348" s="24" t="n">
        <f aca="false">$J$55</f>
        <v>46714.1242758881</v>
      </c>
      <c r="K348" s="24" t="n">
        <f aca="false">$J$55</f>
        <v>46714.1242758881</v>
      </c>
      <c r="L348" s="24" t="n">
        <f aca="false">$J$55</f>
        <v>46714.1242758881</v>
      </c>
      <c r="M348" s="71" t="n">
        <f aca="false">1+Rate_Devex*(DATE(YEAR(J348)+1,1,1)-J348)/Days_In_Year</f>
        <v>1.02130176663669</v>
      </c>
      <c r="N348" s="71" t="n">
        <f aca="false">1+Rate_Devex*(DATE(YEAR(K348)+1,1,1)-K348)/Days_In_Year</f>
        <v>1.02130176663669</v>
      </c>
      <c r="O348" s="71" t="n">
        <f aca="false">1+Rate_Devex*(DATE(YEAR(L348)+1,1,1)-L348)/Days_In_Year</f>
        <v>1.02130176663669</v>
      </c>
    </row>
    <row r="349" customFormat="false" ht="14.25" hidden="false" customHeight="false" outlineLevel="1" collapsed="false">
      <c r="C349" s="6" t="s">
        <v>283</v>
      </c>
      <c r="D349" s="2" t="s">
        <v>85</v>
      </c>
      <c r="E349" s="8" t="n">
        <f aca="false">E329-E309-E310</f>
        <v>18298.0729861777</v>
      </c>
      <c r="F349" s="8" t="n">
        <f aca="false">F329-F309-F310</f>
        <v>13828.5797945205</v>
      </c>
      <c r="G349" s="8" t="n">
        <f aca="false">G329-G309-G310</f>
        <v>13828.5797945205</v>
      </c>
      <c r="H349" s="8" t="n">
        <f aca="false">SUM(E349:G349)</f>
        <v>45955.2325752188</v>
      </c>
      <c r="J349" s="24" t="n">
        <f aca="false">Sale_Date</f>
        <v>47391</v>
      </c>
      <c r="K349" s="24" t="n">
        <f aca="false">Sale_Date</f>
        <v>47391</v>
      </c>
      <c r="L349" s="24" t="n">
        <f aca="false">Sale_Date</f>
        <v>47391</v>
      </c>
    </row>
    <row r="350" customFormat="false" ht="14.25" hidden="false" customHeight="false" outlineLevel="0" collapsed="false">
      <c r="C350" s="6" t="s">
        <v>269</v>
      </c>
      <c r="D350" s="2" t="s">
        <v>85</v>
      </c>
      <c r="E350" s="8" t="n">
        <f aca="false">-J$413*CIT_Rate*E$21</f>
        <v>-1.23252542690937</v>
      </c>
      <c r="F350" s="8" t="n">
        <f aca="false">-J$470*CIT_Rate*F$21</f>
        <v>-0</v>
      </c>
      <c r="G350" s="8" t="n">
        <f aca="false">-J$527*CIT_Rate*G$21</f>
        <v>-0</v>
      </c>
      <c r="H350" s="8" t="n">
        <f aca="false">SUM(E350:G350)</f>
        <v>-1.23252542690937</v>
      </c>
      <c r="J350" s="24" t="n">
        <f aca="false">J$360</f>
        <v>46387</v>
      </c>
      <c r="K350" s="24" t="n">
        <f aca="false">J$360</f>
        <v>46387</v>
      </c>
      <c r="L350" s="24" t="n">
        <f aca="false">J$360</f>
        <v>46387</v>
      </c>
    </row>
    <row r="351" customFormat="false" ht="14.25" hidden="false" customHeight="false" outlineLevel="0" collapsed="false">
      <c r="C351" s="6" t="s">
        <v>270</v>
      </c>
      <c r="D351" s="2" t="s">
        <v>85</v>
      </c>
      <c r="E351" s="8" t="n">
        <f aca="false">-K$413*CIT_Rate*E$21</f>
        <v>-47.0978432242265</v>
      </c>
      <c r="F351" s="8" t="n">
        <f aca="false">-K$470*CIT_Rate*F$21</f>
        <v>-0</v>
      </c>
      <c r="G351" s="8" t="n">
        <f aca="false">-K$527*CIT_Rate*G$21</f>
        <v>-0</v>
      </c>
      <c r="H351" s="8" t="n">
        <f aca="false">SUM(E351:G351)</f>
        <v>-47.0978432242265</v>
      </c>
      <c r="J351" s="24" t="n">
        <f aca="false">K$360</f>
        <v>46752</v>
      </c>
      <c r="K351" s="24" t="n">
        <f aca="false">K$360</f>
        <v>46752</v>
      </c>
      <c r="L351" s="24" t="n">
        <f aca="false">K$360</f>
        <v>46752</v>
      </c>
    </row>
    <row r="352" customFormat="false" ht="14.25" hidden="false" customHeight="false" outlineLevel="0" collapsed="false">
      <c r="C352" s="6" t="s">
        <v>271</v>
      </c>
      <c r="D352" s="2" t="s">
        <v>85</v>
      </c>
      <c r="E352" s="8" t="n">
        <f aca="false">-L$413*CIT_Rate*E$21</f>
        <v>-121.13949900352</v>
      </c>
      <c r="F352" s="8" t="n">
        <f aca="false">-L$470*CIT_Rate*F$21</f>
        <v>-0</v>
      </c>
      <c r="G352" s="8" t="n">
        <f aca="false">-L$527*CIT_Rate*G$21</f>
        <v>-0</v>
      </c>
      <c r="H352" s="8" t="n">
        <f aca="false">SUM(E352:G352)</f>
        <v>-121.13949900352</v>
      </c>
      <c r="J352" s="24" t="n">
        <f aca="false">L$360</f>
        <v>47118</v>
      </c>
      <c r="K352" s="24" t="n">
        <f aca="false">L$360</f>
        <v>47118</v>
      </c>
      <c r="L352" s="24" t="n">
        <f aca="false">L$360</f>
        <v>47118</v>
      </c>
    </row>
    <row r="353" customFormat="false" ht="14.25" hidden="false" customHeight="false" outlineLevel="0" collapsed="false">
      <c r="C353" s="6" t="s">
        <v>272</v>
      </c>
      <c r="D353" s="2" t="s">
        <v>85</v>
      </c>
      <c r="E353" s="8" t="n">
        <f aca="false">-E213*CIT_Rate*E$21-SUM(E350:E352)</f>
        <v>-216.991862420476</v>
      </c>
      <c r="F353" s="8" t="n">
        <f aca="false">-F213*CIT_Rate*F$21-SUM(F350:F352)</f>
        <v>-0</v>
      </c>
      <c r="G353" s="8" t="n">
        <f aca="false">-G213*CIT_Rate*G$21-SUM(G350:G352)</f>
        <v>-0</v>
      </c>
      <c r="H353" s="8" t="n">
        <f aca="false">SUM(E353:G353)</f>
        <v>-216.991862420476</v>
      </c>
      <c r="J353" s="24" t="n">
        <f aca="false">Sale_Date</f>
        <v>47391</v>
      </c>
      <c r="K353" s="24" t="n">
        <f aca="false">Sale_Date</f>
        <v>47391</v>
      </c>
      <c r="L353" s="24" t="n">
        <f aca="false">Sale_Date</f>
        <v>47391</v>
      </c>
    </row>
    <row r="354" customFormat="false" ht="14.25" hidden="false" customHeight="false" outlineLevel="0" collapsed="false">
      <c r="C354" s="6" t="s">
        <v>257</v>
      </c>
      <c r="D354" s="2" t="s">
        <v>85</v>
      </c>
      <c r="E354" s="8" t="n">
        <f aca="false">E334</f>
        <v>-0</v>
      </c>
      <c r="F354" s="8" t="n">
        <f aca="false">F334</f>
        <v>-0</v>
      </c>
      <c r="G354" s="8" t="n">
        <f aca="false">G334</f>
        <v>-0</v>
      </c>
      <c r="H354" s="8" t="n">
        <f aca="false">SUM(E354:G354)</f>
        <v>0</v>
      </c>
      <c r="J354" s="24" t="n">
        <f aca="false">Sale_Date</f>
        <v>47391</v>
      </c>
      <c r="K354" s="24" t="n">
        <f aca="false">Sale_Date</f>
        <v>47391</v>
      </c>
      <c r="L354" s="24" t="n">
        <f aca="false">Sale_Date</f>
        <v>47391</v>
      </c>
    </row>
    <row r="355" customFormat="false" ht="14.25" hidden="false" customHeight="false" outlineLevel="0" collapsed="false">
      <c r="C355" s="6" t="s">
        <v>273</v>
      </c>
      <c r="D355" s="2" t="s">
        <v>3</v>
      </c>
      <c r="E355" s="47" t="n">
        <f aca="false">SUMIF(E340:E354,"&gt;0")/-SUMIF(E340:E354,"&lt;0")</f>
        <v>1.30820322371143</v>
      </c>
      <c r="F355" s="47" t="n">
        <f aca="false">SUMIF(F340:F354,"&gt;0")/-SUMIF(F340:F354,"&lt;0")</f>
        <v>1.86296244239052</v>
      </c>
      <c r="G355" s="47" t="n">
        <f aca="false">SUMIF(G340:G354,"&gt;0")/-SUMIF(G340:G354,"&lt;0")</f>
        <v>1.86296244239052</v>
      </c>
      <c r="H355" s="47" t="n">
        <f aca="false">SUMIF(H340:H354,"&gt;0")/-SUMIF(H340:H354,"&lt;0")</f>
        <v>1.59384291245227</v>
      </c>
      <c r="J355" s="24"/>
      <c r="K355" s="24"/>
      <c r="L355" s="24"/>
    </row>
    <row r="356" customFormat="false" ht="14.25" hidden="false" customHeight="false" outlineLevel="0" collapsed="false">
      <c r="C356" s="6" t="s">
        <v>274</v>
      </c>
      <c r="D356" s="2" t="s">
        <v>12</v>
      </c>
      <c r="E356" s="48" t="n">
        <f aca="false">XIRR(E340:E354,J340:J354)</f>
        <v>0.207977245637379</v>
      </c>
      <c r="F356" s="48" t="n">
        <f aca="false">XIRR(F340:F354,K340:K354)</f>
        <v>0.371762816518574</v>
      </c>
      <c r="G356" s="48" t="n">
        <f aca="false">XIRR(G340:G354,L340:L354)</f>
        <v>0.371762816518574</v>
      </c>
      <c r="H356" s="49" t="n">
        <f aca="false">XIRR(H340:H354,J340:J354)</f>
        <v>0.312152638975026</v>
      </c>
      <c r="J356" s="24"/>
      <c r="K356" s="24"/>
      <c r="L356" s="24"/>
    </row>
    <row r="357" customFormat="false" ht="14.25" hidden="false" customHeight="false" outlineLevel="0" collapsed="false">
      <c r="C357" s="1"/>
      <c r="D357" s="2"/>
      <c r="E357" s="15"/>
      <c r="F357" s="15"/>
      <c r="G357" s="15"/>
      <c r="H357" s="15"/>
    </row>
    <row r="358" customFormat="false" ht="14.25" hidden="false" customHeight="false" outlineLevel="0" collapsed="false">
      <c r="B358" s="4" t="s">
        <v>3</v>
      </c>
      <c r="C358" s="4" t="s">
        <v>284</v>
      </c>
      <c r="D358" s="4"/>
      <c r="E358" s="73"/>
      <c r="F358" s="73"/>
      <c r="G358" s="73"/>
      <c r="H358" s="5" t="s">
        <v>8</v>
      </c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</row>
    <row r="359" customFormat="false" ht="14.25" hidden="false" customHeight="false" outlineLevel="0" collapsed="false">
      <c r="C359" s="6" t="s">
        <v>155</v>
      </c>
      <c r="D359" s="2" t="s">
        <v>156</v>
      </c>
      <c r="J359" s="74" t="n">
        <f aca="false">First_Year+COLUMN()-COLUMN($J$1)</f>
        <v>2026</v>
      </c>
      <c r="K359" s="74" t="n">
        <f aca="false">First_Year+COLUMN()-COLUMN($J$1)</f>
        <v>2027</v>
      </c>
      <c r="L359" s="74" t="n">
        <f aca="false">First_Year+COLUMN()-COLUMN($J$1)</f>
        <v>2028</v>
      </c>
      <c r="M359" s="74" t="n">
        <f aca="false">First_Year+COLUMN()-COLUMN($J$1)</f>
        <v>2029</v>
      </c>
      <c r="N359" s="74" t="n">
        <f aca="false">First_Year+COLUMN()-COLUMN($J$1)</f>
        <v>2030</v>
      </c>
      <c r="O359" s="74" t="n">
        <f aca="false">First_Year+COLUMN()-COLUMN($J$1)</f>
        <v>2031</v>
      </c>
      <c r="P359" s="74" t="n">
        <f aca="false">First_Year+COLUMN()-COLUMN($J$1)</f>
        <v>2032</v>
      </c>
      <c r="Q359" s="74" t="n">
        <f aca="false">First_Year+COLUMN()-COLUMN($J$1)</f>
        <v>2033</v>
      </c>
      <c r="R359" s="74" t="n">
        <f aca="false">First_Year+COLUMN()-COLUMN($J$1)</f>
        <v>2034</v>
      </c>
      <c r="S359" s="74" t="n">
        <f aca="false">First_Year+COLUMN()-COLUMN($J$1)</f>
        <v>2035</v>
      </c>
      <c r="T359" s="74" t="n">
        <f aca="false">First_Year+COLUMN()-COLUMN($J$1)</f>
        <v>2036</v>
      </c>
      <c r="U359" s="74" t="n">
        <f aca="false">First_Year+COLUMN()-COLUMN($J$1)</f>
        <v>2037</v>
      </c>
      <c r="V359" s="74" t="n">
        <f aca="false">First_Year+COLUMN()-COLUMN($J$1)</f>
        <v>2038</v>
      </c>
      <c r="W359" s="74" t="n">
        <f aca="false">First_Year+COLUMN()-COLUMN($J$1)</f>
        <v>2039</v>
      </c>
      <c r="X359" s="74" t="n">
        <f aca="false">First_Year+COLUMN()-COLUMN($J$1)</f>
        <v>2040</v>
      </c>
      <c r="Y359" s="74" t="n">
        <f aca="false">First_Year+COLUMN()-COLUMN($J$1)</f>
        <v>2041</v>
      </c>
      <c r="Z359" s="74" t="n">
        <f aca="false">First_Year+COLUMN()-COLUMN($J$1)</f>
        <v>2042</v>
      </c>
      <c r="AA359" s="74" t="n">
        <f aca="false">First_Year+COLUMN()-COLUMN($J$1)</f>
        <v>2043</v>
      </c>
      <c r="AB359" s="74" t="n">
        <f aca="false">First_Year+COLUMN()-COLUMN($J$1)</f>
        <v>2044</v>
      </c>
      <c r="AC359" s="74" t="n">
        <f aca="false">First_Year+COLUMN()-COLUMN($J$1)</f>
        <v>2045</v>
      </c>
      <c r="AD359" s="74" t="n">
        <f aca="false">First_Year+COLUMN()-COLUMN($J$1)</f>
        <v>2046</v>
      </c>
      <c r="AE359" s="74" t="n">
        <f aca="false">First_Year+COLUMN()-COLUMN($J$1)</f>
        <v>2047</v>
      </c>
      <c r="AF359" s="74" t="n">
        <f aca="false">First_Year+COLUMN()-COLUMN($J$1)</f>
        <v>2048</v>
      </c>
      <c r="AG359" s="74" t="n">
        <f aca="false">First_Year+COLUMN()-COLUMN($J$1)</f>
        <v>2049</v>
      </c>
      <c r="AH359" s="74" t="n">
        <f aca="false">First_Year+COLUMN()-COLUMN($J$1)</f>
        <v>2050</v>
      </c>
      <c r="AI359" s="74" t="n">
        <f aca="false">First_Year+COLUMN()-COLUMN($J$1)</f>
        <v>2051</v>
      </c>
      <c r="AJ359" s="74" t="n">
        <f aca="false">First_Year+COLUMN()-COLUMN($J$1)</f>
        <v>2052</v>
      </c>
      <c r="AK359" s="74" t="n">
        <f aca="false">First_Year+COLUMN()-COLUMN($J$1)</f>
        <v>2053</v>
      </c>
      <c r="AL359" s="74" t="n">
        <f aca="false">First_Year+COLUMN()-COLUMN($J$1)</f>
        <v>2054</v>
      </c>
      <c r="AM359" s="74" t="n">
        <f aca="false">First_Year+COLUMN()-COLUMN($J$1)</f>
        <v>2055</v>
      </c>
      <c r="AN359" s="74" t="n">
        <f aca="false">First_Year+COLUMN()-COLUMN($J$1)</f>
        <v>2056</v>
      </c>
      <c r="AO359" s="74" t="n">
        <f aca="false">First_Year+COLUMN()-COLUMN($J$1)</f>
        <v>2057</v>
      </c>
      <c r="AP359" s="74" t="n">
        <f aca="false">First_Year+COLUMN()-COLUMN($J$1)</f>
        <v>2058</v>
      </c>
      <c r="AQ359" s="74" t="n">
        <f aca="false">First_Year+COLUMN()-COLUMN($J$1)</f>
        <v>2059</v>
      </c>
      <c r="AR359" s="74" t="n">
        <f aca="false">First_Year+COLUMN()-COLUMN($J$1)</f>
        <v>2060</v>
      </c>
      <c r="AS359" s="74" t="n">
        <f aca="false">First_Year+COLUMN()-COLUMN($J$1)</f>
        <v>2061</v>
      </c>
    </row>
    <row r="360" customFormat="false" ht="14.25" hidden="false" customHeight="false" outlineLevel="0" collapsed="false">
      <c r="C360" s="6" t="s">
        <v>285</v>
      </c>
      <c r="D360" s="2" t="s">
        <v>168</v>
      </c>
      <c r="J360" s="24" t="n">
        <f aca="false">DATE(J359+1,1,1)-1</f>
        <v>46387</v>
      </c>
      <c r="K360" s="24" t="n">
        <f aca="false">DATE(K359+1,1,1)-1</f>
        <v>46752</v>
      </c>
      <c r="L360" s="24" t="n">
        <f aca="false">DATE(L359+1,1,1)-1</f>
        <v>47118</v>
      </c>
      <c r="M360" s="24" t="n">
        <f aca="false">DATE(M359+1,1,1)-1</f>
        <v>47483</v>
      </c>
      <c r="N360" s="24" t="n">
        <f aca="false">DATE(N359+1,1,1)-1</f>
        <v>47848</v>
      </c>
      <c r="O360" s="24" t="n">
        <f aca="false">DATE(O359+1,1,1)-1</f>
        <v>48213</v>
      </c>
      <c r="P360" s="24" t="n">
        <f aca="false">DATE(P359+1,1,1)-1</f>
        <v>48579</v>
      </c>
      <c r="Q360" s="24" t="n">
        <f aca="false">DATE(Q359+1,1,1)-1</f>
        <v>48944</v>
      </c>
      <c r="R360" s="24" t="n">
        <f aca="false">DATE(R359+1,1,1)-1</f>
        <v>49309</v>
      </c>
      <c r="S360" s="24" t="n">
        <f aca="false">DATE(S359+1,1,1)-1</f>
        <v>49674</v>
      </c>
      <c r="T360" s="24" t="n">
        <f aca="false">DATE(T359+1,1,1)-1</f>
        <v>50040</v>
      </c>
      <c r="U360" s="24" t="n">
        <f aca="false">DATE(U359+1,1,1)-1</f>
        <v>50405</v>
      </c>
      <c r="V360" s="24" t="n">
        <f aca="false">DATE(V359+1,1,1)-1</f>
        <v>50770</v>
      </c>
      <c r="W360" s="24" t="n">
        <f aca="false">DATE(W359+1,1,1)-1</f>
        <v>51135</v>
      </c>
      <c r="X360" s="24" t="n">
        <f aca="false">DATE(X359+1,1,1)-1</f>
        <v>51501</v>
      </c>
      <c r="Y360" s="24" t="n">
        <f aca="false">DATE(Y359+1,1,1)-1</f>
        <v>51866</v>
      </c>
      <c r="Z360" s="24" t="n">
        <f aca="false">DATE(Z359+1,1,1)-1</f>
        <v>52231</v>
      </c>
      <c r="AA360" s="24" t="n">
        <f aca="false">DATE(AA359+1,1,1)-1</f>
        <v>52596</v>
      </c>
      <c r="AB360" s="24" t="n">
        <f aca="false">DATE(AB359+1,1,1)-1</f>
        <v>52962</v>
      </c>
      <c r="AC360" s="24" t="n">
        <f aca="false">DATE(AC359+1,1,1)-1</f>
        <v>53327</v>
      </c>
      <c r="AD360" s="24" t="n">
        <f aca="false">DATE(AD359+1,1,1)-1</f>
        <v>53692</v>
      </c>
      <c r="AE360" s="24" t="n">
        <f aca="false">DATE(AE359+1,1,1)-1</f>
        <v>54057</v>
      </c>
      <c r="AF360" s="24" t="n">
        <f aca="false">DATE(AF359+1,1,1)-1</f>
        <v>54423</v>
      </c>
      <c r="AG360" s="24" t="n">
        <f aca="false">DATE(AG359+1,1,1)-1</f>
        <v>54788</v>
      </c>
      <c r="AH360" s="24" t="n">
        <f aca="false">DATE(AH359+1,1,1)-1</f>
        <v>55153</v>
      </c>
      <c r="AI360" s="24" t="n">
        <f aca="false">DATE(AI359+1,1,1)-1</f>
        <v>55518</v>
      </c>
      <c r="AJ360" s="24" t="n">
        <f aca="false">DATE(AJ359+1,1,1)-1</f>
        <v>55884</v>
      </c>
      <c r="AK360" s="24" t="n">
        <f aca="false">DATE(AK359+1,1,1)-1</f>
        <v>56249</v>
      </c>
      <c r="AL360" s="24" t="n">
        <f aca="false">DATE(AL359+1,1,1)-1</f>
        <v>56614</v>
      </c>
      <c r="AM360" s="24" t="n">
        <f aca="false">DATE(AM359+1,1,1)-1</f>
        <v>56979</v>
      </c>
      <c r="AN360" s="24" t="n">
        <f aca="false">DATE(AN359+1,1,1)-1</f>
        <v>57345</v>
      </c>
      <c r="AO360" s="24" t="n">
        <f aca="false">DATE(AO359+1,1,1)-1</f>
        <v>57710</v>
      </c>
      <c r="AP360" s="24" t="n">
        <f aca="false">DATE(AP359+1,1,1)-1</f>
        <v>58075</v>
      </c>
      <c r="AQ360" s="24" t="n">
        <f aca="false">DATE(AQ359+1,1,1)-1</f>
        <v>58440</v>
      </c>
      <c r="AR360" s="24" t="n">
        <f aca="false">DATE(AR359+1,1,1)-1</f>
        <v>58806</v>
      </c>
      <c r="AS360" s="24" t="n">
        <f aca="false">DATE(AS359+1,1,1)-1</f>
        <v>59171</v>
      </c>
    </row>
    <row r="362" customFormat="false" ht="14.25" hidden="false" customHeight="false" outlineLevel="0" collapsed="false">
      <c r="B362" s="4" t="s">
        <v>3</v>
      </c>
      <c r="C362" s="4" t="s">
        <v>286</v>
      </c>
      <c r="D362" s="4"/>
      <c r="E362" s="5" t="s">
        <v>287</v>
      </c>
      <c r="F362" s="5"/>
      <c r="G362" s="5"/>
      <c r="H362" s="5" t="s">
        <v>8</v>
      </c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</row>
    <row r="363" customFormat="false" ht="14.25" hidden="false" customHeight="false" outlineLevel="0" collapsed="false">
      <c r="C363" s="6" t="s">
        <v>288</v>
      </c>
      <c r="D363" s="2" t="s">
        <v>289</v>
      </c>
      <c r="J363" s="74" t="n">
        <f aca="false">J$359-YEAR(Inputs!$E$26)</f>
        <v>-5</v>
      </c>
      <c r="K363" s="74" t="n">
        <f aca="false">K$359-YEAR(Inputs!$E$26)</f>
        <v>-4</v>
      </c>
      <c r="L363" s="74" t="n">
        <f aca="false">L$359-YEAR(Inputs!$E$26)</f>
        <v>-3</v>
      </c>
      <c r="M363" s="74" t="n">
        <f aca="false">M$359-YEAR(Inputs!$E$26)</f>
        <v>-2</v>
      </c>
      <c r="N363" s="74" t="n">
        <f aca="false">N$359-YEAR(Inputs!$E$26)</f>
        <v>-1</v>
      </c>
      <c r="O363" s="74" t="n">
        <f aca="false">O$359-YEAR(Inputs!$E$26)</f>
        <v>0</v>
      </c>
      <c r="P363" s="74" t="n">
        <f aca="false">P$359-YEAR(Inputs!$E$26)</f>
        <v>1</v>
      </c>
      <c r="Q363" s="74" t="n">
        <f aca="false">Q$359-YEAR(Inputs!$E$26)</f>
        <v>2</v>
      </c>
      <c r="R363" s="74" t="n">
        <f aca="false">R$359-YEAR(Inputs!$E$26)</f>
        <v>3</v>
      </c>
      <c r="S363" s="74" t="n">
        <f aca="false">S$359-YEAR(Inputs!$E$26)</f>
        <v>4</v>
      </c>
      <c r="T363" s="74" t="n">
        <f aca="false">T$359-YEAR(Inputs!$E$26)</f>
        <v>5</v>
      </c>
      <c r="U363" s="74" t="n">
        <f aca="false">U$359-YEAR(Inputs!$E$26)</f>
        <v>6</v>
      </c>
      <c r="V363" s="74" t="n">
        <f aca="false">V$359-YEAR(Inputs!$E$26)</f>
        <v>7</v>
      </c>
      <c r="W363" s="74" t="n">
        <f aca="false">W$359-YEAR(Inputs!$E$26)</f>
        <v>8</v>
      </c>
      <c r="X363" s="74" t="n">
        <f aca="false">X$359-YEAR(Inputs!$E$26)</f>
        <v>9</v>
      </c>
      <c r="Y363" s="74" t="n">
        <f aca="false">Y$359-YEAR(Inputs!$E$26)</f>
        <v>10</v>
      </c>
      <c r="Z363" s="74" t="n">
        <f aca="false">Z$359-YEAR(Inputs!$E$26)</f>
        <v>11</v>
      </c>
      <c r="AA363" s="74" t="n">
        <f aca="false">AA$359-YEAR(Inputs!$E$26)</f>
        <v>12</v>
      </c>
      <c r="AB363" s="74" t="n">
        <f aca="false">AB$359-YEAR(Inputs!$E$26)</f>
        <v>13</v>
      </c>
      <c r="AC363" s="74" t="n">
        <f aca="false">AC$359-YEAR(Inputs!$E$26)</f>
        <v>14</v>
      </c>
      <c r="AD363" s="74" t="n">
        <f aca="false">AD$359-YEAR(Inputs!$E$26)</f>
        <v>15</v>
      </c>
      <c r="AE363" s="74" t="n">
        <f aca="false">AE$359-YEAR(Inputs!$E$26)</f>
        <v>16</v>
      </c>
      <c r="AF363" s="74" t="n">
        <f aca="false">AF$359-YEAR(Inputs!$E$26)</f>
        <v>17</v>
      </c>
      <c r="AG363" s="74" t="n">
        <f aca="false">AG$359-YEAR(Inputs!$E$26)</f>
        <v>18</v>
      </c>
      <c r="AH363" s="74" t="n">
        <f aca="false">AH$359-YEAR(Inputs!$E$26)</f>
        <v>19</v>
      </c>
      <c r="AI363" s="74" t="n">
        <f aca="false">AI$359-YEAR(Inputs!$E$26)</f>
        <v>20</v>
      </c>
      <c r="AJ363" s="74" t="n">
        <f aca="false">AJ$359-YEAR(Inputs!$E$26)</f>
        <v>21</v>
      </c>
      <c r="AK363" s="74" t="n">
        <f aca="false">AK$359-YEAR(Inputs!$E$26)</f>
        <v>22</v>
      </c>
      <c r="AL363" s="74" t="n">
        <f aca="false">AL$359-YEAR(Inputs!$E$26)</f>
        <v>23</v>
      </c>
      <c r="AM363" s="74" t="n">
        <f aca="false">AM$359-YEAR(Inputs!$E$26)</f>
        <v>24</v>
      </c>
      <c r="AN363" s="74" t="n">
        <f aca="false">AN$359-YEAR(Inputs!$E$26)</f>
        <v>25</v>
      </c>
      <c r="AO363" s="74" t="n">
        <f aca="false">AO$359-YEAR(Inputs!$E$26)</f>
        <v>26</v>
      </c>
      <c r="AP363" s="74" t="n">
        <f aca="false">AP$359-YEAR(Inputs!$E$26)</f>
        <v>27</v>
      </c>
      <c r="AQ363" s="74" t="n">
        <f aca="false">AQ$359-YEAR(Inputs!$E$26)</f>
        <v>28</v>
      </c>
      <c r="AR363" s="74" t="n">
        <f aca="false">AR$359-YEAR(Inputs!$E$26)</f>
        <v>29</v>
      </c>
      <c r="AS363" s="74" t="n">
        <f aca="false">AS$359-YEAR(Inputs!$E$26)</f>
        <v>30</v>
      </c>
    </row>
    <row r="364" customFormat="false" ht="14.25" hidden="false" customHeight="false" outlineLevel="0" collapsed="false">
      <c r="C364" s="6" t="s">
        <v>290</v>
      </c>
      <c r="D364" s="2" t="s">
        <v>291</v>
      </c>
      <c r="E364" s="74" t="n">
        <f aca="false">DATEDIF(Inputs!$E$25,Inputs!$E$26,"m")</f>
        <v>24</v>
      </c>
      <c r="J364" s="74" t="n">
        <f aca="false">(J$359+1-YEAR(Inputs!$E$25))*Months_In_Year-MONTH(Inputs!$E$25)</f>
        <v>-30</v>
      </c>
      <c r="K364" s="74" t="n">
        <f aca="false">(K$359+1-YEAR(Inputs!$E$25))*Months_In_Year-MONTH(Inputs!$E$25)</f>
        <v>-18</v>
      </c>
      <c r="L364" s="74" t="n">
        <f aca="false">(L$359+1-YEAR(Inputs!$E$25))*Months_In_Year-MONTH(Inputs!$E$25)</f>
        <v>-6</v>
      </c>
      <c r="M364" s="74" t="n">
        <f aca="false">(M$359+1-YEAR(Inputs!$E$25))*Months_In_Year-MONTH(Inputs!$E$25)</f>
        <v>6</v>
      </c>
      <c r="N364" s="74" t="n">
        <f aca="false">(N$359+1-YEAR(Inputs!$E$25))*Months_In_Year-MONTH(Inputs!$E$25)</f>
        <v>18</v>
      </c>
      <c r="O364" s="74" t="n">
        <f aca="false">(O$359+1-YEAR(Inputs!$E$25))*Months_In_Year-MONTH(Inputs!$E$25)</f>
        <v>30</v>
      </c>
      <c r="P364" s="74" t="n">
        <f aca="false">(P$359+1-YEAR(Inputs!$E$25))*Months_In_Year-MONTH(Inputs!$E$25)</f>
        <v>42</v>
      </c>
      <c r="Q364" s="74" t="n">
        <f aca="false">(Q$359+1-YEAR(Inputs!$E$25))*Months_In_Year-MONTH(Inputs!$E$25)</f>
        <v>54</v>
      </c>
      <c r="R364" s="74" t="n">
        <f aca="false">(R$359+1-YEAR(Inputs!$E$25))*Months_In_Year-MONTH(Inputs!$E$25)</f>
        <v>66</v>
      </c>
      <c r="S364" s="74" t="n">
        <f aca="false">(S$359+1-YEAR(Inputs!$E$25))*Months_In_Year-MONTH(Inputs!$E$25)</f>
        <v>78</v>
      </c>
      <c r="T364" s="74" t="n">
        <f aca="false">(T$359+1-YEAR(Inputs!$E$25))*Months_In_Year-MONTH(Inputs!$E$25)</f>
        <v>90</v>
      </c>
      <c r="U364" s="74" t="n">
        <f aca="false">(U$359+1-YEAR(Inputs!$E$25))*Months_In_Year-MONTH(Inputs!$E$25)</f>
        <v>102</v>
      </c>
      <c r="V364" s="74" t="n">
        <f aca="false">(V$359+1-YEAR(Inputs!$E$25))*Months_In_Year-MONTH(Inputs!$E$25)</f>
        <v>114</v>
      </c>
      <c r="W364" s="74" t="n">
        <f aca="false">(W$359+1-YEAR(Inputs!$E$25))*Months_In_Year-MONTH(Inputs!$E$25)</f>
        <v>126</v>
      </c>
      <c r="X364" s="74" t="n">
        <f aca="false">(X$359+1-YEAR(Inputs!$E$25))*Months_In_Year-MONTH(Inputs!$E$25)</f>
        <v>138</v>
      </c>
      <c r="Y364" s="74" t="n">
        <f aca="false">(Y$359+1-YEAR(Inputs!$E$25))*Months_In_Year-MONTH(Inputs!$E$25)</f>
        <v>150</v>
      </c>
      <c r="Z364" s="74" t="n">
        <f aca="false">(Z$359+1-YEAR(Inputs!$E$25))*Months_In_Year-MONTH(Inputs!$E$25)</f>
        <v>162</v>
      </c>
      <c r="AA364" s="74" t="n">
        <f aca="false">(AA$359+1-YEAR(Inputs!$E$25))*Months_In_Year-MONTH(Inputs!$E$25)</f>
        <v>174</v>
      </c>
      <c r="AB364" s="74" t="n">
        <f aca="false">(AB$359+1-YEAR(Inputs!$E$25))*Months_In_Year-MONTH(Inputs!$E$25)</f>
        <v>186</v>
      </c>
      <c r="AC364" s="74" t="n">
        <f aca="false">(AC$359+1-YEAR(Inputs!$E$25))*Months_In_Year-MONTH(Inputs!$E$25)</f>
        <v>198</v>
      </c>
      <c r="AD364" s="74" t="n">
        <f aca="false">(AD$359+1-YEAR(Inputs!$E$25))*Months_In_Year-MONTH(Inputs!$E$25)</f>
        <v>210</v>
      </c>
      <c r="AE364" s="74" t="n">
        <f aca="false">(AE$359+1-YEAR(Inputs!$E$25))*Months_In_Year-MONTH(Inputs!$E$25)</f>
        <v>222</v>
      </c>
      <c r="AF364" s="74" t="n">
        <f aca="false">(AF$359+1-YEAR(Inputs!$E$25))*Months_In_Year-MONTH(Inputs!$E$25)</f>
        <v>234</v>
      </c>
      <c r="AG364" s="74" t="n">
        <f aca="false">(AG$359+1-YEAR(Inputs!$E$25))*Months_In_Year-MONTH(Inputs!$E$25)</f>
        <v>246</v>
      </c>
      <c r="AH364" s="74" t="n">
        <f aca="false">(AH$359+1-YEAR(Inputs!$E$25))*Months_In_Year-MONTH(Inputs!$E$25)</f>
        <v>258</v>
      </c>
      <c r="AI364" s="74" t="n">
        <f aca="false">(AI$359+1-YEAR(Inputs!$E$25))*Months_In_Year-MONTH(Inputs!$E$25)</f>
        <v>270</v>
      </c>
      <c r="AJ364" s="74" t="n">
        <f aca="false">(AJ$359+1-YEAR(Inputs!$E$25))*Months_In_Year-MONTH(Inputs!$E$25)</f>
        <v>282</v>
      </c>
      <c r="AK364" s="74" t="n">
        <f aca="false">(AK$359+1-YEAR(Inputs!$E$25))*Months_In_Year-MONTH(Inputs!$E$25)</f>
        <v>294</v>
      </c>
      <c r="AL364" s="74" t="n">
        <f aca="false">(AL$359+1-YEAR(Inputs!$E$25))*Months_In_Year-MONTH(Inputs!$E$25)</f>
        <v>306</v>
      </c>
      <c r="AM364" s="74" t="n">
        <f aca="false">(AM$359+1-YEAR(Inputs!$E$25))*Months_In_Year-MONTH(Inputs!$E$25)</f>
        <v>318</v>
      </c>
      <c r="AN364" s="74" t="n">
        <f aca="false">(AN$359+1-YEAR(Inputs!$E$25))*Months_In_Year-MONTH(Inputs!$E$25)</f>
        <v>330</v>
      </c>
      <c r="AO364" s="74" t="n">
        <f aca="false">(AO$359+1-YEAR(Inputs!$E$25))*Months_In_Year-MONTH(Inputs!$E$25)</f>
        <v>342</v>
      </c>
      <c r="AP364" s="74" t="n">
        <f aca="false">(AP$359+1-YEAR(Inputs!$E$25))*Months_In_Year-MONTH(Inputs!$E$25)</f>
        <v>354</v>
      </c>
      <c r="AQ364" s="74" t="n">
        <f aca="false">(AQ$359+1-YEAR(Inputs!$E$25))*Months_In_Year-MONTH(Inputs!$E$25)</f>
        <v>366</v>
      </c>
      <c r="AR364" s="74" t="n">
        <f aca="false">(AR$359+1-YEAR(Inputs!$E$25))*Months_In_Year-MONTH(Inputs!$E$25)</f>
        <v>378</v>
      </c>
      <c r="AS364" s="74" t="n">
        <f aca="false">(AS$359+1-YEAR(Inputs!$E$25))*Months_In_Year-MONTH(Inputs!$E$25)</f>
        <v>390</v>
      </c>
    </row>
    <row r="365" customFormat="false" ht="14.25" hidden="false" customHeight="false" outlineLevel="0" collapsed="false">
      <c r="C365" s="6" t="s">
        <v>292</v>
      </c>
      <c r="D365" s="2" t="s">
        <v>12</v>
      </c>
      <c r="H365" s="75" t="n">
        <f aca="false">SUM(J365:AS365)</f>
        <v>1</v>
      </c>
      <c r="J365" s="48" t="n">
        <f aca="false">MAX(0,MIN(J364,$E364)-MAX(J364-Months_In_Year,0))/$E364</f>
        <v>0</v>
      </c>
      <c r="K365" s="48" t="n">
        <f aca="false">MAX(0,MIN(K364,$E364)-MAX(K364-Months_In_Year,0))/$E364</f>
        <v>0</v>
      </c>
      <c r="L365" s="48" t="n">
        <f aca="false">MAX(0,MIN(L364,$E364)-MAX(L364-Months_In_Year,0))/$E364</f>
        <v>0</v>
      </c>
      <c r="M365" s="48" t="n">
        <f aca="false">MAX(0,MIN(M364,$E364)-MAX(M364-Months_In_Year,0))/$E364</f>
        <v>0.25</v>
      </c>
      <c r="N365" s="48" t="n">
        <f aca="false">MAX(0,MIN(N364,$E364)-MAX(N364-Months_In_Year,0))/$E364</f>
        <v>0.5</v>
      </c>
      <c r="O365" s="48" t="n">
        <f aca="false">MAX(0,MIN(O364,$E364)-MAX(O364-Months_In_Year,0))/$E364</f>
        <v>0.25</v>
      </c>
      <c r="P365" s="48" t="n">
        <f aca="false">MAX(0,MIN(P364,$E364)-MAX(P364-Months_In_Year,0))/$E364</f>
        <v>0</v>
      </c>
      <c r="Q365" s="48" t="n">
        <f aca="false">MAX(0,MIN(Q364,$E364)-MAX(Q364-Months_In_Year,0))/$E364</f>
        <v>0</v>
      </c>
      <c r="R365" s="48" t="n">
        <f aca="false">MAX(0,MIN(R364,$E364)-MAX(R364-Months_In_Year,0))/$E364</f>
        <v>0</v>
      </c>
      <c r="S365" s="48" t="n">
        <f aca="false">MAX(0,MIN(S364,$E364)-MAX(S364-Months_In_Year,0))/$E364</f>
        <v>0</v>
      </c>
      <c r="T365" s="48" t="n">
        <f aca="false">MAX(0,MIN(T364,$E364)-MAX(T364-Months_In_Year,0))/$E364</f>
        <v>0</v>
      </c>
      <c r="U365" s="48" t="n">
        <f aca="false">MAX(0,MIN(U364,$E364)-MAX(U364-Months_In_Year,0))/$E364</f>
        <v>0</v>
      </c>
      <c r="V365" s="48" t="n">
        <f aca="false">MAX(0,MIN(V364,$E364)-MAX(V364-Months_In_Year,0))/$E364</f>
        <v>0</v>
      </c>
      <c r="W365" s="48" t="n">
        <f aca="false">MAX(0,MIN(W364,$E364)-MAX(W364-Months_In_Year,0))/$E364</f>
        <v>0</v>
      </c>
      <c r="X365" s="48" t="n">
        <f aca="false">MAX(0,MIN(X364,$E364)-MAX(X364-Months_In_Year,0))/$E364</f>
        <v>0</v>
      </c>
      <c r="Y365" s="48" t="n">
        <f aca="false">MAX(0,MIN(Y364,$E364)-MAX(Y364-Months_In_Year,0))/$E364</f>
        <v>0</v>
      </c>
      <c r="Z365" s="48" t="n">
        <f aca="false">MAX(0,MIN(Z364,$E364)-MAX(Z364-Months_In_Year,0))/$E364</f>
        <v>0</v>
      </c>
      <c r="AA365" s="48" t="n">
        <f aca="false">MAX(0,MIN(AA364,$E364)-MAX(AA364-Months_In_Year,0))/$E364</f>
        <v>0</v>
      </c>
      <c r="AB365" s="48" t="n">
        <f aca="false">MAX(0,MIN(AB364,$E364)-MAX(AB364-Months_In_Year,0))/$E364</f>
        <v>0</v>
      </c>
      <c r="AC365" s="48" t="n">
        <f aca="false">MAX(0,MIN(AC364,$E364)-MAX(AC364-Months_In_Year,0))/$E364</f>
        <v>0</v>
      </c>
      <c r="AD365" s="48" t="n">
        <f aca="false">MAX(0,MIN(AD364,$E364)-MAX(AD364-Months_In_Year,0))/$E364</f>
        <v>0</v>
      </c>
      <c r="AE365" s="48" t="n">
        <f aca="false">MAX(0,MIN(AE364,$E364)-MAX(AE364-Months_In_Year,0))/$E364</f>
        <v>0</v>
      </c>
      <c r="AF365" s="48" t="n">
        <f aca="false">MAX(0,MIN(AF364,$E364)-MAX(AF364-Months_In_Year,0))/$E364</f>
        <v>0</v>
      </c>
      <c r="AG365" s="48" t="n">
        <f aca="false">MAX(0,MIN(AG364,$E364)-MAX(AG364-Months_In_Year,0))/$E364</f>
        <v>0</v>
      </c>
      <c r="AH365" s="48" t="n">
        <f aca="false">MAX(0,MIN(AH364,$E364)-MAX(AH364-Months_In_Year,0))/$E364</f>
        <v>0</v>
      </c>
      <c r="AI365" s="48" t="n">
        <f aca="false">MAX(0,MIN(AI364,$E364)-MAX(AI364-Months_In_Year,0))/$E364</f>
        <v>0</v>
      </c>
      <c r="AJ365" s="48" t="n">
        <f aca="false">MAX(0,MIN(AJ364,$E364)-MAX(AJ364-Months_In_Year,0))/$E364</f>
        <v>0</v>
      </c>
      <c r="AK365" s="48" t="n">
        <f aca="false">MAX(0,MIN(AK364,$E364)-MAX(AK364-Months_In_Year,0))/$E364</f>
        <v>0</v>
      </c>
      <c r="AL365" s="48" t="n">
        <f aca="false">MAX(0,MIN(AL364,$E364)-MAX(AL364-Months_In_Year,0))/$E364</f>
        <v>0</v>
      </c>
      <c r="AM365" s="48" t="n">
        <f aca="false">MAX(0,MIN(AM364,$E364)-MAX(AM364-Months_In_Year,0))/$E364</f>
        <v>0</v>
      </c>
      <c r="AN365" s="48" t="n">
        <f aca="false">MAX(0,MIN(AN364,$E364)-MAX(AN364-Months_In_Year,0))/$E364</f>
        <v>0</v>
      </c>
      <c r="AO365" s="48" t="n">
        <f aca="false">MAX(0,MIN(AO364,$E364)-MAX(AO364-Months_In_Year,0))/$E364</f>
        <v>0</v>
      </c>
      <c r="AP365" s="48" t="n">
        <f aca="false">MAX(0,MIN(AP364,$E364)-MAX(AP364-Months_In_Year,0))/$E364</f>
        <v>0</v>
      </c>
      <c r="AQ365" s="48" t="n">
        <f aca="false">MAX(0,MIN(AQ364,$E364)-MAX(AQ364-Months_In_Year,0))/$E364</f>
        <v>0</v>
      </c>
      <c r="AR365" s="48" t="n">
        <f aca="false">MAX(0,MIN(AR364,$E364)-MAX(AR364-Months_In_Year,0))/$E364</f>
        <v>0</v>
      </c>
      <c r="AS365" s="48" t="n">
        <f aca="false">MAX(0,MIN(AS364,$E364)-MAX(AS364-Months_In_Year,0))/$E364</f>
        <v>0</v>
      </c>
    </row>
    <row r="366" customFormat="false" ht="14.25" hidden="false" customHeight="false" outlineLevel="0" collapsed="false">
      <c r="C366" s="6" t="s">
        <v>293</v>
      </c>
      <c r="D366" s="2" t="s">
        <v>291</v>
      </c>
      <c r="E366" s="74" t="n">
        <f aca="false">Life*Months_In_Year</f>
        <v>360</v>
      </c>
      <c r="J366" s="74" t="n">
        <f aca="false">(J$359+1-YEAR(Inputs!$E$26))*Months_In_Year-MONTH(Inputs!$E$26)</f>
        <v>-54</v>
      </c>
      <c r="K366" s="74" t="n">
        <f aca="false">(K$359+1-YEAR(Inputs!$E$26))*Months_In_Year-MONTH(Inputs!$E$26)</f>
        <v>-42</v>
      </c>
      <c r="L366" s="74" t="n">
        <f aca="false">(L$359+1-YEAR(Inputs!$E$26))*Months_In_Year-MONTH(Inputs!$E$26)</f>
        <v>-30</v>
      </c>
      <c r="M366" s="74" t="n">
        <f aca="false">(M$359+1-YEAR(Inputs!$E$26))*Months_In_Year-MONTH(Inputs!$E$26)</f>
        <v>-18</v>
      </c>
      <c r="N366" s="74" t="n">
        <f aca="false">(N$359+1-YEAR(Inputs!$E$26))*Months_In_Year-MONTH(Inputs!$E$26)</f>
        <v>-6</v>
      </c>
      <c r="O366" s="74" t="n">
        <f aca="false">(O$359+1-YEAR(Inputs!$E$26))*Months_In_Year-MONTH(Inputs!$E$26)</f>
        <v>6</v>
      </c>
      <c r="P366" s="74" t="n">
        <f aca="false">(P$359+1-YEAR(Inputs!$E$26))*Months_In_Year-MONTH(Inputs!$E$26)</f>
        <v>18</v>
      </c>
      <c r="Q366" s="74" t="n">
        <f aca="false">(Q$359+1-YEAR(Inputs!$E$26))*Months_In_Year-MONTH(Inputs!$E$26)</f>
        <v>30</v>
      </c>
      <c r="R366" s="74" t="n">
        <f aca="false">(R$359+1-YEAR(Inputs!$E$26))*Months_In_Year-MONTH(Inputs!$E$26)</f>
        <v>42</v>
      </c>
      <c r="S366" s="74" t="n">
        <f aca="false">(S$359+1-YEAR(Inputs!$E$26))*Months_In_Year-MONTH(Inputs!$E$26)</f>
        <v>54</v>
      </c>
      <c r="T366" s="74" t="n">
        <f aca="false">(T$359+1-YEAR(Inputs!$E$26))*Months_In_Year-MONTH(Inputs!$E$26)</f>
        <v>66</v>
      </c>
      <c r="U366" s="74" t="n">
        <f aca="false">(U$359+1-YEAR(Inputs!$E$26))*Months_In_Year-MONTH(Inputs!$E$26)</f>
        <v>78</v>
      </c>
      <c r="V366" s="74" t="n">
        <f aca="false">(V$359+1-YEAR(Inputs!$E$26))*Months_In_Year-MONTH(Inputs!$E$26)</f>
        <v>90</v>
      </c>
      <c r="W366" s="74" t="n">
        <f aca="false">(W$359+1-YEAR(Inputs!$E$26))*Months_In_Year-MONTH(Inputs!$E$26)</f>
        <v>102</v>
      </c>
      <c r="X366" s="74" t="n">
        <f aca="false">(X$359+1-YEAR(Inputs!$E$26))*Months_In_Year-MONTH(Inputs!$E$26)</f>
        <v>114</v>
      </c>
      <c r="Y366" s="74" t="n">
        <f aca="false">(Y$359+1-YEAR(Inputs!$E$26))*Months_In_Year-MONTH(Inputs!$E$26)</f>
        <v>126</v>
      </c>
      <c r="Z366" s="74" t="n">
        <f aca="false">(Z$359+1-YEAR(Inputs!$E$26))*Months_In_Year-MONTH(Inputs!$E$26)</f>
        <v>138</v>
      </c>
      <c r="AA366" s="74" t="n">
        <f aca="false">(AA$359+1-YEAR(Inputs!$E$26))*Months_In_Year-MONTH(Inputs!$E$26)</f>
        <v>150</v>
      </c>
      <c r="AB366" s="74" t="n">
        <f aca="false">(AB$359+1-YEAR(Inputs!$E$26))*Months_In_Year-MONTH(Inputs!$E$26)</f>
        <v>162</v>
      </c>
      <c r="AC366" s="74" t="n">
        <f aca="false">(AC$359+1-YEAR(Inputs!$E$26))*Months_In_Year-MONTH(Inputs!$E$26)</f>
        <v>174</v>
      </c>
      <c r="AD366" s="74" t="n">
        <f aca="false">(AD$359+1-YEAR(Inputs!$E$26))*Months_In_Year-MONTH(Inputs!$E$26)</f>
        <v>186</v>
      </c>
      <c r="AE366" s="74" t="n">
        <f aca="false">(AE$359+1-YEAR(Inputs!$E$26))*Months_In_Year-MONTH(Inputs!$E$26)</f>
        <v>198</v>
      </c>
      <c r="AF366" s="74" t="n">
        <f aca="false">(AF$359+1-YEAR(Inputs!$E$26))*Months_In_Year-MONTH(Inputs!$E$26)</f>
        <v>210</v>
      </c>
      <c r="AG366" s="74" t="n">
        <f aca="false">(AG$359+1-YEAR(Inputs!$E$26))*Months_In_Year-MONTH(Inputs!$E$26)</f>
        <v>222</v>
      </c>
      <c r="AH366" s="74" t="n">
        <f aca="false">(AH$359+1-YEAR(Inputs!$E$26))*Months_In_Year-MONTH(Inputs!$E$26)</f>
        <v>234</v>
      </c>
      <c r="AI366" s="74" t="n">
        <f aca="false">(AI$359+1-YEAR(Inputs!$E$26))*Months_In_Year-MONTH(Inputs!$E$26)</f>
        <v>246</v>
      </c>
      <c r="AJ366" s="74" t="n">
        <f aca="false">(AJ$359+1-YEAR(Inputs!$E$26))*Months_In_Year-MONTH(Inputs!$E$26)</f>
        <v>258</v>
      </c>
      <c r="AK366" s="74" t="n">
        <f aca="false">(AK$359+1-YEAR(Inputs!$E$26))*Months_In_Year-MONTH(Inputs!$E$26)</f>
        <v>270</v>
      </c>
      <c r="AL366" s="74" t="n">
        <f aca="false">(AL$359+1-YEAR(Inputs!$E$26))*Months_In_Year-MONTH(Inputs!$E$26)</f>
        <v>282</v>
      </c>
      <c r="AM366" s="74" t="n">
        <f aca="false">(AM$359+1-YEAR(Inputs!$E$26))*Months_In_Year-MONTH(Inputs!$E$26)</f>
        <v>294</v>
      </c>
      <c r="AN366" s="74" t="n">
        <f aca="false">(AN$359+1-YEAR(Inputs!$E$26))*Months_In_Year-MONTH(Inputs!$E$26)</f>
        <v>306</v>
      </c>
      <c r="AO366" s="74" t="n">
        <f aca="false">(AO$359+1-YEAR(Inputs!$E$26))*Months_In_Year-MONTH(Inputs!$E$26)</f>
        <v>318</v>
      </c>
      <c r="AP366" s="74" t="n">
        <f aca="false">(AP$359+1-YEAR(Inputs!$E$26))*Months_In_Year-MONTH(Inputs!$E$26)</f>
        <v>330</v>
      </c>
      <c r="AQ366" s="74" t="n">
        <f aca="false">(AQ$359+1-YEAR(Inputs!$E$26))*Months_In_Year-MONTH(Inputs!$E$26)</f>
        <v>342</v>
      </c>
      <c r="AR366" s="74" t="n">
        <f aca="false">(AR$359+1-YEAR(Inputs!$E$26))*Months_In_Year-MONTH(Inputs!$E$26)</f>
        <v>354</v>
      </c>
      <c r="AS366" s="74" t="n">
        <f aca="false">(AS$359+1-YEAR(Inputs!$E$26))*Months_In_Year-MONTH(Inputs!$E$26)</f>
        <v>366</v>
      </c>
    </row>
    <row r="367" customFormat="false" ht="14.25" hidden="false" customHeight="false" outlineLevel="0" collapsed="false">
      <c r="C367" s="6" t="s">
        <v>294</v>
      </c>
      <c r="D367" s="2" t="s">
        <v>12</v>
      </c>
      <c r="H367" s="75" t="n">
        <f aca="false">SUM(J367:AS367)</f>
        <v>30</v>
      </c>
      <c r="J367" s="48" t="n">
        <f aca="false">MAX(0,MIN(J366,$E366)-MAX(J366-Months_In_Year,0))/Months_In_Year</f>
        <v>0</v>
      </c>
      <c r="K367" s="48" t="n">
        <f aca="false">MAX(0,MIN(K366,$E366)-MAX(K366-Months_In_Year,0))/Months_In_Year</f>
        <v>0</v>
      </c>
      <c r="L367" s="48" t="n">
        <f aca="false">MAX(0,MIN(L366,$E366)-MAX(L366-Months_In_Year,0))/Months_In_Year</f>
        <v>0</v>
      </c>
      <c r="M367" s="48" t="n">
        <f aca="false">MAX(0,MIN(M366,$E366)-MAX(M366-Months_In_Year,0))/Months_In_Year</f>
        <v>0</v>
      </c>
      <c r="N367" s="48" t="n">
        <f aca="false">MAX(0,MIN(N366,$E366)-MAX(N366-Months_In_Year,0))/Months_In_Year</f>
        <v>0</v>
      </c>
      <c r="O367" s="48" t="n">
        <f aca="false">MAX(0,MIN(O366,$E366)-MAX(O366-Months_In_Year,0))/Months_In_Year</f>
        <v>0.5</v>
      </c>
      <c r="P367" s="48" t="n">
        <f aca="false">MAX(0,MIN(P366,$E366)-MAX(P366-Months_In_Year,0))/Months_In_Year</f>
        <v>1</v>
      </c>
      <c r="Q367" s="48" t="n">
        <f aca="false">MAX(0,MIN(Q366,$E366)-MAX(Q366-Months_In_Year,0))/Months_In_Year</f>
        <v>1</v>
      </c>
      <c r="R367" s="48" t="n">
        <f aca="false">MAX(0,MIN(R366,$E366)-MAX(R366-Months_In_Year,0))/Months_In_Year</f>
        <v>1</v>
      </c>
      <c r="S367" s="48" t="n">
        <f aca="false">MAX(0,MIN(S366,$E366)-MAX(S366-Months_In_Year,0))/Months_In_Year</f>
        <v>1</v>
      </c>
      <c r="T367" s="48" t="n">
        <f aca="false">MAX(0,MIN(T366,$E366)-MAX(T366-Months_In_Year,0))/Months_In_Year</f>
        <v>1</v>
      </c>
      <c r="U367" s="48" t="n">
        <f aca="false">MAX(0,MIN(U366,$E366)-MAX(U366-Months_In_Year,0))/Months_In_Year</f>
        <v>1</v>
      </c>
      <c r="V367" s="48" t="n">
        <f aca="false">MAX(0,MIN(V366,$E366)-MAX(V366-Months_In_Year,0))/Months_In_Year</f>
        <v>1</v>
      </c>
      <c r="W367" s="48" t="n">
        <f aca="false">MAX(0,MIN(W366,$E366)-MAX(W366-Months_In_Year,0))/Months_In_Year</f>
        <v>1</v>
      </c>
      <c r="X367" s="48" t="n">
        <f aca="false">MAX(0,MIN(X366,$E366)-MAX(X366-Months_In_Year,0))/Months_In_Year</f>
        <v>1</v>
      </c>
      <c r="Y367" s="48" t="n">
        <f aca="false">MAX(0,MIN(Y366,$E366)-MAX(Y366-Months_In_Year,0))/Months_In_Year</f>
        <v>1</v>
      </c>
      <c r="Z367" s="48" t="n">
        <f aca="false">MAX(0,MIN(Z366,$E366)-MAX(Z366-Months_In_Year,0))/Months_In_Year</f>
        <v>1</v>
      </c>
      <c r="AA367" s="48" t="n">
        <f aca="false">MAX(0,MIN(AA366,$E366)-MAX(AA366-Months_In_Year,0))/Months_In_Year</f>
        <v>1</v>
      </c>
      <c r="AB367" s="48" t="n">
        <f aca="false">MAX(0,MIN(AB366,$E366)-MAX(AB366-Months_In_Year,0))/Months_In_Year</f>
        <v>1</v>
      </c>
      <c r="AC367" s="48" t="n">
        <f aca="false">MAX(0,MIN(AC366,$E366)-MAX(AC366-Months_In_Year,0))/Months_In_Year</f>
        <v>1</v>
      </c>
      <c r="AD367" s="48" t="n">
        <f aca="false">MAX(0,MIN(AD366,$E366)-MAX(AD366-Months_In_Year,0))/Months_In_Year</f>
        <v>1</v>
      </c>
      <c r="AE367" s="48" t="n">
        <f aca="false">MAX(0,MIN(AE366,$E366)-MAX(AE366-Months_In_Year,0))/Months_In_Year</f>
        <v>1</v>
      </c>
      <c r="AF367" s="48" t="n">
        <f aca="false">MAX(0,MIN(AF366,$E366)-MAX(AF366-Months_In_Year,0))/Months_In_Year</f>
        <v>1</v>
      </c>
      <c r="AG367" s="48" t="n">
        <f aca="false">MAX(0,MIN(AG366,$E366)-MAX(AG366-Months_In_Year,0))/Months_In_Year</f>
        <v>1</v>
      </c>
      <c r="AH367" s="48" t="n">
        <f aca="false">MAX(0,MIN(AH366,$E366)-MAX(AH366-Months_In_Year,0))/Months_In_Year</f>
        <v>1</v>
      </c>
      <c r="AI367" s="48" t="n">
        <f aca="false">MAX(0,MIN(AI366,$E366)-MAX(AI366-Months_In_Year,0))/Months_In_Year</f>
        <v>1</v>
      </c>
      <c r="AJ367" s="48" t="n">
        <f aca="false">MAX(0,MIN(AJ366,$E366)-MAX(AJ366-Months_In_Year,0))/Months_In_Year</f>
        <v>1</v>
      </c>
      <c r="AK367" s="48" t="n">
        <f aca="false">MAX(0,MIN(AK366,$E366)-MAX(AK366-Months_In_Year,0))/Months_In_Year</f>
        <v>1</v>
      </c>
      <c r="AL367" s="48" t="n">
        <f aca="false">MAX(0,MIN(AL366,$E366)-MAX(AL366-Months_In_Year,0))/Months_In_Year</f>
        <v>1</v>
      </c>
      <c r="AM367" s="48" t="n">
        <f aca="false">MAX(0,MIN(AM366,$E366)-MAX(AM366-Months_In_Year,0))/Months_In_Year</f>
        <v>1</v>
      </c>
      <c r="AN367" s="48" t="n">
        <f aca="false">MAX(0,MIN(AN366,$E366)-MAX(AN366-Months_In_Year,0))/Months_In_Year</f>
        <v>1</v>
      </c>
      <c r="AO367" s="48" t="n">
        <f aca="false">MAX(0,MIN(AO366,$E366)-MAX(AO366-Months_In_Year,0))/Months_In_Year</f>
        <v>1</v>
      </c>
      <c r="AP367" s="48" t="n">
        <f aca="false">MAX(0,MIN(AP366,$E366)-MAX(AP366-Months_In_Year,0))/Months_In_Year</f>
        <v>1</v>
      </c>
      <c r="AQ367" s="48" t="n">
        <f aca="false">MAX(0,MIN(AQ366,$E366)-MAX(AQ366-Months_In_Year,0))/Months_In_Year</f>
        <v>1</v>
      </c>
      <c r="AR367" s="48" t="n">
        <f aca="false">MAX(0,MIN(AR366,$E366)-MAX(AR366-Months_In_Year,0))/Months_In_Year</f>
        <v>1</v>
      </c>
      <c r="AS367" s="48" t="n">
        <f aca="false">MAX(0,MIN(AS366,$E366)-MAX(AS366-Months_In_Year,0))/Months_In_Year</f>
        <v>0.5</v>
      </c>
    </row>
    <row r="368" customFormat="false" ht="14.25" hidden="false" customHeight="false" outlineLevel="0" collapsed="false">
      <c r="C368" s="6" t="s">
        <v>295</v>
      </c>
      <c r="D368" s="2" t="s">
        <v>2</v>
      </c>
      <c r="J368" s="76" t="n">
        <f aca="false">N(J363=0)</f>
        <v>0</v>
      </c>
      <c r="K368" s="76" t="n">
        <f aca="false">N(K363=0)</f>
        <v>0</v>
      </c>
      <c r="L368" s="76" t="n">
        <f aca="false">N(L363=0)</f>
        <v>0</v>
      </c>
      <c r="M368" s="76" t="n">
        <f aca="false">N(M363=0)</f>
        <v>0</v>
      </c>
      <c r="N368" s="76" t="n">
        <f aca="false">N(N363=0)</f>
        <v>0</v>
      </c>
      <c r="O368" s="76" t="n">
        <f aca="false">N(O363=0)</f>
        <v>1</v>
      </c>
      <c r="P368" s="76" t="n">
        <f aca="false">N(P363=0)</f>
        <v>0</v>
      </c>
      <c r="Q368" s="76" t="n">
        <f aca="false">N(Q363=0)</f>
        <v>0</v>
      </c>
      <c r="R368" s="76" t="n">
        <f aca="false">N(R363=0)</f>
        <v>0</v>
      </c>
      <c r="S368" s="76" t="n">
        <f aca="false">N(S363=0)</f>
        <v>0</v>
      </c>
      <c r="T368" s="76" t="n">
        <f aca="false">N(T363=0)</f>
        <v>0</v>
      </c>
      <c r="U368" s="76" t="n">
        <f aca="false">N(U363=0)</f>
        <v>0</v>
      </c>
      <c r="V368" s="76" t="n">
        <f aca="false">N(V363=0)</f>
        <v>0</v>
      </c>
      <c r="W368" s="76" t="n">
        <f aca="false">N(W363=0)</f>
        <v>0</v>
      </c>
      <c r="X368" s="76" t="n">
        <f aca="false">N(X363=0)</f>
        <v>0</v>
      </c>
      <c r="Y368" s="76" t="n">
        <f aca="false">N(Y363=0)</f>
        <v>0</v>
      </c>
      <c r="Z368" s="76" t="n">
        <f aca="false">N(Z363=0)</f>
        <v>0</v>
      </c>
      <c r="AA368" s="76" t="n">
        <f aca="false">N(AA363=0)</f>
        <v>0</v>
      </c>
      <c r="AB368" s="76" t="n">
        <f aca="false">N(AB363=0)</f>
        <v>0</v>
      </c>
      <c r="AC368" s="76" t="n">
        <f aca="false">N(AC363=0)</f>
        <v>0</v>
      </c>
      <c r="AD368" s="76" t="n">
        <f aca="false">N(AD363=0)</f>
        <v>0</v>
      </c>
      <c r="AE368" s="76" t="n">
        <f aca="false">N(AE363=0)</f>
        <v>0</v>
      </c>
      <c r="AF368" s="76" t="n">
        <f aca="false">N(AF363=0)</f>
        <v>0</v>
      </c>
      <c r="AG368" s="76" t="n">
        <f aca="false">N(AG363=0)</f>
        <v>0</v>
      </c>
      <c r="AH368" s="76" t="n">
        <f aca="false">N(AH363=0)</f>
        <v>0</v>
      </c>
      <c r="AI368" s="76" t="n">
        <f aca="false">N(AI363=0)</f>
        <v>0</v>
      </c>
      <c r="AJ368" s="76" t="n">
        <f aca="false">N(AJ363=0)</f>
        <v>0</v>
      </c>
      <c r="AK368" s="76" t="n">
        <f aca="false">N(AK363=0)</f>
        <v>0</v>
      </c>
      <c r="AL368" s="76" t="n">
        <f aca="false">N(AL363=0)</f>
        <v>0</v>
      </c>
      <c r="AM368" s="76" t="n">
        <f aca="false">N(AM363=0)</f>
        <v>0</v>
      </c>
      <c r="AN368" s="76" t="n">
        <f aca="false">N(AN363=0)</f>
        <v>0</v>
      </c>
      <c r="AO368" s="76" t="n">
        <f aca="false">N(AO363=0)</f>
        <v>0</v>
      </c>
      <c r="AP368" s="76" t="n">
        <f aca="false">N(AP363=0)</f>
        <v>0</v>
      </c>
      <c r="AQ368" s="76" t="n">
        <f aca="false">N(AQ363=0)</f>
        <v>0</v>
      </c>
      <c r="AR368" s="76" t="n">
        <f aca="false">N(AR363=0)</f>
        <v>0</v>
      </c>
      <c r="AS368" s="76" t="n">
        <f aca="false">N(AS363=0)</f>
        <v>0</v>
      </c>
    </row>
    <row r="369" customFormat="false" ht="14.25" hidden="false" customHeight="false" outlineLevel="0" collapsed="false">
      <c r="C369" s="6" t="s">
        <v>296</v>
      </c>
      <c r="D369" s="2" t="s">
        <v>85</v>
      </c>
      <c r="H369" s="8" t="n">
        <f aca="false">SUM(J369:AS369)</f>
        <v>-20256.3995260274</v>
      </c>
      <c r="J369" s="8" t="n">
        <f aca="false">-($E$98+$E$68+$E$62+$E$63+$E$92)*(J$359=YEAR(Sale_Date))</f>
        <v>-0</v>
      </c>
      <c r="K369" s="8" t="n">
        <f aca="false">-($E$98+$E$68+$E$62+$E$63+$E$92)*(K$359=YEAR(Sale_Date))</f>
        <v>-0</v>
      </c>
      <c r="L369" s="8" t="n">
        <f aca="false">-($E$98+$E$68+$E$62+$E$63+$E$92)*(L$359=YEAR(Sale_Date))</f>
        <v>-0</v>
      </c>
      <c r="M369" s="8" t="n">
        <f aca="false">-($E$98+$E$68+$E$62+$E$63+$E$92)*(M$359=YEAR(Sale_Date))</f>
        <v>-20256.3995260274</v>
      </c>
      <c r="N369" s="8" t="n">
        <f aca="false">-($E$98+$E$68+$E$62+$E$63+$E$92)*(N$359=YEAR(Sale_Date))</f>
        <v>-0</v>
      </c>
      <c r="O369" s="8" t="n">
        <f aca="false">-($E$98+$E$68+$E$62+$E$63+$E$92)*(O$359=YEAR(Sale_Date))</f>
        <v>-0</v>
      </c>
      <c r="P369" s="8" t="n">
        <f aca="false">-($E$98+$E$68+$E$62+$E$63+$E$92)*(P$359=YEAR(Sale_Date))</f>
        <v>-0</v>
      </c>
      <c r="Q369" s="8" t="n">
        <f aca="false">-($E$98+$E$68+$E$62+$E$63+$E$92)*(Q$359=YEAR(Sale_Date))</f>
        <v>-0</v>
      </c>
      <c r="R369" s="8" t="n">
        <f aca="false">-($E$98+$E$68+$E$62+$E$63+$E$92)*(R$359=YEAR(Sale_Date))</f>
        <v>-0</v>
      </c>
      <c r="S369" s="8" t="n">
        <f aca="false">-($E$98+$E$68+$E$62+$E$63+$E$92)*(S$359=YEAR(Sale_Date))</f>
        <v>-0</v>
      </c>
      <c r="T369" s="8" t="n">
        <f aca="false">-($E$98+$E$68+$E$62+$E$63+$E$92)*(T$359=YEAR(Sale_Date))</f>
        <v>-0</v>
      </c>
      <c r="U369" s="8" t="n">
        <f aca="false">-($E$98+$E$68+$E$62+$E$63+$E$92)*(U$359=YEAR(Sale_Date))</f>
        <v>-0</v>
      </c>
      <c r="V369" s="8" t="n">
        <f aca="false">-($E$98+$E$68+$E$62+$E$63+$E$92)*(V$359=YEAR(Sale_Date))</f>
        <v>-0</v>
      </c>
      <c r="W369" s="8" t="n">
        <f aca="false">-($E$98+$E$68+$E$62+$E$63+$E$92)*(W$359=YEAR(Sale_Date))</f>
        <v>-0</v>
      </c>
      <c r="X369" s="8" t="n">
        <f aca="false">-($E$98+$E$68+$E$62+$E$63+$E$92)*(X$359=YEAR(Sale_Date))</f>
        <v>-0</v>
      </c>
      <c r="Y369" s="8" t="n">
        <f aca="false">-($E$98+$E$68+$E$62+$E$63+$E$92)*(Y$359=YEAR(Sale_Date))</f>
        <v>-0</v>
      </c>
      <c r="Z369" s="8" t="n">
        <f aca="false">-($E$98+$E$68+$E$62+$E$63+$E$92)*(Z$359=YEAR(Sale_Date))</f>
        <v>-0</v>
      </c>
      <c r="AA369" s="8" t="n">
        <f aca="false">-($E$98+$E$68+$E$62+$E$63+$E$92)*(AA$359=YEAR(Sale_Date))</f>
        <v>-0</v>
      </c>
      <c r="AB369" s="8" t="n">
        <f aca="false">-($E$98+$E$68+$E$62+$E$63+$E$92)*(AB$359=YEAR(Sale_Date))</f>
        <v>-0</v>
      </c>
      <c r="AC369" s="8" t="n">
        <f aca="false">-($E$98+$E$68+$E$62+$E$63+$E$92)*(AC$359=YEAR(Sale_Date))</f>
        <v>-0</v>
      </c>
      <c r="AD369" s="8" t="n">
        <f aca="false">-($E$98+$E$68+$E$62+$E$63+$E$92)*(AD$359=YEAR(Sale_Date))</f>
        <v>-0</v>
      </c>
      <c r="AE369" s="8" t="n">
        <f aca="false">-($E$98+$E$68+$E$62+$E$63+$E$92)*(AE$359=YEAR(Sale_Date))</f>
        <v>-0</v>
      </c>
      <c r="AF369" s="8" t="n">
        <f aca="false">-($E$98+$E$68+$E$62+$E$63+$E$92)*(AF$359=YEAR(Sale_Date))</f>
        <v>-0</v>
      </c>
      <c r="AG369" s="8" t="n">
        <f aca="false">-($E$98+$E$68+$E$62+$E$63+$E$92)*(AG$359=YEAR(Sale_Date))</f>
        <v>-0</v>
      </c>
      <c r="AH369" s="8" t="n">
        <f aca="false">-($E$98+$E$68+$E$62+$E$63+$E$92)*(AH$359=YEAR(Sale_Date))</f>
        <v>-0</v>
      </c>
      <c r="AI369" s="8" t="n">
        <f aca="false">-($E$98+$E$68+$E$62+$E$63+$E$92)*(AI$359=YEAR(Sale_Date))</f>
        <v>-0</v>
      </c>
      <c r="AJ369" s="8" t="n">
        <f aca="false">-($E$98+$E$68+$E$62+$E$63+$E$92)*(AJ$359=YEAR(Sale_Date))</f>
        <v>-0</v>
      </c>
      <c r="AK369" s="8" t="n">
        <f aca="false">-($E$98+$E$68+$E$62+$E$63+$E$92)*(AK$359=YEAR(Sale_Date))</f>
        <v>-0</v>
      </c>
      <c r="AL369" s="8" t="n">
        <f aca="false">-($E$98+$E$68+$E$62+$E$63+$E$92)*(AL$359=YEAR(Sale_Date))</f>
        <v>-0</v>
      </c>
      <c r="AM369" s="8" t="n">
        <f aca="false">-($E$98+$E$68+$E$62+$E$63+$E$92)*(AM$359=YEAR(Sale_Date))</f>
        <v>-0</v>
      </c>
      <c r="AN369" s="8" t="n">
        <f aca="false">-($E$98+$E$68+$E$62+$E$63+$E$92)*(AN$359=YEAR(Sale_Date))</f>
        <v>-0</v>
      </c>
      <c r="AO369" s="8" t="n">
        <f aca="false">-($E$98+$E$68+$E$62+$E$63+$E$92)*(AO$359=YEAR(Sale_Date))</f>
        <v>-0</v>
      </c>
      <c r="AP369" s="8" t="n">
        <f aca="false">-($E$98+$E$68+$E$62+$E$63+$E$92)*(AP$359=YEAR(Sale_Date))</f>
        <v>-0</v>
      </c>
      <c r="AQ369" s="8" t="n">
        <f aca="false">-($E$98+$E$68+$E$62+$E$63+$E$92)*(AQ$359=YEAR(Sale_Date))</f>
        <v>-0</v>
      </c>
      <c r="AR369" s="8" t="n">
        <f aca="false">-($E$98+$E$68+$E$62+$E$63+$E$92)*(AR$359=YEAR(Sale_Date))</f>
        <v>-0</v>
      </c>
      <c r="AS369" s="8" t="n">
        <f aca="false">-($E$98+$E$68+$E$62+$E$63+$E$92)*(AS$359=YEAR(Sale_Date))</f>
        <v>-0</v>
      </c>
    </row>
    <row r="370" customFormat="false" ht="14.25" hidden="false" customHeight="false" outlineLevel="0" collapsed="false">
      <c r="C370" s="6" t="s">
        <v>297</v>
      </c>
      <c r="D370" s="2" t="s">
        <v>85</v>
      </c>
      <c r="H370" s="8" t="n">
        <f aca="false">SUM(J370:AS370)</f>
        <v>1942.46575342466</v>
      </c>
      <c r="J370" s="8" t="n">
        <f aca="false">($E$62+$E$63)*(J$359=YEAR(Inputs!$E$27))</f>
        <v>0</v>
      </c>
      <c r="K370" s="8" t="n">
        <f aca="false">($E$62+$E$63)*(K$359=YEAR(Inputs!$E$27))</f>
        <v>0</v>
      </c>
      <c r="L370" s="8" t="n">
        <f aca="false">($E$62+$E$63)*(L$359=YEAR(Inputs!$E$27))</f>
        <v>0</v>
      </c>
      <c r="M370" s="8" t="n">
        <f aca="false">($E$62+$E$63)*(M$359=YEAR(Inputs!$E$27))</f>
        <v>0</v>
      </c>
      <c r="N370" s="8" t="n">
        <f aca="false">($E$62+$E$63)*(N$359=YEAR(Inputs!$E$27))</f>
        <v>0</v>
      </c>
      <c r="O370" s="8" t="n">
        <f aca="false">($E$62+$E$63)*(O$359=YEAR(Inputs!$E$27))</f>
        <v>0</v>
      </c>
      <c r="P370" s="8" t="n">
        <f aca="false">($E$62+$E$63)*(P$359=YEAR(Inputs!$E$27))</f>
        <v>0</v>
      </c>
      <c r="Q370" s="8" t="n">
        <f aca="false">($E$62+$E$63)*(Q$359=YEAR(Inputs!$E$27))</f>
        <v>1942.46575342466</v>
      </c>
      <c r="R370" s="8" t="n">
        <f aca="false">($E$62+$E$63)*(R$359=YEAR(Inputs!$E$27))</f>
        <v>0</v>
      </c>
      <c r="S370" s="8" t="n">
        <f aca="false">($E$62+$E$63)*(S$359=YEAR(Inputs!$E$27))</f>
        <v>0</v>
      </c>
      <c r="T370" s="8" t="n">
        <f aca="false">($E$62+$E$63)*(T$359=YEAR(Inputs!$E$27))</f>
        <v>0</v>
      </c>
      <c r="U370" s="8" t="n">
        <f aca="false">($E$62+$E$63)*(U$359=YEAR(Inputs!$E$27))</f>
        <v>0</v>
      </c>
      <c r="V370" s="8" t="n">
        <f aca="false">($E$62+$E$63)*(V$359=YEAR(Inputs!$E$27))</f>
        <v>0</v>
      </c>
      <c r="W370" s="8" t="n">
        <f aca="false">($E$62+$E$63)*(W$359=YEAR(Inputs!$E$27))</f>
        <v>0</v>
      </c>
      <c r="X370" s="8" t="n">
        <f aca="false">($E$62+$E$63)*(X$359=YEAR(Inputs!$E$27))</f>
        <v>0</v>
      </c>
      <c r="Y370" s="8" t="n">
        <f aca="false">($E$62+$E$63)*(Y$359=YEAR(Inputs!$E$27))</f>
        <v>0</v>
      </c>
      <c r="Z370" s="8" t="n">
        <f aca="false">($E$62+$E$63)*(Z$359=YEAR(Inputs!$E$27))</f>
        <v>0</v>
      </c>
      <c r="AA370" s="8" t="n">
        <f aca="false">($E$62+$E$63)*(AA$359=YEAR(Inputs!$E$27))</f>
        <v>0</v>
      </c>
      <c r="AB370" s="8" t="n">
        <f aca="false">($E$62+$E$63)*(AB$359=YEAR(Inputs!$E$27))</f>
        <v>0</v>
      </c>
      <c r="AC370" s="8" t="n">
        <f aca="false">($E$62+$E$63)*(AC$359=YEAR(Inputs!$E$27))</f>
        <v>0</v>
      </c>
      <c r="AD370" s="8" t="n">
        <f aca="false">($E$62+$E$63)*(AD$359=YEAR(Inputs!$E$27))</f>
        <v>0</v>
      </c>
      <c r="AE370" s="8" t="n">
        <f aca="false">($E$62+$E$63)*(AE$359=YEAR(Inputs!$E$27))</f>
        <v>0</v>
      </c>
      <c r="AF370" s="8" t="n">
        <f aca="false">($E$62+$E$63)*(AF$359=YEAR(Inputs!$E$27))</f>
        <v>0</v>
      </c>
      <c r="AG370" s="8" t="n">
        <f aca="false">($E$62+$E$63)*(AG$359=YEAR(Inputs!$E$27))</f>
        <v>0</v>
      </c>
      <c r="AH370" s="8" t="n">
        <f aca="false">($E$62+$E$63)*(AH$359=YEAR(Inputs!$E$27))</f>
        <v>0</v>
      </c>
      <c r="AI370" s="8" t="n">
        <f aca="false">($E$62+$E$63)*(AI$359=YEAR(Inputs!$E$27))</f>
        <v>0</v>
      </c>
      <c r="AJ370" s="8" t="n">
        <f aca="false">($E$62+$E$63)*(AJ$359=YEAR(Inputs!$E$27))</f>
        <v>0</v>
      </c>
      <c r="AK370" s="8" t="n">
        <f aca="false">($E$62+$E$63)*(AK$359=YEAR(Inputs!$E$27))</f>
        <v>0</v>
      </c>
      <c r="AL370" s="8" t="n">
        <f aca="false">($E$62+$E$63)*(AL$359=YEAR(Inputs!$E$27))</f>
        <v>0</v>
      </c>
      <c r="AM370" s="8" t="n">
        <f aca="false">($E$62+$E$63)*(AM$359=YEAR(Inputs!$E$27))</f>
        <v>0</v>
      </c>
      <c r="AN370" s="8" t="n">
        <f aca="false">($E$62+$E$63)*(AN$359=YEAR(Inputs!$E$27))</f>
        <v>0</v>
      </c>
      <c r="AO370" s="8" t="n">
        <f aca="false">($E$62+$E$63)*(AO$359=YEAR(Inputs!$E$27))</f>
        <v>0</v>
      </c>
      <c r="AP370" s="8" t="n">
        <f aca="false">($E$62+$E$63)*(AP$359=YEAR(Inputs!$E$27))</f>
        <v>0</v>
      </c>
      <c r="AQ370" s="8" t="n">
        <f aca="false">($E$62+$E$63)*(AQ$359=YEAR(Inputs!$E$27))</f>
        <v>0</v>
      </c>
      <c r="AR370" s="8" t="n">
        <f aca="false">($E$62+$E$63)*(AR$359=YEAR(Inputs!$E$27))</f>
        <v>0</v>
      </c>
      <c r="AS370" s="8" t="n">
        <f aca="false">($E$62+$E$63)*(AS$359=YEAR(Inputs!$E$27))</f>
        <v>0</v>
      </c>
    </row>
    <row r="371" customFormat="false" ht="14.25" hidden="false" customHeight="false" outlineLevel="0" collapsed="false">
      <c r="C371" s="6" t="s">
        <v>298</v>
      </c>
      <c r="D371" s="2" t="s">
        <v>85</v>
      </c>
      <c r="H371" s="8" t="n">
        <f aca="false">SUM(J371:AS371)</f>
        <v>-52778</v>
      </c>
      <c r="J371" s="8" t="n">
        <f aca="false">-$E$91*J365</f>
        <v>-0</v>
      </c>
      <c r="K371" s="8" t="n">
        <f aca="false">-$E$91*K365</f>
        <v>-0</v>
      </c>
      <c r="L371" s="8" t="n">
        <f aca="false">-$E$91*L365</f>
        <v>-0</v>
      </c>
      <c r="M371" s="8" t="n">
        <f aca="false">-$E$91*M365</f>
        <v>-13194.5</v>
      </c>
      <c r="N371" s="8" t="n">
        <f aca="false">-$E$91*N365</f>
        <v>-26389</v>
      </c>
      <c r="O371" s="8" t="n">
        <f aca="false">-$E$91*O365</f>
        <v>-13194.5</v>
      </c>
      <c r="P371" s="8" t="n">
        <f aca="false">-$E$91*P365</f>
        <v>-0</v>
      </c>
      <c r="Q371" s="8" t="n">
        <f aca="false">-$E$91*Q365</f>
        <v>-0</v>
      </c>
      <c r="R371" s="8" t="n">
        <f aca="false">-$E$91*R365</f>
        <v>-0</v>
      </c>
      <c r="S371" s="8" t="n">
        <f aca="false">-$E$91*S365</f>
        <v>-0</v>
      </c>
      <c r="T371" s="8" t="n">
        <f aca="false">-$E$91*T365</f>
        <v>-0</v>
      </c>
      <c r="U371" s="8" t="n">
        <f aca="false">-$E$91*U365</f>
        <v>-0</v>
      </c>
      <c r="V371" s="8" t="n">
        <f aca="false">-$E$91*V365</f>
        <v>-0</v>
      </c>
      <c r="W371" s="8" t="n">
        <f aca="false">-$E$91*W365</f>
        <v>-0</v>
      </c>
      <c r="X371" s="8" t="n">
        <f aca="false">-$E$91*X365</f>
        <v>-0</v>
      </c>
      <c r="Y371" s="8" t="n">
        <f aca="false">-$E$91*Y365</f>
        <v>-0</v>
      </c>
      <c r="Z371" s="8" t="n">
        <f aca="false">-$E$91*Z365</f>
        <v>-0</v>
      </c>
      <c r="AA371" s="8" t="n">
        <f aca="false">-$E$91*AA365</f>
        <v>-0</v>
      </c>
      <c r="AB371" s="8" t="n">
        <f aca="false">-$E$91*AB365</f>
        <v>-0</v>
      </c>
      <c r="AC371" s="8" t="n">
        <f aca="false">-$E$91*AC365</f>
        <v>-0</v>
      </c>
      <c r="AD371" s="8" t="n">
        <f aca="false">-$E$91*AD365</f>
        <v>-0</v>
      </c>
      <c r="AE371" s="8" t="n">
        <f aca="false">-$E$91*AE365</f>
        <v>-0</v>
      </c>
      <c r="AF371" s="8" t="n">
        <f aca="false">-$E$91*AF365</f>
        <v>-0</v>
      </c>
      <c r="AG371" s="8" t="n">
        <f aca="false">-$E$91*AG365</f>
        <v>-0</v>
      </c>
      <c r="AH371" s="8" t="n">
        <f aca="false">-$E$91*AH365</f>
        <v>-0</v>
      </c>
      <c r="AI371" s="8" t="n">
        <f aca="false">-$E$91*AI365</f>
        <v>-0</v>
      </c>
      <c r="AJ371" s="8" t="n">
        <f aca="false">-$E$91*AJ365</f>
        <v>-0</v>
      </c>
      <c r="AK371" s="8" t="n">
        <f aca="false">-$E$91*AK365</f>
        <v>-0</v>
      </c>
      <c r="AL371" s="8" t="n">
        <f aca="false">-$E$91*AL365</f>
        <v>-0</v>
      </c>
      <c r="AM371" s="8" t="n">
        <f aca="false">-$E$91*AM365</f>
        <v>-0</v>
      </c>
      <c r="AN371" s="8" t="n">
        <f aca="false">-$E$91*AN365</f>
        <v>-0</v>
      </c>
      <c r="AO371" s="8" t="n">
        <f aca="false">-$E$91*AO365</f>
        <v>-0</v>
      </c>
      <c r="AP371" s="8" t="n">
        <f aca="false">-$E$91*AP365</f>
        <v>-0</v>
      </c>
      <c r="AQ371" s="8" t="n">
        <f aca="false">-$E$91*AQ365</f>
        <v>-0</v>
      </c>
      <c r="AR371" s="8" t="n">
        <f aca="false">-$E$91*AR365</f>
        <v>-0</v>
      </c>
      <c r="AS371" s="8" t="n">
        <f aca="false">-$E$91*AS365</f>
        <v>-0</v>
      </c>
    </row>
    <row r="372" customFormat="false" ht="14.25" hidden="false" customHeight="false" outlineLevel="0" collapsed="false">
      <c r="C372" s="6" t="s">
        <v>299</v>
      </c>
      <c r="D372" s="2" t="s">
        <v>85</v>
      </c>
      <c r="H372" s="8" t="n">
        <f aca="false">SUM(J372:AS372)</f>
        <v>-1000</v>
      </c>
      <c r="J372" s="8" t="n">
        <f aca="false">-$E$96*J368</f>
        <v>-0</v>
      </c>
      <c r="K372" s="8" t="n">
        <f aca="false">-$E$96*K368</f>
        <v>-0</v>
      </c>
      <c r="L372" s="8" t="n">
        <f aca="false">-$E$96*L368</f>
        <v>-0</v>
      </c>
      <c r="M372" s="8" t="n">
        <f aca="false">-$E$96*M368</f>
        <v>-0</v>
      </c>
      <c r="N372" s="8" t="n">
        <f aca="false">-$E$96*N368</f>
        <v>-0</v>
      </c>
      <c r="O372" s="8" t="n">
        <f aca="false">-$E$96*O368</f>
        <v>-1000</v>
      </c>
      <c r="P372" s="8" t="n">
        <f aca="false">-$E$96*P368</f>
        <v>-0</v>
      </c>
      <c r="Q372" s="8" t="n">
        <f aca="false">-$E$96*Q368</f>
        <v>-0</v>
      </c>
      <c r="R372" s="8" t="n">
        <f aca="false">-$E$96*R368</f>
        <v>-0</v>
      </c>
      <c r="S372" s="8" t="n">
        <f aca="false">-$E$96*S368</f>
        <v>-0</v>
      </c>
      <c r="T372" s="8" t="n">
        <f aca="false">-$E$96*T368</f>
        <v>-0</v>
      </c>
      <c r="U372" s="8" t="n">
        <f aca="false">-$E$96*U368</f>
        <v>-0</v>
      </c>
      <c r="V372" s="8" t="n">
        <f aca="false">-$E$96*V368</f>
        <v>-0</v>
      </c>
      <c r="W372" s="8" t="n">
        <f aca="false">-$E$96*W368</f>
        <v>-0</v>
      </c>
      <c r="X372" s="8" t="n">
        <f aca="false">-$E$96*X368</f>
        <v>-0</v>
      </c>
      <c r="Y372" s="8" t="n">
        <f aca="false">-$E$96*Y368</f>
        <v>-0</v>
      </c>
      <c r="Z372" s="8" t="n">
        <f aca="false">-$E$96*Z368</f>
        <v>-0</v>
      </c>
      <c r="AA372" s="8" t="n">
        <f aca="false">-$E$96*AA368</f>
        <v>-0</v>
      </c>
      <c r="AB372" s="8" t="n">
        <f aca="false">-$E$96*AB368</f>
        <v>-0</v>
      </c>
      <c r="AC372" s="8" t="n">
        <f aca="false">-$E$96*AC368</f>
        <v>-0</v>
      </c>
      <c r="AD372" s="8" t="n">
        <f aca="false">-$E$96*AD368</f>
        <v>-0</v>
      </c>
      <c r="AE372" s="8" t="n">
        <f aca="false">-$E$96*AE368</f>
        <v>-0</v>
      </c>
      <c r="AF372" s="8" t="n">
        <f aca="false">-$E$96*AF368</f>
        <v>-0</v>
      </c>
      <c r="AG372" s="8" t="n">
        <f aca="false">-$E$96*AG368</f>
        <v>-0</v>
      </c>
      <c r="AH372" s="8" t="n">
        <f aca="false">-$E$96*AH368</f>
        <v>-0</v>
      </c>
      <c r="AI372" s="8" t="n">
        <f aca="false">-$E$96*AI368</f>
        <v>-0</v>
      </c>
      <c r="AJ372" s="8" t="n">
        <f aca="false">-$E$96*AJ368</f>
        <v>-0</v>
      </c>
      <c r="AK372" s="8" t="n">
        <f aca="false">-$E$96*AK368</f>
        <v>-0</v>
      </c>
      <c r="AL372" s="8" t="n">
        <f aca="false">-$E$96*AL368</f>
        <v>-0</v>
      </c>
      <c r="AM372" s="8" t="n">
        <f aca="false">-$E$96*AM368</f>
        <v>-0</v>
      </c>
      <c r="AN372" s="8" t="n">
        <f aca="false">-$E$96*AN368</f>
        <v>-0</v>
      </c>
      <c r="AO372" s="8" t="n">
        <f aca="false">-$E$96*AO368</f>
        <v>-0</v>
      </c>
      <c r="AP372" s="8" t="n">
        <f aca="false">-$E$96*AP368</f>
        <v>-0</v>
      </c>
      <c r="AQ372" s="8" t="n">
        <f aca="false">-$E$96*AQ368</f>
        <v>-0</v>
      </c>
      <c r="AR372" s="8" t="n">
        <f aca="false">-$E$96*AR368</f>
        <v>-0</v>
      </c>
      <c r="AS372" s="8" t="n">
        <f aca="false">-$E$96*AS368</f>
        <v>-0</v>
      </c>
    </row>
    <row r="373" customFormat="false" ht="14.25" hidden="false" customHeight="false" outlineLevel="0" collapsed="false">
      <c r="C373" s="1" t="s">
        <v>300</v>
      </c>
      <c r="D373" s="2" t="s">
        <v>85</v>
      </c>
      <c r="H373" s="15" t="n">
        <f aca="false">SUM(J373:AS373)</f>
        <v>-72091.9337726027</v>
      </c>
      <c r="J373" s="15" t="n">
        <f aca="false">SUM(J369:J372)</f>
        <v>0</v>
      </c>
      <c r="K373" s="15" t="n">
        <f aca="false">SUM(K369:K372)</f>
        <v>0</v>
      </c>
      <c r="L373" s="15" t="n">
        <f aca="false">SUM(L369:L372)</f>
        <v>0</v>
      </c>
      <c r="M373" s="15" t="n">
        <f aca="false">SUM(M369:M372)</f>
        <v>-33450.8995260274</v>
      </c>
      <c r="N373" s="15" t="n">
        <f aca="false">SUM(N369:N372)</f>
        <v>-26389</v>
      </c>
      <c r="O373" s="15" t="n">
        <f aca="false">SUM(O369:O372)</f>
        <v>-14194.5</v>
      </c>
      <c r="P373" s="15" t="n">
        <f aca="false">SUM(P369:P372)</f>
        <v>0</v>
      </c>
      <c r="Q373" s="15" t="n">
        <f aca="false">SUM(Q369:Q372)</f>
        <v>1942.46575342466</v>
      </c>
      <c r="R373" s="15" t="n">
        <f aca="false">SUM(R369:R372)</f>
        <v>0</v>
      </c>
      <c r="S373" s="15" t="n">
        <f aca="false">SUM(S369:S372)</f>
        <v>0</v>
      </c>
      <c r="T373" s="15" t="n">
        <f aca="false">SUM(T369:T372)</f>
        <v>0</v>
      </c>
      <c r="U373" s="15" t="n">
        <f aca="false">SUM(U369:U372)</f>
        <v>0</v>
      </c>
      <c r="V373" s="15" t="n">
        <f aca="false">SUM(V369:V372)</f>
        <v>0</v>
      </c>
      <c r="W373" s="15" t="n">
        <f aca="false">SUM(W369:W372)</f>
        <v>0</v>
      </c>
      <c r="X373" s="15" t="n">
        <f aca="false">SUM(X369:X372)</f>
        <v>0</v>
      </c>
      <c r="Y373" s="15" t="n">
        <f aca="false">SUM(Y369:Y372)</f>
        <v>0</v>
      </c>
      <c r="Z373" s="15" t="n">
        <f aca="false">SUM(Z369:Z372)</f>
        <v>0</v>
      </c>
      <c r="AA373" s="15" t="n">
        <f aca="false">SUM(AA369:AA372)</f>
        <v>0</v>
      </c>
      <c r="AB373" s="15" t="n">
        <f aca="false">SUM(AB369:AB372)</f>
        <v>0</v>
      </c>
      <c r="AC373" s="15" t="n">
        <f aca="false">SUM(AC369:AC372)</f>
        <v>0</v>
      </c>
      <c r="AD373" s="15" t="n">
        <f aca="false">SUM(AD369:AD372)</f>
        <v>0</v>
      </c>
      <c r="AE373" s="15" t="n">
        <f aca="false">SUM(AE369:AE372)</f>
        <v>0</v>
      </c>
      <c r="AF373" s="15" t="n">
        <f aca="false">SUM(AF369:AF372)</f>
        <v>0</v>
      </c>
      <c r="AG373" s="15" t="n">
        <f aca="false">SUM(AG369:AG372)</f>
        <v>0</v>
      </c>
      <c r="AH373" s="15" t="n">
        <f aca="false">SUM(AH369:AH372)</f>
        <v>0</v>
      </c>
      <c r="AI373" s="15" t="n">
        <f aca="false">SUM(AI369:AI372)</f>
        <v>0</v>
      </c>
      <c r="AJ373" s="15" t="n">
        <f aca="false">SUM(AJ369:AJ372)</f>
        <v>0</v>
      </c>
      <c r="AK373" s="15" t="n">
        <f aca="false">SUM(AK369:AK372)</f>
        <v>0</v>
      </c>
      <c r="AL373" s="15" t="n">
        <f aca="false">SUM(AL369:AL372)</f>
        <v>0</v>
      </c>
      <c r="AM373" s="15" t="n">
        <f aca="false">SUM(AM369:AM372)</f>
        <v>0</v>
      </c>
      <c r="AN373" s="15" t="n">
        <f aca="false">SUM(AN369:AN372)</f>
        <v>0</v>
      </c>
      <c r="AO373" s="15" t="n">
        <f aca="false">SUM(AO369:AO372)</f>
        <v>0</v>
      </c>
      <c r="AP373" s="15" t="n">
        <f aca="false">SUM(AP369:AP372)</f>
        <v>0</v>
      </c>
      <c r="AQ373" s="15" t="n">
        <f aca="false">SUM(AQ369:AQ372)</f>
        <v>0</v>
      </c>
      <c r="AR373" s="15" t="n">
        <f aca="false">SUM(AR369:AR372)</f>
        <v>0</v>
      </c>
      <c r="AS373" s="15" t="n">
        <f aca="false">SUM(AS369:AS372)</f>
        <v>0</v>
      </c>
    </row>
    <row r="374" customFormat="false" ht="14.25" hidden="false" customHeight="false" outlineLevel="0" collapsed="false">
      <c r="C374" s="6" t="s">
        <v>301</v>
      </c>
      <c r="D374" s="2" t="s">
        <v>3</v>
      </c>
      <c r="J374" s="77" t="n">
        <f aca="false">(1-Degradation)^MAX(J363-1,0)</f>
        <v>1</v>
      </c>
      <c r="K374" s="77" t="n">
        <f aca="false">(1-Degradation)^MAX(K363-1,0)</f>
        <v>1</v>
      </c>
      <c r="L374" s="77" t="n">
        <f aca="false">(1-Degradation)^MAX(L363-1,0)</f>
        <v>1</v>
      </c>
      <c r="M374" s="77" t="n">
        <f aca="false">(1-Degradation)^MAX(M363-1,0)</f>
        <v>1</v>
      </c>
      <c r="N374" s="77" t="n">
        <f aca="false">(1-Degradation)^MAX(N363-1,0)</f>
        <v>1</v>
      </c>
      <c r="O374" s="77" t="n">
        <f aca="false">(1-Degradation)^MAX(O363-1,0)</f>
        <v>1</v>
      </c>
      <c r="P374" s="77" t="n">
        <f aca="false">(1-Degradation)^MAX(P363-1,0)</f>
        <v>1</v>
      </c>
      <c r="Q374" s="77" t="n">
        <f aca="false">(1-Degradation)^MAX(Q363-1,0)</f>
        <v>0.997</v>
      </c>
      <c r="R374" s="77" t="n">
        <f aca="false">(1-Degradation)^MAX(R363-1,0)</f>
        <v>0.994009</v>
      </c>
      <c r="S374" s="77" t="n">
        <f aca="false">(1-Degradation)^MAX(S363-1,0)</f>
        <v>0.991026973</v>
      </c>
      <c r="T374" s="77" t="n">
        <f aca="false">(1-Degradation)^MAX(T363-1,0)</f>
        <v>0.988053892081</v>
      </c>
      <c r="U374" s="77" t="n">
        <f aca="false">(1-Degradation)^MAX(U363-1,0)</f>
        <v>0.985089730404757</v>
      </c>
      <c r="V374" s="77" t="n">
        <f aca="false">(1-Degradation)^MAX(V363-1,0)</f>
        <v>0.982134461213543</v>
      </c>
      <c r="W374" s="77" t="n">
        <f aca="false">(1-Degradation)^MAX(W363-1,0)</f>
        <v>0.979188057829902</v>
      </c>
      <c r="X374" s="77" t="n">
        <f aca="false">(1-Degradation)^MAX(X363-1,0)</f>
        <v>0.976250493656412</v>
      </c>
      <c r="Y374" s="77" t="n">
        <f aca="false">(1-Degradation)^MAX(Y363-1,0)</f>
        <v>0.973321742175443</v>
      </c>
      <c r="Z374" s="77" t="n">
        <f aca="false">(1-Degradation)^MAX(Z363-1,0)</f>
        <v>0.970401776948917</v>
      </c>
      <c r="AA374" s="77" t="n">
        <f aca="false">(1-Degradation)^MAX(AA363-1,0)</f>
        <v>0.96749057161807</v>
      </c>
      <c r="AB374" s="77" t="n">
        <f aca="false">(1-Degradation)^MAX(AB363-1,0)</f>
        <v>0.964588099903216</v>
      </c>
      <c r="AC374" s="77" t="n">
        <f aca="false">(1-Degradation)^MAX(AC363-1,0)</f>
        <v>0.961694335603506</v>
      </c>
      <c r="AD374" s="77" t="n">
        <f aca="false">(1-Degradation)^MAX(AD363-1,0)</f>
        <v>0.958809252596696</v>
      </c>
      <c r="AE374" s="77" t="n">
        <f aca="false">(1-Degradation)^MAX(AE363-1,0)</f>
        <v>0.955932824838906</v>
      </c>
      <c r="AF374" s="77" t="n">
        <f aca="false">(1-Degradation)^MAX(AF363-1,0)</f>
        <v>0.953065026364389</v>
      </c>
      <c r="AG374" s="77" t="n">
        <f aca="false">(1-Degradation)^MAX(AG363-1,0)</f>
        <v>0.950205831285296</v>
      </c>
      <c r="AH374" s="77" t="n">
        <f aca="false">(1-Degradation)^MAX(AH363-1,0)</f>
        <v>0.94735521379144</v>
      </c>
      <c r="AI374" s="77" t="n">
        <f aca="false">(1-Degradation)^MAX(AI363-1,0)</f>
        <v>0.944513148150066</v>
      </c>
      <c r="AJ374" s="77" t="n">
        <f aca="false">(1-Degradation)^MAX(AJ363-1,0)</f>
        <v>0.941679608705615</v>
      </c>
      <c r="AK374" s="77" t="n">
        <f aca="false">(1-Degradation)^MAX(AK363-1,0)</f>
        <v>0.938854569879498</v>
      </c>
      <c r="AL374" s="77" t="n">
        <f aca="false">(1-Degradation)^MAX(AL363-1,0)</f>
        <v>0.93603800616986</v>
      </c>
      <c r="AM374" s="77" t="n">
        <f aca="false">(1-Degradation)^MAX(AM363-1,0)</f>
        <v>0.93322989215135</v>
      </c>
      <c r="AN374" s="77" t="n">
        <f aca="false">(1-Degradation)^MAX(AN363-1,0)</f>
        <v>0.930430202474896</v>
      </c>
      <c r="AO374" s="77" t="n">
        <f aca="false">(1-Degradation)^MAX(AO363-1,0)</f>
        <v>0.927638911867472</v>
      </c>
      <c r="AP374" s="77" t="n">
        <f aca="false">(1-Degradation)^MAX(AP363-1,0)</f>
        <v>0.924855995131869</v>
      </c>
      <c r="AQ374" s="77" t="n">
        <f aca="false">(1-Degradation)^MAX(AQ363-1,0)</f>
        <v>0.922081427146474</v>
      </c>
      <c r="AR374" s="77" t="n">
        <f aca="false">(1-Degradation)^MAX(AR363-1,0)</f>
        <v>0.919315182865034</v>
      </c>
      <c r="AS374" s="77" t="n">
        <f aca="false">(1-Degradation)^MAX(AS363-1,0)</f>
        <v>0.916557237316439</v>
      </c>
    </row>
    <row r="375" customFormat="false" ht="14.25" hidden="false" customHeight="false" outlineLevel="0" collapsed="false">
      <c r="C375" s="6" t="s">
        <v>302</v>
      </c>
      <c r="D375" s="2" t="s">
        <v>303</v>
      </c>
      <c r="H375" s="17" t="n">
        <f aca="false">SUM(J375:AS375)</f>
        <v>3654.34185176978</v>
      </c>
      <c r="J375" s="17" t="n">
        <f aca="false">$E$46*$E$22*(1-Curtailment)*(1-Clipping)*J367*J374/Thousand</f>
        <v>0</v>
      </c>
      <c r="K375" s="17" t="n">
        <f aca="false">$E$46*$E$22*(1-Curtailment)*(1-Clipping)*K367*K374/Thousand</f>
        <v>0</v>
      </c>
      <c r="L375" s="17" t="n">
        <f aca="false">$E$46*$E$22*(1-Curtailment)*(1-Clipping)*L367*L374/Thousand</f>
        <v>0</v>
      </c>
      <c r="M375" s="17" t="n">
        <f aca="false">$E$46*$E$22*(1-Curtailment)*(1-Clipping)*M367*M374/Thousand</f>
        <v>0</v>
      </c>
      <c r="N375" s="17" t="n">
        <f aca="false">$E$46*$E$22*(1-Curtailment)*(1-Clipping)*N367*N374/Thousand</f>
        <v>0</v>
      </c>
      <c r="O375" s="17" t="n">
        <f aca="false">$E$46*$E$22*(1-Curtailment)*(1-Clipping)*O367*O374/Thousand</f>
        <v>63.504</v>
      </c>
      <c r="P375" s="17" t="n">
        <f aca="false">$E$46*$E$22*(1-Curtailment)*(1-Clipping)*P367*P374/Thousand</f>
        <v>127.008</v>
      </c>
      <c r="Q375" s="17" t="n">
        <f aca="false">$E$46*$E$22*(1-Curtailment)*(1-Clipping)*Q367*Q374/Thousand</f>
        <v>126.626976</v>
      </c>
      <c r="R375" s="17" t="n">
        <f aca="false">$E$46*$E$22*(1-Curtailment)*(1-Clipping)*R367*R374/Thousand</f>
        <v>126.247095072</v>
      </c>
      <c r="S375" s="17" t="n">
        <f aca="false">$E$46*$E$22*(1-Curtailment)*(1-Clipping)*S367*S374/Thousand</f>
        <v>125.868353786784</v>
      </c>
      <c r="T375" s="17" t="n">
        <f aca="false">$E$46*$E$22*(1-Curtailment)*(1-Clipping)*T367*T374/Thousand</f>
        <v>125.490748725424</v>
      </c>
      <c r="U375" s="17" t="n">
        <f aca="false">$E$46*$E$22*(1-Curtailment)*(1-Clipping)*U367*U374/Thousand</f>
        <v>125.114276479247</v>
      </c>
      <c r="V375" s="17" t="n">
        <f aca="false">$E$46*$E$22*(1-Curtailment)*(1-Clipping)*V367*V374/Thousand</f>
        <v>124.73893364981</v>
      </c>
      <c r="W375" s="17" t="n">
        <f aca="false">$E$46*$E$22*(1-Curtailment)*(1-Clipping)*W367*W374/Thousand</f>
        <v>124.36471684886</v>
      </c>
      <c r="X375" s="17" t="n">
        <f aca="false">$E$46*$E$22*(1-Curtailment)*(1-Clipping)*X367*X374/Thousand</f>
        <v>123.991622698314</v>
      </c>
      <c r="Y375" s="17" t="n">
        <f aca="false">$E$46*$E$22*(1-Curtailment)*(1-Clipping)*Y367*Y374/Thousand</f>
        <v>123.619647830219</v>
      </c>
      <c r="Z375" s="17" t="n">
        <f aca="false">$E$46*$E$22*(1-Curtailment)*(1-Clipping)*Z367*Z374/Thousand</f>
        <v>123.248788886728</v>
      </c>
      <c r="AA375" s="17" t="n">
        <f aca="false">$E$46*$E$22*(1-Curtailment)*(1-Clipping)*AA367*AA374/Thousand</f>
        <v>122.879042520068</v>
      </c>
      <c r="AB375" s="17" t="n">
        <f aca="false">$E$46*$E$22*(1-Curtailment)*(1-Clipping)*AB367*AB374/Thousand</f>
        <v>122.510405392508</v>
      </c>
      <c r="AC375" s="17" t="n">
        <f aca="false">$E$46*$E$22*(1-Curtailment)*(1-Clipping)*AC367*AC374/Thousand</f>
        <v>122.14287417633</v>
      </c>
      <c r="AD375" s="17" t="n">
        <f aca="false">$E$46*$E$22*(1-Curtailment)*(1-Clipping)*AD367*AD374/Thousand</f>
        <v>121.776445553801</v>
      </c>
      <c r="AE375" s="17" t="n">
        <f aca="false">$E$46*$E$22*(1-Curtailment)*(1-Clipping)*AE367*AE374/Thousand</f>
        <v>121.41111621714</v>
      </c>
      <c r="AF375" s="17" t="n">
        <f aca="false">$E$46*$E$22*(1-Curtailment)*(1-Clipping)*AF367*AF374/Thousand</f>
        <v>121.046882868488</v>
      </c>
      <c r="AG375" s="17" t="n">
        <f aca="false">$E$46*$E$22*(1-Curtailment)*(1-Clipping)*AG367*AG374/Thousand</f>
        <v>120.683742219883</v>
      </c>
      <c r="AH375" s="17" t="n">
        <f aca="false">$E$46*$E$22*(1-Curtailment)*(1-Clipping)*AH367*AH374/Thousand</f>
        <v>120.321690993223</v>
      </c>
      <c r="AI375" s="17" t="n">
        <f aca="false">$E$46*$E$22*(1-Curtailment)*(1-Clipping)*AI367*AI374/Thousand</f>
        <v>119.960725920244</v>
      </c>
      <c r="AJ375" s="17" t="n">
        <f aca="false">$E$46*$E$22*(1-Curtailment)*(1-Clipping)*AJ367*AJ374/Thousand</f>
        <v>119.600843742483</v>
      </c>
      <c r="AK375" s="17" t="n">
        <f aca="false">$E$46*$E$22*(1-Curtailment)*(1-Clipping)*AK367*AK374/Thousand</f>
        <v>119.242041211255</v>
      </c>
      <c r="AL375" s="17" t="n">
        <f aca="false">$E$46*$E$22*(1-Curtailment)*(1-Clipping)*AL367*AL374/Thousand</f>
        <v>118.884315087622</v>
      </c>
      <c r="AM375" s="17" t="n">
        <f aca="false">$E$46*$E$22*(1-Curtailment)*(1-Clipping)*AM367*AM374/Thousand</f>
        <v>118.527662142359</v>
      </c>
      <c r="AN375" s="17" t="n">
        <f aca="false">$E$46*$E$22*(1-Curtailment)*(1-Clipping)*AN367*AN374/Thousand</f>
        <v>118.172079155932</v>
      </c>
      <c r="AO375" s="17" t="n">
        <f aca="false">$E$46*$E$22*(1-Curtailment)*(1-Clipping)*AO367*AO374/Thousand</f>
        <v>117.817562918464</v>
      </c>
      <c r="AP375" s="17" t="n">
        <f aca="false">$E$46*$E$22*(1-Curtailment)*(1-Clipping)*AP367*AP374/Thousand</f>
        <v>117.464110229708</v>
      </c>
      <c r="AQ375" s="17" t="n">
        <f aca="false">$E$46*$E$22*(1-Curtailment)*(1-Clipping)*AQ367*AQ374/Thousand</f>
        <v>117.111717899019</v>
      </c>
      <c r="AR375" s="17" t="n">
        <f aca="false">$E$46*$E$22*(1-Curtailment)*(1-Clipping)*AR367*AR374/Thousand</f>
        <v>116.760382745322</v>
      </c>
      <c r="AS375" s="17" t="n">
        <f aca="false">$E$46*$E$22*(1-Curtailment)*(1-Clipping)*AS367*AS374/Thousand</f>
        <v>58.2050507985431</v>
      </c>
    </row>
    <row r="376" customFormat="false" ht="14.25" hidden="false" customHeight="false" outlineLevel="0" collapsed="false">
      <c r="C376" s="6" t="s">
        <v>304</v>
      </c>
      <c r="D376" s="2" t="s">
        <v>20</v>
      </c>
      <c r="J376" s="17" t="n">
        <f aca="false">Case_PPA*(1+PPA_Esc)^J363*(J367&gt;0)</f>
        <v>0</v>
      </c>
      <c r="K376" s="17" t="n">
        <f aca="false">Case_PPA*(1+PPA_Esc)^K363*(K367&gt;0)</f>
        <v>0</v>
      </c>
      <c r="L376" s="17" t="n">
        <f aca="false">Case_PPA*(1+PPA_Esc)^L363*(L367&gt;0)</f>
        <v>0</v>
      </c>
      <c r="M376" s="17" t="n">
        <f aca="false">Case_PPA*(1+PPA_Esc)^M363*(M367&gt;0)</f>
        <v>0</v>
      </c>
      <c r="N376" s="17" t="n">
        <f aca="false">Case_PPA*(1+PPA_Esc)^N363*(N367&gt;0)</f>
        <v>0</v>
      </c>
      <c r="O376" s="17" t="n">
        <f aca="false">Case_PPA*(1+PPA_Esc)^O363*(O367&gt;0)</f>
        <v>90</v>
      </c>
      <c r="P376" s="17" t="n">
        <f aca="false">Case_PPA*(1+PPA_Esc)^P363*(P367&gt;0)</f>
        <v>90.9</v>
      </c>
      <c r="Q376" s="17" t="n">
        <f aca="false">Case_PPA*(1+PPA_Esc)^Q363*(Q367&gt;0)</f>
        <v>91.809</v>
      </c>
      <c r="R376" s="17" t="n">
        <f aca="false">Case_PPA*(1+PPA_Esc)^R363*(R367&gt;0)</f>
        <v>92.72709</v>
      </c>
      <c r="S376" s="17" t="n">
        <f aca="false">Case_PPA*(1+PPA_Esc)^S363*(S367&gt;0)</f>
        <v>93.6543609</v>
      </c>
      <c r="T376" s="17" t="n">
        <f aca="false">Case_PPA*(1+PPA_Esc)^T363*(T367&gt;0)</f>
        <v>94.590904509</v>
      </c>
      <c r="U376" s="17" t="n">
        <f aca="false">Case_PPA*(1+PPA_Esc)^U363*(U367&gt;0)</f>
        <v>95.53681355409</v>
      </c>
      <c r="V376" s="17" t="n">
        <f aca="false">Case_PPA*(1+PPA_Esc)^V363*(V367&gt;0)</f>
        <v>96.4921816896309</v>
      </c>
      <c r="W376" s="17" t="n">
        <f aca="false">Case_PPA*(1+PPA_Esc)^W363*(W367&gt;0)</f>
        <v>97.4571035065272</v>
      </c>
      <c r="X376" s="17" t="n">
        <f aca="false">Case_PPA*(1+PPA_Esc)^X363*(X367&gt;0)</f>
        <v>98.4316745415925</v>
      </c>
      <c r="Y376" s="17" t="n">
        <f aca="false">Case_PPA*(1+PPA_Esc)^Y363*(Y367&gt;0)</f>
        <v>99.4159912870084</v>
      </c>
      <c r="Z376" s="17" t="n">
        <f aca="false">Case_PPA*(1+PPA_Esc)^Z363*(Z367&gt;0)</f>
        <v>100.410151199878</v>
      </c>
      <c r="AA376" s="17" t="n">
        <f aca="false">Case_PPA*(1+PPA_Esc)^AA363*(AA367&gt;0)</f>
        <v>101.414252711877</v>
      </c>
      <c r="AB376" s="17" t="n">
        <f aca="false">Case_PPA*(1+PPA_Esc)^AB363*(AB367&gt;0)</f>
        <v>102.428395238996</v>
      </c>
      <c r="AC376" s="17" t="n">
        <f aca="false">Case_PPA*(1+PPA_Esc)^AC363*(AC367&gt;0)</f>
        <v>103.452679191386</v>
      </c>
      <c r="AD376" s="17" t="n">
        <f aca="false">Case_PPA*(1+PPA_Esc)^AD363*(AD367&gt;0)</f>
        <v>104.4872059833</v>
      </c>
      <c r="AE376" s="17" t="n">
        <f aca="false">Case_PPA*(1+PPA_Esc)^AE363*(AE367&gt;0)</f>
        <v>105.532078043133</v>
      </c>
      <c r="AF376" s="17" t="n">
        <f aca="false">Case_PPA*(1+PPA_Esc)^AF363*(AF367&gt;0)</f>
        <v>106.587398823564</v>
      </c>
      <c r="AG376" s="17" t="n">
        <f aca="false">Case_PPA*(1+PPA_Esc)^AG363*(AG367&gt;0)</f>
        <v>107.6532728118</v>
      </c>
      <c r="AH376" s="17" t="n">
        <f aca="false">Case_PPA*(1+PPA_Esc)^AH363*(AH367&gt;0)</f>
        <v>108.729805539918</v>
      </c>
      <c r="AI376" s="17" t="n">
        <f aca="false">Case_PPA*(1+PPA_Esc)^AI363*(AI367&gt;0)</f>
        <v>109.817103595317</v>
      </c>
      <c r="AJ376" s="17" t="n">
        <f aca="false">Case_PPA*(1+PPA_Esc)^AJ363*(AJ367&gt;0)</f>
        <v>110.91527463127</v>
      </c>
      <c r="AK376" s="17" t="n">
        <f aca="false">Case_PPA*(1+PPA_Esc)^AK363*(AK367&gt;0)</f>
        <v>112.024427377583</v>
      </c>
      <c r="AL376" s="17" t="n">
        <f aca="false">Case_PPA*(1+PPA_Esc)^AL363*(AL367&gt;0)</f>
        <v>113.144671651359</v>
      </c>
      <c r="AM376" s="17" t="n">
        <f aca="false">Case_PPA*(1+PPA_Esc)^AM363*(AM367&gt;0)</f>
        <v>114.276118367872</v>
      </c>
      <c r="AN376" s="17" t="n">
        <f aca="false">Case_PPA*(1+PPA_Esc)^AN363*(AN367&gt;0)</f>
        <v>115.418879551551</v>
      </c>
      <c r="AO376" s="17" t="n">
        <f aca="false">Case_PPA*(1+PPA_Esc)^AO363*(AO367&gt;0)</f>
        <v>116.573068347067</v>
      </c>
      <c r="AP376" s="17" t="n">
        <f aca="false">Case_PPA*(1+PPA_Esc)^AP363*(AP367&gt;0)</f>
        <v>117.738799030537</v>
      </c>
      <c r="AQ376" s="17" t="n">
        <f aca="false">Case_PPA*(1+PPA_Esc)^AQ363*(AQ367&gt;0)</f>
        <v>118.916187020843</v>
      </c>
      <c r="AR376" s="17" t="n">
        <f aca="false">Case_PPA*(1+PPA_Esc)^AR363*(AR367&gt;0)</f>
        <v>120.105348891051</v>
      </c>
      <c r="AS376" s="17" t="n">
        <f aca="false">Case_PPA*(1+PPA_Esc)^AS363*(AS367&gt;0)</f>
        <v>121.306402379962</v>
      </c>
    </row>
    <row r="377" customFormat="false" ht="14.25" hidden="false" customHeight="false" outlineLevel="0" collapsed="false">
      <c r="C377" s="1" t="s">
        <v>158</v>
      </c>
      <c r="D377" s="2" t="s">
        <v>85</v>
      </c>
      <c r="H377" s="32" t="n">
        <f aca="false">SUM(J377:AS377)</f>
        <v>382397.730625247</v>
      </c>
      <c r="J377" s="32" t="n">
        <f aca="false">J375*J376</f>
        <v>0</v>
      </c>
      <c r="K377" s="32" t="n">
        <f aca="false">K375*K376</f>
        <v>0</v>
      </c>
      <c r="L377" s="32" t="n">
        <f aca="false">L375*L376</f>
        <v>0</v>
      </c>
      <c r="M377" s="32" t="n">
        <f aca="false">M375*M376</f>
        <v>0</v>
      </c>
      <c r="N377" s="32" t="n">
        <f aca="false">N375*N376</f>
        <v>0</v>
      </c>
      <c r="O377" s="32" t="n">
        <f aca="false">O375*O376</f>
        <v>5715.36</v>
      </c>
      <c r="P377" s="32" t="n">
        <f aca="false">P375*P376</f>
        <v>11545.0272</v>
      </c>
      <c r="Q377" s="32" t="n">
        <f aca="false">Q375*Q376</f>
        <v>11625.496039584</v>
      </c>
      <c r="R377" s="32" t="n">
        <f aca="false">R375*R376</f>
        <v>11706.5257469799</v>
      </c>
      <c r="S377" s="32" t="n">
        <f aca="false">S375*S376</f>
        <v>11788.1202314363</v>
      </c>
      <c r="T377" s="32" t="n">
        <f aca="false">T375*T376</f>
        <v>11870.2834294495</v>
      </c>
      <c r="U377" s="32" t="n">
        <f aca="false">U375*U376</f>
        <v>11953.0193049527</v>
      </c>
      <c r="V377" s="32" t="n">
        <f aca="false">V375*V376</f>
        <v>12036.3318495082</v>
      </c>
      <c r="W377" s="32" t="n">
        <f aca="false">W375*W376</f>
        <v>12120.2250824993</v>
      </c>
      <c r="X377" s="32" t="n">
        <f aca="false">X375*X376</f>
        <v>12204.7030513243</v>
      </c>
      <c r="Y377" s="32" t="n">
        <f aca="false">Y375*Y376</f>
        <v>12289.7698315921</v>
      </c>
      <c r="Z377" s="32" t="n">
        <f aca="false">Z375*Z376</f>
        <v>12375.4295273183</v>
      </c>
      <c r="AA377" s="32" t="n">
        <f aca="false">AA375*AA376</f>
        <v>12461.6862711237</v>
      </c>
      <c r="AB377" s="32" t="n">
        <f aca="false">AB375*AB376</f>
        <v>12548.5442244334</v>
      </c>
      <c r="AC377" s="32" t="n">
        <f aca="false">AC375*AC376</f>
        <v>12636.0075776777</v>
      </c>
      <c r="AD377" s="32" t="n">
        <f aca="false">AD375*AD376</f>
        <v>12724.0805504941</v>
      </c>
      <c r="AE377" s="32" t="n">
        <f aca="false">AE375*AE376</f>
        <v>12812.7673919311</v>
      </c>
      <c r="AF377" s="32" t="n">
        <f aca="false">AF375*AF376</f>
        <v>12902.0723806528</v>
      </c>
      <c r="AG377" s="32" t="n">
        <f aca="false">AG375*AG376</f>
        <v>12991.999825146</v>
      </c>
      <c r="AH377" s="32" t="n">
        <f aca="false">AH375*AH376</f>
        <v>13082.5540639272</v>
      </c>
      <c r="AI377" s="32" t="n">
        <f aca="false">AI375*AI376</f>
        <v>13173.7394657528</v>
      </c>
      <c r="AJ377" s="32" t="n">
        <f aca="false">AJ375*AJ376</f>
        <v>13265.5604298291</v>
      </c>
      <c r="AK377" s="32" t="n">
        <f aca="false">AK375*AK376</f>
        <v>13358.021386025</v>
      </c>
      <c r="AL377" s="32" t="n">
        <f aca="false">AL375*AL376</f>
        <v>13451.1267950856</v>
      </c>
      <c r="AM377" s="32" t="n">
        <f aca="false">AM375*AM376</f>
        <v>13544.8811488474</v>
      </c>
      <c r="AN377" s="32" t="n">
        <f aca="false">AN375*AN376</f>
        <v>13639.2889704548</v>
      </c>
      <c r="AO377" s="32" t="n">
        <f aca="false">AO375*AO376</f>
        <v>13734.3548145789</v>
      </c>
      <c r="AP377" s="32" t="n">
        <f aca="false">AP375*AP376</f>
        <v>13830.0832676365</v>
      </c>
      <c r="AQ377" s="32" t="n">
        <f aca="false">AQ375*AQ376</f>
        <v>13926.4789480119</v>
      </c>
      <c r="AR377" s="32" t="n">
        <f aca="false">AR375*AR376</f>
        <v>14023.5465062796</v>
      </c>
      <c r="AS377" s="32" t="n">
        <f aca="false">AS375*AS376</f>
        <v>7060.64531271418</v>
      </c>
    </row>
    <row r="378" customFormat="false" ht="14.25" hidden="false" customHeight="false" outlineLevel="0" collapsed="false">
      <c r="C378" s="6" t="s">
        <v>305</v>
      </c>
      <c r="D378" s="2" t="s">
        <v>3</v>
      </c>
      <c r="J378" s="77" t="n">
        <f aca="false">(1+Opex_Esc)^J363</f>
        <v>0.883854287609517</v>
      </c>
      <c r="K378" s="77" t="n">
        <f aca="false">(1+Opex_Esc)^K363</f>
        <v>0.905950644799755</v>
      </c>
      <c r="L378" s="77" t="n">
        <f aca="false">(1+Opex_Esc)^L363</f>
        <v>0.928599410919749</v>
      </c>
      <c r="M378" s="77" t="n">
        <f aca="false">(1+Opex_Esc)^M363</f>
        <v>0.951814396192743</v>
      </c>
      <c r="N378" s="77" t="n">
        <f aca="false">(1+Opex_Esc)^N363</f>
        <v>0.975609756097561</v>
      </c>
      <c r="O378" s="77" t="n">
        <f aca="false">(1+Opex_Esc)^O363</f>
        <v>1</v>
      </c>
      <c r="P378" s="77" t="n">
        <f aca="false">(1+Opex_Esc)^P363</f>
        <v>1.025</v>
      </c>
      <c r="Q378" s="77" t="n">
        <f aca="false">(1+Opex_Esc)^Q363</f>
        <v>1.050625</v>
      </c>
      <c r="R378" s="77" t="n">
        <f aca="false">(1+Opex_Esc)^R363</f>
        <v>1.076890625</v>
      </c>
      <c r="S378" s="77" t="n">
        <f aca="false">(1+Opex_Esc)^S363</f>
        <v>1.103812890625</v>
      </c>
      <c r="T378" s="77" t="n">
        <f aca="false">(1+Opex_Esc)^T363</f>
        <v>1.13140821289062</v>
      </c>
      <c r="U378" s="77" t="n">
        <f aca="false">(1+Opex_Esc)^U363</f>
        <v>1.15969341821289</v>
      </c>
      <c r="V378" s="77" t="n">
        <f aca="false">(1+Opex_Esc)^V363</f>
        <v>1.18868575366821</v>
      </c>
      <c r="W378" s="77" t="n">
        <f aca="false">(1+Opex_Esc)^W363</f>
        <v>1.21840289750992</v>
      </c>
      <c r="X378" s="77" t="n">
        <f aca="false">(1+Opex_Esc)^X363</f>
        <v>1.24886296994767</v>
      </c>
      <c r="Y378" s="77" t="n">
        <f aca="false">(1+Opex_Esc)^Y363</f>
        <v>1.28008454419636</v>
      </c>
      <c r="Z378" s="77" t="n">
        <f aca="false">(1+Opex_Esc)^Z363</f>
        <v>1.31208665780127</v>
      </c>
      <c r="AA378" s="77" t="n">
        <f aca="false">(1+Opex_Esc)^AA363</f>
        <v>1.3448888242463</v>
      </c>
      <c r="AB378" s="77" t="n">
        <f aca="false">(1+Opex_Esc)^AB363</f>
        <v>1.37851104485245</v>
      </c>
      <c r="AC378" s="77" t="n">
        <f aca="false">(1+Opex_Esc)^AC363</f>
        <v>1.41297382097377</v>
      </c>
      <c r="AD378" s="77" t="n">
        <f aca="false">(1+Opex_Esc)^AD363</f>
        <v>1.44829816649811</v>
      </c>
      <c r="AE378" s="77" t="n">
        <f aca="false">(1+Opex_Esc)^AE363</f>
        <v>1.48450562066056</v>
      </c>
      <c r="AF378" s="77" t="n">
        <f aca="false">(1+Opex_Esc)^AF363</f>
        <v>1.52161826117708</v>
      </c>
      <c r="AG378" s="77" t="n">
        <f aca="false">(1+Opex_Esc)^AG363</f>
        <v>1.5596587177065</v>
      </c>
      <c r="AH378" s="77" t="n">
        <f aca="false">(1+Opex_Esc)^AH363</f>
        <v>1.59865018564917</v>
      </c>
      <c r="AI378" s="77" t="n">
        <f aca="false">(1+Opex_Esc)^AI363</f>
        <v>1.63861644029039</v>
      </c>
      <c r="AJ378" s="77" t="n">
        <f aca="false">(1+Opex_Esc)^AJ363</f>
        <v>1.67958185129765</v>
      </c>
      <c r="AK378" s="77" t="n">
        <f aca="false">(1+Opex_Esc)^AK363</f>
        <v>1.7215713975801</v>
      </c>
      <c r="AL378" s="77" t="n">
        <f aca="false">(1+Opex_Esc)^AL363</f>
        <v>1.7646106825196</v>
      </c>
      <c r="AM378" s="77" t="n">
        <f aca="false">(1+Opex_Esc)^AM363</f>
        <v>1.80872594958259</v>
      </c>
      <c r="AN378" s="77" t="n">
        <f aca="false">(1+Opex_Esc)^AN363</f>
        <v>1.85394409832215</v>
      </c>
      <c r="AO378" s="77" t="n">
        <f aca="false">(1+Opex_Esc)^AO363</f>
        <v>1.90029270078021</v>
      </c>
      <c r="AP378" s="77" t="n">
        <f aca="false">(1+Opex_Esc)^AP363</f>
        <v>1.94780001829971</v>
      </c>
      <c r="AQ378" s="77" t="n">
        <f aca="false">(1+Opex_Esc)^AQ363</f>
        <v>1.9964950187572</v>
      </c>
      <c r="AR378" s="77" t="n">
        <f aca="false">(1+Opex_Esc)^AR363</f>
        <v>2.04640739422613</v>
      </c>
      <c r="AS378" s="77" t="n">
        <f aca="false">(1+Opex_Esc)^AS363</f>
        <v>2.09756757908179</v>
      </c>
    </row>
    <row r="379" customFormat="false" ht="14.25" hidden="false" customHeight="false" outlineLevel="0" collapsed="false">
      <c r="C379" s="6" t="s">
        <v>306</v>
      </c>
      <c r="D379" s="2" t="s">
        <v>85</v>
      </c>
      <c r="H379" s="8" t="n">
        <f aca="false">SUM(J379:AS379)</f>
        <v>-60009.5073862969</v>
      </c>
      <c r="J379" s="8" t="n">
        <f aca="false">-(Case_OM+SUM(Opex_Per_MW))*$E$46*J378*J367</f>
        <v>-0</v>
      </c>
      <c r="K379" s="8" t="n">
        <f aca="false">-(Case_OM+SUM(Opex_Per_MW))*$E$46*K378*K367</f>
        <v>-0</v>
      </c>
      <c r="L379" s="8" t="n">
        <f aca="false">-(Case_OM+SUM(Opex_Per_MW))*$E$46*L378*L367</f>
        <v>-0</v>
      </c>
      <c r="M379" s="8" t="n">
        <f aca="false">-(Case_OM+SUM(Opex_Per_MW))*$E$46*M378*M367</f>
        <v>-0</v>
      </c>
      <c r="N379" s="8" t="n">
        <f aca="false">-(Case_OM+SUM(Opex_Per_MW))*$E$46*N378*N367</f>
        <v>-0</v>
      </c>
      <c r="O379" s="8" t="n">
        <f aca="false">-(Case_OM+SUM(Opex_Per_MW))*$E$46*O378*O367</f>
        <v>-675</v>
      </c>
      <c r="P379" s="8" t="n">
        <f aca="false">-(Case_OM+SUM(Opex_Per_MW))*$E$46*P378*P367</f>
        <v>-1383.75</v>
      </c>
      <c r="Q379" s="8" t="n">
        <f aca="false">-(Case_OM+SUM(Opex_Per_MW))*$E$46*Q378*Q367</f>
        <v>-1418.34375</v>
      </c>
      <c r="R379" s="8" t="n">
        <f aca="false">-(Case_OM+SUM(Opex_Per_MW))*$E$46*R378*R367</f>
        <v>-1453.80234375</v>
      </c>
      <c r="S379" s="8" t="n">
        <f aca="false">-(Case_OM+SUM(Opex_Per_MW))*$E$46*S378*S367</f>
        <v>-1490.14740234375</v>
      </c>
      <c r="T379" s="8" t="n">
        <f aca="false">-(Case_OM+SUM(Opex_Per_MW))*$E$46*T378*T367</f>
        <v>-1527.40108740234</v>
      </c>
      <c r="U379" s="8" t="n">
        <f aca="false">-(Case_OM+SUM(Opex_Per_MW))*$E$46*U378*U367</f>
        <v>-1565.5861145874</v>
      </c>
      <c r="V379" s="8" t="n">
        <f aca="false">-(Case_OM+SUM(Opex_Per_MW))*$E$46*V378*V367</f>
        <v>-1604.72576745209</v>
      </c>
      <c r="W379" s="8" t="n">
        <f aca="false">-(Case_OM+SUM(Opex_Per_MW))*$E$46*W378*W367</f>
        <v>-1644.84391163839</v>
      </c>
      <c r="X379" s="8" t="n">
        <f aca="false">-(Case_OM+SUM(Opex_Per_MW))*$E$46*X378*X367</f>
        <v>-1685.96500942935</v>
      </c>
      <c r="Y379" s="8" t="n">
        <f aca="false">-(Case_OM+SUM(Opex_Per_MW))*$E$46*Y378*Y367</f>
        <v>-1728.11413466508</v>
      </c>
      <c r="Z379" s="8" t="n">
        <f aca="false">-(Case_OM+SUM(Opex_Per_MW))*$E$46*Z378*Z367</f>
        <v>-1771.31698803171</v>
      </c>
      <c r="AA379" s="8" t="n">
        <f aca="false">-(Case_OM+SUM(Opex_Per_MW))*$E$46*AA378*AA367</f>
        <v>-1815.5999127325</v>
      </c>
      <c r="AB379" s="8" t="n">
        <f aca="false">-(Case_OM+SUM(Opex_Per_MW))*$E$46*AB378*AB367</f>
        <v>-1860.98991055081</v>
      </c>
      <c r="AC379" s="8" t="n">
        <f aca="false">-(Case_OM+SUM(Opex_Per_MW))*$E$46*AC378*AC367</f>
        <v>-1907.51465831458</v>
      </c>
      <c r="AD379" s="8" t="n">
        <f aca="false">-(Case_OM+SUM(Opex_Per_MW))*$E$46*AD378*AD367</f>
        <v>-1955.20252477245</v>
      </c>
      <c r="AE379" s="8" t="n">
        <f aca="false">-(Case_OM+SUM(Opex_Per_MW))*$E$46*AE378*AE367</f>
        <v>-2004.08258789176</v>
      </c>
      <c r="AF379" s="8" t="n">
        <f aca="false">-(Case_OM+SUM(Opex_Per_MW))*$E$46*AF378*AF367</f>
        <v>-2054.18465258905</v>
      </c>
      <c r="AG379" s="8" t="n">
        <f aca="false">-(Case_OM+SUM(Opex_Per_MW))*$E$46*AG378*AG367</f>
        <v>-2105.53926890378</v>
      </c>
      <c r="AH379" s="8" t="n">
        <f aca="false">-(Case_OM+SUM(Opex_Per_MW))*$E$46*AH378*AH367</f>
        <v>-2158.17775062637</v>
      </c>
      <c r="AI379" s="8" t="n">
        <f aca="false">-(Case_OM+SUM(Opex_Per_MW))*$E$46*AI378*AI367</f>
        <v>-2212.13219439203</v>
      </c>
      <c r="AJ379" s="8" t="n">
        <f aca="false">-(Case_OM+SUM(Opex_Per_MW))*$E$46*AJ378*AJ367</f>
        <v>-2267.43549925183</v>
      </c>
      <c r="AK379" s="8" t="n">
        <f aca="false">-(Case_OM+SUM(Opex_Per_MW))*$E$46*AK378*AK367</f>
        <v>-2324.12138673313</v>
      </c>
      <c r="AL379" s="8" t="n">
        <f aca="false">-(Case_OM+SUM(Opex_Per_MW))*$E$46*AL378*AL367</f>
        <v>-2382.22442140146</v>
      </c>
      <c r="AM379" s="8" t="n">
        <f aca="false">-(Case_OM+SUM(Opex_Per_MW))*$E$46*AM378*AM367</f>
        <v>-2441.78003193649</v>
      </c>
      <c r="AN379" s="8" t="n">
        <f aca="false">-(Case_OM+SUM(Opex_Per_MW))*$E$46*AN378*AN367</f>
        <v>-2502.82453273491</v>
      </c>
      <c r="AO379" s="8" t="n">
        <f aca="false">-(Case_OM+SUM(Opex_Per_MW))*$E$46*AO378*AO367</f>
        <v>-2565.39514605328</v>
      </c>
      <c r="AP379" s="8" t="n">
        <f aca="false">-(Case_OM+SUM(Opex_Per_MW))*$E$46*AP378*AP367</f>
        <v>-2629.53002470461</v>
      </c>
      <c r="AQ379" s="8" t="n">
        <f aca="false">-(Case_OM+SUM(Opex_Per_MW))*$E$46*AQ378*AQ367</f>
        <v>-2695.26827532222</v>
      </c>
      <c r="AR379" s="8" t="n">
        <f aca="false">-(Case_OM+SUM(Opex_Per_MW))*$E$46*AR378*AR367</f>
        <v>-2762.64998220528</v>
      </c>
      <c r="AS379" s="8" t="n">
        <f aca="false">-(Case_OM+SUM(Opex_Per_MW))*$E$46*AS378*AS367</f>
        <v>-1415.85811588021</v>
      </c>
    </row>
    <row r="380" customFormat="false" ht="14.25" hidden="false" customHeight="false" outlineLevel="0" collapsed="false">
      <c r="C380" s="6" t="s">
        <v>307</v>
      </c>
      <c r="D380" s="2" t="s">
        <v>85</v>
      </c>
      <c r="H380" s="8" t="n">
        <f aca="false">SUM(J380:AS380)</f>
        <v>-1666.93076073047</v>
      </c>
      <c r="J380" s="8" t="n">
        <f aca="false">-Opex_Admin*$E$6/Lump_Basis*J378*J367</f>
        <v>-0</v>
      </c>
      <c r="K380" s="8" t="n">
        <f aca="false">-Opex_Admin*$E$6/Lump_Basis*K378*K367</f>
        <v>-0</v>
      </c>
      <c r="L380" s="8" t="n">
        <f aca="false">-Opex_Admin*$E$6/Lump_Basis*L378*L367</f>
        <v>-0</v>
      </c>
      <c r="M380" s="8" t="n">
        <f aca="false">-Opex_Admin*$E$6/Lump_Basis*M378*M367</f>
        <v>-0</v>
      </c>
      <c r="N380" s="8" t="n">
        <f aca="false">-Opex_Admin*$E$6/Lump_Basis*N378*N367</f>
        <v>-0</v>
      </c>
      <c r="O380" s="8" t="n">
        <f aca="false">-Opex_Admin*$E$6/Lump_Basis*O378*O367</f>
        <v>-18.75</v>
      </c>
      <c r="P380" s="8" t="n">
        <f aca="false">-Opex_Admin*$E$6/Lump_Basis*P378*P367</f>
        <v>-38.4375</v>
      </c>
      <c r="Q380" s="8" t="n">
        <f aca="false">-Opex_Admin*$E$6/Lump_Basis*Q378*Q367</f>
        <v>-39.3984375</v>
      </c>
      <c r="R380" s="8" t="n">
        <f aca="false">-Opex_Admin*$E$6/Lump_Basis*R378*R367</f>
        <v>-40.3833984375</v>
      </c>
      <c r="S380" s="8" t="n">
        <f aca="false">-Opex_Admin*$E$6/Lump_Basis*S378*S367</f>
        <v>-41.3929833984375</v>
      </c>
      <c r="T380" s="8" t="n">
        <f aca="false">-Opex_Admin*$E$6/Lump_Basis*T378*T367</f>
        <v>-42.4278079833984</v>
      </c>
      <c r="U380" s="8" t="n">
        <f aca="false">-Opex_Admin*$E$6/Lump_Basis*U378*U367</f>
        <v>-43.4885031829834</v>
      </c>
      <c r="V380" s="8" t="n">
        <f aca="false">-Opex_Admin*$E$6/Lump_Basis*V378*V367</f>
        <v>-44.575715762558</v>
      </c>
      <c r="W380" s="8" t="n">
        <f aca="false">-Opex_Admin*$E$6/Lump_Basis*W378*W367</f>
        <v>-45.6901086566219</v>
      </c>
      <c r="X380" s="8" t="n">
        <f aca="false">-Opex_Admin*$E$6/Lump_Basis*X378*X367</f>
        <v>-46.8323613730374</v>
      </c>
      <c r="Y380" s="8" t="n">
        <f aca="false">-Opex_Admin*$E$6/Lump_Basis*Y378*Y367</f>
        <v>-48.0031704073634</v>
      </c>
      <c r="Z380" s="8" t="n">
        <f aca="false">-Opex_Admin*$E$6/Lump_Basis*Z378*Z367</f>
        <v>-49.2032496675475</v>
      </c>
      <c r="AA380" s="8" t="n">
        <f aca="false">-Opex_Admin*$E$6/Lump_Basis*AA378*AA367</f>
        <v>-50.4333309092361</v>
      </c>
      <c r="AB380" s="8" t="n">
        <f aca="false">-Opex_Admin*$E$6/Lump_Basis*AB378*AB367</f>
        <v>-51.694164181967</v>
      </c>
      <c r="AC380" s="8" t="n">
        <f aca="false">-Opex_Admin*$E$6/Lump_Basis*AC378*AC367</f>
        <v>-52.9865182865162</v>
      </c>
      <c r="AD380" s="8" t="n">
        <f aca="false">-Opex_Admin*$E$6/Lump_Basis*AD378*AD367</f>
        <v>-54.3111812436791</v>
      </c>
      <c r="AE380" s="8" t="n">
        <f aca="false">-Opex_Admin*$E$6/Lump_Basis*AE378*AE367</f>
        <v>-55.6689607747711</v>
      </c>
      <c r="AF380" s="8" t="n">
        <f aca="false">-Opex_Admin*$E$6/Lump_Basis*AF378*AF367</f>
        <v>-57.0606847941404</v>
      </c>
      <c r="AG380" s="8" t="n">
        <f aca="false">-Opex_Admin*$E$6/Lump_Basis*AG378*AG367</f>
        <v>-58.4872019139939</v>
      </c>
      <c r="AH380" s="8" t="n">
        <f aca="false">-Opex_Admin*$E$6/Lump_Basis*AH378*AH367</f>
        <v>-59.9493819618437</v>
      </c>
      <c r="AI380" s="8" t="n">
        <f aca="false">-Opex_Admin*$E$6/Lump_Basis*AI378*AI367</f>
        <v>-61.4481165108898</v>
      </c>
      <c r="AJ380" s="8" t="n">
        <f aca="false">-Opex_Admin*$E$6/Lump_Basis*AJ378*AJ367</f>
        <v>-62.984319423662</v>
      </c>
      <c r="AK380" s="8" t="n">
        <f aca="false">-Opex_Admin*$E$6/Lump_Basis*AK378*AK367</f>
        <v>-64.5589274092536</v>
      </c>
      <c r="AL380" s="8" t="n">
        <f aca="false">-Opex_Admin*$E$6/Lump_Basis*AL378*AL367</f>
        <v>-66.1729005944849</v>
      </c>
      <c r="AM380" s="8" t="n">
        <f aca="false">-Opex_Admin*$E$6/Lump_Basis*AM378*AM367</f>
        <v>-67.827223109347</v>
      </c>
      <c r="AN380" s="8" t="n">
        <f aca="false">-Opex_Admin*$E$6/Lump_Basis*AN378*AN367</f>
        <v>-69.5229036870807</v>
      </c>
      <c r="AO380" s="8" t="n">
        <f aca="false">-Opex_Admin*$E$6/Lump_Basis*AO378*AO367</f>
        <v>-71.2609762792577</v>
      </c>
      <c r="AP380" s="8" t="n">
        <f aca="false">-Opex_Admin*$E$6/Lump_Basis*AP378*AP367</f>
        <v>-73.0425006862391</v>
      </c>
      <c r="AQ380" s="8" t="n">
        <f aca="false">-Opex_Admin*$E$6/Lump_Basis*AQ378*AQ367</f>
        <v>-74.8685632033951</v>
      </c>
      <c r="AR380" s="8" t="n">
        <f aca="false">-Opex_Admin*$E$6/Lump_Basis*AR378*AR367</f>
        <v>-76.74027728348</v>
      </c>
      <c r="AS380" s="8" t="n">
        <f aca="false">-Opex_Admin*$E$6/Lump_Basis*AS378*AS367</f>
        <v>-39.3293921077835</v>
      </c>
    </row>
    <row r="381" customFormat="false" ht="14.25" hidden="false" customHeight="false" outlineLevel="0" collapsed="false">
      <c r="C381" s="6" t="s">
        <v>308</v>
      </c>
      <c r="D381" s="2" t="s">
        <v>85</v>
      </c>
      <c r="H381" s="8" t="n">
        <f aca="false">SUM(J381:AS381)</f>
        <v>-26924.5113148159</v>
      </c>
      <c r="J381" s="8" t="n">
        <f aca="false">-J375*(Balancing+Grid_Charges)*J378</f>
        <v>-0</v>
      </c>
      <c r="K381" s="8" t="n">
        <f aca="false">-K375*(Balancing+Grid_Charges)*K378</f>
        <v>-0</v>
      </c>
      <c r="L381" s="8" t="n">
        <f aca="false">-L375*(Balancing+Grid_Charges)*L378</f>
        <v>-0</v>
      </c>
      <c r="M381" s="8" t="n">
        <f aca="false">-M375*(Balancing+Grid_Charges)*M378</f>
        <v>-0</v>
      </c>
      <c r="N381" s="8" t="n">
        <f aca="false">-N375*(Balancing+Grid_Charges)*N378</f>
        <v>-0</v>
      </c>
      <c r="O381" s="8" t="n">
        <f aca="false">-O375*(Balancing+Grid_Charges)*O378</f>
        <v>-317.52</v>
      </c>
      <c r="P381" s="8" t="n">
        <f aca="false">-P375*(Balancing+Grid_Charges)*P378</f>
        <v>-650.916</v>
      </c>
      <c r="Q381" s="8" t="n">
        <f aca="false">-Q375*(Balancing+Grid_Charges)*Q378</f>
        <v>-665.1873333</v>
      </c>
      <c r="R381" s="8" t="n">
        <f aca="false">-R375*(Balancing+Grid_Charges)*R378</f>
        <v>-679.771565582602</v>
      </c>
      <c r="S381" s="8" t="n">
        <f aca="false">-S375*(Balancing+Grid_Charges)*S378</f>
        <v>-694.675557158001</v>
      </c>
      <c r="T381" s="8" t="n">
        <f aca="false">-T375*(Balancing+Grid_Charges)*T378</f>
        <v>-709.90631874869</v>
      </c>
      <c r="U381" s="8" t="n">
        <f aca="false">-U375*(Balancing+Grid_Charges)*U378</f>
        <v>-725.471014787255</v>
      </c>
      <c r="V381" s="8" t="n">
        <f aca="false">-V375*(Balancing+Grid_Charges)*V378</f>
        <v>-741.376966786466</v>
      </c>
      <c r="W381" s="8" t="n">
        <f aca="false">-W375*(Balancing+Grid_Charges)*W378</f>
        <v>-757.631656783258</v>
      </c>
      <c r="X381" s="8" t="n">
        <f aca="false">-X375*(Balancing+Grid_Charges)*X378</f>
        <v>-774.242730858232</v>
      </c>
      <c r="Y381" s="8" t="n">
        <f aca="false">-Y375*(Balancing+Grid_Charges)*Y378</f>
        <v>-791.218002732298</v>
      </c>
      <c r="Z381" s="8" t="n">
        <f aca="false">-Z375*(Balancing+Grid_Charges)*Z378</f>
        <v>-808.565457442204</v>
      </c>
      <c r="AA381" s="8" t="n">
        <f aca="false">-AA375*(Balancing+Grid_Charges)*AA378</f>
        <v>-826.293255096624</v>
      </c>
      <c r="AB381" s="8" t="n">
        <f aca="false">-AB375*(Balancing+Grid_Charges)*AB378</f>
        <v>-844.409734714617</v>
      </c>
      <c r="AC381" s="8" t="n">
        <f aca="false">-AC375*(Balancing+Grid_Charges)*AC378</f>
        <v>-862.923418148235</v>
      </c>
      <c r="AD381" s="8" t="n">
        <f aca="false">-AD375*(Balancing+Grid_Charges)*AD378</f>
        <v>-881.843014091135</v>
      </c>
      <c r="AE381" s="8" t="n">
        <f aca="false">-AE375*(Balancing+Grid_Charges)*AE378</f>
        <v>-901.177422175083</v>
      </c>
      <c r="AF381" s="8" t="n">
        <f aca="false">-AF375*(Balancing+Grid_Charges)*AF378</f>
        <v>-920.935737156272</v>
      </c>
      <c r="AG381" s="8" t="n">
        <f aca="false">-AG375*(Balancing+Grid_Charges)*AG378</f>
        <v>-941.127253193423</v>
      </c>
      <c r="AH381" s="8" t="n">
        <f aca="false">-AH375*(Balancing+Grid_Charges)*AH378</f>
        <v>-961.761468219689</v>
      </c>
      <c r="AI381" s="8" t="n">
        <f aca="false">-AI375*(Balancing+Grid_Charges)*AI378</f>
        <v>-982.848088410405</v>
      </c>
      <c r="AJ381" s="8" t="n">
        <f aca="false">-AJ375*(Balancing+Grid_Charges)*AJ378</f>
        <v>-1004.3970327488</v>
      </c>
      <c r="AK381" s="8" t="n">
        <f aca="false">-AK375*(Balancing+Grid_Charges)*AK378</f>
        <v>-1026.41843769182</v>
      </c>
      <c r="AL381" s="8" t="n">
        <f aca="false">-AL375*(Balancing+Grid_Charges)*AL378</f>
        <v>-1048.92266193821</v>
      </c>
      <c r="AM381" s="8" t="n">
        <f aca="false">-AM375*(Balancing+Grid_Charges)*AM378</f>
        <v>-1071.92029130121</v>
      </c>
      <c r="AN381" s="8" t="n">
        <f aca="false">-AN375*(Balancing+Grid_Charges)*AN378</f>
        <v>-1095.42214368799</v>
      </c>
      <c r="AO381" s="8" t="n">
        <f aca="false">-AO375*(Balancing+Grid_Charges)*AO378</f>
        <v>-1119.43927418835</v>
      </c>
      <c r="AP381" s="8" t="n">
        <f aca="false">-AP375*(Balancing+Grid_Charges)*AP378</f>
        <v>-1143.98298027493</v>
      </c>
      <c r="AQ381" s="8" t="n">
        <f aca="false">-AQ375*(Balancing+Grid_Charges)*AQ378</f>
        <v>-1169.06480711745</v>
      </c>
      <c r="AR381" s="8" t="n">
        <f aca="false">-AR375*(Balancing+Grid_Charges)*AR378</f>
        <v>-1194.6965530135</v>
      </c>
      <c r="AS381" s="8" t="n">
        <f aca="false">-AS375*(Balancing+Grid_Charges)*AS378</f>
        <v>-610.445137469163</v>
      </c>
    </row>
    <row r="382" customFormat="false" ht="14.25" hidden="false" customHeight="false" outlineLevel="0" collapsed="false">
      <c r="C382" s="6" t="s">
        <v>309</v>
      </c>
      <c r="D382" s="2" t="s">
        <v>85</v>
      </c>
      <c r="H382" s="8" t="n">
        <f aca="false">SUM(J382:AS382)</f>
        <v>-382.397730625247</v>
      </c>
      <c r="J382" s="8" t="n">
        <f aca="false">-J377*MEKH_Fee</f>
        <v>-0</v>
      </c>
      <c r="K382" s="8" t="n">
        <f aca="false">-K377*MEKH_Fee</f>
        <v>-0</v>
      </c>
      <c r="L382" s="8" t="n">
        <f aca="false">-L377*MEKH_Fee</f>
        <v>-0</v>
      </c>
      <c r="M382" s="8" t="n">
        <f aca="false">-M377*MEKH_Fee</f>
        <v>-0</v>
      </c>
      <c r="N382" s="8" t="n">
        <f aca="false">-N377*MEKH_Fee</f>
        <v>-0</v>
      </c>
      <c r="O382" s="8" t="n">
        <f aca="false">-O377*MEKH_Fee</f>
        <v>-5.71536</v>
      </c>
      <c r="P382" s="8" t="n">
        <f aca="false">-P377*MEKH_Fee</f>
        <v>-11.5450272</v>
      </c>
      <c r="Q382" s="8" t="n">
        <f aca="false">-Q377*MEKH_Fee</f>
        <v>-11.625496039584</v>
      </c>
      <c r="R382" s="8" t="n">
        <f aca="false">-R377*MEKH_Fee</f>
        <v>-11.7065257469799</v>
      </c>
      <c r="S382" s="8" t="n">
        <f aca="false">-S377*MEKH_Fee</f>
        <v>-11.7881202314363</v>
      </c>
      <c r="T382" s="8" t="n">
        <f aca="false">-T377*MEKH_Fee</f>
        <v>-11.8702834294495</v>
      </c>
      <c r="U382" s="8" t="n">
        <f aca="false">-U377*MEKH_Fee</f>
        <v>-11.9530193049527</v>
      </c>
      <c r="V382" s="8" t="n">
        <f aca="false">-V377*MEKH_Fee</f>
        <v>-12.0363318495082</v>
      </c>
      <c r="W382" s="8" t="n">
        <f aca="false">-W377*MEKH_Fee</f>
        <v>-12.1202250824993</v>
      </c>
      <c r="X382" s="8" t="n">
        <f aca="false">-X377*MEKH_Fee</f>
        <v>-12.2047030513243</v>
      </c>
      <c r="Y382" s="8" t="n">
        <f aca="false">-Y377*MEKH_Fee</f>
        <v>-12.2897698315921</v>
      </c>
      <c r="Z382" s="8" t="n">
        <f aca="false">-Z377*MEKH_Fee</f>
        <v>-12.3754295273183</v>
      </c>
      <c r="AA382" s="8" t="n">
        <f aca="false">-AA377*MEKH_Fee</f>
        <v>-12.4616862711237</v>
      </c>
      <c r="AB382" s="8" t="n">
        <f aca="false">-AB377*MEKH_Fee</f>
        <v>-12.5485442244334</v>
      </c>
      <c r="AC382" s="8" t="n">
        <f aca="false">-AC377*MEKH_Fee</f>
        <v>-12.6360075776777</v>
      </c>
      <c r="AD382" s="8" t="n">
        <f aca="false">-AD377*MEKH_Fee</f>
        <v>-12.7240805504941</v>
      </c>
      <c r="AE382" s="8" t="n">
        <f aca="false">-AE377*MEKH_Fee</f>
        <v>-12.8127673919311</v>
      </c>
      <c r="AF382" s="8" t="n">
        <f aca="false">-AF377*MEKH_Fee</f>
        <v>-12.9020723806528</v>
      </c>
      <c r="AG382" s="8" t="n">
        <f aca="false">-AG377*MEKH_Fee</f>
        <v>-12.991999825146</v>
      </c>
      <c r="AH382" s="8" t="n">
        <f aca="false">-AH377*MEKH_Fee</f>
        <v>-13.0825540639272</v>
      </c>
      <c r="AI382" s="8" t="n">
        <f aca="false">-AI377*MEKH_Fee</f>
        <v>-13.1737394657528</v>
      </c>
      <c r="AJ382" s="8" t="n">
        <f aca="false">-AJ377*MEKH_Fee</f>
        <v>-13.2655604298291</v>
      </c>
      <c r="AK382" s="8" t="n">
        <f aca="false">-AK377*MEKH_Fee</f>
        <v>-13.358021386025</v>
      </c>
      <c r="AL382" s="8" t="n">
        <f aca="false">-AL377*MEKH_Fee</f>
        <v>-13.4511267950856</v>
      </c>
      <c r="AM382" s="8" t="n">
        <f aca="false">-AM377*MEKH_Fee</f>
        <v>-13.5448811488474</v>
      </c>
      <c r="AN382" s="8" t="n">
        <f aca="false">-AN377*MEKH_Fee</f>
        <v>-13.6392889704548</v>
      </c>
      <c r="AO382" s="8" t="n">
        <f aca="false">-AO377*MEKH_Fee</f>
        <v>-13.7343548145789</v>
      </c>
      <c r="AP382" s="8" t="n">
        <f aca="false">-AP377*MEKH_Fee</f>
        <v>-13.8300832676365</v>
      </c>
      <c r="AQ382" s="8" t="n">
        <f aca="false">-AQ377*MEKH_Fee</f>
        <v>-13.9264789480119</v>
      </c>
      <c r="AR382" s="8" t="n">
        <f aca="false">-AR377*MEKH_Fee</f>
        <v>-14.0235465062796</v>
      </c>
      <c r="AS382" s="8" t="n">
        <f aca="false">-AS377*MEKH_Fee</f>
        <v>-7.06064531271418</v>
      </c>
    </row>
    <row r="383" customFormat="false" ht="14.25" hidden="false" customHeight="false" outlineLevel="0" collapsed="false">
      <c r="C383" s="6" t="s">
        <v>310</v>
      </c>
      <c r="D383" s="2" t="s">
        <v>85</v>
      </c>
      <c r="H383" s="8" t="n">
        <f aca="false">SUM(J383:AS383)</f>
        <v>-4449.16735962342</v>
      </c>
      <c r="J383" s="8" t="n">
        <f aca="false">SUM(J379:J382)*Opex_Cont</f>
        <v>0</v>
      </c>
      <c r="K383" s="8" t="n">
        <f aca="false">SUM(K379:K382)*Opex_Cont</f>
        <v>0</v>
      </c>
      <c r="L383" s="8" t="n">
        <f aca="false">SUM(L379:L382)*Opex_Cont</f>
        <v>0</v>
      </c>
      <c r="M383" s="8" t="n">
        <f aca="false">SUM(M379:M382)*Opex_Cont</f>
        <v>0</v>
      </c>
      <c r="N383" s="8" t="n">
        <f aca="false">SUM(N379:N382)*Opex_Cont</f>
        <v>0</v>
      </c>
      <c r="O383" s="8" t="n">
        <f aca="false">SUM(O379:O382)*Opex_Cont</f>
        <v>-50.849268</v>
      </c>
      <c r="P383" s="8" t="n">
        <f aca="false">SUM(P379:P382)*Opex_Cont</f>
        <v>-104.23242636</v>
      </c>
      <c r="Q383" s="8" t="n">
        <f aca="false">SUM(Q379:Q382)*Opex_Cont</f>
        <v>-106.727750841979</v>
      </c>
      <c r="R383" s="8" t="n">
        <f aca="false">SUM(R379:R382)*Opex_Cont</f>
        <v>-109.283191675854</v>
      </c>
      <c r="S383" s="8" t="n">
        <f aca="false">SUM(S379:S382)*Opex_Cont</f>
        <v>-111.900203156581</v>
      </c>
      <c r="T383" s="8" t="n">
        <f aca="false">SUM(T379:T382)*Opex_Cont</f>
        <v>-114.580274878194</v>
      </c>
      <c r="U383" s="8" t="n">
        <f aca="false">SUM(U379:U382)*Opex_Cont</f>
        <v>-117.32493259313</v>
      </c>
      <c r="V383" s="8" t="n">
        <f aca="false">SUM(V379:V382)*Opex_Cont</f>
        <v>-120.135739092531</v>
      </c>
      <c r="W383" s="8" t="n">
        <f aca="false">SUM(W379:W382)*Opex_Cont</f>
        <v>-123.014295108038</v>
      </c>
      <c r="X383" s="8" t="n">
        <f aca="false">SUM(X379:X382)*Opex_Cont</f>
        <v>-125.962240235597</v>
      </c>
      <c r="Y383" s="8" t="n">
        <f aca="false">SUM(Y379:Y382)*Opex_Cont</f>
        <v>-128.981253881817</v>
      </c>
      <c r="Z383" s="8" t="n">
        <f aca="false">SUM(Z379:Z382)*Opex_Cont</f>
        <v>-132.073056233439</v>
      </c>
      <c r="AA383" s="8" t="n">
        <f aca="false">SUM(AA379:AA382)*Opex_Cont</f>
        <v>-135.239409250474</v>
      </c>
      <c r="AB383" s="8" t="n">
        <f aca="false">SUM(AB379:AB382)*Opex_Cont</f>
        <v>-138.482117683592</v>
      </c>
      <c r="AC383" s="8" t="n">
        <f aca="false">SUM(AC379:AC382)*Opex_Cont</f>
        <v>-141.803030116351</v>
      </c>
      <c r="AD383" s="8" t="n">
        <f aca="false">SUM(AD379:AD382)*Opex_Cont</f>
        <v>-145.204040032888</v>
      </c>
      <c r="AE383" s="8" t="n">
        <f aca="false">SUM(AE379:AE382)*Opex_Cont</f>
        <v>-148.687086911677</v>
      </c>
      <c r="AF383" s="8" t="n">
        <f aca="false">SUM(AF379:AF382)*Opex_Cont</f>
        <v>-152.254157346006</v>
      </c>
      <c r="AG383" s="8" t="n">
        <f aca="false">SUM(AG379:AG382)*Opex_Cont</f>
        <v>-155.907286191817</v>
      </c>
      <c r="AH383" s="8" t="n">
        <f aca="false">SUM(AH379:AH382)*Opex_Cont</f>
        <v>-159.648557743592</v>
      </c>
      <c r="AI383" s="8" t="n">
        <f aca="false">SUM(AI379:AI382)*Opex_Cont</f>
        <v>-163.480106938954</v>
      </c>
      <c r="AJ383" s="8" t="n">
        <f aca="false">SUM(AJ379:AJ382)*Opex_Cont</f>
        <v>-167.404120592706</v>
      </c>
      <c r="AK383" s="8" t="n">
        <f aca="false">SUM(AK379:AK382)*Opex_Cont</f>
        <v>-171.422838661011</v>
      </c>
      <c r="AL383" s="8" t="n">
        <f aca="false">SUM(AL379:AL382)*Opex_Cont</f>
        <v>-175.538555536462</v>
      </c>
      <c r="AM383" s="8" t="n">
        <f aca="false">SUM(AM379:AM382)*Opex_Cont</f>
        <v>-179.753621374795</v>
      </c>
      <c r="AN383" s="8" t="n">
        <f aca="false">SUM(AN379:AN382)*Opex_Cont</f>
        <v>-184.070443454021</v>
      </c>
      <c r="AO383" s="8" t="n">
        <f aca="false">SUM(AO379:AO382)*Opex_Cont</f>
        <v>-188.491487566773</v>
      </c>
      <c r="AP383" s="8" t="n">
        <f aca="false">SUM(AP379:AP382)*Opex_Cont</f>
        <v>-193.019279446671</v>
      </c>
      <c r="AQ383" s="8" t="n">
        <f aca="false">SUM(AQ379:AQ382)*Opex_Cont</f>
        <v>-197.656406229554</v>
      </c>
      <c r="AR383" s="8" t="n">
        <f aca="false">SUM(AR379:AR382)*Opex_Cont</f>
        <v>-202.405517950427</v>
      </c>
      <c r="AS383" s="8" t="n">
        <f aca="false">SUM(AS379:AS382)*Opex_Cont</f>
        <v>-103.634664538493</v>
      </c>
    </row>
    <row r="384" customFormat="false" ht="14.25" hidden="false" customHeight="false" outlineLevel="0" collapsed="false">
      <c r="C384" s="6" t="s">
        <v>311</v>
      </c>
      <c r="D384" s="2" t="s">
        <v>85</v>
      </c>
      <c r="H384" s="8" t="n">
        <f aca="false">SUM(J384:AS384)</f>
        <v>0</v>
      </c>
      <c r="J384" s="8" t="n">
        <f aca="false">-J375*$E$12</f>
        <v>-0</v>
      </c>
      <c r="K384" s="8" t="n">
        <f aca="false">-K375*$E$12</f>
        <v>-0</v>
      </c>
      <c r="L384" s="8" t="n">
        <f aca="false">-L375*$E$12</f>
        <v>-0</v>
      </c>
      <c r="M384" s="8" t="n">
        <f aca="false">-M375*$E$12</f>
        <v>-0</v>
      </c>
      <c r="N384" s="8" t="n">
        <f aca="false">-N375*$E$12</f>
        <v>-0</v>
      </c>
      <c r="O384" s="8" t="n">
        <f aca="false">-O375*$E$12</f>
        <v>-0</v>
      </c>
      <c r="P384" s="8" t="n">
        <f aca="false">-P375*$E$12</f>
        <v>-0</v>
      </c>
      <c r="Q384" s="8" t="n">
        <f aca="false">-Q375*$E$12</f>
        <v>-0</v>
      </c>
      <c r="R384" s="8" t="n">
        <f aca="false">-R375*$E$12</f>
        <v>-0</v>
      </c>
      <c r="S384" s="8" t="n">
        <f aca="false">-S375*$E$12</f>
        <v>-0</v>
      </c>
      <c r="T384" s="8" t="n">
        <f aca="false">-T375*$E$12</f>
        <v>-0</v>
      </c>
      <c r="U384" s="8" t="n">
        <f aca="false">-U375*$E$12</f>
        <v>-0</v>
      </c>
      <c r="V384" s="8" t="n">
        <f aca="false">-V375*$E$12</f>
        <v>-0</v>
      </c>
      <c r="W384" s="8" t="n">
        <f aca="false">-W375*$E$12</f>
        <v>-0</v>
      </c>
      <c r="X384" s="8" t="n">
        <f aca="false">-X375*$E$12</f>
        <v>-0</v>
      </c>
      <c r="Y384" s="8" t="n">
        <f aca="false">-Y375*$E$12</f>
        <v>-0</v>
      </c>
      <c r="Z384" s="8" t="n">
        <f aca="false">-Z375*$E$12</f>
        <v>-0</v>
      </c>
      <c r="AA384" s="8" t="n">
        <f aca="false">-AA375*$E$12</f>
        <v>-0</v>
      </c>
      <c r="AB384" s="8" t="n">
        <f aca="false">-AB375*$E$12</f>
        <v>-0</v>
      </c>
      <c r="AC384" s="8" t="n">
        <f aca="false">-AC375*$E$12</f>
        <v>-0</v>
      </c>
      <c r="AD384" s="8" t="n">
        <f aca="false">-AD375*$E$12</f>
        <v>-0</v>
      </c>
      <c r="AE384" s="8" t="n">
        <f aca="false">-AE375*$E$12</f>
        <v>-0</v>
      </c>
      <c r="AF384" s="8" t="n">
        <f aca="false">-AF375*$E$12</f>
        <v>-0</v>
      </c>
      <c r="AG384" s="8" t="n">
        <f aca="false">-AG375*$E$12</f>
        <v>-0</v>
      </c>
      <c r="AH384" s="8" t="n">
        <f aca="false">-AH375*$E$12</f>
        <v>-0</v>
      </c>
      <c r="AI384" s="8" t="n">
        <f aca="false">-AI375*$E$12</f>
        <v>-0</v>
      </c>
      <c r="AJ384" s="8" t="n">
        <f aca="false">-AJ375*$E$12</f>
        <v>-0</v>
      </c>
      <c r="AK384" s="8" t="n">
        <f aca="false">-AK375*$E$12</f>
        <v>-0</v>
      </c>
      <c r="AL384" s="8" t="n">
        <f aca="false">-AL375*$E$12</f>
        <v>-0</v>
      </c>
      <c r="AM384" s="8" t="n">
        <f aca="false">-AM375*$E$12</f>
        <v>-0</v>
      </c>
      <c r="AN384" s="8" t="n">
        <f aca="false">-AN375*$E$12</f>
        <v>-0</v>
      </c>
      <c r="AO384" s="8" t="n">
        <f aca="false">-AO375*$E$12</f>
        <v>-0</v>
      </c>
      <c r="AP384" s="8" t="n">
        <f aca="false">-AP375*$E$12</f>
        <v>-0</v>
      </c>
      <c r="AQ384" s="8" t="n">
        <f aca="false">-AQ375*$E$12</f>
        <v>-0</v>
      </c>
      <c r="AR384" s="8" t="n">
        <f aca="false">-AR375*$E$12</f>
        <v>-0</v>
      </c>
      <c r="AS384" s="8" t="n">
        <f aca="false">-AS375*$E$12</f>
        <v>-0</v>
      </c>
    </row>
    <row r="385" customFormat="false" ht="14.25" hidden="false" customHeight="false" outlineLevel="0" collapsed="false">
      <c r="C385" s="6" t="s">
        <v>312</v>
      </c>
      <c r="D385" s="2" t="s">
        <v>85</v>
      </c>
      <c r="H385" s="8" t="n">
        <f aca="false">SUM(J385:AS385)</f>
        <v>-7647.95461250493</v>
      </c>
      <c r="J385" s="8" t="n">
        <f aca="false">-J377*HIPA_Rate</f>
        <v>-0</v>
      </c>
      <c r="K385" s="8" t="n">
        <f aca="false">-K377*HIPA_Rate</f>
        <v>-0</v>
      </c>
      <c r="L385" s="8" t="n">
        <f aca="false">-L377*HIPA_Rate</f>
        <v>-0</v>
      </c>
      <c r="M385" s="8" t="n">
        <f aca="false">-M377*HIPA_Rate</f>
        <v>-0</v>
      </c>
      <c r="N385" s="8" t="n">
        <f aca="false">-N377*HIPA_Rate</f>
        <v>-0</v>
      </c>
      <c r="O385" s="8" t="n">
        <f aca="false">-O377*HIPA_Rate</f>
        <v>-114.3072</v>
      </c>
      <c r="P385" s="8" t="n">
        <f aca="false">-P377*HIPA_Rate</f>
        <v>-230.900544</v>
      </c>
      <c r="Q385" s="8" t="n">
        <f aca="false">-Q377*HIPA_Rate</f>
        <v>-232.50992079168</v>
      </c>
      <c r="R385" s="8" t="n">
        <f aca="false">-R377*HIPA_Rate</f>
        <v>-234.130514939598</v>
      </c>
      <c r="S385" s="8" t="n">
        <f aca="false">-S377*HIPA_Rate</f>
        <v>-235.762404628727</v>
      </c>
      <c r="T385" s="8" t="n">
        <f aca="false">-T377*HIPA_Rate</f>
        <v>-237.405668588989</v>
      </c>
      <c r="U385" s="8" t="n">
        <f aca="false">-U377*HIPA_Rate</f>
        <v>-239.060386099055</v>
      </c>
      <c r="V385" s="8" t="n">
        <f aca="false">-V377*HIPA_Rate</f>
        <v>-240.726636990165</v>
      </c>
      <c r="W385" s="8" t="n">
        <f aca="false">-W377*HIPA_Rate</f>
        <v>-242.404501649986</v>
      </c>
      <c r="X385" s="8" t="n">
        <f aca="false">-X377*HIPA_Rate</f>
        <v>-244.094061026487</v>
      </c>
      <c r="Y385" s="8" t="n">
        <f aca="false">-Y377*HIPA_Rate</f>
        <v>-245.795396631841</v>
      </c>
      <c r="Z385" s="8" t="n">
        <f aca="false">-Z377*HIPA_Rate</f>
        <v>-247.508590546365</v>
      </c>
      <c r="AA385" s="8" t="n">
        <f aca="false">-AA377*HIPA_Rate</f>
        <v>-249.233725422473</v>
      </c>
      <c r="AB385" s="8" t="n">
        <f aca="false">-AB377*HIPA_Rate</f>
        <v>-250.970884488668</v>
      </c>
      <c r="AC385" s="8" t="n">
        <f aca="false">-AC377*HIPA_Rate</f>
        <v>-252.720151553554</v>
      </c>
      <c r="AD385" s="8" t="n">
        <f aca="false">-AD377*HIPA_Rate</f>
        <v>-254.481611009882</v>
      </c>
      <c r="AE385" s="8" t="n">
        <f aca="false">-AE377*HIPA_Rate</f>
        <v>-256.255347838621</v>
      </c>
      <c r="AF385" s="8" t="n">
        <f aca="false">-AF377*HIPA_Rate</f>
        <v>-258.041447613056</v>
      </c>
      <c r="AG385" s="8" t="n">
        <f aca="false">-AG377*HIPA_Rate</f>
        <v>-259.83999650292</v>
      </c>
      <c r="AH385" s="8" t="n">
        <f aca="false">-AH377*HIPA_Rate</f>
        <v>-261.651081278545</v>
      </c>
      <c r="AI385" s="8" t="n">
        <f aca="false">-AI377*HIPA_Rate</f>
        <v>-263.474789315056</v>
      </c>
      <c r="AJ385" s="8" t="n">
        <f aca="false">-AJ377*HIPA_Rate</f>
        <v>-265.311208596582</v>
      </c>
      <c r="AK385" s="8" t="n">
        <f aca="false">-AK377*HIPA_Rate</f>
        <v>-267.1604277205</v>
      </c>
      <c r="AL385" s="8" t="n">
        <f aca="false">-AL377*HIPA_Rate</f>
        <v>-269.022535901712</v>
      </c>
      <c r="AM385" s="8" t="n">
        <f aca="false">-AM377*HIPA_Rate</f>
        <v>-270.897622976947</v>
      </c>
      <c r="AN385" s="8" t="n">
        <f aca="false">-AN377*HIPA_Rate</f>
        <v>-272.785779409097</v>
      </c>
      <c r="AO385" s="8" t="n">
        <f aca="false">-AO377*HIPA_Rate</f>
        <v>-274.687096291578</v>
      </c>
      <c r="AP385" s="8" t="n">
        <f aca="false">-AP377*HIPA_Rate</f>
        <v>-276.60166535273</v>
      </c>
      <c r="AQ385" s="8" t="n">
        <f aca="false">-AQ377*HIPA_Rate</f>
        <v>-278.529578960239</v>
      </c>
      <c r="AR385" s="8" t="n">
        <f aca="false">-AR377*HIPA_Rate</f>
        <v>-280.470930125592</v>
      </c>
      <c r="AS385" s="8" t="n">
        <f aca="false">-AS377*HIPA_Rate</f>
        <v>-141.212906254284</v>
      </c>
    </row>
    <row r="386" customFormat="false" ht="14.25" hidden="false" customHeight="false" outlineLevel="0" collapsed="false">
      <c r="C386" s="1" t="s">
        <v>313</v>
      </c>
      <c r="D386" s="2" t="s">
        <v>85</v>
      </c>
      <c r="H386" s="32" t="n">
        <f aca="false">SUM(J386:AS386)</f>
        <v>-101080.469164597</v>
      </c>
      <c r="J386" s="32" t="n">
        <f aca="false">SUM(J379:J385)</f>
        <v>0</v>
      </c>
      <c r="K386" s="32" t="n">
        <f aca="false">SUM(K379:K385)</f>
        <v>0</v>
      </c>
      <c r="L386" s="32" t="n">
        <f aca="false">SUM(L379:L385)</f>
        <v>0</v>
      </c>
      <c r="M386" s="32" t="n">
        <f aca="false">SUM(M379:M385)</f>
        <v>0</v>
      </c>
      <c r="N386" s="32" t="n">
        <f aca="false">SUM(N379:N385)</f>
        <v>0</v>
      </c>
      <c r="O386" s="32" t="n">
        <f aca="false">SUM(O379:O385)</f>
        <v>-1182.141828</v>
      </c>
      <c r="P386" s="32" t="n">
        <f aca="false">SUM(P379:P385)</f>
        <v>-2419.78149756</v>
      </c>
      <c r="Q386" s="32" t="n">
        <f aca="false">SUM(Q379:Q385)</f>
        <v>-2473.79268847324</v>
      </c>
      <c r="R386" s="32" t="n">
        <f aca="false">SUM(R379:R385)</f>
        <v>-2529.07754013253</v>
      </c>
      <c r="S386" s="32" t="n">
        <f aca="false">SUM(S379:S385)</f>
        <v>-2585.66667091693</v>
      </c>
      <c r="T386" s="32" t="n">
        <f aca="false">SUM(T379:T385)</f>
        <v>-2643.59144103106</v>
      </c>
      <c r="U386" s="32" t="n">
        <f aca="false">SUM(U379:U385)</f>
        <v>-2702.88397055478</v>
      </c>
      <c r="V386" s="32" t="n">
        <f aca="false">SUM(V379:V385)</f>
        <v>-2763.57715793331</v>
      </c>
      <c r="W386" s="32" t="n">
        <f aca="false">SUM(W379:W385)</f>
        <v>-2825.70469891879</v>
      </c>
      <c r="X386" s="32" t="n">
        <f aca="false">SUM(X379:X385)</f>
        <v>-2889.30110597403</v>
      </c>
      <c r="Y386" s="32" t="n">
        <f aca="false">SUM(Y379:Y385)</f>
        <v>-2954.40172814999</v>
      </c>
      <c r="Z386" s="32" t="n">
        <f aca="false">SUM(Z379:Z385)</f>
        <v>-3021.04277144858</v>
      </c>
      <c r="AA386" s="32" t="n">
        <f aca="false">SUM(AA379:AA385)</f>
        <v>-3089.26131968243</v>
      </c>
      <c r="AB386" s="32" t="n">
        <f aca="false">SUM(AB379:AB385)</f>
        <v>-3159.09535584409</v>
      </c>
      <c r="AC386" s="32" t="n">
        <f aca="false">SUM(AC379:AC385)</f>
        <v>-3230.58378399692</v>
      </c>
      <c r="AD386" s="32" t="n">
        <f aca="false">SUM(AD379:AD385)</f>
        <v>-3303.76645170053</v>
      </c>
      <c r="AE386" s="32" t="n">
        <f aca="false">SUM(AE379:AE385)</f>
        <v>-3378.68417298384</v>
      </c>
      <c r="AF386" s="32" t="n">
        <f aca="false">SUM(AF379:AF385)</f>
        <v>-3455.37875187918</v>
      </c>
      <c r="AG386" s="32" t="n">
        <f aca="false">SUM(AG379:AG385)</f>
        <v>-3533.89300653108</v>
      </c>
      <c r="AH386" s="32" t="n">
        <f aca="false">SUM(AH379:AH385)</f>
        <v>-3614.27079389397</v>
      </c>
      <c r="AI386" s="32" t="n">
        <f aca="false">SUM(AI379:AI385)</f>
        <v>-3696.55703503309</v>
      </c>
      <c r="AJ386" s="32" t="n">
        <f aca="false">SUM(AJ379:AJ385)</f>
        <v>-3780.79774104342</v>
      </c>
      <c r="AK386" s="32" t="n">
        <f aca="false">SUM(AK379:AK385)</f>
        <v>-3867.04003960174</v>
      </c>
      <c r="AL386" s="32" t="n">
        <f aca="false">SUM(AL379:AL385)</f>
        <v>-3955.33220216742</v>
      </c>
      <c r="AM386" s="32" t="n">
        <f aca="false">SUM(AM379:AM385)</f>
        <v>-4045.72367184764</v>
      </c>
      <c r="AN386" s="32" t="n">
        <f aca="false">SUM(AN379:AN385)</f>
        <v>-4138.26509194355</v>
      </c>
      <c r="AO386" s="32" t="n">
        <f aca="false">SUM(AO379:AO385)</f>
        <v>-4233.00833519381</v>
      </c>
      <c r="AP386" s="32" t="n">
        <f aca="false">SUM(AP379:AP385)</f>
        <v>-4330.00653373281</v>
      </c>
      <c r="AQ386" s="32" t="n">
        <f aca="false">SUM(AQ379:AQ385)</f>
        <v>-4429.31410978088</v>
      </c>
      <c r="AR386" s="32" t="n">
        <f aca="false">SUM(AR379:AR385)</f>
        <v>-4530.98680708456</v>
      </c>
      <c r="AS386" s="32" t="n">
        <f aca="false">SUM(AS379:AS385)</f>
        <v>-2317.54086156264</v>
      </c>
    </row>
    <row r="387" customFormat="false" ht="14.25" hidden="false" customHeight="false" outlineLevel="0" collapsed="false">
      <c r="C387" s="1" t="s">
        <v>160</v>
      </c>
      <c r="D387" s="2" t="s">
        <v>85</v>
      </c>
      <c r="H387" s="15" t="n">
        <f aca="false">SUM(J387:AS387)</f>
        <v>281317.26146065</v>
      </c>
      <c r="J387" s="15" t="n">
        <f aca="false">J377+J386</f>
        <v>0</v>
      </c>
      <c r="K387" s="15" t="n">
        <f aca="false">K377+K386</f>
        <v>0</v>
      </c>
      <c r="L387" s="15" t="n">
        <f aca="false">L377+L386</f>
        <v>0</v>
      </c>
      <c r="M387" s="15" t="n">
        <f aca="false">M377+M386</f>
        <v>0</v>
      </c>
      <c r="N387" s="15" t="n">
        <f aca="false">N377+N386</f>
        <v>0</v>
      </c>
      <c r="O387" s="15" t="n">
        <f aca="false">O377+O386</f>
        <v>4533.218172</v>
      </c>
      <c r="P387" s="15" t="n">
        <f aca="false">P377+P386</f>
        <v>9125.24570244</v>
      </c>
      <c r="Q387" s="15" t="n">
        <f aca="false">Q377+Q386</f>
        <v>9151.70335111076</v>
      </c>
      <c r="R387" s="15" t="n">
        <f aca="false">R377+R386</f>
        <v>9177.44820684737</v>
      </c>
      <c r="S387" s="15" t="n">
        <f aca="false">S377+S386</f>
        <v>9202.45356051942</v>
      </c>
      <c r="T387" s="15" t="n">
        <f aca="false">T377+T386</f>
        <v>9226.6919884184</v>
      </c>
      <c r="U387" s="15" t="n">
        <f aca="false">U377+U386</f>
        <v>9250.13533439795</v>
      </c>
      <c r="V387" s="15" t="n">
        <f aca="false">V377+V386</f>
        <v>9272.75469157493</v>
      </c>
      <c r="W387" s="15" t="n">
        <f aca="false">W377+W386</f>
        <v>9294.52038358052</v>
      </c>
      <c r="X387" s="15" t="n">
        <f aca="false">X377+X386</f>
        <v>9315.40194535031</v>
      </c>
      <c r="Y387" s="15" t="n">
        <f aca="false">Y377+Y386</f>
        <v>9335.36810344208</v>
      </c>
      <c r="Z387" s="15" t="n">
        <f aca="false">Z377+Z386</f>
        <v>9354.38675586968</v>
      </c>
      <c r="AA387" s="15" t="n">
        <f aca="false">AA377+AA386</f>
        <v>9372.42495144124</v>
      </c>
      <c r="AB387" s="15" t="n">
        <f aca="false">AB377+AB386</f>
        <v>9389.44886858932</v>
      </c>
      <c r="AC387" s="15" t="n">
        <f aca="false">AC377+AC386</f>
        <v>9405.42379368079</v>
      </c>
      <c r="AD387" s="15" t="n">
        <f aca="false">AD377+AD386</f>
        <v>9420.31409879359</v>
      </c>
      <c r="AE387" s="15" t="n">
        <f aca="false">AE377+AE386</f>
        <v>9434.08321894722</v>
      </c>
      <c r="AF387" s="15" t="n">
        <f aca="false">AF377+AF386</f>
        <v>9446.69362877364</v>
      </c>
      <c r="AG387" s="15" t="n">
        <f aca="false">AG377+AG386</f>
        <v>9458.1068186149</v>
      </c>
      <c r="AH387" s="15" t="n">
        <f aca="false">AH377+AH386</f>
        <v>9468.28327003328</v>
      </c>
      <c r="AI387" s="15" t="n">
        <f aca="false">AI377+AI386</f>
        <v>9477.18243071973</v>
      </c>
      <c r="AJ387" s="15" t="n">
        <f aca="false">AJ377+AJ386</f>
        <v>9484.7626887857</v>
      </c>
      <c r="AK387" s="15" t="n">
        <f aca="false">AK377+AK386</f>
        <v>9490.98134642328</v>
      </c>
      <c r="AL387" s="15" t="n">
        <f aca="false">AL377+AL386</f>
        <v>9495.7945929182</v>
      </c>
      <c r="AM387" s="15" t="n">
        <f aca="false">AM377+AM386</f>
        <v>9499.15747699973</v>
      </c>
      <c r="AN387" s="15" t="n">
        <f aca="false">AN377+AN386</f>
        <v>9501.02387851128</v>
      </c>
      <c r="AO387" s="15" t="n">
        <f aca="false">AO377+AO386</f>
        <v>9501.34647938509</v>
      </c>
      <c r="AP387" s="15" t="n">
        <f aca="false">AP377+AP386</f>
        <v>9500.07673390371</v>
      </c>
      <c r="AQ387" s="15" t="n">
        <f aca="false">AQ377+AQ386</f>
        <v>9497.16483823106</v>
      </c>
      <c r="AR387" s="15" t="n">
        <f aca="false">AR377+AR386</f>
        <v>9492.55969919502</v>
      </c>
      <c r="AS387" s="15" t="n">
        <f aca="false">AS377+AS386</f>
        <v>4743.10445115153</v>
      </c>
    </row>
    <row r="388" customFormat="false" ht="14.25" hidden="false" customHeight="false" outlineLevel="0" collapsed="false">
      <c r="C388" s="1" t="s">
        <v>314</v>
      </c>
      <c r="D388" s="2" t="s">
        <v>85</v>
      </c>
      <c r="H388" s="32" t="n">
        <f aca="false">SUM(J388:AS388)</f>
        <v>209225.327688047</v>
      </c>
      <c r="J388" s="32" t="n">
        <f aca="false">J373+J387</f>
        <v>0</v>
      </c>
      <c r="K388" s="32" t="n">
        <f aca="false">K373+K387</f>
        <v>0</v>
      </c>
      <c r="L388" s="32" t="n">
        <f aca="false">L373+L387</f>
        <v>0</v>
      </c>
      <c r="M388" s="32" t="n">
        <f aca="false">M373+M387</f>
        <v>-33450.8995260274</v>
      </c>
      <c r="N388" s="32" t="n">
        <f aca="false">N373+N387</f>
        <v>-26389</v>
      </c>
      <c r="O388" s="32" t="n">
        <f aca="false">O373+O387</f>
        <v>-9661.281828</v>
      </c>
      <c r="P388" s="32" t="n">
        <f aca="false">P373+P387</f>
        <v>9125.24570244</v>
      </c>
      <c r="Q388" s="32" t="n">
        <f aca="false">Q373+Q387</f>
        <v>11094.1691045354</v>
      </c>
      <c r="R388" s="32" t="n">
        <f aca="false">R373+R387</f>
        <v>9177.44820684737</v>
      </c>
      <c r="S388" s="32" t="n">
        <f aca="false">S373+S387</f>
        <v>9202.45356051942</v>
      </c>
      <c r="T388" s="32" t="n">
        <f aca="false">T373+T387</f>
        <v>9226.6919884184</v>
      </c>
      <c r="U388" s="32" t="n">
        <f aca="false">U373+U387</f>
        <v>9250.13533439795</v>
      </c>
      <c r="V388" s="32" t="n">
        <f aca="false">V373+V387</f>
        <v>9272.75469157493</v>
      </c>
      <c r="W388" s="32" t="n">
        <f aca="false">W373+W387</f>
        <v>9294.52038358052</v>
      </c>
      <c r="X388" s="32" t="n">
        <f aca="false">X373+X387</f>
        <v>9315.40194535031</v>
      </c>
      <c r="Y388" s="32" t="n">
        <f aca="false">Y373+Y387</f>
        <v>9335.36810344208</v>
      </c>
      <c r="Z388" s="32" t="n">
        <f aca="false">Z373+Z387</f>
        <v>9354.38675586968</v>
      </c>
      <c r="AA388" s="32" t="n">
        <f aca="false">AA373+AA387</f>
        <v>9372.42495144124</v>
      </c>
      <c r="AB388" s="32" t="n">
        <f aca="false">AB373+AB387</f>
        <v>9389.44886858932</v>
      </c>
      <c r="AC388" s="32" t="n">
        <f aca="false">AC373+AC387</f>
        <v>9405.42379368079</v>
      </c>
      <c r="AD388" s="32" t="n">
        <f aca="false">AD373+AD387</f>
        <v>9420.31409879359</v>
      </c>
      <c r="AE388" s="32" t="n">
        <f aca="false">AE373+AE387</f>
        <v>9434.08321894722</v>
      </c>
      <c r="AF388" s="32" t="n">
        <f aca="false">AF373+AF387</f>
        <v>9446.69362877364</v>
      </c>
      <c r="AG388" s="32" t="n">
        <f aca="false">AG373+AG387</f>
        <v>9458.1068186149</v>
      </c>
      <c r="AH388" s="32" t="n">
        <f aca="false">AH373+AH387</f>
        <v>9468.28327003328</v>
      </c>
      <c r="AI388" s="32" t="n">
        <f aca="false">AI373+AI387</f>
        <v>9477.18243071973</v>
      </c>
      <c r="AJ388" s="32" t="n">
        <f aca="false">AJ373+AJ387</f>
        <v>9484.7626887857</v>
      </c>
      <c r="AK388" s="32" t="n">
        <f aca="false">AK373+AK387</f>
        <v>9490.98134642328</v>
      </c>
      <c r="AL388" s="32" t="n">
        <f aca="false">AL373+AL387</f>
        <v>9495.7945929182</v>
      </c>
      <c r="AM388" s="32" t="n">
        <f aca="false">AM373+AM387</f>
        <v>9499.15747699973</v>
      </c>
      <c r="AN388" s="32" t="n">
        <f aca="false">AN373+AN387</f>
        <v>9501.02387851128</v>
      </c>
      <c r="AO388" s="32" t="n">
        <f aca="false">AO373+AO387</f>
        <v>9501.34647938509</v>
      </c>
      <c r="AP388" s="32" t="n">
        <f aca="false">AP373+AP387</f>
        <v>9500.07673390371</v>
      </c>
      <c r="AQ388" s="32" t="n">
        <f aca="false">AQ373+AQ387</f>
        <v>9497.16483823106</v>
      </c>
      <c r="AR388" s="32" t="n">
        <f aca="false">AR373+AR387</f>
        <v>9492.55969919502</v>
      </c>
      <c r="AS388" s="32" t="n">
        <f aca="false">AS373+AS387</f>
        <v>4743.10445115153</v>
      </c>
    </row>
    <row r="389" customFormat="false" ht="14.25" hidden="false" customHeight="false" outlineLevel="0" collapsed="false">
      <c r="C389" s="6" t="s">
        <v>315</v>
      </c>
      <c r="D389" s="2" t="s">
        <v>12</v>
      </c>
      <c r="H389" s="75" t="n">
        <f aca="false">SUM(J389:AS389)</f>
        <v>20</v>
      </c>
      <c r="J389" s="48" t="n">
        <f aca="false">MAX(0,MIN(J366,Tax_Dep_Life*Months_In_Year)-MAX(J366-Months_In_Year,0))/Months_In_Year</f>
        <v>0</v>
      </c>
      <c r="K389" s="48" t="n">
        <f aca="false">MAX(0,MIN(K366,Tax_Dep_Life*Months_In_Year)-MAX(K366-Months_In_Year,0))/Months_In_Year</f>
        <v>0</v>
      </c>
      <c r="L389" s="48" t="n">
        <f aca="false">MAX(0,MIN(L366,Tax_Dep_Life*Months_In_Year)-MAX(L366-Months_In_Year,0))/Months_In_Year</f>
        <v>0</v>
      </c>
      <c r="M389" s="48" t="n">
        <f aca="false">MAX(0,MIN(M366,Tax_Dep_Life*Months_In_Year)-MAX(M366-Months_In_Year,0))/Months_In_Year</f>
        <v>0</v>
      </c>
      <c r="N389" s="48" t="n">
        <f aca="false">MAX(0,MIN(N366,Tax_Dep_Life*Months_In_Year)-MAX(N366-Months_In_Year,0))/Months_In_Year</f>
        <v>0</v>
      </c>
      <c r="O389" s="48" t="n">
        <f aca="false">MAX(0,MIN(O366,Tax_Dep_Life*Months_In_Year)-MAX(O366-Months_In_Year,0))/Months_In_Year</f>
        <v>0.5</v>
      </c>
      <c r="P389" s="48" t="n">
        <f aca="false">MAX(0,MIN(P366,Tax_Dep_Life*Months_In_Year)-MAX(P366-Months_In_Year,0))/Months_In_Year</f>
        <v>1</v>
      </c>
      <c r="Q389" s="48" t="n">
        <f aca="false">MAX(0,MIN(Q366,Tax_Dep_Life*Months_In_Year)-MAX(Q366-Months_In_Year,0))/Months_In_Year</f>
        <v>1</v>
      </c>
      <c r="R389" s="48" t="n">
        <f aca="false">MAX(0,MIN(R366,Tax_Dep_Life*Months_In_Year)-MAX(R366-Months_In_Year,0))/Months_In_Year</f>
        <v>1</v>
      </c>
      <c r="S389" s="48" t="n">
        <f aca="false">MAX(0,MIN(S366,Tax_Dep_Life*Months_In_Year)-MAX(S366-Months_In_Year,0))/Months_In_Year</f>
        <v>1</v>
      </c>
      <c r="T389" s="48" t="n">
        <f aca="false">MAX(0,MIN(T366,Tax_Dep_Life*Months_In_Year)-MAX(T366-Months_In_Year,0))/Months_In_Year</f>
        <v>1</v>
      </c>
      <c r="U389" s="48" t="n">
        <f aca="false">MAX(0,MIN(U366,Tax_Dep_Life*Months_In_Year)-MAX(U366-Months_In_Year,0))/Months_In_Year</f>
        <v>1</v>
      </c>
      <c r="V389" s="48" t="n">
        <f aca="false">MAX(0,MIN(V366,Tax_Dep_Life*Months_In_Year)-MAX(V366-Months_In_Year,0))/Months_In_Year</f>
        <v>1</v>
      </c>
      <c r="W389" s="48" t="n">
        <f aca="false">MAX(0,MIN(W366,Tax_Dep_Life*Months_In_Year)-MAX(W366-Months_In_Year,0))/Months_In_Year</f>
        <v>1</v>
      </c>
      <c r="X389" s="48" t="n">
        <f aca="false">MAX(0,MIN(X366,Tax_Dep_Life*Months_In_Year)-MAX(X366-Months_In_Year,0))/Months_In_Year</f>
        <v>1</v>
      </c>
      <c r="Y389" s="48" t="n">
        <f aca="false">MAX(0,MIN(Y366,Tax_Dep_Life*Months_In_Year)-MAX(Y366-Months_In_Year,0))/Months_In_Year</f>
        <v>1</v>
      </c>
      <c r="Z389" s="48" t="n">
        <f aca="false">MAX(0,MIN(Z366,Tax_Dep_Life*Months_In_Year)-MAX(Z366-Months_In_Year,0))/Months_In_Year</f>
        <v>1</v>
      </c>
      <c r="AA389" s="48" t="n">
        <f aca="false">MAX(0,MIN(AA366,Tax_Dep_Life*Months_In_Year)-MAX(AA366-Months_In_Year,0))/Months_In_Year</f>
        <v>1</v>
      </c>
      <c r="AB389" s="48" t="n">
        <f aca="false">MAX(0,MIN(AB366,Tax_Dep_Life*Months_In_Year)-MAX(AB366-Months_In_Year,0))/Months_In_Year</f>
        <v>1</v>
      </c>
      <c r="AC389" s="48" t="n">
        <f aca="false">MAX(0,MIN(AC366,Tax_Dep_Life*Months_In_Year)-MAX(AC366-Months_In_Year,0))/Months_In_Year</f>
        <v>1</v>
      </c>
      <c r="AD389" s="48" t="n">
        <f aca="false">MAX(0,MIN(AD366,Tax_Dep_Life*Months_In_Year)-MAX(AD366-Months_In_Year,0))/Months_In_Year</f>
        <v>1</v>
      </c>
      <c r="AE389" s="48" t="n">
        <f aca="false">MAX(0,MIN(AE366,Tax_Dep_Life*Months_In_Year)-MAX(AE366-Months_In_Year,0))/Months_In_Year</f>
        <v>1</v>
      </c>
      <c r="AF389" s="48" t="n">
        <f aca="false">MAX(0,MIN(AF366,Tax_Dep_Life*Months_In_Year)-MAX(AF366-Months_In_Year,0))/Months_In_Year</f>
        <v>1</v>
      </c>
      <c r="AG389" s="48" t="n">
        <f aca="false">MAX(0,MIN(AG366,Tax_Dep_Life*Months_In_Year)-MAX(AG366-Months_In_Year,0))/Months_In_Year</f>
        <v>1</v>
      </c>
      <c r="AH389" s="48" t="n">
        <f aca="false">MAX(0,MIN(AH366,Tax_Dep_Life*Months_In_Year)-MAX(AH366-Months_In_Year,0))/Months_In_Year</f>
        <v>1</v>
      </c>
      <c r="AI389" s="48" t="n">
        <f aca="false">MAX(0,MIN(AI366,Tax_Dep_Life*Months_In_Year)-MAX(AI366-Months_In_Year,0))/Months_In_Year</f>
        <v>0.5</v>
      </c>
      <c r="AJ389" s="48" t="n">
        <f aca="false">MAX(0,MIN(AJ366,Tax_Dep_Life*Months_In_Year)-MAX(AJ366-Months_In_Year,0))/Months_In_Year</f>
        <v>0</v>
      </c>
      <c r="AK389" s="48" t="n">
        <f aca="false">MAX(0,MIN(AK366,Tax_Dep_Life*Months_In_Year)-MAX(AK366-Months_In_Year,0))/Months_In_Year</f>
        <v>0</v>
      </c>
      <c r="AL389" s="48" t="n">
        <f aca="false">MAX(0,MIN(AL366,Tax_Dep_Life*Months_In_Year)-MAX(AL366-Months_In_Year,0))/Months_In_Year</f>
        <v>0</v>
      </c>
      <c r="AM389" s="48" t="n">
        <f aca="false">MAX(0,MIN(AM366,Tax_Dep_Life*Months_In_Year)-MAX(AM366-Months_In_Year,0))/Months_In_Year</f>
        <v>0</v>
      </c>
      <c r="AN389" s="48" t="n">
        <f aca="false">MAX(0,MIN(AN366,Tax_Dep_Life*Months_In_Year)-MAX(AN366-Months_In_Year,0))/Months_In_Year</f>
        <v>0</v>
      </c>
      <c r="AO389" s="48" t="n">
        <f aca="false">MAX(0,MIN(AO366,Tax_Dep_Life*Months_In_Year)-MAX(AO366-Months_In_Year,0))/Months_In_Year</f>
        <v>0</v>
      </c>
      <c r="AP389" s="48" t="n">
        <f aca="false">MAX(0,MIN(AP366,Tax_Dep_Life*Months_In_Year)-MAX(AP366-Months_In_Year,0))/Months_In_Year</f>
        <v>0</v>
      </c>
      <c r="AQ389" s="48" t="n">
        <f aca="false">MAX(0,MIN(AQ366,Tax_Dep_Life*Months_In_Year)-MAX(AQ366-Months_In_Year,0))/Months_In_Year</f>
        <v>0</v>
      </c>
      <c r="AR389" s="48" t="n">
        <f aca="false">MAX(0,MIN(AR366,Tax_Dep_Life*Months_In_Year)-MAX(AR366-Months_In_Year,0))/Months_In_Year</f>
        <v>0</v>
      </c>
      <c r="AS389" s="48" t="n">
        <f aca="false">MAX(0,MIN(AS366,Tax_Dep_Life*Months_In_Year)-MAX(AS366-Months_In_Year,0))/Months_In_Year</f>
        <v>0</v>
      </c>
    </row>
    <row r="390" customFormat="false" ht="14.25" hidden="false" customHeight="false" outlineLevel="0" collapsed="false">
      <c r="C390" s="6" t="s">
        <v>316</v>
      </c>
      <c r="D390" s="2" t="s">
        <v>85</v>
      </c>
      <c r="E390" s="52" t="n">
        <f aca="false">E91+E92+E96</f>
        <v>64484.132060274</v>
      </c>
      <c r="H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</row>
    <row r="391" customFormat="false" ht="14.25" hidden="false" customHeight="false" outlineLevel="0" collapsed="false">
      <c r="C391" s="6" t="s">
        <v>317</v>
      </c>
      <c r="D391" s="2" t="s">
        <v>85</v>
      </c>
      <c r="H391" s="8" t="n">
        <f aca="false">SUM(J391:AS391)</f>
        <v>-64484.132060274</v>
      </c>
      <c r="J391" s="8" t="n">
        <f aca="false">-$E390/Tax_Dep_Life*J389</f>
        <v>-0</v>
      </c>
      <c r="K391" s="8" t="n">
        <f aca="false">-$E390/Tax_Dep_Life*K389</f>
        <v>-0</v>
      </c>
      <c r="L391" s="8" t="n">
        <f aca="false">-$E390/Tax_Dep_Life*L389</f>
        <v>-0</v>
      </c>
      <c r="M391" s="8" t="n">
        <f aca="false">-$E390/Tax_Dep_Life*M389</f>
        <v>-0</v>
      </c>
      <c r="N391" s="8" t="n">
        <f aca="false">-$E390/Tax_Dep_Life*N389</f>
        <v>-0</v>
      </c>
      <c r="O391" s="8" t="n">
        <f aca="false">-$E390/Tax_Dep_Life*O389</f>
        <v>-1612.10330150685</v>
      </c>
      <c r="P391" s="8" t="n">
        <f aca="false">-$E390/Tax_Dep_Life*P389</f>
        <v>-3224.2066030137</v>
      </c>
      <c r="Q391" s="8" t="n">
        <f aca="false">-$E390/Tax_Dep_Life*Q389</f>
        <v>-3224.2066030137</v>
      </c>
      <c r="R391" s="8" t="n">
        <f aca="false">-$E390/Tax_Dep_Life*R389</f>
        <v>-3224.2066030137</v>
      </c>
      <c r="S391" s="8" t="n">
        <f aca="false">-$E390/Tax_Dep_Life*S389</f>
        <v>-3224.2066030137</v>
      </c>
      <c r="T391" s="8" t="n">
        <f aca="false">-$E390/Tax_Dep_Life*T389</f>
        <v>-3224.2066030137</v>
      </c>
      <c r="U391" s="8" t="n">
        <f aca="false">-$E390/Tax_Dep_Life*U389</f>
        <v>-3224.2066030137</v>
      </c>
      <c r="V391" s="8" t="n">
        <f aca="false">-$E390/Tax_Dep_Life*V389</f>
        <v>-3224.2066030137</v>
      </c>
      <c r="W391" s="8" t="n">
        <f aca="false">-$E390/Tax_Dep_Life*W389</f>
        <v>-3224.2066030137</v>
      </c>
      <c r="X391" s="8" t="n">
        <f aca="false">-$E390/Tax_Dep_Life*X389</f>
        <v>-3224.2066030137</v>
      </c>
      <c r="Y391" s="8" t="n">
        <f aca="false">-$E390/Tax_Dep_Life*Y389</f>
        <v>-3224.2066030137</v>
      </c>
      <c r="Z391" s="8" t="n">
        <f aca="false">-$E390/Tax_Dep_Life*Z389</f>
        <v>-3224.2066030137</v>
      </c>
      <c r="AA391" s="8" t="n">
        <f aca="false">-$E390/Tax_Dep_Life*AA389</f>
        <v>-3224.2066030137</v>
      </c>
      <c r="AB391" s="8" t="n">
        <f aca="false">-$E390/Tax_Dep_Life*AB389</f>
        <v>-3224.2066030137</v>
      </c>
      <c r="AC391" s="8" t="n">
        <f aca="false">-$E390/Tax_Dep_Life*AC389</f>
        <v>-3224.2066030137</v>
      </c>
      <c r="AD391" s="8" t="n">
        <f aca="false">-$E390/Tax_Dep_Life*AD389</f>
        <v>-3224.2066030137</v>
      </c>
      <c r="AE391" s="8" t="n">
        <f aca="false">-$E390/Tax_Dep_Life*AE389</f>
        <v>-3224.2066030137</v>
      </c>
      <c r="AF391" s="8" t="n">
        <f aca="false">-$E390/Tax_Dep_Life*AF389</f>
        <v>-3224.2066030137</v>
      </c>
      <c r="AG391" s="8" t="n">
        <f aca="false">-$E390/Tax_Dep_Life*AG389</f>
        <v>-3224.2066030137</v>
      </c>
      <c r="AH391" s="8" t="n">
        <f aca="false">-$E390/Tax_Dep_Life*AH389</f>
        <v>-3224.2066030137</v>
      </c>
      <c r="AI391" s="8" t="n">
        <f aca="false">-$E390/Tax_Dep_Life*AI389</f>
        <v>-1612.10330150685</v>
      </c>
      <c r="AJ391" s="8" t="n">
        <f aca="false">-$E390/Tax_Dep_Life*AJ389</f>
        <v>-0</v>
      </c>
      <c r="AK391" s="8" t="n">
        <f aca="false">-$E390/Tax_Dep_Life*AK389</f>
        <v>-0</v>
      </c>
      <c r="AL391" s="8" t="n">
        <f aca="false">-$E390/Tax_Dep_Life*AL389</f>
        <v>-0</v>
      </c>
      <c r="AM391" s="8" t="n">
        <f aca="false">-$E390/Tax_Dep_Life*AM389</f>
        <v>-0</v>
      </c>
      <c r="AN391" s="8" t="n">
        <f aca="false">-$E390/Tax_Dep_Life*AN389</f>
        <v>-0</v>
      </c>
      <c r="AO391" s="8" t="n">
        <f aca="false">-$E390/Tax_Dep_Life*AO389</f>
        <v>-0</v>
      </c>
      <c r="AP391" s="8" t="n">
        <f aca="false">-$E390/Tax_Dep_Life*AP389</f>
        <v>-0</v>
      </c>
      <c r="AQ391" s="8" t="n">
        <f aca="false">-$E390/Tax_Dep_Life*AQ389</f>
        <v>-0</v>
      </c>
      <c r="AR391" s="8" t="n">
        <f aca="false">-$E390/Tax_Dep_Life*AR389</f>
        <v>-0</v>
      </c>
      <c r="AS391" s="8" t="n">
        <f aca="false">-$E390/Tax_Dep_Life*AS389</f>
        <v>-0</v>
      </c>
    </row>
    <row r="392" customFormat="false" ht="14.25" hidden="false" customHeight="false" outlineLevel="0" collapsed="false">
      <c r="C392" s="6" t="s">
        <v>318</v>
      </c>
      <c r="D392" s="2" t="s">
        <v>85</v>
      </c>
      <c r="H392" s="8" t="n">
        <f aca="false">SUM(J392:AS392)</f>
        <v>-32524.9694100564</v>
      </c>
      <c r="J392" s="8" t="n">
        <f aca="false">-MAX(0,J387+J391)*CIT_Rate</f>
        <v>-0</v>
      </c>
      <c r="K392" s="8" t="n">
        <f aca="false">-MAX(0,K387+K391)*CIT_Rate</f>
        <v>-0</v>
      </c>
      <c r="L392" s="8" t="n">
        <f aca="false">-MAX(0,L387+L391)*CIT_Rate</f>
        <v>-0</v>
      </c>
      <c r="M392" s="8" t="n">
        <f aca="false">-MAX(0,M387+M391)*CIT_Rate</f>
        <v>-0</v>
      </c>
      <c r="N392" s="8" t="n">
        <f aca="false">-MAX(0,N387+N391)*CIT_Rate</f>
        <v>-0</v>
      </c>
      <c r="O392" s="8" t="n">
        <f aca="false">-MAX(0,O387+O391)*CIT_Rate</f>
        <v>-438.167230573973</v>
      </c>
      <c r="P392" s="8" t="n">
        <f aca="false">-MAX(0,P387+P391)*CIT_Rate</f>
        <v>-885.155864913945</v>
      </c>
      <c r="Q392" s="8" t="n">
        <f aca="false">-MAX(0,Q387+Q391)*CIT_Rate</f>
        <v>-889.124512214558</v>
      </c>
      <c r="R392" s="8" t="n">
        <f aca="false">-MAX(0,R387+R391)*CIT_Rate</f>
        <v>-892.986240575051</v>
      </c>
      <c r="S392" s="8" t="n">
        <f aca="false">-MAX(0,S387+S391)*CIT_Rate</f>
        <v>-896.737043625858</v>
      </c>
      <c r="T392" s="8" t="n">
        <f aca="false">-MAX(0,T387+T391)*CIT_Rate</f>
        <v>-900.372807810705</v>
      </c>
      <c r="U392" s="8" t="n">
        <f aca="false">-MAX(0,U387+U391)*CIT_Rate</f>
        <v>-903.889309707638</v>
      </c>
      <c r="V392" s="8" t="n">
        <f aca="false">-MAX(0,V387+V391)*CIT_Rate</f>
        <v>-907.282213284185</v>
      </c>
      <c r="W392" s="8" t="n">
        <f aca="false">-MAX(0,W387+W391)*CIT_Rate</f>
        <v>-910.547067085024</v>
      </c>
      <c r="X392" s="8" t="n">
        <f aca="false">-MAX(0,X387+X391)*CIT_Rate</f>
        <v>-913.679301350492</v>
      </c>
      <c r="Y392" s="8" t="n">
        <f aca="false">-MAX(0,Y387+Y391)*CIT_Rate</f>
        <v>-916.674225064257</v>
      </c>
      <c r="Z392" s="8" t="n">
        <f aca="false">-MAX(0,Z387+Z391)*CIT_Rate</f>
        <v>-919.527022928398</v>
      </c>
      <c r="AA392" s="8" t="n">
        <f aca="false">-MAX(0,AA387+AA391)*CIT_Rate</f>
        <v>-922.232752264131</v>
      </c>
      <c r="AB392" s="8" t="n">
        <f aca="false">-MAX(0,AB387+AB391)*CIT_Rate</f>
        <v>-924.786339836343</v>
      </c>
      <c r="AC392" s="8" t="n">
        <f aca="false">-MAX(0,AC387+AC391)*CIT_Rate</f>
        <v>-927.182578600064</v>
      </c>
      <c r="AD392" s="8" t="n">
        <f aca="false">-MAX(0,AD387+AD391)*CIT_Rate</f>
        <v>-929.416124366984</v>
      </c>
      <c r="AE392" s="8" t="n">
        <f aca="false">-MAX(0,AE387+AE391)*CIT_Rate</f>
        <v>-931.481492390029</v>
      </c>
      <c r="AF392" s="8" t="n">
        <f aca="false">-MAX(0,AF387+AF391)*CIT_Rate</f>
        <v>-933.373053863992</v>
      </c>
      <c r="AG392" s="8" t="n">
        <f aca="false">-MAX(0,AG387+AG391)*CIT_Rate</f>
        <v>-935.08503234018</v>
      </c>
      <c r="AH392" s="8" t="n">
        <f aca="false">-MAX(0,AH387+AH391)*CIT_Rate</f>
        <v>-936.611500052936</v>
      </c>
      <c r="AI392" s="8" t="n">
        <f aca="false">-MAX(0,AI387+AI391)*CIT_Rate</f>
        <v>-1179.76186938193</v>
      </c>
      <c r="AJ392" s="8" t="n">
        <f aca="false">-MAX(0,AJ387+AJ391)*CIT_Rate</f>
        <v>-1422.71440331785</v>
      </c>
      <c r="AK392" s="8" t="n">
        <f aca="false">-MAX(0,AK387+AK391)*CIT_Rate</f>
        <v>-1423.64720196349</v>
      </c>
      <c r="AL392" s="8" t="n">
        <f aca="false">-MAX(0,AL387+AL391)*CIT_Rate</f>
        <v>-1424.36918893773</v>
      </c>
      <c r="AM392" s="8" t="n">
        <f aca="false">-MAX(0,AM387+AM391)*CIT_Rate</f>
        <v>-1424.87362154996</v>
      </c>
      <c r="AN392" s="8" t="n">
        <f aca="false">-MAX(0,AN387+AN391)*CIT_Rate</f>
        <v>-1425.15358177669</v>
      </c>
      <c r="AO392" s="8" t="n">
        <f aca="false">-MAX(0,AO387+AO391)*CIT_Rate</f>
        <v>-1425.20197190776</v>
      </c>
      <c r="AP392" s="8" t="n">
        <f aca="false">-MAX(0,AP387+AP391)*CIT_Rate</f>
        <v>-1425.01151008556</v>
      </c>
      <c r="AQ392" s="8" t="n">
        <f aca="false">-MAX(0,AQ387+AQ391)*CIT_Rate</f>
        <v>-1424.57472573466</v>
      </c>
      <c r="AR392" s="8" t="n">
        <f aca="false">-MAX(0,AR387+AR391)*CIT_Rate</f>
        <v>-1423.88395487925</v>
      </c>
      <c r="AS392" s="8" t="n">
        <f aca="false">-MAX(0,AS387+AS391)*CIT_Rate</f>
        <v>-711.46566767273</v>
      </c>
    </row>
    <row r="393" customFormat="false" ht="14.25" hidden="false" customHeight="false" outlineLevel="0" collapsed="false">
      <c r="C393" s="1" t="s">
        <v>319</v>
      </c>
      <c r="D393" s="2" t="s">
        <v>85</v>
      </c>
      <c r="H393" s="32" t="n">
        <f aca="false">SUM(J393:AS393)</f>
        <v>176700.358277991</v>
      </c>
      <c r="J393" s="32" t="n">
        <f aca="false">J388+J392</f>
        <v>0</v>
      </c>
      <c r="K393" s="32" t="n">
        <f aca="false">K388+K392</f>
        <v>0</v>
      </c>
      <c r="L393" s="32" t="n">
        <f aca="false">L388+L392</f>
        <v>0</v>
      </c>
      <c r="M393" s="32" t="n">
        <f aca="false">M388+M392</f>
        <v>-33450.8995260274</v>
      </c>
      <c r="N393" s="32" t="n">
        <f aca="false">N388+N392</f>
        <v>-26389</v>
      </c>
      <c r="O393" s="32" t="n">
        <f aca="false">O388+O392</f>
        <v>-10099.449058574</v>
      </c>
      <c r="P393" s="32" t="n">
        <f aca="false">P388+P392</f>
        <v>8240.08983752606</v>
      </c>
      <c r="Q393" s="32" t="n">
        <f aca="false">Q388+Q392</f>
        <v>10205.0445923209</v>
      </c>
      <c r="R393" s="32" t="n">
        <f aca="false">R388+R392</f>
        <v>8284.46196627232</v>
      </c>
      <c r="S393" s="32" t="n">
        <f aca="false">S388+S392</f>
        <v>8305.71651689356</v>
      </c>
      <c r="T393" s="32" t="n">
        <f aca="false">T388+T392</f>
        <v>8326.31918060769</v>
      </c>
      <c r="U393" s="32" t="n">
        <f aca="false">U388+U392</f>
        <v>8346.24602469031</v>
      </c>
      <c r="V393" s="32" t="n">
        <f aca="false">V388+V392</f>
        <v>8365.47247829075</v>
      </c>
      <c r="W393" s="32" t="n">
        <f aca="false">W388+W392</f>
        <v>8383.9733164955</v>
      </c>
      <c r="X393" s="32" t="n">
        <f aca="false">X388+X392</f>
        <v>8401.72264399982</v>
      </c>
      <c r="Y393" s="32" t="n">
        <f aca="false">Y388+Y392</f>
        <v>8418.69387837782</v>
      </c>
      <c r="Z393" s="32" t="n">
        <f aca="false">Z388+Z392</f>
        <v>8434.85973294128</v>
      </c>
      <c r="AA393" s="32" t="n">
        <f aca="false">AA388+AA392</f>
        <v>8450.19219917711</v>
      </c>
      <c r="AB393" s="32" t="n">
        <f aca="false">AB388+AB392</f>
        <v>8464.66252875297</v>
      </c>
      <c r="AC393" s="32" t="n">
        <f aca="false">AC388+AC392</f>
        <v>8478.24121508073</v>
      </c>
      <c r="AD393" s="32" t="n">
        <f aca="false">AD388+AD392</f>
        <v>8490.89797442661</v>
      </c>
      <c r="AE393" s="32" t="n">
        <f aca="false">AE388+AE392</f>
        <v>8502.6017265572</v>
      </c>
      <c r="AF393" s="32" t="n">
        <f aca="false">AF388+AF392</f>
        <v>8513.32057490965</v>
      </c>
      <c r="AG393" s="32" t="n">
        <f aca="false">AG388+AG392</f>
        <v>8523.02178627472</v>
      </c>
      <c r="AH393" s="32" t="n">
        <f aca="false">AH388+AH392</f>
        <v>8531.67176998034</v>
      </c>
      <c r="AI393" s="32" t="n">
        <f aca="false">AI388+AI392</f>
        <v>8297.4205613378</v>
      </c>
      <c r="AJ393" s="32" t="n">
        <f aca="false">AJ388+AJ392</f>
        <v>8062.04828546784</v>
      </c>
      <c r="AK393" s="32" t="n">
        <f aca="false">AK388+AK392</f>
        <v>8067.33414445979</v>
      </c>
      <c r="AL393" s="32" t="n">
        <f aca="false">AL388+AL392</f>
        <v>8071.42540398047</v>
      </c>
      <c r="AM393" s="32" t="n">
        <f aca="false">AM388+AM392</f>
        <v>8074.28385544977</v>
      </c>
      <c r="AN393" s="32" t="n">
        <f aca="false">AN388+AN392</f>
        <v>8075.87029673459</v>
      </c>
      <c r="AO393" s="32" t="n">
        <f aca="false">AO388+AO392</f>
        <v>8076.14450747733</v>
      </c>
      <c r="AP393" s="32" t="n">
        <f aca="false">AP388+AP392</f>
        <v>8075.06522381815</v>
      </c>
      <c r="AQ393" s="32" t="n">
        <f aca="false">AQ388+AQ392</f>
        <v>8072.5901124964</v>
      </c>
      <c r="AR393" s="32" t="n">
        <f aca="false">AR388+AR392</f>
        <v>8068.67574431577</v>
      </c>
      <c r="AS393" s="32" t="n">
        <f aca="false">AS388+AS392</f>
        <v>4031.6387834788</v>
      </c>
    </row>
    <row r="394" customFormat="false" ht="14.25" hidden="false" customHeight="false" outlineLevel="0" collapsed="false">
      <c r="C394" s="6" t="s">
        <v>320</v>
      </c>
      <c r="D394" s="2" t="s">
        <v>85</v>
      </c>
      <c r="E394" s="52" t="n">
        <f aca="false">E99*Gearing</f>
        <v>43255.1602635616</v>
      </c>
      <c r="H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</row>
    <row r="395" customFormat="false" ht="14.25" hidden="false" customHeight="false" outlineLevel="0" collapsed="false">
      <c r="C395" s="6" t="s">
        <v>321</v>
      </c>
      <c r="D395" s="2" t="s">
        <v>85</v>
      </c>
      <c r="H395" s="8" t="n">
        <f aca="false">SUM(J395:AS395)</f>
        <v>43255.1602635616</v>
      </c>
      <c r="J395" s="8" t="n">
        <f aca="false">$E394*J365</f>
        <v>0</v>
      </c>
      <c r="K395" s="8" t="n">
        <f aca="false">$E394*K365</f>
        <v>0</v>
      </c>
      <c r="L395" s="8" t="n">
        <f aca="false">$E394*L365</f>
        <v>0</v>
      </c>
      <c r="M395" s="8" t="n">
        <f aca="false">$E394*M365</f>
        <v>10813.7900658904</v>
      </c>
      <c r="N395" s="8" t="n">
        <f aca="false">$E394*N365</f>
        <v>21627.5801317808</v>
      </c>
      <c r="O395" s="8" t="n">
        <f aca="false">$E394*O365</f>
        <v>10813.7900658904</v>
      </c>
      <c r="P395" s="8" t="n">
        <f aca="false">$E394*P365</f>
        <v>0</v>
      </c>
      <c r="Q395" s="8" t="n">
        <f aca="false">$E394*Q365</f>
        <v>0</v>
      </c>
      <c r="R395" s="8" t="n">
        <f aca="false">$E394*R365</f>
        <v>0</v>
      </c>
      <c r="S395" s="8" t="n">
        <f aca="false">$E394*S365</f>
        <v>0</v>
      </c>
      <c r="T395" s="8" t="n">
        <f aca="false">$E394*T365</f>
        <v>0</v>
      </c>
      <c r="U395" s="8" t="n">
        <f aca="false">$E394*U365</f>
        <v>0</v>
      </c>
      <c r="V395" s="8" t="n">
        <f aca="false">$E394*V365</f>
        <v>0</v>
      </c>
      <c r="W395" s="8" t="n">
        <f aca="false">$E394*W365</f>
        <v>0</v>
      </c>
      <c r="X395" s="8" t="n">
        <f aca="false">$E394*X365</f>
        <v>0</v>
      </c>
      <c r="Y395" s="8" t="n">
        <f aca="false">$E394*Y365</f>
        <v>0</v>
      </c>
      <c r="Z395" s="8" t="n">
        <f aca="false">$E394*Z365</f>
        <v>0</v>
      </c>
      <c r="AA395" s="8" t="n">
        <f aca="false">$E394*AA365</f>
        <v>0</v>
      </c>
      <c r="AB395" s="8" t="n">
        <f aca="false">$E394*AB365</f>
        <v>0</v>
      </c>
      <c r="AC395" s="8" t="n">
        <f aca="false">$E394*AC365</f>
        <v>0</v>
      </c>
      <c r="AD395" s="8" t="n">
        <f aca="false">$E394*AD365</f>
        <v>0</v>
      </c>
      <c r="AE395" s="8" t="n">
        <f aca="false">$E394*AE365</f>
        <v>0</v>
      </c>
      <c r="AF395" s="8" t="n">
        <f aca="false">$E394*AF365</f>
        <v>0</v>
      </c>
      <c r="AG395" s="8" t="n">
        <f aca="false">$E394*AG365</f>
        <v>0</v>
      </c>
      <c r="AH395" s="8" t="n">
        <f aca="false">$E394*AH365</f>
        <v>0</v>
      </c>
      <c r="AI395" s="8" t="n">
        <f aca="false">$E394*AI365</f>
        <v>0</v>
      </c>
      <c r="AJ395" s="8" t="n">
        <f aca="false">$E394*AJ365</f>
        <v>0</v>
      </c>
      <c r="AK395" s="8" t="n">
        <f aca="false">$E394*AK365</f>
        <v>0</v>
      </c>
      <c r="AL395" s="8" t="n">
        <f aca="false">$E394*AL365</f>
        <v>0</v>
      </c>
      <c r="AM395" s="8" t="n">
        <f aca="false">$E394*AM365</f>
        <v>0</v>
      </c>
      <c r="AN395" s="8" t="n">
        <f aca="false">$E394*AN365</f>
        <v>0</v>
      </c>
      <c r="AO395" s="8" t="n">
        <f aca="false">$E394*AO365</f>
        <v>0</v>
      </c>
      <c r="AP395" s="8" t="n">
        <f aca="false">$E394*AP365</f>
        <v>0</v>
      </c>
      <c r="AQ395" s="8" t="n">
        <f aca="false">$E394*AQ365</f>
        <v>0</v>
      </c>
      <c r="AR395" s="8" t="n">
        <f aca="false">$E394*AR365</f>
        <v>0</v>
      </c>
      <c r="AS395" s="8" t="n">
        <f aca="false">$E394*AS365</f>
        <v>0</v>
      </c>
    </row>
    <row r="396" customFormat="false" ht="14.25" hidden="false" customHeight="false" outlineLevel="0" collapsed="false">
      <c r="C396" s="6" t="s">
        <v>322</v>
      </c>
      <c r="D396" s="2" t="s">
        <v>85</v>
      </c>
      <c r="H396" s="8" t="n">
        <f aca="false">SUM(J396:AS396)</f>
        <v>2200.09938199936</v>
      </c>
      <c r="J396" s="8" t="n">
        <f aca="false">(SUM($I395:I396)+J395*IDC_Draw_Share)*Debt_Rate*J365*$E364/Months_In_Year</f>
        <v>0</v>
      </c>
      <c r="K396" s="8" t="n">
        <f aca="false">(SUM($I395:J396)+K395*IDC_Draw_Share)*Debt_Rate*K365*$E364/Months_In_Year</f>
        <v>0</v>
      </c>
      <c r="L396" s="8" t="n">
        <f aca="false">(SUM($I395:K396)+L395*IDC_Draw_Share)*Debt_Rate*L365*$E364/Months_In_Year</f>
        <v>0</v>
      </c>
      <c r="M396" s="8" t="n">
        <f aca="false">(SUM($I395:L396)+M395*IDC_Draw_Share)*Debt_Rate*M365*$E364/Months_In_Year</f>
        <v>135.17237582363</v>
      </c>
      <c r="N396" s="8" t="n">
        <f aca="false">(SUM($I395:M396)+N395*IDC_Draw_Share)*Debt_Rate*N365*$E364/Months_In_Year</f>
        <v>1088.13762538022</v>
      </c>
      <c r="O396" s="8" t="n">
        <f aca="false">(SUM($I395:N396)+O395*IDC_Draw_Share)*Debt_Rate*O365*$E364/Months_In_Year</f>
        <v>976.789380795507</v>
      </c>
      <c r="P396" s="8" t="n">
        <f aca="false">(SUM($I395:O396)+P395*IDC_Draw_Share)*Debt_Rate*P365*$E364/Months_In_Year</f>
        <v>0</v>
      </c>
      <c r="Q396" s="8" t="n">
        <f aca="false">(SUM($I395:P396)+Q395*IDC_Draw_Share)*Debt_Rate*Q365*$E364/Months_In_Year</f>
        <v>0</v>
      </c>
      <c r="R396" s="8" t="n">
        <f aca="false">(SUM($I395:Q396)+R395*IDC_Draw_Share)*Debt_Rate*R365*$E364/Months_In_Year</f>
        <v>0</v>
      </c>
      <c r="S396" s="8" t="n">
        <f aca="false">(SUM($I395:R396)+S395*IDC_Draw_Share)*Debt_Rate*S365*$E364/Months_In_Year</f>
        <v>0</v>
      </c>
      <c r="T396" s="8" t="n">
        <f aca="false">(SUM($I395:S396)+T395*IDC_Draw_Share)*Debt_Rate*T365*$E364/Months_In_Year</f>
        <v>0</v>
      </c>
      <c r="U396" s="8" t="n">
        <f aca="false">(SUM($I395:T396)+U395*IDC_Draw_Share)*Debt_Rate*U365*$E364/Months_In_Year</f>
        <v>0</v>
      </c>
      <c r="V396" s="8" t="n">
        <f aca="false">(SUM($I395:U396)+V395*IDC_Draw_Share)*Debt_Rate*V365*$E364/Months_In_Year</f>
        <v>0</v>
      </c>
      <c r="W396" s="8" t="n">
        <f aca="false">(SUM($I395:V396)+W395*IDC_Draw_Share)*Debt_Rate*W365*$E364/Months_In_Year</f>
        <v>0</v>
      </c>
      <c r="X396" s="8" t="n">
        <f aca="false">(SUM($I395:W396)+X395*IDC_Draw_Share)*Debt_Rate*X365*$E364/Months_In_Year</f>
        <v>0</v>
      </c>
      <c r="Y396" s="8" t="n">
        <f aca="false">(SUM($I395:X396)+Y395*IDC_Draw_Share)*Debt_Rate*Y365*$E364/Months_In_Year</f>
        <v>0</v>
      </c>
      <c r="Z396" s="8" t="n">
        <f aca="false">(SUM($I395:Y396)+Z395*IDC_Draw_Share)*Debt_Rate*Z365*$E364/Months_In_Year</f>
        <v>0</v>
      </c>
      <c r="AA396" s="8" t="n">
        <f aca="false">(SUM($I395:Z396)+AA395*IDC_Draw_Share)*Debt_Rate*AA365*$E364/Months_In_Year</f>
        <v>0</v>
      </c>
      <c r="AB396" s="8" t="n">
        <f aca="false">(SUM($I395:AA396)+AB395*IDC_Draw_Share)*Debt_Rate*AB365*$E364/Months_In_Year</f>
        <v>0</v>
      </c>
      <c r="AC396" s="8" t="n">
        <f aca="false">(SUM($I395:AB396)+AC395*IDC_Draw_Share)*Debt_Rate*AC365*$E364/Months_In_Year</f>
        <v>0</v>
      </c>
      <c r="AD396" s="8" t="n">
        <f aca="false">(SUM($I395:AC396)+AD395*IDC_Draw_Share)*Debt_Rate*AD365*$E364/Months_In_Year</f>
        <v>0</v>
      </c>
      <c r="AE396" s="8" t="n">
        <f aca="false">(SUM($I395:AD396)+AE395*IDC_Draw_Share)*Debt_Rate*AE365*$E364/Months_In_Year</f>
        <v>0</v>
      </c>
      <c r="AF396" s="8" t="n">
        <f aca="false">(SUM($I395:AE396)+AF395*IDC_Draw_Share)*Debt_Rate*AF365*$E364/Months_In_Year</f>
        <v>0</v>
      </c>
      <c r="AG396" s="8" t="n">
        <f aca="false">(SUM($I395:AF396)+AG395*IDC_Draw_Share)*Debt_Rate*AG365*$E364/Months_In_Year</f>
        <v>0</v>
      </c>
      <c r="AH396" s="8" t="n">
        <f aca="false">(SUM($I395:AG396)+AH395*IDC_Draw_Share)*Debt_Rate*AH365*$E364/Months_In_Year</f>
        <v>0</v>
      </c>
      <c r="AI396" s="8" t="n">
        <f aca="false">(SUM($I395:AH396)+AI395*IDC_Draw_Share)*Debt_Rate*AI365*$E364/Months_In_Year</f>
        <v>0</v>
      </c>
      <c r="AJ396" s="8" t="n">
        <f aca="false">(SUM($I395:AI396)+AJ395*IDC_Draw_Share)*Debt_Rate*AJ365*$E364/Months_In_Year</f>
        <v>0</v>
      </c>
      <c r="AK396" s="8" t="n">
        <f aca="false">(SUM($I395:AJ396)+AK395*IDC_Draw_Share)*Debt_Rate*AK365*$E364/Months_In_Year</f>
        <v>0</v>
      </c>
      <c r="AL396" s="8" t="n">
        <f aca="false">(SUM($I395:AK396)+AL395*IDC_Draw_Share)*Debt_Rate*AL365*$E364/Months_In_Year</f>
        <v>0</v>
      </c>
      <c r="AM396" s="8" t="n">
        <f aca="false">(SUM($I395:AL396)+AM395*IDC_Draw_Share)*Debt_Rate*AM365*$E364/Months_In_Year</f>
        <v>0</v>
      </c>
      <c r="AN396" s="8" t="n">
        <f aca="false">(SUM($I395:AM396)+AN395*IDC_Draw_Share)*Debt_Rate*AN365*$E364/Months_In_Year</f>
        <v>0</v>
      </c>
      <c r="AO396" s="8" t="n">
        <f aca="false">(SUM($I395:AN396)+AO395*IDC_Draw_Share)*Debt_Rate*AO365*$E364/Months_In_Year</f>
        <v>0</v>
      </c>
      <c r="AP396" s="8" t="n">
        <f aca="false">(SUM($I395:AO396)+AP395*IDC_Draw_Share)*Debt_Rate*AP365*$E364/Months_In_Year</f>
        <v>0</v>
      </c>
      <c r="AQ396" s="8" t="n">
        <f aca="false">(SUM($I395:AP396)+AQ395*IDC_Draw_Share)*Debt_Rate*AQ365*$E364/Months_In_Year</f>
        <v>0</v>
      </c>
      <c r="AR396" s="8" t="n">
        <f aca="false">(SUM($I395:AQ396)+AR395*IDC_Draw_Share)*Debt_Rate*AR365*$E364/Months_In_Year</f>
        <v>0</v>
      </c>
      <c r="AS396" s="8" t="n">
        <f aca="false">(SUM($I395:AR396)+AS395*IDC_Draw_Share)*Debt_Rate*AS365*$E364/Months_In_Year</f>
        <v>0</v>
      </c>
    </row>
    <row r="397" customFormat="false" ht="14.25" hidden="false" customHeight="false" outlineLevel="0" collapsed="false">
      <c r="C397" s="6" t="s">
        <v>323</v>
      </c>
      <c r="D397" s="2" t="s">
        <v>85</v>
      </c>
      <c r="H397" s="8" t="n">
        <f aca="false">SUM(J397:AS397)</f>
        <v>-756.965304612329</v>
      </c>
      <c r="J397" s="8" t="n">
        <f aca="false">-$E394*Debt_Fee*(J365&gt;0)*(I365=0)</f>
        <v>-0</v>
      </c>
      <c r="K397" s="8" t="n">
        <f aca="false">-$E394*Debt_Fee*(K365&gt;0)*(J365=0)</f>
        <v>-0</v>
      </c>
      <c r="L397" s="8" t="n">
        <f aca="false">-$E394*Debt_Fee*(L365&gt;0)*(K365=0)</f>
        <v>-0</v>
      </c>
      <c r="M397" s="8" t="n">
        <f aca="false">-$E394*Debt_Fee*(M365&gt;0)*(L365=0)</f>
        <v>-756.965304612329</v>
      </c>
      <c r="N397" s="8" t="n">
        <f aca="false">-$E394*Debt_Fee*(N365&gt;0)*(M365=0)</f>
        <v>-0</v>
      </c>
      <c r="O397" s="8" t="n">
        <f aca="false">-$E394*Debt_Fee*(O365&gt;0)*(N365=0)</f>
        <v>-0</v>
      </c>
      <c r="P397" s="8" t="n">
        <f aca="false">-$E394*Debt_Fee*(P365&gt;0)*(O365=0)</f>
        <v>-0</v>
      </c>
      <c r="Q397" s="8" t="n">
        <f aca="false">-$E394*Debt_Fee*(Q365&gt;0)*(P365=0)</f>
        <v>-0</v>
      </c>
      <c r="R397" s="8" t="n">
        <f aca="false">-$E394*Debt_Fee*(R365&gt;0)*(Q365=0)</f>
        <v>-0</v>
      </c>
      <c r="S397" s="8" t="n">
        <f aca="false">-$E394*Debt_Fee*(S365&gt;0)*(R365=0)</f>
        <v>-0</v>
      </c>
      <c r="T397" s="8" t="n">
        <f aca="false">-$E394*Debt_Fee*(T365&gt;0)*(S365=0)</f>
        <v>-0</v>
      </c>
      <c r="U397" s="8" t="n">
        <f aca="false">-$E394*Debt_Fee*(U365&gt;0)*(T365=0)</f>
        <v>-0</v>
      </c>
      <c r="V397" s="8" t="n">
        <f aca="false">-$E394*Debt_Fee*(V365&gt;0)*(U365=0)</f>
        <v>-0</v>
      </c>
      <c r="W397" s="8" t="n">
        <f aca="false">-$E394*Debt_Fee*(W365&gt;0)*(V365=0)</f>
        <v>-0</v>
      </c>
      <c r="X397" s="8" t="n">
        <f aca="false">-$E394*Debt_Fee*(X365&gt;0)*(W365=0)</f>
        <v>-0</v>
      </c>
      <c r="Y397" s="8" t="n">
        <f aca="false">-$E394*Debt_Fee*(Y365&gt;0)*(X365=0)</f>
        <v>-0</v>
      </c>
      <c r="Z397" s="8" t="n">
        <f aca="false">-$E394*Debt_Fee*(Z365&gt;0)*(Y365=0)</f>
        <v>-0</v>
      </c>
      <c r="AA397" s="8" t="n">
        <f aca="false">-$E394*Debt_Fee*(AA365&gt;0)*(Z365=0)</f>
        <v>-0</v>
      </c>
      <c r="AB397" s="8" t="n">
        <f aca="false">-$E394*Debt_Fee*(AB365&gt;0)*(AA365=0)</f>
        <v>-0</v>
      </c>
      <c r="AC397" s="8" t="n">
        <f aca="false">-$E394*Debt_Fee*(AC365&gt;0)*(AB365=0)</f>
        <v>-0</v>
      </c>
      <c r="AD397" s="8" t="n">
        <f aca="false">-$E394*Debt_Fee*(AD365&gt;0)*(AC365=0)</f>
        <v>-0</v>
      </c>
      <c r="AE397" s="8" t="n">
        <f aca="false">-$E394*Debt_Fee*(AE365&gt;0)*(AD365=0)</f>
        <v>-0</v>
      </c>
      <c r="AF397" s="8" t="n">
        <f aca="false">-$E394*Debt_Fee*(AF365&gt;0)*(AE365=0)</f>
        <v>-0</v>
      </c>
      <c r="AG397" s="8" t="n">
        <f aca="false">-$E394*Debt_Fee*(AG365&gt;0)*(AF365=0)</f>
        <v>-0</v>
      </c>
      <c r="AH397" s="8" t="n">
        <f aca="false">-$E394*Debt_Fee*(AH365&gt;0)*(AG365=0)</f>
        <v>-0</v>
      </c>
      <c r="AI397" s="8" t="n">
        <f aca="false">-$E394*Debt_Fee*(AI365&gt;0)*(AH365=0)</f>
        <v>-0</v>
      </c>
      <c r="AJ397" s="8" t="n">
        <f aca="false">-$E394*Debt_Fee*(AJ365&gt;0)*(AI365=0)</f>
        <v>-0</v>
      </c>
      <c r="AK397" s="8" t="n">
        <f aca="false">-$E394*Debt_Fee*(AK365&gt;0)*(AJ365=0)</f>
        <v>-0</v>
      </c>
      <c r="AL397" s="8" t="n">
        <f aca="false">-$E394*Debt_Fee*(AL365&gt;0)*(AK365=0)</f>
        <v>-0</v>
      </c>
      <c r="AM397" s="8" t="n">
        <f aca="false">-$E394*Debt_Fee*(AM365&gt;0)*(AL365=0)</f>
        <v>-0</v>
      </c>
      <c r="AN397" s="8" t="n">
        <f aca="false">-$E394*Debt_Fee*(AN365&gt;0)*(AM365=0)</f>
        <v>-0</v>
      </c>
      <c r="AO397" s="8" t="n">
        <f aca="false">-$E394*Debt_Fee*(AO365&gt;0)*(AN365=0)</f>
        <v>-0</v>
      </c>
      <c r="AP397" s="8" t="n">
        <f aca="false">-$E394*Debt_Fee*(AP365&gt;0)*(AO365=0)</f>
        <v>-0</v>
      </c>
      <c r="AQ397" s="8" t="n">
        <f aca="false">-$E394*Debt_Fee*(AQ365&gt;0)*(AP365=0)</f>
        <v>-0</v>
      </c>
      <c r="AR397" s="8" t="n">
        <f aca="false">-$E394*Debt_Fee*(AR365&gt;0)*(AQ365=0)</f>
        <v>-0</v>
      </c>
      <c r="AS397" s="8" t="n">
        <f aca="false">-$E394*Debt_Fee*(AS365&gt;0)*(AR365=0)</f>
        <v>-0</v>
      </c>
    </row>
    <row r="398" customFormat="false" ht="14.25" hidden="false" customHeight="false" outlineLevel="0" collapsed="false">
      <c r="C398" s="6" t="s">
        <v>324</v>
      </c>
      <c r="D398" s="2" t="s">
        <v>85</v>
      </c>
      <c r="H398" s="8" t="n">
        <f aca="false">SUM(J398:AS398)</f>
        <v>-21370.0773174608</v>
      </c>
      <c r="J398" s="8" t="n">
        <f aca="false">-(I401+J395+J396)*Debt_Rate*J367</f>
        <v>-0</v>
      </c>
      <c r="K398" s="8" t="n">
        <f aca="false">-(J401+K395+K396)*Debt_Rate*K367</f>
        <v>-0</v>
      </c>
      <c r="L398" s="8" t="n">
        <f aca="false">-(K401+L395+L396)*Debt_Rate*L367</f>
        <v>-0</v>
      </c>
      <c r="M398" s="8" t="n">
        <f aca="false">-(L401+M395+M396)*Debt_Rate*M367</f>
        <v>-0</v>
      </c>
      <c r="N398" s="8" t="n">
        <f aca="false">-(M401+N395+N396)*Debt_Rate*N367</f>
        <v>-0</v>
      </c>
      <c r="O398" s="8" t="n">
        <f aca="false">-(N401+O395+O396)*Debt_Rate*O367</f>
        <v>-1136.38149113903</v>
      </c>
      <c r="P398" s="8" t="n">
        <f aca="false">-(O401+P395+P396)*Debt_Rate*P367</f>
        <v>-2272.76298227805</v>
      </c>
      <c r="Q398" s="8" t="n">
        <f aca="false">-(P401+Q395+Q396)*Debt_Rate*Q367</f>
        <v>-2167.43794648568</v>
      </c>
      <c r="R398" s="8" t="n">
        <f aca="false">-(Q401+R395+R396)*Debt_Rate*R367</f>
        <v>-2056.84665890368</v>
      </c>
      <c r="S398" s="8" t="n">
        <f aca="false">-(R401+S395+S396)*Debt_Rate*S367</f>
        <v>-1940.72580694259</v>
      </c>
      <c r="T398" s="8" t="n">
        <f aca="false">-(S401+T395+T396)*Debt_Rate*T367</f>
        <v>-1818.79891238345</v>
      </c>
      <c r="U398" s="8" t="n">
        <f aca="false">-(T401+U395+U396)*Debt_Rate*U367</f>
        <v>-1690.77567309634</v>
      </c>
      <c r="V398" s="8" t="n">
        <f aca="false">-(U401+V395+V396)*Debt_Rate*V367</f>
        <v>-1556.35127184488</v>
      </c>
      <c r="W398" s="8" t="n">
        <f aca="false">-(V401+W395+W396)*Debt_Rate*W367</f>
        <v>-1415.20565053085</v>
      </c>
      <c r="X398" s="8" t="n">
        <f aca="false">-(W401+X395+X396)*Debt_Rate*X367</f>
        <v>-1267.00274815112</v>
      </c>
      <c r="Y398" s="8" t="n">
        <f aca="false">-(X401+Y395+Y396)*Debt_Rate*Y367</f>
        <v>-1111.3897006524</v>
      </c>
      <c r="Z398" s="8" t="n">
        <f aca="false">-(Y401+Z395+Z396)*Debt_Rate*Z367</f>
        <v>-947.996000778743</v>
      </c>
      <c r="AA398" s="8" t="n">
        <f aca="false">-(Z401+AA395+AA396)*Debt_Rate*AA367</f>
        <v>-776.432615911404</v>
      </c>
      <c r="AB398" s="8" t="n">
        <f aca="false">-(AA401+AB395+AB396)*Debt_Rate*AB367</f>
        <v>-596.291061800699</v>
      </c>
      <c r="AC398" s="8" t="n">
        <f aca="false">-(AB401+AC395+AC396)*Debt_Rate*AC367</f>
        <v>-407.142429984458</v>
      </c>
      <c r="AD398" s="8" t="n">
        <f aca="false">-(AC401+AD395+AD396)*Debt_Rate*AD367</f>
        <v>-208.536366577405</v>
      </c>
      <c r="AE398" s="8" t="n">
        <f aca="false">-(AD401+AE395+AE396)*Debt_Rate*AE367</f>
        <v>1.09139364212751E-012</v>
      </c>
      <c r="AF398" s="8" t="n">
        <f aca="false">-(AE401+AF395+AF396)*Debt_Rate*AF367</f>
        <v>1.14596332423389E-012</v>
      </c>
      <c r="AG398" s="8" t="n">
        <f aca="false">-(AF401+AG395+AG396)*Debt_Rate*AG367</f>
        <v>1.20326149044558E-012</v>
      </c>
      <c r="AH398" s="8" t="n">
        <f aca="false">-(AG401+AH395+AH396)*Debt_Rate*AH367</f>
        <v>1.26342456496786E-012</v>
      </c>
      <c r="AI398" s="8" t="n">
        <f aca="false">-(AH401+AI395+AI396)*Debt_Rate*AI367</f>
        <v>1.32659579321626E-012</v>
      </c>
      <c r="AJ398" s="8" t="n">
        <f aca="false">-(AI401+AJ395+AJ396)*Debt_Rate*AJ367</f>
        <v>1.39292558287707E-012</v>
      </c>
      <c r="AK398" s="8" t="n">
        <f aca="false">-(AJ401+AK395+AK396)*Debt_Rate*AK367</f>
        <v>1.46257186202092E-012</v>
      </c>
      <c r="AL398" s="8" t="n">
        <f aca="false">-(AK401+AL395+AL396)*Debt_Rate*AL367</f>
        <v>1.53570045512197E-012</v>
      </c>
      <c r="AM398" s="8" t="n">
        <f aca="false">-(AL401+AM395+AM396)*Debt_Rate*AM367</f>
        <v>1.61248547787807E-012</v>
      </c>
      <c r="AN398" s="8" t="n">
        <f aca="false">-(AM401+AN395+AN396)*Debt_Rate*AN367</f>
        <v>1.69310975177197E-012</v>
      </c>
      <c r="AO398" s="8" t="n">
        <f aca="false">-(AN401+AO395+AO396)*Debt_Rate*AO367</f>
        <v>1.77776523936057E-012</v>
      </c>
      <c r="AP398" s="8" t="n">
        <f aca="false">-(AO401+AP395+AP396)*Debt_Rate*AP367</f>
        <v>1.8666535013286E-012</v>
      </c>
      <c r="AQ398" s="8" t="n">
        <f aca="false">-(AP401+AQ395+AQ396)*Debt_Rate*AQ367</f>
        <v>1.95998617639503E-012</v>
      </c>
      <c r="AR398" s="8" t="n">
        <f aca="false">-(AQ401+AR395+AR396)*Debt_Rate*AR367</f>
        <v>2.05798548521478E-012</v>
      </c>
      <c r="AS398" s="8" t="n">
        <f aca="false">-(AR401+AS395+AS396)*Debt_Rate*AS367</f>
        <v>1.08044237973776E-012</v>
      </c>
    </row>
    <row r="399" customFormat="false" ht="14.25" hidden="false" customHeight="false" outlineLevel="0" collapsed="false">
      <c r="C399" s="6" t="s">
        <v>325</v>
      </c>
      <c r="D399" s="2" t="s">
        <v>85</v>
      </c>
      <c r="H399" s="8" t="n">
        <f aca="false">SUM(J399:AS399)</f>
        <v>-66825.3369630218</v>
      </c>
      <c r="J399" s="8" t="n">
        <f aca="false">PMT(Debt_Rate,Debt_Tenor,$H395+$H396)*(J363&gt;=1)*(J363&lt;=Debt_Tenor)+J398*(J363=0)</f>
        <v>-0</v>
      </c>
      <c r="K399" s="8" t="n">
        <f aca="false">PMT(Debt_Rate,Debt_Tenor,$H395+$H396)*(K363&gt;=1)*(K363&lt;=Debt_Tenor)+K398*(K363=0)</f>
        <v>-0</v>
      </c>
      <c r="L399" s="8" t="n">
        <f aca="false">PMT(Debt_Rate,Debt_Tenor,$H395+$H396)*(L363&gt;=1)*(L363&lt;=Debt_Tenor)+L398*(L363=0)</f>
        <v>-0</v>
      </c>
      <c r="M399" s="8" t="n">
        <f aca="false">PMT(Debt_Rate,Debt_Tenor,$H395+$H396)*(M363&gt;=1)*(M363&lt;=Debt_Tenor)+M398*(M363=0)</f>
        <v>-0</v>
      </c>
      <c r="N399" s="8" t="n">
        <f aca="false">PMT(Debt_Rate,Debt_Tenor,$H395+$H396)*(N363&gt;=1)*(N363&lt;=Debt_Tenor)+N398*(N363=0)</f>
        <v>-0</v>
      </c>
      <c r="O399" s="8" t="n">
        <f aca="false">PMT(Debt_Rate,Debt_Tenor,$H395+$H396)*(O363&gt;=1)*(O363&lt;=Debt_Tenor)+O398*(O363=0)</f>
        <v>-1136.38149113903</v>
      </c>
      <c r="P399" s="8" t="n">
        <f aca="false">PMT(Debt_Rate,Debt_Tenor,$H395+$H396)*(P363&gt;=1)*(P363&lt;=Debt_Tenor)+P398*(P363=0)</f>
        <v>-4379.26369812552</v>
      </c>
      <c r="Q399" s="8" t="n">
        <f aca="false">PMT(Debt_Rate,Debt_Tenor,$H395+$H396)*(Q363&gt;=1)*(Q363&lt;=Debt_Tenor)+Q398*(Q363=0)</f>
        <v>-4379.26369812552</v>
      </c>
      <c r="R399" s="8" t="n">
        <f aca="false">PMT(Debt_Rate,Debt_Tenor,$H395+$H396)*(R363&gt;=1)*(R363&lt;=Debt_Tenor)+R398*(R363=0)</f>
        <v>-4379.26369812552</v>
      </c>
      <c r="S399" s="8" t="n">
        <f aca="false">PMT(Debt_Rate,Debt_Tenor,$H395+$H396)*(S363&gt;=1)*(S363&lt;=Debt_Tenor)+S398*(S363=0)</f>
        <v>-4379.26369812552</v>
      </c>
      <c r="T399" s="8" t="n">
        <f aca="false">PMT(Debt_Rate,Debt_Tenor,$H395+$H396)*(T363&gt;=1)*(T363&lt;=Debt_Tenor)+T398*(T363=0)</f>
        <v>-4379.26369812552</v>
      </c>
      <c r="U399" s="8" t="n">
        <f aca="false">PMT(Debt_Rate,Debt_Tenor,$H395+$H396)*(U363&gt;=1)*(U363&lt;=Debt_Tenor)+U398*(U363=0)</f>
        <v>-4379.26369812552</v>
      </c>
      <c r="V399" s="8" t="n">
        <f aca="false">PMT(Debt_Rate,Debt_Tenor,$H395+$H396)*(V363&gt;=1)*(V363&lt;=Debt_Tenor)+V398*(V363=0)</f>
        <v>-4379.26369812552</v>
      </c>
      <c r="W399" s="8" t="n">
        <f aca="false">PMT(Debt_Rate,Debt_Tenor,$H395+$H396)*(W363&gt;=1)*(W363&lt;=Debt_Tenor)+W398*(W363=0)</f>
        <v>-4379.26369812552</v>
      </c>
      <c r="X399" s="8" t="n">
        <f aca="false">PMT(Debt_Rate,Debt_Tenor,$H395+$H396)*(X363&gt;=1)*(X363&lt;=Debt_Tenor)+X398*(X363=0)</f>
        <v>-4379.26369812552</v>
      </c>
      <c r="Y399" s="8" t="n">
        <f aca="false">PMT(Debt_Rate,Debt_Tenor,$H395+$H396)*(Y363&gt;=1)*(Y363&lt;=Debt_Tenor)+Y398*(Y363=0)</f>
        <v>-4379.26369812552</v>
      </c>
      <c r="Z399" s="8" t="n">
        <f aca="false">PMT(Debt_Rate,Debt_Tenor,$H395+$H396)*(Z363&gt;=1)*(Z363&lt;=Debt_Tenor)+Z398*(Z363=0)</f>
        <v>-4379.26369812552</v>
      </c>
      <c r="AA399" s="8" t="n">
        <f aca="false">PMT(Debt_Rate,Debt_Tenor,$H395+$H396)*(AA363&gt;=1)*(AA363&lt;=Debt_Tenor)+AA398*(AA363=0)</f>
        <v>-4379.26369812552</v>
      </c>
      <c r="AB399" s="8" t="n">
        <f aca="false">PMT(Debt_Rate,Debt_Tenor,$H395+$H396)*(AB363&gt;=1)*(AB363&lt;=Debt_Tenor)+AB398*(AB363=0)</f>
        <v>-4379.26369812552</v>
      </c>
      <c r="AC399" s="8" t="n">
        <f aca="false">PMT(Debt_Rate,Debt_Tenor,$H395+$H396)*(AC363&gt;=1)*(AC363&lt;=Debt_Tenor)+AC398*(AC363=0)</f>
        <v>-4379.26369812552</v>
      </c>
      <c r="AD399" s="8" t="n">
        <f aca="false">PMT(Debt_Rate,Debt_Tenor,$H395+$H396)*(AD363&gt;=1)*(AD363&lt;=Debt_Tenor)+AD398*(AD363=0)</f>
        <v>-4379.26369812552</v>
      </c>
      <c r="AE399" s="8" t="n">
        <f aca="false">PMT(Debt_Rate,Debt_Tenor,$H395+$H396)*(AE363&gt;=1)*(AE363&lt;=Debt_Tenor)+AE398*(AE363=0)</f>
        <v>0</v>
      </c>
      <c r="AF399" s="8" t="n">
        <f aca="false">PMT(Debt_Rate,Debt_Tenor,$H395+$H396)*(AF363&gt;=1)*(AF363&lt;=Debt_Tenor)+AF398*(AF363=0)</f>
        <v>0</v>
      </c>
      <c r="AG399" s="8" t="n">
        <f aca="false">PMT(Debt_Rate,Debt_Tenor,$H395+$H396)*(AG363&gt;=1)*(AG363&lt;=Debt_Tenor)+AG398*(AG363=0)</f>
        <v>0</v>
      </c>
      <c r="AH399" s="8" t="n">
        <f aca="false">PMT(Debt_Rate,Debt_Tenor,$H395+$H396)*(AH363&gt;=1)*(AH363&lt;=Debt_Tenor)+AH398*(AH363=0)</f>
        <v>0</v>
      </c>
      <c r="AI399" s="8" t="n">
        <f aca="false">PMT(Debt_Rate,Debt_Tenor,$H395+$H396)*(AI363&gt;=1)*(AI363&lt;=Debt_Tenor)+AI398*(AI363=0)</f>
        <v>0</v>
      </c>
      <c r="AJ399" s="8" t="n">
        <f aca="false">PMT(Debt_Rate,Debt_Tenor,$H395+$H396)*(AJ363&gt;=1)*(AJ363&lt;=Debt_Tenor)+AJ398*(AJ363=0)</f>
        <v>0</v>
      </c>
      <c r="AK399" s="8" t="n">
        <f aca="false">PMT(Debt_Rate,Debt_Tenor,$H395+$H396)*(AK363&gt;=1)*(AK363&lt;=Debt_Tenor)+AK398*(AK363=0)</f>
        <v>0</v>
      </c>
      <c r="AL399" s="8" t="n">
        <f aca="false">PMT(Debt_Rate,Debt_Tenor,$H395+$H396)*(AL363&gt;=1)*(AL363&lt;=Debt_Tenor)+AL398*(AL363=0)</f>
        <v>0</v>
      </c>
      <c r="AM399" s="8" t="n">
        <f aca="false">PMT(Debt_Rate,Debt_Tenor,$H395+$H396)*(AM363&gt;=1)*(AM363&lt;=Debt_Tenor)+AM398*(AM363=0)</f>
        <v>0</v>
      </c>
      <c r="AN399" s="8" t="n">
        <f aca="false">PMT(Debt_Rate,Debt_Tenor,$H395+$H396)*(AN363&gt;=1)*(AN363&lt;=Debt_Tenor)+AN398*(AN363=0)</f>
        <v>0</v>
      </c>
      <c r="AO399" s="8" t="n">
        <f aca="false">PMT(Debt_Rate,Debt_Tenor,$H395+$H396)*(AO363&gt;=1)*(AO363&lt;=Debt_Tenor)+AO398*(AO363=0)</f>
        <v>0</v>
      </c>
      <c r="AP399" s="8" t="n">
        <f aca="false">PMT(Debt_Rate,Debt_Tenor,$H395+$H396)*(AP363&gt;=1)*(AP363&lt;=Debt_Tenor)+AP398*(AP363=0)</f>
        <v>0</v>
      </c>
      <c r="AQ399" s="8" t="n">
        <f aca="false">PMT(Debt_Rate,Debt_Tenor,$H395+$H396)*(AQ363&gt;=1)*(AQ363&lt;=Debt_Tenor)+AQ398*(AQ363=0)</f>
        <v>0</v>
      </c>
      <c r="AR399" s="8" t="n">
        <f aca="false">PMT(Debt_Rate,Debt_Tenor,$H395+$H396)*(AR363&gt;=1)*(AR363&lt;=Debt_Tenor)+AR398*(AR363=0)</f>
        <v>0</v>
      </c>
      <c r="AS399" s="8" t="n">
        <f aca="false">PMT(Debt_Rate,Debt_Tenor,$H395+$H396)*(AS363&gt;=1)*(AS363&lt;=Debt_Tenor)+AS398*(AS363=0)</f>
        <v>0</v>
      </c>
    </row>
    <row r="400" customFormat="false" ht="14.25" hidden="false" customHeight="false" outlineLevel="0" collapsed="false">
      <c r="C400" s="6" t="s">
        <v>326</v>
      </c>
      <c r="D400" s="2" t="s">
        <v>85</v>
      </c>
      <c r="H400" s="8" t="n">
        <f aca="false">SUM(J400:AS400)</f>
        <v>-45455.259645561</v>
      </c>
      <c r="J400" s="8" t="n">
        <f aca="false">J399-J398</f>
        <v>0</v>
      </c>
      <c r="K400" s="8" t="n">
        <f aca="false">K399-K398</f>
        <v>0</v>
      </c>
      <c r="L400" s="8" t="n">
        <f aca="false">L399-L398</f>
        <v>0</v>
      </c>
      <c r="M400" s="8" t="n">
        <f aca="false">M399-M398</f>
        <v>0</v>
      </c>
      <c r="N400" s="8" t="n">
        <f aca="false">N399-N398</f>
        <v>0</v>
      </c>
      <c r="O400" s="8" t="n">
        <f aca="false">O399-O398</f>
        <v>0</v>
      </c>
      <c r="P400" s="8" t="n">
        <f aca="false">P399-P398</f>
        <v>-2106.50071584747</v>
      </c>
      <c r="Q400" s="8" t="n">
        <f aca="false">Q399-Q398</f>
        <v>-2211.82575163984</v>
      </c>
      <c r="R400" s="8" t="n">
        <f aca="false">R399-R398</f>
        <v>-2322.41703922183</v>
      </c>
      <c r="S400" s="8" t="n">
        <f aca="false">S399-S398</f>
        <v>-2438.53789118293</v>
      </c>
      <c r="T400" s="8" t="n">
        <f aca="false">T399-T398</f>
        <v>-2560.46478574207</v>
      </c>
      <c r="U400" s="8" t="n">
        <f aca="false">U399-U398</f>
        <v>-2688.48802502917</v>
      </c>
      <c r="V400" s="8" t="n">
        <f aca="false">V399-V398</f>
        <v>-2822.91242628063</v>
      </c>
      <c r="W400" s="8" t="n">
        <f aca="false">W399-W398</f>
        <v>-2964.05804759467</v>
      </c>
      <c r="X400" s="8" t="n">
        <f aca="false">X399-X398</f>
        <v>-3112.2609499744</v>
      </c>
      <c r="Y400" s="8" t="n">
        <f aca="false">Y399-Y398</f>
        <v>-3267.87399747312</v>
      </c>
      <c r="Z400" s="8" t="n">
        <f aca="false">Z399-Z398</f>
        <v>-3431.26769734677</v>
      </c>
      <c r="AA400" s="8" t="n">
        <f aca="false">AA399-AA398</f>
        <v>-3602.83108221411</v>
      </c>
      <c r="AB400" s="8" t="n">
        <f aca="false">AB399-AB398</f>
        <v>-3782.97263632482</v>
      </c>
      <c r="AC400" s="8" t="n">
        <f aca="false">AC399-AC398</f>
        <v>-3972.12126814106</v>
      </c>
      <c r="AD400" s="8" t="n">
        <f aca="false">AD399-AD398</f>
        <v>-4170.72733154811</v>
      </c>
      <c r="AE400" s="8" t="n">
        <f aca="false">AE399-AE398</f>
        <v>-1.09139364212751E-012</v>
      </c>
      <c r="AF400" s="8" t="n">
        <f aca="false">AF399-AF398</f>
        <v>-1.14596332423389E-012</v>
      </c>
      <c r="AG400" s="8" t="n">
        <f aca="false">AG399-AG398</f>
        <v>-1.20326149044558E-012</v>
      </c>
      <c r="AH400" s="8" t="n">
        <f aca="false">AH399-AH398</f>
        <v>-1.26342456496786E-012</v>
      </c>
      <c r="AI400" s="8" t="n">
        <f aca="false">AI399-AI398</f>
        <v>-1.32659579321626E-012</v>
      </c>
      <c r="AJ400" s="8" t="n">
        <f aca="false">AJ399-AJ398</f>
        <v>-1.39292558287707E-012</v>
      </c>
      <c r="AK400" s="8" t="n">
        <f aca="false">AK399-AK398</f>
        <v>-1.46257186202092E-012</v>
      </c>
      <c r="AL400" s="8" t="n">
        <f aca="false">AL399-AL398</f>
        <v>-1.53570045512197E-012</v>
      </c>
      <c r="AM400" s="8" t="n">
        <f aca="false">AM399-AM398</f>
        <v>-1.61248547787807E-012</v>
      </c>
      <c r="AN400" s="8" t="n">
        <f aca="false">AN399-AN398</f>
        <v>-1.69310975177197E-012</v>
      </c>
      <c r="AO400" s="8" t="n">
        <f aca="false">AO399-AO398</f>
        <v>-1.77776523936057E-012</v>
      </c>
      <c r="AP400" s="8" t="n">
        <f aca="false">AP399-AP398</f>
        <v>-1.8666535013286E-012</v>
      </c>
      <c r="AQ400" s="8" t="n">
        <f aca="false">AQ399-AQ398</f>
        <v>-1.95998617639503E-012</v>
      </c>
      <c r="AR400" s="8" t="n">
        <f aca="false">AR399-AR398</f>
        <v>-2.05798548521478E-012</v>
      </c>
      <c r="AS400" s="8" t="n">
        <f aca="false">AS399-AS398</f>
        <v>-1.08044237973776E-012</v>
      </c>
    </row>
    <row r="401" customFormat="false" ht="14.25" hidden="false" customHeight="false" outlineLevel="0" collapsed="false">
      <c r="C401" s="6" t="s">
        <v>327</v>
      </c>
      <c r="D401" s="2" t="s">
        <v>85</v>
      </c>
      <c r="H401" s="8"/>
      <c r="J401" s="8" t="n">
        <f aca="false">I401+J395+J396+J400</f>
        <v>0</v>
      </c>
      <c r="K401" s="8" t="n">
        <f aca="false">J401+K395+K396+K400</f>
        <v>0</v>
      </c>
      <c r="L401" s="8" t="n">
        <f aca="false">K401+L395+L396+L400</f>
        <v>0</v>
      </c>
      <c r="M401" s="8" t="n">
        <f aca="false">L401+M395+M396+M400</f>
        <v>10948.962441714</v>
      </c>
      <c r="N401" s="8" t="n">
        <f aca="false">M401+N395+N396+N400</f>
        <v>33664.6801988751</v>
      </c>
      <c r="O401" s="8" t="n">
        <f aca="false">N401+O395+O396+O400</f>
        <v>45455.259645561</v>
      </c>
      <c r="P401" s="8" t="n">
        <f aca="false">O401+P395+P396+P400</f>
        <v>43348.7589297135</v>
      </c>
      <c r="Q401" s="8" t="n">
        <f aca="false">P401+Q395+Q396+Q400</f>
        <v>41136.9331780737</v>
      </c>
      <c r="R401" s="8" t="n">
        <f aca="false">Q401+R395+R396+R400</f>
        <v>38814.5161388518</v>
      </c>
      <c r="S401" s="8" t="n">
        <f aca="false">R401+S395+S396+S400</f>
        <v>36375.9782476689</v>
      </c>
      <c r="T401" s="8" t="n">
        <f aca="false">S401+T395+T396+T400</f>
        <v>33815.5134619269</v>
      </c>
      <c r="U401" s="8" t="n">
        <f aca="false">T401+U395+U396+U400</f>
        <v>31127.0254368977</v>
      </c>
      <c r="V401" s="8" t="n">
        <f aca="false">U401+V395+V396+V400</f>
        <v>28304.113010617</v>
      </c>
      <c r="W401" s="8" t="n">
        <f aca="false">V401+W395+W396+W400</f>
        <v>25340.0549630224</v>
      </c>
      <c r="X401" s="8" t="n">
        <f aca="false">W401+X395+X396+X400</f>
        <v>22227.794013048</v>
      </c>
      <c r="Y401" s="8" t="n">
        <f aca="false">X401+Y395+Y396+Y400</f>
        <v>18959.9200155749</v>
      </c>
      <c r="Z401" s="8" t="n">
        <f aca="false">Y401+Z395+Z396+Z400</f>
        <v>15528.6523182281</v>
      </c>
      <c r="AA401" s="8" t="n">
        <f aca="false">Z401+AA395+AA396+AA400</f>
        <v>11925.821236014</v>
      </c>
      <c r="AB401" s="8" t="n">
        <f aca="false">AA401+AB395+AB396+AB400</f>
        <v>8142.84859968915</v>
      </c>
      <c r="AC401" s="8" t="n">
        <f aca="false">AB401+AC395+AC396+AC400</f>
        <v>4170.72733154809</v>
      </c>
      <c r="AD401" s="8" t="n">
        <f aca="false">AC401+AD395+AD396+AD400</f>
        <v>-2.18278728425503E-011</v>
      </c>
      <c r="AE401" s="8" t="n">
        <f aca="false">AD401+AE395+AE396+AE400</f>
        <v>-2.29192664846778E-011</v>
      </c>
      <c r="AF401" s="8" t="n">
        <f aca="false">AE401+AF395+AF396+AF400</f>
        <v>-2.40652298089117E-011</v>
      </c>
      <c r="AG401" s="8" t="n">
        <f aca="false">AF401+AG395+AG396+AG400</f>
        <v>-2.52684912993573E-011</v>
      </c>
      <c r="AH401" s="8" t="n">
        <f aca="false">AG401+AH395+AH396+AH400</f>
        <v>-2.65319158643251E-011</v>
      </c>
      <c r="AI401" s="8" t="n">
        <f aca="false">AH401+AI395+AI396+AI400</f>
        <v>-2.78585116575414E-011</v>
      </c>
      <c r="AJ401" s="8" t="n">
        <f aca="false">AI401+AJ395+AJ396+AJ400</f>
        <v>-2.92514372404185E-011</v>
      </c>
      <c r="AK401" s="8" t="n">
        <f aca="false">AJ401+AK395+AK396+AK400</f>
        <v>-3.07140091024394E-011</v>
      </c>
      <c r="AL401" s="8" t="n">
        <f aca="false">AK401+AL395+AL396+AL400</f>
        <v>-3.22497095575613E-011</v>
      </c>
      <c r="AM401" s="8" t="n">
        <f aca="false">AL401+AM395+AM396+AM400</f>
        <v>-3.38621950354394E-011</v>
      </c>
      <c r="AN401" s="8" t="n">
        <f aca="false">AM401+AN395+AN396+AN400</f>
        <v>-3.55553047872114E-011</v>
      </c>
      <c r="AO401" s="8" t="n">
        <f aca="false">AN401+AO395+AO396+AO400</f>
        <v>-3.7333070026572E-011</v>
      </c>
      <c r="AP401" s="8" t="n">
        <f aca="false">AO401+AP395+AP396+AP400</f>
        <v>-3.91997235279006E-011</v>
      </c>
      <c r="AQ401" s="8" t="n">
        <f aca="false">AP401+AQ395+AQ396+AQ400</f>
        <v>-4.11597097042956E-011</v>
      </c>
      <c r="AR401" s="8" t="n">
        <f aca="false">AQ401+AR395+AR396+AR400</f>
        <v>-4.32176951895104E-011</v>
      </c>
      <c r="AS401" s="8" t="n">
        <f aca="false">AR401+AS395+AS396+AS400</f>
        <v>-4.42981375692481E-011</v>
      </c>
    </row>
    <row r="402" customFormat="false" ht="14.25" hidden="false" customHeight="false" outlineLevel="0" collapsed="false">
      <c r="C402" s="6" t="s">
        <v>328</v>
      </c>
      <c r="D402" s="2" t="s">
        <v>85</v>
      </c>
      <c r="H402" s="8" t="n">
        <f aca="false">SUM(J402:AS402)</f>
        <v>-2200.09938199936</v>
      </c>
      <c r="J402" s="8" t="n">
        <f aca="false">-$H396/Tax_Dep_Life*J389</f>
        <v>-0</v>
      </c>
      <c r="K402" s="8" t="n">
        <f aca="false">-$H396/Tax_Dep_Life*K389</f>
        <v>-0</v>
      </c>
      <c r="L402" s="8" t="n">
        <f aca="false">-$H396/Tax_Dep_Life*L389</f>
        <v>-0</v>
      </c>
      <c r="M402" s="8" t="n">
        <f aca="false">-$H396/Tax_Dep_Life*M389</f>
        <v>-0</v>
      </c>
      <c r="N402" s="8" t="n">
        <f aca="false">-$H396/Tax_Dep_Life*N389</f>
        <v>-0</v>
      </c>
      <c r="O402" s="8" t="n">
        <f aca="false">-$H396/Tax_Dep_Life*O389</f>
        <v>-55.002484549984</v>
      </c>
      <c r="P402" s="8" t="n">
        <f aca="false">-$H396/Tax_Dep_Life*P389</f>
        <v>-110.004969099968</v>
      </c>
      <c r="Q402" s="8" t="n">
        <f aca="false">-$H396/Tax_Dep_Life*Q389</f>
        <v>-110.004969099968</v>
      </c>
      <c r="R402" s="8" t="n">
        <f aca="false">-$H396/Tax_Dep_Life*R389</f>
        <v>-110.004969099968</v>
      </c>
      <c r="S402" s="8" t="n">
        <f aca="false">-$H396/Tax_Dep_Life*S389</f>
        <v>-110.004969099968</v>
      </c>
      <c r="T402" s="8" t="n">
        <f aca="false">-$H396/Tax_Dep_Life*T389</f>
        <v>-110.004969099968</v>
      </c>
      <c r="U402" s="8" t="n">
        <f aca="false">-$H396/Tax_Dep_Life*U389</f>
        <v>-110.004969099968</v>
      </c>
      <c r="V402" s="8" t="n">
        <f aca="false">-$H396/Tax_Dep_Life*V389</f>
        <v>-110.004969099968</v>
      </c>
      <c r="W402" s="8" t="n">
        <f aca="false">-$H396/Tax_Dep_Life*W389</f>
        <v>-110.004969099968</v>
      </c>
      <c r="X402" s="8" t="n">
        <f aca="false">-$H396/Tax_Dep_Life*X389</f>
        <v>-110.004969099968</v>
      </c>
      <c r="Y402" s="8" t="n">
        <f aca="false">-$H396/Tax_Dep_Life*Y389</f>
        <v>-110.004969099968</v>
      </c>
      <c r="Z402" s="8" t="n">
        <f aca="false">-$H396/Tax_Dep_Life*Z389</f>
        <v>-110.004969099968</v>
      </c>
      <c r="AA402" s="8" t="n">
        <f aca="false">-$H396/Tax_Dep_Life*AA389</f>
        <v>-110.004969099968</v>
      </c>
      <c r="AB402" s="8" t="n">
        <f aca="false">-$H396/Tax_Dep_Life*AB389</f>
        <v>-110.004969099968</v>
      </c>
      <c r="AC402" s="8" t="n">
        <f aca="false">-$H396/Tax_Dep_Life*AC389</f>
        <v>-110.004969099968</v>
      </c>
      <c r="AD402" s="8" t="n">
        <f aca="false">-$H396/Tax_Dep_Life*AD389</f>
        <v>-110.004969099968</v>
      </c>
      <c r="AE402" s="8" t="n">
        <f aca="false">-$H396/Tax_Dep_Life*AE389</f>
        <v>-110.004969099968</v>
      </c>
      <c r="AF402" s="8" t="n">
        <f aca="false">-$H396/Tax_Dep_Life*AF389</f>
        <v>-110.004969099968</v>
      </c>
      <c r="AG402" s="8" t="n">
        <f aca="false">-$H396/Tax_Dep_Life*AG389</f>
        <v>-110.004969099968</v>
      </c>
      <c r="AH402" s="8" t="n">
        <f aca="false">-$H396/Tax_Dep_Life*AH389</f>
        <v>-110.004969099968</v>
      </c>
      <c r="AI402" s="8" t="n">
        <f aca="false">-$H396/Tax_Dep_Life*AI389</f>
        <v>-55.002484549984</v>
      </c>
      <c r="AJ402" s="8" t="n">
        <f aca="false">-$H396/Tax_Dep_Life*AJ389</f>
        <v>-0</v>
      </c>
      <c r="AK402" s="8" t="n">
        <f aca="false">-$H396/Tax_Dep_Life*AK389</f>
        <v>-0</v>
      </c>
      <c r="AL402" s="8" t="n">
        <f aca="false">-$H396/Tax_Dep_Life*AL389</f>
        <v>-0</v>
      </c>
      <c r="AM402" s="8" t="n">
        <f aca="false">-$H396/Tax_Dep_Life*AM389</f>
        <v>-0</v>
      </c>
      <c r="AN402" s="8" t="n">
        <f aca="false">-$H396/Tax_Dep_Life*AN389</f>
        <v>-0</v>
      </c>
      <c r="AO402" s="8" t="n">
        <f aca="false">-$H396/Tax_Dep_Life*AO389</f>
        <v>-0</v>
      </c>
      <c r="AP402" s="8" t="n">
        <f aca="false">-$H396/Tax_Dep_Life*AP389</f>
        <v>-0</v>
      </c>
      <c r="AQ402" s="8" t="n">
        <f aca="false">-$H396/Tax_Dep_Life*AQ389</f>
        <v>-0</v>
      </c>
      <c r="AR402" s="8" t="n">
        <f aca="false">-$H396/Tax_Dep_Life*AR389</f>
        <v>-0</v>
      </c>
      <c r="AS402" s="8" t="n">
        <f aca="false">-$H396/Tax_Dep_Life*AS389</f>
        <v>-0</v>
      </c>
    </row>
    <row r="403" customFormat="false" ht="14.25" hidden="false" customHeight="false" outlineLevel="0" collapsed="false">
      <c r="C403" s="6" t="s">
        <v>329</v>
      </c>
      <c r="D403" s="2" t="s">
        <v>85</v>
      </c>
      <c r="H403" s="8" t="n">
        <f aca="false">SUM(J403:AS403)</f>
        <v>-28989.4429051373</v>
      </c>
      <c r="J403" s="8" t="n">
        <f aca="false">-MAX(0,J387+J391+J402+J398+J397)*CIT_Rate</f>
        <v>-0</v>
      </c>
      <c r="K403" s="8" t="n">
        <f aca="false">-MAX(0,K387+K391+K402+K398+K397)*CIT_Rate</f>
        <v>-0</v>
      </c>
      <c r="L403" s="8" t="n">
        <f aca="false">-MAX(0,L387+L391+L402+L398+L397)*CIT_Rate</f>
        <v>-0</v>
      </c>
      <c r="M403" s="8" t="n">
        <f aca="false">-MAX(0,M387+M391+M402+M398+M397)*CIT_Rate</f>
        <v>-0</v>
      </c>
      <c r="N403" s="8" t="n">
        <f aca="false">-MAX(0,N387+N391+N402+N398+N397)*CIT_Rate</f>
        <v>-0</v>
      </c>
      <c r="O403" s="8" t="n">
        <f aca="false">-MAX(0,O387+O391+O402+O398+O397)*CIT_Rate</f>
        <v>-259.459634220621</v>
      </c>
      <c r="P403" s="8" t="n">
        <f aca="false">-MAX(0,P387+P391+P402+P398+P397)*CIT_Rate</f>
        <v>-527.740672207243</v>
      </c>
      <c r="Q403" s="8" t="n">
        <f aca="false">-MAX(0,Q387+Q391+Q402+Q398+Q397)*CIT_Rate</f>
        <v>-547.508074876712</v>
      </c>
      <c r="R403" s="8" t="n">
        <f aca="false">-MAX(0,R387+R391+R402+R398+R397)*CIT_Rate</f>
        <v>-567.958496374503</v>
      </c>
      <c r="S403" s="8" t="n">
        <f aca="false">-MAX(0,S387+S391+S402+S398+S397)*CIT_Rate</f>
        <v>-589.127427219474</v>
      </c>
      <c r="T403" s="8" t="n">
        <f aca="false">-MAX(0,T387+T391+T402+T398+T397)*CIT_Rate</f>
        <v>-611.052225588193</v>
      </c>
      <c r="U403" s="8" t="n">
        <f aca="false">-MAX(0,U387+U391+U402+U398+U397)*CIT_Rate</f>
        <v>-633.772213378191</v>
      </c>
      <c r="V403" s="8" t="n">
        <f aca="false">-MAX(0,V387+V391+V402+V398+V397)*CIT_Rate</f>
        <v>-657.328777142457</v>
      </c>
      <c r="W403" s="8" t="n">
        <f aca="false">-MAX(0,W387+W391+W402+W398+W397)*CIT_Rate</f>
        <v>-681.765474140401</v>
      </c>
      <c r="X403" s="8" t="n">
        <f aca="false">-MAX(0,X387+X391+X402+X398+X397)*CIT_Rate</f>
        <v>-707.128143762829</v>
      </c>
      <c r="Y403" s="8" t="n">
        <f aca="false">-MAX(0,Y387+Y391+Y402+Y398+Y397)*CIT_Rate</f>
        <v>-733.465024601401</v>
      </c>
      <c r="Z403" s="8" t="n">
        <f aca="false">-MAX(0,Z387+Z391+Z402+Z398+Z397)*CIT_Rate</f>
        <v>-760.826877446591</v>
      </c>
      <c r="AA403" s="8" t="n">
        <f aca="false">-MAX(0,AA387+AA391+AA402+AA398+AA397)*CIT_Rate</f>
        <v>-789.267114512426</v>
      </c>
      <c r="AB403" s="8" t="n">
        <f aca="false">-MAX(0,AB387+AB391+AB402+AB398+AB397)*CIT_Rate</f>
        <v>-818.841935201243</v>
      </c>
      <c r="AC403" s="8" t="n">
        <f aca="false">-MAX(0,AC387+AC391+AC402+AC398+AC397)*CIT_Rate</f>
        <v>-849.6104687374</v>
      </c>
      <c r="AD403" s="8" t="n">
        <f aca="false">-MAX(0,AD387+AD391+AD402+AD398+AD397)*CIT_Rate</f>
        <v>-881.634924015378</v>
      </c>
      <c r="AE403" s="8" t="n">
        <f aca="false">-MAX(0,AE387+AE391+AE402+AE398+AE397)*CIT_Rate</f>
        <v>-914.980747025034</v>
      </c>
      <c r="AF403" s="8" t="n">
        <f aca="false">-MAX(0,AF387+AF391+AF402+AF398+AF397)*CIT_Rate</f>
        <v>-916.872308498997</v>
      </c>
      <c r="AG403" s="8" t="n">
        <f aca="false">-MAX(0,AG387+AG391+AG402+AG398+AG397)*CIT_Rate</f>
        <v>-918.584286975185</v>
      </c>
      <c r="AH403" s="8" t="n">
        <f aca="false">-MAX(0,AH387+AH391+AH402+AH398+AH397)*CIT_Rate</f>
        <v>-920.110754687941</v>
      </c>
      <c r="AI403" s="8" t="n">
        <f aca="false">-MAX(0,AI387+AI391+AI402+AI398+AI397)*CIT_Rate</f>
        <v>-1171.51149669943</v>
      </c>
      <c r="AJ403" s="8" t="n">
        <f aca="false">-MAX(0,AJ387+AJ391+AJ402+AJ398+AJ397)*CIT_Rate</f>
        <v>-1422.71440331785</v>
      </c>
      <c r="AK403" s="8" t="n">
        <f aca="false">-MAX(0,AK387+AK391+AK402+AK398+AK397)*CIT_Rate</f>
        <v>-1423.64720196349</v>
      </c>
      <c r="AL403" s="8" t="n">
        <f aca="false">-MAX(0,AL387+AL391+AL402+AL398+AL397)*CIT_Rate</f>
        <v>-1424.36918893773</v>
      </c>
      <c r="AM403" s="8" t="n">
        <f aca="false">-MAX(0,AM387+AM391+AM402+AM398+AM397)*CIT_Rate</f>
        <v>-1424.87362154996</v>
      </c>
      <c r="AN403" s="8" t="n">
        <f aca="false">-MAX(0,AN387+AN391+AN402+AN398+AN397)*CIT_Rate</f>
        <v>-1425.15358177669</v>
      </c>
      <c r="AO403" s="8" t="n">
        <f aca="false">-MAX(0,AO387+AO391+AO402+AO398+AO397)*CIT_Rate</f>
        <v>-1425.20197190776</v>
      </c>
      <c r="AP403" s="8" t="n">
        <f aca="false">-MAX(0,AP387+AP391+AP402+AP398+AP397)*CIT_Rate</f>
        <v>-1425.01151008556</v>
      </c>
      <c r="AQ403" s="8" t="n">
        <f aca="false">-MAX(0,AQ387+AQ391+AQ402+AQ398+AQ397)*CIT_Rate</f>
        <v>-1424.57472573466</v>
      </c>
      <c r="AR403" s="8" t="n">
        <f aca="false">-MAX(0,AR387+AR391+AR402+AR398+AR397)*CIT_Rate</f>
        <v>-1423.88395487925</v>
      </c>
      <c r="AS403" s="8" t="n">
        <f aca="false">-MAX(0,AS387+AS391+AS402+AS398+AS397)*CIT_Rate</f>
        <v>-711.46566767273</v>
      </c>
    </row>
    <row r="404" customFormat="false" ht="14.25" hidden="false" customHeight="false" outlineLevel="0" collapsed="false">
      <c r="C404" s="1" t="s">
        <v>163</v>
      </c>
      <c r="D404" s="2" t="s">
        <v>85</v>
      </c>
      <c r="H404" s="32" t="n">
        <f aca="false">SUM(J404:AS404)</f>
        <v>155908.742778837</v>
      </c>
      <c r="J404" s="32" t="n">
        <f aca="false">J388+J395+J397+J399+J403</f>
        <v>0</v>
      </c>
      <c r="K404" s="32" t="n">
        <f aca="false">K388+K395+K397+K399+K403</f>
        <v>0</v>
      </c>
      <c r="L404" s="32" t="n">
        <f aca="false">L388+L395+L397+L399+L403</f>
        <v>0</v>
      </c>
      <c r="M404" s="32" t="n">
        <f aca="false">M388+M395+M397+M399+M403</f>
        <v>-23394.0747647493</v>
      </c>
      <c r="N404" s="32" t="n">
        <f aca="false">N388+N395+N397+N399+N403</f>
        <v>-4761.41986821918</v>
      </c>
      <c r="O404" s="32" t="n">
        <f aca="false">O388+O395+O397+O399+O403</f>
        <v>-243.332887469236</v>
      </c>
      <c r="P404" s="32" t="n">
        <f aca="false">P388+P395+P397+P399+P403</f>
        <v>4218.24133210724</v>
      </c>
      <c r="Q404" s="32" t="n">
        <f aca="false">Q388+Q395+Q397+Q399+Q403</f>
        <v>6167.39733153318</v>
      </c>
      <c r="R404" s="32" t="n">
        <f aca="false">R388+R395+R397+R399+R403</f>
        <v>4230.22601234735</v>
      </c>
      <c r="S404" s="32" t="n">
        <f aca="false">S388+S395+S397+S399+S403</f>
        <v>4234.06243517443</v>
      </c>
      <c r="T404" s="32" t="n">
        <f aca="false">T388+T395+T397+T399+T403</f>
        <v>4236.37606470469</v>
      </c>
      <c r="U404" s="32" t="n">
        <f aca="false">U388+U395+U397+U399+U403</f>
        <v>4237.09942289424</v>
      </c>
      <c r="V404" s="32" t="n">
        <f aca="false">V388+V395+V397+V399+V403</f>
        <v>4236.16221630696</v>
      </c>
      <c r="W404" s="32" t="n">
        <f aca="false">W388+W395+W397+W399+W403</f>
        <v>4233.49121131461</v>
      </c>
      <c r="X404" s="32" t="n">
        <f aca="false">X388+X395+X397+X399+X403</f>
        <v>4229.01010346197</v>
      </c>
      <c r="Y404" s="32" t="n">
        <f aca="false">Y388+Y395+Y397+Y399+Y403</f>
        <v>4222.63938071516</v>
      </c>
      <c r="Z404" s="32" t="n">
        <f aca="false">Z388+Z395+Z397+Z399+Z403</f>
        <v>4214.29618029757</v>
      </c>
      <c r="AA404" s="32" t="n">
        <f aca="false">AA388+AA395+AA397+AA399+AA403</f>
        <v>4203.8941388033</v>
      </c>
      <c r="AB404" s="32" t="n">
        <f aca="false">AB388+AB395+AB397+AB399+AB403</f>
        <v>4191.34323526256</v>
      </c>
      <c r="AC404" s="32" t="n">
        <f aca="false">AC388+AC395+AC397+AC399+AC403</f>
        <v>4176.54962681787</v>
      </c>
      <c r="AD404" s="32" t="n">
        <f aca="false">AD388+AD395+AD397+AD399+AD403</f>
        <v>4159.4154766527</v>
      </c>
      <c r="AE404" s="32" t="n">
        <f aca="false">AE388+AE395+AE397+AE399+AE403</f>
        <v>8519.10247192219</v>
      </c>
      <c r="AF404" s="32" t="n">
        <f aca="false">AF388+AF395+AF397+AF399+AF403</f>
        <v>8529.82132027465</v>
      </c>
      <c r="AG404" s="32" t="n">
        <f aca="false">AG388+AG395+AG397+AG399+AG403</f>
        <v>8539.52253163971</v>
      </c>
      <c r="AH404" s="32" t="n">
        <f aca="false">AH388+AH395+AH397+AH399+AH403</f>
        <v>8548.17251534533</v>
      </c>
      <c r="AI404" s="32" t="n">
        <f aca="false">AI388+AI395+AI397+AI399+AI403</f>
        <v>8305.67093402029</v>
      </c>
      <c r="AJ404" s="32" t="n">
        <f aca="false">AJ388+AJ395+AJ397+AJ399+AJ403</f>
        <v>8062.04828546784</v>
      </c>
      <c r="AK404" s="32" t="n">
        <f aca="false">AK388+AK395+AK397+AK399+AK403</f>
        <v>8067.33414445979</v>
      </c>
      <c r="AL404" s="32" t="n">
        <f aca="false">AL388+AL395+AL397+AL399+AL403</f>
        <v>8071.42540398047</v>
      </c>
      <c r="AM404" s="32" t="n">
        <f aca="false">AM388+AM395+AM397+AM399+AM403</f>
        <v>8074.28385544977</v>
      </c>
      <c r="AN404" s="32" t="n">
        <f aca="false">AN388+AN395+AN397+AN399+AN403</f>
        <v>8075.87029673459</v>
      </c>
      <c r="AO404" s="32" t="n">
        <f aca="false">AO388+AO395+AO397+AO399+AO403</f>
        <v>8076.14450747733</v>
      </c>
      <c r="AP404" s="32" t="n">
        <f aca="false">AP388+AP395+AP397+AP399+AP403</f>
        <v>8075.06522381815</v>
      </c>
      <c r="AQ404" s="32" t="n">
        <f aca="false">AQ388+AQ395+AQ397+AQ399+AQ403</f>
        <v>8072.5901124964</v>
      </c>
      <c r="AR404" s="32" t="n">
        <f aca="false">AR388+AR395+AR397+AR399+AR403</f>
        <v>8068.67574431577</v>
      </c>
      <c r="AS404" s="32" t="n">
        <f aca="false">AS388+AS395+AS397+AS399+AS403</f>
        <v>4031.6387834788</v>
      </c>
    </row>
    <row r="405" customFormat="false" ht="14.25" hidden="false" customHeight="false" outlineLevel="0" collapsed="false">
      <c r="C405" s="6" t="s">
        <v>330</v>
      </c>
      <c r="D405" s="2" t="s">
        <v>3</v>
      </c>
      <c r="H405" s="47" t="n">
        <f aca="false">MIN(J405:AS405)</f>
        <v>1.94979790288333</v>
      </c>
      <c r="J405" s="47" t="str">
        <f aca="false">IF(J399&lt;0,-(J387+J403)/J399,"")</f>
        <v/>
      </c>
      <c r="K405" s="47" t="str">
        <f aca="false">IF(K399&lt;0,-(K387+K403)/K399,"")</f>
        <v/>
      </c>
      <c r="L405" s="47" t="str">
        <f aca="false">IF(L399&lt;0,-(L387+L403)/L399,"")</f>
        <v/>
      </c>
      <c r="M405" s="47" t="str">
        <f aca="false">IF(M399&lt;0,-(M387+M403)/M399,"")</f>
        <v/>
      </c>
      <c r="N405" s="47" t="str">
        <f aca="false">IF(N399&lt;0,-(N387+N403)/N399,"")</f>
        <v/>
      </c>
      <c r="O405" s="47" t="n">
        <f aca="false">IF(O399&lt;0,-(O387+O403)/O399,"")</f>
        <v>3.76084842203447</v>
      </c>
      <c r="P405" s="47" t="n">
        <f aca="false">IF(P399&lt;0,-(P387+P403)/P399,"")</f>
        <v>1.96323072161944</v>
      </c>
      <c r="Q405" s="47" t="n">
        <f aca="false">IF(Q399&lt;0,-(Q387+Q403)/Q399,"")</f>
        <v>1.96475843186081</v>
      </c>
      <c r="R405" s="47" t="n">
        <f aca="false">IF(R399&lt;0,-(R387+R403)/R399,"")</f>
        <v>1.965967410037</v>
      </c>
      <c r="S405" s="47" t="n">
        <f aca="false">IF(S399&lt;0,-(S387+S403)/S399,"")</f>
        <v>1.9668434529272</v>
      </c>
      <c r="T405" s="47" t="n">
        <f aca="false">IF(T399&lt;0,-(T387+T403)/T399,"")</f>
        <v>1.96737176765994</v>
      </c>
      <c r="U405" s="47" t="n">
        <f aca="false">IF(U399&lt;0,-(U387+U403)/U399,"")</f>
        <v>1.96753694569886</v>
      </c>
      <c r="V405" s="47" t="n">
        <f aca="false">IF(V399&lt;0,-(V387+V403)/V399,"")</f>
        <v>1.96732293561591</v>
      </c>
      <c r="W405" s="47" t="n">
        <f aca="false">IF(W399&lt;0,-(W387+W403)/W399,"")</f>
        <v>1.96671301459346</v>
      </c>
      <c r="X405" s="47" t="n">
        <f aca="false">IF(X399&lt;0,-(X387+X403)/X399,"")</f>
        <v>1.96568975859392</v>
      </c>
      <c r="Y405" s="47" t="n">
        <f aca="false">IF(Y399&lt;0,-(Y387+Y403)/Y399,"")</f>
        <v>1.96423501113272</v>
      </c>
      <c r="Z405" s="47" t="n">
        <f aca="false">IF(Z399&lt;0,-(Z387+Z403)/Z399,"")</f>
        <v>1.96232985058686</v>
      </c>
      <c r="AA405" s="47" t="n">
        <f aca="false">IF(AA399&lt;0,-(AA387+AA403)/AA399,"")</f>
        <v>1.95995455596856</v>
      </c>
      <c r="AB405" s="47" t="n">
        <f aca="false">IF(AB399&lt;0,-(AB387+AB403)/AB399,"")</f>
        <v>1.95708857108938</v>
      </c>
      <c r="AC405" s="47" t="n">
        <f aca="false">IF(AC399&lt;0,-(AC387+AC403)/AC399,"")</f>
        <v>1.95371046703709</v>
      </c>
      <c r="AD405" s="47" t="n">
        <f aca="false">IF(AD399&lt;0,-(AD387+AD403)/AD399,"")</f>
        <v>1.94979790288333</v>
      </c>
      <c r="AE405" s="47" t="str">
        <f aca="false">IF(AE399&lt;0,-(AE387+AE403)/AE399,"")</f>
        <v/>
      </c>
      <c r="AF405" s="47" t="str">
        <f aca="false">IF(AF399&lt;0,-(AF387+AF403)/AF399,"")</f>
        <v/>
      </c>
      <c r="AG405" s="47" t="str">
        <f aca="false">IF(AG399&lt;0,-(AG387+AG403)/AG399,"")</f>
        <v/>
      </c>
      <c r="AH405" s="47" t="str">
        <f aca="false">IF(AH399&lt;0,-(AH387+AH403)/AH399,"")</f>
        <v/>
      </c>
      <c r="AI405" s="47" t="str">
        <f aca="false">IF(AI399&lt;0,-(AI387+AI403)/AI399,"")</f>
        <v/>
      </c>
      <c r="AJ405" s="47" t="str">
        <f aca="false">IF(AJ399&lt;0,-(AJ387+AJ403)/AJ399,"")</f>
        <v/>
      </c>
      <c r="AK405" s="47" t="str">
        <f aca="false">IF(AK399&lt;0,-(AK387+AK403)/AK399,"")</f>
        <v/>
      </c>
      <c r="AL405" s="47" t="str">
        <f aca="false">IF(AL399&lt;0,-(AL387+AL403)/AL399,"")</f>
        <v/>
      </c>
      <c r="AM405" s="47" t="str">
        <f aca="false">IF(AM399&lt;0,-(AM387+AM403)/AM399,"")</f>
        <v/>
      </c>
      <c r="AN405" s="47" t="str">
        <f aca="false">IF(AN399&lt;0,-(AN387+AN403)/AN399,"")</f>
        <v/>
      </c>
      <c r="AO405" s="47" t="str">
        <f aca="false">IF(AO399&lt;0,-(AO387+AO403)/AO399,"")</f>
        <v/>
      </c>
      <c r="AP405" s="47" t="str">
        <f aca="false">IF(AP399&lt;0,-(AP387+AP403)/AP399,"")</f>
        <v/>
      </c>
      <c r="AQ405" s="47" t="str">
        <f aca="false">IF(AQ399&lt;0,-(AQ387+AQ403)/AQ399,"")</f>
        <v/>
      </c>
      <c r="AR405" s="47" t="str">
        <f aca="false">IF(AR399&lt;0,-(AR387+AR403)/AR399,"")</f>
        <v/>
      </c>
      <c r="AS405" s="47" t="str">
        <f aca="false">IF(AS399&lt;0,-(AS387+AS403)/AS399,"")</f>
        <v/>
      </c>
    </row>
    <row r="406" customFormat="false" ht="14.25" hidden="false" customHeight="false" outlineLevel="0" collapsed="false">
      <c r="C406" s="6" t="s">
        <v>331</v>
      </c>
      <c r="D406" s="2" t="s">
        <v>3</v>
      </c>
      <c r="J406" s="77" t="n">
        <f aca="false">(1+Discount_Rate)^((Inputs!$E$26-J$360)/Days_In_Year)</f>
        <v>1.41371255107938</v>
      </c>
      <c r="K406" s="77" t="n">
        <f aca="false">(1+Discount_Rate)^((Inputs!$E$26-K$360)/Days_In_Year)</f>
        <v>1.30899310285128</v>
      </c>
      <c r="L406" s="77" t="n">
        <f aca="false">(1+Discount_Rate)^((Inputs!$E$26-L$360)/Days_In_Year)</f>
        <v>1.21177511843915</v>
      </c>
      <c r="M406" s="77" t="n">
        <f aca="false">(1+Discount_Rate)^((Inputs!$E$26-M$360)/Days_In_Year)</f>
        <v>1.12201399855477</v>
      </c>
      <c r="N406" s="77" t="n">
        <f aca="false">(1+Discount_Rate)^((Inputs!$E$26-N$360)/Days_In_Year)</f>
        <v>1.03890185051367</v>
      </c>
      <c r="O406" s="77" t="n">
        <f aca="false">(1+Discount_Rate)^((Inputs!$E$26-O$360)/Days_In_Year)</f>
        <v>0.961946157883031</v>
      </c>
      <c r="P406" s="77" t="n">
        <f aca="false">(1+Discount_Rate)^((Inputs!$E$26-P$360)/Days_In_Year)</f>
        <v>0.890503102622714</v>
      </c>
      <c r="Q406" s="77" t="n">
        <f aca="false">(1+Discount_Rate)^((Inputs!$E$26-Q$360)/Days_In_Year)</f>
        <v>0.824539909835846</v>
      </c>
      <c r="R406" s="77" t="n">
        <f aca="false">(1+Discount_Rate)^((Inputs!$E$26-R$360)/Days_In_Year)</f>
        <v>0.763462879477635</v>
      </c>
      <c r="S406" s="77" t="n">
        <f aca="false">(1+Discount_Rate)^((Inputs!$E$26-S$360)/Days_In_Year)</f>
        <v>0.706910073590403</v>
      </c>
      <c r="T406" s="77" t="n">
        <f aca="false">(1+Discount_Rate)^((Inputs!$E$26-T$360)/Days_In_Year)</f>
        <v>0.654408366464987</v>
      </c>
      <c r="U406" s="77" t="n">
        <f aca="false">(1+Discount_Rate)^((Inputs!$E$26-U$360)/Days_In_Year)</f>
        <v>0.605933672652766</v>
      </c>
      <c r="V406" s="77" t="n">
        <f aca="false">(1+Discount_Rate)^((Inputs!$E$26-V$360)/Days_In_Year)</f>
        <v>0.561049696900709</v>
      </c>
      <c r="W406" s="77" t="n">
        <f aca="false">(1+Discount_Rate)^((Inputs!$E$26-W$360)/Days_In_Year)</f>
        <v>0.519490460093249</v>
      </c>
      <c r="X406" s="77" t="n">
        <f aca="false">(1+Discount_Rate)^((Inputs!$E$26-X$360)/Days_In_Year)</f>
        <v>0.480908274028566</v>
      </c>
      <c r="Y406" s="77" t="n">
        <f aca="false">(1+Discount_Rate)^((Inputs!$E$26-Y$360)/Days_In_Year)</f>
        <v>0.445285438915339</v>
      </c>
      <c r="Z406" s="77" t="n">
        <f aca="false">(1+Discount_Rate)^((Inputs!$E$26-Z$360)/Days_In_Year)</f>
        <v>0.412301332329018</v>
      </c>
      <c r="AA406" s="77" t="n">
        <f aca="false">(1+Discount_Rate)^((Inputs!$E$26-AA$360)/Days_In_Year)</f>
        <v>0.381760492897239</v>
      </c>
      <c r="AB406" s="77" t="n">
        <f aca="false">(1+Discount_Rate)^((Inputs!$E$26-AB$360)/Days_In_Year)</f>
        <v>0.353407413292154</v>
      </c>
      <c r="AC406" s="77" t="n">
        <f aca="false">(1+Discount_Rate)^((Inputs!$E$26-AC$360)/Days_In_Year)</f>
        <v>0.327229086381624</v>
      </c>
      <c r="AD406" s="77" t="n">
        <f aca="false">(1+Discount_Rate)^((Inputs!$E$26-AD$360)/Days_In_Year)</f>
        <v>0.3029898947978</v>
      </c>
      <c r="AE406" s="77" t="n">
        <f aca="false">(1+Discount_Rate)^((Inputs!$E$26-AE$360)/Days_In_Year)</f>
        <v>0.280546198886852</v>
      </c>
      <c r="AF406" s="77" t="n">
        <f aca="false">(1+Discount_Rate)^((Inputs!$E$26-AF$360)/Days_In_Year)</f>
        <v>0.259710232730228</v>
      </c>
      <c r="AG406" s="77" t="n">
        <f aca="false">(1+Discount_Rate)^((Inputs!$E$26-AG$360)/Days_In_Year)</f>
        <v>0.240472437713174</v>
      </c>
      <c r="AH406" s="77" t="n">
        <f aca="false">(1+Discount_Rate)^((Inputs!$E$26-AH$360)/Days_In_Year)</f>
        <v>0.222659664549235</v>
      </c>
      <c r="AI406" s="77" t="n">
        <f aca="false">(1+Discount_Rate)^((Inputs!$E$26-AI$360)/Days_In_Year)</f>
        <v>0.206166356064106</v>
      </c>
      <c r="AJ406" s="77" t="n">
        <f aca="false">(1+Discount_Rate)^((Inputs!$E$26-AJ$360)/Days_In_Year)</f>
        <v>0.190854527799705</v>
      </c>
      <c r="AK406" s="77" t="n">
        <f aca="false">(1+Discount_Rate)^((Inputs!$E$26-AK$360)/Days_In_Year)</f>
        <v>0.176717155370097</v>
      </c>
      <c r="AL406" s="77" t="n">
        <f aca="false">(1+Discount_Rate)^((Inputs!$E$26-AL$360)/Days_In_Year)</f>
        <v>0.163626995713053</v>
      </c>
      <c r="AM406" s="77" t="n">
        <f aca="false">(1+Discount_Rate)^((Inputs!$E$26-AM$360)/Days_In_Year)</f>
        <v>0.151506477512086</v>
      </c>
      <c r="AN406" s="77" t="n">
        <f aca="false">(1+Discount_Rate)^((Inputs!$E$26-AN$360)/Days_In_Year)</f>
        <v>0.140254199454224</v>
      </c>
      <c r="AO406" s="77" t="n">
        <f aca="false">(1+Discount_Rate)^((Inputs!$E$26-AO$360)/Days_In_Year)</f>
        <v>0.129864999494652</v>
      </c>
      <c r="AP406" s="77" t="n">
        <f aca="false">(1+Discount_Rate)^((Inputs!$E$26-AP$360)/Days_In_Year)</f>
        <v>0.120245369902455</v>
      </c>
      <c r="AQ406" s="77" t="n">
        <f aca="false">(1+Discount_Rate)^((Inputs!$E$26-AQ$360)/Days_In_Year)</f>
        <v>0.111338305465236</v>
      </c>
      <c r="AR406" s="77" t="n">
        <f aca="false">(1+Discount_Rate)^((Inputs!$E$26-AR$360)/Days_In_Year)</f>
        <v>0.103069288904634</v>
      </c>
      <c r="AS406" s="77" t="n">
        <f aca="false">(1+Discount_Rate)^((Inputs!$E$26-AS$360)/Days_In_Year)</f>
        <v>0.0954345267635496</v>
      </c>
    </row>
    <row r="407" customFormat="false" ht="14.25" hidden="false" customHeight="false" outlineLevel="0" collapsed="false">
      <c r="C407" s="6" t="s">
        <v>332</v>
      </c>
      <c r="D407" s="2" t="s">
        <v>85</v>
      </c>
      <c r="H407" s="8" t="n">
        <f aca="false">SUM(J407:AS407)</f>
        <v>93704.5637567043</v>
      </c>
      <c r="J407" s="8" t="n">
        <f aca="false">(J387+J392)*J406</f>
        <v>0</v>
      </c>
      <c r="K407" s="8" t="n">
        <f aca="false">(K387+K392)*K406</f>
        <v>0</v>
      </c>
      <c r="L407" s="8" t="n">
        <f aca="false">(L387+L392)*L406</f>
        <v>0</v>
      </c>
      <c r="M407" s="8" t="n">
        <f aca="false">(M387+M392)*M406</f>
        <v>0</v>
      </c>
      <c r="N407" s="8" t="n">
        <f aca="false">(N387+N392)*N406</f>
        <v>0</v>
      </c>
      <c r="O407" s="8" t="n">
        <f aca="false">(O387+O392)*O406</f>
        <v>3939.21851944005</v>
      </c>
      <c r="P407" s="8" t="n">
        <f aca="false">(P387+P392)*P406</f>
        <v>7337.82556620684</v>
      </c>
      <c r="Q407" s="8" t="n">
        <f aca="false">(Q387+Q392)*Q406</f>
        <v>6812.82601083504</v>
      </c>
      <c r="R407" s="8" t="n">
        <f aca="false">(R387+R392)*R406</f>
        <v>6324.87918769322</v>
      </c>
      <c r="S407" s="8" t="n">
        <f aca="false">(S387+S392)*S406</f>
        <v>5871.39467417825</v>
      </c>
      <c r="T407" s="8" t="n">
        <f aca="false">(T387+T392)*T406</f>
        <v>5448.81293364757</v>
      </c>
      <c r="U407" s="8" t="n">
        <f aca="false">(U387+U392)*U406</f>
        <v>5057.27150660415</v>
      </c>
      <c r="V407" s="8" t="n">
        <f aca="false">(V387+V392)*V406</f>
        <v>4693.44579837625</v>
      </c>
      <c r="W407" s="8" t="n">
        <f aca="false">(W387+W392)*W406</f>
        <v>4355.39415559577</v>
      </c>
      <c r="X407" s="8" t="n">
        <f aca="false">(X387+X392)*X406</f>
        <v>4040.45793559268</v>
      </c>
      <c r="Y407" s="8" t="n">
        <f aca="false">(Y387+Y392)*Y406</f>
        <v>3748.72179872735</v>
      </c>
      <c r="Z407" s="8" t="n">
        <f aca="false">(Z387+Z392)*Z406</f>
        <v>3477.70390590008</v>
      </c>
      <c r="AA407" s="8" t="n">
        <f aca="false">(AA387+AA392)*AA406</f>
        <v>3225.94953903426</v>
      </c>
      <c r="AB407" s="8" t="n">
        <f aca="false">(AB387+AB392)*AB406</f>
        <v>2991.47448867761</v>
      </c>
      <c r="AC407" s="8" t="n">
        <f aca="false">(AC387+AC392)*AC406</f>
        <v>2774.32712693389</v>
      </c>
      <c r="AD407" s="8" t="n">
        <f aca="false">(AD387+AD392)*AD406</f>
        <v>2572.65628401037</v>
      </c>
      <c r="AE407" s="8" t="n">
        <f aca="false">(AE387+AE392)*AE406</f>
        <v>2385.3725950344</v>
      </c>
      <c r="AF407" s="8" t="n">
        <f aca="false">(AF387+AF392)*AF406</f>
        <v>2210.99646781682</v>
      </c>
      <c r="AG407" s="8" t="n">
        <f aca="false">(AG387+AG392)*AG406</f>
        <v>2049.55182562797</v>
      </c>
      <c r="AH407" s="8" t="n">
        <f aca="false">(AH387+AH392)*AH406</f>
        <v>1899.659174348</v>
      </c>
      <c r="AI407" s="8" t="n">
        <f aca="false">(AI387+AI392)*AI406</f>
        <v>1710.64896186241</v>
      </c>
      <c r="AJ407" s="8" t="n">
        <f aca="false">(AJ387+AJ392)*AJ406</f>
        <v>1538.67841862138</v>
      </c>
      <c r="AK407" s="8" t="n">
        <f aca="false">(AK387+AK392)*AK406</f>
        <v>1425.63634142899</v>
      </c>
      <c r="AL407" s="8" t="n">
        <f aca="false">(AL387+AL392)*AL406</f>
        <v>1320.70308997534</v>
      </c>
      <c r="AM407" s="8" t="n">
        <f aca="false">(AM387+AM392)*AM406</f>
        <v>1223.3063053719</v>
      </c>
      <c r="AN407" s="8" t="n">
        <f aca="false">(AN387+AN392)*AN406</f>
        <v>1132.67472336465</v>
      </c>
      <c r="AO407" s="8" t="n">
        <f aca="false">(AO387+AO392)*AO406</f>
        <v>1048.80850238228</v>
      </c>
      <c r="AP407" s="8" t="n">
        <f aca="false">(AP387+AP392)*AP406</f>
        <v>970.989204824465</v>
      </c>
      <c r="AQ407" s="8" t="n">
        <f aca="false">(AQ387+AQ392)*AQ406</f>
        <v>898.78850384077</v>
      </c>
      <c r="AR407" s="8" t="n">
        <f aca="false">(AR387+AR392)*AR406</f>
        <v>831.632671368691</v>
      </c>
      <c r="AS407" s="8" t="n">
        <f aca="false">(AS387+AS392)*AS406</f>
        <v>384.757539382872</v>
      </c>
    </row>
    <row r="408" customFormat="false" ht="14.25" hidden="false" customHeight="false" outlineLevel="0" collapsed="false">
      <c r="C408" s="1" t="s">
        <v>333</v>
      </c>
      <c r="D408" s="2" t="s">
        <v>85</v>
      </c>
      <c r="H408" s="32" t="n">
        <f aca="false">SUM(J408:AS408)</f>
        <v>21612.6299841015</v>
      </c>
      <c r="J408" s="32" t="n">
        <f aca="false">J373*(J363&lt;=0)+J368*($H407+$E$62+$E$63)</f>
        <v>0</v>
      </c>
      <c r="K408" s="32" t="n">
        <f aca="false">K373*(K363&lt;=0)+K368*($H407+$E$62+$E$63)</f>
        <v>0</v>
      </c>
      <c r="L408" s="32" t="n">
        <f aca="false">L373*(L363&lt;=0)+L368*($H407+$E$62+$E$63)</f>
        <v>0</v>
      </c>
      <c r="M408" s="32" t="n">
        <f aca="false">M373*(M363&lt;=0)+M368*($H407+$E$62+$E$63)</f>
        <v>-33450.8995260274</v>
      </c>
      <c r="N408" s="32" t="n">
        <f aca="false">N373*(N363&lt;=0)+N368*($H407+$E$62+$E$63)</f>
        <v>-26389</v>
      </c>
      <c r="O408" s="32" t="n">
        <f aca="false">O373*(O363&lt;=0)+O368*($H407+$E$62+$E$63)</f>
        <v>81452.5295101289</v>
      </c>
      <c r="P408" s="32" t="n">
        <f aca="false">P373*(P363&lt;=0)+P368*($H407+$E$62+$E$63)</f>
        <v>0</v>
      </c>
      <c r="Q408" s="32" t="n">
        <f aca="false">Q373*(Q363&lt;=0)+Q368*($H407+$E$62+$E$63)</f>
        <v>0</v>
      </c>
      <c r="R408" s="32" t="n">
        <f aca="false">R373*(R363&lt;=0)+R368*($H407+$E$62+$E$63)</f>
        <v>0</v>
      </c>
      <c r="S408" s="32" t="n">
        <f aca="false">S373*(S363&lt;=0)+S368*($H407+$E$62+$E$63)</f>
        <v>0</v>
      </c>
      <c r="T408" s="32" t="n">
        <f aca="false">T373*(T363&lt;=0)+T368*($H407+$E$62+$E$63)</f>
        <v>0</v>
      </c>
      <c r="U408" s="32" t="n">
        <f aca="false">U373*(U363&lt;=0)+U368*($H407+$E$62+$E$63)</f>
        <v>0</v>
      </c>
      <c r="V408" s="32" t="n">
        <f aca="false">V373*(V363&lt;=0)+V368*($H407+$E$62+$E$63)</f>
        <v>0</v>
      </c>
      <c r="W408" s="32" t="n">
        <f aca="false">W373*(W363&lt;=0)+W368*($H407+$E$62+$E$63)</f>
        <v>0</v>
      </c>
      <c r="X408" s="32" t="n">
        <f aca="false">X373*(X363&lt;=0)+X368*($H407+$E$62+$E$63)</f>
        <v>0</v>
      </c>
      <c r="Y408" s="32" t="n">
        <f aca="false">Y373*(Y363&lt;=0)+Y368*($H407+$E$62+$E$63)</f>
        <v>0</v>
      </c>
      <c r="Z408" s="32" t="n">
        <f aca="false">Z373*(Z363&lt;=0)+Z368*($H407+$E$62+$E$63)</f>
        <v>0</v>
      </c>
      <c r="AA408" s="32" t="n">
        <f aca="false">AA373*(AA363&lt;=0)+AA368*($H407+$E$62+$E$63)</f>
        <v>0</v>
      </c>
      <c r="AB408" s="32" t="n">
        <f aca="false">AB373*(AB363&lt;=0)+AB368*($H407+$E$62+$E$63)</f>
        <v>0</v>
      </c>
      <c r="AC408" s="32" t="n">
        <f aca="false">AC373*(AC363&lt;=0)+AC368*($H407+$E$62+$E$63)</f>
        <v>0</v>
      </c>
      <c r="AD408" s="32" t="n">
        <f aca="false">AD373*(AD363&lt;=0)+AD368*($H407+$E$62+$E$63)</f>
        <v>0</v>
      </c>
      <c r="AE408" s="32" t="n">
        <f aca="false">AE373*(AE363&lt;=0)+AE368*($H407+$E$62+$E$63)</f>
        <v>0</v>
      </c>
      <c r="AF408" s="32" t="n">
        <f aca="false">AF373*(AF363&lt;=0)+AF368*($H407+$E$62+$E$63)</f>
        <v>0</v>
      </c>
      <c r="AG408" s="32" t="n">
        <f aca="false">AG373*(AG363&lt;=0)+AG368*($H407+$E$62+$E$63)</f>
        <v>0</v>
      </c>
      <c r="AH408" s="32" t="n">
        <f aca="false">AH373*(AH363&lt;=0)+AH368*($H407+$E$62+$E$63)</f>
        <v>0</v>
      </c>
      <c r="AI408" s="32" t="n">
        <f aca="false">AI373*(AI363&lt;=0)+AI368*($H407+$E$62+$E$63)</f>
        <v>0</v>
      </c>
      <c r="AJ408" s="32" t="n">
        <f aca="false">AJ373*(AJ363&lt;=0)+AJ368*($H407+$E$62+$E$63)</f>
        <v>0</v>
      </c>
      <c r="AK408" s="32" t="n">
        <f aca="false">AK373*(AK363&lt;=0)+AK368*($H407+$E$62+$E$63)</f>
        <v>0</v>
      </c>
      <c r="AL408" s="32" t="n">
        <f aca="false">AL373*(AL363&lt;=0)+AL368*($H407+$E$62+$E$63)</f>
        <v>0</v>
      </c>
      <c r="AM408" s="32" t="n">
        <f aca="false">AM373*(AM363&lt;=0)+AM368*($H407+$E$62+$E$63)</f>
        <v>0</v>
      </c>
      <c r="AN408" s="32" t="n">
        <f aca="false">AN373*(AN363&lt;=0)+AN368*($H407+$E$62+$E$63)</f>
        <v>0</v>
      </c>
      <c r="AO408" s="32" t="n">
        <f aca="false">AO373*(AO363&lt;=0)+AO368*($H407+$E$62+$E$63)</f>
        <v>0</v>
      </c>
      <c r="AP408" s="32" t="n">
        <f aca="false">AP373*(AP363&lt;=0)+AP368*($H407+$E$62+$E$63)</f>
        <v>0</v>
      </c>
      <c r="AQ408" s="32" t="n">
        <f aca="false">AQ373*(AQ363&lt;=0)+AQ368*($H407+$E$62+$E$63)</f>
        <v>0</v>
      </c>
      <c r="AR408" s="32" t="n">
        <f aca="false">AR373*(AR363&lt;=0)+AR368*($H407+$E$62+$E$63)</f>
        <v>0</v>
      </c>
      <c r="AS408" s="32" t="n">
        <f aca="false">AS373*(AS363&lt;=0)+AS368*($H407+$E$62+$E$63)</f>
        <v>0</v>
      </c>
    </row>
    <row r="409" customFormat="false" ht="14.25" hidden="false" customHeight="false" outlineLevel="0" collapsed="false">
      <c r="C409" s="41" t="s">
        <v>334</v>
      </c>
      <c r="D409" s="42"/>
      <c r="E409" s="43"/>
      <c r="F409" s="43"/>
      <c r="G409" s="43"/>
      <c r="H409" s="43"/>
    </row>
    <row r="410" customFormat="false" ht="14.25" hidden="false" customHeight="false" outlineLevel="0" collapsed="false">
      <c r="C410" s="6" t="s">
        <v>335</v>
      </c>
      <c r="D410" s="2" t="s">
        <v>85</v>
      </c>
      <c r="H410" s="8"/>
      <c r="J410" s="8" t="n">
        <f aca="false">(I410*(1+Rate_Cash)-SUMPRODUCT($E341:$E346*$M341:$M346*(YEAR($J341:$J346)=J359)))*(J360&lt;$E190)*$E21</f>
        <v>404.929164946519</v>
      </c>
      <c r="K410" s="8" t="n">
        <f aca="false">(J410*(1+Rate_Cash)-SUMPRODUCT($E341:$E346*$M341:$M346*(YEAR($J341:$J346)=K359)))*(K360&lt;$E190)*$E21</f>
        <v>2874.39110197035</v>
      </c>
      <c r="L410" s="8" t="n">
        <f aca="false">(K410*(1+Rate_Cash)-SUMPRODUCT($E341:$E346*$M341:$M346*(YEAR($J341:$J346)=L359)))*(L360&lt;$E190)*$E21</f>
        <v>13614.1904191201</v>
      </c>
      <c r="M410" s="8" t="n">
        <f aca="false">(L410*(1+Rate_Cash)-SUMPRODUCT($E341:$E346*$M341:$M346*(YEAR($J341:$J346)=M359)))*(M360&lt;$E190)*$E21</f>
        <v>0</v>
      </c>
      <c r="N410" s="8" t="n">
        <f aca="false">(M410*(1+Rate_Cash)-SUMPRODUCT($E341:$E346*$M341:$M346*(YEAR($J341:$J346)=N359)))*(N360&lt;$E190)*$E21</f>
        <v>0</v>
      </c>
      <c r="O410" s="8" t="n">
        <f aca="false">(N410*(1+Rate_Cash)-SUMPRODUCT($E341:$E346*$M341:$M346*(YEAR($J341:$J346)=O359)))*(O360&lt;$E190)*$E21</f>
        <v>0</v>
      </c>
      <c r="P410" s="8" t="n">
        <f aca="false">(O410*(1+Rate_Cash)-SUMPRODUCT($E341:$E346*$M341:$M346*(YEAR($J341:$J346)=P359)))*(P360&lt;$E190)*$E21</f>
        <v>0</v>
      </c>
      <c r="Q410" s="8" t="n">
        <f aca="false">(P410*(1+Rate_Cash)-SUMPRODUCT($E341:$E346*$M341:$M346*(YEAR($J341:$J346)=Q359)))*(Q360&lt;$E190)*$E21</f>
        <v>0</v>
      </c>
      <c r="R410" s="8" t="n">
        <f aca="false">(Q410*(1+Rate_Cash)-SUMPRODUCT($E341:$E346*$M341:$M346*(YEAR($J341:$J346)=R359)))*(R360&lt;$E190)*$E21</f>
        <v>0</v>
      </c>
      <c r="S410" s="8" t="n">
        <f aca="false">(R410*(1+Rate_Cash)-SUMPRODUCT($E341:$E346*$M341:$M346*(YEAR($J341:$J346)=S359)))*(S360&lt;$E190)*$E21</f>
        <v>0</v>
      </c>
      <c r="T410" s="8" t="n">
        <f aca="false">(S410*(1+Rate_Cash)-SUMPRODUCT($E341:$E346*$M341:$M346*(YEAR($J341:$J346)=T359)))*(T360&lt;$E190)*$E21</f>
        <v>0</v>
      </c>
      <c r="U410" s="8" t="n">
        <f aca="false">(T410*(1+Rate_Cash)-SUMPRODUCT($E341:$E346*$M341:$M346*(YEAR($J341:$J346)=U359)))*(U360&lt;$E190)*$E21</f>
        <v>0</v>
      </c>
      <c r="V410" s="8" t="n">
        <f aca="false">(U410*(1+Rate_Cash)-SUMPRODUCT($E341:$E346*$M341:$M346*(YEAR($J341:$J346)=V359)))*(V360&lt;$E190)*$E21</f>
        <v>0</v>
      </c>
      <c r="W410" s="8" t="n">
        <f aca="false">(V410*(1+Rate_Cash)-SUMPRODUCT($E341:$E346*$M341:$M346*(YEAR($J341:$J346)=W359)))*(W360&lt;$E190)*$E21</f>
        <v>0</v>
      </c>
      <c r="X410" s="8" t="n">
        <f aca="false">(W410*(1+Rate_Cash)-SUMPRODUCT($E341:$E346*$M341:$M346*(YEAR($J341:$J346)=X359)))*(X360&lt;$E190)*$E21</f>
        <v>0</v>
      </c>
      <c r="Y410" s="8" t="n">
        <f aca="false">(X410*(1+Rate_Cash)-SUMPRODUCT($E341:$E346*$M341:$M346*(YEAR($J341:$J346)=Y359)))*(Y360&lt;$E190)*$E21</f>
        <v>0</v>
      </c>
      <c r="Z410" s="8" t="n">
        <f aca="false">(Y410*(1+Rate_Cash)-SUMPRODUCT($E341:$E346*$M341:$M346*(YEAR($J341:$J346)=Z359)))*(Z360&lt;$E190)*$E21</f>
        <v>0</v>
      </c>
      <c r="AA410" s="8" t="n">
        <f aca="false">(Z410*(1+Rate_Cash)-SUMPRODUCT($E341:$E346*$M341:$M346*(YEAR($J341:$J346)=AA359)))*(AA360&lt;$E190)*$E21</f>
        <v>0</v>
      </c>
      <c r="AB410" s="8" t="n">
        <f aca="false">(AA410*(1+Rate_Cash)-SUMPRODUCT($E341:$E346*$M341:$M346*(YEAR($J341:$J346)=AB359)))*(AB360&lt;$E190)*$E21</f>
        <v>0</v>
      </c>
      <c r="AC410" s="8" t="n">
        <f aca="false">(AB410*(1+Rate_Cash)-SUMPRODUCT($E341:$E346*$M341:$M346*(YEAR($J341:$J346)=AC359)))*(AC360&lt;$E190)*$E21</f>
        <v>0</v>
      </c>
      <c r="AD410" s="8" t="n">
        <f aca="false">(AC410*(1+Rate_Cash)-SUMPRODUCT($E341:$E346*$M341:$M346*(YEAR($J341:$J346)=AD359)))*(AD360&lt;$E190)*$E21</f>
        <v>0</v>
      </c>
      <c r="AE410" s="8" t="n">
        <f aca="false">(AD410*(1+Rate_Cash)-SUMPRODUCT($E341:$E346*$M341:$M346*(YEAR($J341:$J346)=AE359)))*(AE360&lt;$E190)*$E21</f>
        <v>0</v>
      </c>
      <c r="AF410" s="8" t="n">
        <f aca="false">(AE410*(1+Rate_Cash)-SUMPRODUCT($E341:$E346*$M341:$M346*(YEAR($J341:$J346)=AF359)))*(AF360&lt;$E190)*$E21</f>
        <v>0</v>
      </c>
      <c r="AG410" s="8" t="n">
        <f aca="false">(AF410*(1+Rate_Cash)-SUMPRODUCT($E341:$E346*$M341:$M346*(YEAR($J341:$J346)=AG359)))*(AG360&lt;$E190)*$E21</f>
        <v>0</v>
      </c>
      <c r="AH410" s="8" t="n">
        <f aca="false">(AG410*(1+Rate_Cash)-SUMPRODUCT($E341:$E346*$M341:$M346*(YEAR($J341:$J346)=AH359)))*(AH360&lt;$E190)*$E21</f>
        <v>0</v>
      </c>
      <c r="AI410" s="8" t="n">
        <f aca="false">(AH410*(1+Rate_Cash)-SUMPRODUCT($E341:$E346*$M341:$M346*(YEAR($J341:$J346)=AI359)))*(AI360&lt;$E190)*$E21</f>
        <v>0</v>
      </c>
      <c r="AJ410" s="8" t="n">
        <f aca="false">(AI410*(1+Rate_Cash)-SUMPRODUCT($E341:$E346*$M341:$M346*(YEAR($J341:$J346)=AJ359)))*(AJ360&lt;$E190)*$E21</f>
        <v>0</v>
      </c>
      <c r="AK410" s="8" t="n">
        <f aca="false">(AJ410*(1+Rate_Cash)-SUMPRODUCT($E341:$E346*$M341:$M346*(YEAR($J341:$J346)=AK359)))*(AK360&lt;$E190)*$E21</f>
        <v>0</v>
      </c>
      <c r="AL410" s="8" t="n">
        <f aca="false">(AK410*(1+Rate_Cash)-SUMPRODUCT($E341:$E346*$M341:$M346*(YEAR($J341:$J346)=AL359)))*(AL360&lt;$E190)*$E21</f>
        <v>0</v>
      </c>
      <c r="AM410" s="8" t="n">
        <f aca="false">(AL410*(1+Rate_Cash)-SUMPRODUCT($E341:$E346*$M341:$M346*(YEAR($J341:$J346)=AM359)))*(AM360&lt;$E190)*$E21</f>
        <v>0</v>
      </c>
      <c r="AN410" s="8" t="n">
        <f aca="false">(AM410*(1+Rate_Cash)-SUMPRODUCT($E341:$E346*$M341:$M346*(YEAR($J341:$J346)=AN359)))*(AN360&lt;$E190)*$E21</f>
        <v>0</v>
      </c>
      <c r="AO410" s="8" t="n">
        <f aca="false">(AN410*(1+Rate_Cash)-SUMPRODUCT($E341:$E346*$M341:$M346*(YEAR($J341:$J346)=AO359)))*(AO360&lt;$E190)*$E21</f>
        <v>0</v>
      </c>
      <c r="AP410" s="8" t="n">
        <f aca="false">(AO410*(1+Rate_Cash)-SUMPRODUCT($E341:$E346*$M341:$M346*(YEAR($J341:$J346)=AP359)))*(AP360&lt;$E190)*$E21</f>
        <v>0</v>
      </c>
      <c r="AQ410" s="8" t="n">
        <f aca="false">(AP410*(1+Rate_Cash)-SUMPRODUCT($E341:$E346*$M341:$M346*(YEAR($J341:$J346)=AQ359)))*(AQ360&lt;$E190)*$E21</f>
        <v>0</v>
      </c>
      <c r="AR410" s="8" t="n">
        <f aca="false">(AQ410*(1+Rate_Cash)-SUMPRODUCT($E341:$E346*$M341:$M346*(YEAR($J341:$J346)=AR359)))*(AR360&lt;$E190)*$E21</f>
        <v>0</v>
      </c>
      <c r="AS410" s="8" t="n">
        <f aca="false">(AR410*(1+Rate_Cash)-SUMPRODUCT($E341:$E346*$M341:$M346*(YEAR($J341:$J346)=AS359)))*(AS360&lt;$E190)*$E21</f>
        <v>0</v>
      </c>
    </row>
    <row r="411" customFormat="false" ht="14.25" hidden="false" customHeight="false" outlineLevel="0" collapsed="false">
      <c r="C411" s="6" t="s">
        <v>336</v>
      </c>
      <c r="D411" s="2" t="s">
        <v>85</v>
      </c>
      <c r="H411" s="8"/>
      <c r="J411" s="8" t="n">
        <f aca="false">(I411*(1+Rate_Devex)-SUMPRODUCT($E347:$E348*$M347:$M348*(YEAR($J347:$J348)=J359)))*(J360&lt;$E190)*$E21</f>
        <v>0</v>
      </c>
      <c r="K411" s="8" t="n">
        <f aca="false">(J411*(1+Rate_Devex)-SUMPRODUCT($E347:$E348*$M347:$M348*(YEAR($J347:$J348)=K359)))*(K360&lt;$E190)*$E21</f>
        <v>716.033459724017</v>
      </c>
      <c r="L411" s="8" t="n">
        <f aca="false">(K411*(1+Rate_Devex)-SUMPRODUCT($E347:$E348*$M347:$M348*(YEAR($J347:$J348)=L359)))*(L360&lt;$E190)*$E21</f>
        <v>981.326219036057</v>
      </c>
      <c r="M411" s="8" t="n">
        <f aca="false">(L411*(1+Rate_Devex)-SUMPRODUCT($E347:$E348*$M347:$M348*(YEAR($J347:$J348)=M359)))*(M360&lt;$E190)*$E21</f>
        <v>0</v>
      </c>
      <c r="N411" s="8" t="n">
        <f aca="false">(M411*(1+Rate_Devex)-SUMPRODUCT($E347:$E348*$M347:$M348*(YEAR($J347:$J348)=N359)))*(N360&lt;$E190)*$E21</f>
        <v>0</v>
      </c>
      <c r="O411" s="8" t="n">
        <f aca="false">(N411*(1+Rate_Devex)-SUMPRODUCT($E347:$E348*$M347:$M348*(YEAR($J347:$J348)=O359)))*(O360&lt;$E190)*$E21</f>
        <v>0</v>
      </c>
      <c r="P411" s="8" t="n">
        <f aca="false">(O411*(1+Rate_Devex)-SUMPRODUCT($E347:$E348*$M347:$M348*(YEAR($J347:$J348)=P359)))*(P360&lt;$E190)*$E21</f>
        <v>0</v>
      </c>
      <c r="Q411" s="8" t="n">
        <f aca="false">(P411*(1+Rate_Devex)-SUMPRODUCT($E347:$E348*$M347:$M348*(YEAR($J347:$J348)=Q359)))*(Q360&lt;$E190)*$E21</f>
        <v>0</v>
      </c>
      <c r="R411" s="8" t="n">
        <f aca="false">(Q411*(1+Rate_Devex)-SUMPRODUCT($E347:$E348*$M347:$M348*(YEAR($J347:$J348)=R359)))*(R360&lt;$E190)*$E21</f>
        <v>0</v>
      </c>
      <c r="S411" s="8" t="n">
        <f aca="false">(R411*(1+Rate_Devex)-SUMPRODUCT($E347:$E348*$M347:$M348*(YEAR($J347:$J348)=S359)))*(S360&lt;$E190)*$E21</f>
        <v>0</v>
      </c>
      <c r="T411" s="8" t="n">
        <f aca="false">(S411*(1+Rate_Devex)-SUMPRODUCT($E347:$E348*$M347:$M348*(YEAR($J347:$J348)=T359)))*(T360&lt;$E190)*$E21</f>
        <v>0</v>
      </c>
      <c r="U411" s="8" t="n">
        <f aca="false">(T411*(1+Rate_Devex)-SUMPRODUCT($E347:$E348*$M347:$M348*(YEAR($J347:$J348)=U359)))*(U360&lt;$E190)*$E21</f>
        <v>0</v>
      </c>
      <c r="V411" s="8" t="n">
        <f aca="false">(U411*(1+Rate_Devex)-SUMPRODUCT($E347:$E348*$M347:$M348*(YEAR($J347:$J348)=V359)))*(V360&lt;$E190)*$E21</f>
        <v>0</v>
      </c>
      <c r="W411" s="8" t="n">
        <f aca="false">(V411*(1+Rate_Devex)-SUMPRODUCT($E347:$E348*$M347:$M348*(YEAR($J347:$J348)=W359)))*(W360&lt;$E190)*$E21</f>
        <v>0</v>
      </c>
      <c r="X411" s="8" t="n">
        <f aca="false">(W411*(1+Rate_Devex)-SUMPRODUCT($E347:$E348*$M347:$M348*(YEAR($J347:$J348)=X359)))*(X360&lt;$E190)*$E21</f>
        <v>0</v>
      </c>
      <c r="Y411" s="8" t="n">
        <f aca="false">(X411*(1+Rate_Devex)-SUMPRODUCT($E347:$E348*$M347:$M348*(YEAR($J347:$J348)=Y359)))*(Y360&lt;$E190)*$E21</f>
        <v>0</v>
      </c>
      <c r="Z411" s="8" t="n">
        <f aca="false">(Y411*(1+Rate_Devex)-SUMPRODUCT($E347:$E348*$M347:$M348*(YEAR($J347:$J348)=Z359)))*(Z360&lt;$E190)*$E21</f>
        <v>0</v>
      </c>
      <c r="AA411" s="8" t="n">
        <f aca="false">(Z411*(1+Rate_Devex)-SUMPRODUCT($E347:$E348*$M347:$M348*(YEAR($J347:$J348)=AA359)))*(AA360&lt;$E190)*$E21</f>
        <v>0</v>
      </c>
      <c r="AB411" s="8" t="n">
        <f aca="false">(AA411*(1+Rate_Devex)-SUMPRODUCT($E347:$E348*$M347:$M348*(YEAR($J347:$J348)=AB359)))*(AB360&lt;$E190)*$E21</f>
        <v>0</v>
      </c>
      <c r="AC411" s="8" t="n">
        <f aca="false">(AB411*(1+Rate_Devex)-SUMPRODUCT($E347:$E348*$M347:$M348*(YEAR($J347:$J348)=AC359)))*(AC360&lt;$E190)*$E21</f>
        <v>0</v>
      </c>
      <c r="AD411" s="8" t="n">
        <f aca="false">(AC411*(1+Rate_Devex)-SUMPRODUCT($E347:$E348*$M347:$M348*(YEAR($J347:$J348)=AD359)))*(AD360&lt;$E190)*$E21</f>
        <v>0</v>
      </c>
      <c r="AE411" s="8" t="n">
        <f aca="false">(AD411*(1+Rate_Devex)-SUMPRODUCT($E347:$E348*$M347:$M348*(YEAR($J347:$J348)=AE359)))*(AE360&lt;$E190)*$E21</f>
        <v>0</v>
      </c>
      <c r="AF411" s="8" t="n">
        <f aca="false">(AE411*(1+Rate_Devex)-SUMPRODUCT($E347:$E348*$M347:$M348*(YEAR($J347:$J348)=AF359)))*(AF360&lt;$E190)*$E21</f>
        <v>0</v>
      </c>
      <c r="AG411" s="8" t="n">
        <f aca="false">(AF411*(1+Rate_Devex)-SUMPRODUCT($E347:$E348*$M347:$M348*(YEAR($J347:$J348)=AG359)))*(AG360&lt;$E190)*$E21</f>
        <v>0</v>
      </c>
      <c r="AH411" s="8" t="n">
        <f aca="false">(AG411*(1+Rate_Devex)-SUMPRODUCT($E347:$E348*$M347:$M348*(YEAR($J347:$J348)=AH359)))*(AH360&lt;$E190)*$E21</f>
        <v>0</v>
      </c>
      <c r="AI411" s="8" t="n">
        <f aca="false">(AH411*(1+Rate_Devex)-SUMPRODUCT($E347:$E348*$M347:$M348*(YEAR($J347:$J348)=AI359)))*(AI360&lt;$E190)*$E21</f>
        <v>0</v>
      </c>
      <c r="AJ411" s="8" t="n">
        <f aca="false">(AI411*(1+Rate_Devex)-SUMPRODUCT($E347:$E348*$M347:$M348*(YEAR($J347:$J348)=AJ359)))*(AJ360&lt;$E190)*$E21</f>
        <v>0</v>
      </c>
      <c r="AK411" s="8" t="n">
        <f aca="false">(AJ411*(1+Rate_Devex)-SUMPRODUCT($E347:$E348*$M347:$M348*(YEAR($J347:$J348)=AK359)))*(AK360&lt;$E190)*$E21</f>
        <v>0</v>
      </c>
      <c r="AL411" s="8" t="n">
        <f aca="false">(AK411*(1+Rate_Devex)-SUMPRODUCT($E347:$E348*$M347:$M348*(YEAR($J347:$J348)=AL359)))*(AL360&lt;$E190)*$E21</f>
        <v>0</v>
      </c>
      <c r="AM411" s="8" t="n">
        <f aca="false">(AL411*(1+Rate_Devex)-SUMPRODUCT($E347:$E348*$M347:$M348*(YEAR($J347:$J348)=AM359)))*(AM360&lt;$E190)*$E21</f>
        <v>0</v>
      </c>
      <c r="AN411" s="8" t="n">
        <f aca="false">(AM411*(1+Rate_Devex)-SUMPRODUCT($E347:$E348*$M347:$M348*(YEAR($J347:$J348)=AN359)))*(AN360&lt;$E190)*$E21</f>
        <v>0</v>
      </c>
      <c r="AO411" s="8" t="n">
        <f aca="false">(AN411*(1+Rate_Devex)-SUMPRODUCT($E347:$E348*$M347:$M348*(YEAR($J347:$J348)=AO359)))*(AO360&lt;$E190)*$E21</f>
        <v>0</v>
      </c>
      <c r="AP411" s="8" t="n">
        <f aca="false">(AO411*(1+Rate_Devex)-SUMPRODUCT($E347:$E348*$M347:$M348*(YEAR($J347:$J348)=AP359)))*(AP360&lt;$E190)*$E21</f>
        <v>0</v>
      </c>
      <c r="AQ411" s="8" t="n">
        <f aca="false">(AP411*(1+Rate_Devex)-SUMPRODUCT($E347:$E348*$M347:$M348*(YEAR($J347:$J348)=AQ359)))*(AQ360&lt;$E190)*$E21</f>
        <v>0</v>
      </c>
      <c r="AR411" s="8" t="n">
        <f aca="false">(AQ411*(1+Rate_Devex)-SUMPRODUCT($E347:$E348*$M347:$M348*(YEAR($J347:$J348)=AR359)))*(AR360&lt;$E190)*$E21</f>
        <v>0</v>
      </c>
      <c r="AS411" s="8" t="n">
        <f aca="false">(AR411*(1+Rate_Devex)-SUMPRODUCT($E347:$E348*$M347:$M348*(YEAR($J347:$J348)=AS359)))*(AS360&lt;$E190)*$E21</f>
        <v>0</v>
      </c>
    </row>
    <row r="412" customFormat="false" ht="14.25" hidden="false" customHeight="false" outlineLevel="0" collapsed="false">
      <c r="C412" s="6" t="s">
        <v>337</v>
      </c>
      <c r="D412" s="2" t="s">
        <v>85</v>
      </c>
      <c r="H412" s="8" t="n">
        <f aca="false">SUM(J412:AS412)</f>
        <v>13465.7175204585</v>
      </c>
      <c r="J412" s="8" t="n">
        <f aca="false">-SUMPRODUCT($E341:$E348*(YEAR($J341:$J348)=J359))*(J360&lt;$E190)*$E21</f>
        <v>396.712328767123</v>
      </c>
      <c r="K412" s="8" t="n">
        <f aca="false">-SUMPRODUCT($E341:$E348*(YEAR($J341:$J348)=K359))*(K360&lt;$E190)*$E21</f>
        <v>2871.50977525301</v>
      </c>
      <c r="L412" s="8" t="n">
        <f aca="false">-SUMPRODUCT($E341:$E348*(YEAR($J341:$J348)=L359))*(L360&lt;$E190)*$E21</f>
        <v>10197.4954164384</v>
      </c>
      <c r="M412" s="8" t="n">
        <f aca="false">-SUMPRODUCT($E341:$E348*(YEAR($J341:$J348)=M359))*(M360&lt;$E190)*$E21</f>
        <v>-0</v>
      </c>
      <c r="N412" s="8" t="n">
        <f aca="false">-SUMPRODUCT($E341:$E348*(YEAR($J341:$J348)=N359))*(N360&lt;$E190)*$E21</f>
        <v>-0</v>
      </c>
      <c r="O412" s="8" t="n">
        <f aca="false">-SUMPRODUCT($E341:$E348*(YEAR($J341:$J348)=O359))*(O360&lt;$E190)*$E21</f>
        <v>-0</v>
      </c>
      <c r="P412" s="8" t="n">
        <f aca="false">-SUMPRODUCT($E341:$E348*(YEAR($J341:$J348)=P359))*(P360&lt;$E190)*$E21</f>
        <v>-0</v>
      </c>
      <c r="Q412" s="8" t="n">
        <f aca="false">-SUMPRODUCT($E341:$E348*(YEAR($J341:$J348)=Q359))*(Q360&lt;$E190)*$E21</f>
        <v>-0</v>
      </c>
      <c r="R412" s="8" t="n">
        <f aca="false">-SUMPRODUCT($E341:$E348*(YEAR($J341:$J348)=R359))*(R360&lt;$E190)*$E21</f>
        <v>-0</v>
      </c>
      <c r="S412" s="8" t="n">
        <f aca="false">-SUMPRODUCT($E341:$E348*(YEAR($J341:$J348)=S359))*(S360&lt;$E190)*$E21</f>
        <v>-0</v>
      </c>
      <c r="T412" s="8" t="n">
        <f aca="false">-SUMPRODUCT($E341:$E348*(YEAR($J341:$J348)=T359))*(T360&lt;$E190)*$E21</f>
        <v>-0</v>
      </c>
      <c r="U412" s="8" t="n">
        <f aca="false">-SUMPRODUCT($E341:$E348*(YEAR($J341:$J348)=U359))*(U360&lt;$E190)*$E21</f>
        <v>-0</v>
      </c>
      <c r="V412" s="8" t="n">
        <f aca="false">-SUMPRODUCT($E341:$E348*(YEAR($J341:$J348)=V359))*(V360&lt;$E190)*$E21</f>
        <v>-0</v>
      </c>
      <c r="W412" s="8" t="n">
        <f aca="false">-SUMPRODUCT($E341:$E348*(YEAR($J341:$J348)=W359))*(W360&lt;$E190)*$E21</f>
        <v>-0</v>
      </c>
      <c r="X412" s="8" t="n">
        <f aca="false">-SUMPRODUCT($E341:$E348*(YEAR($J341:$J348)=X359))*(X360&lt;$E190)*$E21</f>
        <v>-0</v>
      </c>
      <c r="Y412" s="8" t="n">
        <f aca="false">-SUMPRODUCT($E341:$E348*(YEAR($J341:$J348)=Y359))*(Y360&lt;$E190)*$E21</f>
        <v>-0</v>
      </c>
      <c r="Z412" s="8" t="n">
        <f aca="false">-SUMPRODUCT($E341:$E348*(YEAR($J341:$J348)=Z359))*(Z360&lt;$E190)*$E21</f>
        <v>-0</v>
      </c>
      <c r="AA412" s="8" t="n">
        <f aca="false">-SUMPRODUCT($E341:$E348*(YEAR($J341:$J348)=AA359))*(AA360&lt;$E190)*$E21</f>
        <v>-0</v>
      </c>
      <c r="AB412" s="8" t="n">
        <f aca="false">-SUMPRODUCT($E341:$E348*(YEAR($J341:$J348)=AB359))*(AB360&lt;$E190)*$E21</f>
        <v>-0</v>
      </c>
      <c r="AC412" s="8" t="n">
        <f aca="false">-SUMPRODUCT($E341:$E348*(YEAR($J341:$J348)=AC359))*(AC360&lt;$E190)*$E21</f>
        <v>-0</v>
      </c>
      <c r="AD412" s="8" t="n">
        <f aca="false">-SUMPRODUCT($E341:$E348*(YEAR($J341:$J348)=AD359))*(AD360&lt;$E190)*$E21</f>
        <v>-0</v>
      </c>
      <c r="AE412" s="8" t="n">
        <f aca="false">-SUMPRODUCT($E341:$E348*(YEAR($J341:$J348)=AE359))*(AE360&lt;$E190)*$E21</f>
        <v>-0</v>
      </c>
      <c r="AF412" s="8" t="n">
        <f aca="false">-SUMPRODUCT($E341:$E348*(YEAR($J341:$J348)=AF359))*(AF360&lt;$E190)*$E21</f>
        <v>-0</v>
      </c>
      <c r="AG412" s="8" t="n">
        <f aca="false">-SUMPRODUCT($E341:$E348*(YEAR($J341:$J348)=AG359))*(AG360&lt;$E190)*$E21</f>
        <v>-0</v>
      </c>
      <c r="AH412" s="8" t="n">
        <f aca="false">-SUMPRODUCT($E341:$E348*(YEAR($J341:$J348)=AH359))*(AH360&lt;$E190)*$E21</f>
        <v>-0</v>
      </c>
      <c r="AI412" s="8" t="n">
        <f aca="false">-SUMPRODUCT($E341:$E348*(YEAR($J341:$J348)=AI359))*(AI360&lt;$E190)*$E21</f>
        <v>-0</v>
      </c>
      <c r="AJ412" s="8" t="n">
        <f aca="false">-SUMPRODUCT($E341:$E348*(YEAR($J341:$J348)=AJ359))*(AJ360&lt;$E190)*$E21</f>
        <v>-0</v>
      </c>
      <c r="AK412" s="8" t="n">
        <f aca="false">-SUMPRODUCT($E341:$E348*(YEAR($J341:$J348)=AK359))*(AK360&lt;$E190)*$E21</f>
        <v>-0</v>
      </c>
      <c r="AL412" s="8" t="n">
        <f aca="false">-SUMPRODUCT($E341:$E348*(YEAR($J341:$J348)=AL359))*(AL360&lt;$E190)*$E21</f>
        <v>-0</v>
      </c>
      <c r="AM412" s="8" t="n">
        <f aca="false">-SUMPRODUCT($E341:$E348*(YEAR($J341:$J348)=AM359))*(AM360&lt;$E190)*$E21</f>
        <v>-0</v>
      </c>
      <c r="AN412" s="8" t="n">
        <f aca="false">-SUMPRODUCT($E341:$E348*(YEAR($J341:$J348)=AN359))*(AN360&lt;$E190)*$E21</f>
        <v>-0</v>
      </c>
      <c r="AO412" s="8" t="n">
        <f aca="false">-SUMPRODUCT($E341:$E348*(YEAR($J341:$J348)=AO359))*(AO360&lt;$E190)*$E21</f>
        <v>-0</v>
      </c>
      <c r="AP412" s="8" t="n">
        <f aca="false">-SUMPRODUCT($E341:$E348*(YEAR($J341:$J348)=AP359))*(AP360&lt;$E190)*$E21</f>
        <v>-0</v>
      </c>
      <c r="AQ412" s="8" t="n">
        <f aca="false">-SUMPRODUCT($E341:$E348*(YEAR($J341:$J348)=AQ359))*(AQ360&lt;$E190)*$E21</f>
        <v>-0</v>
      </c>
      <c r="AR412" s="8" t="n">
        <f aca="false">-SUMPRODUCT($E341:$E348*(YEAR($J341:$J348)=AR359))*(AR360&lt;$E190)*$E21</f>
        <v>-0</v>
      </c>
      <c r="AS412" s="8" t="n">
        <f aca="false">-SUMPRODUCT($E341:$E348*(YEAR($J341:$J348)=AS359))*(AS360&lt;$E190)*$E21</f>
        <v>-0</v>
      </c>
    </row>
    <row r="413" customFormat="false" ht="14.25" hidden="false" customHeight="false" outlineLevel="0" collapsed="false">
      <c r="C413" s="6" t="s">
        <v>338</v>
      </c>
      <c r="D413" s="2" t="s">
        <v>85</v>
      </c>
      <c r="H413" s="8" t="n">
        <f aca="false">SUM(J413:AS413)</f>
        <v>1129.7991176977</v>
      </c>
      <c r="J413" s="8" t="n">
        <f aca="false">(J410+J411-I410-I411-J412)*(J360&lt;$E190)*$E21</f>
        <v>8.21683617939578</v>
      </c>
      <c r="K413" s="8" t="n">
        <f aca="false">(K410+K411-J410-J411-K412)*(K360&lt;$E190)*$E21</f>
        <v>313.985621494844</v>
      </c>
      <c r="L413" s="8" t="n">
        <f aca="false">(L410+L411-K410-K411-L412)*(L360&lt;$E190)*$E21</f>
        <v>807.596660023464</v>
      </c>
      <c r="M413" s="8" t="n">
        <f aca="false">(M410+M411-L410-L411-M412)*(M360&lt;$E190)*$E21</f>
        <v>-0</v>
      </c>
      <c r="N413" s="8" t="n">
        <f aca="false">(N410+N411-M410-M411-N412)*(N360&lt;$E190)*$E21</f>
        <v>0</v>
      </c>
      <c r="O413" s="8" t="n">
        <f aca="false">(O410+O411-N410-N411-O412)*(O360&lt;$E190)*$E21</f>
        <v>0</v>
      </c>
      <c r="P413" s="8" t="n">
        <f aca="false">(P410+P411-O410-O411-P412)*(P360&lt;$E190)*$E21</f>
        <v>0</v>
      </c>
      <c r="Q413" s="8" t="n">
        <f aca="false">(Q410+Q411-P410-P411-Q412)*(Q360&lt;$E190)*$E21</f>
        <v>0</v>
      </c>
      <c r="R413" s="8" t="n">
        <f aca="false">(R410+R411-Q410-Q411-R412)*(R360&lt;$E190)*$E21</f>
        <v>0</v>
      </c>
      <c r="S413" s="8" t="n">
        <f aca="false">(S410+S411-R410-R411-S412)*(S360&lt;$E190)*$E21</f>
        <v>0</v>
      </c>
      <c r="T413" s="8" t="n">
        <f aca="false">(T410+T411-S410-S411-T412)*(T360&lt;$E190)*$E21</f>
        <v>0</v>
      </c>
      <c r="U413" s="8" t="n">
        <f aca="false">(U410+U411-T410-T411-U412)*(U360&lt;$E190)*$E21</f>
        <v>0</v>
      </c>
      <c r="V413" s="8" t="n">
        <f aca="false">(V410+V411-U410-U411-V412)*(V360&lt;$E190)*$E21</f>
        <v>0</v>
      </c>
      <c r="W413" s="8" t="n">
        <f aca="false">(W410+W411-V410-V411-W412)*(W360&lt;$E190)*$E21</f>
        <v>0</v>
      </c>
      <c r="X413" s="8" t="n">
        <f aca="false">(X410+X411-W410-W411-X412)*(X360&lt;$E190)*$E21</f>
        <v>0</v>
      </c>
      <c r="Y413" s="8" t="n">
        <f aca="false">(Y410+Y411-X410-X411-Y412)*(Y360&lt;$E190)*$E21</f>
        <v>0</v>
      </c>
      <c r="Z413" s="8" t="n">
        <f aca="false">(Z410+Z411-Y410-Y411-Z412)*(Z360&lt;$E190)*$E21</f>
        <v>0</v>
      </c>
      <c r="AA413" s="8" t="n">
        <f aca="false">(AA410+AA411-Z410-Z411-AA412)*(AA360&lt;$E190)*$E21</f>
        <v>0</v>
      </c>
      <c r="AB413" s="8" t="n">
        <f aca="false">(AB410+AB411-AA410-AA411-AB412)*(AB360&lt;$E190)*$E21</f>
        <v>0</v>
      </c>
      <c r="AC413" s="8" t="n">
        <f aca="false">(AC410+AC411-AB410-AB411-AC412)*(AC360&lt;$E190)*$E21</f>
        <v>0</v>
      </c>
      <c r="AD413" s="8" t="n">
        <f aca="false">(AD410+AD411-AC410-AC411-AD412)*(AD360&lt;$E190)*$E21</f>
        <v>0</v>
      </c>
      <c r="AE413" s="8" t="n">
        <f aca="false">(AE410+AE411-AD410-AD411-AE412)*(AE360&lt;$E190)*$E21</f>
        <v>0</v>
      </c>
      <c r="AF413" s="8" t="n">
        <f aca="false">(AF410+AF411-AE410-AE411-AF412)*(AF360&lt;$E190)*$E21</f>
        <v>0</v>
      </c>
      <c r="AG413" s="8" t="n">
        <f aca="false">(AG410+AG411-AF410-AF411-AG412)*(AG360&lt;$E190)*$E21</f>
        <v>0</v>
      </c>
      <c r="AH413" s="8" t="n">
        <f aca="false">(AH410+AH411-AG410-AG411-AH412)*(AH360&lt;$E190)*$E21</f>
        <v>0</v>
      </c>
      <c r="AI413" s="8" t="n">
        <f aca="false">(AI410+AI411-AH410-AH411-AI412)*(AI360&lt;$E190)*$E21</f>
        <v>0</v>
      </c>
      <c r="AJ413" s="8" t="n">
        <f aca="false">(AJ410+AJ411-AI410-AI411-AJ412)*(AJ360&lt;$E190)*$E21</f>
        <v>0</v>
      </c>
      <c r="AK413" s="8" t="n">
        <f aca="false">(AK410+AK411-AJ410-AJ411-AK412)*(AK360&lt;$E190)*$E21</f>
        <v>0</v>
      </c>
      <c r="AL413" s="8" t="n">
        <f aca="false">(AL410+AL411-AK410-AK411-AL412)*(AL360&lt;$E190)*$E21</f>
        <v>0</v>
      </c>
      <c r="AM413" s="8" t="n">
        <f aca="false">(AM410+AM411-AL410-AL411-AM412)*(AM360&lt;$E190)*$E21</f>
        <v>0</v>
      </c>
      <c r="AN413" s="8" t="n">
        <f aca="false">(AN410+AN411-AM410-AM411-AN412)*(AN360&lt;$E190)*$E21</f>
        <v>0</v>
      </c>
      <c r="AO413" s="8" t="n">
        <f aca="false">(AO410+AO411-AN410-AN411-AO412)*(AO360&lt;$E190)*$E21</f>
        <v>0</v>
      </c>
      <c r="AP413" s="8" t="n">
        <f aca="false">(AP410+AP411-AO410-AO411-AP412)*(AP360&lt;$E190)*$E21</f>
        <v>0</v>
      </c>
      <c r="AQ413" s="8" t="n">
        <f aca="false">(AQ410+AQ411-AP410-AP411-AQ412)*(AQ360&lt;$E190)*$E21</f>
        <v>0</v>
      </c>
      <c r="AR413" s="8" t="n">
        <f aca="false">(AR410+AR411-AQ410-AQ411-AR412)*(AR360&lt;$E190)*$E21</f>
        <v>0</v>
      </c>
      <c r="AS413" s="8" t="n">
        <f aca="false">(AS410+AS411-AR410-AR411-AS412)*(AS360&lt;$E190)*$E21</f>
        <v>0</v>
      </c>
    </row>
    <row r="414" customFormat="false" ht="14.25" hidden="false" customHeight="false" outlineLevel="0" collapsed="false">
      <c r="C414" s="6" t="s">
        <v>339</v>
      </c>
      <c r="D414" s="2" t="s">
        <v>85</v>
      </c>
      <c r="H414" s="8"/>
      <c r="J414" s="8" t="n">
        <f aca="false">(I414*(1+Rate_Cash)-SUMPRODUCT($E288:$E291*$M288:$M291*(YEAR($J288:$J291)=J359)))*(J360&lt;$E225)*$E21</f>
        <v>404.929164946519</v>
      </c>
      <c r="K414" s="8" t="n">
        <f aca="false">(J414*(1+Rate_Cash)-SUMPRODUCT($E288:$E291*$M288:$M291*(YEAR($J288:$J291)=K359)))*(K360&lt;$E225)*$E21</f>
        <v>2874.39110197035</v>
      </c>
      <c r="L414" s="8" t="n">
        <f aca="false">(K414*(1+Rate_Cash)-SUMPRODUCT($E288:$E291*$M288:$M291*(YEAR($J288:$J291)=L359)))*(L360&lt;$E225)*$E21</f>
        <v>0</v>
      </c>
      <c r="M414" s="8" t="n">
        <f aca="false">(L414*(1+Rate_Cash)-SUMPRODUCT($E288:$E291*$M288:$M291*(YEAR($J288:$J291)=M359)))*(M360&lt;$E225)*$E21</f>
        <v>0</v>
      </c>
      <c r="N414" s="8" t="n">
        <f aca="false">(M414*(1+Rate_Cash)-SUMPRODUCT($E288:$E291*$M288:$M291*(YEAR($J288:$J291)=N359)))*(N360&lt;$E225)*$E21</f>
        <v>0</v>
      </c>
      <c r="O414" s="8" t="n">
        <f aca="false">(N414*(1+Rate_Cash)-SUMPRODUCT($E288:$E291*$M288:$M291*(YEAR($J288:$J291)=O359)))*(O360&lt;$E225)*$E21</f>
        <v>0</v>
      </c>
      <c r="P414" s="8" t="n">
        <f aca="false">(O414*(1+Rate_Cash)-SUMPRODUCT($E288:$E291*$M288:$M291*(YEAR($J288:$J291)=P359)))*(P360&lt;$E225)*$E21</f>
        <v>0</v>
      </c>
      <c r="Q414" s="8" t="n">
        <f aca="false">(P414*(1+Rate_Cash)-SUMPRODUCT($E288:$E291*$M288:$M291*(YEAR($J288:$J291)=Q359)))*(Q360&lt;$E225)*$E21</f>
        <v>0</v>
      </c>
      <c r="R414" s="8" t="n">
        <f aca="false">(Q414*(1+Rate_Cash)-SUMPRODUCT($E288:$E291*$M288:$M291*(YEAR($J288:$J291)=R359)))*(R360&lt;$E225)*$E21</f>
        <v>0</v>
      </c>
      <c r="S414" s="8" t="n">
        <f aca="false">(R414*(1+Rate_Cash)-SUMPRODUCT($E288:$E291*$M288:$M291*(YEAR($J288:$J291)=S359)))*(S360&lt;$E225)*$E21</f>
        <v>0</v>
      </c>
      <c r="T414" s="8" t="n">
        <f aca="false">(S414*(1+Rate_Cash)-SUMPRODUCT($E288:$E291*$M288:$M291*(YEAR($J288:$J291)=T359)))*(T360&lt;$E225)*$E21</f>
        <v>0</v>
      </c>
      <c r="U414" s="8" t="n">
        <f aca="false">(T414*(1+Rate_Cash)-SUMPRODUCT($E288:$E291*$M288:$M291*(YEAR($J288:$J291)=U359)))*(U360&lt;$E225)*$E21</f>
        <v>0</v>
      </c>
      <c r="V414" s="8" t="n">
        <f aca="false">(U414*(1+Rate_Cash)-SUMPRODUCT($E288:$E291*$M288:$M291*(YEAR($J288:$J291)=V359)))*(V360&lt;$E225)*$E21</f>
        <v>0</v>
      </c>
      <c r="W414" s="8" t="n">
        <f aca="false">(V414*(1+Rate_Cash)-SUMPRODUCT($E288:$E291*$M288:$M291*(YEAR($J288:$J291)=W359)))*(W360&lt;$E225)*$E21</f>
        <v>0</v>
      </c>
      <c r="X414" s="8" t="n">
        <f aca="false">(W414*(1+Rate_Cash)-SUMPRODUCT($E288:$E291*$M288:$M291*(YEAR($J288:$J291)=X359)))*(X360&lt;$E225)*$E21</f>
        <v>0</v>
      </c>
      <c r="Y414" s="8" t="n">
        <f aca="false">(X414*(1+Rate_Cash)-SUMPRODUCT($E288:$E291*$M288:$M291*(YEAR($J288:$J291)=Y359)))*(Y360&lt;$E225)*$E21</f>
        <v>0</v>
      </c>
      <c r="Z414" s="8" t="n">
        <f aca="false">(Y414*(1+Rate_Cash)-SUMPRODUCT($E288:$E291*$M288:$M291*(YEAR($J288:$J291)=Z359)))*(Z360&lt;$E225)*$E21</f>
        <v>0</v>
      </c>
      <c r="AA414" s="8" t="n">
        <f aca="false">(Z414*(1+Rate_Cash)-SUMPRODUCT($E288:$E291*$M288:$M291*(YEAR($J288:$J291)=AA359)))*(AA360&lt;$E225)*$E21</f>
        <v>0</v>
      </c>
      <c r="AB414" s="8" t="n">
        <f aca="false">(AA414*(1+Rate_Cash)-SUMPRODUCT($E288:$E291*$M288:$M291*(YEAR($J288:$J291)=AB359)))*(AB360&lt;$E225)*$E21</f>
        <v>0</v>
      </c>
      <c r="AC414" s="8" t="n">
        <f aca="false">(AB414*(1+Rate_Cash)-SUMPRODUCT($E288:$E291*$M288:$M291*(YEAR($J288:$J291)=AC359)))*(AC360&lt;$E225)*$E21</f>
        <v>0</v>
      </c>
      <c r="AD414" s="8" t="n">
        <f aca="false">(AC414*(1+Rate_Cash)-SUMPRODUCT($E288:$E291*$M288:$M291*(YEAR($J288:$J291)=AD359)))*(AD360&lt;$E225)*$E21</f>
        <v>0</v>
      </c>
      <c r="AE414" s="8" t="n">
        <f aca="false">(AD414*(1+Rate_Cash)-SUMPRODUCT($E288:$E291*$M288:$M291*(YEAR($J288:$J291)=AE359)))*(AE360&lt;$E225)*$E21</f>
        <v>0</v>
      </c>
      <c r="AF414" s="8" t="n">
        <f aca="false">(AE414*(1+Rate_Cash)-SUMPRODUCT($E288:$E291*$M288:$M291*(YEAR($J288:$J291)=AF359)))*(AF360&lt;$E225)*$E21</f>
        <v>0</v>
      </c>
      <c r="AG414" s="8" t="n">
        <f aca="false">(AF414*(1+Rate_Cash)-SUMPRODUCT($E288:$E291*$M288:$M291*(YEAR($J288:$J291)=AG359)))*(AG360&lt;$E225)*$E21</f>
        <v>0</v>
      </c>
      <c r="AH414" s="8" t="n">
        <f aca="false">(AG414*(1+Rate_Cash)-SUMPRODUCT($E288:$E291*$M288:$M291*(YEAR($J288:$J291)=AH359)))*(AH360&lt;$E225)*$E21</f>
        <v>0</v>
      </c>
      <c r="AI414" s="8" t="n">
        <f aca="false">(AH414*(1+Rate_Cash)-SUMPRODUCT($E288:$E291*$M288:$M291*(YEAR($J288:$J291)=AI359)))*(AI360&lt;$E225)*$E21</f>
        <v>0</v>
      </c>
      <c r="AJ414" s="8" t="n">
        <f aca="false">(AI414*(1+Rate_Cash)-SUMPRODUCT($E288:$E291*$M288:$M291*(YEAR($J288:$J291)=AJ359)))*(AJ360&lt;$E225)*$E21</f>
        <v>0</v>
      </c>
      <c r="AK414" s="8" t="n">
        <f aca="false">(AJ414*(1+Rate_Cash)-SUMPRODUCT($E288:$E291*$M288:$M291*(YEAR($J288:$J291)=AK359)))*(AK360&lt;$E225)*$E21</f>
        <v>0</v>
      </c>
      <c r="AL414" s="8" t="n">
        <f aca="false">(AK414*(1+Rate_Cash)-SUMPRODUCT($E288:$E291*$M288:$M291*(YEAR($J288:$J291)=AL359)))*(AL360&lt;$E225)*$E21</f>
        <v>0</v>
      </c>
      <c r="AM414" s="8" t="n">
        <f aca="false">(AL414*(1+Rate_Cash)-SUMPRODUCT($E288:$E291*$M288:$M291*(YEAR($J288:$J291)=AM359)))*(AM360&lt;$E225)*$E21</f>
        <v>0</v>
      </c>
      <c r="AN414" s="8" t="n">
        <f aca="false">(AM414*(1+Rate_Cash)-SUMPRODUCT($E288:$E291*$M288:$M291*(YEAR($J288:$J291)=AN359)))*(AN360&lt;$E225)*$E21</f>
        <v>0</v>
      </c>
      <c r="AO414" s="8" t="n">
        <f aca="false">(AN414*(1+Rate_Cash)-SUMPRODUCT($E288:$E291*$M288:$M291*(YEAR($J288:$J291)=AO359)))*(AO360&lt;$E225)*$E21</f>
        <v>0</v>
      </c>
      <c r="AP414" s="8" t="n">
        <f aca="false">(AO414*(1+Rate_Cash)-SUMPRODUCT($E288:$E291*$M288:$M291*(YEAR($J288:$J291)=AP359)))*(AP360&lt;$E225)*$E21</f>
        <v>0</v>
      </c>
      <c r="AQ414" s="8" t="n">
        <f aca="false">(AP414*(1+Rate_Cash)-SUMPRODUCT($E288:$E291*$M288:$M291*(YEAR($J288:$J291)=AQ359)))*(AQ360&lt;$E225)*$E21</f>
        <v>0</v>
      </c>
      <c r="AR414" s="8" t="n">
        <f aca="false">(AQ414*(1+Rate_Cash)-SUMPRODUCT($E288:$E291*$M288:$M291*(YEAR($J288:$J291)=AR359)))*(AR360&lt;$E225)*$E21</f>
        <v>0</v>
      </c>
      <c r="AS414" s="8" t="n">
        <f aca="false">(AR414*(1+Rate_Cash)-SUMPRODUCT($E288:$E291*$M288:$M291*(YEAR($J288:$J291)=AS359)))*(AS360&lt;$E225)*$E21</f>
        <v>0</v>
      </c>
    </row>
    <row r="415" customFormat="false" ht="14.25" hidden="false" customHeight="false" outlineLevel="0" collapsed="false">
      <c r="C415" s="6" t="s">
        <v>340</v>
      </c>
      <c r="D415" s="2" t="s">
        <v>85</v>
      </c>
      <c r="H415" s="8"/>
      <c r="J415" s="8" t="n">
        <f aca="false">(I415*(1+Rate_Devex)-SUMPRODUCT($E292:$E293*$M292:$M293*(YEAR($J292:$J293)=J359)))*(J360&lt;$E225)*$E21</f>
        <v>0</v>
      </c>
      <c r="K415" s="8" t="n">
        <f aca="false">(J415*(1+Rate_Devex)-SUMPRODUCT($E292:$E293*$M292:$M293*(YEAR($J292:$J293)=K359)))*(K360&lt;$E225)*$E21</f>
        <v>751.660032627003</v>
      </c>
      <c r="L415" s="8" t="n">
        <f aca="false">(K415*(1+Rate_Devex)-SUMPRODUCT($E292:$E293*$M292:$M293*(YEAR($J292:$J293)=L359)))*(L360&lt;$E225)*$E21</f>
        <v>0</v>
      </c>
      <c r="M415" s="8" t="n">
        <f aca="false">(L415*(1+Rate_Devex)-SUMPRODUCT($E292:$E293*$M292:$M293*(YEAR($J292:$J293)=M359)))*(M360&lt;$E225)*$E21</f>
        <v>0</v>
      </c>
      <c r="N415" s="8" t="n">
        <f aca="false">(M415*(1+Rate_Devex)-SUMPRODUCT($E292:$E293*$M292:$M293*(YEAR($J292:$J293)=N359)))*(N360&lt;$E225)*$E21</f>
        <v>0</v>
      </c>
      <c r="O415" s="8" t="n">
        <f aca="false">(N415*(1+Rate_Devex)-SUMPRODUCT($E292:$E293*$M292:$M293*(YEAR($J292:$J293)=O359)))*(O360&lt;$E225)*$E21</f>
        <v>0</v>
      </c>
      <c r="P415" s="8" t="n">
        <f aca="false">(O415*(1+Rate_Devex)-SUMPRODUCT($E292:$E293*$M292:$M293*(YEAR($J292:$J293)=P359)))*(P360&lt;$E225)*$E21</f>
        <v>0</v>
      </c>
      <c r="Q415" s="8" t="n">
        <f aca="false">(P415*(1+Rate_Devex)-SUMPRODUCT($E292:$E293*$M292:$M293*(YEAR($J292:$J293)=Q359)))*(Q360&lt;$E225)*$E21</f>
        <v>0</v>
      </c>
      <c r="R415" s="8" t="n">
        <f aca="false">(Q415*(1+Rate_Devex)-SUMPRODUCT($E292:$E293*$M292:$M293*(YEAR($J292:$J293)=R359)))*(R360&lt;$E225)*$E21</f>
        <v>0</v>
      </c>
      <c r="S415" s="8" t="n">
        <f aca="false">(R415*(1+Rate_Devex)-SUMPRODUCT($E292:$E293*$M292:$M293*(YEAR($J292:$J293)=S359)))*(S360&lt;$E225)*$E21</f>
        <v>0</v>
      </c>
      <c r="T415" s="8" t="n">
        <f aca="false">(S415*(1+Rate_Devex)-SUMPRODUCT($E292:$E293*$M292:$M293*(YEAR($J292:$J293)=T359)))*(T360&lt;$E225)*$E21</f>
        <v>0</v>
      </c>
      <c r="U415" s="8" t="n">
        <f aca="false">(T415*(1+Rate_Devex)-SUMPRODUCT($E292:$E293*$M292:$M293*(YEAR($J292:$J293)=U359)))*(U360&lt;$E225)*$E21</f>
        <v>0</v>
      </c>
      <c r="V415" s="8" t="n">
        <f aca="false">(U415*(1+Rate_Devex)-SUMPRODUCT($E292:$E293*$M292:$M293*(YEAR($J292:$J293)=V359)))*(V360&lt;$E225)*$E21</f>
        <v>0</v>
      </c>
      <c r="W415" s="8" t="n">
        <f aca="false">(V415*(1+Rate_Devex)-SUMPRODUCT($E292:$E293*$M292:$M293*(YEAR($J292:$J293)=W359)))*(W360&lt;$E225)*$E21</f>
        <v>0</v>
      </c>
      <c r="X415" s="8" t="n">
        <f aca="false">(W415*(1+Rate_Devex)-SUMPRODUCT($E292:$E293*$M292:$M293*(YEAR($J292:$J293)=X359)))*(X360&lt;$E225)*$E21</f>
        <v>0</v>
      </c>
      <c r="Y415" s="8" t="n">
        <f aca="false">(X415*(1+Rate_Devex)-SUMPRODUCT($E292:$E293*$M292:$M293*(YEAR($J292:$J293)=Y359)))*(Y360&lt;$E225)*$E21</f>
        <v>0</v>
      </c>
      <c r="Z415" s="8" t="n">
        <f aca="false">(Y415*(1+Rate_Devex)-SUMPRODUCT($E292:$E293*$M292:$M293*(YEAR($J292:$J293)=Z359)))*(Z360&lt;$E225)*$E21</f>
        <v>0</v>
      </c>
      <c r="AA415" s="8" t="n">
        <f aca="false">(Z415*(1+Rate_Devex)-SUMPRODUCT($E292:$E293*$M292:$M293*(YEAR($J292:$J293)=AA359)))*(AA360&lt;$E225)*$E21</f>
        <v>0</v>
      </c>
      <c r="AB415" s="8" t="n">
        <f aca="false">(AA415*(1+Rate_Devex)-SUMPRODUCT($E292:$E293*$M292:$M293*(YEAR($J292:$J293)=AB359)))*(AB360&lt;$E225)*$E21</f>
        <v>0</v>
      </c>
      <c r="AC415" s="8" t="n">
        <f aca="false">(AB415*(1+Rate_Devex)-SUMPRODUCT($E292:$E293*$M292:$M293*(YEAR($J292:$J293)=AC359)))*(AC360&lt;$E225)*$E21</f>
        <v>0</v>
      </c>
      <c r="AD415" s="8" t="n">
        <f aca="false">(AC415*(1+Rate_Devex)-SUMPRODUCT($E292:$E293*$M292:$M293*(YEAR($J292:$J293)=AD359)))*(AD360&lt;$E225)*$E21</f>
        <v>0</v>
      </c>
      <c r="AE415" s="8" t="n">
        <f aca="false">(AD415*(1+Rate_Devex)-SUMPRODUCT($E292:$E293*$M292:$M293*(YEAR($J292:$J293)=AE359)))*(AE360&lt;$E225)*$E21</f>
        <v>0</v>
      </c>
      <c r="AF415" s="8" t="n">
        <f aca="false">(AE415*(1+Rate_Devex)-SUMPRODUCT($E292:$E293*$M292:$M293*(YEAR($J292:$J293)=AF359)))*(AF360&lt;$E225)*$E21</f>
        <v>0</v>
      </c>
      <c r="AG415" s="8" t="n">
        <f aca="false">(AF415*(1+Rate_Devex)-SUMPRODUCT($E292:$E293*$M292:$M293*(YEAR($J292:$J293)=AG359)))*(AG360&lt;$E225)*$E21</f>
        <v>0</v>
      </c>
      <c r="AH415" s="8" t="n">
        <f aca="false">(AG415*(1+Rate_Devex)-SUMPRODUCT($E292:$E293*$M292:$M293*(YEAR($J292:$J293)=AH359)))*(AH360&lt;$E225)*$E21</f>
        <v>0</v>
      </c>
      <c r="AI415" s="8" t="n">
        <f aca="false">(AH415*(1+Rate_Devex)-SUMPRODUCT($E292:$E293*$M292:$M293*(YEAR($J292:$J293)=AI359)))*(AI360&lt;$E225)*$E21</f>
        <v>0</v>
      </c>
      <c r="AJ415" s="8" t="n">
        <f aca="false">(AI415*(1+Rate_Devex)-SUMPRODUCT($E292:$E293*$M292:$M293*(YEAR($J292:$J293)=AJ359)))*(AJ360&lt;$E225)*$E21</f>
        <v>0</v>
      </c>
      <c r="AK415" s="8" t="n">
        <f aca="false">(AJ415*(1+Rate_Devex)-SUMPRODUCT($E292:$E293*$M292:$M293*(YEAR($J292:$J293)=AK359)))*(AK360&lt;$E225)*$E21</f>
        <v>0</v>
      </c>
      <c r="AL415" s="8" t="n">
        <f aca="false">(AK415*(1+Rate_Devex)-SUMPRODUCT($E292:$E293*$M292:$M293*(YEAR($J292:$J293)=AL359)))*(AL360&lt;$E225)*$E21</f>
        <v>0</v>
      </c>
      <c r="AM415" s="8" t="n">
        <f aca="false">(AL415*(1+Rate_Devex)-SUMPRODUCT($E292:$E293*$M292:$M293*(YEAR($J292:$J293)=AM359)))*(AM360&lt;$E225)*$E21</f>
        <v>0</v>
      </c>
      <c r="AN415" s="8" t="n">
        <f aca="false">(AM415*(1+Rate_Devex)-SUMPRODUCT($E292:$E293*$M292:$M293*(YEAR($J292:$J293)=AN359)))*(AN360&lt;$E225)*$E21</f>
        <v>0</v>
      </c>
      <c r="AO415" s="8" t="n">
        <f aca="false">(AN415*(1+Rate_Devex)-SUMPRODUCT($E292:$E293*$M292:$M293*(YEAR($J292:$J293)=AO359)))*(AO360&lt;$E225)*$E21</f>
        <v>0</v>
      </c>
      <c r="AP415" s="8" t="n">
        <f aca="false">(AO415*(1+Rate_Devex)-SUMPRODUCT($E292:$E293*$M292:$M293*(YEAR($J292:$J293)=AP359)))*(AP360&lt;$E225)*$E21</f>
        <v>0</v>
      </c>
      <c r="AQ415" s="8" t="n">
        <f aca="false">(AP415*(1+Rate_Devex)-SUMPRODUCT($E292:$E293*$M292:$M293*(YEAR($J292:$J293)=AQ359)))*(AQ360&lt;$E225)*$E21</f>
        <v>0</v>
      </c>
      <c r="AR415" s="8" t="n">
        <f aca="false">(AQ415*(1+Rate_Devex)-SUMPRODUCT($E292:$E293*$M292:$M293*(YEAR($J292:$J293)=AR359)))*(AR360&lt;$E225)*$E21</f>
        <v>0</v>
      </c>
      <c r="AS415" s="8" t="n">
        <f aca="false">(AR415*(1+Rate_Devex)-SUMPRODUCT($E292:$E293*$M292:$M293*(YEAR($J292:$J293)=AS359)))*(AS360&lt;$E225)*$E21</f>
        <v>0</v>
      </c>
    </row>
    <row r="416" customFormat="false" ht="14.25" hidden="false" customHeight="false" outlineLevel="0" collapsed="false">
      <c r="C416" s="6" t="s">
        <v>341</v>
      </c>
      <c r="D416" s="2" t="s">
        <v>85</v>
      </c>
      <c r="H416" s="8" t="n">
        <f aca="false">SUM(J416:AS416)</f>
        <v>3291.64025470506</v>
      </c>
      <c r="J416" s="8" t="n">
        <f aca="false">-SUMPRODUCT($E288:$E293*(YEAR($J288:$J293)=J359))*(J360&lt;$E225)*$E21</f>
        <v>396.712328767123</v>
      </c>
      <c r="K416" s="8" t="n">
        <f aca="false">-SUMPRODUCT($E288:$E293*(YEAR($J288:$J293)=K359))*(K360&lt;$E225)*$E21</f>
        <v>2894.92792593794</v>
      </c>
      <c r="L416" s="8" t="n">
        <f aca="false">-SUMPRODUCT($E288:$E293*(YEAR($J288:$J293)=L359))*(L360&lt;$E225)*$E21</f>
        <v>-0</v>
      </c>
      <c r="M416" s="8" t="n">
        <f aca="false">-SUMPRODUCT($E288:$E293*(YEAR($J288:$J293)=M359))*(M360&lt;$E225)*$E21</f>
        <v>-0</v>
      </c>
      <c r="N416" s="8" t="n">
        <f aca="false">-SUMPRODUCT($E288:$E293*(YEAR($J288:$J293)=N359))*(N360&lt;$E225)*$E21</f>
        <v>-0</v>
      </c>
      <c r="O416" s="8" t="n">
        <f aca="false">-SUMPRODUCT($E288:$E293*(YEAR($J288:$J293)=O359))*(O360&lt;$E225)*$E21</f>
        <v>-0</v>
      </c>
      <c r="P416" s="8" t="n">
        <f aca="false">-SUMPRODUCT($E288:$E293*(YEAR($J288:$J293)=P359))*(P360&lt;$E225)*$E21</f>
        <v>-0</v>
      </c>
      <c r="Q416" s="8" t="n">
        <f aca="false">-SUMPRODUCT($E288:$E293*(YEAR($J288:$J293)=Q359))*(Q360&lt;$E225)*$E21</f>
        <v>-0</v>
      </c>
      <c r="R416" s="8" t="n">
        <f aca="false">-SUMPRODUCT($E288:$E293*(YEAR($J288:$J293)=R359))*(R360&lt;$E225)*$E21</f>
        <v>-0</v>
      </c>
      <c r="S416" s="8" t="n">
        <f aca="false">-SUMPRODUCT($E288:$E293*(YEAR($J288:$J293)=S359))*(S360&lt;$E225)*$E21</f>
        <v>-0</v>
      </c>
      <c r="T416" s="8" t="n">
        <f aca="false">-SUMPRODUCT($E288:$E293*(YEAR($J288:$J293)=T359))*(T360&lt;$E225)*$E21</f>
        <v>-0</v>
      </c>
      <c r="U416" s="8" t="n">
        <f aca="false">-SUMPRODUCT($E288:$E293*(YEAR($J288:$J293)=U359))*(U360&lt;$E225)*$E21</f>
        <v>-0</v>
      </c>
      <c r="V416" s="8" t="n">
        <f aca="false">-SUMPRODUCT($E288:$E293*(YEAR($J288:$J293)=V359))*(V360&lt;$E225)*$E21</f>
        <v>-0</v>
      </c>
      <c r="W416" s="8" t="n">
        <f aca="false">-SUMPRODUCT($E288:$E293*(YEAR($J288:$J293)=W359))*(W360&lt;$E225)*$E21</f>
        <v>-0</v>
      </c>
      <c r="X416" s="8" t="n">
        <f aca="false">-SUMPRODUCT($E288:$E293*(YEAR($J288:$J293)=X359))*(X360&lt;$E225)*$E21</f>
        <v>-0</v>
      </c>
      <c r="Y416" s="8" t="n">
        <f aca="false">-SUMPRODUCT($E288:$E293*(YEAR($J288:$J293)=Y359))*(Y360&lt;$E225)*$E21</f>
        <v>-0</v>
      </c>
      <c r="Z416" s="8" t="n">
        <f aca="false">-SUMPRODUCT($E288:$E293*(YEAR($J288:$J293)=Z359))*(Z360&lt;$E225)*$E21</f>
        <v>-0</v>
      </c>
      <c r="AA416" s="8" t="n">
        <f aca="false">-SUMPRODUCT($E288:$E293*(YEAR($J288:$J293)=AA359))*(AA360&lt;$E225)*$E21</f>
        <v>-0</v>
      </c>
      <c r="AB416" s="8" t="n">
        <f aca="false">-SUMPRODUCT($E288:$E293*(YEAR($J288:$J293)=AB359))*(AB360&lt;$E225)*$E21</f>
        <v>-0</v>
      </c>
      <c r="AC416" s="8" t="n">
        <f aca="false">-SUMPRODUCT($E288:$E293*(YEAR($J288:$J293)=AC359))*(AC360&lt;$E225)*$E21</f>
        <v>-0</v>
      </c>
      <c r="AD416" s="8" t="n">
        <f aca="false">-SUMPRODUCT($E288:$E293*(YEAR($J288:$J293)=AD359))*(AD360&lt;$E225)*$E21</f>
        <v>-0</v>
      </c>
      <c r="AE416" s="8" t="n">
        <f aca="false">-SUMPRODUCT($E288:$E293*(YEAR($J288:$J293)=AE359))*(AE360&lt;$E225)*$E21</f>
        <v>-0</v>
      </c>
      <c r="AF416" s="8" t="n">
        <f aca="false">-SUMPRODUCT($E288:$E293*(YEAR($J288:$J293)=AF359))*(AF360&lt;$E225)*$E21</f>
        <v>-0</v>
      </c>
      <c r="AG416" s="8" t="n">
        <f aca="false">-SUMPRODUCT($E288:$E293*(YEAR($J288:$J293)=AG359))*(AG360&lt;$E225)*$E21</f>
        <v>-0</v>
      </c>
      <c r="AH416" s="8" t="n">
        <f aca="false">-SUMPRODUCT($E288:$E293*(YEAR($J288:$J293)=AH359))*(AH360&lt;$E225)*$E21</f>
        <v>-0</v>
      </c>
      <c r="AI416" s="8" t="n">
        <f aca="false">-SUMPRODUCT($E288:$E293*(YEAR($J288:$J293)=AI359))*(AI360&lt;$E225)*$E21</f>
        <v>-0</v>
      </c>
      <c r="AJ416" s="8" t="n">
        <f aca="false">-SUMPRODUCT($E288:$E293*(YEAR($J288:$J293)=AJ359))*(AJ360&lt;$E225)*$E21</f>
        <v>-0</v>
      </c>
      <c r="AK416" s="8" t="n">
        <f aca="false">-SUMPRODUCT($E288:$E293*(YEAR($J288:$J293)=AK359))*(AK360&lt;$E225)*$E21</f>
        <v>-0</v>
      </c>
      <c r="AL416" s="8" t="n">
        <f aca="false">-SUMPRODUCT($E288:$E293*(YEAR($J288:$J293)=AL359))*(AL360&lt;$E225)*$E21</f>
        <v>-0</v>
      </c>
      <c r="AM416" s="8" t="n">
        <f aca="false">-SUMPRODUCT($E288:$E293*(YEAR($J288:$J293)=AM359))*(AM360&lt;$E225)*$E21</f>
        <v>-0</v>
      </c>
      <c r="AN416" s="8" t="n">
        <f aca="false">-SUMPRODUCT($E288:$E293*(YEAR($J288:$J293)=AN359))*(AN360&lt;$E225)*$E21</f>
        <v>-0</v>
      </c>
      <c r="AO416" s="8" t="n">
        <f aca="false">-SUMPRODUCT($E288:$E293*(YEAR($J288:$J293)=AO359))*(AO360&lt;$E225)*$E21</f>
        <v>-0</v>
      </c>
      <c r="AP416" s="8" t="n">
        <f aca="false">-SUMPRODUCT($E288:$E293*(YEAR($J288:$J293)=AP359))*(AP360&lt;$E225)*$E21</f>
        <v>-0</v>
      </c>
      <c r="AQ416" s="8" t="n">
        <f aca="false">-SUMPRODUCT($E288:$E293*(YEAR($J288:$J293)=AQ359))*(AQ360&lt;$E225)*$E21</f>
        <v>-0</v>
      </c>
      <c r="AR416" s="8" t="n">
        <f aca="false">-SUMPRODUCT($E288:$E293*(YEAR($J288:$J293)=AR359))*(AR360&lt;$E225)*$E21</f>
        <v>-0</v>
      </c>
      <c r="AS416" s="8" t="n">
        <f aca="false">-SUMPRODUCT($E288:$E293*(YEAR($J288:$J293)=AS359))*(AS360&lt;$E225)*$E21</f>
        <v>-0</v>
      </c>
    </row>
    <row r="417" customFormat="false" ht="14.25" hidden="false" customHeight="false" outlineLevel="0" collapsed="false">
      <c r="C417" s="6" t="s">
        <v>342</v>
      </c>
      <c r="D417" s="2" t="s">
        <v>85</v>
      </c>
      <c r="H417" s="8" t="n">
        <f aca="false">SUM(J417:AS417)</f>
        <v>334.410879892294</v>
      </c>
      <c r="J417" s="8" t="n">
        <f aca="false">(J414+J415-I414-I415-J416)*(J360&lt;$E225)*$E21</f>
        <v>8.21683617939578</v>
      </c>
      <c r="K417" s="8" t="n">
        <f aca="false">(K414+K415-J414-J415-K416)*(K360&lt;$E225)*$E21</f>
        <v>326.194043712898</v>
      </c>
      <c r="L417" s="8" t="n">
        <f aca="false">(L414+L415-K414-K415-L416)*(L360&lt;$E225)*$E21</f>
        <v>-0</v>
      </c>
      <c r="M417" s="8" t="n">
        <f aca="false">(M414+M415-L414-L415-M416)*(M360&lt;$E225)*$E21</f>
        <v>0</v>
      </c>
      <c r="N417" s="8" t="n">
        <f aca="false">(N414+N415-M414-M415-N416)*(N360&lt;$E225)*$E21</f>
        <v>0</v>
      </c>
      <c r="O417" s="8" t="n">
        <f aca="false">(O414+O415-N414-N415-O416)*(O360&lt;$E225)*$E21</f>
        <v>0</v>
      </c>
      <c r="P417" s="8" t="n">
        <f aca="false">(P414+P415-O414-O415-P416)*(P360&lt;$E225)*$E21</f>
        <v>0</v>
      </c>
      <c r="Q417" s="8" t="n">
        <f aca="false">(Q414+Q415-P414-P415-Q416)*(Q360&lt;$E225)*$E21</f>
        <v>0</v>
      </c>
      <c r="R417" s="8" t="n">
        <f aca="false">(R414+R415-Q414-Q415-R416)*(R360&lt;$E225)*$E21</f>
        <v>0</v>
      </c>
      <c r="S417" s="8" t="n">
        <f aca="false">(S414+S415-R414-R415-S416)*(S360&lt;$E225)*$E21</f>
        <v>0</v>
      </c>
      <c r="T417" s="8" t="n">
        <f aca="false">(T414+T415-S414-S415-T416)*(T360&lt;$E225)*$E21</f>
        <v>0</v>
      </c>
      <c r="U417" s="8" t="n">
        <f aca="false">(U414+U415-T414-T415-U416)*(U360&lt;$E225)*$E21</f>
        <v>0</v>
      </c>
      <c r="V417" s="8" t="n">
        <f aca="false">(V414+V415-U414-U415-V416)*(V360&lt;$E225)*$E21</f>
        <v>0</v>
      </c>
      <c r="W417" s="8" t="n">
        <f aca="false">(W414+W415-V414-V415-W416)*(W360&lt;$E225)*$E21</f>
        <v>0</v>
      </c>
      <c r="X417" s="8" t="n">
        <f aca="false">(X414+X415-W414-W415-X416)*(X360&lt;$E225)*$E21</f>
        <v>0</v>
      </c>
      <c r="Y417" s="8" t="n">
        <f aca="false">(Y414+Y415-X414-X415-Y416)*(Y360&lt;$E225)*$E21</f>
        <v>0</v>
      </c>
      <c r="Z417" s="8" t="n">
        <f aca="false">(Z414+Z415-Y414-Y415-Z416)*(Z360&lt;$E225)*$E21</f>
        <v>0</v>
      </c>
      <c r="AA417" s="8" t="n">
        <f aca="false">(AA414+AA415-Z414-Z415-AA416)*(AA360&lt;$E225)*$E21</f>
        <v>0</v>
      </c>
      <c r="AB417" s="8" t="n">
        <f aca="false">(AB414+AB415-AA414-AA415-AB416)*(AB360&lt;$E225)*$E21</f>
        <v>0</v>
      </c>
      <c r="AC417" s="8" t="n">
        <f aca="false">(AC414+AC415-AB414-AB415-AC416)*(AC360&lt;$E225)*$E21</f>
        <v>0</v>
      </c>
      <c r="AD417" s="8" t="n">
        <f aca="false">(AD414+AD415-AC414-AC415-AD416)*(AD360&lt;$E225)*$E21</f>
        <v>0</v>
      </c>
      <c r="AE417" s="8" t="n">
        <f aca="false">(AE414+AE415-AD414-AD415-AE416)*(AE360&lt;$E225)*$E21</f>
        <v>0</v>
      </c>
      <c r="AF417" s="8" t="n">
        <f aca="false">(AF414+AF415-AE414-AE415-AF416)*(AF360&lt;$E225)*$E21</f>
        <v>0</v>
      </c>
      <c r="AG417" s="8" t="n">
        <f aca="false">(AG414+AG415-AF414-AF415-AG416)*(AG360&lt;$E225)*$E21</f>
        <v>0</v>
      </c>
      <c r="AH417" s="8" t="n">
        <f aca="false">(AH414+AH415-AG414-AG415-AH416)*(AH360&lt;$E225)*$E21</f>
        <v>0</v>
      </c>
      <c r="AI417" s="8" t="n">
        <f aca="false">(AI414+AI415-AH414-AH415-AI416)*(AI360&lt;$E225)*$E21</f>
        <v>0</v>
      </c>
      <c r="AJ417" s="8" t="n">
        <f aca="false">(AJ414+AJ415-AI414-AI415-AJ416)*(AJ360&lt;$E225)*$E21</f>
        <v>0</v>
      </c>
      <c r="AK417" s="8" t="n">
        <f aca="false">(AK414+AK415-AJ414-AJ415-AK416)*(AK360&lt;$E225)*$E21</f>
        <v>0</v>
      </c>
      <c r="AL417" s="8" t="n">
        <f aca="false">(AL414+AL415-AK414-AK415-AL416)*(AL360&lt;$E225)*$E21</f>
        <v>0</v>
      </c>
      <c r="AM417" s="8" t="n">
        <f aca="false">(AM414+AM415-AL414-AL415-AM416)*(AM360&lt;$E225)*$E21</f>
        <v>0</v>
      </c>
      <c r="AN417" s="8" t="n">
        <f aca="false">(AN414+AN415-AM414-AM415-AN416)*(AN360&lt;$E225)*$E21</f>
        <v>0</v>
      </c>
      <c r="AO417" s="8" t="n">
        <f aca="false">(AO414+AO415-AN414-AN415-AO416)*(AO360&lt;$E225)*$E21</f>
        <v>0</v>
      </c>
      <c r="AP417" s="8" t="n">
        <f aca="false">(AP414+AP415-AO414-AO415-AP416)*(AP360&lt;$E225)*$E21</f>
        <v>0</v>
      </c>
      <c r="AQ417" s="8" t="n">
        <f aca="false">(AQ414+AQ415-AP414-AP415-AQ416)*(AQ360&lt;$E225)*$E21</f>
        <v>0</v>
      </c>
      <c r="AR417" s="8" t="n">
        <f aca="false">(AR414+AR415-AQ414-AQ415-AR416)*(AR360&lt;$E225)*$E21</f>
        <v>0</v>
      </c>
      <c r="AS417" s="8" t="n">
        <f aca="false">(AS414+AS415-AR414-AR415-AS416)*(AS360&lt;$E225)*$E21</f>
        <v>0</v>
      </c>
    </row>
    <row r="419" customFormat="false" ht="14.25" hidden="false" customHeight="false" outlineLevel="0" collapsed="false">
      <c r="B419" s="4" t="s">
        <v>3</v>
      </c>
      <c r="C419" s="4" t="s">
        <v>343</v>
      </c>
      <c r="D419" s="4"/>
      <c r="E419" s="5"/>
      <c r="F419" s="5" t="s">
        <v>287</v>
      </c>
      <c r="G419" s="5"/>
      <c r="H419" s="5" t="s">
        <v>8</v>
      </c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</row>
    <row r="420" customFormat="false" ht="14.25" hidden="false" customHeight="false" outlineLevel="0" collapsed="false">
      <c r="C420" s="6" t="s">
        <v>288</v>
      </c>
      <c r="D420" s="2" t="s">
        <v>289</v>
      </c>
      <c r="J420" s="74" t="n">
        <f aca="false">J$359-YEAR(Inputs!$F$26)</f>
        <v>-5</v>
      </c>
      <c r="K420" s="74" t="n">
        <f aca="false">K$359-YEAR(Inputs!$F$26)</f>
        <v>-4</v>
      </c>
      <c r="L420" s="74" t="n">
        <f aca="false">L$359-YEAR(Inputs!$F$26)</f>
        <v>-3</v>
      </c>
      <c r="M420" s="74" t="n">
        <f aca="false">M$359-YEAR(Inputs!$F$26)</f>
        <v>-2</v>
      </c>
      <c r="N420" s="74" t="n">
        <f aca="false">N$359-YEAR(Inputs!$F$26)</f>
        <v>-1</v>
      </c>
      <c r="O420" s="74" t="n">
        <f aca="false">O$359-YEAR(Inputs!$F$26)</f>
        <v>0</v>
      </c>
      <c r="P420" s="74" t="n">
        <f aca="false">P$359-YEAR(Inputs!$F$26)</f>
        <v>1</v>
      </c>
      <c r="Q420" s="74" t="n">
        <f aca="false">Q$359-YEAR(Inputs!$F$26)</f>
        <v>2</v>
      </c>
      <c r="R420" s="74" t="n">
        <f aca="false">R$359-YEAR(Inputs!$F$26)</f>
        <v>3</v>
      </c>
      <c r="S420" s="74" t="n">
        <f aca="false">S$359-YEAR(Inputs!$F$26)</f>
        <v>4</v>
      </c>
      <c r="T420" s="74" t="n">
        <f aca="false">T$359-YEAR(Inputs!$F$26)</f>
        <v>5</v>
      </c>
      <c r="U420" s="74" t="n">
        <f aca="false">U$359-YEAR(Inputs!$F$26)</f>
        <v>6</v>
      </c>
      <c r="V420" s="74" t="n">
        <f aca="false">V$359-YEAR(Inputs!$F$26)</f>
        <v>7</v>
      </c>
      <c r="W420" s="74" t="n">
        <f aca="false">W$359-YEAR(Inputs!$F$26)</f>
        <v>8</v>
      </c>
      <c r="X420" s="74" t="n">
        <f aca="false">X$359-YEAR(Inputs!$F$26)</f>
        <v>9</v>
      </c>
      <c r="Y420" s="74" t="n">
        <f aca="false">Y$359-YEAR(Inputs!$F$26)</f>
        <v>10</v>
      </c>
      <c r="Z420" s="74" t="n">
        <f aca="false">Z$359-YEAR(Inputs!$F$26)</f>
        <v>11</v>
      </c>
      <c r="AA420" s="74" t="n">
        <f aca="false">AA$359-YEAR(Inputs!$F$26)</f>
        <v>12</v>
      </c>
      <c r="AB420" s="74" t="n">
        <f aca="false">AB$359-YEAR(Inputs!$F$26)</f>
        <v>13</v>
      </c>
      <c r="AC420" s="74" t="n">
        <f aca="false">AC$359-YEAR(Inputs!$F$26)</f>
        <v>14</v>
      </c>
      <c r="AD420" s="74" t="n">
        <f aca="false">AD$359-YEAR(Inputs!$F$26)</f>
        <v>15</v>
      </c>
      <c r="AE420" s="74" t="n">
        <f aca="false">AE$359-YEAR(Inputs!$F$26)</f>
        <v>16</v>
      </c>
      <c r="AF420" s="74" t="n">
        <f aca="false">AF$359-YEAR(Inputs!$F$26)</f>
        <v>17</v>
      </c>
      <c r="AG420" s="74" t="n">
        <f aca="false">AG$359-YEAR(Inputs!$F$26)</f>
        <v>18</v>
      </c>
      <c r="AH420" s="74" t="n">
        <f aca="false">AH$359-YEAR(Inputs!$F$26)</f>
        <v>19</v>
      </c>
      <c r="AI420" s="74" t="n">
        <f aca="false">AI$359-YEAR(Inputs!$F$26)</f>
        <v>20</v>
      </c>
      <c r="AJ420" s="74" t="n">
        <f aca="false">AJ$359-YEAR(Inputs!$F$26)</f>
        <v>21</v>
      </c>
      <c r="AK420" s="74" t="n">
        <f aca="false">AK$359-YEAR(Inputs!$F$26)</f>
        <v>22</v>
      </c>
      <c r="AL420" s="74" t="n">
        <f aca="false">AL$359-YEAR(Inputs!$F$26)</f>
        <v>23</v>
      </c>
      <c r="AM420" s="74" t="n">
        <f aca="false">AM$359-YEAR(Inputs!$F$26)</f>
        <v>24</v>
      </c>
      <c r="AN420" s="74" t="n">
        <f aca="false">AN$359-YEAR(Inputs!$F$26)</f>
        <v>25</v>
      </c>
      <c r="AO420" s="74" t="n">
        <f aca="false">AO$359-YEAR(Inputs!$F$26)</f>
        <v>26</v>
      </c>
      <c r="AP420" s="74" t="n">
        <f aca="false">AP$359-YEAR(Inputs!$F$26)</f>
        <v>27</v>
      </c>
      <c r="AQ420" s="74" t="n">
        <f aca="false">AQ$359-YEAR(Inputs!$F$26)</f>
        <v>28</v>
      </c>
      <c r="AR420" s="74" t="n">
        <f aca="false">AR$359-YEAR(Inputs!$F$26)</f>
        <v>29</v>
      </c>
      <c r="AS420" s="74" t="n">
        <f aca="false">AS$359-YEAR(Inputs!$F$26)</f>
        <v>30</v>
      </c>
    </row>
    <row r="421" customFormat="false" ht="14.25" hidden="false" customHeight="false" outlineLevel="0" collapsed="false">
      <c r="C421" s="6" t="s">
        <v>290</v>
      </c>
      <c r="D421" s="2" t="s">
        <v>291</v>
      </c>
      <c r="F421" s="74" t="n">
        <f aca="false">DATEDIF(Inputs!$F$25,Inputs!$F$26,"m")</f>
        <v>24</v>
      </c>
      <c r="J421" s="74" t="n">
        <f aca="false">(J$359+1-YEAR(Inputs!$F$25))*Months_In_Year-MONTH(Inputs!$F$25)</f>
        <v>-30</v>
      </c>
      <c r="K421" s="74" t="n">
        <f aca="false">(K$359+1-YEAR(Inputs!$F$25))*Months_In_Year-MONTH(Inputs!$F$25)</f>
        <v>-18</v>
      </c>
      <c r="L421" s="74" t="n">
        <f aca="false">(L$359+1-YEAR(Inputs!$F$25))*Months_In_Year-MONTH(Inputs!$F$25)</f>
        <v>-6</v>
      </c>
      <c r="M421" s="74" t="n">
        <f aca="false">(M$359+1-YEAR(Inputs!$F$25))*Months_In_Year-MONTH(Inputs!$F$25)</f>
        <v>6</v>
      </c>
      <c r="N421" s="74" t="n">
        <f aca="false">(N$359+1-YEAR(Inputs!$F$25))*Months_In_Year-MONTH(Inputs!$F$25)</f>
        <v>18</v>
      </c>
      <c r="O421" s="74" t="n">
        <f aca="false">(O$359+1-YEAR(Inputs!$F$25))*Months_In_Year-MONTH(Inputs!$F$25)</f>
        <v>30</v>
      </c>
      <c r="P421" s="74" t="n">
        <f aca="false">(P$359+1-YEAR(Inputs!$F$25))*Months_In_Year-MONTH(Inputs!$F$25)</f>
        <v>42</v>
      </c>
      <c r="Q421" s="74" t="n">
        <f aca="false">(Q$359+1-YEAR(Inputs!$F$25))*Months_In_Year-MONTH(Inputs!$F$25)</f>
        <v>54</v>
      </c>
      <c r="R421" s="74" t="n">
        <f aca="false">(R$359+1-YEAR(Inputs!$F$25))*Months_In_Year-MONTH(Inputs!$F$25)</f>
        <v>66</v>
      </c>
      <c r="S421" s="74" t="n">
        <f aca="false">(S$359+1-YEAR(Inputs!$F$25))*Months_In_Year-MONTH(Inputs!$F$25)</f>
        <v>78</v>
      </c>
      <c r="T421" s="74" t="n">
        <f aca="false">(T$359+1-YEAR(Inputs!$F$25))*Months_In_Year-MONTH(Inputs!$F$25)</f>
        <v>90</v>
      </c>
      <c r="U421" s="74" t="n">
        <f aca="false">(U$359+1-YEAR(Inputs!$F$25))*Months_In_Year-MONTH(Inputs!$F$25)</f>
        <v>102</v>
      </c>
      <c r="V421" s="74" t="n">
        <f aca="false">(V$359+1-YEAR(Inputs!$F$25))*Months_In_Year-MONTH(Inputs!$F$25)</f>
        <v>114</v>
      </c>
      <c r="W421" s="74" t="n">
        <f aca="false">(W$359+1-YEAR(Inputs!$F$25))*Months_In_Year-MONTH(Inputs!$F$25)</f>
        <v>126</v>
      </c>
      <c r="X421" s="74" t="n">
        <f aca="false">(X$359+1-YEAR(Inputs!$F$25))*Months_In_Year-MONTH(Inputs!$F$25)</f>
        <v>138</v>
      </c>
      <c r="Y421" s="74" t="n">
        <f aca="false">(Y$359+1-YEAR(Inputs!$F$25))*Months_In_Year-MONTH(Inputs!$F$25)</f>
        <v>150</v>
      </c>
      <c r="Z421" s="74" t="n">
        <f aca="false">(Z$359+1-YEAR(Inputs!$F$25))*Months_In_Year-MONTH(Inputs!$F$25)</f>
        <v>162</v>
      </c>
      <c r="AA421" s="74" t="n">
        <f aca="false">(AA$359+1-YEAR(Inputs!$F$25))*Months_In_Year-MONTH(Inputs!$F$25)</f>
        <v>174</v>
      </c>
      <c r="AB421" s="74" t="n">
        <f aca="false">(AB$359+1-YEAR(Inputs!$F$25))*Months_In_Year-MONTH(Inputs!$F$25)</f>
        <v>186</v>
      </c>
      <c r="AC421" s="74" t="n">
        <f aca="false">(AC$359+1-YEAR(Inputs!$F$25))*Months_In_Year-MONTH(Inputs!$F$25)</f>
        <v>198</v>
      </c>
      <c r="AD421" s="74" t="n">
        <f aca="false">(AD$359+1-YEAR(Inputs!$F$25))*Months_In_Year-MONTH(Inputs!$F$25)</f>
        <v>210</v>
      </c>
      <c r="AE421" s="74" t="n">
        <f aca="false">(AE$359+1-YEAR(Inputs!$F$25))*Months_In_Year-MONTH(Inputs!$F$25)</f>
        <v>222</v>
      </c>
      <c r="AF421" s="74" t="n">
        <f aca="false">(AF$359+1-YEAR(Inputs!$F$25))*Months_In_Year-MONTH(Inputs!$F$25)</f>
        <v>234</v>
      </c>
      <c r="AG421" s="74" t="n">
        <f aca="false">(AG$359+1-YEAR(Inputs!$F$25))*Months_In_Year-MONTH(Inputs!$F$25)</f>
        <v>246</v>
      </c>
      <c r="AH421" s="74" t="n">
        <f aca="false">(AH$359+1-YEAR(Inputs!$F$25))*Months_In_Year-MONTH(Inputs!$F$25)</f>
        <v>258</v>
      </c>
      <c r="AI421" s="74" t="n">
        <f aca="false">(AI$359+1-YEAR(Inputs!$F$25))*Months_In_Year-MONTH(Inputs!$F$25)</f>
        <v>270</v>
      </c>
      <c r="AJ421" s="74" t="n">
        <f aca="false">(AJ$359+1-YEAR(Inputs!$F$25))*Months_In_Year-MONTH(Inputs!$F$25)</f>
        <v>282</v>
      </c>
      <c r="AK421" s="74" t="n">
        <f aca="false">(AK$359+1-YEAR(Inputs!$F$25))*Months_In_Year-MONTH(Inputs!$F$25)</f>
        <v>294</v>
      </c>
      <c r="AL421" s="74" t="n">
        <f aca="false">(AL$359+1-YEAR(Inputs!$F$25))*Months_In_Year-MONTH(Inputs!$F$25)</f>
        <v>306</v>
      </c>
      <c r="AM421" s="74" t="n">
        <f aca="false">(AM$359+1-YEAR(Inputs!$F$25))*Months_In_Year-MONTH(Inputs!$F$25)</f>
        <v>318</v>
      </c>
      <c r="AN421" s="74" t="n">
        <f aca="false">(AN$359+1-YEAR(Inputs!$F$25))*Months_In_Year-MONTH(Inputs!$F$25)</f>
        <v>330</v>
      </c>
      <c r="AO421" s="74" t="n">
        <f aca="false">(AO$359+1-YEAR(Inputs!$F$25))*Months_In_Year-MONTH(Inputs!$F$25)</f>
        <v>342</v>
      </c>
      <c r="AP421" s="74" t="n">
        <f aca="false">(AP$359+1-YEAR(Inputs!$F$25))*Months_In_Year-MONTH(Inputs!$F$25)</f>
        <v>354</v>
      </c>
      <c r="AQ421" s="74" t="n">
        <f aca="false">(AQ$359+1-YEAR(Inputs!$F$25))*Months_In_Year-MONTH(Inputs!$F$25)</f>
        <v>366</v>
      </c>
      <c r="AR421" s="74" t="n">
        <f aca="false">(AR$359+1-YEAR(Inputs!$F$25))*Months_In_Year-MONTH(Inputs!$F$25)</f>
        <v>378</v>
      </c>
      <c r="AS421" s="74" t="n">
        <f aca="false">(AS$359+1-YEAR(Inputs!$F$25))*Months_In_Year-MONTH(Inputs!$F$25)</f>
        <v>390</v>
      </c>
    </row>
    <row r="422" customFormat="false" ht="14.25" hidden="false" customHeight="false" outlineLevel="0" collapsed="false">
      <c r="C422" s="6" t="s">
        <v>292</v>
      </c>
      <c r="D422" s="2" t="s">
        <v>12</v>
      </c>
      <c r="H422" s="75" t="n">
        <f aca="false">SUM(J422:AS422)</f>
        <v>1</v>
      </c>
      <c r="J422" s="48" t="n">
        <f aca="false">MAX(0,MIN(J421,$F421)-MAX(J421-Months_In_Year,0))/$F421</f>
        <v>0</v>
      </c>
      <c r="K422" s="48" t="n">
        <f aca="false">MAX(0,MIN(K421,$F421)-MAX(K421-Months_In_Year,0))/$F421</f>
        <v>0</v>
      </c>
      <c r="L422" s="48" t="n">
        <f aca="false">MAX(0,MIN(L421,$F421)-MAX(L421-Months_In_Year,0))/$F421</f>
        <v>0</v>
      </c>
      <c r="M422" s="48" t="n">
        <f aca="false">MAX(0,MIN(M421,$F421)-MAX(M421-Months_In_Year,0))/$F421</f>
        <v>0.25</v>
      </c>
      <c r="N422" s="48" t="n">
        <f aca="false">MAX(0,MIN(N421,$F421)-MAX(N421-Months_In_Year,0))/$F421</f>
        <v>0.5</v>
      </c>
      <c r="O422" s="48" t="n">
        <f aca="false">MAX(0,MIN(O421,$F421)-MAX(O421-Months_In_Year,0))/$F421</f>
        <v>0.25</v>
      </c>
      <c r="P422" s="48" t="n">
        <f aca="false">MAX(0,MIN(P421,$F421)-MAX(P421-Months_In_Year,0))/$F421</f>
        <v>0</v>
      </c>
      <c r="Q422" s="48" t="n">
        <f aca="false">MAX(0,MIN(Q421,$F421)-MAX(Q421-Months_In_Year,0))/$F421</f>
        <v>0</v>
      </c>
      <c r="R422" s="48" t="n">
        <f aca="false">MAX(0,MIN(R421,$F421)-MAX(R421-Months_In_Year,0))/$F421</f>
        <v>0</v>
      </c>
      <c r="S422" s="48" t="n">
        <f aca="false">MAX(0,MIN(S421,$F421)-MAX(S421-Months_In_Year,0))/$F421</f>
        <v>0</v>
      </c>
      <c r="T422" s="48" t="n">
        <f aca="false">MAX(0,MIN(T421,$F421)-MAX(T421-Months_In_Year,0))/$F421</f>
        <v>0</v>
      </c>
      <c r="U422" s="48" t="n">
        <f aca="false">MAX(0,MIN(U421,$F421)-MAX(U421-Months_In_Year,0))/$F421</f>
        <v>0</v>
      </c>
      <c r="V422" s="48" t="n">
        <f aca="false">MAX(0,MIN(V421,$F421)-MAX(V421-Months_In_Year,0))/$F421</f>
        <v>0</v>
      </c>
      <c r="W422" s="48" t="n">
        <f aca="false">MAX(0,MIN(W421,$F421)-MAX(W421-Months_In_Year,0))/$F421</f>
        <v>0</v>
      </c>
      <c r="X422" s="48" t="n">
        <f aca="false">MAX(0,MIN(X421,$F421)-MAX(X421-Months_In_Year,0))/$F421</f>
        <v>0</v>
      </c>
      <c r="Y422" s="48" t="n">
        <f aca="false">MAX(0,MIN(Y421,$F421)-MAX(Y421-Months_In_Year,0))/$F421</f>
        <v>0</v>
      </c>
      <c r="Z422" s="48" t="n">
        <f aca="false">MAX(0,MIN(Z421,$F421)-MAX(Z421-Months_In_Year,0))/$F421</f>
        <v>0</v>
      </c>
      <c r="AA422" s="48" t="n">
        <f aca="false">MAX(0,MIN(AA421,$F421)-MAX(AA421-Months_In_Year,0))/$F421</f>
        <v>0</v>
      </c>
      <c r="AB422" s="48" t="n">
        <f aca="false">MAX(0,MIN(AB421,$F421)-MAX(AB421-Months_In_Year,0))/$F421</f>
        <v>0</v>
      </c>
      <c r="AC422" s="48" t="n">
        <f aca="false">MAX(0,MIN(AC421,$F421)-MAX(AC421-Months_In_Year,0))/$F421</f>
        <v>0</v>
      </c>
      <c r="AD422" s="48" t="n">
        <f aca="false">MAX(0,MIN(AD421,$F421)-MAX(AD421-Months_In_Year,0))/$F421</f>
        <v>0</v>
      </c>
      <c r="AE422" s="48" t="n">
        <f aca="false">MAX(0,MIN(AE421,$F421)-MAX(AE421-Months_In_Year,0))/$F421</f>
        <v>0</v>
      </c>
      <c r="AF422" s="48" t="n">
        <f aca="false">MAX(0,MIN(AF421,$F421)-MAX(AF421-Months_In_Year,0))/$F421</f>
        <v>0</v>
      </c>
      <c r="AG422" s="48" t="n">
        <f aca="false">MAX(0,MIN(AG421,$F421)-MAX(AG421-Months_In_Year,0))/$F421</f>
        <v>0</v>
      </c>
      <c r="AH422" s="48" t="n">
        <f aca="false">MAX(0,MIN(AH421,$F421)-MAX(AH421-Months_In_Year,0))/$F421</f>
        <v>0</v>
      </c>
      <c r="AI422" s="48" t="n">
        <f aca="false">MAX(0,MIN(AI421,$F421)-MAX(AI421-Months_In_Year,0))/$F421</f>
        <v>0</v>
      </c>
      <c r="AJ422" s="48" t="n">
        <f aca="false">MAX(0,MIN(AJ421,$F421)-MAX(AJ421-Months_In_Year,0))/$F421</f>
        <v>0</v>
      </c>
      <c r="AK422" s="48" t="n">
        <f aca="false">MAX(0,MIN(AK421,$F421)-MAX(AK421-Months_In_Year,0))/$F421</f>
        <v>0</v>
      </c>
      <c r="AL422" s="48" t="n">
        <f aca="false">MAX(0,MIN(AL421,$F421)-MAX(AL421-Months_In_Year,0))/$F421</f>
        <v>0</v>
      </c>
      <c r="AM422" s="48" t="n">
        <f aca="false">MAX(0,MIN(AM421,$F421)-MAX(AM421-Months_In_Year,0))/$F421</f>
        <v>0</v>
      </c>
      <c r="AN422" s="48" t="n">
        <f aca="false">MAX(0,MIN(AN421,$F421)-MAX(AN421-Months_In_Year,0))/$F421</f>
        <v>0</v>
      </c>
      <c r="AO422" s="48" t="n">
        <f aca="false">MAX(0,MIN(AO421,$F421)-MAX(AO421-Months_In_Year,0))/$F421</f>
        <v>0</v>
      </c>
      <c r="AP422" s="48" t="n">
        <f aca="false">MAX(0,MIN(AP421,$F421)-MAX(AP421-Months_In_Year,0))/$F421</f>
        <v>0</v>
      </c>
      <c r="AQ422" s="48" t="n">
        <f aca="false">MAX(0,MIN(AQ421,$F421)-MAX(AQ421-Months_In_Year,0))/$F421</f>
        <v>0</v>
      </c>
      <c r="AR422" s="48" t="n">
        <f aca="false">MAX(0,MIN(AR421,$F421)-MAX(AR421-Months_In_Year,0))/$F421</f>
        <v>0</v>
      </c>
      <c r="AS422" s="48" t="n">
        <f aca="false">MAX(0,MIN(AS421,$F421)-MAX(AS421-Months_In_Year,0))/$F421</f>
        <v>0</v>
      </c>
    </row>
    <row r="423" customFormat="false" ht="14.25" hidden="false" customHeight="false" outlineLevel="0" collapsed="false">
      <c r="C423" s="6" t="s">
        <v>293</v>
      </c>
      <c r="D423" s="2" t="s">
        <v>291</v>
      </c>
      <c r="F423" s="74" t="n">
        <f aca="false">Life*Months_In_Year</f>
        <v>360</v>
      </c>
      <c r="J423" s="74" t="n">
        <f aca="false">(J$359+1-YEAR(Inputs!$F$26))*Months_In_Year-MONTH(Inputs!$F$26)</f>
        <v>-54</v>
      </c>
      <c r="K423" s="74" t="n">
        <f aca="false">(K$359+1-YEAR(Inputs!$F$26))*Months_In_Year-MONTH(Inputs!$F$26)</f>
        <v>-42</v>
      </c>
      <c r="L423" s="74" t="n">
        <f aca="false">(L$359+1-YEAR(Inputs!$F$26))*Months_In_Year-MONTH(Inputs!$F$26)</f>
        <v>-30</v>
      </c>
      <c r="M423" s="74" t="n">
        <f aca="false">(M$359+1-YEAR(Inputs!$F$26))*Months_In_Year-MONTH(Inputs!$F$26)</f>
        <v>-18</v>
      </c>
      <c r="N423" s="74" t="n">
        <f aca="false">(N$359+1-YEAR(Inputs!$F$26))*Months_In_Year-MONTH(Inputs!$F$26)</f>
        <v>-6</v>
      </c>
      <c r="O423" s="74" t="n">
        <f aca="false">(O$359+1-YEAR(Inputs!$F$26))*Months_In_Year-MONTH(Inputs!$F$26)</f>
        <v>6</v>
      </c>
      <c r="P423" s="74" t="n">
        <f aca="false">(P$359+1-YEAR(Inputs!$F$26))*Months_In_Year-MONTH(Inputs!$F$26)</f>
        <v>18</v>
      </c>
      <c r="Q423" s="74" t="n">
        <f aca="false">(Q$359+1-YEAR(Inputs!$F$26))*Months_In_Year-MONTH(Inputs!$F$26)</f>
        <v>30</v>
      </c>
      <c r="R423" s="74" t="n">
        <f aca="false">(R$359+1-YEAR(Inputs!$F$26))*Months_In_Year-MONTH(Inputs!$F$26)</f>
        <v>42</v>
      </c>
      <c r="S423" s="74" t="n">
        <f aca="false">(S$359+1-YEAR(Inputs!$F$26))*Months_In_Year-MONTH(Inputs!$F$26)</f>
        <v>54</v>
      </c>
      <c r="T423" s="74" t="n">
        <f aca="false">(T$359+1-YEAR(Inputs!$F$26))*Months_In_Year-MONTH(Inputs!$F$26)</f>
        <v>66</v>
      </c>
      <c r="U423" s="74" t="n">
        <f aca="false">(U$359+1-YEAR(Inputs!$F$26))*Months_In_Year-MONTH(Inputs!$F$26)</f>
        <v>78</v>
      </c>
      <c r="V423" s="74" t="n">
        <f aca="false">(V$359+1-YEAR(Inputs!$F$26))*Months_In_Year-MONTH(Inputs!$F$26)</f>
        <v>90</v>
      </c>
      <c r="W423" s="74" t="n">
        <f aca="false">(W$359+1-YEAR(Inputs!$F$26))*Months_In_Year-MONTH(Inputs!$F$26)</f>
        <v>102</v>
      </c>
      <c r="X423" s="74" t="n">
        <f aca="false">(X$359+1-YEAR(Inputs!$F$26))*Months_In_Year-MONTH(Inputs!$F$26)</f>
        <v>114</v>
      </c>
      <c r="Y423" s="74" t="n">
        <f aca="false">(Y$359+1-YEAR(Inputs!$F$26))*Months_In_Year-MONTH(Inputs!$F$26)</f>
        <v>126</v>
      </c>
      <c r="Z423" s="74" t="n">
        <f aca="false">(Z$359+1-YEAR(Inputs!$F$26))*Months_In_Year-MONTH(Inputs!$F$26)</f>
        <v>138</v>
      </c>
      <c r="AA423" s="74" t="n">
        <f aca="false">(AA$359+1-YEAR(Inputs!$F$26))*Months_In_Year-MONTH(Inputs!$F$26)</f>
        <v>150</v>
      </c>
      <c r="AB423" s="74" t="n">
        <f aca="false">(AB$359+1-YEAR(Inputs!$F$26))*Months_In_Year-MONTH(Inputs!$F$26)</f>
        <v>162</v>
      </c>
      <c r="AC423" s="74" t="n">
        <f aca="false">(AC$359+1-YEAR(Inputs!$F$26))*Months_In_Year-MONTH(Inputs!$F$26)</f>
        <v>174</v>
      </c>
      <c r="AD423" s="74" t="n">
        <f aca="false">(AD$359+1-YEAR(Inputs!$F$26))*Months_In_Year-MONTH(Inputs!$F$26)</f>
        <v>186</v>
      </c>
      <c r="AE423" s="74" t="n">
        <f aca="false">(AE$359+1-YEAR(Inputs!$F$26))*Months_In_Year-MONTH(Inputs!$F$26)</f>
        <v>198</v>
      </c>
      <c r="AF423" s="74" t="n">
        <f aca="false">(AF$359+1-YEAR(Inputs!$F$26))*Months_In_Year-MONTH(Inputs!$F$26)</f>
        <v>210</v>
      </c>
      <c r="AG423" s="74" t="n">
        <f aca="false">(AG$359+1-YEAR(Inputs!$F$26))*Months_In_Year-MONTH(Inputs!$F$26)</f>
        <v>222</v>
      </c>
      <c r="AH423" s="74" t="n">
        <f aca="false">(AH$359+1-YEAR(Inputs!$F$26))*Months_In_Year-MONTH(Inputs!$F$26)</f>
        <v>234</v>
      </c>
      <c r="AI423" s="74" t="n">
        <f aca="false">(AI$359+1-YEAR(Inputs!$F$26))*Months_In_Year-MONTH(Inputs!$F$26)</f>
        <v>246</v>
      </c>
      <c r="AJ423" s="74" t="n">
        <f aca="false">(AJ$359+1-YEAR(Inputs!$F$26))*Months_In_Year-MONTH(Inputs!$F$26)</f>
        <v>258</v>
      </c>
      <c r="AK423" s="74" t="n">
        <f aca="false">(AK$359+1-YEAR(Inputs!$F$26))*Months_In_Year-MONTH(Inputs!$F$26)</f>
        <v>270</v>
      </c>
      <c r="AL423" s="74" t="n">
        <f aca="false">(AL$359+1-YEAR(Inputs!$F$26))*Months_In_Year-MONTH(Inputs!$F$26)</f>
        <v>282</v>
      </c>
      <c r="AM423" s="74" t="n">
        <f aca="false">(AM$359+1-YEAR(Inputs!$F$26))*Months_In_Year-MONTH(Inputs!$F$26)</f>
        <v>294</v>
      </c>
      <c r="AN423" s="74" t="n">
        <f aca="false">(AN$359+1-YEAR(Inputs!$F$26))*Months_In_Year-MONTH(Inputs!$F$26)</f>
        <v>306</v>
      </c>
      <c r="AO423" s="74" t="n">
        <f aca="false">(AO$359+1-YEAR(Inputs!$F$26))*Months_In_Year-MONTH(Inputs!$F$26)</f>
        <v>318</v>
      </c>
      <c r="AP423" s="74" t="n">
        <f aca="false">(AP$359+1-YEAR(Inputs!$F$26))*Months_In_Year-MONTH(Inputs!$F$26)</f>
        <v>330</v>
      </c>
      <c r="AQ423" s="74" t="n">
        <f aca="false">(AQ$359+1-YEAR(Inputs!$F$26))*Months_In_Year-MONTH(Inputs!$F$26)</f>
        <v>342</v>
      </c>
      <c r="AR423" s="74" t="n">
        <f aca="false">(AR$359+1-YEAR(Inputs!$F$26))*Months_In_Year-MONTH(Inputs!$F$26)</f>
        <v>354</v>
      </c>
      <c r="AS423" s="74" t="n">
        <f aca="false">(AS$359+1-YEAR(Inputs!$F$26))*Months_In_Year-MONTH(Inputs!$F$26)</f>
        <v>366</v>
      </c>
    </row>
    <row r="424" customFormat="false" ht="14.25" hidden="false" customHeight="false" outlineLevel="0" collapsed="false">
      <c r="C424" s="6" t="s">
        <v>294</v>
      </c>
      <c r="D424" s="2" t="s">
        <v>12</v>
      </c>
      <c r="H424" s="75" t="n">
        <f aca="false">SUM(J424:AS424)</f>
        <v>30</v>
      </c>
      <c r="J424" s="48" t="n">
        <f aca="false">MAX(0,MIN(J423,$F423)-MAX(J423-Months_In_Year,0))/Months_In_Year</f>
        <v>0</v>
      </c>
      <c r="K424" s="48" t="n">
        <f aca="false">MAX(0,MIN(K423,$F423)-MAX(K423-Months_In_Year,0))/Months_In_Year</f>
        <v>0</v>
      </c>
      <c r="L424" s="48" t="n">
        <f aca="false">MAX(0,MIN(L423,$F423)-MAX(L423-Months_In_Year,0))/Months_In_Year</f>
        <v>0</v>
      </c>
      <c r="M424" s="48" t="n">
        <f aca="false">MAX(0,MIN(M423,$F423)-MAX(M423-Months_In_Year,0))/Months_In_Year</f>
        <v>0</v>
      </c>
      <c r="N424" s="48" t="n">
        <f aca="false">MAX(0,MIN(N423,$F423)-MAX(N423-Months_In_Year,0))/Months_In_Year</f>
        <v>0</v>
      </c>
      <c r="O424" s="48" t="n">
        <f aca="false">MAX(0,MIN(O423,$F423)-MAX(O423-Months_In_Year,0))/Months_In_Year</f>
        <v>0.5</v>
      </c>
      <c r="P424" s="48" t="n">
        <f aca="false">MAX(0,MIN(P423,$F423)-MAX(P423-Months_In_Year,0))/Months_In_Year</f>
        <v>1</v>
      </c>
      <c r="Q424" s="48" t="n">
        <f aca="false">MAX(0,MIN(Q423,$F423)-MAX(Q423-Months_In_Year,0))/Months_In_Year</f>
        <v>1</v>
      </c>
      <c r="R424" s="48" t="n">
        <f aca="false">MAX(0,MIN(R423,$F423)-MAX(R423-Months_In_Year,0))/Months_In_Year</f>
        <v>1</v>
      </c>
      <c r="S424" s="48" t="n">
        <f aca="false">MAX(0,MIN(S423,$F423)-MAX(S423-Months_In_Year,0))/Months_In_Year</f>
        <v>1</v>
      </c>
      <c r="T424" s="48" t="n">
        <f aca="false">MAX(0,MIN(T423,$F423)-MAX(T423-Months_In_Year,0))/Months_In_Year</f>
        <v>1</v>
      </c>
      <c r="U424" s="48" t="n">
        <f aca="false">MAX(0,MIN(U423,$F423)-MAX(U423-Months_In_Year,0))/Months_In_Year</f>
        <v>1</v>
      </c>
      <c r="V424" s="48" t="n">
        <f aca="false">MAX(0,MIN(V423,$F423)-MAX(V423-Months_In_Year,0))/Months_In_Year</f>
        <v>1</v>
      </c>
      <c r="W424" s="48" t="n">
        <f aca="false">MAX(0,MIN(W423,$F423)-MAX(W423-Months_In_Year,0))/Months_In_Year</f>
        <v>1</v>
      </c>
      <c r="X424" s="48" t="n">
        <f aca="false">MAX(0,MIN(X423,$F423)-MAX(X423-Months_In_Year,0))/Months_In_Year</f>
        <v>1</v>
      </c>
      <c r="Y424" s="48" t="n">
        <f aca="false">MAX(0,MIN(Y423,$F423)-MAX(Y423-Months_In_Year,0))/Months_In_Year</f>
        <v>1</v>
      </c>
      <c r="Z424" s="48" t="n">
        <f aca="false">MAX(0,MIN(Z423,$F423)-MAX(Z423-Months_In_Year,0))/Months_In_Year</f>
        <v>1</v>
      </c>
      <c r="AA424" s="48" t="n">
        <f aca="false">MAX(0,MIN(AA423,$F423)-MAX(AA423-Months_In_Year,0))/Months_In_Year</f>
        <v>1</v>
      </c>
      <c r="AB424" s="48" t="n">
        <f aca="false">MAX(0,MIN(AB423,$F423)-MAX(AB423-Months_In_Year,0))/Months_In_Year</f>
        <v>1</v>
      </c>
      <c r="AC424" s="48" t="n">
        <f aca="false">MAX(0,MIN(AC423,$F423)-MAX(AC423-Months_In_Year,0))/Months_In_Year</f>
        <v>1</v>
      </c>
      <c r="AD424" s="48" t="n">
        <f aca="false">MAX(0,MIN(AD423,$F423)-MAX(AD423-Months_In_Year,0))/Months_In_Year</f>
        <v>1</v>
      </c>
      <c r="AE424" s="48" t="n">
        <f aca="false">MAX(0,MIN(AE423,$F423)-MAX(AE423-Months_In_Year,0))/Months_In_Year</f>
        <v>1</v>
      </c>
      <c r="AF424" s="48" t="n">
        <f aca="false">MAX(0,MIN(AF423,$F423)-MAX(AF423-Months_In_Year,0))/Months_In_Year</f>
        <v>1</v>
      </c>
      <c r="AG424" s="48" t="n">
        <f aca="false">MAX(0,MIN(AG423,$F423)-MAX(AG423-Months_In_Year,0))/Months_In_Year</f>
        <v>1</v>
      </c>
      <c r="AH424" s="48" t="n">
        <f aca="false">MAX(0,MIN(AH423,$F423)-MAX(AH423-Months_In_Year,0))/Months_In_Year</f>
        <v>1</v>
      </c>
      <c r="AI424" s="48" t="n">
        <f aca="false">MAX(0,MIN(AI423,$F423)-MAX(AI423-Months_In_Year,0))/Months_In_Year</f>
        <v>1</v>
      </c>
      <c r="AJ424" s="48" t="n">
        <f aca="false">MAX(0,MIN(AJ423,$F423)-MAX(AJ423-Months_In_Year,0))/Months_In_Year</f>
        <v>1</v>
      </c>
      <c r="AK424" s="48" t="n">
        <f aca="false">MAX(0,MIN(AK423,$F423)-MAX(AK423-Months_In_Year,0))/Months_In_Year</f>
        <v>1</v>
      </c>
      <c r="AL424" s="48" t="n">
        <f aca="false">MAX(0,MIN(AL423,$F423)-MAX(AL423-Months_In_Year,0))/Months_In_Year</f>
        <v>1</v>
      </c>
      <c r="AM424" s="48" t="n">
        <f aca="false">MAX(0,MIN(AM423,$F423)-MAX(AM423-Months_In_Year,0))/Months_In_Year</f>
        <v>1</v>
      </c>
      <c r="AN424" s="48" t="n">
        <f aca="false">MAX(0,MIN(AN423,$F423)-MAX(AN423-Months_In_Year,0))/Months_In_Year</f>
        <v>1</v>
      </c>
      <c r="AO424" s="48" t="n">
        <f aca="false">MAX(0,MIN(AO423,$F423)-MAX(AO423-Months_In_Year,0))/Months_In_Year</f>
        <v>1</v>
      </c>
      <c r="AP424" s="48" t="n">
        <f aca="false">MAX(0,MIN(AP423,$F423)-MAX(AP423-Months_In_Year,0))/Months_In_Year</f>
        <v>1</v>
      </c>
      <c r="AQ424" s="48" t="n">
        <f aca="false">MAX(0,MIN(AQ423,$F423)-MAX(AQ423-Months_In_Year,0))/Months_In_Year</f>
        <v>1</v>
      </c>
      <c r="AR424" s="48" t="n">
        <f aca="false">MAX(0,MIN(AR423,$F423)-MAX(AR423-Months_In_Year,0))/Months_In_Year</f>
        <v>1</v>
      </c>
      <c r="AS424" s="48" t="n">
        <f aca="false">MAX(0,MIN(AS423,$F423)-MAX(AS423-Months_In_Year,0))/Months_In_Year</f>
        <v>0.5</v>
      </c>
    </row>
    <row r="425" customFormat="false" ht="14.25" hidden="false" customHeight="false" outlineLevel="0" collapsed="false">
      <c r="C425" s="6" t="s">
        <v>295</v>
      </c>
      <c r="D425" s="2" t="s">
        <v>2</v>
      </c>
      <c r="J425" s="76" t="n">
        <f aca="false">N(J420=0)</f>
        <v>0</v>
      </c>
      <c r="K425" s="76" t="n">
        <f aca="false">N(K420=0)</f>
        <v>0</v>
      </c>
      <c r="L425" s="76" t="n">
        <f aca="false">N(L420=0)</f>
        <v>0</v>
      </c>
      <c r="M425" s="76" t="n">
        <f aca="false">N(M420=0)</f>
        <v>0</v>
      </c>
      <c r="N425" s="76" t="n">
        <f aca="false">N(N420=0)</f>
        <v>0</v>
      </c>
      <c r="O425" s="76" t="n">
        <f aca="false">N(O420=0)</f>
        <v>1</v>
      </c>
      <c r="P425" s="76" t="n">
        <f aca="false">N(P420=0)</f>
        <v>0</v>
      </c>
      <c r="Q425" s="76" t="n">
        <f aca="false">N(Q420=0)</f>
        <v>0</v>
      </c>
      <c r="R425" s="76" t="n">
        <f aca="false">N(R420=0)</f>
        <v>0</v>
      </c>
      <c r="S425" s="76" t="n">
        <f aca="false">N(S420=0)</f>
        <v>0</v>
      </c>
      <c r="T425" s="76" t="n">
        <f aca="false">N(T420=0)</f>
        <v>0</v>
      </c>
      <c r="U425" s="76" t="n">
        <f aca="false">N(U420=0)</f>
        <v>0</v>
      </c>
      <c r="V425" s="76" t="n">
        <f aca="false">N(V420=0)</f>
        <v>0</v>
      </c>
      <c r="W425" s="76" t="n">
        <f aca="false">N(W420=0)</f>
        <v>0</v>
      </c>
      <c r="X425" s="76" t="n">
        <f aca="false">N(X420=0)</f>
        <v>0</v>
      </c>
      <c r="Y425" s="76" t="n">
        <f aca="false">N(Y420=0)</f>
        <v>0</v>
      </c>
      <c r="Z425" s="76" t="n">
        <f aca="false">N(Z420=0)</f>
        <v>0</v>
      </c>
      <c r="AA425" s="76" t="n">
        <f aca="false">N(AA420=0)</f>
        <v>0</v>
      </c>
      <c r="AB425" s="76" t="n">
        <f aca="false">N(AB420=0)</f>
        <v>0</v>
      </c>
      <c r="AC425" s="76" t="n">
        <f aca="false">N(AC420=0)</f>
        <v>0</v>
      </c>
      <c r="AD425" s="76" t="n">
        <f aca="false">N(AD420=0)</f>
        <v>0</v>
      </c>
      <c r="AE425" s="76" t="n">
        <f aca="false">N(AE420=0)</f>
        <v>0</v>
      </c>
      <c r="AF425" s="76" t="n">
        <f aca="false">N(AF420=0)</f>
        <v>0</v>
      </c>
      <c r="AG425" s="76" t="n">
        <f aca="false">N(AG420=0)</f>
        <v>0</v>
      </c>
      <c r="AH425" s="76" t="n">
        <f aca="false">N(AH420=0)</f>
        <v>0</v>
      </c>
      <c r="AI425" s="76" t="n">
        <f aca="false">N(AI420=0)</f>
        <v>0</v>
      </c>
      <c r="AJ425" s="76" t="n">
        <f aca="false">N(AJ420=0)</f>
        <v>0</v>
      </c>
      <c r="AK425" s="76" t="n">
        <f aca="false">N(AK420=0)</f>
        <v>0</v>
      </c>
      <c r="AL425" s="76" t="n">
        <f aca="false">N(AL420=0)</f>
        <v>0</v>
      </c>
      <c r="AM425" s="76" t="n">
        <f aca="false">N(AM420=0)</f>
        <v>0</v>
      </c>
      <c r="AN425" s="76" t="n">
        <f aca="false">N(AN420=0)</f>
        <v>0</v>
      </c>
      <c r="AO425" s="76" t="n">
        <f aca="false">N(AO420=0)</f>
        <v>0</v>
      </c>
      <c r="AP425" s="76" t="n">
        <f aca="false">N(AP420=0)</f>
        <v>0</v>
      </c>
      <c r="AQ425" s="76" t="n">
        <f aca="false">N(AQ420=0)</f>
        <v>0</v>
      </c>
      <c r="AR425" s="76" t="n">
        <f aca="false">N(AR420=0)</f>
        <v>0</v>
      </c>
      <c r="AS425" s="76" t="n">
        <f aca="false">N(AS420=0)</f>
        <v>0</v>
      </c>
    </row>
    <row r="426" customFormat="false" ht="14.25" hidden="false" customHeight="false" outlineLevel="0" collapsed="false">
      <c r="C426" s="6" t="s">
        <v>296</v>
      </c>
      <c r="D426" s="2" t="s">
        <v>85</v>
      </c>
      <c r="H426" s="8" t="n">
        <f aca="false">SUM(J426:AS426)</f>
        <v>-14078.5797945205</v>
      </c>
      <c r="J426" s="8" t="n">
        <f aca="false">-($F$98+$F$68+$F$62+$F$63+$F$92)*(J$359=YEAR(Sale_Date))</f>
        <v>-0</v>
      </c>
      <c r="K426" s="8" t="n">
        <f aca="false">-($F$98+$F$68+$F$62+$F$63+$F$92)*(K$359=YEAR(Sale_Date))</f>
        <v>-0</v>
      </c>
      <c r="L426" s="8" t="n">
        <f aca="false">-($F$98+$F$68+$F$62+$F$63+$F$92)*(L$359=YEAR(Sale_Date))</f>
        <v>-0</v>
      </c>
      <c r="M426" s="8" t="n">
        <f aca="false">-($F$98+$F$68+$F$62+$F$63+$F$92)*(M$359=YEAR(Sale_Date))</f>
        <v>-14078.5797945205</v>
      </c>
      <c r="N426" s="8" t="n">
        <f aca="false">-($F$98+$F$68+$F$62+$F$63+$F$92)*(N$359=YEAR(Sale_Date))</f>
        <v>-0</v>
      </c>
      <c r="O426" s="8" t="n">
        <f aca="false">-($F$98+$F$68+$F$62+$F$63+$F$92)*(O$359=YEAR(Sale_Date))</f>
        <v>-0</v>
      </c>
      <c r="P426" s="8" t="n">
        <f aca="false">-($F$98+$F$68+$F$62+$F$63+$F$92)*(P$359=YEAR(Sale_Date))</f>
        <v>-0</v>
      </c>
      <c r="Q426" s="8" t="n">
        <f aca="false">-($F$98+$F$68+$F$62+$F$63+$F$92)*(Q$359=YEAR(Sale_Date))</f>
        <v>-0</v>
      </c>
      <c r="R426" s="8" t="n">
        <f aca="false">-($F$98+$F$68+$F$62+$F$63+$F$92)*(R$359=YEAR(Sale_Date))</f>
        <v>-0</v>
      </c>
      <c r="S426" s="8" t="n">
        <f aca="false">-($F$98+$F$68+$F$62+$F$63+$F$92)*(S$359=YEAR(Sale_Date))</f>
        <v>-0</v>
      </c>
      <c r="T426" s="8" t="n">
        <f aca="false">-($F$98+$F$68+$F$62+$F$63+$F$92)*(T$359=YEAR(Sale_Date))</f>
        <v>-0</v>
      </c>
      <c r="U426" s="8" t="n">
        <f aca="false">-($F$98+$F$68+$F$62+$F$63+$F$92)*(U$359=YEAR(Sale_Date))</f>
        <v>-0</v>
      </c>
      <c r="V426" s="8" t="n">
        <f aca="false">-($F$98+$F$68+$F$62+$F$63+$F$92)*(V$359=YEAR(Sale_Date))</f>
        <v>-0</v>
      </c>
      <c r="W426" s="8" t="n">
        <f aca="false">-($F$98+$F$68+$F$62+$F$63+$F$92)*(W$359=YEAR(Sale_Date))</f>
        <v>-0</v>
      </c>
      <c r="X426" s="8" t="n">
        <f aca="false">-($F$98+$F$68+$F$62+$F$63+$F$92)*(X$359=YEAR(Sale_Date))</f>
        <v>-0</v>
      </c>
      <c r="Y426" s="8" t="n">
        <f aca="false">-($F$98+$F$68+$F$62+$F$63+$F$92)*(Y$359=YEAR(Sale_Date))</f>
        <v>-0</v>
      </c>
      <c r="Z426" s="8" t="n">
        <f aca="false">-($F$98+$F$68+$F$62+$F$63+$F$92)*(Z$359=YEAR(Sale_Date))</f>
        <v>-0</v>
      </c>
      <c r="AA426" s="8" t="n">
        <f aca="false">-($F$98+$F$68+$F$62+$F$63+$F$92)*(AA$359=YEAR(Sale_Date))</f>
        <v>-0</v>
      </c>
      <c r="AB426" s="8" t="n">
        <f aca="false">-($F$98+$F$68+$F$62+$F$63+$F$92)*(AB$359=YEAR(Sale_Date))</f>
        <v>-0</v>
      </c>
      <c r="AC426" s="8" t="n">
        <f aca="false">-($F$98+$F$68+$F$62+$F$63+$F$92)*(AC$359=YEAR(Sale_Date))</f>
        <v>-0</v>
      </c>
      <c r="AD426" s="8" t="n">
        <f aca="false">-($F$98+$F$68+$F$62+$F$63+$F$92)*(AD$359=YEAR(Sale_Date))</f>
        <v>-0</v>
      </c>
      <c r="AE426" s="8" t="n">
        <f aca="false">-($F$98+$F$68+$F$62+$F$63+$F$92)*(AE$359=YEAR(Sale_Date))</f>
        <v>-0</v>
      </c>
      <c r="AF426" s="8" t="n">
        <f aca="false">-($F$98+$F$68+$F$62+$F$63+$F$92)*(AF$359=YEAR(Sale_Date))</f>
        <v>-0</v>
      </c>
      <c r="AG426" s="8" t="n">
        <f aca="false">-($F$98+$F$68+$F$62+$F$63+$F$92)*(AG$359=YEAR(Sale_Date))</f>
        <v>-0</v>
      </c>
      <c r="AH426" s="8" t="n">
        <f aca="false">-($F$98+$F$68+$F$62+$F$63+$F$92)*(AH$359=YEAR(Sale_Date))</f>
        <v>-0</v>
      </c>
      <c r="AI426" s="8" t="n">
        <f aca="false">-($F$98+$F$68+$F$62+$F$63+$F$92)*(AI$359=YEAR(Sale_Date))</f>
        <v>-0</v>
      </c>
      <c r="AJ426" s="8" t="n">
        <f aca="false">-($F$98+$F$68+$F$62+$F$63+$F$92)*(AJ$359=YEAR(Sale_Date))</f>
        <v>-0</v>
      </c>
      <c r="AK426" s="8" t="n">
        <f aca="false">-($F$98+$F$68+$F$62+$F$63+$F$92)*(AK$359=YEAR(Sale_Date))</f>
        <v>-0</v>
      </c>
      <c r="AL426" s="8" t="n">
        <f aca="false">-($F$98+$F$68+$F$62+$F$63+$F$92)*(AL$359=YEAR(Sale_Date))</f>
        <v>-0</v>
      </c>
      <c r="AM426" s="8" t="n">
        <f aca="false">-($F$98+$F$68+$F$62+$F$63+$F$92)*(AM$359=YEAR(Sale_Date))</f>
        <v>-0</v>
      </c>
      <c r="AN426" s="8" t="n">
        <f aca="false">-($F$98+$F$68+$F$62+$F$63+$F$92)*(AN$359=YEAR(Sale_Date))</f>
        <v>-0</v>
      </c>
      <c r="AO426" s="8" t="n">
        <f aca="false">-($F$98+$F$68+$F$62+$F$63+$F$92)*(AO$359=YEAR(Sale_Date))</f>
        <v>-0</v>
      </c>
      <c r="AP426" s="8" t="n">
        <f aca="false">-($F$98+$F$68+$F$62+$F$63+$F$92)*(AP$359=YEAR(Sale_Date))</f>
        <v>-0</v>
      </c>
      <c r="AQ426" s="8" t="n">
        <f aca="false">-($F$98+$F$68+$F$62+$F$63+$F$92)*(AQ$359=YEAR(Sale_Date))</f>
        <v>-0</v>
      </c>
      <c r="AR426" s="8" t="n">
        <f aca="false">-($F$98+$F$68+$F$62+$F$63+$F$92)*(AR$359=YEAR(Sale_Date))</f>
        <v>-0</v>
      </c>
      <c r="AS426" s="8" t="n">
        <f aca="false">-($F$98+$F$68+$F$62+$F$63+$F$92)*(AS$359=YEAR(Sale_Date))</f>
        <v>-0</v>
      </c>
    </row>
    <row r="427" customFormat="false" ht="14.25" hidden="false" customHeight="false" outlineLevel="0" collapsed="false">
      <c r="C427" s="6" t="s">
        <v>297</v>
      </c>
      <c r="D427" s="2" t="s">
        <v>85</v>
      </c>
      <c r="H427" s="8" t="n">
        <f aca="false">SUM(J427:AS427)</f>
        <v>2494.52054794521</v>
      </c>
      <c r="J427" s="8" t="n">
        <f aca="false">($F$62+$F$63)*(J$359=YEAR(Inputs!$F$27))</f>
        <v>0</v>
      </c>
      <c r="K427" s="8" t="n">
        <f aca="false">($F$62+$F$63)*(K$359=YEAR(Inputs!$F$27))</f>
        <v>0</v>
      </c>
      <c r="L427" s="8" t="n">
        <f aca="false">($F$62+$F$63)*(L$359=YEAR(Inputs!$F$27))</f>
        <v>0</v>
      </c>
      <c r="M427" s="8" t="n">
        <f aca="false">($F$62+$F$63)*(M$359=YEAR(Inputs!$F$27))</f>
        <v>0</v>
      </c>
      <c r="N427" s="8" t="n">
        <f aca="false">($F$62+$F$63)*(N$359=YEAR(Inputs!$F$27))</f>
        <v>0</v>
      </c>
      <c r="O427" s="8" t="n">
        <f aca="false">($F$62+$F$63)*(O$359=YEAR(Inputs!$F$27))</f>
        <v>0</v>
      </c>
      <c r="P427" s="8" t="n">
        <f aca="false">($F$62+$F$63)*(P$359=YEAR(Inputs!$F$27))</f>
        <v>0</v>
      </c>
      <c r="Q427" s="8" t="n">
        <f aca="false">($F$62+$F$63)*(Q$359=YEAR(Inputs!$F$27))</f>
        <v>2494.52054794521</v>
      </c>
      <c r="R427" s="8" t="n">
        <f aca="false">($F$62+$F$63)*(R$359=YEAR(Inputs!$F$27))</f>
        <v>0</v>
      </c>
      <c r="S427" s="8" t="n">
        <f aca="false">($F$62+$F$63)*(S$359=YEAR(Inputs!$F$27))</f>
        <v>0</v>
      </c>
      <c r="T427" s="8" t="n">
        <f aca="false">($F$62+$F$63)*(T$359=YEAR(Inputs!$F$27))</f>
        <v>0</v>
      </c>
      <c r="U427" s="8" t="n">
        <f aca="false">($F$62+$F$63)*(U$359=YEAR(Inputs!$F$27))</f>
        <v>0</v>
      </c>
      <c r="V427" s="8" t="n">
        <f aca="false">($F$62+$F$63)*(V$359=YEAR(Inputs!$F$27))</f>
        <v>0</v>
      </c>
      <c r="W427" s="8" t="n">
        <f aca="false">($F$62+$F$63)*(W$359=YEAR(Inputs!$F$27))</f>
        <v>0</v>
      </c>
      <c r="X427" s="8" t="n">
        <f aca="false">($F$62+$F$63)*(X$359=YEAR(Inputs!$F$27))</f>
        <v>0</v>
      </c>
      <c r="Y427" s="8" t="n">
        <f aca="false">($F$62+$F$63)*(Y$359=YEAR(Inputs!$F$27))</f>
        <v>0</v>
      </c>
      <c r="Z427" s="8" t="n">
        <f aca="false">($F$62+$F$63)*(Z$359=YEAR(Inputs!$F$27))</f>
        <v>0</v>
      </c>
      <c r="AA427" s="8" t="n">
        <f aca="false">($F$62+$F$63)*(AA$359=YEAR(Inputs!$F$27))</f>
        <v>0</v>
      </c>
      <c r="AB427" s="8" t="n">
        <f aca="false">($F$62+$F$63)*(AB$359=YEAR(Inputs!$F$27))</f>
        <v>0</v>
      </c>
      <c r="AC427" s="8" t="n">
        <f aca="false">($F$62+$F$63)*(AC$359=YEAR(Inputs!$F$27))</f>
        <v>0</v>
      </c>
      <c r="AD427" s="8" t="n">
        <f aca="false">($F$62+$F$63)*(AD$359=YEAR(Inputs!$F$27))</f>
        <v>0</v>
      </c>
      <c r="AE427" s="8" t="n">
        <f aca="false">($F$62+$F$63)*(AE$359=YEAR(Inputs!$F$27))</f>
        <v>0</v>
      </c>
      <c r="AF427" s="8" t="n">
        <f aca="false">($F$62+$F$63)*(AF$359=YEAR(Inputs!$F$27))</f>
        <v>0</v>
      </c>
      <c r="AG427" s="8" t="n">
        <f aca="false">($F$62+$F$63)*(AG$359=YEAR(Inputs!$F$27))</f>
        <v>0</v>
      </c>
      <c r="AH427" s="8" t="n">
        <f aca="false">($F$62+$F$63)*(AH$359=YEAR(Inputs!$F$27))</f>
        <v>0</v>
      </c>
      <c r="AI427" s="8" t="n">
        <f aca="false">($F$62+$F$63)*(AI$359=YEAR(Inputs!$F$27))</f>
        <v>0</v>
      </c>
      <c r="AJ427" s="8" t="n">
        <f aca="false">($F$62+$F$63)*(AJ$359=YEAR(Inputs!$F$27))</f>
        <v>0</v>
      </c>
      <c r="AK427" s="8" t="n">
        <f aca="false">($F$62+$F$63)*(AK$359=YEAR(Inputs!$F$27))</f>
        <v>0</v>
      </c>
      <c r="AL427" s="8" t="n">
        <f aca="false">($F$62+$F$63)*(AL$359=YEAR(Inputs!$F$27))</f>
        <v>0</v>
      </c>
      <c r="AM427" s="8" t="n">
        <f aca="false">($F$62+$F$63)*(AM$359=YEAR(Inputs!$F$27))</f>
        <v>0</v>
      </c>
      <c r="AN427" s="8" t="n">
        <f aca="false">($F$62+$F$63)*(AN$359=YEAR(Inputs!$F$27))</f>
        <v>0</v>
      </c>
      <c r="AO427" s="8" t="n">
        <f aca="false">($F$62+$F$63)*(AO$359=YEAR(Inputs!$F$27))</f>
        <v>0</v>
      </c>
      <c r="AP427" s="8" t="n">
        <f aca="false">($F$62+$F$63)*(AP$359=YEAR(Inputs!$F$27))</f>
        <v>0</v>
      </c>
      <c r="AQ427" s="8" t="n">
        <f aca="false">($F$62+$F$63)*(AQ$359=YEAR(Inputs!$F$27))</f>
        <v>0</v>
      </c>
      <c r="AR427" s="8" t="n">
        <f aca="false">($F$62+$F$63)*(AR$359=YEAR(Inputs!$F$27))</f>
        <v>0</v>
      </c>
      <c r="AS427" s="8" t="n">
        <f aca="false">($F$62+$F$63)*(AS$359=YEAR(Inputs!$F$27))</f>
        <v>0</v>
      </c>
    </row>
    <row r="428" customFormat="false" ht="14.25" hidden="false" customHeight="false" outlineLevel="0" collapsed="false">
      <c r="C428" s="6" t="s">
        <v>298</v>
      </c>
      <c r="D428" s="2" t="s">
        <v>85</v>
      </c>
      <c r="H428" s="8" t="n">
        <f aca="false">SUM(J428:AS428)</f>
        <v>-62716</v>
      </c>
      <c r="J428" s="8" t="n">
        <f aca="false">-$F$91*J422</f>
        <v>-0</v>
      </c>
      <c r="K428" s="8" t="n">
        <f aca="false">-$F$91*K422</f>
        <v>-0</v>
      </c>
      <c r="L428" s="8" t="n">
        <f aca="false">-$F$91*L422</f>
        <v>-0</v>
      </c>
      <c r="M428" s="8" t="n">
        <f aca="false">-$F$91*M422</f>
        <v>-15679</v>
      </c>
      <c r="N428" s="8" t="n">
        <f aca="false">-$F$91*N422</f>
        <v>-31358</v>
      </c>
      <c r="O428" s="8" t="n">
        <f aca="false">-$F$91*O422</f>
        <v>-15679</v>
      </c>
      <c r="P428" s="8" t="n">
        <f aca="false">-$F$91*P422</f>
        <v>-0</v>
      </c>
      <c r="Q428" s="8" t="n">
        <f aca="false">-$F$91*Q422</f>
        <v>-0</v>
      </c>
      <c r="R428" s="8" t="n">
        <f aca="false">-$F$91*R422</f>
        <v>-0</v>
      </c>
      <c r="S428" s="8" t="n">
        <f aca="false">-$F$91*S422</f>
        <v>-0</v>
      </c>
      <c r="T428" s="8" t="n">
        <f aca="false">-$F$91*T422</f>
        <v>-0</v>
      </c>
      <c r="U428" s="8" t="n">
        <f aca="false">-$F$91*U422</f>
        <v>-0</v>
      </c>
      <c r="V428" s="8" t="n">
        <f aca="false">-$F$91*V422</f>
        <v>-0</v>
      </c>
      <c r="W428" s="8" t="n">
        <f aca="false">-$F$91*W422</f>
        <v>-0</v>
      </c>
      <c r="X428" s="8" t="n">
        <f aca="false">-$F$91*X422</f>
        <v>-0</v>
      </c>
      <c r="Y428" s="8" t="n">
        <f aca="false">-$F$91*Y422</f>
        <v>-0</v>
      </c>
      <c r="Z428" s="8" t="n">
        <f aca="false">-$F$91*Z422</f>
        <v>-0</v>
      </c>
      <c r="AA428" s="8" t="n">
        <f aca="false">-$F$91*AA422</f>
        <v>-0</v>
      </c>
      <c r="AB428" s="8" t="n">
        <f aca="false">-$F$91*AB422</f>
        <v>-0</v>
      </c>
      <c r="AC428" s="8" t="n">
        <f aca="false">-$F$91*AC422</f>
        <v>-0</v>
      </c>
      <c r="AD428" s="8" t="n">
        <f aca="false">-$F$91*AD422</f>
        <v>-0</v>
      </c>
      <c r="AE428" s="8" t="n">
        <f aca="false">-$F$91*AE422</f>
        <v>-0</v>
      </c>
      <c r="AF428" s="8" t="n">
        <f aca="false">-$F$91*AF422</f>
        <v>-0</v>
      </c>
      <c r="AG428" s="8" t="n">
        <f aca="false">-$F$91*AG422</f>
        <v>-0</v>
      </c>
      <c r="AH428" s="8" t="n">
        <f aca="false">-$F$91*AH422</f>
        <v>-0</v>
      </c>
      <c r="AI428" s="8" t="n">
        <f aca="false">-$F$91*AI422</f>
        <v>-0</v>
      </c>
      <c r="AJ428" s="8" t="n">
        <f aca="false">-$F$91*AJ422</f>
        <v>-0</v>
      </c>
      <c r="AK428" s="8" t="n">
        <f aca="false">-$F$91*AK422</f>
        <v>-0</v>
      </c>
      <c r="AL428" s="8" t="n">
        <f aca="false">-$F$91*AL422</f>
        <v>-0</v>
      </c>
      <c r="AM428" s="8" t="n">
        <f aca="false">-$F$91*AM422</f>
        <v>-0</v>
      </c>
      <c r="AN428" s="8" t="n">
        <f aca="false">-$F$91*AN422</f>
        <v>-0</v>
      </c>
      <c r="AO428" s="8" t="n">
        <f aca="false">-$F$91*AO422</f>
        <v>-0</v>
      </c>
      <c r="AP428" s="8" t="n">
        <f aca="false">-$F$91*AP422</f>
        <v>-0</v>
      </c>
      <c r="AQ428" s="8" t="n">
        <f aca="false">-$F$91*AQ422</f>
        <v>-0</v>
      </c>
      <c r="AR428" s="8" t="n">
        <f aca="false">-$F$91*AR422</f>
        <v>-0</v>
      </c>
      <c r="AS428" s="8" t="n">
        <f aca="false">-$F$91*AS422</f>
        <v>-0</v>
      </c>
    </row>
    <row r="429" customFormat="false" ht="14.25" hidden="false" customHeight="false" outlineLevel="0" collapsed="false">
      <c r="C429" s="6" t="s">
        <v>299</v>
      </c>
      <c r="D429" s="2" t="s">
        <v>85</v>
      </c>
      <c r="H429" s="8" t="n">
        <f aca="false">SUM(J429:AS429)</f>
        <v>-2500</v>
      </c>
      <c r="J429" s="8" t="n">
        <f aca="false">-$F$96*J425</f>
        <v>-0</v>
      </c>
      <c r="K429" s="8" t="n">
        <f aca="false">-$F$96*K425</f>
        <v>-0</v>
      </c>
      <c r="L429" s="8" t="n">
        <f aca="false">-$F$96*L425</f>
        <v>-0</v>
      </c>
      <c r="M429" s="8" t="n">
        <f aca="false">-$F$96*M425</f>
        <v>-0</v>
      </c>
      <c r="N429" s="8" t="n">
        <f aca="false">-$F$96*N425</f>
        <v>-0</v>
      </c>
      <c r="O429" s="8" t="n">
        <f aca="false">-$F$96*O425</f>
        <v>-2500</v>
      </c>
      <c r="P429" s="8" t="n">
        <f aca="false">-$F$96*P425</f>
        <v>-0</v>
      </c>
      <c r="Q429" s="8" t="n">
        <f aca="false">-$F$96*Q425</f>
        <v>-0</v>
      </c>
      <c r="R429" s="8" t="n">
        <f aca="false">-$F$96*R425</f>
        <v>-0</v>
      </c>
      <c r="S429" s="8" t="n">
        <f aca="false">-$F$96*S425</f>
        <v>-0</v>
      </c>
      <c r="T429" s="8" t="n">
        <f aca="false">-$F$96*T425</f>
        <v>-0</v>
      </c>
      <c r="U429" s="8" t="n">
        <f aca="false">-$F$96*U425</f>
        <v>-0</v>
      </c>
      <c r="V429" s="8" t="n">
        <f aca="false">-$F$96*V425</f>
        <v>-0</v>
      </c>
      <c r="W429" s="8" t="n">
        <f aca="false">-$F$96*W425</f>
        <v>-0</v>
      </c>
      <c r="X429" s="8" t="n">
        <f aca="false">-$F$96*X425</f>
        <v>-0</v>
      </c>
      <c r="Y429" s="8" t="n">
        <f aca="false">-$F$96*Y425</f>
        <v>-0</v>
      </c>
      <c r="Z429" s="8" t="n">
        <f aca="false">-$F$96*Z425</f>
        <v>-0</v>
      </c>
      <c r="AA429" s="8" t="n">
        <f aca="false">-$F$96*AA425</f>
        <v>-0</v>
      </c>
      <c r="AB429" s="8" t="n">
        <f aca="false">-$F$96*AB425</f>
        <v>-0</v>
      </c>
      <c r="AC429" s="8" t="n">
        <f aca="false">-$F$96*AC425</f>
        <v>-0</v>
      </c>
      <c r="AD429" s="8" t="n">
        <f aca="false">-$F$96*AD425</f>
        <v>-0</v>
      </c>
      <c r="AE429" s="8" t="n">
        <f aca="false">-$F$96*AE425</f>
        <v>-0</v>
      </c>
      <c r="AF429" s="8" t="n">
        <f aca="false">-$F$96*AF425</f>
        <v>-0</v>
      </c>
      <c r="AG429" s="8" t="n">
        <f aca="false">-$F$96*AG425</f>
        <v>-0</v>
      </c>
      <c r="AH429" s="8" t="n">
        <f aca="false">-$F$96*AH425</f>
        <v>-0</v>
      </c>
      <c r="AI429" s="8" t="n">
        <f aca="false">-$F$96*AI425</f>
        <v>-0</v>
      </c>
      <c r="AJ429" s="8" t="n">
        <f aca="false">-$F$96*AJ425</f>
        <v>-0</v>
      </c>
      <c r="AK429" s="8" t="n">
        <f aca="false">-$F$96*AK425</f>
        <v>-0</v>
      </c>
      <c r="AL429" s="8" t="n">
        <f aca="false">-$F$96*AL425</f>
        <v>-0</v>
      </c>
      <c r="AM429" s="8" t="n">
        <f aca="false">-$F$96*AM425</f>
        <v>-0</v>
      </c>
      <c r="AN429" s="8" t="n">
        <f aca="false">-$F$96*AN425</f>
        <v>-0</v>
      </c>
      <c r="AO429" s="8" t="n">
        <f aca="false">-$F$96*AO425</f>
        <v>-0</v>
      </c>
      <c r="AP429" s="8" t="n">
        <f aca="false">-$F$96*AP425</f>
        <v>-0</v>
      </c>
      <c r="AQ429" s="8" t="n">
        <f aca="false">-$F$96*AQ425</f>
        <v>-0</v>
      </c>
      <c r="AR429" s="8" t="n">
        <f aca="false">-$F$96*AR425</f>
        <v>-0</v>
      </c>
      <c r="AS429" s="8" t="n">
        <f aca="false">-$F$96*AS425</f>
        <v>-0</v>
      </c>
    </row>
    <row r="430" customFormat="false" ht="14.25" hidden="false" customHeight="false" outlineLevel="0" collapsed="false">
      <c r="C430" s="1" t="s">
        <v>300</v>
      </c>
      <c r="D430" s="2" t="s">
        <v>85</v>
      </c>
      <c r="H430" s="15" t="n">
        <f aca="false">SUM(J430:AS430)</f>
        <v>-76800.0592465753</v>
      </c>
      <c r="J430" s="15" t="n">
        <f aca="false">SUM(J426:J429)</f>
        <v>0</v>
      </c>
      <c r="K430" s="15" t="n">
        <f aca="false">SUM(K426:K429)</f>
        <v>0</v>
      </c>
      <c r="L430" s="15" t="n">
        <f aca="false">SUM(L426:L429)</f>
        <v>0</v>
      </c>
      <c r="M430" s="15" t="n">
        <f aca="false">SUM(M426:M429)</f>
        <v>-29757.5797945206</v>
      </c>
      <c r="N430" s="15" t="n">
        <f aca="false">SUM(N426:N429)</f>
        <v>-31358</v>
      </c>
      <c r="O430" s="15" t="n">
        <f aca="false">SUM(O426:O429)</f>
        <v>-18179</v>
      </c>
      <c r="P430" s="15" t="n">
        <f aca="false">SUM(P426:P429)</f>
        <v>0</v>
      </c>
      <c r="Q430" s="15" t="n">
        <f aca="false">SUM(Q426:Q429)</f>
        <v>2494.52054794521</v>
      </c>
      <c r="R430" s="15" t="n">
        <f aca="false">SUM(R426:R429)</f>
        <v>0</v>
      </c>
      <c r="S430" s="15" t="n">
        <f aca="false">SUM(S426:S429)</f>
        <v>0</v>
      </c>
      <c r="T430" s="15" t="n">
        <f aca="false">SUM(T426:T429)</f>
        <v>0</v>
      </c>
      <c r="U430" s="15" t="n">
        <f aca="false">SUM(U426:U429)</f>
        <v>0</v>
      </c>
      <c r="V430" s="15" t="n">
        <f aca="false">SUM(V426:V429)</f>
        <v>0</v>
      </c>
      <c r="W430" s="15" t="n">
        <f aca="false">SUM(W426:W429)</f>
        <v>0</v>
      </c>
      <c r="X430" s="15" t="n">
        <f aca="false">SUM(X426:X429)</f>
        <v>0</v>
      </c>
      <c r="Y430" s="15" t="n">
        <f aca="false">SUM(Y426:Y429)</f>
        <v>0</v>
      </c>
      <c r="Z430" s="15" t="n">
        <f aca="false">SUM(Z426:Z429)</f>
        <v>0</v>
      </c>
      <c r="AA430" s="15" t="n">
        <f aca="false">SUM(AA426:AA429)</f>
        <v>0</v>
      </c>
      <c r="AB430" s="15" t="n">
        <f aca="false">SUM(AB426:AB429)</f>
        <v>0</v>
      </c>
      <c r="AC430" s="15" t="n">
        <f aca="false">SUM(AC426:AC429)</f>
        <v>0</v>
      </c>
      <c r="AD430" s="15" t="n">
        <f aca="false">SUM(AD426:AD429)</f>
        <v>0</v>
      </c>
      <c r="AE430" s="15" t="n">
        <f aca="false">SUM(AE426:AE429)</f>
        <v>0</v>
      </c>
      <c r="AF430" s="15" t="n">
        <f aca="false">SUM(AF426:AF429)</f>
        <v>0</v>
      </c>
      <c r="AG430" s="15" t="n">
        <f aca="false">SUM(AG426:AG429)</f>
        <v>0</v>
      </c>
      <c r="AH430" s="15" t="n">
        <f aca="false">SUM(AH426:AH429)</f>
        <v>0</v>
      </c>
      <c r="AI430" s="15" t="n">
        <f aca="false">SUM(AI426:AI429)</f>
        <v>0</v>
      </c>
      <c r="AJ430" s="15" t="n">
        <f aca="false">SUM(AJ426:AJ429)</f>
        <v>0</v>
      </c>
      <c r="AK430" s="15" t="n">
        <f aca="false">SUM(AK426:AK429)</f>
        <v>0</v>
      </c>
      <c r="AL430" s="15" t="n">
        <f aca="false">SUM(AL426:AL429)</f>
        <v>0</v>
      </c>
      <c r="AM430" s="15" t="n">
        <f aca="false">SUM(AM426:AM429)</f>
        <v>0</v>
      </c>
      <c r="AN430" s="15" t="n">
        <f aca="false">SUM(AN426:AN429)</f>
        <v>0</v>
      </c>
      <c r="AO430" s="15" t="n">
        <f aca="false">SUM(AO426:AO429)</f>
        <v>0</v>
      </c>
      <c r="AP430" s="15" t="n">
        <f aca="false">SUM(AP426:AP429)</f>
        <v>0</v>
      </c>
      <c r="AQ430" s="15" t="n">
        <f aca="false">SUM(AQ426:AQ429)</f>
        <v>0</v>
      </c>
      <c r="AR430" s="15" t="n">
        <f aca="false">SUM(AR426:AR429)</f>
        <v>0</v>
      </c>
      <c r="AS430" s="15" t="n">
        <f aca="false">SUM(AS426:AS429)</f>
        <v>0</v>
      </c>
    </row>
    <row r="431" customFormat="false" ht="14.25" hidden="false" customHeight="false" outlineLevel="0" collapsed="false">
      <c r="C431" s="6" t="s">
        <v>301</v>
      </c>
      <c r="D431" s="2" t="s">
        <v>3</v>
      </c>
      <c r="J431" s="77" t="n">
        <f aca="false">(1-Degradation)^MAX(J420-1,0)</f>
        <v>1</v>
      </c>
      <c r="K431" s="77" t="n">
        <f aca="false">(1-Degradation)^MAX(K420-1,0)</f>
        <v>1</v>
      </c>
      <c r="L431" s="77" t="n">
        <f aca="false">(1-Degradation)^MAX(L420-1,0)</f>
        <v>1</v>
      </c>
      <c r="M431" s="77" t="n">
        <f aca="false">(1-Degradation)^MAX(M420-1,0)</f>
        <v>1</v>
      </c>
      <c r="N431" s="77" t="n">
        <f aca="false">(1-Degradation)^MAX(N420-1,0)</f>
        <v>1</v>
      </c>
      <c r="O431" s="77" t="n">
        <f aca="false">(1-Degradation)^MAX(O420-1,0)</f>
        <v>1</v>
      </c>
      <c r="P431" s="77" t="n">
        <f aca="false">(1-Degradation)^MAX(P420-1,0)</f>
        <v>1</v>
      </c>
      <c r="Q431" s="77" t="n">
        <f aca="false">(1-Degradation)^MAX(Q420-1,0)</f>
        <v>0.997</v>
      </c>
      <c r="R431" s="77" t="n">
        <f aca="false">(1-Degradation)^MAX(R420-1,0)</f>
        <v>0.994009</v>
      </c>
      <c r="S431" s="77" t="n">
        <f aca="false">(1-Degradation)^MAX(S420-1,0)</f>
        <v>0.991026973</v>
      </c>
      <c r="T431" s="77" t="n">
        <f aca="false">(1-Degradation)^MAX(T420-1,0)</f>
        <v>0.988053892081</v>
      </c>
      <c r="U431" s="77" t="n">
        <f aca="false">(1-Degradation)^MAX(U420-1,0)</f>
        <v>0.985089730404757</v>
      </c>
      <c r="V431" s="77" t="n">
        <f aca="false">(1-Degradation)^MAX(V420-1,0)</f>
        <v>0.982134461213543</v>
      </c>
      <c r="W431" s="77" t="n">
        <f aca="false">(1-Degradation)^MAX(W420-1,0)</f>
        <v>0.979188057829902</v>
      </c>
      <c r="X431" s="77" t="n">
        <f aca="false">(1-Degradation)^MAX(X420-1,0)</f>
        <v>0.976250493656412</v>
      </c>
      <c r="Y431" s="77" t="n">
        <f aca="false">(1-Degradation)^MAX(Y420-1,0)</f>
        <v>0.973321742175443</v>
      </c>
      <c r="Z431" s="77" t="n">
        <f aca="false">(1-Degradation)^MAX(Z420-1,0)</f>
        <v>0.970401776948917</v>
      </c>
      <c r="AA431" s="77" t="n">
        <f aca="false">(1-Degradation)^MAX(AA420-1,0)</f>
        <v>0.96749057161807</v>
      </c>
      <c r="AB431" s="77" t="n">
        <f aca="false">(1-Degradation)^MAX(AB420-1,0)</f>
        <v>0.964588099903216</v>
      </c>
      <c r="AC431" s="77" t="n">
        <f aca="false">(1-Degradation)^MAX(AC420-1,0)</f>
        <v>0.961694335603506</v>
      </c>
      <c r="AD431" s="77" t="n">
        <f aca="false">(1-Degradation)^MAX(AD420-1,0)</f>
        <v>0.958809252596696</v>
      </c>
      <c r="AE431" s="77" t="n">
        <f aca="false">(1-Degradation)^MAX(AE420-1,0)</f>
        <v>0.955932824838906</v>
      </c>
      <c r="AF431" s="77" t="n">
        <f aca="false">(1-Degradation)^MAX(AF420-1,0)</f>
        <v>0.953065026364389</v>
      </c>
      <c r="AG431" s="77" t="n">
        <f aca="false">(1-Degradation)^MAX(AG420-1,0)</f>
        <v>0.950205831285296</v>
      </c>
      <c r="AH431" s="77" t="n">
        <f aca="false">(1-Degradation)^MAX(AH420-1,0)</f>
        <v>0.94735521379144</v>
      </c>
      <c r="AI431" s="77" t="n">
        <f aca="false">(1-Degradation)^MAX(AI420-1,0)</f>
        <v>0.944513148150066</v>
      </c>
      <c r="AJ431" s="77" t="n">
        <f aca="false">(1-Degradation)^MAX(AJ420-1,0)</f>
        <v>0.941679608705615</v>
      </c>
      <c r="AK431" s="77" t="n">
        <f aca="false">(1-Degradation)^MAX(AK420-1,0)</f>
        <v>0.938854569879498</v>
      </c>
      <c r="AL431" s="77" t="n">
        <f aca="false">(1-Degradation)^MAX(AL420-1,0)</f>
        <v>0.93603800616986</v>
      </c>
      <c r="AM431" s="77" t="n">
        <f aca="false">(1-Degradation)^MAX(AM420-1,0)</f>
        <v>0.93322989215135</v>
      </c>
      <c r="AN431" s="77" t="n">
        <f aca="false">(1-Degradation)^MAX(AN420-1,0)</f>
        <v>0.930430202474896</v>
      </c>
      <c r="AO431" s="77" t="n">
        <f aca="false">(1-Degradation)^MAX(AO420-1,0)</f>
        <v>0.927638911867472</v>
      </c>
      <c r="AP431" s="77" t="n">
        <f aca="false">(1-Degradation)^MAX(AP420-1,0)</f>
        <v>0.924855995131869</v>
      </c>
      <c r="AQ431" s="77" t="n">
        <f aca="false">(1-Degradation)^MAX(AQ420-1,0)</f>
        <v>0.922081427146474</v>
      </c>
      <c r="AR431" s="77" t="n">
        <f aca="false">(1-Degradation)^MAX(AR420-1,0)</f>
        <v>0.919315182865034</v>
      </c>
      <c r="AS431" s="77" t="n">
        <f aca="false">(1-Degradation)^MAX(AS420-1,0)</f>
        <v>0.916557237316439</v>
      </c>
    </row>
    <row r="432" customFormat="false" ht="14.25" hidden="false" customHeight="false" outlineLevel="0" collapsed="false">
      <c r="C432" s="6" t="s">
        <v>302</v>
      </c>
      <c r="D432" s="2" t="s">
        <v>303</v>
      </c>
      <c r="H432" s="17" t="n">
        <f aca="false">SUM(J432:AS432)</f>
        <v>4263.39882706474</v>
      </c>
      <c r="J432" s="17" t="n">
        <f aca="false">$F$46*$F$22*(1-Curtailment)*(1-Clipping)*J424*J431/Thousand</f>
        <v>0</v>
      </c>
      <c r="K432" s="17" t="n">
        <f aca="false">$F$46*$F$22*(1-Curtailment)*(1-Clipping)*K424*K431/Thousand</f>
        <v>0</v>
      </c>
      <c r="L432" s="17" t="n">
        <f aca="false">$F$46*$F$22*(1-Curtailment)*(1-Clipping)*L424*L431/Thousand</f>
        <v>0</v>
      </c>
      <c r="M432" s="17" t="n">
        <f aca="false">$F$46*$F$22*(1-Curtailment)*(1-Clipping)*M424*M431/Thousand</f>
        <v>0</v>
      </c>
      <c r="N432" s="17" t="n">
        <f aca="false">$F$46*$F$22*(1-Curtailment)*(1-Clipping)*N424*N431/Thousand</f>
        <v>0</v>
      </c>
      <c r="O432" s="17" t="n">
        <f aca="false">$F$46*$F$22*(1-Curtailment)*(1-Clipping)*O424*O431/Thousand</f>
        <v>74.088</v>
      </c>
      <c r="P432" s="17" t="n">
        <f aca="false">$F$46*$F$22*(1-Curtailment)*(1-Clipping)*P424*P431/Thousand</f>
        <v>148.176</v>
      </c>
      <c r="Q432" s="17" t="n">
        <f aca="false">$F$46*$F$22*(1-Curtailment)*(1-Clipping)*Q424*Q431/Thousand</f>
        <v>147.731472</v>
      </c>
      <c r="R432" s="17" t="n">
        <f aca="false">$F$46*$F$22*(1-Curtailment)*(1-Clipping)*R424*R431/Thousand</f>
        <v>147.288277584</v>
      </c>
      <c r="S432" s="17" t="n">
        <f aca="false">$F$46*$F$22*(1-Curtailment)*(1-Clipping)*S424*S431/Thousand</f>
        <v>146.846412751248</v>
      </c>
      <c r="T432" s="17" t="n">
        <f aca="false">$F$46*$F$22*(1-Curtailment)*(1-Clipping)*T424*T431/Thousand</f>
        <v>146.405873512994</v>
      </c>
      <c r="U432" s="17" t="n">
        <f aca="false">$F$46*$F$22*(1-Curtailment)*(1-Clipping)*U424*U431/Thousand</f>
        <v>145.966655892455</v>
      </c>
      <c r="V432" s="17" t="n">
        <f aca="false">$F$46*$F$22*(1-Curtailment)*(1-Clipping)*V424*V431/Thousand</f>
        <v>145.528755924778</v>
      </c>
      <c r="W432" s="17" t="n">
        <f aca="false">$F$46*$F$22*(1-Curtailment)*(1-Clipping)*W424*W431/Thousand</f>
        <v>145.092169657004</v>
      </c>
      <c r="X432" s="17" t="n">
        <f aca="false">$F$46*$F$22*(1-Curtailment)*(1-Clipping)*X424*X431/Thousand</f>
        <v>144.656893148033</v>
      </c>
      <c r="Y432" s="17" t="n">
        <f aca="false">$F$46*$F$22*(1-Curtailment)*(1-Clipping)*Y424*Y431/Thousand</f>
        <v>144.222922468588</v>
      </c>
      <c r="Z432" s="17" t="n">
        <f aca="false">$F$46*$F$22*(1-Curtailment)*(1-Clipping)*Z424*Z431/Thousand</f>
        <v>143.790253701183</v>
      </c>
      <c r="AA432" s="17" t="n">
        <f aca="false">$F$46*$F$22*(1-Curtailment)*(1-Clipping)*AA424*AA431/Thousand</f>
        <v>143.358882940079</v>
      </c>
      <c r="AB432" s="17" t="n">
        <f aca="false">$F$46*$F$22*(1-Curtailment)*(1-Clipping)*AB424*AB431/Thousand</f>
        <v>142.928806291259</v>
      </c>
      <c r="AC432" s="17" t="n">
        <f aca="false">$F$46*$F$22*(1-Curtailment)*(1-Clipping)*AC424*AC431/Thousand</f>
        <v>142.500019872385</v>
      </c>
      <c r="AD432" s="17" t="n">
        <f aca="false">$F$46*$F$22*(1-Curtailment)*(1-Clipping)*AD424*AD431/Thousand</f>
        <v>142.072519812768</v>
      </c>
      <c r="AE432" s="17" t="n">
        <f aca="false">$F$46*$F$22*(1-Curtailment)*(1-Clipping)*AE424*AE431/Thousand</f>
        <v>141.64630225333</v>
      </c>
      <c r="AF432" s="17" t="n">
        <f aca="false">$F$46*$F$22*(1-Curtailment)*(1-Clipping)*AF424*AF431/Thousand</f>
        <v>141.22136334657</v>
      </c>
      <c r="AG432" s="17" t="n">
        <f aca="false">$F$46*$F$22*(1-Curtailment)*(1-Clipping)*AG424*AG431/Thousand</f>
        <v>140.79769925653</v>
      </c>
      <c r="AH432" s="17" t="n">
        <f aca="false">$F$46*$F$22*(1-Curtailment)*(1-Clipping)*AH424*AH431/Thousand</f>
        <v>140.37530615876</v>
      </c>
      <c r="AI432" s="17" t="n">
        <f aca="false">$F$46*$F$22*(1-Curtailment)*(1-Clipping)*AI424*AI431/Thousand</f>
        <v>139.954180240284</v>
      </c>
      <c r="AJ432" s="17" t="n">
        <f aca="false">$F$46*$F$22*(1-Curtailment)*(1-Clipping)*AJ424*AJ431/Thousand</f>
        <v>139.534317699563</v>
      </c>
      <c r="AK432" s="17" t="n">
        <f aca="false">$F$46*$F$22*(1-Curtailment)*(1-Clipping)*AK424*AK431/Thousand</f>
        <v>139.115714746465</v>
      </c>
      <c r="AL432" s="17" t="n">
        <f aca="false">$F$46*$F$22*(1-Curtailment)*(1-Clipping)*AL424*AL431/Thousand</f>
        <v>138.698367602225</v>
      </c>
      <c r="AM432" s="17" t="n">
        <f aca="false">$F$46*$F$22*(1-Curtailment)*(1-Clipping)*AM424*AM431/Thousand</f>
        <v>138.282272499419</v>
      </c>
      <c r="AN432" s="17" t="n">
        <f aca="false">$F$46*$F$22*(1-Curtailment)*(1-Clipping)*AN424*AN431/Thousand</f>
        <v>137.86742568192</v>
      </c>
      <c r="AO432" s="17" t="n">
        <f aca="false">$F$46*$F$22*(1-Curtailment)*(1-Clipping)*AO424*AO431/Thousand</f>
        <v>137.453823404874</v>
      </c>
      <c r="AP432" s="17" t="n">
        <f aca="false">$F$46*$F$22*(1-Curtailment)*(1-Clipping)*AP424*AP431/Thousand</f>
        <v>137.04146193466</v>
      </c>
      <c r="AQ432" s="17" t="n">
        <f aca="false">$F$46*$F$22*(1-Curtailment)*(1-Clipping)*AQ424*AQ431/Thousand</f>
        <v>136.630337548856</v>
      </c>
      <c r="AR432" s="17" t="n">
        <f aca="false">$F$46*$F$22*(1-Curtailment)*(1-Clipping)*AR424*AR431/Thousand</f>
        <v>136.220446536209</v>
      </c>
      <c r="AS432" s="17" t="n">
        <f aca="false">$F$46*$F$22*(1-Curtailment)*(1-Clipping)*AS424*AS431/Thousand</f>
        <v>67.9058925983003</v>
      </c>
    </row>
    <row r="433" customFormat="false" ht="14.25" hidden="false" customHeight="false" outlineLevel="0" collapsed="false">
      <c r="C433" s="6" t="s">
        <v>304</v>
      </c>
      <c r="D433" s="2" t="s">
        <v>20</v>
      </c>
      <c r="J433" s="17" t="n">
        <f aca="false">Case_PPA*(1+PPA_Esc)^J420*(J424&gt;0)</f>
        <v>0</v>
      </c>
      <c r="K433" s="17" t="n">
        <f aca="false">Case_PPA*(1+PPA_Esc)^K420*(K424&gt;0)</f>
        <v>0</v>
      </c>
      <c r="L433" s="17" t="n">
        <f aca="false">Case_PPA*(1+PPA_Esc)^L420*(L424&gt;0)</f>
        <v>0</v>
      </c>
      <c r="M433" s="17" t="n">
        <f aca="false">Case_PPA*(1+PPA_Esc)^M420*(M424&gt;0)</f>
        <v>0</v>
      </c>
      <c r="N433" s="17" t="n">
        <f aca="false">Case_PPA*(1+PPA_Esc)^N420*(N424&gt;0)</f>
        <v>0</v>
      </c>
      <c r="O433" s="17" t="n">
        <f aca="false">Case_PPA*(1+PPA_Esc)^O420*(O424&gt;0)</f>
        <v>90</v>
      </c>
      <c r="P433" s="17" t="n">
        <f aca="false">Case_PPA*(1+PPA_Esc)^P420*(P424&gt;0)</f>
        <v>90.9</v>
      </c>
      <c r="Q433" s="17" t="n">
        <f aca="false">Case_PPA*(1+PPA_Esc)^Q420*(Q424&gt;0)</f>
        <v>91.809</v>
      </c>
      <c r="R433" s="17" t="n">
        <f aca="false">Case_PPA*(1+PPA_Esc)^R420*(R424&gt;0)</f>
        <v>92.72709</v>
      </c>
      <c r="S433" s="17" t="n">
        <f aca="false">Case_PPA*(1+PPA_Esc)^S420*(S424&gt;0)</f>
        <v>93.6543609</v>
      </c>
      <c r="T433" s="17" t="n">
        <f aca="false">Case_PPA*(1+PPA_Esc)^T420*(T424&gt;0)</f>
        <v>94.590904509</v>
      </c>
      <c r="U433" s="17" t="n">
        <f aca="false">Case_PPA*(1+PPA_Esc)^U420*(U424&gt;0)</f>
        <v>95.53681355409</v>
      </c>
      <c r="V433" s="17" t="n">
        <f aca="false">Case_PPA*(1+PPA_Esc)^V420*(V424&gt;0)</f>
        <v>96.4921816896309</v>
      </c>
      <c r="W433" s="17" t="n">
        <f aca="false">Case_PPA*(1+PPA_Esc)^W420*(W424&gt;0)</f>
        <v>97.4571035065272</v>
      </c>
      <c r="X433" s="17" t="n">
        <f aca="false">Case_PPA*(1+PPA_Esc)^X420*(X424&gt;0)</f>
        <v>98.4316745415925</v>
      </c>
      <c r="Y433" s="17" t="n">
        <f aca="false">Case_PPA*(1+PPA_Esc)^Y420*(Y424&gt;0)</f>
        <v>99.4159912870084</v>
      </c>
      <c r="Z433" s="17" t="n">
        <f aca="false">Case_PPA*(1+PPA_Esc)^Z420*(Z424&gt;0)</f>
        <v>100.410151199878</v>
      </c>
      <c r="AA433" s="17" t="n">
        <f aca="false">Case_PPA*(1+PPA_Esc)^AA420*(AA424&gt;0)</f>
        <v>101.414252711877</v>
      </c>
      <c r="AB433" s="17" t="n">
        <f aca="false">Case_PPA*(1+PPA_Esc)^AB420*(AB424&gt;0)</f>
        <v>102.428395238996</v>
      </c>
      <c r="AC433" s="17" t="n">
        <f aca="false">Case_PPA*(1+PPA_Esc)^AC420*(AC424&gt;0)</f>
        <v>103.452679191386</v>
      </c>
      <c r="AD433" s="17" t="n">
        <f aca="false">Case_PPA*(1+PPA_Esc)^AD420*(AD424&gt;0)</f>
        <v>104.4872059833</v>
      </c>
      <c r="AE433" s="17" t="n">
        <f aca="false">Case_PPA*(1+PPA_Esc)^AE420*(AE424&gt;0)</f>
        <v>105.532078043133</v>
      </c>
      <c r="AF433" s="17" t="n">
        <f aca="false">Case_PPA*(1+PPA_Esc)^AF420*(AF424&gt;0)</f>
        <v>106.587398823564</v>
      </c>
      <c r="AG433" s="17" t="n">
        <f aca="false">Case_PPA*(1+PPA_Esc)^AG420*(AG424&gt;0)</f>
        <v>107.6532728118</v>
      </c>
      <c r="AH433" s="17" t="n">
        <f aca="false">Case_PPA*(1+PPA_Esc)^AH420*(AH424&gt;0)</f>
        <v>108.729805539918</v>
      </c>
      <c r="AI433" s="17" t="n">
        <f aca="false">Case_PPA*(1+PPA_Esc)^AI420*(AI424&gt;0)</f>
        <v>109.817103595317</v>
      </c>
      <c r="AJ433" s="17" t="n">
        <f aca="false">Case_PPA*(1+PPA_Esc)^AJ420*(AJ424&gt;0)</f>
        <v>110.91527463127</v>
      </c>
      <c r="AK433" s="17" t="n">
        <f aca="false">Case_PPA*(1+PPA_Esc)^AK420*(AK424&gt;0)</f>
        <v>112.024427377583</v>
      </c>
      <c r="AL433" s="17" t="n">
        <f aca="false">Case_PPA*(1+PPA_Esc)^AL420*(AL424&gt;0)</f>
        <v>113.144671651359</v>
      </c>
      <c r="AM433" s="17" t="n">
        <f aca="false">Case_PPA*(1+PPA_Esc)^AM420*(AM424&gt;0)</f>
        <v>114.276118367872</v>
      </c>
      <c r="AN433" s="17" t="n">
        <f aca="false">Case_PPA*(1+PPA_Esc)^AN420*(AN424&gt;0)</f>
        <v>115.418879551551</v>
      </c>
      <c r="AO433" s="17" t="n">
        <f aca="false">Case_PPA*(1+PPA_Esc)^AO420*(AO424&gt;0)</f>
        <v>116.573068347067</v>
      </c>
      <c r="AP433" s="17" t="n">
        <f aca="false">Case_PPA*(1+PPA_Esc)^AP420*(AP424&gt;0)</f>
        <v>117.738799030537</v>
      </c>
      <c r="AQ433" s="17" t="n">
        <f aca="false">Case_PPA*(1+PPA_Esc)^AQ420*(AQ424&gt;0)</f>
        <v>118.916187020843</v>
      </c>
      <c r="AR433" s="17" t="n">
        <f aca="false">Case_PPA*(1+PPA_Esc)^AR420*(AR424&gt;0)</f>
        <v>120.105348891051</v>
      </c>
      <c r="AS433" s="17" t="n">
        <f aca="false">Case_PPA*(1+PPA_Esc)^AS420*(AS424&gt;0)</f>
        <v>121.306402379962</v>
      </c>
    </row>
    <row r="434" customFormat="false" ht="14.25" hidden="false" customHeight="false" outlineLevel="0" collapsed="false">
      <c r="C434" s="1" t="s">
        <v>158</v>
      </c>
      <c r="D434" s="2" t="s">
        <v>85</v>
      </c>
      <c r="H434" s="32" t="n">
        <f aca="false">SUM(J434:AS434)</f>
        <v>446130.685729454</v>
      </c>
      <c r="J434" s="32" t="n">
        <f aca="false">J432*J433</f>
        <v>0</v>
      </c>
      <c r="K434" s="32" t="n">
        <f aca="false">K432*K433</f>
        <v>0</v>
      </c>
      <c r="L434" s="32" t="n">
        <f aca="false">L432*L433</f>
        <v>0</v>
      </c>
      <c r="M434" s="32" t="n">
        <f aca="false">M432*M433</f>
        <v>0</v>
      </c>
      <c r="N434" s="32" t="n">
        <f aca="false">N432*N433</f>
        <v>0</v>
      </c>
      <c r="O434" s="32" t="n">
        <f aca="false">O432*O433</f>
        <v>6667.92</v>
      </c>
      <c r="P434" s="32" t="n">
        <f aca="false">P432*P433</f>
        <v>13469.1984</v>
      </c>
      <c r="Q434" s="32" t="n">
        <f aca="false">Q432*Q433</f>
        <v>13563.078712848</v>
      </c>
      <c r="R434" s="32" t="n">
        <f aca="false">R432*R433</f>
        <v>13657.6133714766</v>
      </c>
      <c r="S434" s="32" t="n">
        <f aca="false">S432*S433</f>
        <v>13752.8069366757</v>
      </c>
      <c r="T434" s="32" t="n">
        <f aca="false">T432*T433</f>
        <v>13848.6640010244</v>
      </c>
      <c r="U434" s="32" t="n">
        <f aca="false">U432*U433</f>
        <v>13945.1891891115</v>
      </c>
      <c r="V434" s="32" t="n">
        <f aca="false">V432*V433</f>
        <v>14042.3871577596</v>
      </c>
      <c r="W434" s="32" t="n">
        <f aca="false">W432*W433</f>
        <v>14140.2625962492</v>
      </c>
      <c r="X434" s="32" t="n">
        <f aca="false">X432*X433</f>
        <v>14238.8202265451</v>
      </c>
      <c r="Y434" s="32" t="n">
        <f aca="false">Y432*Y433</f>
        <v>14338.0648035241</v>
      </c>
      <c r="Z434" s="32" t="n">
        <f aca="false">Z432*Z433</f>
        <v>14438.0011152046</v>
      </c>
      <c r="AA434" s="32" t="n">
        <f aca="false">AA432*AA433</f>
        <v>14538.6339829776</v>
      </c>
      <c r="AB434" s="32" t="n">
        <f aca="false">AB432*AB433</f>
        <v>14639.968261839</v>
      </c>
      <c r="AC434" s="32" t="n">
        <f aca="false">AC432*AC433</f>
        <v>14742.008840624</v>
      </c>
      <c r="AD434" s="32" t="n">
        <f aca="false">AD432*AD433</f>
        <v>14844.7606422431</v>
      </c>
      <c r="AE434" s="32" t="n">
        <f aca="false">AE432*AE433</f>
        <v>14948.2286239196</v>
      </c>
      <c r="AF434" s="32" t="n">
        <f aca="false">AF432*AF433</f>
        <v>15052.4177774283</v>
      </c>
      <c r="AG434" s="32" t="n">
        <f aca="false">AG432*AG433</f>
        <v>15157.333129337</v>
      </c>
      <c r="AH434" s="32" t="n">
        <f aca="false">AH432*AH433</f>
        <v>15262.9797412485</v>
      </c>
      <c r="AI434" s="32" t="n">
        <f aca="false">AI432*AI433</f>
        <v>15369.362710045</v>
      </c>
      <c r="AJ434" s="32" t="n">
        <f aca="false">AJ432*AJ433</f>
        <v>15476.487168134</v>
      </c>
      <c r="AK434" s="32" t="n">
        <f aca="false">AK432*AK433</f>
        <v>15584.3582836959</v>
      </c>
      <c r="AL434" s="32" t="n">
        <f aca="false">AL432*AL433</f>
        <v>15692.9812609332</v>
      </c>
      <c r="AM434" s="32" t="n">
        <f aca="false">AM432*AM433</f>
        <v>15802.3613403219</v>
      </c>
      <c r="AN434" s="32" t="n">
        <f aca="false">AN432*AN433</f>
        <v>15912.503798864</v>
      </c>
      <c r="AO434" s="32" t="n">
        <f aca="false">AO432*AO433</f>
        <v>16023.4139503421</v>
      </c>
      <c r="AP434" s="32" t="n">
        <f aca="false">AP432*AP433</f>
        <v>16135.0971455759</v>
      </c>
      <c r="AQ434" s="32" t="n">
        <f aca="false">AQ432*AQ433</f>
        <v>16247.5587726806</v>
      </c>
      <c r="AR434" s="32" t="n">
        <f aca="false">AR432*AR433</f>
        <v>16360.8042573262</v>
      </c>
      <c r="AS434" s="32" t="n">
        <f aca="false">AS432*AS433</f>
        <v>8237.41953149987</v>
      </c>
    </row>
    <row r="435" customFormat="false" ht="14.25" hidden="false" customHeight="false" outlineLevel="0" collapsed="false">
      <c r="C435" s="6" t="s">
        <v>305</v>
      </c>
      <c r="D435" s="2" t="s">
        <v>3</v>
      </c>
      <c r="J435" s="77" t="n">
        <f aca="false">(1+Opex_Esc)^J420</f>
        <v>0.883854287609517</v>
      </c>
      <c r="K435" s="77" t="n">
        <f aca="false">(1+Opex_Esc)^K420</f>
        <v>0.905950644799755</v>
      </c>
      <c r="L435" s="77" t="n">
        <f aca="false">(1+Opex_Esc)^L420</f>
        <v>0.928599410919749</v>
      </c>
      <c r="M435" s="77" t="n">
        <f aca="false">(1+Opex_Esc)^M420</f>
        <v>0.951814396192743</v>
      </c>
      <c r="N435" s="77" t="n">
        <f aca="false">(1+Opex_Esc)^N420</f>
        <v>0.975609756097561</v>
      </c>
      <c r="O435" s="77" t="n">
        <f aca="false">(1+Opex_Esc)^O420</f>
        <v>1</v>
      </c>
      <c r="P435" s="77" t="n">
        <f aca="false">(1+Opex_Esc)^P420</f>
        <v>1.025</v>
      </c>
      <c r="Q435" s="77" t="n">
        <f aca="false">(1+Opex_Esc)^Q420</f>
        <v>1.050625</v>
      </c>
      <c r="R435" s="77" t="n">
        <f aca="false">(1+Opex_Esc)^R420</f>
        <v>1.076890625</v>
      </c>
      <c r="S435" s="77" t="n">
        <f aca="false">(1+Opex_Esc)^S420</f>
        <v>1.103812890625</v>
      </c>
      <c r="T435" s="77" t="n">
        <f aca="false">(1+Opex_Esc)^T420</f>
        <v>1.13140821289062</v>
      </c>
      <c r="U435" s="77" t="n">
        <f aca="false">(1+Opex_Esc)^U420</f>
        <v>1.15969341821289</v>
      </c>
      <c r="V435" s="77" t="n">
        <f aca="false">(1+Opex_Esc)^V420</f>
        <v>1.18868575366821</v>
      </c>
      <c r="W435" s="77" t="n">
        <f aca="false">(1+Opex_Esc)^W420</f>
        <v>1.21840289750992</v>
      </c>
      <c r="X435" s="77" t="n">
        <f aca="false">(1+Opex_Esc)^X420</f>
        <v>1.24886296994767</v>
      </c>
      <c r="Y435" s="77" t="n">
        <f aca="false">(1+Opex_Esc)^Y420</f>
        <v>1.28008454419636</v>
      </c>
      <c r="Z435" s="77" t="n">
        <f aca="false">(1+Opex_Esc)^Z420</f>
        <v>1.31208665780127</v>
      </c>
      <c r="AA435" s="77" t="n">
        <f aca="false">(1+Opex_Esc)^AA420</f>
        <v>1.3448888242463</v>
      </c>
      <c r="AB435" s="77" t="n">
        <f aca="false">(1+Opex_Esc)^AB420</f>
        <v>1.37851104485245</v>
      </c>
      <c r="AC435" s="77" t="n">
        <f aca="false">(1+Opex_Esc)^AC420</f>
        <v>1.41297382097377</v>
      </c>
      <c r="AD435" s="77" t="n">
        <f aca="false">(1+Opex_Esc)^AD420</f>
        <v>1.44829816649811</v>
      </c>
      <c r="AE435" s="77" t="n">
        <f aca="false">(1+Opex_Esc)^AE420</f>
        <v>1.48450562066056</v>
      </c>
      <c r="AF435" s="77" t="n">
        <f aca="false">(1+Opex_Esc)^AF420</f>
        <v>1.52161826117708</v>
      </c>
      <c r="AG435" s="77" t="n">
        <f aca="false">(1+Opex_Esc)^AG420</f>
        <v>1.5596587177065</v>
      </c>
      <c r="AH435" s="77" t="n">
        <f aca="false">(1+Opex_Esc)^AH420</f>
        <v>1.59865018564917</v>
      </c>
      <c r="AI435" s="77" t="n">
        <f aca="false">(1+Opex_Esc)^AI420</f>
        <v>1.63861644029039</v>
      </c>
      <c r="AJ435" s="77" t="n">
        <f aca="false">(1+Opex_Esc)^AJ420</f>
        <v>1.67958185129765</v>
      </c>
      <c r="AK435" s="77" t="n">
        <f aca="false">(1+Opex_Esc)^AK420</f>
        <v>1.7215713975801</v>
      </c>
      <c r="AL435" s="77" t="n">
        <f aca="false">(1+Opex_Esc)^AL420</f>
        <v>1.7646106825196</v>
      </c>
      <c r="AM435" s="77" t="n">
        <f aca="false">(1+Opex_Esc)^AM420</f>
        <v>1.80872594958259</v>
      </c>
      <c r="AN435" s="77" t="n">
        <f aca="false">(1+Opex_Esc)^AN420</f>
        <v>1.85394409832215</v>
      </c>
      <c r="AO435" s="77" t="n">
        <f aca="false">(1+Opex_Esc)^AO420</f>
        <v>1.90029270078021</v>
      </c>
      <c r="AP435" s="77" t="n">
        <f aca="false">(1+Opex_Esc)^AP420</f>
        <v>1.94780001829971</v>
      </c>
      <c r="AQ435" s="77" t="n">
        <f aca="false">(1+Opex_Esc)^AQ420</f>
        <v>1.9964950187572</v>
      </c>
      <c r="AR435" s="77" t="n">
        <f aca="false">(1+Opex_Esc)^AR420</f>
        <v>2.04640739422613</v>
      </c>
      <c r="AS435" s="77" t="n">
        <f aca="false">(1+Opex_Esc)^AS420</f>
        <v>2.09756757908179</v>
      </c>
    </row>
    <row r="436" customFormat="false" ht="14.25" hidden="false" customHeight="false" outlineLevel="0" collapsed="false">
      <c r="C436" s="6" t="s">
        <v>306</v>
      </c>
      <c r="D436" s="2" t="s">
        <v>85</v>
      </c>
      <c r="H436" s="8" t="n">
        <f aca="false">SUM(J436:AS436)</f>
        <v>-70011.0919506797</v>
      </c>
      <c r="J436" s="8" t="n">
        <f aca="false">-(Case_OM+SUM(Opex_Per_MW))*$F$46*J435*J424</f>
        <v>-0</v>
      </c>
      <c r="K436" s="8" t="n">
        <f aca="false">-(Case_OM+SUM(Opex_Per_MW))*$F$46*K435*K424</f>
        <v>-0</v>
      </c>
      <c r="L436" s="8" t="n">
        <f aca="false">-(Case_OM+SUM(Opex_Per_MW))*$F$46*L435*L424</f>
        <v>-0</v>
      </c>
      <c r="M436" s="8" t="n">
        <f aca="false">-(Case_OM+SUM(Opex_Per_MW))*$F$46*M435*M424</f>
        <v>-0</v>
      </c>
      <c r="N436" s="8" t="n">
        <f aca="false">-(Case_OM+SUM(Opex_Per_MW))*$F$46*N435*N424</f>
        <v>-0</v>
      </c>
      <c r="O436" s="8" t="n">
        <f aca="false">-(Case_OM+SUM(Opex_Per_MW))*$F$46*O435*O424</f>
        <v>-787.5</v>
      </c>
      <c r="P436" s="8" t="n">
        <f aca="false">-(Case_OM+SUM(Opex_Per_MW))*$F$46*P435*P424</f>
        <v>-1614.375</v>
      </c>
      <c r="Q436" s="8" t="n">
        <f aca="false">-(Case_OM+SUM(Opex_Per_MW))*$F$46*Q435*Q424</f>
        <v>-1654.734375</v>
      </c>
      <c r="R436" s="8" t="n">
        <f aca="false">-(Case_OM+SUM(Opex_Per_MW))*$F$46*R435*R424</f>
        <v>-1696.102734375</v>
      </c>
      <c r="S436" s="8" t="n">
        <f aca="false">-(Case_OM+SUM(Opex_Per_MW))*$F$46*S435*S424</f>
        <v>-1738.50530273437</v>
      </c>
      <c r="T436" s="8" t="n">
        <f aca="false">-(Case_OM+SUM(Opex_Per_MW))*$F$46*T435*T424</f>
        <v>-1781.96793530273</v>
      </c>
      <c r="U436" s="8" t="n">
        <f aca="false">-(Case_OM+SUM(Opex_Per_MW))*$F$46*U435*U424</f>
        <v>-1826.5171336853</v>
      </c>
      <c r="V436" s="8" t="n">
        <f aca="false">-(Case_OM+SUM(Opex_Per_MW))*$F$46*V435*V424</f>
        <v>-1872.18006202743</v>
      </c>
      <c r="W436" s="8" t="n">
        <f aca="false">-(Case_OM+SUM(Opex_Per_MW))*$F$46*W435*W424</f>
        <v>-1918.98456357812</v>
      </c>
      <c r="X436" s="8" t="n">
        <f aca="false">-(Case_OM+SUM(Opex_Per_MW))*$F$46*X435*X424</f>
        <v>-1966.95917766757</v>
      </c>
      <c r="Y436" s="8" t="n">
        <f aca="false">-(Case_OM+SUM(Opex_Per_MW))*$F$46*Y435*Y424</f>
        <v>-2016.13315710926</v>
      </c>
      <c r="Z436" s="8" t="n">
        <f aca="false">-(Case_OM+SUM(Opex_Per_MW))*$F$46*Z435*Z424</f>
        <v>-2066.53648603699</v>
      </c>
      <c r="AA436" s="8" t="n">
        <f aca="false">-(Case_OM+SUM(Opex_Per_MW))*$F$46*AA435*AA424</f>
        <v>-2118.19989818792</v>
      </c>
      <c r="AB436" s="8" t="n">
        <f aca="false">-(Case_OM+SUM(Opex_Per_MW))*$F$46*AB435*AB424</f>
        <v>-2171.15489564262</v>
      </c>
      <c r="AC436" s="8" t="n">
        <f aca="false">-(Case_OM+SUM(Opex_Per_MW))*$F$46*AC435*AC424</f>
        <v>-2225.43376803368</v>
      </c>
      <c r="AD436" s="8" t="n">
        <f aca="false">-(Case_OM+SUM(Opex_Per_MW))*$F$46*AD435*AD424</f>
        <v>-2281.06961223452</v>
      </c>
      <c r="AE436" s="8" t="n">
        <f aca="false">-(Case_OM+SUM(Opex_Per_MW))*$F$46*AE435*AE424</f>
        <v>-2338.09635254039</v>
      </c>
      <c r="AF436" s="8" t="n">
        <f aca="false">-(Case_OM+SUM(Opex_Per_MW))*$F$46*AF435*AF424</f>
        <v>-2396.5487613539</v>
      </c>
      <c r="AG436" s="8" t="n">
        <f aca="false">-(Case_OM+SUM(Opex_Per_MW))*$F$46*AG435*AG424</f>
        <v>-2456.46248038774</v>
      </c>
      <c r="AH436" s="8" t="n">
        <f aca="false">-(Case_OM+SUM(Opex_Per_MW))*$F$46*AH435*AH424</f>
        <v>-2517.87404239744</v>
      </c>
      <c r="AI436" s="8" t="n">
        <f aca="false">-(Case_OM+SUM(Opex_Per_MW))*$F$46*AI435*AI424</f>
        <v>-2580.82089345737</v>
      </c>
      <c r="AJ436" s="8" t="n">
        <f aca="false">-(Case_OM+SUM(Opex_Per_MW))*$F$46*AJ435*AJ424</f>
        <v>-2645.34141579381</v>
      </c>
      <c r="AK436" s="8" t="n">
        <f aca="false">-(Case_OM+SUM(Opex_Per_MW))*$F$46*AK435*AK424</f>
        <v>-2711.47495118865</v>
      </c>
      <c r="AL436" s="8" t="n">
        <f aca="false">-(Case_OM+SUM(Opex_Per_MW))*$F$46*AL435*AL424</f>
        <v>-2779.26182496837</v>
      </c>
      <c r="AM436" s="8" t="n">
        <f aca="false">-(Case_OM+SUM(Opex_Per_MW))*$F$46*AM435*AM424</f>
        <v>-2848.74337059257</v>
      </c>
      <c r="AN436" s="8" t="n">
        <f aca="false">-(Case_OM+SUM(Opex_Per_MW))*$F$46*AN435*AN424</f>
        <v>-2919.96195485739</v>
      </c>
      <c r="AO436" s="8" t="n">
        <f aca="false">-(Case_OM+SUM(Opex_Per_MW))*$F$46*AO435*AO424</f>
        <v>-2992.96100372882</v>
      </c>
      <c r="AP436" s="8" t="n">
        <f aca="false">-(Case_OM+SUM(Opex_Per_MW))*$F$46*AP435*AP424</f>
        <v>-3067.78502882204</v>
      </c>
      <c r="AQ436" s="8" t="n">
        <f aca="false">-(Case_OM+SUM(Opex_Per_MW))*$F$46*AQ435*AQ424</f>
        <v>-3144.47965454259</v>
      </c>
      <c r="AR436" s="8" t="n">
        <f aca="false">-(Case_OM+SUM(Opex_Per_MW))*$F$46*AR435*AR424</f>
        <v>-3223.09164590616</v>
      </c>
      <c r="AS436" s="8" t="n">
        <f aca="false">-(Case_OM+SUM(Opex_Per_MW))*$F$46*AS435*AS424</f>
        <v>-1651.83446852691</v>
      </c>
    </row>
    <row r="437" customFormat="false" ht="14.25" hidden="false" customHeight="false" outlineLevel="0" collapsed="false">
      <c r="C437" s="6" t="s">
        <v>307</v>
      </c>
      <c r="D437" s="2" t="s">
        <v>85</v>
      </c>
      <c r="H437" s="8" t="n">
        <f aca="false">SUM(J437:AS437)</f>
        <v>-1666.93076073047</v>
      </c>
      <c r="J437" s="8" t="n">
        <f aca="false">-Opex_Admin*$F$6/Lump_Basis*J435*J424</f>
        <v>-0</v>
      </c>
      <c r="K437" s="8" t="n">
        <f aca="false">-Opex_Admin*$F$6/Lump_Basis*K435*K424</f>
        <v>-0</v>
      </c>
      <c r="L437" s="8" t="n">
        <f aca="false">-Opex_Admin*$F$6/Lump_Basis*L435*L424</f>
        <v>-0</v>
      </c>
      <c r="M437" s="8" t="n">
        <f aca="false">-Opex_Admin*$F$6/Lump_Basis*M435*M424</f>
        <v>-0</v>
      </c>
      <c r="N437" s="8" t="n">
        <f aca="false">-Opex_Admin*$F$6/Lump_Basis*N435*N424</f>
        <v>-0</v>
      </c>
      <c r="O437" s="8" t="n">
        <f aca="false">-Opex_Admin*$F$6/Lump_Basis*O435*O424</f>
        <v>-18.75</v>
      </c>
      <c r="P437" s="8" t="n">
        <f aca="false">-Opex_Admin*$F$6/Lump_Basis*P435*P424</f>
        <v>-38.4375</v>
      </c>
      <c r="Q437" s="8" t="n">
        <f aca="false">-Opex_Admin*$F$6/Lump_Basis*Q435*Q424</f>
        <v>-39.3984375</v>
      </c>
      <c r="R437" s="8" t="n">
        <f aca="false">-Opex_Admin*$F$6/Lump_Basis*R435*R424</f>
        <v>-40.3833984375</v>
      </c>
      <c r="S437" s="8" t="n">
        <f aca="false">-Opex_Admin*$F$6/Lump_Basis*S435*S424</f>
        <v>-41.3929833984375</v>
      </c>
      <c r="T437" s="8" t="n">
        <f aca="false">-Opex_Admin*$F$6/Lump_Basis*T435*T424</f>
        <v>-42.4278079833984</v>
      </c>
      <c r="U437" s="8" t="n">
        <f aca="false">-Opex_Admin*$F$6/Lump_Basis*U435*U424</f>
        <v>-43.4885031829834</v>
      </c>
      <c r="V437" s="8" t="n">
        <f aca="false">-Opex_Admin*$F$6/Lump_Basis*V435*V424</f>
        <v>-44.575715762558</v>
      </c>
      <c r="W437" s="8" t="n">
        <f aca="false">-Opex_Admin*$F$6/Lump_Basis*W435*W424</f>
        <v>-45.6901086566219</v>
      </c>
      <c r="X437" s="8" t="n">
        <f aca="false">-Opex_Admin*$F$6/Lump_Basis*X435*X424</f>
        <v>-46.8323613730374</v>
      </c>
      <c r="Y437" s="8" t="n">
        <f aca="false">-Opex_Admin*$F$6/Lump_Basis*Y435*Y424</f>
        <v>-48.0031704073634</v>
      </c>
      <c r="Z437" s="8" t="n">
        <f aca="false">-Opex_Admin*$F$6/Lump_Basis*Z435*Z424</f>
        <v>-49.2032496675475</v>
      </c>
      <c r="AA437" s="8" t="n">
        <f aca="false">-Opex_Admin*$F$6/Lump_Basis*AA435*AA424</f>
        <v>-50.4333309092361</v>
      </c>
      <c r="AB437" s="8" t="n">
        <f aca="false">-Opex_Admin*$F$6/Lump_Basis*AB435*AB424</f>
        <v>-51.694164181967</v>
      </c>
      <c r="AC437" s="8" t="n">
        <f aca="false">-Opex_Admin*$F$6/Lump_Basis*AC435*AC424</f>
        <v>-52.9865182865162</v>
      </c>
      <c r="AD437" s="8" t="n">
        <f aca="false">-Opex_Admin*$F$6/Lump_Basis*AD435*AD424</f>
        <v>-54.3111812436791</v>
      </c>
      <c r="AE437" s="8" t="n">
        <f aca="false">-Opex_Admin*$F$6/Lump_Basis*AE435*AE424</f>
        <v>-55.6689607747711</v>
      </c>
      <c r="AF437" s="8" t="n">
        <f aca="false">-Opex_Admin*$F$6/Lump_Basis*AF435*AF424</f>
        <v>-57.0606847941404</v>
      </c>
      <c r="AG437" s="8" t="n">
        <f aca="false">-Opex_Admin*$F$6/Lump_Basis*AG435*AG424</f>
        <v>-58.4872019139939</v>
      </c>
      <c r="AH437" s="8" t="n">
        <f aca="false">-Opex_Admin*$F$6/Lump_Basis*AH435*AH424</f>
        <v>-59.9493819618437</v>
      </c>
      <c r="AI437" s="8" t="n">
        <f aca="false">-Opex_Admin*$F$6/Lump_Basis*AI435*AI424</f>
        <v>-61.4481165108898</v>
      </c>
      <c r="AJ437" s="8" t="n">
        <f aca="false">-Opex_Admin*$F$6/Lump_Basis*AJ435*AJ424</f>
        <v>-62.984319423662</v>
      </c>
      <c r="AK437" s="8" t="n">
        <f aca="false">-Opex_Admin*$F$6/Lump_Basis*AK435*AK424</f>
        <v>-64.5589274092536</v>
      </c>
      <c r="AL437" s="8" t="n">
        <f aca="false">-Opex_Admin*$F$6/Lump_Basis*AL435*AL424</f>
        <v>-66.1729005944849</v>
      </c>
      <c r="AM437" s="8" t="n">
        <f aca="false">-Opex_Admin*$F$6/Lump_Basis*AM435*AM424</f>
        <v>-67.827223109347</v>
      </c>
      <c r="AN437" s="8" t="n">
        <f aca="false">-Opex_Admin*$F$6/Lump_Basis*AN435*AN424</f>
        <v>-69.5229036870807</v>
      </c>
      <c r="AO437" s="8" t="n">
        <f aca="false">-Opex_Admin*$F$6/Lump_Basis*AO435*AO424</f>
        <v>-71.2609762792577</v>
      </c>
      <c r="AP437" s="8" t="n">
        <f aca="false">-Opex_Admin*$F$6/Lump_Basis*AP435*AP424</f>
        <v>-73.0425006862391</v>
      </c>
      <c r="AQ437" s="8" t="n">
        <f aca="false">-Opex_Admin*$F$6/Lump_Basis*AQ435*AQ424</f>
        <v>-74.8685632033951</v>
      </c>
      <c r="AR437" s="8" t="n">
        <f aca="false">-Opex_Admin*$F$6/Lump_Basis*AR435*AR424</f>
        <v>-76.74027728348</v>
      </c>
      <c r="AS437" s="8" t="n">
        <f aca="false">-Opex_Admin*$F$6/Lump_Basis*AS435*AS424</f>
        <v>-39.3293921077835</v>
      </c>
    </row>
    <row r="438" customFormat="false" ht="14.25" hidden="false" customHeight="false" outlineLevel="0" collapsed="false">
      <c r="C438" s="6" t="s">
        <v>308</v>
      </c>
      <c r="D438" s="2" t="s">
        <v>85</v>
      </c>
      <c r="H438" s="8" t="n">
        <f aca="false">SUM(J438:AS438)</f>
        <v>-31411.9298672852</v>
      </c>
      <c r="J438" s="8" t="n">
        <f aca="false">-J432*(Balancing+Grid_Charges)*J435</f>
        <v>-0</v>
      </c>
      <c r="K438" s="8" t="n">
        <f aca="false">-K432*(Balancing+Grid_Charges)*K435</f>
        <v>-0</v>
      </c>
      <c r="L438" s="8" t="n">
        <f aca="false">-L432*(Balancing+Grid_Charges)*L435</f>
        <v>-0</v>
      </c>
      <c r="M438" s="8" t="n">
        <f aca="false">-M432*(Balancing+Grid_Charges)*M435</f>
        <v>-0</v>
      </c>
      <c r="N438" s="8" t="n">
        <f aca="false">-N432*(Balancing+Grid_Charges)*N435</f>
        <v>-0</v>
      </c>
      <c r="O438" s="8" t="n">
        <f aca="false">-O432*(Balancing+Grid_Charges)*O435</f>
        <v>-370.44</v>
      </c>
      <c r="P438" s="8" t="n">
        <f aca="false">-P432*(Balancing+Grid_Charges)*P435</f>
        <v>-759.402</v>
      </c>
      <c r="Q438" s="8" t="n">
        <f aca="false">-Q432*(Balancing+Grid_Charges)*Q435</f>
        <v>-776.05188885</v>
      </c>
      <c r="R438" s="8" t="n">
        <f aca="false">-R432*(Balancing+Grid_Charges)*R435</f>
        <v>-793.066826513036</v>
      </c>
      <c r="S438" s="8" t="n">
        <f aca="false">-S432*(Balancing+Grid_Charges)*S435</f>
        <v>-810.454816684334</v>
      </c>
      <c r="T438" s="8" t="n">
        <f aca="false">-T432*(Balancing+Grid_Charges)*T435</f>
        <v>-828.224038540138</v>
      </c>
      <c r="U438" s="8" t="n">
        <f aca="false">-U432*(Balancing+Grid_Charges)*U435</f>
        <v>-846.382850585131</v>
      </c>
      <c r="V438" s="8" t="n">
        <f aca="false">-V432*(Balancing+Grid_Charges)*V435</f>
        <v>-864.93979458421</v>
      </c>
      <c r="W438" s="8" t="n">
        <f aca="false">-W432*(Balancing+Grid_Charges)*W435</f>
        <v>-883.903599580468</v>
      </c>
      <c r="X438" s="8" t="n">
        <f aca="false">-X432*(Balancing+Grid_Charges)*X435</f>
        <v>-903.28318600127</v>
      </c>
      <c r="Y438" s="8" t="n">
        <f aca="false">-Y432*(Balancing+Grid_Charges)*Y435</f>
        <v>-923.087669854348</v>
      </c>
      <c r="Z438" s="8" t="n">
        <f aca="false">-Z432*(Balancing+Grid_Charges)*Z435</f>
        <v>-943.326367015904</v>
      </c>
      <c r="AA438" s="8" t="n">
        <f aca="false">-AA432*(Balancing+Grid_Charges)*AA435</f>
        <v>-964.008797612728</v>
      </c>
      <c r="AB438" s="8" t="n">
        <f aca="false">-AB432*(Balancing+Grid_Charges)*AB435</f>
        <v>-985.144690500387</v>
      </c>
      <c r="AC438" s="8" t="n">
        <f aca="false">-AC432*(Balancing+Grid_Charges)*AC435</f>
        <v>-1006.74398783961</v>
      </c>
      <c r="AD438" s="8" t="n">
        <f aca="false">-AD432*(Balancing+Grid_Charges)*AD435</f>
        <v>-1028.81684977299</v>
      </c>
      <c r="AE438" s="8" t="n">
        <f aca="false">-AE432*(Balancing+Grid_Charges)*AE435</f>
        <v>-1051.37365920426</v>
      </c>
      <c r="AF438" s="8" t="n">
        <f aca="false">-AF432*(Balancing+Grid_Charges)*AF435</f>
        <v>-1074.42502668232</v>
      </c>
      <c r="AG438" s="8" t="n">
        <f aca="false">-AG432*(Balancing+Grid_Charges)*AG435</f>
        <v>-1097.98179539233</v>
      </c>
      <c r="AH438" s="8" t="n">
        <f aca="false">-AH432*(Balancing+Grid_Charges)*AH435</f>
        <v>-1122.0550462563</v>
      </c>
      <c r="AI438" s="8" t="n">
        <f aca="false">-AI432*(Balancing+Grid_Charges)*AI435</f>
        <v>-1146.65610314547</v>
      </c>
      <c r="AJ438" s="8" t="n">
        <f aca="false">-AJ432*(Balancing+Grid_Charges)*AJ435</f>
        <v>-1171.79653820694</v>
      </c>
      <c r="AK438" s="8" t="n">
        <f aca="false">-AK432*(Balancing+Grid_Charges)*AK435</f>
        <v>-1197.48817730712</v>
      </c>
      <c r="AL438" s="8" t="n">
        <f aca="false">-AL432*(Balancing+Grid_Charges)*AL435</f>
        <v>-1223.74310559458</v>
      </c>
      <c r="AM438" s="8" t="n">
        <f aca="false">-AM432*(Balancing+Grid_Charges)*AM435</f>
        <v>-1250.57367318474</v>
      </c>
      <c r="AN438" s="8" t="n">
        <f aca="false">-AN432*(Balancing+Grid_Charges)*AN435</f>
        <v>-1277.99250096932</v>
      </c>
      <c r="AO438" s="8" t="n">
        <f aca="false">-AO432*(Balancing+Grid_Charges)*AO435</f>
        <v>-1306.01248655307</v>
      </c>
      <c r="AP438" s="8" t="n">
        <f aca="false">-AP432*(Balancing+Grid_Charges)*AP435</f>
        <v>-1334.64681032075</v>
      </c>
      <c r="AQ438" s="8" t="n">
        <f aca="false">-AQ432*(Balancing+Grid_Charges)*AQ435</f>
        <v>-1363.90894163703</v>
      </c>
      <c r="AR438" s="8" t="n">
        <f aca="false">-AR432*(Balancing+Grid_Charges)*AR435</f>
        <v>-1393.81264518242</v>
      </c>
      <c r="AS438" s="8" t="n">
        <f aca="false">-AS432*(Balancing+Grid_Charges)*AS435</f>
        <v>-712.185993714023</v>
      </c>
    </row>
    <row r="439" customFormat="false" ht="14.25" hidden="false" customHeight="false" outlineLevel="0" collapsed="false">
      <c r="C439" s="6" t="s">
        <v>309</v>
      </c>
      <c r="D439" s="2" t="s">
        <v>85</v>
      </c>
      <c r="H439" s="8" t="n">
        <f aca="false">SUM(J439:AS439)</f>
        <v>-446.130685729454</v>
      </c>
      <c r="J439" s="8" t="n">
        <f aca="false">-J434*MEKH_Fee</f>
        <v>-0</v>
      </c>
      <c r="K439" s="8" t="n">
        <f aca="false">-K434*MEKH_Fee</f>
        <v>-0</v>
      </c>
      <c r="L439" s="8" t="n">
        <f aca="false">-L434*MEKH_Fee</f>
        <v>-0</v>
      </c>
      <c r="M439" s="8" t="n">
        <f aca="false">-M434*MEKH_Fee</f>
        <v>-0</v>
      </c>
      <c r="N439" s="8" t="n">
        <f aca="false">-N434*MEKH_Fee</f>
        <v>-0</v>
      </c>
      <c r="O439" s="8" t="n">
        <f aca="false">-O434*MEKH_Fee</f>
        <v>-6.66792</v>
      </c>
      <c r="P439" s="8" t="n">
        <f aca="false">-P434*MEKH_Fee</f>
        <v>-13.4691984</v>
      </c>
      <c r="Q439" s="8" t="n">
        <f aca="false">-Q434*MEKH_Fee</f>
        <v>-13.563078712848</v>
      </c>
      <c r="R439" s="8" t="n">
        <f aca="false">-R434*MEKH_Fee</f>
        <v>-13.6576133714766</v>
      </c>
      <c r="S439" s="8" t="n">
        <f aca="false">-S434*MEKH_Fee</f>
        <v>-13.7528069366757</v>
      </c>
      <c r="T439" s="8" t="n">
        <f aca="false">-T434*MEKH_Fee</f>
        <v>-13.8486640010244</v>
      </c>
      <c r="U439" s="8" t="n">
        <f aca="false">-U434*MEKH_Fee</f>
        <v>-13.9451891891115</v>
      </c>
      <c r="V439" s="8" t="n">
        <f aca="false">-V434*MEKH_Fee</f>
        <v>-14.0423871577596</v>
      </c>
      <c r="W439" s="8" t="n">
        <f aca="false">-W434*MEKH_Fee</f>
        <v>-14.1402625962492</v>
      </c>
      <c r="X439" s="8" t="n">
        <f aca="false">-X434*MEKH_Fee</f>
        <v>-14.2388202265451</v>
      </c>
      <c r="Y439" s="8" t="n">
        <f aca="false">-Y434*MEKH_Fee</f>
        <v>-14.3380648035241</v>
      </c>
      <c r="Z439" s="8" t="n">
        <f aca="false">-Z434*MEKH_Fee</f>
        <v>-14.4380011152046</v>
      </c>
      <c r="AA439" s="8" t="n">
        <f aca="false">-AA434*MEKH_Fee</f>
        <v>-14.5386339829776</v>
      </c>
      <c r="AB439" s="8" t="n">
        <f aca="false">-AB434*MEKH_Fee</f>
        <v>-14.639968261839</v>
      </c>
      <c r="AC439" s="8" t="n">
        <f aca="false">-AC434*MEKH_Fee</f>
        <v>-14.742008840624</v>
      </c>
      <c r="AD439" s="8" t="n">
        <f aca="false">-AD434*MEKH_Fee</f>
        <v>-14.8447606422431</v>
      </c>
      <c r="AE439" s="8" t="n">
        <f aca="false">-AE434*MEKH_Fee</f>
        <v>-14.9482286239196</v>
      </c>
      <c r="AF439" s="8" t="n">
        <f aca="false">-AF434*MEKH_Fee</f>
        <v>-15.0524177774283</v>
      </c>
      <c r="AG439" s="8" t="n">
        <f aca="false">-AG434*MEKH_Fee</f>
        <v>-15.157333129337</v>
      </c>
      <c r="AH439" s="8" t="n">
        <f aca="false">-AH434*MEKH_Fee</f>
        <v>-15.2629797412485</v>
      </c>
      <c r="AI439" s="8" t="n">
        <f aca="false">-AI434*MEKH_Fee</f>
        <v>-15.369362710045</v>
      </c>
      <c r="AJ439" s="8" t="n">
        <f aca="false">-AJ434*MEKH_Fee</f>
        <v>-15.476487168134</v>
      </c>
      <c r="AK439" s="8" t="n">
        <f aca="false">-AK434*MEKH_Fee</f>
        <v>-15.5843582836959</v>
      </c>
      <c r="AL439" s="8" t="n">
        <f aca="false">-AL434*MEKH_Fee</f>
        <v>-15.6929812609332</v>
      </c>
      <c r="AM439" s="8" t="n">
        <f aca="false">-AM434*MEKH_Fee</f>
        <v>-15.8023613403219</v>
      </c>
      <c r="AN439" s="8" t="n">
        <f aca="false">-AN434*MEKH_Fee</f>
        <v>-15.912503798864</v>
      </c>
      <c r="AO439" s="8" t="n">
        <f aca="false">-AO434*MEKH_Fee</f>
        <v>-16.0234139503421</v>
      </c>
      <c r="AP439" s="8" t="n">
        <f aca="false">-AP434*MEKH_Fee</f>
        <v>-16.1350971455759</v>
      </c>
      <c r="AQ439" s="8" t="n">
        <f aca="false">-AQ434*MEKH_Fee</f>
        <v>-16.2475587726806</v>
      </c>
      <c r="AR439" s="8" t="n">
        <f aca="false">-AR434*MEKH_Fee</f>
        <v>-16.3608042573262</v>
      </c>
      <c r="AS439" s="8" t="n">
        <f aca="false">-AS434*MEKH_Fee</f>
        <v>-8.23741953149987</v>
      </c>
    </row>
    <row r="440" customFormat="false" ht="14.25" hidden="false" customHeight="false" outlineLevel="0" collapsed="false">
      <c r="C440" s="6" t="s">
        <v>310</v>
      </c>
      <c r="D440" s="2" t="s">
        <v>85</v>
      </c>
      <c r="H440" s="8" t="n">
        <f aca="false">SUM(J440:AS440)</f>
        <v>-5176.80416322124</v>
      </c>
      <c r="J440" s="8" t="n">
        <f aca="false">SUM(J436:J439)*Opex_Cont</f>
        <v>0</v>
      </c>
      <c r="K440" s="8" t="n">
        <f aca="false">SUM(K436:K439)*Opex_Cont</f>
        <v>0</v>
      </c>
      <c r="L440" s="8" t="n">
        <f aca="false">SUM(L436:L439)*Opex_Cont</f>
        <v>0</v>
      </c>
      <c r="M440" s="8" t="n">
        <f aca="false">SUM(M436:M439)*Opex_Cont</f>
        <v>0</v>
      </c>
      <c r="N440" s="8" t="n">
        <f aca="false">SUM(N436:N439)*Opex_Cont</f>
        <v>0</v>
      </c>
      <c r="O440" s="8" t="n">
        <f aca="false">SUM(O436:O439)*Opex_Cont</f>
        <v>-59.167896</v>
      </c>
      <c r="P440" s="8" t="n">
        <f aca="false">SUM(P436:P439)*Opex_Cont</f>
        <v>-121.28418492</v>
      </c>
      <c r="Q440" s="8" t="n">
        <f aca="false">SUM(Q436:Q439)*Opex_Cont</f>
        <v>-124.187389003142</v>
      </c>
      <c r="R440" s="8" t="n">
        <f aca="false">SUM(R436:R439)*Opex_Cont</f>
        <v>-127.160528634851</v>
      </c>
      <c r="S440" s="8" t="n">
        <f aca="false">SUM(S436:S439)*Opex_Cont</f>
        <v>-130.205295487691</v>
      </c>
      <c r="T440" s="8" t="n">
        <f aca="false">SUM(T436:T439)*Opex_Cont</f>
        <v>-133.323422291365</v>
      </c>
      <c r="U440" s="8" t="n">
        <f aca="false">SUM(U436:U439)*Opex_Cont</f>
        <v>-136.516683832126</v>
      </c>
      <c r="V440" s="8" t="n">
        <f aca="false">SUM(V436:V439)*Opex_Cont</f>
        <v>-139.786897976598</v>
      </c>
      <c r="W440" s="8" t="n">
        <f aca="false">SUM(W436:W439)*Opex_Cont</f>
        <v>-143.135926720573</v>
      </c>
      <c r="X440" s="8" t="n">
        <f aca="false">SUM(X436:X439)*Opex_Cont</f>
        <v>-146.565677263421</v>
      </c>
      <c r="Y440" s="8" t="n">
        <f aca="false">SUM(Y436:Y439)*Opex_Cont</f>
        <v>-150.078103108725</v>
      </c>
      <c r="Z440" s="8" t="n">
        <f aca="false">SUM(Z436:Z439)*Opex_Cont</f>
        <v>-153.675205191783</v>
      </c>
      <c r="AA440" s="8" t="n">
        <f aca="false">SUM(AA436:AA439)*Opex_Cont</f>
        <v>-157.359033034643</v>
      </c>
      <c r="AB440" s="8" t="n">
        <f aca="false">SUM(AB436:AB439)*Opex_Cont</f>
        <v>-161.13168592934</v>
      </c>
      <c r="AC440" s="8" t="n">
        <f aca="false">SUM(AC436:AC439)*Opex_Cont</f>
        <v>-164.995314150021</v>
      </c>
      <c r="AD440" s="8" t="n">
        <f aca="false">SUM(AD436:AD439)*Opex_Cont</f>
        <v>-168.952120194672</v>
      </c>
      <c r="AE440" s="8" t="n">
        <f aca="false">SUM(AE436:AE439)*Opex_Cont</f>
        <v>-173.004360057167</v>
      </c>
      <c r="AF440" s="8" t="n">
        <f aca="false">SUM(AF436:AF439)*Opex_Cont</f>
        <v>-177.154344530389</v>
      </c>
      <c r="AG440" s="8" t="n">
        <f aca="false">SUM(AG436:AG439)*Opex_Cont</f>
        <v>-181.40444054117</v>
      </c>
      <c r="AH440" s="8" t="n">
        <f aca="false">SUM(AH436:AH439)*Opex_Cont</f>
        <v>-185.757072517842</v>
      </c>
      <c r="AI440" s="8" t="n">
        <f aca="false">SUM(AI436:AI439)*Opex_Cont</f>
        <v>-190.214723791189</v>
      </c>
      <c r="AJ440" s="8" t="n">
        <f aca="false">SUM(AJ436:AJ439)*Opex_Cont</f>
        <v>-194.779938029627</v>
      </c>
      <c r="AK440" s="8" t="n">
        <f aca="false">SUM(AK436:AK439)*Opex_Cont</f>
        <v>-199.455320709436</v>
      </c>
      <c r="AL440" s="8" t="n">
        <f aca="false">SUM(AL436:AL439)*Opex_Cont</f>
        <v>-204.243540620918</v>
      </c>
      <c r="AM440" s="8" t="n">
        <f aca="false">SUM(AM436:AM439)*Opex_Cont</f>
        <v>-209.147331411349</v>
      </c>
      <c r="AN440" s="8" t="n">
        <f aca="false">SUM(AN436:AN439)*Opex_Cont</f>
        <v>-214.169493165633</v>
      </c>
      <c r="AO440" s="8" t="n">
        <f aca="false">SUM(AO436:AO439)*Opex_Cont</f>
        <v>-219.312894025575</v>
      </c>
      <c r="AP440" s="8" t="n">
        <f aca="false">SUM(AP436:AP439)*Opex_Cont</f>
        <v>-224.58047184873</v>
      </c>
      <c r="AQ440" s="8" t="n">
        <f aca="false">SUM(AQ436:AQ439)*Opex_Cont</f>
        <v>-229.975235907785</v>
      </c>
      <c r="AR440" s="8" t="n">
        <f aca="false">SUM(AR436:AR439)*Opex_Cont</f>
        <v>-235.500268631469</v>
      </c>
      <c r="AS440" s="8" t="n">
        <f aca="false">SUM(AS436:AS439)*Opex_Cont</f>
        <v>-120.579363694011</v>
      </c>
    </row>
    <row r="441" customFormat="false" ht="14.25" hidden="false" customHeight="false" outlineLevel="0" collapsed="false">
      <c r="C441" s="6" t="s">
        <v>311</v>
      </c>
      <c r="D441" s="2" t="s">
        <v>85</v>
      </c>
      <c r="H441" s="8" t="n">
        <f aca="false">SUM(J441:AS441)</f>
        <v>-12790.1964811942</v>
      </c>
      <c r="J441" s="8" t="n">
        <f aca="false">-J432*$F$12</f>
        <v>-0</v>
      </c>
      <c r="K441" s="8" t="n">
        <f aca="false">-K432*$F$12</f>
        <v>-0</v>
      </c>
      <c r="L441" s="8" t="n">
        <f aca="false">-L432*$F$12</f>
        <v>-0</v>
      </c>
      <c r="M441" s="8" t="n">
        <f aca="false">-M432*$F$12</f>
        <v>-0</v>
      </c>
      <c r="N441" s="8" t="n">
        <f aca="false">-N432*$F$12</f>
        <v>-0</v>
      </c>
      <c r="O441" s="8" t="n">
        <f aca="false">-O432*$F$12</f>
        <v>-222.264</v>
      </c>
      <c r="P441" s="8" t="n">
        <f aca="false">-P432*$F$12</f>
        <v>-444.528</v>
      </c>
      <c r="Q441" s="8" t="n">
        <f aca="false">-Q432*$F$12</f>
        <v>-443.194416</v>
      </c>
      <c r="R441" s="8" t="n">
        <f aca="false">-R432*$F$12</f>
        <v>-441.864832752</v>
      </c>
      <c r="S441" s="8" t="n">
        <f aca="false">-S432*$F$12</f>
        <v>-440.539238253744</v>
      </c>
      <c r="T441" s="8" t="n">
        <f aca="false">-T432*$F$12</f>
        <v>-439.217620538983</v>
      </c>
      <c r="U441" s="8" t="n">
        <f aca="false">-U432*$F$12</f>
        <v>-437.899967677366</v>
      </c>
      <c r="V441" s="8" t="n">
        <f aca="false">-V432*$F$12</f>
        <v>-436.586267774334</v>
      </c>
      <c r="W441" s="8" t="n">
        <f aca="false">-W432*$F$12</f>
        <v>-435.276508971011</v>
      </c>
      <c r="X441" s="8" t="n">
        <f aca="false">-X432*$F$12</f>
        <v>-433.970679444098</v>
      </c>
      <c r="Y441" s="8" t="n">
        <f aca="false">-Y432*$F$12</f>
        <v>-432.668767405765</v>
      </c>
      <c r="Z441" s="8" t="n">
        <f aca="false">-Z432*$F$12</f>
        <v>-431.370761103548</v>
      </c>
      <c r="AA441" s="8" t="n">
        <f aca="false">-AA432*$F$12</f>
        <v>-430.076648820237</v>
      </c>
      <c r="AB441" s="8" t="n">
        <f aca="false">-AB432*$F$12</f>
        <v>-428.786418873777</v>
      </c>
      <c r="AC441" s="8" t="n">
        <f aca="false">-AC432*$F$12</f>
        <v>-427.500059617155</v>
      </c>
      <c r="AD441" s="8" t="n">
        <f aca="false">-AD432*$F$12</f>
        <v>-426.217559438304</v>
      </c>
      <c r="AE441" s="8" t="n">
        <f aca="false">-AE432*$F$12</f>
        <v>-424.938906759989</v>
      </c>
      <c r="AF441" s="8" t="n">
        <f aca="false">-AF432*$F$12</f>
        <v>-423.664090039709</v>
      </c>
      <c r="AG441" s="8" t="n">
        <f aca="false">-AG432*$F$12</f>
        <v>-422.39309776959</v>
      </c>
      <c r="AH441" s="8" t="n">
        <f aca="false">-AH432*$F$12</f>
        <v>-421.125918476281</v>
      </c>
      <c r="AI441" s="8" t="n">
        <f aca="false">-AI432*$F$12</f>
        <v>-419.862540720852</v>
      </c>
      <c r="AJ441" s="8" t="n">
        <f aca="false">-AJ432*$F$12</f>
        <v>-418.60295309869</v>
      </c>
      <c r="AK441" s="8" t="n">
        <f aca="false">-AK432*$F$12</f>
        <v>-417.347144239394</v>
      </c>
      <c r="AL441" s="8" t="n">
        <f aca="false">-AL432*$F$12</f>
        <v>-416.095102806675</v>
      </c>
      <c r="AM441" s="8" t="n">
        <f aca="false">-AM432*$F$12</f>
        <v>-414.846817498256</v>
      </c>
      <c r="AN441" s="8" t="n">
        <f aca="false">-AN432*$F$12</f>
        <v>-413.602277045761</v>
      </c>
      <c r="AO441" s="8" t="n">
        <f aca="false">-AO432*$F$12</f>
        <v>-412.361470214623</v>
      </c>
      <c r="AP441" s="8" t="n">
        <f aca="false">-AP432*$F$12</f>
        <v>-411.12438580398</v>
      </c>
      <c r="AQ441" s="8" t="n">
        <f aca="false">-AQ432*$F$12</f>
        <v>-409.891012646568</v>
      </c>
      <c r="AR441" s="8" t="n">
        <f aca="false">-AR432*$F$12</f>
        <v>-408.661339608628</v>
      </c>
      <c r="AS441" s="8" t="n">
        <f aca="false">-AS432*$F$12</f>
        <v>-203.717677794901</v>
      </c>
    </row>
    <row r="442" customFormat="false" ht="14.25" hidden="false" customHeight="false" outlineLevel="0" collapsed="false">
      <c r="C442" s="6" t="s">
        <v>312</v>
      </c>
      <c r="D442" s="2" t="s">
        <v>85</v>
      </c>
      <c r="H442" s="8" t="n">
        <f aca="false">SUM(J442:AS442)</f>
        <v>-8922.61371458909</v>
      </c>
      <c r="J442" s="8" t="n">
        <f aca="false">-J434*HIPA_Rate</f>
        <v>-0</v>
      </c>
      <c r="K442" s="8" t="n">
        <f aca="false">-K434*HIPA_Rate</f>
        <v>-0</v>
      </c>
      <c r="L442" s="8" t="n">
        <f aca="false">-L434*HIPA_Rate</f>
        <v>-0</v>
      </c>
      <c r="M442" s="8" t="n">
        <f aca="false">-M434*HIPA_Rate</f>
        <v>-0</v>
      </c>
      <c r="N442" s="8" t="n">
        <f aca="false">-N434*HIPA_Rate</f>
        <v>-0</v>
      </c>
      <c r="O442" s="8" t="n">
        <f aca="false">-O434*HIPA_Rate</f>
        <v>-133.3584</v>
      </c>
      <c r="P442" s="8" t="n">
        <f aca="false">-P434*HIPA_Rate</f>
        <v>-269.383968</v>
      </c>
      <c r="Q442" s="8" t="n">
        <f aca="false">-Q434*HIPA_Rate</f>
        <v>-271.26157425696</v>
      </c>
      <c r="R442" s="8" t="n">
        <f aca="false">-R434*HIPA_Rate</f>
        <v>-273.152267429531</v>
      </c>
      <c r="S442" s="8" t="n">
        <f aca="false">-S434*HIPA_Rate</f>
        <v>-275.056138733515</v>
      </c>
      <c r="T442" s="8" t="n">
        <f aca="false">-T434*HIPA_Rate</f>
        <v>-276.973280020488</v>
      </c>
      <c r="U442" s="8" t="n">
        <f aca="false">-U434*HIPA_Rate</f>
        <v>-278.90378378223</v>
      </c>
      <c r="V442" s="8" t="n">
        <f aca="false">-V434*HIPA_Rate</f>
        <v>-280.847743155192</v>
      </c>
      <c r="W442" s="8" t="n">
        <f aca="false">-W434*HIPA_Rate</f>
        <v>-282.805251924984</v>
      </c>
      <c r="X442" s="8" t="n">
        <f aca="false">-X434*HIPA_Rate</f>
        <v>-284.776404530901</v>
      </c>
      <c r="Y442" s="8" t="n">
        <f aca="false">-Y434*HIPA_Rate</f>
        <v>-286.761296070482</v>
      </c>
      <c r="Z442" s="8" t="n">
        <f aca="false">-Z434*HIPA_Rate</f>
        <v>-288.760022304093</v>
      </c>
      <c r="AA442" s="8" t="n">
        <f aca="false">-AA434*HIPA_Rate</f>
        <v>-290.772679659552</v>
      </c>
      <c r="AB442" s="8" t="n">
        <f aca="false">-AB434*HIPA_Rate</f>
        <v>-292.799365236779</v>
      </c>
      <c r="AC442" s="8" t="n">
        <f aca="false">-AC434*HIPA_Rate</f>
        <v>-294.84017681248</v>
      </c>
      <c r="AD442" s="8" t="n">
        <f aca="false">-AD434*HIPA_Rate</f>
        <v>-296.895212844863</v>
      </c>
      <c r="AE442" s="8" t="n">
        <f aca="false">-AE434*HIPA_Rate</f>
        <v>-298.964572478392</v>
      </c>
      <c r="AF442" s="8" t="n">
        <f aca="false">-AF434*HIPA_Rate</f>
        <v>-301.048355548566</v>
      </c>
      <c r="AG442" s="8" t="n">
        <f aca="false">-AG434*HIPA_Rate</f>
        <v>-303.146662586739</v>
      </c>
      <c r="AH442" s="8" t="n">
        <f aca="false">-AH434*HIPA_Rate</f>
        <v>-305.259594824969</v>
      </c>
      <c r="AI442" s="8" t="n">
        <f aca="false">-AI434*HIPA_Rate</f>
        <v>-307.387254200899</v>
      </c>
      <c r="AJ442" s="8" t="n">
        <f aca="false">-AJ434*HIPA_Rate</f>
        <v>-309.529743362679</v>
      </c>
      <c r="AK442" s="8" t="n">
        <f aca="false">-AK434*HIPA_Rate</f>
        <v>-311.687165673917</v>
      </c>
      <c r="AL442" s="8" t="n">
        <f aca="false">-AL434*HIPA_Rate</f>
        <v>-313.859625218664</v>
      </c>
      <c r="AM442" s="8" t="n">
        <f aca="false">-AM434*HIPA_Rate</f>
        <v>-316.047226806439</v>
      </c>
      <c r="AN442" s="8" t="n">
        <f aca="false">-AN434*HIPA_Rate</f>
        <v>-318.250075977279</v>
      </c>
      <c r="AO442" s="8" t="n">
        <f aca="false">-AO434*HIPA_Rate</f>
        <v>-320.468279006841</v>
      </c>
      <c r="AP442" s="8" t="n">
        <f aca="false">-AP434*HIPA_Rate</f>
        <v>-322.701942911519</v>
      </c>
      <c r="AQ442" s="8" t="n">
        <f aca="false">-AQ434*HIPA_Rate</f>
        <v>-324.951175453612</v>
      </c>
      <c r="AR442" s="8" t="n">
        <f aca="false">-AR434*HIPA_Rate</f>
        <v>-327.216085146524</v>
      </c>
      <c r="AS442" s="8" t="n">
        <f aca="false">-AS434*HIPA_Rate</f>
        <v>-164.748390629997</v>
      </c>
    </row>
    <row r="443" customFormat="false" ht="14.25" hidden="false" customHeight="false" outlineLevel="0" collapsed="false">
      <c r="C443" s="1" t="s">
        <v>313</v>
      </c>
      <c r="D443" s="2" t="s">
        <v>85</v>
      </c>
      <c r="H443" s="32" t="n">
        <f aca="false">SUM(J443:AS443)</f>
        <v>-130425.697623429</v>
      </c>
      <c r="J443" s="32" t="n">
        <f aca="false">SUM(J436:J442)</f>
        <v>0</v>
      </c>
      <c r="K443" s="32" t="n">
        <f aca="false">SUM(K436:K442)</f>
        <v>0</v>
      </c>
      <c r="L443" s="32" t="n">
        <f aca="false">SUM(L436:L442)</f>
        <v>0</v>
      </c>
      <c r="M443" s="32" t="n">
        <f aca="false">SUM(M436:M442)</f>
        <v>0</v>
      </c>
      <c r="N443" s="32" t="n">
        <f aca="false">SUM(N436:N442)</f>
        <v>0</v>
      </c>
      <c r="O443" s="32" t="n">
        <f aca="false">SUM(O436:O442)</f>
        <v>-1598.148216</v>
      </c>
      <c r="P443" s="32" t="n">
        <f aca="false">SUM(P436:P442)</f>
        <v>-3260.87985132</v>
      </c>
      <c r="Q443" s="32" t="n">
        <f aca="false">SUM(Q436:Q442)</f>
        <v>-3322.39115932295</v>
      </c>
      <c r="R443" s="32" t="n">
        <f aca="false">SUM(R436:R442)</f>
        <v>-3385.38820151339</v>
      </c>
      <c r="S443" s="32" t="n">
        <f aca="false">SUM(S436:S442)</f>
        <v>-3449.90658222877</v>
      </c>
      <c r="T443" s="32" t="n">
        <f aca="false">SUM(T436:T442)</f>
        <v>-3515.98276867813</v>
      </c>
      <c r="U443" s="32" t="n">
        <f aca="false">SUM(U436:U442)</f>
        <v>-3583.65411193425</v>
      </c>
      <c r="V443" s="32" t="n">
        <f aca="false">SUM(V436:V442)</f>
        <v>-3652.95886843809</v>
      </c>
      <c r="W443" s="32" t="n">
        <f aca="false">SUM(W436:W442)</f>
        <v>-3723.93622202803</v>
      </c>
      <c r="X443" s="32" t="n">
        <f aca="false">SUM(X436:X442)</f>
        <v>-3796.62630650685</v>
      </c>
      <c r="Y443" s="32" t="n">
        <f aca="false">SUM(Y436:Y442)</f>
        <v>-3871.07022875947</v>
      </c>
      <c r="Z443" s="32" t="n">
        <f aca="false">SUM(Z436:Z442)</f>
        <v>-3947.31009243507</v>
      </c>
      <c r="AA443" s="32" t="n">
        <f aca="false">SUM(AA436:AA442)</f>
        <v>-4025.38902220729</v>
      </c>
      <c r="AB443" s="32" t="n">
        <f aca="false">SUM(AB436:AB442)</f>
        <v>-4105.3511886267</v>
      </c>
      <c r="AC443" s="32" t="n">
        <f aca="false">SUM(AC436:AC442)</f>
        <v>-4187.24183358009</v>
      </c>
      <c r="AD443" s="32" t="n">
        <f aca="false">SUM(AD436:AD442)</f>
        <v>-4271.10729637127</v>
      </c>
      <c r="AE443" s="32" t="n">
        <f aca="false">SUM(AE436:AE442)</f>
        <v>-4356.99504043889</v>
      </c>
      <c r="AF443" s="32" t="n">
        <f aca="false">SUM(AF436:AF442)</f>
        <v>-4444.95368072645</v>
      </c>
      <c r="AG443" s="32" t="n">
        <f aca="false">SUM(AG436:AG442)</f>
        <v>-4535.0330117209</v>
      </c>
      <c r="AH443" s="32" t="n">
        <f aca="false">SUM(AH436:AH442)</f>
        <v>-4627.28403617592</v>
      </c>
      <c r="AI443" s="32" t="n">
        <f aca="false">SUM(AI436:AI442)</f>
        <v>-4721.75899453672</v>
      </c>
      <c r="AJ443" s="32" t="n">
        <f aca="false">SUM(AJ436:AJ442)</f>
        <v>-4818.51139508354</v>
      </c>
      <c r="AK443" s="32" t="n">
        <f aca="false">SUM(AK436:AK442)</f>
        <v>-4917.59604481147</v>
      </c>
      <c r="AL443" s="32" t="n">
        <f aca="false">SUM(AL436:AL442)</f>
        <v>-5019.06908106463</v>
      </c>
      <c r="AM443" s="32" t="n">
        <f aca="false">SUM(AM436:AM442)</f>
        <v>-5122.98800394303</v>
      </c>
      <c r="AN443" s="32" t="n">
        <f aca="false">SUM(AN436:AN442)</f>
        <v>-5229.41170950133</v>
      </c>
      <c r="AO443" s="32" t="n">
        <f aca="false">SUM(AO436:AO442)</f>
        <v>-5338.40052375853</v>
      </c>
      <c r="AP443" s="32" t="n">
        <f aca="false">SUM(AP436:AP442)</f>
        <v>-5450.01623753884</v>
      </c>
      <c r="AQ443" s="32" t="n">
        <f aca="false">SUM(AQ436:AQ442)</f>
        <v>-5564.32214216366</v>
      </c>
      <c r="AR443" s="32" t="n">
        <f aca="false">SUM(AR436:AR442)</f>
        <v>-5681.38306601601</v>
      </c>
      <c r="AS443" s="32" t="n">
        <f aca="false">SUM(AS436:AS442)</f>
        <v>-2900.63270599912</v>
      </c>
    </row>
    <row r="444" customFormat="false" ht="14.25" hidden="false" customHeight="false" outlineLevel="0" collapsed="false">
      <c r="C444" s="1" t="s">
        <v>160</v>
      </c>
      <c r="D444" s="2" t="s">
        <v>85</v>
      </c>
      <c r="H444" s="15" t="n">
        <f aca="false">SUM(J444:AS444)</f>
        <v>315704.988106025</v>
      </c>
      <c r="J444" s="15" t="n">
        <f aca="false">J434+J443</f>
        <v>0</v>
      </c>
      <c r="K444" s="15" t="n">
        <f aca="false">K434+K443</f>
        <v>0</v>
      </c>
      <c r="L444" s="15" t="n">
        <f aca="false">L434+L443</f>
        <v>0</v>
      </c>
      <c r="M444" s="15" t="n">
        <f aca="false">M434+M443</f>
        <v>0</v>
      </c>
      <c r="N444" s="15" t="n">
        <f aca="false">N434+N443</f>
        <v>0</v>
      </c>
      <c r="O444" s="15" t="n">
        <f aca="false">O434+O443</f>
        <v>5069.771784</v>
      </c>
      <c r="P444" s="15" t="n">
        <f aca="false">P434+P443</f>
        <v>10208.31854868</v>
      </c>
      <c r="Q444" s="15" t="n">
        <f aca="false">Q434+Q443</f>
        <v>10240.6875535251</v>
      </c>
      <c r="R444" s="15" t="n">
        <f aca="false">R434+R443</f>
        <v>10272.2251699632</v>
      </c>
      <c r="S444" s="15" t="n">
        <f aca="false">S434+S443</f>
        <v>10302.900354447</v>
      </c>
      <c r="T444" s="15" t="n">
        <f aca="false">T434+T443</f>
        <v>10332.6812323462</v>
      </c>
      <c r="U444" s="15" t="n">
        <f aca="false">U434+U443</f>
        <v>10361.5350771773</v>
      </c>
      <c r="V444" s="15" t="n">
        <f aca="false">V434+V443</f>
        <v>10389.4282893215</v>
      </c>
      <c r="W444" s="15" t="n">
        <f aca="false">W434+W443</f>
        <v>10416.3263742212</v>
      </c>
      <c r="X444" s="15" t="n">
        <f aca="false">X434+X443</f>
        <v>10442.1939200382</v>
      </c>
      <c r="Y444" s="15" t="n">
        <f aca="false">Y434+Y443</f>
        <v>10466.9945747646</v>
      </c>
      <c r="Z444" s="15" t="n">
        <f aca="false">Z434+Z443</f>
        <v>10490.6910227696</v>
      </c>
      <c r="AA444" s="15" t="n">
        <f aca="false">AA434+AA443</f>
        <v>10513.2449607703</v>
      </c>
      <c r="AB444" s="15" t="n">
        <f aca="false">AB434+AB443</f>
        <v>10534.6170732123</v>
      </c>
      <c r="AC444" s="15" t="n">
        <f aca="false">AC434+AC443</f>
        <v>10554.7670070439</v>
      </c>
      <c r="AD444" s="15" t="n">
        <f aca="false">AD434+AD443</f>
        <v>10573.6533458719</v>
      </c>
      <c r="AE444" s="15" t="n">
        <f aca="false">AE434+AE443</f>
        <v>10591.2335834807</v>
      </c>
      <c r="AF444" s="15" t="n">
        <f aca="false">AF434+AF443</f>
        <v>10607.4640967019</v>
      </c>
      <c r="AG444" s="15" t="n">
        <f aca="false">AG434+AG443</f>
        <v>10622.3001176161</v>
      </c>
      <c r="AH444" s="15" t="n">
        <f aca="false">AH434+AH443</f>
        <v>10635.6957050725</v>
      </c>
      <c r="AI444" s="15" t="n">
        <f aca="false">AI434+AI443</f>
        <v>10647.6037155082</v>
      </c>
      <c r="AJ444" s="15" t="n">
        <f aca="false">AJ434+AJ443</f>
        <v>10657.9757730504</v>
      </c>
      <c r="AK444" s="15" t="n">
        <f aca="false">AK434+AK443</f>
        <v>10666.7622388844</v>
      </c>
      <c r="AL444" s="15" t="n">
        <f aca="false">AL434+AL443</f>
        <v>10673.9121798686</v>
      </c>
      <c r="AM444" s="15" t="n">
        <f aca="false">AM434+AM443</f>
        <v>10679.3733363789</v>
      </c>
      <c r="AN444" s="15" t="n">
        <f aca="false">AN434+AN443</f>
        <v>10683.0920893626</v>
      </c>
      <c r="AO444" s="15" t="n">
        <f aca="false">AO434+AO443</f>
        <v>10685.0134265835</v>
      </c>
      <c r="AP444" s="15" t="n">
        <f aca="false">AP434+AP443</f>
        <v>10685.0809080371</v>
      </c>
      <c r="AQ444" s="15" t="n">
        <f aca="false">AQ434+AQ443</f>
        <v>10683.2366305169</v>
      </c>
      <c r="AR444" s="15" t="n">
        <f aca="false">AR434+AR443</f>
        <v>10679.4211913102</v>
      </c>
      <c r="AS444" s="15" t="n">
        <f aca="false">AS434+AS443</f>
        <v>5336.78682550075</v>
      </c>
    </row>
    <row r="445" customFormat="false" ht="14.25" hidden="false" customHeight="false" outlineLevel="0" collapsed="false">
      <c r="C445" s="1" t="s">
        <v>314</v>
      </c>
      <c r="D445" s="2" t="s">
        <v>85</v>
      </c>
      <c r="H445" s="32" t="n">
        <f aca="false">SUM(J445:AS445)</f>
        <v>238904.92885945</v>
      </c>
      <c r="J445" s="32" t="n">
        <f aca="false">J430+J444</f>
        <v>0</v>
      </c>
      <c r="K445" s="32" t="n">
        <f aca="false">K430+K444</f>
        <v>0</v>
      </c>
      <c r="L445" s="32" t="n">
        <f aca="false">L430+L444</f>
        <v>0</v>
      </c>
      <c r="M445" s="32" t="n">
        <f aca="false">M430+M444</f>
        <v>-29757.5797945206</v>
      </c>
      <c r="N445" s="32" t="n">
        <f aca="false">N430+N444</f>
        <v>-31358</v>
      </c>
      <c r="O445" s="32" t="n">
        <f aca="false">O430+O444</f>
        <v>-13109.228216</v>
      </c>
      <c r="P445" s="32" t="n">
        <f aca="false">P430+P444</f>
        <v>10208.31854868</v>
      </c>
      <c r="Q445" s="32" t="n">
        <f aca="false">Q430+Q444</f>
        <v>12735.2081014703</v>
      </c>
      <c r="R445" s="32" t="n">
        <f aca="false">R430+R444</f>
        <v>10272.2251699632</v>
      </c>
      <c r="S445" s="32" t="n">
        <f aca="false">S430+S444</f>
        <v>10302.900354447</v>
      </c>
      <c r="T445" s="32" t="n">
        <f aca="false">T430+T444</f>
        <v>10332.6812323462</v>
      </c>
      <c r="U445" s="32" t="n">
        <f aca="false">U430+U444</f>
        <v>10361.5350771773</v>
      </c>
      <c r="V445" s="32" t="n">
        <f aca="false">V430+V444</f>
        <v>10389.4282893215</v>
      </c>
      <c r="W445" s="32" t="n">
        <f aca="false">W430+W444</f>
        <v>10416.3263742212</v>
      </c>
      <c r="X445" s="32" t="n">
        <f aca="false">X430+X444</f>
        <v>10442.1939200382</v>
      </c>
      <c r="Y445" s="32" t="n">
        <f aca="false">Y430+Y444</f>
        <v>10466.9945747646</v>
      </c>
      <c r="Z445" s="32" t="n">
        <f aca="false">Z430+Z444</f>
        <v>10490.6910227696</v>
      </c>
      <c r="AA445" s="32" t="n">
        <f aca="false">AA430+AA444</f>
        <v>10513.2449607703</v>
      </c>
      <c r="AB445" s="32" t="n">
        <f aca="false">AB430+AB444</f>
        <v>10534.6170732123</v>
      </c>
      <c r="AC445" s="32" t="n">
        <f aca="false">AC430+AC444</f>
        <v>10554.7670070439</v>
      </c>
      <c r="AD445" s="32" t="n">
        <f aca="false">AD430+AD444</f>
        <v>10573.6533458719</v>
      </c>
      <c r="AE445" s="32" t="n">
        <f aca="false">AE430+AE444</f>
        <v>10591.2335834807</v>
      </c>
      <c r="AF445" s="32" t="n">
        <f aca="false">AF430+AF444</f>
        <v>10607.4640967019</v>
      </c>
      <c r="AG445" s="32" t="n">
        <f aca="false">AG430+AG444</f>
        <v>10622.3001176161</v>
      </c>
      <c r="AH445" s="32" t="n">
        <f aca="false">AH430+AH444</f>
        <v>10635.6957050725</v>
      </c>
      <c r="AI445" s="32" t="n">
        <f aca="false">AI430+AI444</f>
        <v>10647.6037155082</v>
      </c>
      <c r="AJ445" s="32" t="n">
        <f aca="false">AJ430+AJ444</f>
        <v>10657.9757730504</v>
      </c>
      <c r="AK445" s="32" t="n">
        <f aca="false">AK430+AK444</f>
        <v>10666.7622388844</v>
      </c>
      <c r="AL445" s="32" t="n">
        <f aca="false">AL430+AL444</f>
        <v>10673.9121798686</v>
      </c>
      <c r="AM445" s="32" t="n">
        <f aca="false">AM430+AM444</f>
        <v>10679.3733363789</v>
      </c>
      <c r="AN445" s="32" t="n">
        <f aca="false">AN430+AN444</f>
        <v>10683.0920893626</v>
      </c>
      <c r="AO445" s="32" t="n">
        <f aca="false">AO430+AO444</f>
        <v>10685.0134265835</v>
      </c>
      <c r="AP445" s="32" t="n">
        <f aca="false">AP430+AP444</f>
        <v>10685.0809080371</v>
      </c>
      <c r="AQ445" s="32" t="n">
        <f aca="false">AQ430+AQ444</f>
        <v>10683.2366305169</v>
      </c>
      <c r="AR445" s="32" t="n">
        <f aca="false">AR430+AR444</f>
        <v>10679.4211913102</v>
      </c>
      <c r="AS445" s="32" t="n">
        <f aca="false">AS430+AS444</f>
        <v>5336.78682550075</v>
      </c>
    </row>
    <row r="446" customFormat="false" ht="14.25" hidden="false" customHeight="false" outlineLevel="0" collapsed="false">
      <c r="C446" s="6" t="s">
        <v>315</v>
      </c>
      <c r="D446" s="2" t="s">
        <v>12</v>
      </c>
      <c r="H446" s="75" t="n">
        <f aca="false">SUM(J446:AS446)</f>
        <v>20</v>
      </c>
      <c r="J446" s="48" t="n">
        <f aca="false">MAX(0,MIN(J423,Tax_Dep_Life*Months_In_Year)-MAX(J423-Months_In_Year,0))/Months_In_Year</f>
        <v>0</v>
      </c>
      <c r="K446" s="48" t="n">
        <f aca="false">MAX(0,MIN(K423,Tax_Dep_Life*Months_In_Year)-MAX(K423-Months_In_Year,0))/Months_In_Year</f>
        <v>0</v>
      </c>
      <c r="L446" s="48" t="n">
        <f aca="false">MAX(0,MIN(L423,Tax_Dep_Life*Months_In_Year)-MAX(L423-Months_In_Year,0))/Months_In_Year</f>
        <v>0</v>
      </c>
      <c r="M446" s="48" t="n">
        <f aca="false">MAX(0,MIN(M423,Tax_Dep_Life*Months_In_Year)-MAX(M423-Months_In_Year,0))/Months_In_Year</f>
        <v>0</v>
      </c>
      <c r="N446" s="48" t="n">
        <f aca="false">MAX(0,MIN(N423,Tax_Dep_Life*Months_In_Year)-MAX(N423-Months_In_Year,0))/Months_In_Year</f>
        <v>0</v>
      </c>
      <c r="O446" s="48" t="n">
        <f aca="false">MAX(0,MIN(O423,Tax_Dep_Life*Months_In_Year)-MAX(O423-Months_In_Year,0))/Months_In_Year</f>
        <v>0.5</v>
      </c>
      <c r="P446" s="48" t="n">
        <f aca="false">MAX(0,MIN(P423,Tax_Dep_Life*Months_In_Year)-MAX(P423-Months_In_Year,0))/Months_In_Year</f>
        <v>1</v>
      </c>
      <c r="Q446" s="48" t="n">
        <f aca="false">MAX(0,MIN(Q423,Tax_Dep_Life*Months_In_Year)-MAX(Q423-Months_In_Year,0))/Months_In_Year</f>
        <v>1</v>
      </c>
      <c r="R446" s="48" t="n">
        <f aca="false">MAX(0,MIN(R423,Tax_Dep_Life*Months_In_Year)-MAX(R423-Months_In_Year,0))/Months_In_Year</f>
        <v>1</v>
      </c>
      <c r="S446" s="48" t="n">
        <f aca="false">MAX(0,MIN(S423,Tax_Dep_Life*Months_In_Year)-MAX(S423-Months_In_Year,0))/Months_In_Year</f>
        <v>1</v>
      </c>
      <c r="T446" s="48" t="n">
        <f aca="false">MAX(0,MIN(T423,Tax_Dep_Life*Months_In_Year)-MAX(T423-Months_In_Year,0))/Months_In_Year</f>
        <v>1</v>
      </c>
      <c r="U446" s="48" t="n">
        <f aca="false">MAX(0,MIN(U423,Tax_Dep_Life*Months_In_Year)-MAX(U423-Months_In_Year,0))/Months_In_Year</f>
        <v>1</v>
      </c>
      <c r="V446" s="48" t="n">
        <f aca="false">MAX(0,MIN(V423,Tax_Dep_Life*Months_In_Year)-MAX(V423-Months_In_Year,0))/Months_In_Year</f>
        <v>1</v>
      </c>
      <c r="W446" s="48" t="n">
        <f aca="false">MAX(0,MIN(W423,Tax_Dep_Life*Months_In_Year)-MAX(W423-Months_In_Year,0))/Months_In_Year</f>
        <v>1</v>
      </c>
      <c r="X446" s="48" t="n">
        <f aca="false">MAX(0,MIN(X423,Tax_Dep_Life*Months_In_Year)-MAX(X423-Months_In_Year,0))/Months_In_Year</f>
        <v>1</v>
      </c>
      <c r="Y446" s="48" t="n">
        <f aca="false">MAX(0,MIN(Y423,Tax_Dep_Life*Months_In_Year)-MAX(Y423-Months_In_Year,0))/Months_In_Year</f>
        <v>1</v>
      </c>
      <c r="Z446" s="48" t="n">
        <f aca="false">MAX(0,MIN(Z423,Tax_Dep_Life*Months_In_Year)-MAX(Z423-Months_In_Year,0))/Months_In_Year</f>
        <v>1</v>
      </c>
      <c r="AA446" s="48" t="n">
        <f aca="false">MAX(0,MIN(AA423,Tax_Dep_Life*Months_In_Year)-MAX(AA423-Months_In_Year,0))/Months_In_Year</f>
        <v>1</v>
      </c>
      <c r="AB446" s="48" t="n">
        <f aca="false">MAX(0,MIN(AB423,Tax_Dep_Life*Months_In_Year)-MAX(AB423-Months_In_Year,0))/Months_In_Year</f>
        <v>1</v>
      </c>
      <c r="AC446" s="48" t="n">
        <f aca="false">MAX(0,MIN(AC423,Tax_Dep_Life*Months_In_Year)-MAX(AC423-Months_In_Year,0))/Months_In_Year</f>
        <v>1</v>
      </c>
      <c r="AD446" s="48" t="n">
        <f aca="false">MAX(0,MIN(AD423,Tax_Dep_Life*Months_In_Year)-MAX(AD423-Months_In_Year,0))/Months_In_Year</f>
        <v>1</v>
      </c>
      <c r="AE446" s="48" t="n">
        <f aca="false">MAX(0,MIN(AE423,Tax_Dep_Life*Months_In_Year)-MAX(AE423-Months_In_Year,0))/Months_In_Year</f>
        <v>1</v>
      </c>
      <c r="AF446" s="48" t="n">
        <f aca="false">MAX(0,MIN(AF423,Tax_Dep_Life*Months_In_Year)-MAX(AF423-Months_In_Year,0))/Months_In_Year</f>
        <v>1</v>
      </c>
      <c r="AG446" s="48" t="n">
        <f aca="false">MAX(0,MIN(AG423,Tax_Dep_Life*Months_In_Year)-MAX(AG423-Months_In_Year,0))/Months_In_Year</f>
        <v>1</v>
      </c>
      <c r="AH446" s="48" t="n">
        <f aca="false">MAX(0,MIN(AH423,Tax_Dep_Life*Months_In_Year)-MAX(AH423-Months_In_Year,0))/Months_In_Year</f>
        <v>1</v>
      </c>
      <c r="AI446" s="48" t="n">
        <f aca="false">MAX(0,MIN(AI423,Tax_Dep_Life*Months_In_Year)-MAX(AI423-Months_In_Year,0))/Months_In_Year</f>
        <v>0.5</v>
      </c>
      <c r="AJ446" s="48" t="n">
        <f aca="false">MAX(0,MIN(AJ423,Tax_Dep_Life*Months_In_Year)-MAX(AJ423-Months_In_Year,0))/Months_In_Year</f>
        <v>0</v>
      </c>
      <c r="AK446" s="48" t="n">
        <f aca="false">MAX(0,MIN(AK423,Tax_Dep_Life*Months_In_Year)-MAX(AK423-Months_In_Year,0))/Months_In_Year</f>
        <v>0</v>
      </c>
      <c r="AL446" s="48" t="n">
        <f aca="false">MAX(0,MIN(AL423,Tax_Dep_Life*Months_In_Year)-MAX(AL423-Months_In_Year,0))/Months_In_Year</f>
        <v>0</v>
      </c>
      <c r="AM446" s="48" t="n">
        <f aca="false">MAX(0,MIN(AM423,Tax_Dep_Life*Months_In_Year)-MAX(AM423-Months_In_Year,0))/Months_In_Year</f>
        <v>0</v>
      </c>
      <c r="AN446" s="48" t="n">
        <f aca="false">MAX(0,MIN(AN423,Tax_Dep_Life*Months_In_Year)-MAX(AN423-Months_In_Year,0))/Months_In_Year</f>
        <v>0</v>
      </c>
      <c r="AO446" s="48" t="n">
        <f aca="false">MAX(0,MIN(AO423,Tax_Dep_Life*Months_In_Year)-MAX(AO423-Months_In_Year,0))/Months_In_Year</f>
        <v>0</v>
      </c>
      <c r="AP446" s="48" t="n">
        <f aca="false">MAX(0,MIN(AP423,Tax_Dep_Life*Months_In_Year)-MAX(AP423-Months_In_Year,0))/Months_In_Year</f>
        <v>0</v>
      </c>
      <c r="AQ446" s="48" t="n">
        <f aca="false">MAX(0,MIN(AQ423,Tax_Dep_Life*Months_In_Year)-MAX(AQ423-Months_In_Year,0))/Months_In_Year</f>
        <v>0</v>
      </c>
      <c r="AR446" s="48" t="n">
        <f aca="false">MAX(0,MIN(AR423,Tax_Dep_Life*Months_In_Year)-MAX(AR423-Months_In_Year,0))/Months_In_Year</f>
        <v>0</v>
      </c>
      <c r="AS446" s="48" t="n">
        <f aca="false">MAX(0,MIN(AS423,Tax_Dep_Life*Months_In_Year)-MAX(AS423-Months_In_Year,0))/Months_In_Year</f>
        <v>0</v>
      </c>
    </row>
    <row r="447" customFormat="false" ht="14.25" hidden="false" customHeight="false" outlineLevel="0" collapsed="false">
      <c r="C447" s="6" t="s">
        <v>316</v>
      </c>
      <c r="D447" s="2" t="s">
        <v>85</v>
      </c>
      <c r="F447" s="52" t="n">
        <f aca="false">F91+F92+F96</f>
        <v>69192.2575342466</v>
      </c>
      <c r="H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</row>
    <row r="448" customFormat="false" ht="14.25" hidden="false" customHeight="false" outlineLevel="0" collapsed="false">
      <c r="C448" s="6" t="s">
        <v>317</v>
      </c>
      <c r="D448" s="2" t="s">
        <v>85</v>
      </c>
      <c r="H448" s="8" t="n">
        <f aca="false">SUM(J448:AS448)</f>
        <v>-69192.2575342466</v>
      </c>
      <c r="J448" s="8" t="n">
        <f aca="false">-$F447/Tax_Dep_Life*J446</f>
        <v>-0</v>
      </c>
      <c r="K448" s="8" t="n">
        <f aca="false">-$F447/Tax_Dep_Life*K446</f>
        <v>-0</v>
      </c>
      <c r="L448" s="8" t="n">
        <f aca="false">-$F447/Tax_Dep_Life*L446</f>
        <v>-0</v>
      </c>
      <c r="M448" s="8" t="n">
        <f aca="false">-$F447/Tax_Dep_Life*M446</f>
        <v>-0</v>
      </c>
      <c r="N448" s="8" t="n">
        <f aca="false">-$F447/Tax_Dep_Life*N446</f>
        <v>-0</v>
      </c>
      <c r="O448" s="8" t="n">
        <f aca="false">-$F447/Tax_Dep_Life*O446</f>
        <v>-1729.80643835616</v>
      </c>
      <c r="P448" s="8" t="n">
        <f aca="false">-$F447/Tax_Dep_Life*P446</f>
        <v>-3459.61287671233</v>
      </c>
      <c r="Q448" s="8" t="n">
        <f aca="false">-$F447/Tax_Dep_Life*Q446</f>
        <v>-3459.61287671233</v>
      </c>
      <c r="R448" s="8" t="n">
        <f aca="false">-$F447/Tax_Dep_Life*R446</f>
        <v>-3459.61287671233</v>
      </c>
      <c r="S448" s="8" t="n">
        <f aca="false">-$F447/Tax_Dep_Life*S446</f>
        <v>-3459.61287671233</v>
      </c>
      <c r="T448" s="8" t="n">
        <f aca="false">-$F447/Tax_Dep_Life*T446</f>
        <v>-3459.61287671233</v>
      </c>
      <c r="U448" s="8" t="n">
        <f aca="false">-$F447/Tax_Dep_Life*U446</f>
        <v>-3459.61287671233</v>
      </c>
      <c r="V448" s="8" t="n">
        <f aca="false">-$F447/Tax_Dep_Life*V446</f>
        <v>-3459.61287671233</v>
      </c>
      <c r="W448" s="8" t="n">
        <f aca="false">-$F447/Tax_Dep_Life*W446</f>
        <v>-3459.61287671233</v>
      </c>
      <c r="X448" s="8" t="n">
        <f aca="false">-$F447/Tax_Dep_Life*X446</f>
        <v>-3459.61287671233</v>
      </c>
      <c r="Y448" s="8" t="n">
        <f aca="false">-$F447/Tax_Dep_Life*Y446</f>
        <v>-3459.61287671233</v>
      </c>
      <c r="Z448" s="8" t="n">
        <f aca="false">-$F447/Tax_Dep_Life*Z446</f>
        <v>-3459.61287671233</v>
      </c>
      <c r="AA448" s="8" t="n">
        <f aca="false">-$F447/Tax_Dep_Life*AA446</f>
        <v>-3459.61287671233</v>
      </c>
      <c r="AB448" s="8" t="n">
        <f aca="false">-$F447/Tax_Dep_Life*AB446</f>
        <v>-3459.61287671233</v>
      </c>
      <c r="AC448" s="8" t="n">
        <f aca="false">-$F447/Tax_Dep_Life*AC446</f>
        <v>-3459.61287671233</v>
      </c>
      <c r="AD448" s="8" t="n">
        <f aca="false">-$F447/Tax_Dep_Life*AD446</f>
        <v>-3459.61287671233</v>
      </c>
      <c r="AE448" s="8" t="n">
        <f aca="false">-$F447/Tax_Dep_Life*AE446</f>
        <v>-3459.61287671233</v>
      </c>
      <c r="AF448" s="8" t="n">
        <f aca="false">-$F447/Tax_Dep_Life*AF446</f>
        <v>-3459.61287671233</v>
      </c>
      <c r="AG448" s="8" t="n">
        <f aca="false">-$F447/Tax_Dep_Life*AG446</f>
        <v>-3459.61287671233</v>
      </c>
      <c r="AH448" s="8" t="n">
        <f aca="false">-$F447/Tax_Dep_Life*AH446</f>
        <v>-3459.61287671233</v>
      </c>
      <c r="AI448" s="8" t="n">
        <f aca="false">-$F447/Tax_Dep_Life*AI446</f>
        <v>-1729.80643835616</v>
      </c>
      <c r="AJ448" s="8" t="n">
        <f aca="false">-$F447/Tax_Dep_Life*AJ446</f>
        <v>-0</v>
      </c>
      <c r="AK448" s="8" t="n">
        <f aca="false">-$F447/Tax_Dep_Life*AK446</f>
        <v>-0</v>
      </c>
      <c r="AL448" s="8" t="n">
        <f aca="false">-$F447/Tax_Dep_Life*AL446</f>
        <v>-0</v>
      </c>
      <c r="AM448" s="8" t="n">
        <f aca="false">-$F447/Tax_Dep_Life*AM446</f>
        <v>-0</v>
      </c>
      <c r="AN448" s="8" t="n">
        <f aca="false">-$F447/Tax_Dep_Life*AN446</f>
        <v>-0</v>
      </c>
      <c r="AO448" s="8" t="n">
        <f aca="false">-$F447/Tax_Dep_Life*AO446</f>
        <v>-0</v>
      </c>
      <c r="AP448" s="8" t="n">
        <f aca="false">-$F447/Tax_Dep_Life*AP446</f>
        <v>-0</v>
      </c>
      <c r="AQ448" s="8" t="n">
        <f aca="false">-$F447/Tax_Dep_Life*AQ446</f>
        <v>-0</v>
      </c>
      <c r="AR448" s="8" t="n">
        <f aca="false">-$F447/Tax_Dep_Life*AR446</f>
        <v>-0</v>
      </c>
      <c r="AS448" s="8" t="n">
        <f aca="false">-$F447/Tax_Dep_Life*AS446</f>
        <v>-0</v>
      </c>
    </row>
    <row r="449" customFormat="false" ht="14.25" hidden="false" customHeight="false" outlineLevel="0" collapsed="false">
      <c r="C449" s="6" t="s">
        <v>318</v>
      </c>
      <c r="D449" s="2" t="s">
        <v>85</v>
      </c>
      <c r="H449" s="8" t="n">
        <f aca="false">SUM(J449:AS449)</f>
        <v>-36976.9095857668</v>
      </c>
      <c r="J449" s="8" t="n">
        <f aca="false">-MAX(0,J444+J448)*CIT_Rate</f>
        <v>-0</v>
      </c>
      <c r="K449" s="8" t="n">
        <f aca="false">-MAX(0,K444+K448)*CIT_Rate</f>
        <v>-0</v>
      </c>
      <c r="L449" s="8" t="n">
        <f aca="false">-MAX(0,L444+L448)*CIT_Rate</f>
        <v>-0</v>
      </c>
      <c r="M449" s="8" t="n">
        <f aca="false">-MAX(0,M444+M448)*CIT_Rate</f>
        <v>-0</v>
      </c>
      <c r="N449" s="8" t="n">
        <f aca="false">-MAX(0,N444+N448)*CIT_Rate</f>
        <v>-0</v>
      </c>
      <c r="O449" s="8" t="n">
        <f aca="false">-MAX(0,O444+O448)*CIT_Rate</f>
        <v>-500.994801846575</v>
      </c>
      <c r="P449" s="8" t="n">
        <f aca="false">-MAX(0,P444+P448)*CIT_Rate</f>
        <v>-1012.30585079515</v>
      </c>
      <c r="Q449" s="8" t="n">
        <f aca="false">-MAX(0,Q444+Q448)*CIT_Rate</f>
        <v>-1017.16120152191</v>
      </c>
      <c r="R449" s="8" t="n">
        <f aca="false">-MAX(0,R444+R448)*CIT_Rate</f>
        <v>-1021.89184398762</v>
      </c>
      <c r="S449" s="8" t="n">
        <f aca="false">-MAX(0,S444+S448)*CIT_Rate</f>
        <v>-1026.4931216602</v>
      </c>
      <c r="T449" s="8" t="n">
        <f aca="false">-MAX(0,T444+T448)*CIT_Rate</f>
        <v>-1030.96025334509</v>
      </c>
      <c r="U449" s="8" t="n">
        <f aca="false">-MAX(0,U444+U448)*CIT_Rate</f>
        <v>-1035.28833006974</v>
      </c>
      <c r="V449" s="8" t="n">
        <f aca="false">-MAX(0,V444+V448)*CIT_Rate</f>
        <v>-1039.47231189138</v>
      </c>
      <c r="W449" s="8" t="n">
        <f aca="false">-MAX(0,W444+W448)*CIT_Rate</f>
        <v>-1043.50702462633</v>
      </c>
      <c r="X449" s="8" t="n">
        <f aca="false">-MAX(0,X444+X448)*CIT_Rate</f>
        <v>-1047.38715649888</v>
      </c>
      <c r="Y449" s="8" t="n">
        <f aca="false">-MAX(0,Y444+Y448)*CIT_Rate</f>
        <v>-1051.10725470784</v>
      </c>
      <c r="Z449" s="8" t="n">
        <f aca="false">-MAX(0,Z444+Z448)*CIT_Rate</f>
        <v>-1054.66172190859</v>
      </c>
      <c r="AA449" s="8" t="n">
        <f aca="false">-MAX(0,AA444+AA448)*CIT_Rate</f>
        <v>-1058.0448126087</v>
      </c>
      <c r="AB449" s="8" t="n">
        <f aca="false">-MAX(0,AB444+AB448)*CIT_Rate</f>
        <v>-1061.25062947499</v>
      </c>
      <c r="AC449" s="8" t="n">
        <f aca="false">-MAX(0,AC444+AC448)*CIT_Rate</f>
        <v>-1064.27311954974</v>
      </c>
      <c r="AD449" s="8" t="n">
        <f aca="false">-MAX(0,AD444+AD448)*CIT_Rate</f>
        <v>-1067.10607037393</v>
      </c>
      <c r="AE449" s="8" t="n">
        <f aca="false">-MAX(0,AE444+AE448)*CIT_Rate</f>
        <v>-1069.74310601525</v>
      </c>
      <c r="AF449" s="8" t="n">
        <f aca="false">-MAX(0,AF444+AF448)*CIT_Rate</f>
        <v>-1072.17768299843</v>
      </c>
      <c r="AG449" s="8" t="n">
        <f aca="false">-MAX(0,AG444+AG448)*CIT_Rate</f>
        <v>-1074.40308613556</v>
      </c>
      <c r="AH449" s="8" t="n">
        <f aca="false">-MAX(0,AH444+AH448)*CIT_Rate</f>
        <v>-1076.41242425403</v>
      </c>
      <c r="AI449" s="8" t="n">
        <f aca="false">-MAX(0,AI444+AI448)*CIT_Rate</f>
        <v>-1337.66959157281</v>
      </c>
      <c r="AJ449" s="8" t="n">
        <f aca="false">-MAX(0,AJ444+AJ448)*CIT_Rate</f>
        <v>-1598.69636595756</v>
      </c>
      <c r="AK449" s="8" t="n">
        <f aca="false">-MAX(0,AK444+AK448)*CIT_Rate</f>
        <v>-1600.01433583266</v>
      </c>
      <c r="AL449" s="8" t="n">
        <f aca="false">-MAX(0,AL444+AL448)*CIT_Rate</f>
        <v>-1601.08682698029</v>
      </c>
      <c r="AM449" s="8" t="n">
        <f aca="false">-MAX(0,AM444+AM448)*CIT_Rate</f>
        <v>-1601.90600045683</v>
      </c>
      <c r="AN449" s="8" t="n">
        <f aca="false">-MAX(0,AN444+AN448)*CIT_Rate</f>
        <v>-1602.4638134044</v>
      </c>
      <c r="AO449" s="8" t="n">
        <f aca="false">-MAX(0,AO444+AO448)*CIT_Rate</f>
        <v>-1602.75201398753</v>
      </c>
      <c r="AP449" s="8" t="n">
        <f aca="false">-MAX(0,AP444+AP448)*CIT_Rate</f>
        <v>-1602.76213620557</v>
      </c>
      <c r="AQ449" s="8" t="n">
        <f aca="false">-MAX(0,AQ444+AQ448)*CIT_Rate</f>
        <v>-1602.48549457754</v>
      </c>
      <c r="AR449" s="8" t="n">
        <f aca="false">-MAX(0,AR444+AR448)*CIT_Rate</f>
        <v>-1601.91317869653</v>
      </c>
      <c r="AS449" s="8" t="n">
        <f aca="false">-MAX(0,AS444+AS448)*CIT_Rate</f>
        <v>-800.518023825112</v>
      </c>
    </row>
    <row r="450" customFormat="false" ht="14.25" hidden="false" customHeight="false" outlineLevel="0" collapsed="false">
      <c r="C450" s="1" t="s">
        <v>319</v>
      </c>
      <c r="D450" s="2" t="s">
        <v>85</v>
      </c>
      <c r="H450" s="32" t="n">
        <f aca="false">SUM(J450:AS450)</f>
        <v>201928.019273683</v>
      </c>
      <c r="J450" s="32" t="n">
        <f aca="false">J445+J449</f>
        <v>0</v>
      </c>
      <c r="K450" s="32" t="n">
        <f aca="false">K445+K449</f>
        <v>0</v>
      </c>
      <c r="L450" s="32" t="n">
        <f aca="false">L445+L449</f>
        <v>0</v>
      </c>
      <c r="M450" s="32" t="n">
        <f aca="false">M445+M449</f>
        <v>-29757.5797945206</v>
      </c>
      <c r="N450" s="32" t="n">
        <f aca="false">N445+N449</f>
        <v>-31358</v>
      </c>
      <c r="O450" s="32" t="n">
        <f aca="false">O445+O449</f>
        <v>-13610.2230178466</v>
      </c>
      <c r="P450" s="32" t="n">
        <f aca="false">P445+P449</f>
        <v>9196.01269788485</v>
      </c>
      <c r="Q450" s="32" t="n">
        <f aca="false">Q445+Q449</f>
        <v>11718.0468999483</v>
      </c>
      <c r="R450" s="32" t="n">
        <f aca="false">R445+R449</f>
        <v>9250.33332597553</v>
      </c>
      <c r="S450" s="32" t="n">
        <f aca="false">S445+S449</f>
        <v>9276.40723278677</v>
      </c>
      <c r="T450" s="32" t="n">
        <f aca="false">T445+T449</f>
        <v>9301.72097900116</v>
      </c>
      <c r="U450" s="32" t="n">
        <f aca="false">U445+U449</f>
        <v>9326.24674710753</v>
      </c>
      <c r="V450" s="32" t="n">
        <f aca="false">V445+V449</f>
        <v>9349.95597743015</v>
      </c>
      <c r="W450" s="32" t="n">
        <f aca="false">W445+W449</f>
        <v>9372.81934959485</v>
      </c>
      <c r="X450" s="32" t="n">
        <f aca="false">X445+X449</f>
        <v>9394.80676353933</v>
      </c>
      <c r="Y450" s="32" t="n">
        <f aca="false">Y445+Y449</f>
        <v>9415.88732005677</v>
      </c>
      <c r="Z450" s="32" t="n">
        <f aca="false">Z445+Z449</f>
        <v>9436.02930086098</v>
      </c>
      <c r="AA450" s="32" t="n">
        <f aca="false">AA445+AA449</f>
        <v>9455.20014816163</v>
      </c>
      <c r="AB450" s="32" t="n">
        <f aca="false">AB445+AB449</f>
        <v>9473.36644373728</v>
      </c>
      <c r="AC450" s="32" t="n">
        <f aca="false">AC445+AC449</f>
        <v>9490.49388749417</v>
      </c>
      <c r="AD450" s="32" t="n">
        <f aca="false">AD445+AD449</f>
        <v>9506.54727549794</v>
      </c>
      <c r="AE450" s="32" t="n">
        <f aca="false">AE445+AE449</f>
        <v>9521.49047746544</v>
      </c>
      <c r="AF450" s="32" t="n">
        <f aca="false">AF445+AF449</f>
        <v>9535.28641370342</v>
      </c>
      <c r="AG450" s="32" t="n">
        <f aca="false">AG445+AG449</f>
        <v>9547.89703148051</v>
      </c>
      <c r="AH450" s="32" t="n">
        <f aca="false">AH445+AH449</f>
        <v>9559.2832808185</v>
      </c>
      <c r="AI450" s="32" t="n">
        <f aca="false">AI445+AI449</f>
        <v>9309.93412393542</v>
      </c>
      <c r="AJ450" s="32" t="n">
        <f aca="false">AJ445+AJ449</f>
        <v>9059.27940709287</v>
      </c>
      <c r="AK450" s="32" t="n">
        <f aca="false">AK445+AK449</f>
        <v>9066.74790305173</v>
      </c>
      <c r="AL450" s="32" t="n">
        <f aca="false">AL445+AL449</f>
        <v>9072.8253528883</v>
      </c>
      <c r="AM450" s="32" t="n">
        <f aca="false">AM445+AM449</f>
        <v>9077.46733592206</v>
      </c>
      <c r="AN450" s="32" t="n">
        <f aca="false">AN445+AN449</f>
        <v>9080.62827595824</v>
      </c>
      <c r="AO450" s="32" t="n">
        <f aca="false">AO445+AO449</f>
        <v>9082.26141259599</v>
      </c>
      <c r="AP450" s="32" t="n">
        <f aca="false">AP445+AP449</f>
        <v>9082.31877183154</v>
      </c>
      <c r="AQ450" s="32" t="n">
        <f aca="false">AQ445+AQ449</f>
        <v>9080.75113593939</v>
      </c>
      <c r="AR450" s="32" t="n">
        <f aca="false">AR445+AR449</f>
        <v>9077.50801261365</v>
      </c>
      <c r="AS450" s="32" t="n">
        <f aca="false">AS445+AS449</f>
        <v>4536.26880167564</v>
      </c>
    </row>
    <row r="451" customFormat="false" ht="14.25" hidden="false" customHeight="false" outlineLevel="0" collapsed="false">
      <c r="C451" s="6" t="s">
        <v>320</v>
      </c>
      <c r="D451" s="2" t="s">
        <v>85</v>
      </c>
      <c r="F451" s="52" t="n">
        <f aca="false">F99*Gearing</f>
        <v>46080.0355479452</v>
      </c>
      <c r="H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</row>
    <row r="452" customFormat="false" ht="14.25" hidden="false" customHeight="false" outlineLevel="0" collapsed="false">
      <c r="C452" s="6" t="s">
        <v>321</v>
      </c>
      <c r="D452" s="2" t="s">
        <v>85</v>
      </c>
      <c r="H452" s="8" t="n">
        <f aca="false">SUM(J452:AS452)</f>
        <v>46080.0355479452</v>
      </c>
      <c r="J452" s="8" t="n">
        <f aca="false">$F451*J422</f>
        <v>0</v>
      </c>
      <c r="K452" s="8" t="n">
        <f aca="false">$F451*K422</f>
        <v>0</v>
      </c>
      <c r="L452" s="8" t="n">
        <f aca="false">$F451*L422</f>
        <v>0</v>
      </c>
      <c r="M452" s="8" t="n">
        <f aca="false">$F451*M422</f>
        <v>11520.0088869863</v>
      </c>
      <c r="N452" s="8" t="n">
        <f aca="false">$F451*N422</f>
        <v>23040.0177739726</v>
      </c>
      <c r="O452" s="8" t="n">
        <f aca="false">$F451*O422</f>
        <v>11520.0088869863</v>
      </c>
      <c r="P452" s="8" t="n">
        <f aca="false">$F451*P422</f>
        <v>0</v>
      </c>
      <c r="Q452" s="8" t="n">
        <f aca="false">$F451*Q422</f>
        <v>0</v>
      </c>
      <c r="R452" s="8" t="n">
        <f aca="false">$F451*R422</f>
        <v>0</v>
      </c>
      <c r="S452" s="8" t="n">
        <f aca="false">$F451*S422</f>
        <v>0</v>
      </c>
      <c r="T452" s="8" t="n">
        <f aca="false">$F451*T422</f>
        <v>0</v>
      </c>
      <c r="U452" s="8" t="n">
        <f aca="false">$F451*U422</f>
        <v>0</v>
      </c>
      <c r="V452" s="8" t="n">
        <f aca="false">$F451*V422</f>
        <v>0</v>
      </c>
      <c r="W452" s="8" t="n">
        <f aca="false">$F451*W422</f>
        <v>0</v>
      </c>
      <c r="X452" s="8" t="n">
        <f aca="false">$F451*X422</f>
        <v>0</v>
      </c>
      <c r="Y452" s="8" t="n">
        <f aca="false">$F451*Y422</f>
        <v>0</v>
      </c>
      <c r="Z452" s="8" t="n">
        <f aca="false">$F451*Z422</f>
        <v>0</v>
      </c>
      <c r="AA452" s="8" t="n">
        <f aca="false">$F451*AA422</f>
        <v>0</v>
      </c>
      <c r="AB452" s="8" t="n">
        <f aca="false">$F451*AB422</f>
        <v>0</v>
      </c>
      <c r="AC452" s="8" t="n">
        <f aca="false">$F451*AC422</f>
        <v>0</v>
      </c>
      <c r="AD452" s="8" t="n">
        <f aca="false">$F451*AD422</f>
        <v>0</v>
      </c>
      <c r="AE452" s="8" t="n">
        <f aca="false">$F451*AE422</f>
        <v>0</v>
      </c>
      <c r="AF452" s="8" t="n">
        <f aca="false">$F451*AF422</f>
        <v>0</v>
      </c>
      <c r="AG452" s="8" t="n">
        <f aca="false">$F451*AG422</f>
        <v>0</v>
      </c>
      <c r="AH452" s="8" t="n">
        <f aca="false">$F451*AH422</f>
        <v>0</v>
      </c>
      <c r="AI452" s="8" t="n">
        <f aca="false">$F451*AI422</f>
        <v>0</v>
      </c>
      <c r="AJ452" s="8" t="n">
        <f aca="false">$F451*AJ422</f>
        <v>0</v>
      </c>
      <c r="AK452" s="8" t="n">
        <f aca="false">$F451*AK422</f>
        <v>0</v>
      </c>
      <c r="AL452" s="8" t="n">
        <f aca="false">$F451*AL422</f>
        <v>0</v>
      </c>
      <c r="AM452" s="8" t="n">
        <f aca="false">$F451*AM422</f>
        <v>0</v>
      </c>
      <c r="AN452" s="8" t="n">
        <f aca="false">$F451*AN422</f>
        <v>0</v>
      </c>
      <c r="AO452" s="8" t="n">
        <f aca="false">$F451*AO422</f>
        <v>0</v>
      </c>
      <c r="AP452" s="8" t="n">
        <f aca="false">$F451*AP422</f>
        <v>0</v>
      </c>
      <c r="AQ452" s="8" t="n">
        <f aca="false">$F451*AQ422</f>
        <v>0</v>
      </c>
      <c r="AR452" s="8" t="n">
        <f aca="false">$F451*AR422</f>
        <v>0</v>
      </c>
      <c r="AS452" s="8" t="n">
        <f aca="false">$F451*AS422</f>
        <v>0</v>
      </c>
    </row>
    <row r="453" customFormat="false" ht="14.25" hidden="false" customHeight="false" outlineLevel="0" collapsed="false">
      <c r="C453" s="6" t="s">
        <v>322</v>
      </c>
      <c r="D453" s="2" t="s">
        <v>85</v>
      </c>
      <c r="H453" s="8" t="n">
        <f aca="false">SUM(J453:AS453)</f>
        <v>2343.78180808514</v>
      </c>
      <c r="J453" s="8" t="n">
        <f aca="false">(SUM($I452:I453)+J452*IDC_Draw_Share)*Debt_Rate*J422*$F421/Months_In_Year</f>
        <v>0</v>
      </c>
      <c r="K453" s="8" t="n">
        <f aca="false">(SUM($I452:J453)+K452*IDC_Draw_Share)*Debt_Rate*K422*$F421/Months_In_Year</f>
        <v>0</v>
      </c>
      <c r="L453" s="8" t="n">
        <f aca="false">(SUM($I452:K453)+L452*IDC_Draw_Share)*Debt_Rate*L422*$F421/Months_In_Year</f>
        <v>0</v>
      </c>
      <c r="M453" s="8" t="n">
        <f aca="false">(SUM($I452:L453)+M452*IDC_Draw_Share)*Debt_Rate*M422*$F421/Months_In_Year</f>
        <v>144.000111087329</v>
      </c>
      <c r="N453" s="8" t="n">
        <f aca="false">(SUM($I452:M453)+N452*IDC_Draw_Share)*Debt_Rate*N422*$F421/Months_In_Year</f>
        <v>1159.200894253</v>
      </c>
      <c r="O453" s="8" t="n">
        <f aca="false">(SUM($I452:N453)+O452*IDC_Draw_Share)*Debt_Rate*O422*$F421/Months_In_Year</f>
        <v>1040.58080274481</v>
      </c>
      <c r="P453" s="8" t="n">
        <f aca="false">(SUM($I452:O453)+P452*IDC_Draw_Share)*Debt_Rate*P422*$F421/Months_In_Year</f>
        <v>0</v>
      </c>
      <c r="Q453" s="8" t="n">
        <f aca="false">(SUM($I452:P453)+Q452*IDC_Draw_Share)*Debt_Rate*Q422*$F421/Months_In_Year</f>
        <v>0</v>
      </c>
      <c r="R453" s="8" t="n">
        <f aca="false">(SUM($I452:Q453)+R452*IDC_Draw_Share)*Debt_Rate*R422*$F421/Months_In_Year</f>
        <v>0</v>
      </c>
      <c r="S453" s="8" t="n">
        <f aca="false">(SUM($I452:R453)+S452*IDC_Draw_Share)*Debt_Rate*S422*$F421/Months_In_Year</f>
        <v>0</v>
      </c>
      <c r="T453" s="8" t="n">
        <f aca="false">(SUM($I452:S453)+T452*IDC_Draw_Share)*Debt_Rate*T422*$F421/Months_In_Year</f>
        <v>0</v>
      </c>
      <c r="U453" s="8" t="n">
        <f aca="false">(SUM($I452:T453)+U452*IDC_Draw_Share)*Debt_Rate*U422*$F421/Months_In_Year</f>
        <v>0</v>
      </c>
      <c r="V453" s="8" t="n">
        <f aca="false">(SUM($I452:U453)+V452*IDC_Draw_Share)*Debt_Rate*V422*$F421/Months_In_Year</f>
        <v>0</v>
      </c>
      <c r="W453" s="8" t="n">
        <f aca="false">(SUM($I452:V453)+W452*IDC_Draw_Share)*Debt_Rate*W422*$F421/Months_In_Year</f>
        <v>0</v>
      </c>
      <c r="X453" s="8" t="n">
        <f aca="false">(SUM($I452:W453)+X452*IDC_Draw_Share)*Debt_Rate*X422*$F421/Months_In_Year</f>
        <v>0</v>
      </c>
      <c r="Y453" s="8" t="n">
        <f aca="false">(SUM($I452:X453)+Y452*IDC_Draw_Share)*Debt_Rate*Y422*$F421/Months_In_Year</f>
        <v>0</v>
      </c>
      <c r="Z453" s="8" t="n">
        <f aca="false">(SUM($I452:Y453)+Z452*IDC_Draw_Share)*Debt_Rate*Z422*$F421/Months_In_Year</f>
        <v>0</v>
      </c>
      <c r="AA453" s="8" t="n">
        <f aca="false">(SUM($I452:Z453)+AA452*IDC_Draw_Share)*Debt_Rate*AA422*$F421/Months_In_Year</f>
        <v>0</v>
      </c>
      <c r="AB453" s="8" t="n">
        <f aca="false">(SUM($I452:AA453)+AB452*IDC_Draw_Share)*Debt_Rate*AB422*$F421/Months_In_Year</f>
        <v>0</v>
      </c>
      <c r="AC453" s="8" t="n">
        <f aca="false">(SUM($I452:AB453)+AC452*IDC_Draw_Share)*Debt_Rate*AC422*$F421/Months_In_Year</f>
        <v>0</v>
      </c>
      <c r="AD453" s="8" t="n">
        <f aca="false">(SUM($I452:AC453)+AD452*IDC_Draw_Share)*Debt_Rate*AD422*$F421/Months_In_Year</f>
        <v>0</v>
      </c>
      <c r="AE453" s="8" t="n">
        <f aca="false">(SUM($I452:AD453)+AE452*IDC_Draw_Share)*Debt_Rate*AE422*$F421/Months_In_Year</f>
        <v>0</v>
      </c>
      <c r="AF453" s="8" t="n">
        <f aca="false">(SUM($I452:AE453)+AF452*IDC_Draw_Share)*Debt_Rate*AF422*$F421/Months_In_Year</f>
        <v>0</v>
      </c>
      <c r="AG453" s="8" t="n">
        <f aca="false">(SUM($I452:AF453)+AG452*IDC_Draw_Share)*Debt_Rate*AG422*$F421/Months_In_Year</f>
        <v>0</v>
      </c>
      <c r="AH453" s="8" t="n">
        <f aca="false">(SUM($I452:AG453)+AH452*IDC_Draw_Share)*Debt_Rate*AH422*$F421/Months_In_Year</f>
        <v>0</v>
      </c>
      <c r="AI453" s="8" t="n">
        <f aca="false">(SUM($I452:AH453)+AI452*IDC_Draw_Share)*Debt_Rate*AI422*$F421/Months_In_Year</f>
        <v>0</v>
      </c>
      <c r="AJ453" s="8" t="n">
        <f aca="false">(SUM($I452:AI453)+AJ452*IDC_Draw_Share)*Debt_Rate*AJ422*$F421/Months_In_Year</f>
        <v>0</v>
      </c>
      <c r="AK453" s="8" t="n">
        <f aca="false">(SUM($I452:AJ453)+AK452*IDC_Draw_Share)*Debt_Rate*AK422*$F421/Months_In_Year</f>
        <v>0</v>
      </c>
      <c r="AL453" s="8" t="n">
        <f aca="false">(SUM($I452:AK453)+AL452*IDC_Draw_Share)*Debt_Rate*AL422*$F421/Months_In_Year</f>
        <v>0</v>
      </c>
      <c r="AM453" s="8" t="n">
        <f aca="false">(SUM($I452:AL453)+AM452*IDC_Draw_Share)*Debt_Rate*AM422*$F421/Months_In_Year</f>
        <v>0</v>
      </c>
      <c r="AN453" s="8" t="n">
        <f aca="false">(SUM($I452:AM453)+AN452*IDC_Draw_Share)*Debt_Rate*AN422*$F421/Months_In_Year</f>
        <v>0</v>
      </c>
      <c r="AO453" s="8" t="n">
        <f aca="false">(SUM($I452:AN453)+AO452*IDC_Draw_Share)*Debt_Rate*AO422*$F421/Months_In_Year</f>
        <v>0</v>
      </c>
      <c r="AP453" s="8" t="n">
        <f aca="false">(SUM($I452:AO453)+AP452*IDC_Draw_Share)*Debt_Rate*AP422*$F421/Months_In_Year</f>
        <v>0</v>
      </c>
      <c r="AQ453" s="8" t="n">
        <f aca="false">(SUM($I452:AP453)+AQ452*IDC_Draw_Share)*Debt_Rate*AQ422*$F421/Months_In_Year</f>
        <v>0</v>
      </c>
      <c r="AR453" s="8" t="n">
        <f aca="false">(SUM($I452:AQ453)+AR452*IDC_Draw_Share)*Debt_Rate*AR422*$F421/Months_In_Year</f>
        <v>0</v>
      </c>
      <c r="AS453" s="8" t="n">
        <f aca="false">(SUM($I452:AR453)+AS452*IDC_Draw_Share)*Debt_Rate*AS422*$F421/Months_In_Year</f>
        <v>0</v>
      </c>
    </row>
    <row r="454" customFormat="false" ht="14.25" hidden="false" customHeight="false" outlineLevel="0" collapsed="false">
      <c r="C454" s="6" t="s">
        <v>323</v>
      </c>
      <c r="D454" s="2" t="s">
        <v>85</v>
      </c>
      <c r="H454" s="8" t="n">
        <f aca="false">SUM(J454:AS454)</f>
        <v>-806.400622089041</v>
      </c>
      <c r="J454" s="8" t="n">
        <f aca="false">-$F451*Debt_Fee*(J422&gt;0)*(I422=0)</f>
        <v>-0</v>
      </c>
      <c r="K454" s="8" t="n">
        <f aca="false">-$F451*Debt_Fee*(K422&gt;0)*(J422=0)</f>
        <v>-0</v>
      </c>
      <c r="L454" s="8" t="n">
        <f aca="false">-$F451*Debt_Fee*(L422&gt;0)*(K422=0)</f>
        <v>-0</v>
      </c>
      <c r="M454" s="8" t="n">
        <f aca="false">-$F451*Debt_Fee*(M422&gt;0)*(L422=0)</f>
        <v>-806.400622089041</v>
      </c>
      <c r="N454" s="8" t="n">
        <f aca="false">-$F451*Debt_Fee*(N422&gt;0)*(M422=0)</f>
        <v>-0</v>
      </c>
      <c r="O454" s="8" t="n">
        <f aca="false">-$F451*Debt_Fee*(O422&gt;0)*(N422=0)</f>
        <v>-0</v>
      </c>
      <c r="P454" s="8" t="n">
        <f aca="false">-$F451*Debt_Fee*(P422&gt;0)*(O422=0)</f>
        <v>-0</v>
      </c>
      <c r="Q454" s="8" t="n">
        <f aca="false">-$F451*Debt_Fee*(Q422&gt;0)*(P422=0)</f>
        <v>-0</v>
      </c>
      <c r="R454" s="8" t="n">
        <f aca="false">-$F451*Debt_Fee*(R422&gt;0)*(Q422=0)</f>
        <v>-0</v>
      </c>
      <c r="S454" s="8" t="n">
        <f aca="false">-$F451*Debt_Fee*(S422&gt;0)*(R422=0)</f>
        <v>-0</v>
      </c>
      <c r="T454" s="8" t="n">
        <f aca="false">-$F451*Debt_Fee*(T422&gt;0)*(S422=0)</f>
        <v>-0</v>
      </c>
      <c r="U454" s="8" t="n">
        <f aca="false">-$F451*Debt_Fee*(U422&gt;0)*(T422=0)</f>
        <v>-0</v>
      </c>
      <c r="V454" s="8" t="n">
        <f aca="false">-$F451*Debt_Fee*(V422&gt;0)*(U422=0)</f>
        <v>-0</v>
      </c>
      <c r="W454" s="8" t="n">
        <f aca="false">-$F451*Debt_Fee*(W422&gt;0)*(V422=0)</f>
        <v>-0</v>
      </c>
      <c r="X454" s="8" t="n">
        <f aca="false">-$F451*Debt_Fee*(X422&gt;0)*(W422=0)</f>
        <v>-0</v>
      </c>
      <c r="Y454" s="8" t="n">
        <f aca="false">-$F451*Debt_Fee*(Y422&gt;0)*(X422=0)</f>
        <v>-0</v>
      </c>
      <c r="Z454" s="8" t="n">
        <f aca="false">-$F451*Debt_Fee*(Z422&gt;0)*(Y422=0)</f>
        <v>-0</v>
      </c>
      <c r="AA454" s="8" t="n">
        <f aca="false">-$F451*Debt_Fee*(AA422&gt;0)*(Z422=0)</f>
        <v>-0</v>
      </c>
      <c r="AB454" s="8" t="n">
        <f aca="false">-$F451*Debt_Fee*(AB422&gt;0)*(AA422=0)</f>
        <v>-0</v>
      </c>
      <c r="AC454" s="8" t="n">
        <f aca="false">-$F451*Debt_Fee*(AC422&gt;0)*(AB422=0)</f>
        <v>-0</v>
      </c>
      <c r="AD454" s="8" t="n">
        <f aca="false">-$F451*Debt_Fee*(AD422&gt;0)*(AC422=0)</f>
        <v>-0</v>
      </c>
      <c r="AE454" s="8" t="n">
        <f aca="false">-$F451*Debt_Fee*(AE422&gt;0)*(AD422=0)</f>
        <v>-0</v>
      </c>
      <c r="AF454" s="8" t="n">
        <f aca="false">-$F451*Debt_Fee*(AF422&gt;0)*(AE422=0)</f>
        <v>-0</v>
      </c>
      <c r="AG454" s="8" t="n">
        <f aca="false">-$F451*Debt_Fee*(AG422&gt;0)*(AF422=0)</f>
        <v>-0</v>
      </c>
      <c r="AH454" s="8" t="n">
        <f aca="false">-$F451*Debt_Fee*(AH422&gt;0)*(AG422=0)</f>
        <v>-0</v>
      </c>
      <c r="AI454" s="8" t="n">
        <f aca="false">-$F451*Debt_Fee*(AI422&gt;0)*(AH422=0)</f>
        <v>-0</v>
      </c>
      <c r="AJ454" s="8" t="n">
        <f aca="false">-$F451*Debt_Fee*(AJ422&gt;0)*(AI422=0)</f>
        <v>-0</v>
      </c>
      <c r="AK454" s="8" t="n">
        <f aca="false">-$F451*Debt_Fee*(AK422&gt;0)*(AJ422=0)</f>
        <v>-0</v>
      </c>
      <c r="AL454" s="8" t="n">
        <f aca="false">-$F451*Debt_Fee*(AL422&gt;0)*(AK422=0)</f>
        <v>-0</v>
      </c>
      <c r="AM454" s="8" t="n">
        <f aca="false">-$F451*Debt_Fee*(AM422&gt;0)*(AL422=0)</f>
        <v>-0</v>
      </c>
      <c r="AN454" s="8" t="n">
        <f aca="false">-$F451*Debt_Fee*(AN422&gt;0)*(AM422=0)</f>
        <v>-0</v>
      </c>
      <c r="AO454" s="8" t="n">
        <f aca="false">-$F451*Debt_Fee*(AO422&gt;0)*(AN422=0)</f>
        <v>-0</v>
      </c>
      <c r="AP454" s="8" t="n">
        <f aca="false">-$F451*Debt_Fee*(AP422&gt;0)*(AO422=0)</f>
        <v>-0</v>
      </c>
      <c r="AQ454" s="8" t="n">
        <f aca="false">-$F451*Debt_Fee*(AQ422&gt;0)*(AP422=0)</f>
        <v>-0</v>
      </c>
      <c r="AR454" s="8" t="n">
        <f aca="false">-$F451*Debt_Fee*(AR422&gt;0)*(AQ422=0)</f>
        <v>-0</v>
      </c>
      <c r="AS454" s="8" t="n">
        <f aca="false">-$F451*Debt_Fee*(AS422&gt;0)*(AR422=0)</f>
        <v>-0</v>
      </c>
    </row>
    <row r="455" customFormat="false" ht="14.25" hidden="false" customHeight="false" outlineLevel="0" collapsed="false">
      <c r="C455" s="6" t="s">
        <v>324</v>
      </c>
      <c r="D455" s="2" t="s">
        <v>85</v>
      </c>
      <c r="H455" s="8" t="n">
        <f aca="false">SUM(J455:AS455)</f>
        <v>-22765.6981606533</v>
      </c>
      <c r="J455" s="8" t="n">
        <f aca="false">-(I458+J452+J453)*Debt_Rate*J424</f>
        <v>-0</v>
      </c>
      <c r="K455" s="8" t="n">
        <f aca="false">-(J458+K452+K453)*Debt_Rate*K424</f>
        <v>-0</v>
      </c>
      <c r="L455" s="8" t="n">
        <f aca="false">-(K458+L452+L453)*Debt_Rate*L424</f>
        <v>-0</v>
      </c>
      <c r="M455" s="8" t="n">
        <f aca="false">-(L458+M452+M453)*Debt_Rate*M424</f>
        <v>-0</v>
      </c>
      <c r="N455" s="8" t="n">
        <f aca="false">-(M458+N452+N453)*Debt_Rate*N424</f>
        <v>-0</v>
      </c>
      <c r="O455" s="8" t="n">
        <f aca="false">-(N458+O452+O453)*Debt_Rate*O424</f>
        <v>-1210.59543390076</v>
      </c>
      <c r="P455" s="8" t="n">
        <f aca="false">-(O458+P452+P453)*Debt_Rate*P424</f>
        <v>-2421.19086780152</v>
      </c>
      <c r="Q455" s="8" t="n">
        <f aca="false">-(P458+Q452+Q453)*Debt_Rate*Q424</f>
        <v>-2308.98734424898</v>
      </c>
      <c r="R455" s="8" t="n">
        <f aca="false">-(Q458+R452+R453)*Debt_Rate*R424</f>
        <v>-2191.17364451882</v>
      </c>
      <c r="S455" s="8" t="n">
        <f aca="false">-(R458+S452+S453)*Debt_Rate*S424</f>
        <v>-2067.46925980215</v>
      </c>
      <c r="T455" s="8" t="n">
        <f aca="false">-(S458+T452+T453)*Debt_Rate*T424</f>
        <v>-1937.57965584965</v>
      </c>
      <c r="U455" s="8" t="n">
        <f aca="false">-(T458+U452+U453)*Debt_Rate*U424</f>
        <v>-1801.19557169952</v>
      </c>
      <c r="V455" s="8" t="n">
        <f aca="false">-(U458+V452+V453)*Debt_Rate*V424</f>
        <v>-1657.99228334189</v>
      </c>
      <c r="W455" s="8" t="n">
        <f aca="false">-(V458+W452+W453)*Debt_Rate*W424</f>
        <v>-1507.62883056638</v>
      </c>
      <c r="X455" s="8" t="n">
        <f aca="false">-(W458+X452+X453)*Debt_Rate*X424</f>
        <v>-1349.74720515208</v>
      </c>
      <c r="Y455" s="8" t="n">
        <f aca="false">-(X458+Y452+Y453)*Debt_Rate*Y424</f>
        <v>-1183.97149846708</v>
      </c>
      <c r="Z455" s="8" t="n">
        <f aca="false">-(Y458+Z452+Z453)*Debt_Rate*Z424</f>
        <v>-1009.90700644782</v>
      </c>
      <c r="AA455" s="8" t="n">
        <f aca="false">-(Z458+AA452+AA453)*Debt_Rate*AA424</f>
        <v>-827.139289827604</v>
      </c>
      <c r="AB455" s="8" t="n">
        <f aca="false">-(AA458+AB452+AB453)*Debt_Rate*AB424</f>
        <v>-635.233187376375</v>
      </c>
      <c r="AC455" s="8" t="n">
        <f aca="false">-(AB458+AC452+AC453)*Debt_Rate*AC424</f>
        <v>-433.731779802584</v>
      </c>
      <c r="AD455" s="8" t="n">
        <f aca="false">-(AC458+AD452+AD453)*Debt_Rate*AD424</f>
        <v>-222.155301850103</v>
      </c>
      <c r="AE455" s="8" t="n">
        <f aca="false">-(AD458+AE452+AE453)*Debt_Rate*AE424</f>
        <v>1.31876731757075E-012</v>
      </c>
      <c r="AF455" s="8" t="n">
        <f aca="false">-(AE458+AF452+AF453)*Debt_Rate*AF424</f>
        <v>1.38470568344928E-012</v>
      </c>
      <c r="AG455" s="8" t="n">
        <f aca="false">-(AF458+AG452+AG453)*Debt_Rate*AG424</f>
        <v>1.45394096762175E-012</v>
      </c>
      <c r="AH455" s="8" t="n">
        <f aca="false">-(AG458+AH452+AH453)*Debt_Rate*AH424</f>
        <v>1.52663801600284E-012</v>
      </c>
      <c r="AI455" s="8" t="n">
        <f aca="false">-(AH458+AI452+AI453)*Debt_Rate*AI424</f>
        <v>1.60296991680298E-012</v>
      </c>
      <c r="AJ455" s="8" t="n">
        <f aca="false">-(AI458+AJ452+AJ453)*Debt_Rate*AJ424</f>
        <v>1.68311841264313E-012</v>
      </c>
      <c r="AK455" s="8" t="n">
        <f aca="false">-(AJ458+AK452+AK453)*Debt_Rate*AK424</f>
        <v>1.76727433327528E-012</v>
      </c>
      <c r="AL455" s="8" t="n">
        <f aca="false">-(AK458+AL452+AL453)*Debt_Rate*AL424</f>
        <v>1.85563804993905E-012</v>
      </c>
      <c r="AM455" s="8" t="n">
        <f aca="false">-(AL458+AM452+AM453)*Debt_Rate*AM424</f>
        <v>1.948419952436E-012</v>
      </c>
      <c r="AN455" s="8" t="n">
        <f aca="false">-(AM458+AN452+AN453)*Debt_Rate*AN424</f>
        <v>2.0458409500578E-012</v>
      </c>
      <c r="AO455" s="8" t="n">
        <f aca="false">-(AN458+AO452+AO453)*Debt_Rate*AO424</f>
        <v>2.14813299756069E-012</v>
      </c>
      <c r="AP455" s="8" t="n">
        <f aca="false">-(AO458+AP452+AP453)*Debt_Rate*AP424</f>
        <v>2.25553964743872E-012</v>
      </c>
      <c r="AQ455" s="8" t="n">
        <f aca="false">-(AP458+AQ452+AQ453)*Debt_Rate*AQ424</f>
        <v>2.36831662981066E-012</v>
      </c>
      <c r="AR455" s="8" t="n">
        <f aca="false">-(AQ458+AR452+AR453)*Debt_Rate*AR424</f>
        <v>2.48673246130119E-012</v>
      </c>
      <c r="AS455" s="8" t="n">
        <f aca="false">-(AR458+AS452+AS453)*Debt_Rate*AS424</f>
        <v>1.30553454218313E-012</v>
      </c>
    </row>
    <row r="456" customFormat="false" ht="14.25" hidden="false" customHeight="false" outlineLevel="0" collapsed="false">
      <c r="C456" s="6" t="s">
        <v>325</v>
      </c>
      <c r="D456" s="2" t="s">
        <v>85</v>
      </c>
      <c r="H456" s="8" t="n">
        <f aca="false">SUM(J456:AS456)</f>
        <v>-71189.5155166837</v>
      </c>
      <c r="J456" s="8" t="n">
        <f aca="false">PMT(Debt_Rate,Debt_Tenor,$H452+$H453)*(J420&gt;=1)*(J420&lt;=Debt_Tenor)+J455*(J420=0)</f>
        <v>-0</v>
      </c>
      <c r="K456" s="8" t="n">
        <f aca="false">PMT(Debt_Rate,Debt_Tenor,$H452+$H453)*(K420&gt;=1)*(K420&lt;=Debt_Tenor)+K455*(K420=0)</f>
        <v>-0</v>
      </c>
      <c r="L456" s="8" t="n">
        <f aca="false">PMT(Debt_Rate,Debt_Tenor,$H452+$H453)*(L420&gt;=1)*(L420&lt;=Debt_Tenor)+L455*(L420=0)</f>
        <v>-0</v>
      </c>
      <c r="M456" s="8" t="n">
        <f aca="false">PMT(Debt_Rate,Debt_Tenor,$H452+$H453)*(M420&gt;=1)*(M420&lt;=Debt_Tenor)+M455*(M420=0)</f>
        <v>-0</v>
      </c>
      <c r="N456" s="8" t="n">
        <f aca="false">PMT(Debt_Rate,Debt_Tenor,$H452+$H453)*(N420&gt;=1)*(N420&lt;=Debt_Tenor)+N455*(N420=0)</f>
        <v>-0</v>
      </c>
      <c r="O456" s="8" t="n">
        <f aca="false">PMT(Debt_Rate,Debt_Tenor,$H452+$H453)*(O420&gt;=1)*(O420&lt;=Debt_Tenor)+O455*(O420=0)</f>
        <v>-1210.59543390076</v>
      </c>
      <c r="P456" s="8" t="n">
        <f aca="false">PMT(Debt_Rate,Debt_Tenor,$H452+$H453)*(P420&gt;=1)*(P420&lt;=Debt_Tenor)+P455*(P420=0)</f>
        <v>-4665.2613388522</v>
      </c>
      <c r="Q456" s="8" t="n">
        <f aca="false">PMT(Debt_Rate,Debt_Tenor,$H452+$H453)*(Q420&gt;=1)*(Q420&lt;=Debt_Tenor)+Q455*(Q420=0)</f>
        <v>-4665.2613388522</v>
      </c>
      <c r="R456" s="8" t="n">
        <f aca="false">PMT(Debt_Rate,Debt_Tenor,$H452+$H453)*(R420&gt;=1)*(R420&lt;=Debt_Tenor)+R455*(R420=0)</f>
        <v>-4665.2613388522</v>
      </c>
      <c r="S456" s="8" t="n">
        <f aca="false">PMT(Debt_Rate,Debt_Tenor,$H452+$H453)*(S420&gt;=1)*(S420&lt;=Debt_Tenor)+S455*(S420=0)</f>
        <v>-4665.2613388522</v>
      </c>
      <c r="T456" s="8" t="n">
        <f aca="false">PMT(Debt_Rate,Debt_Tenor,$H452+$H453)*(T420&gt;=1)*(T420&lt;=Debt_Tenor)+T455*(T420=0)</f>
        <v>-4665.2613388522</v>
      </c>
      <c r="U456" s="8" t="n">
        <f aca="false">PMT(Debt_Rate,Debt_Tenor,$H452+$H453)*(U420&gt;=1)*(U420&lt;=Debt_Tenor)+U455*(U420=0)</f>
        <v>-4665.2613388522</v>
      </c>
      <c r="V456" s="8" t="n">
        <f aca="false">PMT(Debt_Rate,Debt_Tenor,$H452+$H453)*(V420&gt;=1)*(V420&lt;=Debt_Tenor)+V455*(V420=0)</f>
        <v>-4665.2613388522</v>
      </c>
      <c r="W456" s="8" t="n">
        <f aca="false">PMT(Debt_Rate,Debt_Tenor,$H452+$H453)*(W420&gt;=1)*(W420&lt;=Debt_Tenor)+W455*(W420=0)</f>
        <v>-4665.2613388522</v>
      </c>
      <c r="X456" s="8" t="n">
        <f aca="false">PMT(Debt_Rate,Debt_Tenor,$H452+$H453)*(X420&gt;=1)*(X420&lt;=Debt_Tenor)+X455*(X420=0)</f>
        <v>-4665.2613388522</v>
      </c>
      <c r="Y456" s="8" t="n">
        <f aca="false">PMT(Debt_Rate,Debt_Tenor,$H452+$H453)*(Y420&gt;=1)*(Y420&lt;=Debt_Tenor)+Y455*(Y420=0)</f>
        <v>-4665.2613388522</v>
      </c>
      <c r="Z456" s="8" t="n">
        <f aca="false">PMT(Debt_Rate,Debt_Tenor,$H452+$H453)*(Z420&gt;=1)*(Z420&lt;=Debt_Tenor)+Z455*(Z420=0)</f>
        <v>-4665.2613388522</v>
      </c>
      <c r="AA456" s="8" t="n">
        <f aca="false">PMT(Debt_Rate,Debt_Tenor,$H452+$H453)*(AA420&gt;=1)*(AA420&lt;=Debt_Tenor)+AA455*(AA420=0)</f>
        <v>-4665.2613388522</v>
      </c>
      <c r="AB456" s="8" t="n">
        <f aca="false">PMT(Debt_Rate,Debt_Tenor,$H452+$H453)*(AB420&gt;=1)*(AB420&lt;=Debt_Tenor)+AB455*(AB420=0)</f>
        <v>-4665.2613388522</v>
      </c>
      <c r="AC456" s="8" t="n">
        <f aca="false">PMT(Debt_Rate,Debt_Tenor,$H452+$H453)*(AC420&gt;=1)*(AC420&lt;=Debt_Tenor)+AC455*(AC420=0)</f>
        <v>-4665.2613388522</v>
      </c>
      <c r="AD456" s="8" t="n">
        <f aca="false">PMT(Debt_Rate,Debt_Tenor,$H452+$H453)*(AD420&gt;=1)*(AD420&lt;=Debt_Tenor)+AD455*(AD420=0)</f>
        <v>-4665.2613388522</v>
      </c>
      <c r="AE456" s="8" t="n">
        <f aca="false">PMT(Debt_Rate,Debt_Tenor,$H452+$H453)*(AE420&gt;=1)*(AE420&lt;=Debt_Tenor)+AE455*(AE420=0)</f>
        <v>0</v>
      </c>
      <c r="AF456" s="8" t="n">
        <f aca="false">PMT(Debt_Rate,Debt_Tenor,$H452+$H453)*(AF420&gt;=1)*(AF420&lt;=Debt_Tenor)+AF455*(AF420=0)</f>
        <v>0</v>
      </c>
      <c r="AG456" s="8" t="n">
        <f aca="false">PMT(Debt_Rate,Debt_Tenor,$H452+$H453)*(AG420&gt;=1)*(AG420&lt;=Debt_Tenor)+AG455*(AG420=0)</f>
        <v>0</v>
      </c>
      <c r="AH456" s="8" t="n">
        <f aca="false">PMT(Debt_Rate,Debt_Tenor,$H452+$H453)*(AH420&gt;=1)*(AH420&lt;=Debt_Tenor)+AH455*(AH420=0)</f>
        <v>0</v>
      </c>
      <c r="AI456" s="8" t="n">
        <f aca="false">PMT(Debt_Rate,Debt_Tenor,$H452+$H453)*(AI420&gt;=1)*(AI420&lt;=Debt_Tenor)+AI455*(AI420=0)</f>
        <v>0</v>
      </c>
      <c r="AJ456" s="8" t="n">
        <f aca="false">PMT(Debt_Rate,Debt_Tenor,$H452+$H453)*(AJ420&gt;=1)*(AJ420&lt;=Debt_Tenor)+AJ455*(AJ420=0)</f>
        <v>0</v>
      </c>
      <c r="AK456" s="8" t="n">
        <f aca="false">PMT(Debt_Rate,Debt_Tenor,$H452+$H453)*(AK420&gt;=1)*(AK420&lt;=Debt_Tenor)+AK455*(AK420=0)</f>
        <v>0</v>
      </c>
      <c r="AL456" s="8" t="n">
        <f aca="false">PMT(Debt_Rate,Debt_Tenor,$H452+$H453)*(AL420&gt;=1)*(AL420&lt;=Debt_Tenor)+AL455*(AL420=0)</f>
        <v>0</v>
      </c>
      <c r="AM456" s="8" t="n">
        <f aca="false">PMT(Debt_Rate,Debt_Tenor,$H452+$H453)*(AM420&gt;=1)*(AM420&lt;=Debt_Tenor)+AM455*(AM420=0)</f>
        <v>0</v>
      </c>
      <c r="AN456" s="8" t="n">
        <f aca="false">PMT(Debt_Rate,Debt_Tenor,$H452+$H453)*(AN420&gt;=1)*(AN420&lt;=Debt_Tenor)+AN455*(AN420=0)</f>
        <v>0</v>
      </c>
      <c r="AO456" s="8" t="n">
        <f aca="false">PMT(Debt_Rate,Debt_Tenor,$H452+$H453)*(AO420&gt;=1)*(AO420&lt;=Debt_Tenor)+AO455*(AO420=0)</f>
        <v>0</v>
      </c>
      <c r="AP456" s="8" t="n">
        <f aca="false">PMT(Debt_Rate,Debt_Tenor,$H452+$H453)*(AP420&gt;=1)*(AP420&lt;=Debt_Tenor)+AP455*(AP420=0)</f>
        <v>0</v>
      </c>
      <c r="AQ456" s="8" t="n">
        <f aca="false">PMT(Debt_Rate,Debt_Tenor,$H452+$H453)*(AQ420&gt;=1)*(AQ420&lt;=Debt_Tenor)+AQ455*(AQ420=0)</f>
        <v>0</v>
      </c>
      <c r="AR456" s="8" t="n">
        <f aca="false">PMT(Debt_Rate,Debt_Tenor,$H452+$H453)*(AR420&gt;=1)*(AR420&lt;=Debt_Tenor)+AR455*(AR420=0)</f>
        <v>0</v>
      </c>
      <c r="AS456" s="8" t="n">
        <f aca="false">PMT(Debt_Rate,Debt_Tenor,$H452+$H453)*(AS420&gt;=1)*(AS420&lt;=Debt_Tenor)+AS455*(AS420=0)</f>
        <v>0</v>
      </c>
    </row>
    <row r="457" customFormat="false" ht="14.25" hidden="false" customHeight="false" outlineLevel="0" collapsed="false">
      <c r="C457" s="6" t="s">
        <v>326</v>
      </c>
      <c r="D457" s="2" t="s">
        <v>85</v>
      </c>
      <c r="H457" s="8" t="n">
        <f aca="false">SUM(J457:AS457)</f>
        <v>-48423.8173560304</v>
      </c>
      <c r="J457" s="8" t="n">
        <f aca="false">J456-J455</f>
        <v>0</v>
      </c>
      <c r="K457" s="8" t="n">
        <f aca="false">K456-K455</f>
        <v>0</v>
      </c>
      <c r="L457" s="8" t="n">
        <f aca="false">L456-L455</f>
        <v>0</v>
      </c>
      <c r="M457" s="8" t="n">
        <f aca="false">M456-M455</f>
        <v>0</v>
      </c>
      <c r="N457" s="8" t="n">
        <f aca="false">N456-N455</f>
        <v>0</v>
      </c>
      <c r="O457" s="8" t="n">
        <f aca="false">O456-O455</f>
        <v>0</v>
      </c>
      <c r="P457" s="8" t="n">
        <f aca="false">P456-P455</f>
        <v>-2244.07047105068</v>
      </c>
      <c r="Q457" s="8" t="n">
        <f aca="false">Q456-Q455</f>
        <v>-2356.27399460321</v>
      </c>
      <c r="R457" s="8" t="n">
        <f aca="false">R456-R455</f>
        <v>-2474.08769433337</v>
      </c>
      <c r="S457" s="8" t="n">
        <f aca="false">S456-S455</f>
        <v>-2597.79207905004</v>
      </c>
      <c r="T457" s="8" t="n">
        <f aca="false">T456-T455</f>
        <v>-2727.68168300254</v>
      </c>
      <c r="U457" s="8" t="n">
        <f aca="false">U456-U455</f>
        <v>-2864.06576715267</v>
      </c>
      <c r="V457" s="8" t="n">
        <f aca="false">V456-V455</f>
        <v>-3007.26905551031</v>
      </c>
      <c r="W457" s="8" t="n">
        <f aca="false">W456-W455</f>
        <v>-3157.63250828582</v>
      </c>
      <c r="X457" s="8" t="n">
        <f aca="false">X456-X455</f>
        <v>-3315.51413370011</v>
      </c>
      <c r="Y457" s="8" t="n">
        <f aca="false">Y456-Y455</f>
        <v>-3481.28984038512</v>
      </c>
      <c r="Z457" s="8" t="n">
        <f aca="false">Z456-Z455</f>
        <v>-3655.35433240437</v>
      </c>
      <c r="AA457" s="8" t="n">
        <f aca="false">AA456-AA455</f>
        <v>-3838.12204902459</v>
      </c>
      <c r="AB457" s="8" t="n">
        <f aca="false">AB456-AB455</f>
        <v>-4030.02815147582</v>
      </c>
      <c r="AC457" s="8" t="n">
        <f aca="false">AC456-AC455</f>
        <v>-4231.52955904961</v>
      </c>
      <c r="AD457" s="8" t="n">
        <f aca="false">AD456-AD455</f>
        <v>-4443.10603700209</v>
      </c>
      <c r="AE457" s="8" t="n">
        <f aca="false">AE456-AE455</f>
        <v>-1.31876731757075E-012</v>
      </c>
      <c r="AF457" s="8" t="n">
        <f aca="false">AF456-AF455</f>
        <v>-1.38470568344928E-012</v>
      </c>
      <c r="AG457" s="8" t="n">
        <f aca="false">AG456-AG455</f>
        <v>-1.45394096762175E-012</v>
      </c>
      <c r="AH457" s="8" t="n">
        <f aca="false">AH456-AH455</f>
        <v>-1.52663801600284E-012</v>
      </c>
      <c r="AI457" s="8" t="n">
        <f aca="false">AI456-AI455</f>
        <v>-1.60296991680298E-012</v>
      </c>
      <c r="AJ457" s="8" t="n">
        <f aca="false">AJ456-AJ455</f>
        <v>-1.68311841264313E-012</v>
      </c>
      <c r="AK457" s="8" t="n">
        <f aca="false">AK456-AK455</f>
        <v>-1.76727433327528E-012</v>
      </c>
      <c r="AL457" s="8" t="n">
        <f aca="false">AL456-AL455</f>
        <v>-1.85563804993905E-012</v>
      </c>
      <c r="AM457" s="8" t="n">
        <f aca="false">AM456-AM455</f>
        <v>-1.948419952436E-012</v>
      </c>
      <c r="AN457" s="8" t="n">
        <f aca="false">AN456-AN455</f>
        <v>-2.0458409500578E-012</v>
      </c>
      <c r="AO457" s="8" t="n">
        <f aca="false">AO456-AO455</f>
        <v>-2.14813299756069E-012</v>
      </c>
      <c r="AP457" s="8" t="n">
        <f aca="false">AP456-AP455</f>
        <v>-2.25553964743872E-012</v>
      </c>
      <c r="AQ457" s="8" t="n">
        <f aca="false">AQ456-AQ455</f>
        <v>-2.36831662981066E-012</v>
      </c>
      <c r="AR457" s="8" t="n">
        <f aca="false">AR456-AR455</f>
        <v>-2.48673246130119E-012</v>
      </c>
      <c r="AS457" s="8" t="n">
        <f aca="false">AS456-AS455</f>
        <v>-1.30553454218313E-012</v>
      </c>
    </row>
    <row r="458" customFormat="false" ht="14.25" hidden="false" customHeight="false" outlineLevel="0" collapsed="false">
      <c r="C458" s="6" t="s">
        <v>327</v>
      </c>
      <c r="D458" s="2" t="s">
        <v>85</v>
      </c>
      <c r="H458" s="8"/>
      <c r="J458" s="8" t="n">
        <f aca="false">I458+J452+J453+J457</f>
        <v>0</v>
      </c>
      <c r="K458" s="8" t="n">
        <f aca="false">J458+K452+K453+K457</f>
        <v>0</v>
      </c>
      <c r="L458" s="8" t="n">
        <f aca="false">K458+L452+L453+L457</f>
        <v>0</v>
      </c>
      <c r="M458" s="8" t="n">
        <f aca="false">L458+M452+M453+M457</f>
        <v>11664.0089980736</v>
      </c>
      <c r="N458" s="8" t="n">
        <f aca="false">M458+N452+N453+N457</f>
        <v>35863.2276662992</v>
      </c>
      <c r="O458" s="8" t="n">
        <f aca="false">N458+O452+O453+O457</f>
        <v>48423.8173560303</v>
      </c>
      <c r="P458" s="8" t="n">
        <f aca="false">O458+P452+P453+P457</f>
        <v>46179.7468849797</v>
      </c>
      <c r="Q458" s="8" t="n">
        <f aca="false">P458+Q452+Q453+Q457</f>
        <v>43823.4728903764</v>
      </c>
      <c r="R458" s="8" t="n">
        <f aca="false">Q458+R452+R453+R457</f>
        <v>41349.3851960431</v>
      </c>
      <c r="S458" s="8" t="n">
        <f aca="false">R458+S452+S453+S457</f>
        <v>38751.593116993</v>
      </c>
      <c r="T458" s="8" t="n">
        <f aca="false">S458+T452+T453+T457</f>
        <v>36023.9114339905</v>
      </c>
      <c r="U458" s="8" t="n">
        <f aca="false">T458+U452+U453+U457</f>
        <v>33159.8456668378</v>
      </c>
      <c r="V458" s="8" t="n">
        <f aca="false">U458+V452+V453+V457</f>
        <v>30152.5766113275</v>
      </c>
      <c r="W458" s="8" t="n">
        <f aca="false">V458+W452+W453+W457</f>
        <v>26994.9441030417</v>
      </c>
      <c r="X458" s="8" t="n">
        <f aca="false">W458+X452+X453+X457</f>
        <v>23679.4299693416</v>
      </c>
      <c r="Y458" s="8" t="n">
        <f aca="false">X458+Y452+Y453+Y457</f>
        <v>20198.1401289565</v>
      </c>
      <c r="Z458" s="8" t="n">
        <f aca="false">Y458+Z452+Z453+Z457</f>
        <v>16542.7857965521</v>
      </c>
      <c r="AA458" s="8" t="n">
        <f aca="false">Z458+AA452+AA453+AA457</f>
        <v>12704.6637475275</v>
      </c>
      <c r="AB458" s="8" t="n">
        <f aca="false">AA458+AB452+AB453+AB457</f>
        <v>8674.63559605168</v>
      </c>
      <c r="AC458" s="8" t="n">
        <f aca="false">AB458+AC452+AC453+AC457</f>
        <v>4443.10603700207</v>
      </c>
      <c r="AD458" s="8" t="n">
        <f aca="false">AC458+AD452+AD453+AD457</f>
        <v>-2.63753463514149E-011</v>
      </c>
      <c r="AE458" s="8" t="n">
        <f aca="false">AD458+AE452+AE453+AE457</f>
        <v>-2.76941136689857E-011</v>
      </c>
      <c r="AF458" s="8" t="n">
        <f aca="false">AE458+AF452+AF453+AF457</f>
        <v>-2.90788193524349E-011</v>
      </c>
      <c r="AG458" s="8" t="n">
        <f aca="false">AF458+AG452+AG453+AG457</f>
        <v>-3.05327603200567E-011</v>
      </c>
      <c r="AH458" s="8" t="n">
        <f aca="false">AG458+AH452+AH453+AH457</f>
        <v>-3.20593983360595E-011</v>
      </c>
      <c r="AI458" s="8" t="n">
        <f aca="false">AH458+AI452+AI453+AI457</f>
        <v>-3.36623682528625E-011</v>
      </c>
      <c r="AJ458" s="8" t="n">
        <f aca="false">AI458+AJ452+AJ453+AJ457</f>
        <v>-3.53454866655056E-011</v>
      </c>
      <c r="AK458" s="8" t="n">
        <f aca="false">AJ458+AK452+AK453+AK457</f>
        <v>-3.71127609987809E-011</v>
      </c>
      <c r="AL458" s="8" t="n">
        <f aca="false">AK458+AL452+AL453+AL457</f>
        <v>-3.896839904872E-011</v>
      </c>
      <c r="AM458" s="8" t="n">
        <f aca="false">AL458+AM452+AM453+AM457</f>
        <v>-4.0916819001156E-011</v>
      </c>
      <c r="AN458" s="8" t="n">
        <f aca="false">AM458+AN452+AN453+AN457</f>
        <v>-4.29626599512138E-011</v>
      </c>
      <c r="AO458" s="8" t="n">
        <f aca="false">AN458+AO452+AO453+AO457</f>
        <v>-4.51107929487745E-011</v>
      </c>
      <c r="AP458" s="8" t="n">
        <f aca="false">AO458+AP452+AP453+AP457</f>
        <v>-4.73663325962132E-011</v>
      </c>
      <c r="AQ458" s="8" t="n">
        <f aca="false">AP458+AQ452+AQ453+AQ457</f>
        <v>-4.97346492260238E-011</v>
      </c>
      <c r="AR458" s="8" t="n">
        <f aca="false">AQ458+AR452+AR453+AR457</f>
        <v>-5.2221381687325E-011</v>
      </c>
      <c r="AS458" s="8" t="n">
        <f aca="false">AR458+AS452+AS453+AS457</f>
        <v>-5.35269162295081E-011</v>
      </c>
    </row>
    <row r="459" customFormat="false" ht="14.25" hidden="false" customHeight="false" outlineLevel="0" collapsed="false">
      <c r="C459" s="6" t="s">
        <v>328</v>
      </c>
      <c r="D459" s="2" t="s">
        <v>85</v>
      </c>
      <c r="H459" s="8" t="n">
        <f aca="false">SUM(J459:AS459)</f>
        <v>-2343.78180808514</v>
      </c>
      <c r="J459" s="8" t="n">
        <f aca="false">-$H453/Tax_Dep_Life*J446</f>
        <v>-0</v>
      </c>
      <c r="K459" s="8" t="n">
        <f aca="false">-$H453/Tax_Dep_Life*K446</f>
        <v>-0</v>
      </c>
      <c r="L459" s="8" t="n">
        <f aca="false">-$H453/Tax_Dep_Life*L446</f>
        <v>-0</v>
      </c>
      <c r="M459" s="8" t="n">
        <f aca="false">-$H453/Tax_Dep_Life*M446</f>
        <v>-0</v>
      </c>
      <c r="N459" s="8" t="n">
        <f aca="false">-$H453/Tax_Dep_Life*N446</f>
        <v>-0</v>
      </c>
      <c r="O459" s="8" t="n">
        <f aca="false">-$H453/Tax_Dep_Life*O446</f>
        <v>-58.5945452021284</v>
      </c>
      <c r="P459" s="8" t="n">
        <f aca="false">-$H453/Tax_Dep_Life*P446</f>
        <v>-117.189090404257</v>
      </c>
      <c r="Q459" s="8" t="n">
        <f aca="false">-$H453/Tax_Dep_Life*Q446</f>
        <v>-117.189090404257</v>
      </c>
      <c r="R459" s="8" t="n">
        <f aca="false">-$H453/Tax_Dep_Life*R446</f>
        <v>-117.189090404257</v>
      </c>
      <c r="S459" s="8" t="n">
        <f aca="false">-$H453/Tax_Dep_Life*S446</f>
        <v>-117.189090404257</v>
      </c>
      <c r="T459" s="8" t="n">
        <f aca="false">-$H453/Tax_Dep_Life*T446</f>
        <v>-117.189090404257</v>
      </c>
      <c r="U459" s="8" t="n">
        <f aca="false">-$H453/Tax_Dep_Life*U446</f>
        <v>-117.189090404257</v>
      </c>
      <c r="V459" s="8" t="n">
        <f aca="false">-$H453/Tax_Dep_Life*V446</f>
        <v>-117.189090404257</v>
      </c>
      <c r="W459" s="8" t="n">
        <f aca="false">-$H453/Tax_Dep_Life*W446</f>
        <v>-117.189090404257</v>
      </c>
      <c r="X459" s="8" t="n">
        <f aca="false">-$H453/Tax_Dep_Life*X446</f>
        <v>-117.189090404257</v>
      </c>
      <c r="Y459" s="8" t="n">
        <f aca="false">-$H453/Tax_Dep_Life*Y446</f>
        <v>-117.189090404257</v>
      </c>
      <c r="Z459" s="8" t="n">
        <f aca="false">-$H453/Tax_Dep_Life*Z446</f>
        <v>-117.189090404257</v>
      </c>
      <c r="AA459" s="8" t="n">
        <f aca="false">-$H453/Tax_Dep_Life*AA446</f>
        <v>-117.189090404257</v>
      </c>
      <c r="AB459" s="8" t="n">
        <f aca="false">-$H453/Tax_Dep_Life*AB446</f>
        <v>-117.189090404257</v>
      </c>
      <c r="AC459" s="8" t="n">
        <f aca="false">-$H453/Tax_Dep_Life*AC446</f>
        <v>-117.189090404257</v>
      </c>
      <c r="AD459" s="8" t="n">
        <f aca="false">-$H453/Tax_Dep_Life*AD446</f>
        <v>-117.189090404257</v>
      </c>
      <c r="AE459" s="8" t="n">
        <f aca="false">-$H453/Tax_Dep_Life*AE446</f>
        <v>-117.189090404257</v>
      </c>
      <c r="AF459" s="8" t="n">
        <f aca="false">-$H453/Tax_Dep_Life*AF446</f>
        <v>-117.189090404257</v>
      </c>
      <c r="AG459" s="8" t="n">
        <f aca="false">-$H453/Tax_Dep_Life*AG446</f>
        <v>-117.189090404257</v>
      </c>
      <c r="AH459" s="8" t="n">
        <f aca="false">-$H453/Tax_Dep_Life*AH446</f>
        <v>-117.189090404257</v>
      </c>
      <c r="AI459" s="8" t="n">
        <f aca="false">-$H453/Tax_Dep_Life*AI446</f>
        <v>-58.5945452021284</v>
      </c>
      <c r="AJ459" s="8" t="n">
        <f aca="false">-$H453/Tax_Dep_Life*AJ446</f>
        <v>-0</v>
      </c>
      <c r="AK459" s="8" t="n">
        <f aca="false">-$H453/Tax_Dep_Life*AK446</f>
        <v>-0</v>
      </c>
      <c r="AL459" s="8" t="n">
        <f aca="false">-$H453/Tax_Dep_Life*AL446</f>
        <v>-0</v>
      </c>
      <c r="AM459" s="8" t="n">
        <f aca="false">-$H453/Tax_Dep_Life*AM446</f>
        <v>-0</v>
      </c>
      <c r="AN459" s="8" t="n">
        <f aca="false">-$H453/Tax_Dep_Life*AN446</f>
        <v>-0</v>
      </c>
      <c r="AO459" s="8" t="n">
        <f aca="false">-$H453/Tax_Dep_Life*AO446</f>
        <v>-0</v>
      </c>
      <c r="AP459" s="8" t="n">
        <f aca="false">-$H453/Tax_Dep_Life*AP446</f>
        <v>-0</v>
      </c>
      <c r="AQ459" s="8" t="n">
        <f aca="false">-$H453/Tax_Dep_Life*AQ446</f>
        <v>-0</v>
      </c>
      <c r="AR459" s="8" t="n">
        <f aca="false">-$H453/Tax_Dep_Life*AR446</f>
        <v>-0</v>
      </c>
      <c r="AS459" s="8" t="n">
        <f aca="false">-$H453/Tax_Dep_Life*AS446</f>
        <v>-0</v>
      </c>
    </row>
    <row r="460" customFormat="false" ht="14.25" hidden="false" customHeight="false" outlineLevel="0" collapsed="false">
      <c r="C460" s="6" t="s">
        <v>329</v>
      </c>
      <c r="D460" s="2" t="s">
        <v>85</v>
      </c>
      <c r="H460" s="8" t="n">
        <f aca="false">SUM(J460:AS460)</f>
        <v>-33210.487590456</v>
      </c>
      <c r="J460" s="8" t="n">
        <f aca="false">-MAX(0,J444+J448+J459+J455+J454)*CIT_Rate</f>
        <v>-0</v>
      </c>
      <c r="K460" s="8" t="n">
        <f aca="false">-MAX(0,K444+K448+K459+K455+K454)*CIT_Rate</f>
        <v>-0</v>
      </c>
      <c r="L460" s="8" t="n">
        <f aca="false">-MAX(0,L444+L448+L459+L455+L454)*CIT_Rate</f>
        <v>-0</v>
      </c>
      <c r="M460" s="8" t="n">
        <f aca="false">-MAX(0,M444+M448+M459+M455+M454)*CIT_Rate</f>
        <v>-0</v>
      </c>
      <c r="N460" s="8" t="n">
        <f aca="false">-MAX(0,N444+N448+N459+N455+N454)*CIT_Rate</f>
        <v>-0</v>
      </c>
      <c r="O460" s="8" t="n">
        <f aca="false">-MAX(0,O444+O448+O459+O455+O454)*CIT_Rate</f>
        <v>-310.616304981142</v>
      </c>
      <c r="P460" s="8" t="n">
        <f aca="false">-MAX(0,P444+P448+P459+P455+P454)*CIT_Rate</f>
        <v>-631.548857064285</v>
      </c>
      <c r="Q460" s="8" t="n">
        <f aca="false">-MAX(0,Q444+Q448+Q459+Q455+Q454)*CIT_Rate</f>
        <v>-653.234736323922</v>
      </c>
      <c r="R460" s="8" t="n">
        <f aca="false">-MAX(0,R444+R448+R459+R455+R454)*CIT_Rate</f>
        <v>-675.637433749163</v>
      </c>
      <c r="S460" s="8" t="n">
        <f aca="false">-MAX(0,S444+S448+S459+S455+S454)*CIT_Rate</f>
        <v>-698.794369129235</v>
      </c>
      <c r="T460" s="8" t="n">
        <f aca="false">-MAX(0,T444+T448+T459+T455+T454)*CIT_Rate</f>
        <v>-722.744941407001</v>
      </c>
      <c r="U460" s="8" t="n">
        <f aca="false">-MAX(0,U444+U448+U459+U455+U454)*CIT_Rate</f>
        <v>-747.530630754174</v>
      </c>
      <c r="V460" s="8" t="n">
        <f aca="false">-MAX(0,V444+V448+V459+V455+V454)*CIT_Rate</f>
        <v>-773.195105829459</v>
      </c>
      <c r="W460" s="8" t="n">
        <f aca="false">-MAX(0,W444+W448+W459+W455+W454)*CIT_Rate</f>
        <v>-799.784336480733</v>
      </c>
      <c r="X460" s="8" t="n">
        <f aca="false">-MAX(0,X444+X448+X459+X455+X454)*CIT_Rate</f>
        <v>-827.346712165432</v>
      </c>
      <c r="Y460" s="8" t="n">
        <f aca="false">-MAX(0,Y444+Y448+Y459+Y455+Y454)*CIT_Rate</f>
        <v>-855.933166377142</v>
      </c>
      <c r="Z460" s="8" t="n">
        <f aca="false">-MAX(0,Z444+Z448+Z459+Z455+Z454)*CIT_Rate</f>
        <v>-885.597307380774</v>
      </c>
      <c r="AA460" s="8" t="n">
        <f aca="false">-MAX(0,AA444+AA448+AA459+AA455+AA454)*CIT_Rate</f>
        <v>-916.395555573921</v>
      </c>
      <c r="AB460" s="8" t="n">
        <f aca="false">-MAX(0,AB444+AB448+AB459+AB455+AB454)*CIT_Rate</f>
        <v>-948.387287807896</v>
      </c>
      <c r="AC460" s="8" t="n">
        <f aca="false">-MAX(0,AC444+AC448+AC459+AC455+AC454)*CIT_Rate</f>
        <v>-981.634989018711</v>
      </c>
      <c r="AD460" s="8" t="n">
        <f aca="false">-MAX(0,AD444+AD448+AD459+AD455+AD454)*CIT_Rate</f>
        <v>-1016.20441153578</v>
      </c>
      <c r="AE460" s="8" t="n">
        <f aca="false">-MAX(0,AE444+AE448+AE459+AE455+AE454)*CIT_Rate</f>
        <v>-1052.16474245462</v>
      </c>
      <c r="AF460" s="8" t="n">
        <f aca="false">-MAX(0,AF444+AF448+AF459+AF455+AF454)*CIT_Rate</f>
        <v>-1054.59931943779</v>
      </c>
      <c r="AG460" s="8" t="n">
        <f aca="false">-MAX(0,AG444+AG448+AG459+AG455+AG454)*CIT_Rate</f>
        <v>-1056.82472257492</v>
      </c>
      <c r="AH460" s="8" t="n">
        <f aca="false">-MAX(0,AH444+AH448+AH459+AH455+AH454)*CIT_Rate</f>
        <v>-1058.83406069339</v>
      </c>
      <c r="AI460" s="8" t="n">
        <f aca="false">-MAX(0,AI444+AI448+AI459+AI455+AI454)*CIT_Rate</f>
        <v>-1328.88040979249</v>
      </c>
      <c r="AJ460" s="8" t="n">
        <f aca="false">-MAX(0,AJ444+AJ448+AJ459+AJ455+AJ454)*CIT_Rate</f>
        <v>-1598.69636595756</v>
      </c>
      <c r="AK460" s="8" t="n">
        <f aca="false">-MAX(0,AK444+AK448+AK459+AK455+AK454)*CIT_Rate</f>
        <v>-1600.01433583266</v>
      </c>
      <c r="AL460" s="8" t="n">
        <f aca="false">-MAX(0,AL444+AL448+AL459+AL455+AL454)*CIT_Rate</f>
        <v>-1601.08682698029</v>
      </c>
      <c r="AM460" s="8" t="n">
        <f aca="false">-MAX(0,AM444+AM448+AM459+AM455+AM454)*CIT_Rate</f>
        <v>-1601.90600045683</v>
      </c>
      <c r="AN460" s="8" t="n">
        <f aca="false">-MAX(0,AN444+AN448+AN459+AN455+AN454)*CIT_Rate</f>
        <v>-1602.4638134044</v>
      </c>
      <c r="AO460" s="8" t="n">
        <f aca="false">-MAX(0,AO444+AO448+AO459+AO455+AO454)*CIT_Rate</f>
        <v>-1602.75201398753</v>
      </c>
      <c r="AP460" s="8" t="n">
        <f aca="false">-MAX(0,AP444+AP448+AP459+AP455+AP454)*CIT_Rate</f>
        <v>-1602.76213620557</v>
      </c>
      <c r="AQ460" s="8" t="n">
        <f aca="false">-MAX(0,AQ444+AQ448+AQ459+AQ455+AQ454)*CIT_Rate</f>
        <v>-1602.48549457754</v>
      </c>
      <c r="AR460" s="8" t="n">
        <f aca="false">-MAX(0,AR444+AR448+AR459+AR455+AR454)*CIT_Rate</f>
        <v>-1601.91317869653</v>
      </c>
      <c r="AS460" s="8" t="n">
        <f aca="false">-MAX(0,AS444+AS448+AS459+AS455+AS454)*CIT_Rate</f>
        <v>-800.518023825112</v>
      </c>
    </row>
    <row r="461" customFormat="false" ht="14.25" hidden="false" customHeight="false" outlineLevel="0" collapsed="false">
      <c r="C461" s="1" t="s">
        <v>163</v>
      </c>
      <c r="D461" s="2" t="s">
        <v>85</v>
      </c>
      <c r="H461" s="32" t="n">
        <f aca="false">SUM(J461:AS461)</f>
        <v>179778.560678166</v>
      </c>
      <c r="J461" s="32" t="n">
        <f aca="false">J445+J452+J454+J456+J460</f>
        <v>0</v>
      </c>
      <c r="K461" s="32" t="n">
        <f aca="false">K445+K452+K454+K456+K460</f>
        <v>0</v>
      </c>
      <c r="L461" s="32" t="n">
        <f aca="false">L445+L452+L454+L456+L460</f>
        <v>0</v>
      </c>
      <c r="M461" s="32" t="n">
        <f aca="false">M445+M452+M454+M456+M460</f>
        <v>-19043.9715296233</v>
      </c>
      <c r="N461" s="32" t="n">
        <f aca="false">N445+N452+N454+N456+N460</f>
        <v>-8317.9822260274</v>
      </c>
      <c r="O461" s="32" t="n">
        <f aca="false">O445+O452+O454+O456+O460</f>
        <v>-3110.4310678956</v>
      </c>
      <c r="P461" s="32" t="n">
        <f aca="false">P445+P452+P454+P456+P460</f>
        <v>4911.50835276352</v>
      </c>
      <c r="Q461" s="32" t="n">
        <f aca="false">Q445+Q452+Q454+Q456+Q460</f>
        <v>7416.71202629414</v>
      </c>
      <c r="R461" s="32" t="n">
        <f aca="false">R445+R452+R454+R456+R460</f>
        <v>4931.3263973618</v>
      </c>
      <c r="S461" s="32" t="n">
        <f aca="false">S445+S452+S454+S456+S460</f>
        <v>4938.84464646554</v>
      </c>
      <c r="T461" s="32" t="n">
        <f aca="false">T445+T452+T454+T456+T460</f>
        <v>4944.67495208705</v>
      </c>
      <c r="U461" s="32" t="n">
        <f aca="false">U445+U452+U454+U456+U460</f>
        <v>4948.7431075709</v>
      </c>
      <c r="V461" s="32" t="n">
        <f aca="false">V445+V452+V454+V456+V460</f>
        <v>4950.97184463988</v>
      </c>
      <c r="W461" s="32" t="n">
        <f aca="false">W445+W452+W454+W456+W460</f>
        <v>4951.28069888825</v>
      </c>
      <c r="X461" s="32" t="n">
        <f aca="false">X445+X452+X454+X456+X460</f>
        <v>4949.58586902059</v>
      </c>
      <c r="Y461" s="32" t="n">
        <f aca="false">Y445+Y452+Y454+Y456+Y460</f>
        <v>4945.80006953527</v>
      </c>
      <c r="Z461" s="32" t="n">
        <f aca="false">Z445+Z452+Z454+Z456+Z460</f>
        <v>4939.8323765366</v>
      </c>
      <c r="AA461" s="32" t="n">
        <f aca="false">AA445+AA452+AA454+AA456+AA460</f>
        <v>4931.58806634421</v>
      </c>
      <c r="AB461" s="32" t="n">
        <f aca="false">AB445+AB452+AB454+AB456+AB460</f>
        <v>4920.96844655218</v>
      </c>
      <c r="AC461" s="32" t="n">
        <f aca="false">AC445+AC452+AC454+AC456+AC460</f>
        <v>4907.870679173</v>
      </c>
      <c r="AD461" s="32" t="n">
        <f aca="false">AD445+AD452+AD454+AD456+AD460</f>
        <v>4892.18759548389</v>
      </c>
      <c r="AE461" s="32" t="n">
        <f aca="false">AE445+AE452+AE454+AE456+AE460</f>
        <v>9539.06884102607</v>
      </c>
      <c r="AF461" s="32" t="n">
        <f aca="false">AF445+AF452+AF454+AF456+AF460</f>
        <v>9552.86477726406</v>
      </c>
      <c r="AG461" s="32" t="n">
        <f aca="false">AG445+AG452+AG454+AG456+AG460</f>
        <v>9565.47539504115</v>
      </c>
      <c r="AH461" s="32" t="n">
        <f aca="false">AH445+AH452+AH454+AH456+AH460</f>
        <v>9576.86164437914</v>
      </c>
      <c r="AI461" s="32" t="n">
        <f aca="false">AI445+AI452+AI454+AI456+AI460</f>
        <v>9318.72330571574</v>
      </c>
      <c r="AJ461" s="32" t="n">
        <f aca="false">AJ445+AJ452+AJ454+AJ456+AJ460</f>
        <v>9059.27940709287</v>
      </c>
      <c r="AK461" s="32" t="n">
        <f aca="false">AK445+AK452+AK454+AK456+AK460</f>
        <v>9066.74790305173</v>
      </c>
      <c r="AL461" s="32" t="n">
        <f aca="false">AL445+AL452+AL454+AL456+AL460</f>
        <v>9072.8253528883</v>
      </c>
      <c r="AM461" s="32" t="n">
        <f aca="false">AM445+AM452+AM454+AM456+AM460</f>
        <v>9077.46733592206</v>
      </c>
      <c r="AN461" s="32" t="n">
        <f aca="false">AN445+AN452+AN454+AN456+AN460</f>
        <v>9080.62827595824</v>
      </c>
      <c r="AO461" s="32" t="n">
        <f aca="false">AO445+AO452+AO454+AO456+AO460</f>
        <v>9082.26141259599</v>
      </c>
      <c r="AP461" s="32" t="n">
        <f aca="false">AP445+AP452+AP454+AP456+AP460</f>
        <v>9082.31877183154</v>
      </c>
      <c r="AQ461" s="32" t="n">
        <f aca="false">AQ445+AQ452+AQ454+AQ456+AQ460</f>
        <v>9080.75113593939</v>
      </c>
      <c r="AR461" s="32" t="n">
        <f aca="false">AR445+AR452+AR454+AR456+AR460</f>
        <v>9077.50801261365</v>
      </c>
      <c r="AS461" s="32" t="n">
        <f aca="false">AS445+AS452+AS454+AS456+AS460</f>
        <v>4536.26880167564</v>
      </c>
    </row>
    <row r="462" customFormat="false" ht="14.25" hidden="false" customHeight="false" outlineLevel="0" collapsed="false">
      <c r="C462" s="6" t="s">
        <v>330</v>
      </c>
      <c r="D462" s="2" t="s">
        <v>3</v>
      </c>
      <c r="H462" s="47" t="n">
        <f aca="false">MIN(J462:AS462)</f>
        <v>2.04864170303641</v>
      </c>
      <c r="J462" s="47" t="str">
        <f aca="false">IF(J456&lt;0,-(J444+J460)/J456,"")</f>
        <v/>
      </c>
      <c r="K462" s="47" t="str">
        <f aca="false">IF(K456&lt;0,-(K444+K460)/K456,"")</f>
        <v/>
      </c>
      <c r="L462" s="47" t="str">
        <f aca="false">IF(L456&lt;0,-(L444+L460)/L456,"")</f>
        <v/>
      </c>
      <c r="M462" s="47" t="str">
        <f aca="false">IF(M456&lt;0,-(M444+M460)/M456,"")</f>
        <v/>
      </c>
      <c r="N462" s="47" t="str">
        <f aca="false">IF(N456&lt;0,-(N444+N460)/N456,"")</f>
        <v/>
      </c>
      <c r="O462" s="47" t="n">
        <f aca="false">IF(O456&lt;0,-(O444+O460)/O456,"")</f>
        <v>3.93125180035084</v>
      </c>
      <c r="P462" s="47" t="n">
        <f aca="false">IF(P456&lt;0,-(P444+P460)/P456,"")</f>
        <v>2.05278311246159</v>
      </c>
      <c r="Q462" s="47" t="n">
        <f aca="false">IF(Q456&lt;0,-(Q444+Q460)/Q456,"")</f>
        <v>2.05507304325205</v>
      </c>
      <c r="R462" s="47" t="n">
        <f aca="false">IF(R456&lt;0,-(R444+R460)/R456,"")</f>
        <v>2.05703111555484</v>
      </c>
      <c r="S462" s="47" t="n">
        <f aca="false">IF(S456&lt;0,-(S444+S460)/S456,"")</f>
        <v>2.05864265423567</v>
      </c>
      <c r="T462" s="47" t="n">
        <f aca="false">IF(T456&lt;0,-(T444+T460)/T456,"")</f>
        <v>2.05989238178533</v>
      </c>
      <c r="U462" s="47" t="n">
        <f aca="false">IF(U456&lt;0,-(U444+U460)/U456,"")</f>
        <v>2.06076439198762</v>
      </c>
      <c r="V462" s="47" t="n">
        <f aca="false">IF(V456&lt;0,-(V444+V460)/V456,"")</f>
        <v>2.06124212236693</v>
      </c>
      <c r="W462" s="47" t="n">
        <f aca="false">IF(W456&lt;0,-(W444+W460)/W456,"")</f>
        <v>2.06130832535663</v>
      </c>
      <c r="X462" s="47" t="n">
        <f aca="false">IF(X456&lt;0,-(X444+X460)/X456,"")</f>
        <v>2.06094503812692</v>
      </c>
      <c r="Y462" s="47" t="n">
        <f aca="false">IF(Y456&lt;0,-(Y444+Y460)/Y456,"")</f>
        <v>2.06013355100748</v>
      </c>
      <c r="Z462" s="47" t="n">
        <f aca="false">IF(Z456&lt;0,-(Z444+Z460)/Z456,"")</f>
        <v>2.05885437443724</v>
      </c>
      <c r="AA462" s="47" t="n">
        <f aca="false">IF(AA456&lt;0,-(AA444+AA460)/AA456,"")</f>
        <v>2.05708720437032</v>
      </c>
      <c r="AB462" s="47" t="n">
        <f aca="false">IF(AB456&lt;0,-(AB444+AB460)/AB456,"")</f>
        <v>2.05481088606344</v>
      </c>
      <c r="AC462" s="47" t="n">
        <f aca="false">IF(AC456&lt;0,-(AC444+AC460)/AC456,"")</f>
        <v>2.05200337616681</v>
      </c>
      <c r="AD462" s="47" t="n">
        <f aca="false">IF(AD456&lt;0,-(AD444+AD460)/AD456,"")</f>
        <v>2.04864170303641</v>
      </c>
      <c r="AE462" s="47" t="str">
        <f aca="false">IF(AE456&lt;0,-(AE444+AE460)/AE456,"")</f>
        <v/>
      </c>
      <c r="AF462" s="47" t="str">
        <f aca="false">IF(AF456&lt;0,-(AF444+AF460)/AF456,"")</f>
        <v/>
      </c>
      <c r="AG462" s="47" t="str">
        <f aca="false">IF(AG456&lt;0,-(AG444+AG460)/AG456,"")</f>
        <v/>
      </c>
      <c r="AH462" s="47" t="str">
        <f aca="false">IF(AH456&lt;0,-(AH444+AH460)/AH456,"")</f>
        <v/>
      </c>
      <c r="AI462" s="47" t="str">
        <f aca="false">IF(AI456&lt;0,-(AI444+AI460)/AI456,"")</f>
        <v/>
      </c>
      <c r="AJ462" s="47" t="str">
        <f aca="false">IF(AJ456&lt;0,-(AJ444+AJ460)/AJ456,"")</f>
        <v/>
      </c>
      <c r="AK462" s="47" t="str">
        <f aca="false">IF(AK456&lt;0,-(AK444+AK460)/AK456,"")</f>
        <v/>
      </c>
      <c r="AL462" s="47" t="str">
        <f aca="false">IF(AL456&lt;0,-(AL444+AL460)/AL456,"")</f>
        <v/>
      </c>
      <c r="AM462" s="47" t="str">
        <f aca="false">IF(AM456&lt;0,-(AM444+AM460)/AM456,"")</f>
        <v/>
      </c>
      <c r="AN462" s="47" t="str">
        <f aca="false">IF(AN456&lt;0,-(AN444+AN460)/AN456,"")</f>
        <v/>
      </c>
      <c r="AO462" s="47" t="str">
        <f aca="false">IF(AO456&lt;0,-(AO444+AO460)/AO456,"")</f>
        <v/>
      </c>
      <c r="AP462" s="47" t="str">
        <f aca="false">IF(AP456&lt;0,-(AP444+AP460)/AP456,"")</f>
        <v/>
      </c>
      <c r="AQ462" s="47" t="str">
        <f aca="false">IF(AQ456&lt;0,-(AQ444+AQ460)/AQ456,"")</f>
        <v/>
      </c>
      <c r="AR462" s="47" t="str">
        <f aca="false">IF(AR456&lt;0,-(AR444+AR460)/AR456,"")</f>
        <v/>
      </c>
      <c r="AS462" s="47" t="str">
        <f aca="false">IF(AS456&lt;0,-(AS444+AS460)/AS456,"")</f>
        <v/>
      </c>
    </row>
    <row r="463" customFormat="false" ht="14.25" hidden="false" customHeight="false" outlineLevel="0" collapsed="false">
      <c r="C463" s="6" t="s">
        <v>331</v>
      </c>
      <c r="D463" s="2" t="s">
        <v>3</v>
      </c>
      <c r="J463" s="77" t="n">
        <f aca="false">(1+Discount_Rate)^((Inputs!$F$26-J$360)/Days_In_Year)</f>
        <v>1.41371255107938</v>
      </c>
      <c r="K463" s="77" t="n">
        <f aca="false">(1+Discount_Rate)^((Inputs!$F$26-K$360)/Days_In_Year)</f>
        <v>1.30899310285128</v>
      </c>
      <c r="L463" s="77" t="n">
        <f aca="false">(1+Discount_Rate)^((Inputs!$F$26-L$360)/Days_In_Year)</f>
        <v>1.21177511843915</v>
      </c>
      <c r="M463" s="77" t="n">
        <f aca="false">(1+Discount_Rate)^((Inputs!$F$26-M$360)/Days_In_Year)</f>
        <v>1.12201399855477</v>
      </c>
      <c r="N463" s="77" t="n">
        <f aca="false">(1+Discount_Rate)^((Inputs!$F$26-N$360)/Days_In_Year)</f>
        <v>1.03890185051367</v>
      </c>
      <c r="O463" s="77" t="n">
        <f aca="false">(1+Discount_Rate)^((Inputs!$F$26-O$360)/Days_In_Year)</f>
        <v>0.961946157883031</v>
      </c>
      <c r="P463" s="77" t="n">
        <f aca="false">(1+Discount_Rate)^((Inputs!$F$26-P$360)/Days_In_Year)</f>
        <v>0.890503102622714</v>
      </c>
      <c r="Q463" s="77" t="n">
        <f aca="false">(1+Discount_Rate)^((Inputs!$F$26-Q$360)/Days_In_Year)</f>
        <v>0.824539909835846</v>
      </c>
      <c r="R463" s="77" t="n">
        <f aca="false">(1+Discount_Rate)^((Inputs!$F$26-R$360)/Days_In_Year)</f>
        <v>0.763462879477635</v>
      </c>
      <c r="S463" s="77" t="n">
        <f aca="false">(1+Discount_Rate)^((Inputs!$F$26-S$360)/Days_In_Year)</f>
        <v>0.706910073590403</v>
      </c>
      <c r="T463" s="77" t="n">
        <f aca="false">(1+Discount_Rate)^((Inputs!$F$26-T$360)/Days_In_Year)</f>
        <v>0.654408366464987</v>
      </c>
      <c r="U463" s="77" t="n">
        <f aca="false">(1+Discount_Rate)^((Inputs!$F$26-U$360)/Days_In_Year)</f>
        <v>0.605933672652766</v>
      </c>
      <c r="V463" s="77" t="n">
        <f aca="false">(1+Discount_Rate)^((Inputs!$F$26-V$360)/Days_In_Year)</f>
        <v>0.561049696900709</v>
      </c>
      <c r="W463" s="77" t="n">
        <f aca="false">(1+Discount_Rate)^((Inputs!$F$26-W$360)/Days_In_Year)</f>
        <v>0.519490460093249</v>
      </c>
      <c r="X463" s="77" t="n">
        <f aca="false">(1+Discount_Rate)^((Inputs!$F$26-X$360)/Days_In_Year)</f>
        <v>0.480908274028566</v>
      </c>
      <c r="Y463" s="77" t="n">
        <f aca="false">(1+Discount_Rate)^((Inputs!$F$26-Y$360)/Days_In_Year)</f>
        <v>0.445285438915339</v>
      </c>
      <c r="Z463" s="77" t="n">
        <f aca="false">(1+Discount_Rate)^((Inputs!$F$26-Z$360)/Days_In_Year)</f>
        <v>0.412301332329018</v>
      </c>
      <c r="AA463" s="77" t="n">
        <f aca="false">(1+Discount_Rate)^((Inputs!$F$26-AA$360)/Days_In_Year)</f>
        <v>0.381760492897239</v>
      </c>
      <c r="AB463" s="77" t="n">
        <f aca="false">(1+Discount_Rate)^((Inputs!$F$26-AB$360)/Days_In_Year)</f>
        <v>0.353407413292154</v>
      </c>
      <c r="AC463" s="77" t="n">
        <f aca="false">(1+Discount_Rate)^((Inputs!$F$26-AC$360)/Days_In_Year)</f>
        <v>0.327229086381624</v>
      </c>
      <c r="AD463" s="77" t="n">
        <f aca="false">(1+Discount_Rate)^((Inputs!$F$26-AD$360)/Days_In_Year)</f>
        <v>0.3029898947978</v>
      </c>
      <c r="AE463" s="77" t="n">
        <f aca="false">(1+Discount_Rate)^((Inputs!$F$26-AE$360)/Days_In_Year)</f>
        <v>0.280546198886852</v>
      </c>
      <c r="AF463" s="77" t="n">
        <f aca="false">(1+Discount_Rate)^((Inputs!$F$26-AF$360)/Days_In_Year)</f>
        <v>0.259710232730228</v>
      </c>
      <c r="AG463" s="77" t="n">
        <f aca="false">(1+Discount_Rate)^((Inputs!$F$26-AG$360)/Days_In_Year)</f>
        <v>0.240472437713174</v>
      </c>
      <c r="AH463" s="77" t="n">
        <f aca="false">(1+Discount_Rate)^((Inputs!$F$26-AH$360)/Days_In_Year)</f>
        <v>0.222659664549235</v>
      </c>
      <c r="AI463" s="77" t="n">
        <f aca="false">(1+Discount_Rate)^((Inputs!$F$26-AI$360)/Days_In_Year)</f>
        <v>0.206166356064106</v>
      </c>
      <c r="AJ463" s="77" t="n">
        <f aca="false">(1+Discount_Rate)^((Inputs!$F$26-AJ$360)/Days_In_Year)</f>
        <v>0.190854527799705</v>
      </c>
      <c r="AK463" s="77" t="n">
        <f aca="false">(1+Discount_Rate)^((Inputs!$F$26-AK$360)/Days_In_Year)</f>
        <v>0.176717155370097</v>
      </c>
      <c r="AL463" s="77" t="n">
        <f aca="false">(1+Discount_Rate)^((Inputs!$F$26-AL$360)/Days_In_Year)</f>
        <v>0.163626995713053</v>
      </c>
      <c r="AM463" s="77" t="n">
        <f aca="false">(1+Discount_Rate)^((Inputs!$F$26-AM$360)/Days_In_Year)</f>
        <v>0.151506477512086</v>
      </c>
      <c r="AN463" s="77" t="n">
        <f aca="false">(1+Discount_Rate)^((Inputs!$F$26-AN$360)/Days_In_Year)</f>
        <v>0.140254199454224</v>
      </c>
      <c r="AO463" s="77" t="n">
        <f aca="false">(1+Discount_Rate)^((Inputs!$F$26-AO$360)/Days_In_Year)</f>
        <v>0.129864999494652</v>
      </c>
      <c r="AP463" s="77" t="n">
        <f aca="false">(1+Discount_Rate)^((Inputs!$F$26-AP$360)/Days_In_Year)</f>
        <v>0.120245369902455</v>
      </c>
      <c r="AQ463" s="77" t="n">
        <f aca="false">(1+Discount_Rate)^((Inputs!$F$26-AQ$360)/Days_In_Year)</f>
        <v>0.111338305465236</v>
      </c>
      <c r="AR463" s="77" t="n">
        <f aca="false">(1+Discount_Rate)^((Inputs!$F$26-AR$360)/Days_In_Year)</f>
        <v>0.103069288904634</v>
      </c>
      <c r="AS463" s="77" t="n">
        <f aca="false">(1+Discount_Rate)^((Inputs!$F$26-AS$360)/Days_In_Year)</f>
        <v>0.0954345267635496</v>
      </c>
    </row>
    <row r="464" customFormat="false" ht="14.25" hidden="false" customHeight="false" outlineLevel="0" collapsed="false">
      <c r="C464" s="6" t="s">
        <v>332</v>
      </c>
      <c r="D464" s="2" t="s">
        <v>85</v>
      </c>
      <c r="H464" s="8" t="n">
        <f aca="false">SUM(J464:AS464)</f>
        <v>104814.283831267</v>
      </c>
      <c r="J464" s="8" t="n">
        <f aca="false">(J444+J449)*J463</f>
        <v>0</v>
      </c>
      <c r="K464" s="8" t="n">
        <f aca="false">(K444+K449)*K463</f>
        <v>0</v>
      </c>
      <c r="L464" s="8" t="n">
        <f aca="false">(L444+L449)*L463</f>
        <v>0</v>
      </c>
      <c r="M464" s="8" t="n">
        <f aca="false">(M444+M449)*M463</f>
        <v>0</v>
      </c>
      <c r="N464" s="8" t="n">
        <f aca="false">(N444+N449)*N463</f>
        <v>0</v>
      </c>
      <c r="O464" s="8" t="n">
        <f aca="false">(O444+O449)*O463</f>
        <v>4394.91746420691</v>
      </c>
      <c r="P464" s="8" t="n">
        <f aca="false">(P444+P449)*P463</f>
        <v>8189.07783922433</v>
      </c>
      <c r="Q464" s="8" t="n">
        <f aca="false">(Q444+Q449)*Q463</f>
        <v>7605.16558664922</v>
      </c>
      <c r="R464" s="8" t="n">
        <f aca="false">(R444+R449)*R463</f>
        <v>7062.28611717721</v>
      </c>
      <c r="S464" s="8" t="n">
        <f aca="false">(S444+S449)*S463</f>
        <v>6557.58571958384</v>
      </c>
      <c r="T464" s="8" t="n">
        <f aca="false">(T444+T449)*T463</f>
        <v>6087.12403118125</v>
      </c>
      <c r="U464" s="8" t="n">
        <f aca="false">(U444+U449)*U463</f>
        <v>5651.08694354077</v>
      </c>
      <c r="V464" s="8" t="n">
        <f aca="false">(V444+V449)*V463</f>
        <v>5245.78996717216</v>
      </c>
      <c r="W464" s="8" t="n">
        <f aca="false">(W444+W449)*W463</f>
        <v>4869.09023629193</v>
      </c>
      <c r="X464" s="8" t="n">
        <f aca="false">(X444+X449)*X463</f>
        <v>4518.0403054856</v>
      </c>
      <c r="Y464" s="8" t="n">
        <f aca="false">(Y444+Y449)*Y463</f>
        <v>4192.75751808886</v>
      </c>
      <c r="Z464" s="8" t="n">
        <f aca="false">(Z444+Z449)*Z463</f>
        <v>3890.48745264063</v>
      </c>
      <c r="AA464" s="8" t="n">
        <f aca="false">(AA444+AA449)*AA463</f>
        <v>3609.62186900423</v>
      </c>
      <c r="AB464" s="8" t="n">
        <f aca="false">(AB444+AB449)*AB463</f>
        <v>3347.95793004988</v>
      </c>
      <c r="AC464" s="8" t="n">
        <f aca="false">(AC444+AC449)*AC463</f>
        <v>3105.5656441151</v>
      </c>
      <c r="AD464" s="8" t="n">
        <f aca="false">(AD444+AD449)*AD463</f>
        <v>2880.38775889343</v>
      </c>
      <c r="AE464" s="8" t="n">
        <f aca="false">(AE444+AE449)*AE463</f>
        <v>2671.21796119028</v>
      </c>
      <c r="AF464" s="8" t="n">
        <f aca="false">(AF444+AF449)*AF463</f>
        <v>2476.41145365229</v>
      </c>
      <c r="AG464" s="8" t="n">
        <f aca="false">(AG444+AG449)*AG463</f>
        <v>2296.00607419449</v>
      </c>
      <c r="AH464" s="8" t="n">
        <f aca="false">(AH444+AH449)*AH463</f>
        <v>2128.46680863816</v>
      </c>
      <c r="AI464" s="8" t="n">
        <f aca="false">(AI444+AI449)*AI463</f>
        <v>1919.39519352865</v>
      </c>
      <c r="AJ464" s="8" t="n">
        <f aca="false">(AJ444+AJ449)*AJ463</f>
        <v>1729.0044934463</v>
      </c>
      <c r="AK464" s="8" t="n">
        <f aca="false">(AK444+AK449)*AK463</f>
        <v>1602.24989788509</v>
      </c>
      <c r="AL464" s="8" t="n">
        <f aca="false">(AL444+AL449)*AL463</f>
        <v>1484.55915512233</v>
      </c>
      <c r="AM464" s="8" t="n">
        <f aca="false">(AM444+AM449)*AM463</f>
        <v>1375.29510079657</v>
      </c>
      <c r="AN464" s="8" t="n">
        <f aca="false">(AN444+AN449)*AN463</f>
        <v>1273.59624938591</v>
      </c>
      <c r="AO464" s="8" t="n">
        <f aca="false">(AO444+AO449)*AO463</f>
        <v>1179.46787375707</v>
      </c>
      <c r="AP464" s="8" t="n">
        <f aca="false">(AP444+AP449)*AP463</f>
        <v>1092.1067802909</v>
      </c>
      <c r="AQ464" s="8" t="n">
        <f aca="false">(AQ444+AQ449)*AQ463</f>
        <v>1011.03544382701</v>
      </c>
      <c r="AR464" s="8" t="n">
        <f aca="false">(AR444+AR449)*AR463</f>
        <v>935.612295886202</v>
      </c>
      <c r="AS464" s="8" t="n">
        <f aca="false">(AS444+AS449)*AS463</f>
        <v>432.916666360168</v>
      </c>
    </row>
    <row r="465" customFormat="false" ht="14.25" hidden="false" customHeight="false" outlineLevel="0" collapsed="false">
      <c r="C465" s="1" t="s">
        <v>333</v>
      </c>
      <c r="D465" s="2" t="s">
        <v>85</v>
      </c>
      <c r="H465" s="32" t="n">
        <f aca="false">SUM(J465:AS465)</f>
        <v>28014.2245846914</v>
      </c>
      <c r="J465" s="32" t="n">
        <f aca="false">J430*(J420&lt;=0)+J425*($H464+$F$62+$F$63)</f>
        <v>0</v>
      </c>
      <c r="K465" s="32" t="n">
        <f aca="false">K430*(K420&lt;=0)+K425*($H464+$F$62+$F$63)</f>
        <v>0</v>
      </c>
      <c r="L465" s="32" t="n">
        <f aca="false">L430*(L420&lt;=0)+L425*($H464+$F$62+$F$63)</f>
        <v>0</v>
      </c>
      <c r="M465" s="32" t="n">
        <f aca="false">M430*(M420&lt;=0)+M425*($H464+$F$62+$F$63)</f>
        <v>-29757.5797945206</v>
      </c>
      <c r="N465" s="32" t="n">
        <f aca="false">N430*(N420&lt;=0)+N425*($H464+$F$62+$F$63)</f>
        <v>-31358</v>
      </c>
      <c r="O465" s="32" t="n">
        <f aca="false">O430*(O420&lt;=0)+O425*($H464+$F$62+$F$63)</f>
        <v>89129.804379212</v>
      </c>
      <c r="P465" s="32" t="n">
        <f aca="false">P430*(P420&lt;=0)+P425*($H464+$F$62+$F$63)</f>
        <v>0</v>
      </c>
      <c r="Q465" s="32" t="n">
        <f aca="false">Q430*(Q420&lt;=0)+Q425*($H464+$F$62+$F$63)</f>
        <v>0</v>
      </c>
      <c r="R465" s="32" t="n">
        <f aca="false">R430*(R420&lt;=0)+R425*($H464+$F$62+$F$63)</f>
        <v>0</v>
      </c>
      <c r="S465" s="32" t="n">
        <f aca="false">S430*(S420&lt;=0)+S425*($H464+$F$62+$F$63)</f>
        <v>0</v>
      </c>
      <c r="T465" s="32" t="n">
        <f aca="false">T430*(T420&lt;=0)+T425*($H464+$F$62+$F$63)</f>
        <v>0</v>
      </c>
      <c r="U465" s="32" t="n">
        <f aca="false">U430*(U420&lt;=0)+U425*($H464+$F$62+$F$63)</f>
        <v>0</v>
      </c>
      <c r="V465" s="32" t="n">
        <f aca="false">V430*(V420&lt;=0)+V425*($H464+$F$62+$F$63)</f>
        <v>0</v>
      </c>
      <c r="W465" s="32" t="n">
        <f aca="false">W430*(W420&lt;=0)+W425*($H464+$F$62+$F$63)</f>
        <v>0</v>
      </c>
      <c r="X465" s="32" t="n">
        <f aca="false">X430*(X420&lt;=0)+X425*($H464+$F$62+$F$63)</f>
        <v>0</v>
      </c>
      <c r="Y465" s="32" t="n">
        <f aca="false">Y430*(Y420&lt;=0)+Y425*($H464+$F$62+$F$63)</f>
        <v>0</v>
      </c>
      <c r="Z465" s="32" t="n">
        <f aca="false">Z430*(Z420&lt;=0)+Z425*($H464+$F$62+$F$63)</f>
        <v>0</v>
      </c>
      <c r="AA465" s="32" t="n">
        <f aca="false">AA430*(AA420&lt;=0)+AA425*($H464+$F$62+$F$63)</f>
        <v>0</v>
      </c>
      <c r="AB465" s="32" t="n">
        <f aca="false">AB430*(AB420&lt;=0)+AB425*($H464+$F$62+$F$63)</f>
        <v>0</v>
      </c>
      <c r="AC465" s="32" t="n">
        <f aca="false">AC430*(AC420&lt;=0)+AC425*($H464+$F$62+$F$63)</f>
        <v>0</v>
      </c>
      <c r="AD465" s="32" t="n">
        <f aca="false">AD430*(AD420&lt;=0)+AD425*($H464+$F$62+$F$63)</f>
        <v>0</v>
      </c>
      <c r="AE465" s="32" t="n">
        <f aca="false">AE430*(AE420&lt;=0)+AE425*($H464+$F$62+$F$63)</f>
        <v>0</v>
      </c>
      <c r="AF465" s="32" t="n">
        <f aca="false">AF430*(AF420&lt;=0)+AF425*($H464+$F$62+$F$63)</f>
        <v>0</v>
      </c>
      <c r="AG465" s="32" t="n">
        <f aca="false">AG430*(AG420&lt;=0)+AG425*($H464+$F$62+$F$63)</f>
        <v>0</v>
      </c>
      <c r="AH465" s="32" t="n">
        <f aca="false">AH430*(AH420&lt;=0)+AH425*($H464+$F$62+$F$63)</f>
        <v>0</v>
      </c>
      <c r="AI465" s="32" t="n">
        <f aca="false">AI430*(AI420&lt;=0)+AI425*($H464+$F$62+$F$63)</f>
        <v>0</v>
      </c>
      <c r="AJ465" s="32" t="n">
        <f aca="false">AJ430*(AJ420&lt;=0)+AJ425*($H464+$F$62+$F$63)</f>
        <v>0</v>
      </c>
      <c r="AK465" s="32" t="n">
        <f aca="false">AK430*(AK420&lt;=0)+AK425*($H464+$F$62+$F$63)</f>
        <v>0</v>
      </c>
      <c r="AL465" s="32" t="n">
        <f aca="false">AL430*(AL420&lt;=0)+AL425*($H464+$F$62+$F$63)</f>
        <v>0</v>
      </c>
      <c r="AM465" s="32" t="n">
        <f aca="false">AM430*(AM420&lt;=0)+AM425*($H464+$F$62+$F$63)</f>
        <v>0</v>
      </c>
      <c r="AN465" s="32" t="n">
        <f aca="false">AN430*(AN420&lt;=0)+AN425*($H464+$F$62+$F$63)</f>
        <v>0</v>
      </c>
      <c r="AO465" s="32" t="n">
        <f aca="false">AO430*(AO420&lt;=0)+AO425*($H464+$F$62+$F$63)</f>
        <v>0</v>
      </c>
      <c r="AP465" s="32" t="n">
        <f aca="false">AP430*(AP420&lt;=0)+AP425*($H464+$F$62+$F$63)</f>
        <v>0</v>
      </c>
      <c r="AQ465" s="32" t="n">
        <f aca="false">AQ430*(AQ420&lt;=0)+AQ425*($H464+$F$62+$F$63)</f>
        <v>0</v>
      </c>
      <c r="AR465" s="32" t="n">
        <f aca="false">AR430*(AR420&lt;=0)+AR425*($H464+$F$62+$F$63)</f>
        <v>0</v>
      </c>
      <c r="AS465" s="32" t="n">
        <f aca="false">AS430*(AS420&lt;=0)+AS425*($H464+$F$62+$F$63)</f>
        <v>0</v>
      </c>
    </row>
    <row r="466" customFormat="false" ht="14.25" hidden="false" customHeight="false" outlineLevel="0" collapsed="false">
      <c r="C466" s="41" t="s">
        <v>334</v>
      </c>
      <c r="D466" s="42"/>
      <c r="E466" s="43"/>
      <c r="F466" s="43"/>
      <c r="G466" s="43"/>
      <c r="H466" s="43"/>
    </row>
    <row r="467" customFormat="false" ht="14.25" hidden="false" customHeight="false" outlineLevel="0" collapsed="false">
      <c r="C467" s="6" t="s">
        <v>335</v>
      </c>
      <c r="D467" s="2" t="s">
        <v>85</v>
      </c>
      <c r="H467" s="8"/>
      <c r="J467" s="8" t="n">
        <f aca="false">(I467*(1+Rate_Cash)-SUMPRODUCT($F341:$F346*$N341:$N346*(YEAR($K341:$K346)=J359)))*(J360&lt;$F190)*$F21</f>
        <v>0</v>
      </c>
      <c r="K467" s="8" t="n">
        <f aca="false">(J467*(1+Rate_Cash)-SUMPRODUCT($F341:$F346*$N341:$N346*(YEAR($K341:$K346)=K359)))*(K360&lt;$F190)*$F21</f>
        <v>0</v>
      </c>
      <c r="L467" s="8" t="n">
        <f aca="false">(K467*(1+Rate_Cash)-SUMPRODUCT($F341:$F346*$N341:$N346*(YEAR($K341:$K346)=L359)))*(L360&lt;$F190)*$F21</f>
        <v>0</v>
      </c>
      <c r="M467" s="8" t="n">
        <f aca="false">(L467*(1+Rate_Cash)-SUMPRODUCT($F341:$F346*$N341:$N346*(YEAR($K341:$K346)=M359)))*(M360&lt;$F190)*$F21</f>
        <v>0</v>
      </c>
      <c r="N467" s="8" t="n">
        <f aca="false">(M467*(1+Rate_Cash)-SUMPRODUCT($F341:$F346*$N341:$N346*(YEAR($K341:$K346)=N359)))*(N360&lt;$F190)*$F21</f>
        <v>0</v>
      </c>
      <c r="O467" s="8" t="n">
        <f aca="false">(N467*(1+Rate_Cash)-SUMPRODUCT($F341:$F346*$N341:$N346*(YEAR($K341:$K346)=O359)))*(O360&lt;$F190)*$F21</f>
        <v>0</v>
      </c>
      <c r="P467" s="8" t="n">
        <f aca="false">(O467*(1+Rate_Cash)-SUMPRODUCT($F341:$F346*$N341:$N346*(YEAR($K341:$K346)=P359)))*(P360&lt;$F190)*$F21</f>
        <v>0</v>
      </c>
      <c r="Q467" s="8" t="n">
        <f aca="false">(P467*(1+Rate_Cash)-SUMPRODUCT($F341:$F346*$N341:$N346*(YEAR($K341:$K346)=Q359)))*(Q360&lt;$F190)*$F21</f>
        <v>0</v>
      </c>
      <c r="R467" s="8" t="n">
        <f aca="false">(Q467*(1+Rate_Cash)-SUMPRODUCT($F341:$F346*$N341:$N346*(YEAR($K341:$K346)=R359)))*(R360&lt;$F190)*$F21</f>
        <v>0</v>
      </c>
      <c r="S467" s="8" t="n">
        <f aca="false">(R467*(1+Rate_Cash)-SUMPRODUCT($F341:$F346*$N341:$N346*(YEAR($K341:$K346)=S359)))*(S360&lt;$F190)*$F21</f>
        <v>0</v>
      </c>
      <c r="T467" s="8" t="n">
        <f aca="false">(S467*(1+Rate_Cash)-SUMPRODUCT($F341:$F346*$N341:$N346*(YEAR($K341:$K346)=T359)))*(T360&lt;$F190)*$F21</f>
        <v>0</v>
      </c>
      <c r="U467" s="8" t="n">
        <f aca="false">(T467*(1+Rate_Cash)-SUMPRODUCT($F341:$F346*$N341:$N346*(YEAR($K341:$K346)=U359)))*(U360&lt;$F190)*$F21</f>
        <v>0</v>
      </c>
      <c r="V467" s="8" t="n">
        <f aca="false">(U467*(1+Rate_Cash)-SUMPRODUCT($F341:$F346*$N341:$N346*(YEAR($K341:$K346)=V359)))*(V360&lt;$F190)*$F21</f>
        <v>0</v>
      </c>
      <c r="W467" s="8" t="n">
        <f aca="false">(V467*(1+Rate_Cash)-SUMPRODUCT($F341:$F346*$N341:$N346*(YEAR($K341:$K346)=W359)))*(W360&lt;$F190)*$F21</f>
        <v>0</v>
      </c>
      <c r="X467" s="8" t="n">
        <f aca="false">(W467*(1+Rate_Cash)-SUMPRODUCT($F341:$F346*$N341:$N346*(YEAR($K341:$K346)=X359)))*(X360&lt;$F190)*$F21</f>
        <v>0</v>
      </c>
      <c r="Y467" s="8" t="n">
        <f aca="false">(X467*(1+Rate_Cash)-SUMPRODUCT($F341:$F346*$N341:$N346*(YEAR($K341:$K346)=Y359)))*(Y360&lt;$F190)*$F21</f>
        <v>0</v>
      </c>
      <c r="Z467" s="8" t="n">
        <f aca="false">(Y467*(1+Rate_Cash)-SUMPRODUCT($F341:$F346*$N341:$N346*(YEAR($K341:$K346)=Z359)))*(Z360&lt;$F190)*$F21</f>
        <v>0</v>
      </c>
      <c r="AA467" s="8" t="n">
        <f aca="false">(Z467*(1+Rate_Cash)-SUMPRODUCT($F341:$F346*$N341:$N346*(YEAR($K341:$K346)=AA359)))*(AA360&lt;$F190)*$F21</f>
        <v>0</v>
      </c>
      <c r="AB467" s="8" t="n">
        <f aca="false">(AA467*(1+Rate_Cash)-SUMPRODUCT($F341:$F346*$N341:$N346*(YEAR($K341:$K346)=AB359)))*(AB360&lt;$F190)*$F21</f>
        <v>0</v>
      </c>
      <c r="AC467" s="8" t="n">
        <f aca="false">(AB467*(1+Rate_Cash)-SUMPRODUCT($F341:$F346*$N341:$N346*(YEAR($K341:$K346)=AC359)))*(AC360&lt;$F190)*$F21</f>
        <v>0</v>
      </c>
      <c r="AD467" s="8" t="n">
        <f aca="false">(AC467*(1+Rate_Cash)-SUMPRODUCT($F341:$F346*$N341:$N346*(YEAR($K341:$K346)=AD359)))*(AD360&lt;$F190)*$F21</f>
        <v>0</v>
      </c>
      <c r="AE467" s="8" t="n">
        <f aca="false">(AD467*(1+Rate_Cash)-SUMPRODUCT($F341:$F346*$N341:$N346*(YEAR($K341:$K346)=AE359)))*(AE360&lt;$F190)*$F21</f>
        <v>0</v>
      </c>
      <c r="AF467" s="8" t="n">
        <f aca="false">(AE467*(1+Rate_Cash)-SUMPRODUCT($F341:$F346*$N341:$N346*(YEAR($K341:$K346)=AF359)))*(AF360&lt;$F190)*$F21</f>
        <v>0</v>
      </c>
      <c r="AG467" s="8" t="n">
        <f aca="false">(AF467*(1+Rate_Cash)-SUMPRODUCT($F341:$F346*$N341:$N346*(YEAR($K341:$K346)=AG359)))*(AG360&lt;$F190)*$F21</f>
        <v>0</v>
      </c>
      <c r="AH467" s="8" t="n">
        <f aca="false">(AG467*(1+Rate_Cash)-SUMPRODUCT($F341:$F346*$N341:$N346*(YEAR($K341:$K346)=AH359)))*(AH360&lt;$F190)*$F21</f>
        <v>0</v>
      </c>
      <c r="AI467" s="8" t="n">
        <f aca="false">(AH467*(1+Rate_Cash)-SUMPRODUCT($F341:$F346*$N341:$N346*(YEAR($K341:$K346)=AI359)))*(AI360&lt;$F190)*$F21</f>
        <v>0</v>
      </c>
      <c r="AJ467" s="8" t="n">
        <f aca="false">(AI467*(1+Rate_Cash)-SUMPRODUCT($F341:$F346*$N341:$N346*(YEAR($K341:$K346)=AJ359)))*(AJ360&lt;$F190)*$F21</f>
        <v>0</v>
      </c>
      <c r="AK467" s="8" t="n">
        <f aca="false">(AJ467*(1+Rate_Cash)-SUMPRODUCT($F341:$F346*$N341:$N346*(YEAR($K341:$K346)=AK359)))*(AK360&lt;$F190)*$F21</f>
        <v>0</v>
      </c>
      <c r="AL467" s="8" t="n">
        <f aca="false">(AK467*(1+Rate_Cash)-SUMPRODUCT($F341:$F346*$N341:$N346*(YEAR($K341:$K346)=AL359)))*(AL360&lt;$F190)*$F21</f>
        <v>0</v>
      </c>
      <c r="AM467" s="8" t="n">
        <f aca="false">(AL467*(1+Rate_Cash)-SUMPRODUCT($F341:$F346*$N341:$N346*(YEAR($K341:$K346)=AM359)))*(AM360&lt;$F190)*$F21</f>
        <v>0</v>
      </c>
      <c r="AN467" s="8" t="n">
        <f aca="false">(AM467*(1+Rate_Cash)-SUMPRODUCT($F341:$F346*$N341:$N346*(YEAR($K341:$K346)=AN359)))*(AN360&lt;$F190)*$F21</f>
        <v>0</v>
      </c>
      <c r="AO467" s="8" t="n">
        <f aca="false">(AN467*(1+Rate_Cash)-SUMPRODUCT($F341:$F346*$N341:$N346*(YEAR($K341:$K346)=AO359)))*(AO360&lt;$F190)*$F21</f>
        <v>0</v>
      </c>
      <c r="AP467" s="8" t="n">
        <f aca="false">(AO467*(1+Rate_Cash)-SUMPRODUCT($F341:$F346*$N341:$N346*(YEAR($K341:$K346)=AP359)))*(AP360&lt;$F190)*$F21</f>
        <v>0</v>
      </c>
      <c r="AQ467" s="8" t="n">
        <f aca="false">(AP467*(1+Rate_Cash)-SUMPRODUCT($F341:$F346*$N341:$N346*(YEAR($K341:$K346)=AQ359)))*(AQ360&lt;$F190)*$F21</f>
        <v>0</v>
      </c>
      <c r="AR467" s="8" t="n">
        <f aca="false">(AQ467*(1+Rate_Cash)-SUMPRODUCT($F341:$F346*$N341:$N346*(YEAR($K341:$K346)=AR359)))*(AR360&lt;$F190)*$F21</f>
        <v>0</v>
      </c>
      <c r="AS467" s="8" t="n">
        <f aca="false">(AR467*(1+Rate_Cash)-SUMPRODUCT($F341:$F346*$N341:$N346*(YEAR($K341:$K346)=AS359)))*(AS360&lt;$F190)*$F21</f>
        <v>0</v>
      </c>
    </row>
    <row r="468" customFormat="false" ht="14.25" hidden="false" customHeight="false" outlineLevel="0" collapsed="false">
      <c r="C468" s="6" t="s">
        <v>336</v>
      </c>
      <c r="D468" s="2" t="s">
        <v>85</v>
      </c>
      <c r="H468" s="8"/>
      <c r="J468" s="8" t="n">
        <f aca="false">(I468*(1+Rate_Devex)-SUMPRODUCT($F347:$F348*$N347:$N348*(YEAR($K347:$K348)=J359)))*(J360&lt;$F190)*$F21</f>
        <v>0</v>
      </c>
      <c r="K468" s="8" t="n">
        <f aca="false">(J468*(1+Rate_Devex)-SUMPRODUCT($F347:$F348*$N347:$N348*(YEAR($K347:$K348)=K359)))*(K360&lt;$F190)*$F21</f>
        <v>0</v>
      </c>
      <c r="L468" s="8" t="n">
        <f aca="false">(K468*(1+Rate_Devex)-SUMPRODUCT($F347:$F348*$N347:$N348*(YEAR($K347:$K348)=L359)))*(L360&lt;$F190)*$F21</f>
        <v>0</v>
      </c>
      <c r="M468" s="8" t="n">
        <f aca="false">(L468*(1+Rate_Devex)-SUMPRODUCT($F347:$F348*$N347:$N348*(YEAR($K347:$K348)=M359)))*(M360&lt;$F190)*$F21</f>
        <v>0</v>
      </c>
      <c r="N468" s="8" t="n">
        <f aca="false">(M468*(1+Rate_Devex)-SUMPRODUCT($F347:$F348*$N347:$N348*(YEAR($K347:$K348)=N359)))*(N360&lt;$F190)*$F21</f>
        <v>0</v>
      </c>
      <c r="O468" s="8" t="n">
        <f aca="false">(N468*(1+Rate_Devex)-SUMPRODUCT($F347:$F348*$N347:$N348*(YEAR($K347:$K348)=O359)))*(O360&lt;$F190)*$F21</f>
        <v>0</v>
      </c>
      <c r="P468" s="8" t="n">
        <f aca="false">(O468*(1+Rate_Devex)-SUMPRODUCT($F347:$F348*$N347:$N348*(YEAR($K347:$K348)=P359)))*(P360&lt;$F190)*$F21</f>
        <v>0</v>
      </c>
      <c r="Q468" s="8" t="n">
        <f aca="false">(P468*(1+Rate_Devex)-SUMPRODUCT($F347:$F348*$N347:$N348*(YEAR($K347:$K348)=Q359)))*(Q360&lt;$F190)*$F21</f>
        <v>0</v>
      </c>
      <c r="R468" s="8" t="n">
        <f aca="false">(Q468*(1+Rate_Devex)-SUMPRODUCT($F347:$F348*$N347:$N348*(YEAR($K347:$K348)=R359)))*(R360&lt;$F190)*$F21</f>
        <v>0</v>
      </c>
      <c r="S468" s="8" t="n">
        <f aca="false">(R468*(1+Rate_Devex)-SUMPRODUCT($F347:$F348*$N347:$N348*(YEAR($K347:$K348)=S359)))*(S360&lt;$F190)*$F21</f>
        <v>0</v>
      </c>
      <c r="T468" s="8" t="n">
        <f aca="false">(S468*(1+Rate_Devex)-SUMPRODUCT($F347:$F348*$N347:$N348*(YEAR($K347:$K348)=T359)))*(T360&lt;$F190)*$F21</f>
        <v>0</v>
      </c>
      <c r="U468" s="8" t="n">
        <f aca="false">(T468*(1+Rate_Devex)-SUMPRODUCT($F347:$F348*$N347:$N348*(YEAR($K347:$K348)=U359)))*(U360&lt;$F190)*$F21</f>
        <v>0</v>
      </c>
      <c r="V468" s="8" t="n">
        <f aca="false">(U468*(1+Rate_Devex)-SUMPRODUCT($F347:$F348*$N347:$N348*(YEAR($K347:$K348)=V359)))*(V360&lt;$F190)*$F21</f>
        <v>0</v>
      </c>
      <c r="W468" s="8" t="n">
        <f aca="false">(V468*(1+Rate_Devex)-SUMPRODUCT($F347:$F348*$N347:$N348*(YEAR($K347:$K348)=W359)))*(W360&lt;$F190)*$F21</f>
        <v>0</v>
      </c>
      <c r="X468" s="8" t="n">
        <f aca="false">(W468*(1+Rate_Devex)-SUMPRODUCT($F347:$F348*$N347:$N348*(YEAR($K347:$K348)=X359)))*(X360&lt;$F190)*$F21</f>
        <v>0</v>
      </c>
      <c r="Y468" s="8" t="n">
        <f aca="false">(X468*(1+Rate_Devex)-SUMPRODUCT($F347:$F348*$N347:$N348*(YEAR($K347:$K348)=Y359)))*(Y360&lt;$F190)*$F21</f>
        <v>0</v>
      </c>
      <c r="Z468" s="8" t="n">
        <f aca="false">(Y468*(1+Rate_Devex)-SUMPRODUCT($F347:$F348*$N347:$N348*(YEAR($K347:$K348)=Z359)))*(Z360&lt;$F190)*$F21</f>
        <v>0</v>
      </c>
      <c r="AA468" s="8" t="n">
        <f aca="false">(Z468*(1+Rate_Devex)-SUMPRODUCT($F347:$F348*$N347:$N348*(YEAR($K347:$K348)=AA359)))*(AA360&lt;$F190)*$F21</f>
        <v>0</v>
      </c>
      <c r="AB468" s="8" t="n">
        <f aca="false">(AA468*(1+Rate_Devex)-SUMPRODUCT($F347:$F348*$N347:$N348*(YEAR($K347:$K348)=AB359)))*(AB360&lt;$F190)*$F21</f>
        <v>0</v>
      </c>
      <c r="AC468" s="8" t="n">
        <f aca="false">(AB468*(1+Rate_Devex)-SUMPRODUCT($F347:$F348*$N347:$N348*(YEAR($K347:$K348)=AC359)))*(AC360&lt;$F190)*$F21</f>
        <v>0</v>
      </c>
      <c r="AD468" s="8" t="n">
        <f aca="false">(AC468*(1+Rate_Devex)-SUMPRODUCT($F347:$F348*$N347:$N348*(YEAR($K347:$K348)=AD359)))*(AD360&lt;$F190)*$F21</f>
        <v>0</v>
      </c>
      <c r="AE468" s="8" t="n">
        <f aca="false">(AD468*(1+Rate_Devex)-SUMPRODUCT($F347:$F348*$N347:$N348*(YEAR($K347:$K348)=AE359)))*(AE360&lt;$F190)*$F21</f>
        <v>0</v>
      </c>
      <c r="AF468" s="8" t="n">
        <f aca="false">(AE468*(1+Rate_Devex)-SUMPRODUCT($F347:$F348*$N347:$N348*(YEAR($K347:$K348)=AF359)))*(AF360&lt;$F190)*$F21</f>
        <v>0</v>
      </c>
      <c r="AG468" s="8" t="n">
        <f aca="false">(AF468*(1+Rate_Devex)-SUMPRODUCT($F347:$F348*$N347:$N348*(YEAR($K347:$K348)=AG359)))*(AG360&lt;$F190)*$F21</f>
        <v>0</v>
      </c>
      <c r="AH468" s="8" t="n">
        <f aca="false">(AG468*(1+Rate_Devex)-SUMPRODUCT($F347:$F348*$N347:$N348*(YEAR($K347:$K348)=AH359)))*(AH360&lt;$F190)*$F21</f>
        <v>0</v>
      </c>
      <c r="AI468" s="8" t="n">
        <f aca="false">(AH468*(1+Rate_Devex)-SUMPRODUCT($F347:$F348*$N347:$N348*(YEAR($K347:$K348)=AI359)))*(AI360&lt;$F190)*$F21</f>
        <v>0</v>
      </c>
      <c r="AJ468" s="8" t="n">
        <f aca="false">(AI468*(1+Rate_Devex)-SUMPRODUCT($F347:$F348*$N347:$N348*(YEAR($K347:$K348)=AJ359)))*(AJ360&lt;$F190)*$F21</f>
        <v>0</v>
      </c>
      <c r="AK468" s="8" t="n">
        <f aca="false">(AJ468*(1+Rate_Devex)-SUMPRODUCT($F347:$F348*$N347:$N348*(YEAR($K347:$K348)=AK359)))*(AK360&lt;$F190)*$F21</f>
        <v>0</v>
      </c>
      <c r="AL468" s="8" t="n">
        <f aca="false">(AK468*(1+Rate_Devex)-SUMPRODUCT($F347:$F348*$N347:$N348*(YEAR($K347:$K348)=AL359)))*(AL360&lt;$F190)*$F21</f>
        <v>0</v>
      </c>
      <c r="AM468" s="8" t="n">
        <f aca="false">(AL468*(1+Rate_Devex)-SUMPRODUCT($F347:$F348*$N347:$N348*(YEAR($K347:$K348)=AM359)))*(AM360&lt;$F190)*$F21</f>
        <v>0</v>
      </c>
      <c r="AN468" s="8" t="n">
        <f aca="false">(AM468*(1+Rate_Devex)-SUMPRODUCT($F347:$F348*$N347:$N348*(YEAR($K347:$K348)=AN359)))*(AN360&lt;$F190)*$F21</f>
        <v>0</v>
      </c>
      <c r="AO468" s="8" t="n">
        <f aca="false">(AN468*(1+Rate_Devex)-SUMPRODUCT($F347:$F348*$N347:$N348*(YEAR($K347:$K348)=AO359)))*(AO360&lt;$F190)*$F21</f>
        <v>0</v>
      </c>
      <c r="AP468" s="8" t="n">
        <f aca="false">(AO468*(1+Rate_Devex)-SUMPRODUCT($F347:$F348*$N347:$N348*(YEAR($K347:$K348)=AP359)))*(AP360&lt;$F190)*$F21</f>
        <v>0</v>
      </c>
      <c r="AQ468" s="8" t="n">
        <f aca="false">(AP468*(1+Rate_Devex)-SUMPRODUCT($F347:$F348*$N347:$N348*(YEAR($K347:$K348)=AQ359)))*(AQ360&lt;$F190)*$F21</f>
        <v>0</v>
      </c>
      <c r="AR468" s="8" t="n">
        <f aca="false">(AQ468*(1+Rate_Devex)-SUMPRODUCT($F347:$F348*$N347:$N348*(YEAR($K347:$K348)=AR359)))*(AR360&lt;$F190)*$F21</f>
        <v>0</v>
      </c>
      <c r="AS468" s="8" t="n">
        <f aca="false">(AR468*(1+Rate_Devex)-SUMPRODUCT($F347:$F348*$N347:$N348*(YEAR($K347:$K348)=AS359)))*(AS360&lt;$F190)*$F21</f>
        <v>0</v>
      </c>
    </row>
    <row r="469" customFormat="false" ht="14.25" hidden="false" customHeight="false" outlineLevel="0" collapsed="false">
      <c r="C469" s="6" t="s">
        <v>337</v>
      </c>
      <c r="D469" s="2" t="s">
        <v>85</v>
      </c>
      <c r="H469" s="8" t="n">
        <f aca="false">SUM(J469:AS469)</f>
        <v>0</v>
      </c>
      <c r="J469" s="8" t="n">
        <f aca="false">-SUMPRODUCT($F341:$F348*(YEAR($K341:$K348)=J359))*(J360&lt;$F190)*$F21</f>
        <v>0</v>
      </c>
      <c r="K469" s="8" t="n">
        <f aca="false">-SUMPRODUCT($F341:$F348*(YEAR($K341:$K348)=K359))*(K360&lt;$F190)*$F21</f>
        <v>0</v>
      </c>
      <c r="L469" s="8" t="n">
        <f aca="false">-SUMPRODUCT($F341:$F348*(YEAR($K341:$K348)=L359))*(L360&lt;$F190)*$F21</f>
        <v>0</v>
      </c>
      <c r="M469" s="8" t="n">
        <f aca="false">-SUMPRODUCT($F341:$F348*(YEAR($K341:$K348)=M359))*(M360&lt;$F190)*$F21</f>
        <v>-0</v>
      </c>
      <c r="N469" s="8" t="n">
        <f aca="false">-SUMPRODUCT($F341:$F348*(YEAR($K341:$K348)=N359))*(N360&lt;$F190)*$F21</f>
        <v>-0</v>
      </c>
      <c r="O469" s="8" t="n">
        <f aca="false">-SUMPRODUCT($F341:$F348*(YEAR($K341:$K348)=O359))*(O360&lt;$F190)*$F21</f>
        <v>-0</v>
      </c>
      <c r="P469" s="8" t="n">
        <f aca="false">-SUMPRODUCT($F341:$F348*(YEAR($K341:$K348)=P359))*(P360&lt;$F190)*$F21</f>
        <v>-0</v>
      </c>
      <c r="Q469" s="8" t="n">
        <f aca="false">-SUMPRODUCT($F341:$F348*(YEAR($K341:$K348)=Q359))*(Q360&lt;$F190)*$F21</f>
        <v>-0</v>
      </c>
      <c r="R469" s="8" t="n">
        <f aca="false">-SUMPRODUCT($F341:$F348*(YEAR($K341:$K348)=R359))*(R360&lt;$F190)*$F21</f>
        <v>-0</v>
      </c>
      <c r="S469" s="8" t="n">
        <f aca="false">-SUMPRODUCT($F341:$F348*(YEAR($K341:$K348)=S359))*(S360&lt;$F190)*$F21</f>
        <v>-0</v>
      </c>
      <c r="T469" s="8" t="n">
        <f aca="false">-SUMPRODUCT($F341:$F348*(YEAR($K341:$K348)=T359))*(T360&lt;$F190)*$F21</f>
        <v>-0</v>
      </c>
      <c r="U469" s="8" t="n">
        <f aca="false">-SUMPRODUCT($F341:$F348*(YEAR($K341:$K348)=U359))*(U360&lt;$F190)*$F21</f>
        <v>-0</v>
      </c>
      <c r="V469" s="8" t="n">
        <f aca="false">-SUMPRODUCT($F341:$F348*(YEAR($K341:$K348)=V359))*(V360&lt;$F190)*$F21</f>
        <v>-0</v>
      </c>
      <c r="W469" s="8" t="n">
        <f aca="false">-SUMPRODUCT($F341:$F348*(YEAR($K341:$K348)=W359))*(W360&lt;$F190)*$F21</f>
        <v>-0</v>
      </c>
      <c r="X469" s="8" t="n">
        <f aca="false">-SUMPRODUCT($F341:$F348*(YEAR($K341:$K348)=X359))*(X360&lt;$F190)*$F21</f>
        <v>-0</v>
      </c>
      <c r="Y469" s="8" t="n">
        <f aca="false">-SUMPRODUCT($F341:$F348*(YEAR($K341:$K348)=Y359))*(Y360&lt;$F190)*$F21</f>
        <v>-0</v>
      </c>
      <c r="Z469" s="8" t="n">
        <f aca="false">-SUMPRODUCT($F341:$F348*(YEAR($K341:$K348)=Z359))*(Z360&lt;$F190)*$F21</f>
        <v>-0</v>
      </c>
      <c r="AA469" s="8" t="n">
        <f aca="false">-SUMPRODUCT($F341:$F348*(YEAR($K341:$K348)=AA359))*(AA360&lt;$F190)*$F21</f>
        <v>-0</v>
      </c>
      <c r="AB469" s="8" t="n">
        <f aca="false">-SUMPRODUCT($F341:$F348*(YEAR($K341:$K348)=AB359))*(AB360&lt;$F190)*$F21</f>
        <v>-0</v>
      </c>
      <c r="AC469" s="8" t="n">
        <f aca="false">-SUMPRODUCT($F341:$F348*(YEAR($K341:$K348)=AC359))*(AC360&lt;$F190)*$F21</f>
        <v>-0</v>
      </c>
      <c r="AD469" s="8" t="n">
        <f aca="false">-SUMPRODUCT($F341:$F348*(YEAR($K341:$K348)=AD359))*(AD360&lt;$F190)*$F21</f>
        <v>-0</v>
      </c>
      <c r="AE469" s="8" t="n">
        <f aca="false">-SUMPRODUCT($F341:$F348*(YEAR($K341:$K348)=AE359))*(AE360&lt;$F190)*$F21</f>
        <v>-0</v>
      </c>
      <c r="AF469" s="8" t="n">
        <f aca="false">-SUMPRODUCT($F341:$F348*(YEAR($K341:$K348)=AF359))*(AF360&lt;$F190)*$F21</f>
        <v>-0</v>
      </c>
      <c r="AG469" s="8" t="n">
        <f aca="false">-SUMPRODUCT($F341:$F348*(YEAR($K341:$K348)=AG359))*(AG360&lt;$F190)*$F21</f>
        <v>-0</v>
      </c>
      <c r="AH469" s="8" t="n">
        <f aca="false">-SUMPRODUCT($F341:$F348*(YEAR($K341:$K348)=AH359))*(AH360&lt;$F190)*$F21</f>
        <v>-0</v>
      </c>
      <c r="AI469" s="8" t="n">
        <f aca="false">-SUMPRODUCT($F341:$F348*(YEAR($K341:$K348)=AI359))*(AI360&lt;$F190)*$F21</f>
        <v>-0</v>
      </c>
      <c r="AJ469" s="8" t="n">
        <f aca="false">-SUMPRODUCT($F341:$F348*(YEAR($K341:$K348)=AJ359))*(AJ360&lt;$F190)*$F21</f>
        <v>-0</v>
      </c>
      <c r="AK469" s="8" t="n">
        <f aca="false">-SUMPRODUCT($F341:$F348*(YEAR($K341:$K348)=AK359))*(AK360&lt;$F190)*$F21</f>
        <v>-0</v>
      </c>
      <c r="AL469" s="8" t="n">
        <f aca="false">-SUMPRODUCT($F341:$F348*(YEAR($K341:$K348)=AL359))*(AL360&lt;$F190)*$F21</f>
        <v>-0</v>
      </c>
      <c r="AM469" s="8" t="n">
        <f aca="false">-SUMPRODUCT($F341:$F348*(YEAR($K341:$K348)=AM359))*(AM360&lt;$F190)*$F21</f>
        <v>-0</v>
      </c>
      <c r="AN469" s="8" t="n">
        <f aca="false">-SUMPRODUCT($F341:$F348*(YEAR($K341:$K348)=AN359))*(AN360&lt;$F190)*$F21</f>
        <v>-0</v>
      </c>
      <c r="AO469" s="8" t="n">
        <f aca="false">-SUMPRODUCT($F341:$F348*(YEAR($K341:$K348)=AO359))*(AO360&lt;$F190)*$F21</f>
        <v>-0</v>
      </c>
      <c r="AP469" s="8" t="n">
        <f aca="false">-SUMPRODUCT($F341:$F348*(YEAR($K341:$K348)=AP359))*(AP360&lt;$F190)*$F21</f>
        <v>-0</v>
      </c>
      <c r="AQ469" s="8" t="n">
        <f aca="false">-SUMPRODUCT($F341:$F348*(YEAR($K341:$K348)=AQ359))*(AQ360&lt;$F190)*$F21</f>
        <v>-0</v>
      </c>
      <c r="AR469" s="8" t="n">
        <f aca="false">-SUMPRODUCT($F341:$F348*(YEAR($K341:$K348)=AR359))*(AR360&lt;$F190)*$F21</f>
        <v>-0</v>
      </c>
      <c r="AS469" s="8" t="n">
        <f aca="false">-SUMPRODUCT($F341:$F348*(YEAR($K341:$K348)=AS359))*(AS360&lt;$F190)*$F21</f>
        <v>-0</v>
      </c>
    </row>
    <row r="470" customFormat="false" ht="14.25" hidden="false" customHeight="false" outlineLevel="0" collapsed="false">
      <c r="C470" s="6" t="s">
        <v>338</v>
      </c>
      <c r="D470" s="2" t="s">
        <v>85</v>
      </c>
      <c r="H470" s="8" t="n">
        <f aca="false">SUM(J470:AS470)</f>
        <v>0</v>
      </c>
      <c r="J470" s="8" t="n">
        <f aca="false">(J467+J468-I467-I468-J469)*(J360&lt;$F190)*$F21</f>
        <v>0</v>
      </c>
      <c r="K470" s="8" t="n">
        <f aca="false">(K467+K468-J467-J468-K469)*(K360&lt;$F190)*$F21</f>
        <v>0</v>
      </c>
      <c r="L470" s="8" t="n">
        <f aca="false">(L467+L468-K467-K468-L469)*(L360&lt;$F190)*$F21</f>
        <v>0</v>
      </c>
      <c r="M470" s="8" t="n">
        <f aca="false">(M467+M468-L467-L468-M469)*(M360&lt;$F190)*$F21</f>
        <v>0</v>
      </c>
      <c r="N470" s="8" t="n">
        <f aca="false">(N467+N468-M467-M468-N469)*(N360&lt;$F190)*$F21</f>
        <v>0</v>
      </c>
      <c r="O470" s="8" t="n">
        <f aca="false">(O467+O468-N467-N468-O469)*(O360&lt;$F190)*$F21</f>
        <v>0</v>
      </c>
      <c r="P470" s="8" t="n">
        <f aca="false">(P467+P468-O467-O468-P469)*(P360&lt;$F190)*$F21</f>
        <v>0</v>
      </c>
      <c r="Q470" s="8" t="n">
        <f aca="false">(Q467+Q468-P467-P468-Q469)*(Q360&lt;$F190)*$F21</f>
        <v>0</v>
      </c>
      <c r="R470" s="8" t="n">
        <f aca="false">(R467+R468-Q467-Q468-R469)*(R360&lt;$F190)*$F21</f>
        <v>0</v>
      </c>
      <c r="S470" s="8" t="n">
        <f aca="false">(S467+S468-R467-R468-S469)*(S360&lt;$F190)*$F21</f>
        <v>0</v>
      </c>
      <c r="T470" s="8" t="n">
        <f aca="false">(T467+T468-S467-S468-T469)*(T360&lt;$F190)*$F21</f>
        <v>0</v>
      </c>
      <c r="U470" s="8" t="n">
        <f aca="false">(U467+U468-T467-T468-U469)*(U360&lt;$F190)*$F21</f>
        <v>0</v>
      </c>
      <c r="V470" s="8" t="n">
        <f aca="false">(V467+V468-U467-U468-V469)*(V360&lt;$F190)*$F21</f>
        <v>0</v>
      </c>
      <c r="W470" s="8" t="n">
        <f aca="false">(W467+W468-V467-V468-W469)*(W360&lt;$F190)*$F21</f>
        <v>0</v>
      </c>
      <c r="X470" s="8" t="n">
        <f aca="false">(X467+X468-W467-W468-X469)*(X360&lt;$F190)*$F21</f>
        <v>0</v>
      </c>
      <c r="Y470" s="8" t="n">
        <f aca="false">(Y467+Y468-X467-X468-Y469)*(Y360&lt;$F190)*$F21</f>
        <v>0</v>
      </c>
      <c r="Z470" s="8" t="n">
        <f aca="false">(Z467+Z468-Y467-Y468-Z469)*(Z360&lt;$F190)*$F21</f>
        <v>0</v>
      </c>
      <c r="AA470" s="8" t="n">
        <f aca="false">(AA467+AA468-Z467-Z468-AA469)*(AA360&lt;$F190)*$F21</f>
        <v>0</v>
      </c>
      <c r="AB470" s="8" t="n">
        <f aca="false">(AB467+AB468-AA467-AA468-AB469)*(AB360&lt;$F190)*$F21</f>
        <v>0</v>
      </c>
      <c r="AC470" s="8" t="n">
        <f aca="false">(AC467+AC468-AB467-AB468-AC469)*(AC360&lt;$F190)*$F21</f>
        <v>0</v>
      </c>
      <c r="AD470" s="8" t="n">
        <f aca="false">(AD467+AD468-AC467-AC468-AD469)*(AD360&lt;$F190)*$F21</f>
        <v>0</v>
      </c>
      <c r="AE470" s="8" t="n">
        <f aca="false">(AE467+AE468-AD467-AD468-AE469)*(AE360&lt;$F190)*$F21</f>
        <v>0</v>
      </c>
      <c r="AF470" s="8" t="n">
        <f aca="false">(AF467+AF468-AE467-AE468-AF469)*(AF360&lt;$F190)*$F21</f>
        <v>0</v>
      </c>
      <c r="AG470" s="8" t="n">
        <f aca="false">(AG467+AG468-AF467-AF468-AG469)*(AG360&lt;$F190)*$F21</f>
        <v>0</v>
      </c>
      <c r="AH470" s="8" t="n">
        <f aca="false">(AH467+AH468-AG467-AG468-AH469)*(AH360&lt;$F190)*$F21</f>
        <v>0</v>
      </c>
      <c r="AI470" s="8" t="n">
        <f aca="false">(AI467+AI468-AH467-AH468-AI469)*(AI360&lt;$F190)*$F21</f>
        <v>0</v>
      </c>
      <c r="AJ470" s="8" t="n">
        <f aca="false">(AJ467+AJ468-AI467-AI468-AJ469)*(AJ360&lt;$F190)*$F21</f>
        <v>0</v>
      </c>
      <c r="AK470" s="8" t="n">
        <f aca="false">(AK467+AK468-AJ467-AJ468-AK469)*(AK360&lt;$F190)*$F21</f>
        <v>0</v>
      </c>
      <c r="AL470" s="8" t="n">
        <f aca="false">(AL467+AL468-AK467-AK468-AL469)*(AL360&lt;$F190)*$F21</f>
        <v>0</v>
      </c>
      <c r="AM470" s="8" t="n">
        <f aca="false">(AM467+AM468-AL467-AL468-AM469)*(AM360&lt;$F190)*$F21</f>
        <v>0</v>
      </c>
      <c r="AN470" s="8" t="n">
        <f aca="false">(AN467+AN468-AM467-AM468-AN469)*(AN360&lt;$F190)*$F21</f>
        <v>0</v>
      </c>
      <c r="AO470" s="8" t="n">
        <f aca="false">(AO467+AO468-AN467-AN468-AO469)*(AO360&lt;$F190)*$F21</f>
        <v>0</v>
      </c>
      <c r="AP470" s="8" t="n">
        <f aca="false">(AP467+AP468-AO467-AO468-AP469)*(AP360&lt;$F190)*$F21</f>
        <v>0</v>
      </c>
      <c r="AQ470" s="8" t="n">
        <f aca="false">(AQ467+AQ468-AP467-AP468-AQ469)*(AQ360&lt;$F190)*$F21</f>
        <v>0</v>
      </c>
      <c r="AR470" s="8" t="n">
        <f aca="false">(AR467+AR468-AQ467-AQ468-AR469)*(AR360&lt;$F190)*$F21</f>
        <v>0</v>
      </c>
      <c r="AS470" s="8" t="n">
        <f aca="false">(AS467+AS468-AR467-AR468-AS469)*(AS360&lt;$F190)*$F21</f>
        <v>0</v>
      </c>
    </row>
    <row r="471" customFormat="false" ht="14.25" hidden="false" customHeight="false" outlineLevel="0" collapsed="false">
      <c r="C471" s="6" t="s">
        <v>339</v>
      </c>
      <c r="D471" s="2" t="s">
        <v>85</v>
      </c>
      <c r="H471" s="8"/>
      <c r="J471" s="8" t="n">
        <f aca="false">(I471*(1+Rate_Cash)-SUMPRODUCT($F288:$F291*$N288:$N291*(YEAR($K288:$K291)=J359)))*(J360&lt;$F225)*$F21</f>
        <v>0</v>
      </c>
      <c r="K471" s="8" t="n">
        <f aca="false">(J471*(1+Rate_Cash)-SUMPRODUCT($F288:$F291*$N288:$N291*(YEAR($K288:$K291)=K359)))*(K360&lt;$F225)*$F21</f>
        <v>0</v>
      </c>
      <c r="L471" s="8" t="n">
        <f aca="false">(K471*(1+Rate_Cash)-SUMPRODUCT($F288:$F291*$N288:$N291*(YEAR($K288:$K291)=L359)))*(L360&lt;$F225)*$F21</f>
        <v>0</v>
      </c>
      <c r="M471" s="8" t="n">
        <f aca="false">(L471*(1+Rate_Cash)-SUMPRODUCT($F288:$F291*$N288:$N291*(YEAR($K288:$K291)=M359)))*(M360&lt;$F225)*$F21</f>
        <v>0</v>
      </c>
      <c r="N471" s="8" t="n">
        <f aca="false">(M471*(1+Rate_Cash)-SUMPRODUCT($F288:$F291*$N288:$N291*(YEAR($K288:$K291)=N359)))*(N360&lt;$F225)*$F21</f>
        <v>0</v>
      </c>
      <c r="O471" s="8" t="n">
        <f aca="false">(N471*(1+Rate_Cash)-SUMPRODUCT($F288:$F291*$N288:$N291*(YEAR($K288:$K291)=O359)))*(O360&lt;$F225)*$F21</f>
        <v>0</v>
      </c>
      <c r="P471" s="8" t="n">
        <f aca="false">(O471*(1+Rate_Cash)-SUMPRODUCT($F288:$F291*$N288:$N291*(YEAR($K288:$K291)=P359)))*(P360&lt;$F225)*$F21</f>
        <v>0</v>
      </c>
      <c r="Q471" s="8" t="n">
        <f aca="false">(P471*(1+Rate_Cash)-SUMPRODUCT($F288:$F291*$N288:$N291*(YEAR($K288:$K291)=Q359)))*(Q360&lt;$F225)*$F21</f>
        <v>0</v>
      </c>
      <c r="R471" s="8" t="n">
        <f aca="false">(Q471*(1+Rate_Cash)-SUMPRODUCT($F288:$F291*$N288:$N291*(YEAR($K288:$K291)=R359)))*(R360&lt;$F225)*$F21</f>
        <v>0</v>
      </c>
      <c r="S471" s="8" t="n">
        <f aca="false">(R471*(1+Rate_Cash)-SUMPRODUCT($F288:$F291*$N288:$N291*(YEAR($K288:$K291)=S359)))*(S360&lt;$F225)*$F21</f>
        <v>0</v>
      </c>
      <c r="T471" s="8" t="n">
        <f aca="false">(S471*(1+Rate_Cash)-SUMPRODUCT($F288:$F291*$N288:$N291*(YEAR($K288:$K291)=T359)))*(T360&lt;$F225)*$F21</f>
        <v>0</v>
      </c>
      <c r="U471" s="8" t="n">
        <f aca="false">(T471*(1+Rate_Cash)-SUMPRODUCT($F288:$F291*$N288:$N291*(YEAR($K288:$K291)=U359)))*(U360&lt;$F225)*$F21</f>
        <v>0</v>
      </c>
      <c r="V471" s="8" t="n">
        <f aca="false">(U471*(1+Rate_Cash)-SUMPRODUCT($F288:$F291*$N288:$N291*(YEAR($K288:$K291)=V359)))*(V360&lt;$F225)*$F21</f>
        <v>0</v>
      </c>
      <c r="W471" s="8" t="n">
        <f aca="false">(V471*(1+Rate_Cash)-SUMPRODUCT($F288:$F291*$N288:$N291*(YEAR($K288:$K291)=W359)))*(W360&lt;$F225)*$F21</f>
        <v>0</v>
      </c>
      <c r="X471" s="8" t="n">
        <f aca="false">(W471*(1+Rate_Cash)-SUMPRODUCT($F288:$F291*$N288:$N291*(YEAR($K288:$K291)=X359)))*(X360&lt;$F225)*$F21</f>
        <v>0</v>
      </c>
      <c r="Y471" s="8" t="n">
        <f aca="false">(X471*(1+Rate_Cash)-SUMPRODUCT($F288:$F291*$N288:$N291*(YEAR($K288:$K291)=Y359)))*(Y360&lt;$F225)*$F21</f>
        <v>0</v>
      </c>
      <c r="Z471" s="8" t="n">
        <f aca="false">(Y471*(1+Rate_Cash)-SUMPRODUCT($F288:$F291*$N288:$N291*(YEAR($K288:$K291)=Z359)))*(Z360&lt;$F225)*$F21</f>
        <v>0</v>
      </c>
      <c r="AA471" s="8" t="n">
        <f aca="false">(Z471*(1+Rate_Cash)-SUMPRODUCT($F288:$F291*$N288:$N291*(YEAR($K288:$K291)=AA359)))*(AA360&lt;$F225)*$F21</f>
        <v>0</v>
      </c>
      <c r="AB471" s="8" t="n">
        <f aca="false">(AA471*(1+Rate_Cash)-SUMPRODUCT($F288:$F291*$N288:$N291*(YEAR($K288:$K291)=AB359)))*(AB360&lt;$F225)*$F21</f>
        <v>0</v>
      </c>
      <c r="AC471" s="8" t="n">
        <f aca="false">(AB471*(1+Rate_Cash)-SUMPRODUCT($F288:$F291*$N288:$N291*(YEAR($K288:$K291)=AC359)))*(AC360&lt;$F225)*$F21</f>
        <v>0</v>
      </c>
      <c r="AD471" s="8" t="n">
        <f aca="false">(AC471*(1+Rate_Cash)-SUMPRODUCT($F288:$F291*$N288:$N291*(YEAR($K288:$K291)=AD359)))*(AD360&lt;$F225)*$F21</f>
        <v>0</v>
      </c>
      <c r="AE471" s="8" t="n">
        <f aca="false">(AD471*(1+Rate_Cash)-SUMPRODUCT($F288:$F291*$N288:$N291*(YEAR($K288:$K291)=AE359)))*(AE360&lt;$F225)*$F21</f>
        <v>0</v>
      </c>
      <c r="AF471" s="8" t="n">
        <f aca="false">(AE471*(1+Rate_Cash)-SUMPRODUCT($F288:$F291*$N288:$N291*(YEAR($K288:$K291)=AF359)))*(AF360&lt;$F225)*$F21</f>
        <v>0</v>
      </c>
      <c r="AG471" s="8" t="n">
        <f aca="false">(AF471*(1+Rate_Cash)-SUMPRODUCT($F288:$F291*$N288:$N291*(YEAR($K288:$K291)=AG359)))*(AG360&lt;$F225)*$F21</f>
        <v>0</v>
      </c>
      <c r="AH471" s="8" t="n">
        <f aca="false">(AG471*(1+Rate_Cash)-SUMPRODUCT($F288:$F291*$N288:$N291*(YEAR($K288:$K291)=AH359)))*(AH360&lt;$F225)*$F21</f>
        <v>0</v>
      </c>
      <c r="AI471" s="8" t="n">
        <f aca="false">(AH471*(1+Rate_Cash)-SUMPRODUCT($F288:$F291*$N288:$N291*(YEAR($K288:$K291)=AI359)))*(AI360&lt;$F225)*$F21</f>
        <v>0</v>
      </c>
      <c r="AJ471" s="8" t="n">
        <f aca="false">(AI471*(1+Rate_Cash)-SUMPRODUCT($F288:$F291*$N288:$N291*(YEAR($K288:$K291)=AJ359)))*(AJ360&lt;$F225)*$F21</f>
        <v>0</v>
      </c>
      <c r="AK471" s="8" t="n">
        <f aca="false">(AJ471*(1+Rate_Cash)-SUMPRODUCT($F288:$F291*$N288:$N291*(YEAR($K288:$K291)=AK359)))*(AK360&lt;$F225)*$F21</f>
        <v>0</v>
      </c>
      <c r="AL471" s="8" t="n">
        <f aca="false">(AK471*(1+Rate_Cash)-SUMPRODUCT($F288:$F291*$N288:$N291*(YEAR($K288:$K291)=AL359)))*(AL360&lt;$F225)*$F21</f>
        <v>0</v>
      </c>
      <c r="AM471" s="8" t="n">
        <f aca="false">(AL471*(1+Rate_Cash)-SUMPRODUCT($F288:$F291*$N288:$N291*(YEAR($K288:$K291)=AM359)))*(AM360&lt;$F225)*$F21</f>
        <v>0</v>
      </c>
      <c r="AN471" s="8" t="n">
        <f aca="false">(AM471*(1+Rate_Cash)-SUMPRODUCT($F288:$F291*$N288:$N291*(YEAR($K288:$K291)=AN359)))*(AN360&lt;$F225)*$F21</f>
        <v>0</v>
      </c>
      <c r="AO471" s="8" t="n">
        <f aca="false">(AN471*(1+Rate_Cash)-SUMPRODUCT($F288:$F291*$N288:$N291*(YEAR($K288:$K291)=AO359)))*(AO360&lt;$F225)*$F21</f>
        <v>0</v>
      </c>
      <c r="AP471" s="8" t="n">
        <f aca="false">(AO471*(1+Rate_Cash)-SUMPRODUCT($F288:$F291*$N288:$N291*(YEAR($K288:$K291)=AP359)))*(AP360&lt;$F225)*$F21</f>
        <v>0</v>
      </c>
      <c r="AQ471" s="8" t="n">
        <f aca="false">(AP471*(1+Rate_Cash)-SUMPRODUCT($F288:$F291*$N288:$N291*(YEAR($K288:$K291)=AQ359)))*(AQ360&lt;$F225)*$F21</f>
        <v>0</v>
      </c>
      <c r="AR471" s="8" t="n">
        <f aca="false">(AQ471*(1+Rate_Cash)-SUMPRODUCT($F288:$F291*$N288:$N291*(YEAR($K288:$K291)=AR359)))*(AR360&lt;$F225)*$F21</f>
        <v>0</v>
      </c>
      <c r="AS471" s="8" t="n">
        <f aca="false">(AR471*(1+Rate_Cash)-SUMPRODUCT($F288:$F291*$N288:$N291*(YEAR($K288:$K291)=AS359)))*(AS360&lt;$F225)*$F21</f>
        <v>0</v>
      </c>
    </row>
    <row r="472" customFormat="false" ht="14.25" hidden="false" customHeight="false" outlineLevel="0" collapsed="false">
      <c r="C472" s="6" t="s">
        <v>340</v>
      </c>
      <c r="D472" s="2" t="s">
        <v>85</v>
      </c>
      <c r="H472" s="8"/>
      <c r="J472" s="8" t="n">
        <f aca="false">(I472*(1+Rate_Devex)-SUMPRODUCT($F292:$F293*$N292:$N293*(YEAR($K292:$K293)=J359)))*(J360&lt;$F225)*$F21</f>
        <v>0</v>
      </c>
      <c r="K472" s="8" t="n">
        <f aca="false">(J472*(1+Rate_Devex)-SUMPRODUCT($F292:$F293*$N292:$N293*(YEAR($K292:$K293)=K359)))*(K360&lt;$F225)*$F21</f>
        <v>0</v>
      </c>
      <c r="L472" s="8" t="n">
        <f aca="false">(K472*(1+Rate_Devex)-SUMPRODUCT($F292:$F293*$N292:$N293*(YEAR($K292:$K293)=L359)))*(L360&lt;$F225)*$F21</f>
        <v>0</v>
      </c>
      <c r="M472" s="8" t="n">
        <f aca="false">(L472*(1+Rate_Devex)-SUMPRODUCT($F292:$F293*$N292:$N293*(YEAR($K292:$K293)=M359)))*(M360&lt;$F225)*$F21</f>
        <v>0</v>
      </c>
      <c r="N472" s="8" t="n">
        <f aca="false">(M472*(1+Rate_Devex)-SUMPRODUCT($F292:$F293*$N292:$N293*(YEAR($K292:$K293)=N359)))*(N360&lt;$F225)*$F21</f>
        <v>0</v>
      </c>
      <c r="O472" s="8" t="n">
        <f aca="false">(N472*(1+Rate_Devex)-SUMPRODUCT($F292:$F293*$N292:$N293*(YEAR($K292:$K293)=O359)))*(O360&lt;$F225)*$F21</f>
        <v>0</v>
      </c>
      <c r="P472" s="8" t="n">
        <f aca="false">(O472*(1+Rate_Devex)-SUMPRODUCT($F292:$F293*$N292:$N293*(YEAR($K292:$K293)=P359)))*(P360&lt;$F225)*$F21</f>
        <v>0</v>
      </c>
      <c r="Q472" s="8" t="n">
        <f aca="false">(P472*(1+Rate_Devex)-SUMPRODUCT($F292:$F293*$N292:$N293*(YEAR($K292:$K293)=Q359)))*(Q360&lt;$F225)*$F21</f>
        <v>0</v>
      </c>
      <c r="R472" s="8" t="n">
        <f aca="false">(Q472*(1+Rate_Devex)-SUMPRODUCT($F292:$F293*$N292:$N293*(YEAR($K292:$K293)=R359)))*(R360&lt;$F225)*$F21</f>
        <v>0</v>
      </c>
      <c r="S472" s="8" t="n">
        <f aca="false">(R472*(1+Rate_Devex)-SUMPRODUCT($F292:$F293*$N292:$N293*(YEAR($K292:$K293)=S359)))*(S360&lt;$F225)*$F21</f>
        <v>0</v>
      </c>
      <c r="T472" s="8" t="n">
        <f aca="false">(S472*(1+Rate_Devex)-SUMPRODUCT($F292:$F293*$N292:$N293*(YEAR($K292:$K293)=T359)))*(T360&lt;$F225)*$F21</f>
        <v>0</v>
      </c>
      <c r="U472" s="8" t="n">
        <f aca="false">(T472*(1+Rate_Devex)-SUMPRODUCT($F292:$F293*$N292:$N293*(YEAR($K292:$K293)=U359)))*(U360&lt;$F225)*$F21</f>
        <v>0</v>
      </c>
      <c r="V472" s="8" t="n">
        <f aca="false">(U472*(1+Rate_Devex)-SUMPRODUCT($F292:$F293*$N292:$N293*(YEAR($K292:$K293)=V359)))*(V360&lt;$F225)*$F21</f>
        <v>0</v>
      </c>
      <c r="W472" s="8" t="n">
        <f aca="false">(V472*(1+Rate_Devex)-SUMPRODUCT($F292:$F293*$N292:$N293*(YEAR($K292:$K293)=W359)))*(W360&lt;$F225)*$F21</f>
        <v>0</v>
      </c>
      <c r="X472" s="8" t="n">
        <f aca="false">(W472*(1+Rate_Devex)-SUMPRODUCT($F292:$F293*$N292:$N293*(YEAR($K292:$K293)=X359)))*(X360&lt;$F225)*$F21</f>
        <v>0</v>
      </c>
      <c r="Y472" s="8" t="n">
        <f aca="false">(X472*(1+Rate_Devex)-SUMPRODUCT($F292:$F293*$N292:$N293*(YEAR($K292:$K293)=Y359)))*(Y360&lt;$F225)*$F21</f>
        <v>0</v>
      </c>
      <c r="Z472" s="8" t="n">
        <f aca="false">(Y472*(1+Rate_Devex)-SUMPRODUCT($F292:$F293*$N292:$N293*(YEAR($K292:$K293)=Z359)))*(Z360&lt;$F225)*$F21</f>
        <v>0</v>
      </c>
      <c r="AA472" s="8" t="n">
        <f aca="false">(Z472*(1+Rate_Devex)-SUMPRODUCT($F292:$F293*$N292:$N293*(YEAR($K292:$K293)=AA359)))*(AA360&lt;$F225)*$F21</f>
        <v>0</v>
      </c>
      <c r="AB472" s="8" t="n">
        <f aca="false">(AA472*(1+Rate_Devex)-SUMPRODUCT($F292:$F293*$N292:$N293*(YEAR($K292:$K293)=AB359)))*(AB360&lt;$F225)*$F21</f>
        <v>0</v>
      </c>
      <c r="AC472" s="8" t="n">
        <f aca="false">(AB472*(1+Rate_Devex)-SUMPRODUCT($F292:$F293*$N292:$N293*(YEAR($K292:$K293)=AC359)))*(AC360&lt;$F225)*$F21</f>
        <v>0</v>
      </c>
      <c r="AD472" s="8" t="n">
        <f aca="false">(AC472*(1+Rate_Devex)-SUMPRODUCT($F292:$F293*$N292:$N293*(YEAR($K292:$K293)=AD359)))*(AD360&lt;$F225)*$F21</f>
        <v>0</v>
      </c>
      <c r="AE472" s="8" t="n">
        <f aca="false">(AD472*(1+Rate_Devex)-SUMPRODUCT($F292:$F293*$N292:$N293*(YEAR($K292:$K293)=AE359)))*(AE360&lt;$F225)*$F21</f>
        <v>0</v>
      </c>
      <c r="AF472" s="8" t="n">
        <f aca="false">(AE472*(1+Rate_Devex)-SUMPRODUCT($F292:$F293*$N292:$N293*(YEAR($K292:$K293)=AF359)))*(AF360&lt;$F225)*$F21</f>
        <v>0</v>
      </c>
      <c r="AG472" s="8" t="n">
        <f aca="false">(AF472*(1+Rate_Devex)-SUMPRODUCT($F292:$F293*$N292:$N293*(YEAR($K292:$K293)=AG359)))*(AG360&lt;$F225)*$F21</f>
        <v>0</v>
      </c>
      <c r="AH472" s="8" t="n">
        <f aca="false">(AG472*(1+Rate_Devex)-SUMPRODUCT($F292:$F293*$N292:$N293*(YEAR($K292:$K293)=AH359)))*(AH360&lt;$F225)*$F21</f>
        <v>0</v>
      </c>
      <c r="AI472" s="8" t="n">
        <f aca="false">(AH472*(1+Rate_Devex)-SUMPRODUCT($F292:$F293*$N292:$N293*(YEAR($K292:$K293)=AI359)))*(AI360&lt;$F225)*$F21</f>
        <v>0</v>
      </c>
      <c r="AJ472" s="8" t="n">
        <f aca="false">(AI472*(1+Rate_Devex)-SUMPRODUCT($F292:$F293*$N292:$N293*(YEAR($K292:$K293)=AJ359)))*(AJ360&lt;$F225)*$F21</f>
        <v>0</v>
      </c>
      <c r="AK472" s="8" t="n">
        <f aca="false">(AJ472*(1+Rate_Devex)-SUMPRODUCT($F292:$F293*$N292:$N293*(YEAR($K292:$K293)=AK359)))*(AK360&lt;$F225)*$F21</f>
        <v>0</v>
      </c>
      <c r="AL472" s="8" t="n">
        <f aca="false">(AK472*(1+Rate_Devex)-SUMPRODUCT($F292:$F293*$N292:$N293*(YEAR($K292:$K293)=AL359)))*(AL360&lt;$F225)*$F21</f>
        <v>0</v>
      </c>
      <c r="AM472" s="8" t="n">
        <f aca="false">(AL472*(1+Rate_Devex)-SUMPRODUCT($F292:$F293*$N292:$N293*(YEAR($K292:$K293)=AM359)))*(AM360&lt;$F225)*$F21</f>
        <v>0</v>
      </c>
      <c r="AN472" s="8" t="n">
        <f aca="false">(AM472*(1+Rate_Devex)-SUMPRODUCT($F292:$F293*$N292:$N293*(YEAR($K292:$K293)=AN359)))*(AN360&lt;$F225)*$F21</f>
        <v>0</v>
      </c>
      <c r="AO472" s="8" t="n">
        <f aca="false">(AN472*(1+Rate_Devex)-SUMPRODUCT($F292:$F293*$N292:$N293*(YEAR($K292:$K293)=AO359)))*(AO360&lt;$F225)*$F21</f>
        <v>0</v>
      </c>
      <c r="AP472" s="8" t="n">
        <f aca="false">(AO472*(1+Rate_Devex)-SUMPRODUCT($F292:$F293*$N292:$N293*(YEAR($K292:$K293)=AP359)))*(AP360&lt;$F225)*$F21</f>
        <v>0</v>
      </c>
      <c r="AQ472" s="8" t="n">
        <f aca="false">(AP472*(1+Rate_Devex)-SUMPRODUCT($F292:$F293*$N292:$N293*(YEAR($K292:$K293)=AQ359)))*(AQ360&lt;$F225)*$F21</f>
        <v>0</v>
      </c>
      <c r="AR472" s="8" t="n">
        <f aca="false">(AQ472*(1+Rate_Devex)-SUMPRODUCT($F292:$F293*$N292:$N293*(YEAR($K292:$K293)=AR359)))*(AR360&lt;$F225)*$F21</f>
        <v>0</v>
      </c>
      <c r="AS472" s="8" t="n">
        <f aca="false">(AR472*(1+Rate_Devex)-SUMPRODUCT($F292:$F293*$N292:$N293*(YEAR($K292:$K293)=AS359)))*(AS360&lt;$F225)*$F21</f>
        <v>0</v>
      </c>
    </row>
    <row r="473" customFormat="false" ht="14.25" hidden="false" customHeight="false" outlineLevel="0" collapsed="false">
      <c r="C473" s="6" t="s">
        <v>341</v>
      </c>
      <c r="D473" s="2" t="s">
        <v>85</v>
      </c>
      <c r="H473" s="8" t="n">
        <f aca="false">SUM(J473:AS473)</f>
        <v>0</v>
      </c>
      <c r="J473" s="8" t="n">
        <f aca="false">-SUMPRODUCT($F288:$F293*(YEAR($K288:$K293)=J359))*(J360&lt;$F225)*$F21</f>
        <v>0</v>
      </c>
      <c r="K473" s="8" t="n">
        <f aca="false">-SUMPRODUCT($F288:$F293*(YEAR($K288:$K293)=K359))*(K360&lt;$F225)*$F21</f>
        <v>0</v>
      </c>
      <c r="L473" s="8" t="n">
        <f aca="false">-SUMPRODUCT($F288:$F293*(YEAR($K288:$K293)=L359))*(L360&lt;$F225)*$F21</f>
        <v>-0</v>
      </c>
      <c r="M473" s="8" t="n">
        <f aca="false">-SUMPRODUCT($F288:$F293*(YEAR($K288:$K293)=M359))*(M360&lt;$F225)*$F21</f>
        <v>-0</v>
      </c>
      <c r="N473" s="8" t="n">
        <f aca="false">-SUMPRODUCT($F288:$F293*(YEAR($K288:$K293)=N359))*(N360&lt;$F225)*$F21</f>
        <v>-0</v>
      </c>
      <c r="O473" s="8" t="n">
        <f aca="false">-SUMPRODUCT($F288:$F293*(YEAR($K288:$K293)=O359))*(O360&lt;$F225)*$F21</f>
        <v>-0</v>
      </c>
      <c r="P473" s="8" t="n">
        <f aca="false">-SUMPRODUCT($F288:$F293*(YEAR($K288:$K293)=P359))*(P360&lt;$F225)*$F21</f>
        <v>-0</v>
      </c>
      <c r="Q473" s="8" t="n">
        <f aca="false">-SUMPRODUCT($F288:$F293*(YEAR($K288:$K293)=Q359))*(Q360&lt;$F225)*$F21</f>
        <v>-0</v>
      </c>
      <c r="R473" s="8" t="n">
        <f aca="false">-SUMPRODUCT($F288:$F293*(YEAR($K288:$K293)=R359))*(R360&lt;$F225)*$F21</f>
        <v>-0</v>
      </c>
      <c r="S473" s="8" t="n">
        <f aca="false">-SUMPRODUCT($F288:$F293*(YEAR($K288:$K293)=S359))*(S360&lt;$F225)*$F21</f>
        <v>-0</v>
      </c>
      <c r="T473" s="8" t="n">
        <f aca="false">-SUMPRODUCT($F288:$F293*(YEAR($K288:$K293)=T359))*(T360&lt;$F225)*$F21</f>
        <v>-0</v>
      </c>
      <c r="U473" s="8" t="n">
        <f aca="false">-SUMPRODUCT($F288:$F293*(YEAR($K288:$K293)=U359))*(U360&lt;$F225)*$F21</f>
        <v>-0</v>
      </c>
      <c r="V473" s="8" t="n">
        <f aca="false">-SUMPRODUCT($F288:$F293*(YEAR($K288:$K293)=V359))*(V360&lt;$F225)*$F21</f>
        <v>-0</v>
      </c>
      <c r="W473" s="8" t="n">
        <f aca="false">-SUMPRODUCT($F288:$F293*(YEAR($K288:$K293)=W359))*(W360&lt;$F225)*$F21</f>
        <v>-0</v>
      </c>
      <c r="X473" s="8" t="n">
        <f aca="false">-SUMPRODUCT($F288:$F293*(YEAR($K288:$K293)=X359))*(X360&lt;$F225)*$F21</f>
        <v>-0</v>
      </c>
      <c r="Y473" s="8" t="n">
        <f aca="false">-SUMPRODUCT($F288:$F293*(YEAR($K288:$K293)=Y359))*(Y360&lt;$F225)*$F21</f>
        <v>-0</v>
      </c>
      <c r="Z473" s="8" t="n">
        <f aca="false">-SUMPRODUCT($F288:$F293*(YEAR($K288:$K293)=Z359))*(Z360&lt;$F225)*$F21</f>
        <v>-0</v>
      </c>
      <c r="AA473" s="8" t="n">
        <f aca="false">-SUMPRODUCT($F288:$F293*(YEAR($K288:$K293)=AA359))*(AA360&lt;$F225)*$F21</f>
        <v>-0</v>
      </c>
      <c r="AB473" s="8" t="n">
        <f aca="false">-SUMPRODUCT($F288:$F293*(YEAR($K288:$K293)=AB359))*(AB360&lt;$F225)*$F21</f>
        <v>-0</v>
      </c>
      <c r="AC473" s="8" t="n">
        <f aca="false">-SUMPRODUCT($F288:$F293*(YEAR($K288:$K293)=AC359))*(AC360&lt;$F225)*$F21</f>
        <v>-0</v>
      </c>
      <c r="AD473" s="8" t="n">
        <f aca="false">-SUMPRODUCT($F288:$F293*(YEAR($K288:$K293)=AD359))*(AD360&lt;$F225)*$F21</f>
        <v>-0</v>
      </c>
      <c r="AE473" s="8" t="n">
        <f aca="false">-SUMPRODUCT($F288:$F293*(YEAR($K288:$K293)=AE359))*(AE360&lt;$F225)*$F21</f>
        <v>-0</v>
      </c>
      <c r="AF473" s="8" t="n">
        <f aca="false">-SUMPRODUCT($F288:$F293*(YEAR($K288:$K293)=AF359))*(AF360&lt;$F225)*$F21</f>
        <v>-0</v>
      </c>
      <c r="AG473" s="8" t="n">
        <f aca="false">-SUMPRODUCT($F288:$F293*(YEAR($K288:$K293)=AG359))*(AG360&lt;$F225)*$F21</f>
        <v>-0</v>
      </c>
      <c r="AH473" s="8" t="n">
        <f aca="false">-SUMPRODUCT($F288:$F293*(YEAR($K288:$K293)=AH359))*(AH360&lt;$F225)*$F21</f>
        <v>-0</v>
      </c>
      <c r="AI473" s="8" t="n">
        <f aca="false">-SUMPRODUCT($F288:$F293*(YEAR($K288:$K293)=AI359))*(AI360&lt;$F225)*$F21</f>
        <v>-0</v>
      </c>
      <c r="AJ473" s="8" t="n">
        <f aca="false">-SUMPRODUCT($F288:$F293*(YEAR($K288:$K293)=AJ359))*(AJ360&lt;$F225)*$F21</f>
        <v>-0</v>
      </c>
      <c r="AK473" s="8" t="n">
        <f aca="false">-SUMPRODUCT($F288:$F293*(YEAR($K288:$K293)=AK359))*(AK360&lt;$F225)*$F21</f>
        <v>-0</v>
      </c>
      <c r="AL473" s="8" t="n">
        <f aca="false">-SUMPRODUCT($F288:$F293*(YEAR($K288:$K293)=AL359))*(AL360&lt;$F225)*$F21</f>
        <v>-0</v>
      </c>
      <c r="AM473" s="8" t="n">
        <f aca="false">-SUMPRODUCT($F288:$F293*(YEAR($K288:$K293)=AM359))*(AM360&lt;$F225)*$F21</f>
        <v>-0</v>
      </c>
      <c r="AN473" s="8" t="n">
        <f aca="false">-SUMPRODUCT($F288:$F293*(YEAR($K288:$K293)=AN359))*(AN360&lt;$F225)*$F21</f>
        <v>-0</v>
      </c>
      <c r="AO473" s="8" t="n">
        <f aca="false">-SUMPRODUCT($F288:$F293*(YEAR($K288:$K293)=AO359))*(AO360&lt;$F225)*$F21</f>
        <v>-0</v>
      </c>
      <c r="AP473" s="8" t="n">
        <f aca="false">-SUMPRODUCT($F288:$F293*(YEAR($K288:$K293)=AP359))*(AP360&lt;$F225)*$F21</f>
        <v>-0</v>
      </c>
      <c r="AQ473" s="8" t="n">
        <f aca="false">-SUMPRODUCT($F288:$F293*(YEAR($K288:$K293)=AQ359))*(AQ360&lt;$F225)*$F21</f>
        <v>-0</v>
      </c>
      <c r="AR473" s="8" t="n">
        <f aca="false">-SUMPRODUCT($F288:$F293*(YEAR($K288:$K293)=AR359))*(AR360&lt;$F225)*$F21</f>
        <v>-0</v>
      </c>
      <c r="AS473" s="8" t="n">
        <f aca="false">-SUMPRODUCT($F288:$F293*(YEAR($K288:$K293)=AS359))*(AS360&lt;$F225)*$F21</f>
        <v>-0</v>
      </c>
    </row>
    <row r="474" customFormat="false" ht="14.25" hidden="false" customHeight="false" outlineLevel="0" collapsed="false">
      <c r="C474" s="6" t="s">
        <v>342</v>
      </c>
      <c r="D474" s="2" t="s">
        <v>85</v>
      </c>
      <c r="H474" s="8" t="n">
        <f aca="false">SUM(J474:AS474)</f>
        <v>0</v>
      </c>
      <c r="J474" s="8" t="n">
        <f aca="false">(J471+J472-I471-I472-J473)*(J360&lt;$F225)*$F21</f>
        <v>0</v>
      </c>
      <c r="K474" s="8" t="n">
        <f aca="false">(K471+K472-J471-J472-K473)*(K360&lt;$F225)*$F21</f>
        <v>0</v>
      </c>
      <c r="L474" s="8" t="n">
        <f aca="false">(L471+L472-K471-K472-L473)*(L360&lt;$F225)*$F21</f>
        <v>0</v>
      </c>
      <c r="M474" s="8" t="n">
        <f aca="false">(M471+M472-L471-L472-M473)*(M360&lt;$F225)*$F21</f>
        <v>0</v>
      </c>
      <c r="N474" s="8" t="n">
        <f aca="false">(N471+N472-M471-M472-N473)*(N360&lt;$F225)*$F21</f>
        <v>0</v>
      </c>
      <c r="O474" s="8" t="n">
        <f aca="false">(O471+O472-N471-N472-O473)*(O360&lt;$F225)*$F21</f>
        <v>0</v>
      </c>
      <c r="P474" s="8" t="n">
        <f aca="false">(P471+P472-O471-O472-P473)*(P360&lt;$F225)*$F21</f>
        <v>0</v>
      </c>
      <c r="Q474" s="8" t="n">
        <f aca="false">(Q471+Q472-P471-P472-Q473)*(Q360&lt;$F225)*$F21</f>
        <v>0</v>
      </c>
      <c r="R474" s="8" t="n">
        <f aca="false">(R471+R472-Q471-Q472-R473)*(R360&lt;$F225)*$F21</f>
        <v>0</v>
      </c>
      <c r="S474" s="8" t="n">
        <f aca="false">(S471+S472-R471-R472-S473)*(S360&lt;$F225)*$F21</f>
        <v>0</v>
      </c>
      <c r="T474" s="8" t="n">
        <f aca="false">(T471+T472-S471-S472-T473)*(T360&lt;$F225)*$F21</f>
        <v>0</v>
      </c>
      <c r="U474" s="8" t="n">
        <f aca="false">(U471+U472-T471-T472-U473)*(U360&lt;$F225)*$F21</f>
        <v>0</v>
      </c>
      <c r="V474" s="8" t="n">
        <f aca="false">(V471+V472-U471-U472-V473)*(V360&lt;$F225)*$F21</f>
        <v>0</v>
      </c>
      <c r="W474" s="8" t="n">
        <f aca="false">(W471+W472-V471-V472-W473)*(W360&lt;$F225)*$F21</f>
        <v>0</v>
      </c>
      <c r="X474" s="8" t="n">
        <f aca="false">(X471+X472-W471-W472-X473)*(X360&lt;$F225)*$F21</f>
        <v>0</v>
      </c>
      <c r="Y474" s="8" t="n">
        <f aca="false">(Y471+Y472-X471-X472-Y473)*(Y360&lt;$F225)*$F21</f>
        <v>0</v>
      </c>
      <c r="Z474" s="8" t="n">
        <f aca="false">(Z471+Z472-Y471-Y472-Z473)*(Z360&lt;$F225)*$F21</f>
        <v>0</v>
      </c>
      <c r="AA474" s="8" t="n">
        <f aca="false">(AA471+AA472-Z471-Z472-AA473)*(AA360&lt;$F225)*$F21</f>
        <v>0</v>
      </c>
      <c r="AB474" s="8" t="n">
        <f aca="false">(AB471+AB472-AA471-AA472-AB473)*(AB360&lt;$F225)*$F21</f>
        <v>0</v>
      </c>
      <c r="AC474" s="8" t="n">
        <f aca="false">(AC471+AC472-AB471-AB472-AC473)*(AC360&lt;$F225)*$F21</f>
        <v>0</v>
      </c>
      <c r="AD474" s="8" t="n">
        <f aca="false">(AD471+AD472-AC471-AC472-AD473)*(AD360&lt;$F225)*$F21</f>
        <v>0</v>
      </c>
      <c r="AE474" s="8" t="n">
        <f aca="false">(AE471+AE472-AD471-AD472-AE473)*(AE360&lt;$F225)*$F21</f>
        <v>0</v>
      </c>
      <c r="AF474" s="8" t="n">
        <f aca="false">(AF471+AF472-AE471-AE472-AF473)*(AF360&lt;$F225)*$F21</f>
        <v>0</v>
      </c>
      <c r="AG474" s="8" t="n">
        <f aca="false">(AG471+AG472-AF471-AF472-AG473)*(AG360&lt;$F225)*$F21</f>
        <v>0</v>
      </c>
      <c r="AH474" s="8" t="n">
        <f aca="false">(AH471+AH472-AG471-AG472-AH473)*(AH360&lt;$F225)*$F21</f>
        <v>0</v>
      </c>
      <c r="AI474" s="8" t="n">
        <f aca="false">(AI471+AI472-AH471-AH472-AI473)*(AI360&lt;$F225)*$F21</f>
        <v>0</v>
      </c>
      <c r="AJ474" s="8" t="n">
        <f aca="false">(AJ471+AJ472-AI471-AI472-AJ473)*(AJ360&lt;$F225)*$F21</f>
        <v>0</v>
      </c>
      <c r="AK474" s="8" t="n">
        <f aca="false">(AK471+AK472-AJ471-AJ472-AK473)*(AK360&lt;$F225)*$F21</f>
        <v>0</v>
      </c>
      <c r="AL474" s="8" t="n">
        <f aca="false">(AL471+AL472-AK471-AK472-AL473)*(AL360&lt;$F225)*$F21</f>
        <v>0</v>
      </c>
      <c r="AM474" s="8" t="n">
        <f aca="false">(AM471+AM472-AL471-AL472-AM473)*(AM360&lt;$F225)*$F21</f>
        <v>0</v>
      </c>
      <c r="AN474" s="8" t="n">
        <f aca="false">(AN471+AN472-AM471-AM472-AN473)*(AN360&lt;$F225)*$F21</f>
        <v>0</v>
      </c>
      <c r="AO474" s="8" t="n">
        <f aca="false">(AO471+AO472-AN471-AN472-AO473)*(AO360&lt;$F225)*$F21</f>
        <v>0</v>
      </c>
      <c r="AP474" s="8" t="n">
        <f aca="false">(AP471+AP472-AO471-AO472-AP473)*(AP360&lt;$F225)*$F21</f>
        <v>0</v>
      </c>
      <c r="AQ474" s="8" t="n">
        <f aca="false">(AQ471+AQ472-AP471-AP472-AQ473)*(AQ360&lt;$F225)*$F21</f>
        <v>0</v>
      </c>
      <c r="AR474" s="8" t="n">
        <f aca="false">(AR471+AR472-AQ471-AQ472-AR473)*(AR360&lt;$F225)*$F21</f>
        <v>0</v>
      </c>
      <c r="AS474" s="8" t="n">
        <f aca="false">(AS471+AS472-AR471-AR472-AS473)*(AS360&lt;$F225)*$F21</f>
        <v>0</v>
      </c>
    </row>
    <row r="476" customFormat="false" ht="14.25" hidden="false" customHeight="false" outlineLevel="0" collapsed="false">
      <c r="B476" s="4" t="s">
        <v>3</v>
      </c>
      <c r="C476" s="4" t="s">
        <v>344</v>
      </c>
      <c r="D476" s="4"/>
      <c r="E476" s="5"/>
      <c r="F476" s="5"/>
      <c r="G476" s="5" t="s">
        <v>287</v>
      </c>
      <c r="H476" s="5" t="s">
        <v>8</v>
      </c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</row>
    <row r="477" customFormat="false" ht="14.25" hidden="false" customHeight="false" outlineLevel="0" collapsed="false">
      <c r="C477" s="6" t="s">
        <v>288</v>
      </c>
      <c r="D477" s="2" t="s">
        <v>289</v>
      </c>
      <c r="J477" s="74" t="n">
        <f aca="false">J$359-YEAR(Inputs!$G$26)</f>
        <v>-5</v>
      </c>
      <c r="K477" s="74" t="n">
        <f aca="false">K$359-YEAR(Inputs!$G$26)</f>
        <v>-4</v>
      </c>
      <c r="L477" s="74" t="n">
        <f aca="false">L$359-YEAR(Inputs!$G$26)</f>
        <v>-3</v>
      </c>
      <c r="M477" s="74" t="n">
        <f aca="false">M$359-YEAR(Inputs!$G$26)</f>
        <v>-2</v>
      </c>
      <c r="N477" s="74" t="n">
        <f aca="false">N$359-YEAR(Inputs!$G$26)</f>
        <v>-1</v>
      </c>
      <c r="O477" s="74" t="n">
        <f aca="false">O$359-YEAR(Inputs!$G$26)</f>
        <v>0</v>
      </c>
      <c r="P477" s="74" t="n">
        <f aca="false">P$359-YEAR(Inputs!$G$26)</f>
        <v>1</v>
      </c>
      <c r="Q477" s="74" t="n">
        <f aca="false">Q$359-YEAR(Inputs!$G$26)</f>
        <v>2</v>
      </c>
      <c r="R477" s="74" t="n">
        <f aca="false">R$359-YEAR(Inputs!$G$26)</f>
        <v>3</v>
      </c>
      <c r="S477" s="74" t="n">
        <f aca="false">S$359-YEAR(Inputs!$G$26)</f>
        <v>4</v>
      </c>
      <c r="T477" s="74" t="n">
        <f aca="false">T$359-YEAR(Inputs!$G$26)</f>
        <v>5</v>
      </c>
      <c r="U477" s="74" t="n">
        <f aca="false">U$359-YEAR(Inputs!$G$26)</f>
        <v>6</v>
      </c>
      <c r="V477" s="74" t="n">
        <f aca="false">V$359-YEAR(Inputs!$G$26)</f>
        <v>7</v>
      </c>
      <c r="W477" s="74" t="n">
        <f aca="false">W$359-YEAR(Inputs!$G$26)</f>
        <v>8</v>
      </c>
      <c r="X477" s="74" t="n">
        <f aca="false">X$359-YEAR(Inputs!$G$26)</f>
        <v>9</v>
      </c>
      <c r="Y477" s="74" t="n">
        <f aca="false">Y$359-YEAR(Inputs!$G$26)</f>
        <v>10</v>
      </c>
      <c r="Z477" s="74" t="n">
        <f aca="false">Z$359-YEAR(Inputs!$G$26)</f>
        <v>11</v>
      </c>
      <c r="AA477" s="74" t="n">
        <f aca="false">AA$359-YEAR(Inputs!$G$26)</f>
        <v>12</v>
      </c>
      <c r="AB477" s="74" t="n">
        <f aca="false">AB$359-YEAR(Inputs!$G$26)</f>
        <v>13</v>
      </c>
      <c r="AC477" s="74" t="n">
        <f aca="false">AC$359-YEAR(Inputs!$G$26)</f>
        <v>14</v>
      </c>
      <c r="AD477" s="74" t="n">
        <f aca="false">AD$359-YEAR(Inputs!$G$26)</f>
        <v>15</v>
      </c>
      <c r="AE477" s="74" t="n">
        <f aca="false">AE$359-YEAR(Inputs!$G$26)</f>
        <v>16</v>
      </c>
      <c r="AF477" s="74" t="n">
        <f aca="false">AF$359-YEAR(Inputs!$G$26)</f>
        <v>17</v>
      </c>
      <c r="AG477" s="74" t="n">
        <f aca="false">AG$359-YEAR(Inputs!$G$26)</f>
        <v>18</v>
      </c>
      <c r="AH477" s="74" t="n">
        <f aca="false">AH$359-YEAR(Inputs!$G$26)</f>
        <v>19</v>
      </c>
      <c r="AI477" s="74" t="n">
        <f aca="false">AI$359-YEAR(Inputs!$G$26)</f>
        <v>20</v>
      </c>
      <c r="AJ477" s="74" t="n">
        <f aca="false">AJ$359-YEAR(Inputs!$G$26)</f>
        <v>21</v>
      </c>
      <c r="AK477" s="74" t="n">
        <f aca="false">AK$359-YEAR(Inputs!$G$26)</f>
        <v>22</v>
      </c>
      <c r="AL477" s="74" t="n">
        <f aca="false">AL$359-YEAR(Inputs!$G$26)</f>
        <v>23</v>
      </c>
      <c r="AM477" s="74" t="n">
        <f aca="false">AM$359-YEAR(Inputs!$G$26)</f>
        <v>24</v>
      </c>
      <c r="AN477" s="74" t="n">
        <f aca="false">AN$359-YEAR(Inputs!$G$26)</f>
        <v>25</v>
      </c>
      <c r="AO477" s="74" t="n">
        <f aca="false">AO$359-YEAR(Inputs!$G$26)</f>
        <v>26</v>
      </c>
      <c r="AP477" s="74" t="n">
        <f aca="false">AP$359-YEAR(Inputs!$G$26)</f>
        <v>27</v>
      </c>
      <c r="AQ477" s="74" t="n">
        <f aca="false">AQ$359-YEAR(Inputs!$G$26)</f>
        <v>28</v>
      </c>
      <c r="AR477" s="74" t="n">
        <f aca="false">AR$359-YEAR(Inputs!$G$26)</f>
        <v>29</v>
      </c>
      <c r="AS477" s="74" t="n">
        <f aca="false">AS$359-YEAR(Inputs!$G$26)</f>
        <v>30</v>
      </c>
    </row>
    <row r="478" customFormat="false" ht="14.25" hidden="false" customHeight="false" outlineLevel="0" collapsed="false">
      <c r="C478" s="6" t="s">
        <v>290</v>
      </c>
      <c r="D478" s="2" t="s">
        <v>291</v>
      </c>
      <c r="G478" s="74" t="n">
        <f aca="false">DATEDIF(Inputs!$G$25,Inputs!$G$26,"m")</f>
        <v>24</v>
      </c>
      <c r="J478" s="74" t="n">
        <f aca="false">(J$359+1-YEAR(Inputs!$G$25))*Months_In_Year-MONTH(Inputs!$G$25)</f>
        <v>-30</v>
      </c>
      <c r="K478" s="74" t="n">
        <f aca="false">(K$359+1-YEAR(Inputs!$G$25))*Months_In_Year-MONTH(Inputs!$G$25)</f>
        <v>-18</v>
      </c>
      <c r="L478" s="74" t="n">
        <f aca="false">(L$359+1-YEAR(Inputs!$G$25))*Months_In_Year-MONTH(Inputs!$G$25)</f>
        <v>-6</v>
      </c>
      <c r="M478" s="74" t="n">
        <f aca="false">(M$359+1-YEAR(Inputs!$G$25))*Months_In_Year-MONTH(Inputs!$G$25)</f>
        <v>6</v>
      </c>
      <c r="N478" s="74" t="n">
        <f aca="false">(N$359+1-YEAR(Inputs!$G$25))*Months_In_Year-MONTH(Inputs!$G$25)</f>
        <v>18</v>
      </c>
      <c r="O478" s="74" t="n">
        <f aca="false">(O$359+1-YEAR(Inputs!$G$25))*Months_In_Year-MONTH(Inputs!$G$25)</f>
        <v>30</v>
      </c>
      <c r="P478" s="74" t="n">
        <f aca="false">(P$359+1-YEAR(Inputs!$G$25))*Months_In_Year-MONTH(Inputs!$G$25)</f>
        <v>42</v>
      </c>
      <c r="Q478" s="74" t="n">
        <f aca="false">(Q$359+1-YEAR(Inputs!$G$25))*Months_In_Year-MONTH(Inputs!$G$25)</f>
        <v>54</v>
      </c>
      <c r="R478" s="74" t="n">
        <f aca="false">(R$359+1-YEAR(Inputs!$G$25))*Months_In_Year-MONTH(Inputs!$G$25)</f>
        <v>66</v>
      </c>
      <c r="S478" s="74" t="n">
        <f aca="false">(S$359+1-YEAR(Inputs!$G$25))*Months_In_Year-MONTH(Inputs!$G$25)</f>
        <v>78</v>
      </c>
      <c r="T478" s="74" t="n">
        <f aca="false">(T$359+1-YEAR(Inputs!$G$25))*Months_In_Year-MONTH(Inputs!$G$25)</f>
        <v>90</v>
      </c>
      <c r="U478" s="74" t="n">
        <f aca="false">(U$359+1-YEAR(Inputs!$G$25))*Months_In_Year-MONTH(Inputs!$G$25)</f>
        <v>102</v>
      </c>
      <c r="V478" s="74" t="n">
        <f aca="false">(V$359+1-YEAR(Inputs!$G$25))*Months_In_Year-MONTH(Inputs!$G$25)</f>
        <v>114</v>
      </c>
      <c r="W478" s="74" t="n">
        <f aca="false">(W$359+1-YEAR(Inputs!$G$25))*Months_In_Year-MONTH(Inputs!$G$25)</f>
        <v>126</v>
      </c>
      <c r="X478" s="74" t="n">
        <f aca="false">(X$359+1-YEAR(Inputs!$G$25))*Months_In_Year-MONTH(Inputs!$G$25)</f>
        <v>138</v>
      </c>
      <c r="Y478" s="74" t="n">
        <f aca="false">(Y$359+1-YEAR(Inputs!$G$25))*Months_In_Year-MONTH(Inputs!$G$25)</f>
        <v>150</v>
      </c>
      <c r="Z478" s="74" t="n">
        <f aca="false">(Z$359+1-YEAR(Inputs!$G$25))*Months_In_Year-MONTH(Inputs!$G$25)</f>
        <v>162</v>
      </c>
      <c r="AA478" s="74" t="n">
        <f aca="false">(AA$359+1-YEAR(Inputs!$G$25))*Months_In_Year-MONTH(Inputs!$G$25)</f>
        <v>174</v>
      </c>
      <c r="AB478" s="74" t="n">
        <f aca="false">(AB$359+1-YEAR(Inputs!$G$25))*Months_In_Year-MONTH(Inputs!$G$25)</f>
        <v>186</v>
      </c>
      <c r="AC478" s="74" t="n">
        <f aca="false">(AC$359+1-YEAR(Inputs!$G$25))*Months_In_Year-MONTH(Inputs!$G$25)</f>
        <v>198</v>
      </c>
      <c r="AD478" s="74" t="n">
        <f aca="false">(AD$359+1-YEAR(Inputs!$G$25))*Months_In_Year-MONTH(Inputs!$G$25)</f>
        <v>210</v>
      </c>
      <c r="AE478" s="74" t="n">
        <f aca="false">(AE$359+1-YEAR(Inputs!$G$25))*Months_In_Year-MONTH(Inputs!$G$25)</f>
        <v>222</v>
      </c>
      <c r="AF478" s="74" t="n">
        <f aca="false">(AF$359+1-YEAR(Inputs!$G$25))*Months_In_Year-MONTH(Inputs!$G$25)</f>
        <v>234</v>
      </c>
      <c r="AG478" s="74" t="n">
        <f aca="false">(AG$359+1-YEAR(Inputs!$G$25))*Months_In_Year-MONTH(Inputs!$G$25)</f>
        <v>246</v>
      </c>
      <c r="AH478" s="74" t="n">
        <f aca="false">(AH$359+1-YEAR(Inputs!$G$25))*Months_In_Year-MONTH(Inputs!$G$25)</f>
        <v>258</v>
      </c>
      <c r="AI478" s="74" t="n">
        <f aca="false">(AI$359+1-YEAR(Inputs!$G$25))*Months_In_Year-MONTH(Inputs!$G$25)</f>
        <v>270</v>
      </c>
      <c r="AJ478" s="74" t="n">
        <f aca="false">(AJ$359+1-YEAR(Inputs!$G$25))*Months_In_Year-MONTH(Inputs!$G$25)</f>
        <v>282</v>
      </c>
      <c r="AK478" s="74" t="n">
        <f aca="false">(AK$359+1-YEAR(Inputs!$G$25))*Months_In_Year-MONTH(Inputs!$G$25)</f>
        <v>294</v>
      </c>
      <c r="AL478" s="74" t="n">
        <f aca="false">(AL$359+1-YEAR(Inputs!$G$25))*Months_In_Year-MONTH(Inputs!$G$25)</f>
        <v>306</v>
      </c>
      <c r="AM478" s="74" t="n">
        <f aca="false">(AM$359+1-YEAR(Inputs!$G$25))*Months_In_Year-MONTH(Inputs!$G$25)</f>
        <v>318</v>
      </c>
      <c r="AN478" s="74" t="n">
        <f aca="false">(AN$359+1-YEAR(Inputs!$G$25))*Months_In_Year-MONTH(Inputs!$G$25)</f>
        <v>330</v>
      </c>
      <c r="AO478" s="74" t="n">
        <f aca="false">(AO$359+1-YEAR(Inputs!$G$25))*Months_In_Year-MONTH(Inputs!$G$25)</f>
        <v>342</v>
      </c>
      <c r="AP478" s="74" t="n">
        <f aca="false">(AP$359+1-YEAR(Inputs!$G$25))*Months_In_Year-MONTH(Inputs!$G$25)</f>
        <v>354</v>
      </c>
      <c r="AQ478" s="74" t="n">
        <f aca="false">(AQ$359+1-YEAR(Inputs!$G$25))*Months_In_Year-MONTH(Inputs!$G$25)</f>
        <v>366</v>
      </c>
      <c r="AR478" s="74" t="n">
        <f aca="false">(AR$359+1-YEAR(Inputs!$G$25))*Months_In_Year-MONTH(Inputs!$G$25)</f>
        <v>378</v>
      </c>
      <c r="AS478" s="74" t="n">
        <f aca="false">(AS$359+1-YEAR(Inputs!$G$25))*Months_In_Year-MONTH(Inputs!$G$25)</f>
        <v>390</v>
      </c>
    </row>
    <row r="479" customFormat="false" ht="14.25" hidden="false" customHeight="false" outlineLevel="0" collapsed="false">
      <c r="C479" s="6" t="s">
        <v>292</v>
      </c>
      <c r="D479" s="2" t="s">
        <v>12</v>
      </c>
      <c r="H479" s="75" t="n">
        <f aca="false">SUM(J479:AS479)</f>
        <v>1</v>
      </c>
      <c r="J479" s="48" t="n">
        <f aca="false">MAX(0,MIN(J478,$G478)-MAX(J478-Months_In_Year,0))/$G478</f>
        <v>0</v>
      </c>
      <c r="K479" s="48" t="n">
        <f aca="false">MAX(0,MIN(K478,$G478)-MAX(K478-Months_In_Year,0))/$G478</f>
        <v>0</v>
      </c>
      <c r="L479" s="48" t="n">
        <f aca="false">MAX(0,MIN(L478,$G478)-MAX(L478-Months_In_Year,0))/$G478</f>
        <v>0</v>
      </c>
      <c r="M479" s="48" t="n">
        <f aca="false">MAX(0,MIN(M478,$G478)-MAX(M478-Months_In_Year,0))/$G478</f>
        <v>0.25</v>
      </c>
      <c r="N479" s="48" t="n">
        <f aca="false">MAX(0,MIN(N478,$G478)-MAX(N478-Months_In_Year,0))/$G478</f>
        <v>0.5</v>
      </c>
      <c r="O479" s="48" t="n">
        <f aca="false">MAX(0,MIN(O478,$G478)-MAX(O478-Months_In_Year,0))/$G478</f>
        <v>0.25</v>
      </c>
      <c r="P479" s="48" t="n">
        <f aca="false">MAX(0,MIN(P478,$G478)-MAX(P478-Months_In_Year,0))/$G478</f>
        <v>0</v>
      </c>
      <c r="Q479" s="48" t="n">
        <f aca="false">MAX(0,MIN(Q478,$G478)-MAX(Q478-Months_In_Year,0))/$G478</f>
        <v>0</v>
      </c>
      <c r="R479" s="48" t="n">
        <f aca="false">MAX(0,MIN(R478,$G478)-MAX(R478-Months_In_Year,0))/$G478</f>
        <v>0</v>
      </c>
      <c r="S479" s="48" t="n">
        <f aca="false">MAX(0,MIN(S478,$G478)-MAX(S478-Months_In_Year,0))/$G478</f>
        <v>0</v>
      </c>
      <c r="T479" s="48" t="n">
        <f aca="false">MAX(0,MIN(T478,$G478)-MAX(T478-Months_In_Year,0))/$G478</f>
        <v>0</v>
      </c>
      <c r="U479" s="48" t="n">
        <f aca="false">MAX(0,MIN(U478,$G478)-MAX(U478-Months_In_Year,0))/$G478</f>
        <v>0</v>
      </c>
      <c r="V479" s="48" t="n">
        <f aca="false">MAX(0,MIN(V478,$G478)-MAX(V478-Months_In_Year,0))/$G478</f>
        <v>0</v>
      </c>
      <c r="W479" s="48" t="n">
        <f aca="false">MAX(0,MIN(W478,$G478)-MAX(W478-Months_In_Year,0))/$G478</f>
        <v>0</v>
      </c>
      <c r="X479" s="48" t="n">
        <f aca="false">MAX(0,MIN(X478,$G478)-MAX(X478-Months_In_Year,0))/$G478</f>
        <v>0</v>
      </c>
      <c r="Y479" s="48" t="n">
        <f aca="false">MAX(0,MIN(Y478,$G478)-MAX(Y478-Months_In_Year,0))/$G478</f>
        <v>0</v>
      </c>
      <c r="Z479" s="48" t="n">
        <f aca="false">MAX(0,MIN(Z478,$G478)-MAX(Z478-Months_In_Year,0))/$G478</f>
        <v>0</v>
      </c>
      <c r="AA479" s="48" t="n">
        <f aca="false">MAX(0,MIN(AA478,$G478)-MAX(AA478-Months_In_Year,0))/$G478</f>
        <v>0</v>
      </c>
      <c r="AB479" s="48" t="n">
        <f aca="false">MAX(0,MIN(AB478,$G478)-MAX(AB478-Months_In_Year,0))/$G478</f>
        <v>0</v>
      </c>
      <c r="AC479" s="48" t="n">
        <f aca="false">MAX(0,MIN(AC478,$G478)-MAX(AC478-Months_In_Year,0))/$G478</f>
        <v>0</v>
      </c>
      <c r="AD479" s="48" t="n">
        <f aca="false">MAX(0,MIN(AD478,$G478)-MAX(AD478-Months_In_Year,0))/$G478</f>
        <v>0</v>
      </c>
      <c r="AE479" s="48" t="n">
        <f aca="false">MAX(0,MIN(AE478,$G478)-MAX(AE478-Months_In_Year,0))/$G478</f>
        <v>0</v>
      </c>
      <c r="AF479" s="48" t="n">
        <f aca="false">MAX(0,MIN(AF478,$G478)-MAX(AF478-Months_In_Year,0))/$G478</f>
        <v>0</v>
      </c>
      <c r="AG479" s="48" t="n">
        <f aca="false">MAX(0,MIN(AG478,$G478)-MAX(AG478-Months_In_Year,0))/$G478</f>
        <v>0</v>
      </c>
      <c r="AH479" s="48" t="n">
        <f aca="false">MAX(0,MIN(AH478,$G478)-MAX(AH478-Months_In_Year,0))/$G478</f>
        <v>0</v>
      </c>
      <c r="AI479" s="48" t="n">
        <f aca="false">MAX(0,MIN(AI478,$G478)-MAX(AI478-Months_In_Year,0))/$G478</f>
        <v>0</v>
      </c>
      <c r="AJ479" s="48" t="n">
        <f aca="false">MAX(0,MIN(AJ478,$G478)-MAX(AJ478-Months_In_Year,0))/$G478</f>
        <v>0</v>
      </c>
      <c r="AK479" s="48" t="n">
        <f aca="false">MAX(0,MIN(AK478,$G478)-MAX(AK478-Months_In_Year,0))/$G478</f>
        <v>0</v>
      </c>
      <c r="AL479" s="48" t="n">
        <f aca="false">MAX(0,MIN(AL478,$G478)-MAX(AL478-Months_In_Year,0))/$G478</f>
        <v>0</v>
      </c>
      <c r="AM479" s="48" t="n">
        <f aca="false">MAX(0,MIN(AM478,$G478)-MAX(AM478-Months_In_Year,0))/$G478</f>
        <v>0</v>
      </c>
      <c r="AN479" s="48" t="n">
        <f aca="false">MAX(0,MIN(AN478,$G478)-MAX(AN478-Months_In_Year,0))/$G478</f>
        <v>0</v>
      </c>
      <c r="AO479" s="48" t="n">
        <f aca="false">MAX(0,MIN(AO478,$G478)-MAX(AO478-Months_In_Year,0))/$G478</f>
        <v>0</v>
      </c>
      <c r="AP479" s="48" t="n">
        <f aca="false">MAX(0,MIN(AP478,$G478)-MAX(AP478-Months_In_Year,0))/$G478</f>
        <v>0</v>
      </c>
      <c r="AQ479" s="48" t="n">
        <f aca="false">MAX(0,MIN(AQ478,$G478)-MAX(AQ478-Months_In_Year,0))/$G478</f>
        <v>0</v>
      </c>
      <c r="AR479" s="48" t="n">
        <f aca="false">MAX(0,MIN(AR478,$G478)-MAX(AR478-Months_In_Year,0))/$G478</f>
        <v>0</v>
      </c>
      <c r="AS479" s="48" t="n">
        <f aca="false">MAX(0,MIN(AS478,$G478)-MAX(AS478-Months_In_Year,0))/$G478</f>
        <v>0</v>
      </c>
    </row>
    <row r="480" customFormat="false" ht="14.25" hidden="false" customHeight="false" outlineLevel="0" collapsed="false">
      <c r="C480" s="6" t="s">
        <v>293</v>
      </c>
      <c r="D480" s="2" t="s">
        <v>291</v>
      </c>
      <c r="G480" s="74" t="n">
        <f aca="false">Life*Months_In_Year</f>
        <v>360</v>
      </c>
      <c r="J480" s="74" t="n">
        <f aca="false">(J$359+1-YEAR(Inputs!$G$26))*Months_In_Year-MONTH(Inputs!$G$26)</f>
        <v>-54</v>
      </c>
      <c r="K480" s="74" t="n">
        <f aca="false">(K$359+1-YEAR(Inputs!$G$26))*Months_In_Year-MONTH(Inputs!$G$26)</f>
        <v>-42</v>
      </c>
      <c r="L480" s="74" t="n">
        <f aca="false">(L$359+1-YEAR(Inputs!$G$26))*Months_In_Year-MONTH(Inputs!$G$26)</f>
        <v>-30</v>
      </c>
      <c r="M480" s="74" t="n">
        <f aca="false">(M$359+1-YEAR(Inputs!$G$26))*Months_In_Year-MONTH(Inputs!$G$26)</f>
        <v>-18</v>
      </c>
      <c r="N480" s="74" t="n">
        <f aca="false">(N$359+1-YEAR(Inputs!$G$26))*Months_In_Year-MONTH(Inputs!$G$26)</f>
        <v>-6</v>
      </c>
      <c r="O480" s="74" t="n">
        <f aca="false">(O$359+1-YEAR(Inputs!$G$26))*Months_In_Year-MONTH(Inputs!$G$26)</f>
        <v>6</v>
      </c>
      <c r="P480" s="74" t="n">
        <f aca="false">(P$359+1-YEAR(Inputs!$G$26))*Months_In_Year-MONTH(Inputs!$G$26)</f>
        <v>18</v>
      </c>
      <c r="Q480" s="74" t="n">
        <f aca="false">(Q$359+1-YEAR(Inputs!$G$26))*Months_In_Year-MONTH(Inputs!$G$26)</f>
        <v>30</v>
      </c>
      <c r="R480" s="74" t="n">
        <f aca="false">(R$359+1-YEAR(Inputs!$G$26))*Months_In_Year-MONTH(Inputs!$G$26)</f>
        <v>42</v>
      </c>
      <c r="S480" s="74" t="n">
        <f aca="false">(S$359+1-YEAR(Inputs!$G$26))*Months_In_Year-MONTH(Inputs!$G$26)</f>
        <v>54</v>
      </c>
      <c r="T480" s="74" t="n">
        <f aca="false">(T$359+1-YEAR(Inputs!$G$26))*Months_In_Year-MONTH(Inputs!$G$26)</f>
        <v>66</v>
      </c>
      <c r="U480" s="74" t="n">
        <f aca="false">(U$359+1-YEAR(Inputs!$G$26))*Months_In_Year-MONTH(Inputs!$G$26)</f>
        <v>78</v>
      </c>
      <c r="V480" s="74" t="n">
        <f aca="false">(V$359+1-YEAR(Inputs!$G$26))*Months_In_Year-MONTH(Inputs!$G$26)</f>
        <v>90</v>
      </c>
      <c r="W480" s="74" t="n">
        <f aca="false">(W$359+1-YEAR(Inputs!$G$26))*Months_In_Year-MONTH(Inputs!$G$26)</f>
        <v>102</v>
      </c>
      <c r="X480" s="74" t="n">
        <f aca="false">(X$359+1-YEAR(Inputs!$G$26))*Months_In_Year-MONTH(Inputs!$G$26)</f>
        <v>114</v>
      </c>
      <c r="Y480" s="74" t="n">
        <f aca="false">(Y$359+1-YEAR(Inputs!$G$26))*Months_In_Year-MONTH(Inputs!$G$26)</f>
        <v>126</v>
      </c>
      <c r="Z480" s="74" t="n">
        <f aca="false">(Z$359+1-YEAR(Inputs!$G$26))*Months_In_Year-MONTH(Inputs!$G$26)</f>
        <v>138</v>
      </c>
      <c r="AA480" s="74" t="n">
        <f aca="false">(AA$359+1-YEAR(Inputs!$G$26))*Months_In_Year-MONTH(Inputs!$G$26)</f>
        <v>150</v>
      </c>
      <c r="AB480" s="74" t="n">
        <f aca="false">(AB$359+1-YEAR(Inputs!$G$26))*Months_In_Year-MONTH(Inputs!$G$26)</f>
        <v>162</v>
      </c>
      <c r="AC480" s="74" t="n">
        <f aca="false">(AC$359+1-YEAR(Inputs!$G$26))*Months_In_Year-MONTH(Inputs!$G$26)</f>
        <v>174</v>
      </c>
      <c r="AD480" s="74" t="n">
        <f aca="false">(AD$359+1-YEAR(Inputs!$G$26))*Months_In_Year-MONTH(Inputs!$G$26)</f>
        <v>186</v>
      </c>
      <c r="AE480" s="74" t="n">
        <f aca="false">(AE$359+1-YEAR(Inputs!$G$26))*Months_In_Year-MONTH(Inputs!$G$26)</f>
        <v>198</v>
      </c>
      <c r="AF480" s="74" t="n">
        <f aca="false">(AF$359+1-YEAR(Inputs!$G$26))*Months_In_Year-MONTH(Inputs!$G$26)</f>
        <v>210</v>
      </c>
      <c r="AG480" s="74" t="n">
        <f aca="false">(AG$359+1-YEAR(Inputs!$G$26))*Months_In_Year-MONTH(Inputs!$G$26)</f>
        <v>222</v>
      </c>
      <c r="AH480" s="74" t="n">
        <f aca="false">(AH$359+1-YEAR(Inputs!$G$26))*Months_In_Year-MONTH(Inputs!$G$26)</f>
        <v>234</v>
      </c>
      <c r="AI480" s="74" t="n">
        <f aca="false">(AI$359+1-YEAR(Inputs!$G$26))*Months_In_Year-MONTH(Inputs!$G$26)</f>
        <v>246</v>
      </c>
      <c r="AJ480" s="74" t="n">
        <f aca="false">(AJ$359+1-YEAR(Inputs!$G$26))*Months_In_Year-MONTH(Inputs!$G$26)</f>
        <v>258</v>
      </c>
      <c r="AK480" s="74" t="n">
        <f aca="false">(AK$359+1-YEAR(Inputs!$G$26))*Months_In_Year-MONTH(Inputs!$G$26)</f>
        <v>270</v>
      </c>
      <c r="AL480" s="74" t="n">
        <f aca="false">(AL$359+1-YEAR(Inputs!$G$26))*Months_In_Year-MONTH(Inputs!$G$26)</f>
        <v>282</v>
      </c>
      <c r="AM480" s="74" t="n">
        <f aca="false">(AM$359+1-YEAR(Inputs!$G$26))*Months_In_Year-MONTH(Inputs!$G$26)</f>
        <v>294</v>
      </c>
      <c r="AN480" s="74" t="n">
        <f aca="false">(AN$359+1-YEAR(Inputs!$G$26))*Months_In_Year-MONTH(Inputs!$G$26)</f>
        <v>306</v>
      </c>
      <c r="AO480" s="74" t="n">
        <f aca="false">(AO$359+1-YEAR(Inputs!$G$26))*Months_In_Year-MONTH(Inputs!$G$26)</f>
        <v>318</v>
      </c>
      <c r="AP480" s="74" t="n">
        <f aca="false">(AP$359+1-YEAR(Inputs!$G$26))*Months_In_Year-MONTH(Inputs!$G$26)</f>
        <v>330</v>
      </c>
      <c r="AQ480" s="74" t="n">
        <f aca="false">(AQ$359+1-YEAR(Inputs!$G$26))*Months_In_Year-MONTH(Inputs!$G$26)</f>
        <v>342</v>
      </c>
      <c r="AR480" s="74" t="n">
        <f aca="false">(AR$359+1-YEAR(Inputs!$G$26))*Months_In_Year-MONTH(Inputs!$G$26)</f>
        <v>354</v>
      </c>
      <c r="AS480" s="74" t="n">
        <f aca="false">(AS$359+1-YEAR(Inputs!$G$26))*Months_In_Year-MONTH(Inputs!$G$26)</f>
        <v>366</v>
      </c>
    </row>
    <row r="481" customFormat="false" ht="14.25" hidden="false" customHeight="false" outlineLevel="0" collapsed="false">
      <c r="C481" s="6" t="s">
        <v>294</v>
      </c>
      <c r="D481" s="2" t="s">
        <v>12</v>
      </c>
      <c r="H481" s="75" t="n">
        <f aca="false">SUM(J481:AS481)</f>
        <v>30</v>
      </c>
      <c r="J481" s="48" t="n">
        <f aca="false">MAX(0,MIN(J480,$G480)-MAX(J480-Months_In_Year,0))/Months_In_Year</f>
        <v>0</v>
      </c>
      <c r="K481" s="48" t="n">
        <f aca="false">MAX(0,MIN(K480,$G480)-MAX(K480-Months_In_Year,0))/Months_In_Year</f>
        <v>0</v>
      </c>
      <c r="L481" s="48" t="n">
        <f aca="false">MAX(0,MIN(L480,$G480)-MAX(L480-Months_In_Year,0))/Months_In_Year</f>
        <v>0</v>
      </c>
      <c r="M481" s="48" t="n">
        <f aca="false">MAX(0,MIN(M480,$G480)-MAX(M480-Months_In_Year,0))/Months_In_Year</f>
        <v>0</v>
      </c>
      <c r="N481" s="48" t="n">
        <f aca="false">MAX(0,MIN(N480,$G480)-MAX(N480-Months_In_Year,0))/Months_In_Year</f>
        <v>0</v>
      </c>
      <c r="O481" s="48" t="n">
        <f aca="false">MAX(0,MIN(O480,$G480)-MAX(O480-Months_In_Year,0))/Months_In_Year</f>
        <v>0.5</v>
      </c>
      <c r="P481" s="48" t="n">
        <f aca="false">MAX(0,MIN(P480,$G480)-MAX(P480-Months_In_Year,0))/Months_In_Year</f>
        <v>1</v>
      </c>
      <c r="Q481" s="48" t="n">
        <f aca="false">MAX(0,MIN(Q480,$G480)-MAX(Q480-Months_In_Year,0))/Months_In_Year</f>
        <v>1</v>
      </c>
      <c r="R481" s="48" t="n">
        <f aca="false">MAX(0,MIN(R480,$G480)-MAX(R480-Months_In_Year,0))/Months_In_Year</f>
        <v>1</v>
      </c>
      <c r="S481" s="48" t="n">
        <f aca="false">MAX(0,MIN(S480,$G480)-MAX(S480-Months_In_Year,0))/Months_In_Year</f>
        <v>1</v>
      </c>
      <c r="T481" s="48" t="n">
        <f aca="false">MAX(0,MIN(T480,$G480)-MAX(T480-Months_In_Year,0))/Months_In_Year</f>
        <v>1</v>
      </c>
      <c r="U481" s="48" t="n">
        <f aca="false">MAX(0,MIN(U480,$G480)-MAX(U480-Months_In_Year,0))/Months_In_Year</f>
        <v>1</v>
      </c>
      <c r="V481" s="48" t="n">
        <f aca="false">MAX(0,MIN(V480,$G480)-MAX(V480-Months_In_Year,0))/Months_In_Year</f>
        <v>1</v>
      </c>
      <c r="W481" s="48" t="n">
        <f aca="false">MAX(0,MIN(W480,$G480)-MAX(W480-Months_In_Year,0))/Months_In_Year</f>
        <v>1</v>
      </c>
      <c r="X481" s="48" t="n">
        <f aca="false">MAX(0,MIN(X480,$G480)-MAX(X480-Months_In_Year,0))/Months_In_Year</f>
        <v>1</v>
      </c>
      <c r="Y481" s="48" t="n">
        <f aca="false">MAX(0,MIN(Y480,$G480)-MAX(Y480-Months_In_Year,0))/Months_In_Year</f>
        <v>1</v>
      </c>
      <c r="Z481" s="48" t="n">
        <f aca="false">MAX(0,MIN(Z480,$G480)-MAX(Z480-Months_In_Year,0))/Months_In_Year</f>
        <v>1</v>
      </c>
      <c r="AA481" s="48" t="n">
        <f aca="false">MAX(0,MIN(AA480,$G480)-MAX(AA480-Months_In_Year,0))/Months_In_Year</f>
        <v>1</v>
      </c>
      <c r="AB481" s="48" t="n">
        <f aca="false">MAX(0,MIN(AB480,$G480)-MAX(AB480-Months_In_Year,0))/Months_In_Year</f>
        <v>1</v>
      </c>
      <c r="AC481" s="48" t="n">
        <f aca="false">MAX(0,MIN(AC480,$G480)-MAX(AC480-Months_In_Year,0))/Months_In_Year</f>
        <v>1</v>
      </c>
      <c r="AD481" s="48" t="n">
        <f aca="false">MAX(0,MIN(AD480,$G480)-MAX(AD480-Months_In_Year,0))/Months_In_Year</f>
        <v>1</v>
      </c>
      <c r="AE481" s="48" t="n">
        <f aca="false">MAX(0,MIN(AE480,$G480)-MAX(AE480-Months_In_Year,0))/Months_In_Year</f>
        <v>1</v>
      </c>
      <c r="AF481" s="48" t="n">
        <f aca="false">MAX(0,MIN(AF480,$G480)-MAX(AF480-Months_In_Year,0))/Months_In_Year</f>
        <v>1</v>
      </c>
      <c r="AG481" s="48" t="n">
        <f aca="false">MAX(0,MIN(AG480,$G480)-MAX(AG480-Months_In_Year,0))/Months_In_Year</f>
        <v>1</v>
      </c>
      <c r="AH481" s="48" t="n">
        <f aca="false">MAX(0,MIN(AH480,$G480)-MAX(AH480-Months_In_Year,0))/Months_In_Year</f>
        <v>1</v>
      </c>
      <c r="AI481" s="48" t="n">
        <f aca="false">MAX(0,MIN(AI480,$G480)-MAX(AI480-Months_In_Year,0))/Months_In_Year</f>
        <v>1</v>
      </c>
      <c r="AJ481" s="48" t="n">
        <f aca="false">MAX(0,MIN(AJ480,$G480)-MAX(AJ480-Months_In_Year,0))/Months_In_Year</f>
        <v>1</v>
      </c>
      <c r="AK481" s="48" t="n">
        <f aca="false">MAX(0,MIN(AK480,$G480)-MAX(AK480-Months_In_Year,0))/Months_In_Year</f>
        <v>1</v>
      </c>
      <c r="AL481" s="48" t="n">
        <f aca="false">MAX(0,MIN(AL480,$G480)-MAX(AL480-Months_In_Year,0))/Months_In_Year</f>
        <v>1</v>
      </c>
      <c r="AM481" s="48" t="n">
        <f aca="false">MAX(0,MIN(AM480,$G480)-MAX(AM480-Months_In_Year,0))/Months_In_Year</f>
        <v>1</v>
      </c>
      <c r="AN481" s="48" t="n">
        <f aca="false">MAX(0,MIN(AN480,$G480)-MAX(AN480-Months_In_Year,0))/Months_In_Year</f>
        <v>1</v>
      </c>
      <c r="AO481" s="48" t="n">
        <f aca="false">MAX(0,MIN(AO480,$G480)-MAX(AO480-Months_In_Year,0))/Months_In_Year</f>
        <v>1</v>
      </c>
      <c r="AP481" s="48" t="n">
        <f aca="false">MAX(0,MIN(AP480,$G480)-MAX(AP480-Months_In_Year,0))/Months_In_Year</f>
        <v>1</v>
      </c>
      <c r="AQ481" s="48" t="n">
        <f aca="false">MAX(0,MIN(AQ480,$G480)-MAX(AQ480-Months_In_Year,0))/Months_In_Year</f>
        <v>1</v>
      </c>
      <c r="AR481" s="48" t="n">
        <f aca="false">MAX(0,MIN(AR480,$G480)-MAX(AR480-Months_In_Year,0))/Months_In_Year</f>
        <v>1</v>
      </c>
      <c r="AS481" s="48" t="n">
        <f aca="false">MAX(0,MIN(AS480,$G480)-MAX(AS480-Months_In_Year,0))/Months_In_Year</f>
        <v>0.5</v>
      </c>
    </row>
    <row r="482" customFormat="false" ht="14.25" hidden="false" customHeight="false" outlineLevel="0" collapsed="false">
      <c r="C482" s="6" t="s">
        <v>295</v>
      </c>
      <c r="D482" s="2" t="s">
        <v>2</v>
      </c>
      <c r="J482" s="76" t="n">
        <f aca="false">N(J477=0)</f>
        <v>0</v>
      </c>
      <c r="K482" s="76" t="n">
        <f aca="false">N(K477=0)</f>
        <v>0</v>
      </c>
      <c r="L482" s="76" t="n">
        <f aca="false">N(L477=0)</f>
        <v>0</v>
      </c>
      <c r="M482" s="76" t="n">
        <f aca="false">N(M477=0)</f>
        <v>0</v>
      </c>
      <c r="N482" s="76" t="n">
        <f aca="false">N(N477=0)</f>
        <v>0</v>
      </c>
      <c r="O482" s="76" t="n">
        <f aca="false">N(O477=0)</f>
        <v>1</v>
      </c>
      <c r="P482" s="76" t="n">
        <f aca="false">N(P477=0)</f>
        <v>0</v>
      </c>
      <c r="Q482" s="76" t="n">
        <f aca="false">N(Q477=0)</f>
        <v>0</v>
      </c>
      <c r="R482" s="76" t="n">
        <f aca="false">N(R477=0)</f>
        <v>0</v>
      </c>
      <c r="S482" s="76" t="n">
        <f aca="false">N(S477=0)</f>
        <v>0</v>
      </c>
      <c r="T482" s="76" t="n">
        <f aca="false">N(T477=0)</f>
        <v>0</v>
      </c>
      <c r="U482" s="76" t="n">
        <f aca="false">N(U477=0)</f>
        <v>0</v>
      </c>
      <c r="V482" s="76" t="n">
        <f aca="false">N(V477=0)</f>
        <v>0</v>
      </c>
      <c r="W482" s="76" t="n">
        <f aca="false">N(W477=0)</f>
        <v>0</v>
      </c>
      <c r="X482" s="76" t="n">
        <f aca="false">N(X477=0)</f>
        <v>0</v>
      </c>
      <c r="Y482" s="76" t="n">
        <f aca="false">N(Y477=0)</f>
        <v>0</v>
      </c>
      <c r="Z482" s="76" t="n">
        <f aca="false">N(Z477=0)</f>
        <v>0</v>
      </c>
      <c r="AA482" s="76" t="n">
        <f aca="false">N(AA477=0)</f>
        <v>0</v>
      </c>
      <c r="AB482" s="76" t="n">
        <f aca="false">N(AB477=0)</f>
        <v>0</v>
      </c>
      <c r="AC482" s="76" t="n">
        <f aca="false">N(AC477=0)</f>
        <v>0</v>
      </c>
      <c r="AD482" s="76" t="n">
        <f aca="false">N(AD477=0)</f>
        <v>0</v>
      </c>
      <c r="AE482" s="76" t="n">
        <f aca="false">N(AE477=0)</f>
        <v>0</v>
      </c>
      <c r="AF482" s="76" t="n">
        <f aca="false">N(AF477=0)</f>
        <v>0</v>
      </c>
      <c r="AG482" s="76" t="n">
        <f aca="false">N(AG477=0)</f>
        <v>0</v>
      </c>
      <c r="AH482" s="76" t="n">
        <f aca="false">N(AH477=0)</f>
        <v>0</v>
      </c>
      <c r="AI482" s="76" t="n">
        <f aca="false">N(AI477=0)</f>
        <v>0</v>
      </c>
      <c r="AJ482" s="76" t="n">
        <f aca="false">N(AJ477=0)</f>
        <v>0</v>
      </c>
      <c r="AK482" s="76" t="n">
        <f aca="false">N(AK477=0)</f>
        <v>0</v>
      </c>
      <c r="AL482" s="76" t="n">
        <f aca="false">N(AL477=0)</f>
        <v>0</v>
      </c>
      <c r="AM482" s="76" t="n">
        <f aca="false">N(AM477=0)</f>
        <v>0</v>
      </c>
      <c r="AN482" s="76" t="n">
        <f aca="false">N(AN477=0)</f>
        <v>0</v>
      </c>
      <c r="AO482" s="76" t="n">
        <f aca="false">N(AO477=0)</f>
        <v>0</v>
      </c>
      <c r="AP482" s="76" t="n">
        <f aca="false">N(AP477=0)</f>
        <v>0</v>
      </c>
      <c r="AQ482" s="76" t="n">
        <f aca="false">N(AQ477=0)</f>
        <v>0</v>
      </c>
      <c r="AR482" s="76" t="n">
        <f aca="false">N(AR477=0)</f>
        <v>0</v>
      </c>
      <c r="AS482" s="76" t="n">
        <f aca="false">N(AS477=0)</f>
        <v>0</v>
      </c>
    </row>
    <row r="483" customFormat="false" ht="14.25" hidden="false" customHeight="false" outlineLevel="0" collapsed="false">
      <c r="C483" s="6" t="s">
        <v>296</v>
      </c>
      <c r="D483" s="2" t="s">
        <v>85</v>
      </c>
      <c r="H483" s="8" t="n">
        <f aca="false">SUM(J483:AS483)</f>
        <v>-14078.5797945205</v>
      </c>
      <c r="J483" s="8" t="n">
        <f aca="false">-($G$98+$G$68+$G$62+$G$63+$G$92)*(J$359=YEAR(Sale_Date))</f>
        <v>-0</v>
      </c>
      <c r="K483" s="8" t="n">
        <f aca="false">-($G$98+$G$68+$G$62+$G$63+$G$92)*(K$359=YEAR(Sale_Date))</f>
        <v>-0</v>
      </c>
      <c r="L483" s="8" t="n">
        <f aca="false">-($G$98+$G$68+$G$62+$G$63+$G$92)*(L$359=YEAR(Sale_Date))</f>
        <v>-0</v>
      </c>
      <c r="M483" s="8" t="n">
        <f aca="false">-($G$98+$G$68+$G$62+$G$63+$G$92)*(M$359=YEAR(Sale_Date))</f>
        <v>-14078.5797945205</v>
      </c>
      <c r="N483" s="8" t="n">
        <f aca="false">-($G$98+$G$68+$G$62+$G$63+$G$92)*(N$359=YEAR(Sale_Date))</f>
        <v>-0</v>
      </c>
      <c r="O483" s="8" t="n">
        <f aca="false">-($G$98+$G$68+$G$62+$G$63+$G$92)*(O$359=YEAR(Sale_Date))</f>
        <v>-0</v>
      </c>
      <c r="P483" s="8" t="n">
        <f aca="false">-($G$98+$G$68+$G$62+$G$63+$G$92)*(P$359=YEAR(Sale_Date))</f>
        <v>-0</v>
      </c>
      <c r="Q483" s="8" t="n">
        <f aca="false">-($G$98+$G$68+$G$62+$G$63+$G$92)*(Q$359=YEAR(Sale_Date))</f>
        <v>-0</v>
      </c>
      <c r="R483" s="8" t="n">
        <f aca="false">-($G$98+$G$68+$G$62+$G$63+$G$92)*(R$359=YEAR(Sale_Date))</f>
        <v>-0</v>
      </c>
      <c r="S483" s="8" t="n">
        <f aca="false">-($G$98+$G$68+$G$62+$G$63+$G$92)*(S$359=YEAR(Sale_Date))</f>
        <v>-0</v>
      </c>
      <c r="T483" s="8" t="n">
        <f aca="false">-($G$98+$G$68+$G$62+$G$63+$G$92)*(T$359=YEAR(Sale_Date))</f>
        <v>-0</v>
      </c>
      <c r="U483" s="8" t="n">
        <f aca="false">-($G$98+$G$68+$G$62+$G$63+$G$92)*(U$359=YEAR(Sale_Date))</f>
        <v>-0</v>
      </c>
      <c r="V483" s="8" t="n">
        <f aca="false">-($G$98+$G$68+$G$62+$G$63+$G$92)*(V$359=YEAR(Sale_Date))</f>
        <v>-0</v>
      </c>
      <c r="W483" s="8" t="n">
        <f aca="false">-($G$98+$G$68+$G$62+$G$63+$G$92)*(W$359=YEAR(Sale_Date))</f>
        <v>-0</v>
      </c>
      <c r="X483" s="8" t="n">
        <f aca="false">-($G$98+$G$68+$G$62+$G$63+$G$92)*(X$359=YEAR(Sale_Date))</f>
        <v>-0</v>
      </c>
      <c r="Y483" s="8" t="n">
        <f aca="false">-($G$98+$G$68+$G$62+$G$63+$G$92)*(Y$359=YEAR(Sale_Date))</f>
        <v>-0</v>
      </c>
      <c r="Z483" s="8" t="n">
        <f aca="false">-($G$98+$G$68+$G$62+$G$63+$G$92)*(Z$359=YEAR(Sale_Date))</f>
        <v>-0</v>
      </c>
      <c r="AA483" s="8" t="n">
        <f aca="false">-($G$98+$G$68+$G$62+$G$63+$G$92)*(AA$359=YEAR(Sale_Date))</f>
        <v>-0</v>
      </c>
      <c r="AB483" s="8" t="n">
        <f aca="false">-($G$98+$G$68+$G$62+$G$63+$G$92)*(AB$359=YEAR(Sale_Date))</f>
        <v>-0</v>
      </c>
      <c r="AC483" s="8" t="n">
        <f aca="false">-($G$98+$G$68+$G$62+$G$63+$G$92)*(AC$359=YEAR(Sale_Date))</f>
        <v>-0</v>
      </c>
      <c r="AD483" s="8" t="n">
        <f aca="false">-($G$98+$G$68+$G$62+$G$63+$G$92)*(AD$359=YEAR(Sale_Date))</f>
        <v>-0</v>
      </c>
      <c r="AE483" s="8" t="n">
        <f aca="false">-($G$98+$G$68+$G$62+$G$63+$G$92)*(AE$359=YEAR(Sale_Date))</f>
        <v>-0</v>
      </c>
      <c r="AF483" s="8" t="n">
        <f aca="false">-($G$98+$G$68+$G$62+$G$63+$G$92)*(AF$359=YEAR(Sale_Date))</f>
        <v>-0</v>
      </c>
      <c r="AG483" s="8" t="n">
        <f aca="false">-($G$98+$G$68+$G$62+$G$63+$G$92)*(AG$359=YEAR(Sale_Date))</f>
        <v>-0</v>
      </c>
      <c r="AH483" s="8" t="n">
        <f aca="false">-($G$98+$G$68+$G$62+$G$63+$G$92)*(AH$359=YEAR(Sale_Date))</f>
        <v>-0</v>
      </c>
      <c r="AI483" s="8" t="n">
        <f aca="false">-($G$98+$G$68+$G$62+$G$63+$G$92)*(AI$359=YEAR(Sale_Date))</f>
        <v>-0</v>
      </c>
      <c r="AJ483" s="8" t="n">
        <f aca="false">-($G$98+$G$68+$G$62+$G$63+$G$92)*(AJ$359=YEAR(Sale_Date))</f>
        <v>-0</v>
      </c>
      <c r="AK483" s="8" t="n">
        <f aca="false">-($G$98+$G$68+$G$62+$G$63+$G$92)*(AK$359=YEAR(Sale_Date))</f>
        <v>-0</v>
      </c>
      <c r="AL483" s="8" t="n">
        <f aca="false">-($G$98+$G$68+$G$62+$G$63+$G$92)*(AL$359=YEAR(Sale_Date))</f>
        <v>-0</v>
      </c>
      <c r="AM483" s="8" t="n">
        <f aca="false">-($G$98+$G$68+$G$62+$G$63+$G$92)*(AM$359=YEAR(Sale_Date))</f>
        <v>-0</v>
      </c>
      <c r="AN483" s="8" t="n">
        <f aca="false">-($G$98+$G$68+$G$62+$G$63+$G$92)*(AN$359=YEAR(Sale_Date))</f>
        <v>-0</v>
      </c>
      <c r="AO483" s="8" t="n">
        <f aca="false">-($G$98+$G$68+$G$62+$G$63+$G$92)*(AO$359=YEAR(Sale_Date))</f>
        <v>-0</v>
      </c>
      <c r="AP483" s="8" t="n">
        <f aca="false">-($G$98+$G$68+$G$62+$G$63+$G$92)*(AP$359=YEAR(Sale_Date))</f>
        <v>-0</v>
      </c>
      <c r="AQ483" s="8" t="n">
        <f aca="false">-($G$98+$G$68+$G$62+$G$63+$G$92)*(AQ$359=YEAR(Sale_Date))</f>
        <v>-0</v>
      </c>
      <c r="AR483" s="8" t="n">
        <f aca="false">-($G$98+$G$68+$G$62+$G$63+$G$92)*(AR$359=YEAR(Sale_Date))</f>
        <v>-0</v>
      </c>
      <c r="AS483" s="8" t="n">
        <f aca="false">-($G$98+$G$68+$G$62+$G$63+$G$92)*(AS$359=YEAR(Sale_Date))</f>
        <v>-0</v>
      </c>
    </row>
    <row r="484" customFormat="false" ht="14.25" hidden="false" customHeight="false" outlineLevel="0" collapsed="false">
      <c r="C484" s="6" t="s">
        <v>297</v>
      </c>
      <c r="D484" s="2" t="s">
        <v>85</v>
      </c>
      <c r="H484" s="8" t="n">
        <f aca="false">SUM(J484:AS484)</f>
        <v>2494.52054794521</v>
      </c>
      <c r="J484" s="8" t="n">
        <f aca="false">($G$62+$G$63)*(J$359=YEAR(Inputs!$G$27))</f>
        <v>0</v>
      </c>
      <c r="K484" s="8" t="n">
        <f aca="false">($G$62+$G$63)*(K$359=YEAR(Inputs!$G$27))</f>
        <v>0</v>
      </c>
      <c r="L484" s="8" t="n">
        <f aca="false">($G$62+$G$63)*(L$359=YEAR(Inputs!$G$27))</f>
        <v>0</v>
      </c>
      <c r="M484" s="8" t="n">
        <f aca="false">($G$62+$G$63)*(M$359=YEAR(Inputs!$G$27))</f>
        <v>0</v>
      </c>
      <c r="N484" s="8" t="n">
        <f aca="false">($G$62+$G$63)*(N$359=YEAR(Inputs!$G$27))</f>
        <v>0</v>
      </c>
      <c r="O484" s="8" t="n">
        <f aca="false">($G$62+$G$63)*(O$359=YEAR(Inputs!$G$27))</f>
        <v>0</v>
      </c>
      <c r="P484" s="8" t="n">
        <f aca="false">($G$62+$G$63)*(P$359=YEAR(Inputs!$G$27))</f>
        <v>0</v>
      </c>
      <c r="Q484" s="8" t="n">
        <f aca="false">($G$62+$G$63)*(Q$359=YEAR(Inputs!$G$27))</f>
        <v>2494.52054794521</v>
      </c>
      <c r="R484" s="8" t="n">
        <f aca="false">($G$62+$G$63)*(R$359=YEAR(Inputs!$G$27))</f>
        <v>0</v>
      </c>
      <c r="S484" s="8" t="n">
        <f aca="false">($G$62+$G$63)*(S$359=YEAR(Inputs!$G$27))</f>
        <v>0</v>
      </c>
      <c r="T484" s="8" t="n">
        <f aca="false">($G$62+$G$63)*(T$359=YEAR(Inputs!$G$27))</f>
        <v>0</v>
      </c>
      <c r="U484" s="8" t="n">
        <f aca="false">($G$62+$G$63)*(U$359=YEAR(Inputs!$G$27))</f>
        <v>0</v>
      </c>
      <c r="V484" s="8" t="n">
        <f aca="false">($G$62+$G$63)*(V$359=YEAR(Inputs!$G$27))</f>
        <v>0</v>
      </c>
      <c r="W484" s="8" t="n">
        <f aca="false">($G$62+$G$63)*(W$359=YEAR(Inputs!$G$27))</f>
        <v>0</v>
      </c>
      <c r="X484" s="8" t="n">
        <f aca="false">($G$62+$G$63)*(X$359=YEAR(Inputs!$G$27))</f>
        <v>0</v>
      </c>
      <c r="Y484" s="8" t="n">
        <f aca="false">($G$62+$G$63)*(Y$359=YEAR(Inputs!$G$27))</f>
        <v>0</v>
      </c>
      <c r="Z484" s="8" t="n">
        <f aca="false">($G$62+$G$63)*(Z$359=YEAR(Inputs!$G$27))</f>
        <v>0</v>
      </c>
      <c r="AA484" s="8" t="n">
        <f aca="false">($G$62+$G$63)*(AA$359=YEAR(Inputs!$G$27))</f>
        <v>0</v>
      </c>
      <c r="AB484" s="8" t="n">
        <f aca="false">($G$62+$G$63)*(AB$359=YEAR(Inputs!$G$27))</f>
        <v>0</v>
      </c>
      <c r="AC484" s="8" t="n">
        <f aca="false">($G$62+$G$63)*(AC$359=YEAR(Inputs!$G$27))</f>
        <v>0</v>
      </c>
      <c r="AD484" s="8" t="n">
        <f aca="false">($G$62+$G$63)*(AD$359=YEAR(Inputs!$G$27))</f>
        <v>0</v>
      </c>
      <c r="AE484" s="8" t="n">
        <f aca="false">($G$62+$G$63)*(AE$359=YEAR(Inputs!$G$27))</f>
        <v>0</v>
      </c>
      <c r="AF484" s="8" t="n">
        <f aca="false">($G$62+$G$63)*(AF$359=YEAR(Inputs!$G$27))</f>
        <v>0</v>
      </c>
      <c r="AG484" s="8" t="n">
        <f aca="false">($G$62+$G$63)*(AG$359=YEAR(Inputs!$G$27))</f>
        <v>0</v>
      </c>
      <c r="AH484" s="8" t="n">
        <f aca="false">($G$62+$G$63)*(AH$359=YEAR(Inputs!$G$27))</f>
        <v>0</v>
      </c>
      <c r="AI484" s="8" t="n">
        <f aca="false">($G$62+$G$63)*(AI$359=YEAR(Inputs!$G$27))</f>
        <v>0</v>
      </c>
      <c r="AJ484" s="8" t="n">
        <f aca="false">($G$62+$G$63)*(AJ$359=YEAR(Inputs!$G$27))</f>
        <v>0</v>
      </c>
      <c r="AK484" s="8" t="n">
        <f aca="false">($G$62+$G$63)*(AK$359=YEAR(Inputs!$G$27))</f>
        <v>0</v>
      </c>
      <c r="AL484" s="8" t="n">
        <f aca="false">($G$62+$G$63)*(AL$359=YEAR(Inputs!$G$27))</f>
        <v>0</v>
      </c>
      <c r="AM484" s="8" t="n">
        <f aca="false">($G$62+$G$63)*(AM$359=YEAR(Inputs!$G$27))</f>
        <v>0</v>
      </c>
      <c r="AN484" s="8" t="n">
        <f aca="false">($G$62+$G$63)*(AN$359=YEAR(Inputs!$G$27))</f>
        <v>0</v>
      </c>
      <c r="AO484" s="8" t="n">
        <f aca="false">($G$62+$G$63)*(AO$359=YEAR(Inputs!$G$27))</f>
        <v>0</v>
      </c>
      <c r="AP484" s="8" t="n">
        <f aca="false">($G$62+$G$63)*(AP$359=YEAR(Inputs!$G$27))</f>
        <v>0</v>
      </c>
      <c r="AQ484" s="8" t="n">
        <f aca="false">($G$62+$G$63)*(AQ$359=YEAR(Inputs!$G$27))</f>
        <v>0</v>
      </c>
      <c r="AR484" s="8" t="n">
        <f aca="false">($G$62+$G$63)*(AR$359=YEAR(Inputs!$G$27))</f>
        <v>0</v>
      </c>
      <c r="AS484" s="8" t="n">
        <f aca="false">($G$62+$G$63)*(AS$359=YEAR(Inputs!$G$27))</f>
        <v>0</v>
      </c>
    </row>
    <row r="485" customFormat="false" ht="14.25" hidden="false" customHeight="false" outlineLevel="0" collapsed="false">
      <c r="C485" s="6" t="s">
        <v>298</v>
      </c>
      <c r="D485" s="2" t="s">
        <v>85</v>
      </c>
      <c r="H485" s="8" t="n">
        <f aca="false">SUM(J485:AS485)</f>
        <v>-62716</v>
      </c>
      <c r="J485" s="8" t="n">
        <f aca="false">-$G$91*J479</f>
        <v>-0</v>
      </c>
      <c r="K485" s="8" t="n">
        <f aca="false">-$G$91*K479</f>
        <v>-0</v>
      </c>
      <c r="L485" s="8" t="n">
        <f aca="false">-$G$91*L479</f>
        <v>-0</v>
      </c>
      <c r="M485" s="8" t="n">
        <f aca="false">-$G$91*M479</f>
        <v>-15679</v>
      </c>
      <c r="N485" s="8" t="n">
        <f aca="false">-$G$91*N479</f>
        <v>-31358</v>
      </c>
      <c r="O485" s="8" t="n">
        <f aca="false">-$G$91*O479</f>
        <v>-15679</v>
      </c>
      <c r="P485" s="8" t="n">
        <f aca="false">-$G$91*P479</f>
        <v>-0</v>
      </c>
      <c r="Q485" s="8" t="n">
        <f aca="false">-$G$91*Q479</f>
        <v>-0</v>
      </c>
      <c r="R485" s="8" t="n">
        <f aca="false">-$G$91*R479</f>
        <v>-0</v>
      </c>
      <c r="S485" s="8" t="n">
        <f aca="false">-$G$91*S479</f>
        <v>-0</v>
      </c>
      <c r="T485" s="8" t="n">
        <f aca="false">-$G$91*T479</f>
        <v>-0</v>
      </c>
      <c r="U485" s="8" t="n">
        <f aca="false">-$G$91*U479</f>
        <v>-0</v>
      </c>
      <c r="V485" s="8" t="n">
        <f aca="false">-$G$91*V479</f>
        <v>-0</v>
      </c>
      <c r="W485" s="8" t="n">
        <f aca="false">-$G$91*W479</f>
        <v>-0</v>
      </c>
      <c r="X485" s="8" t="n">
        <f aca="false">-$G$91*X479</f>
        <v>-0</v>
      </c>
      <c r="Y485" s="8" t="n">
        <f aca="false">-$G$91*Y479</f>
        <v>-0</v>
      </c>
      <c r="Z485" s="8" t="n">
        <f aca="false">-$G$91*Z479</f>
        <v>-0</v>
      </c>
      <c r="AA485" s="8" t="n">
        <f aca="false">-$G$91*AA479</f>
        <v>-0</v>
      </c>
      <c r="AB485" s="8" t="n">
        <f aca="false">-$G$91*AB479</f>
        <v>-0</v>
      </c>
      <c r="AC485" s="8" t="n">
        <f aca="false">-$G$91*AC479</f>
        <v>-0</v>
      </c>
      <c r="AD485" s="8" t="n">
        <f aca="false">-$G$91*AD479</f>
        <v>-0</v>
      </c>
      <c r="AE485" s="8" t="n">
        <f aca="false">-$G$91*AE479</f>
        <v>-0</v>
      </c>
      <c r="AF485" s="8" t="n">
        <f aca="false">-$G$91*AF479</f>
        <v>-0</v>
      </c>
      <c r="AG485" s="8" t="n">
        <f aca="false">-$G$91*AG479</f>
        <v>-0</v>
      </c>
      <c r="AH485" s="8" t="n">
        <f aca="false">-$G$91*AH479</f>
        <v>-0</v>
      </c>
      <c r="AI485" s="8" t="n">
        <f aca="false">-$G$91*AI479</f>
        <v>-0</v>
      </c>
      <c r="AJ485" s="8" t="n">
        <f aca="false">-$G$91*AJ479</f>
        <v>-0</v>
      </c>
      <c r="AK485" s="8" t="n">
        <f aca="false">-$G$91*AK479</f>
        <v>-0</v>
      </c>
      <c r="AL485" s="8" t="n">
        <f aca="false">-$G$91*AL479</f>
        <v>-0</v>
      </c>
      <c r="AM485" s="8" t="n">
        <f aca="false">-$G$91*AM479</f>
        <v>-0</v>
      </c>
      <c r="AN485" s="8" t="n">
        <f aca="false">-$G$91*AN479</f>
        <v>-0</v>
      </c>
      <c r="AO485" s="8" t="n">
        <f aca="false">-$G$91*AO479</f>
        <v>-0</v>
      </c>
      <c r="AP485" s="8" t="n">
        <f aca="false">-$G$91*AP479</f>
        <v>-0</v>
      </c>
      <c r="AQ485" s="8" t="n">
        <f aca="false">-$G$91*AQ479</f>
        <v>-0</v>
      </c>
      <c r="AR485" s="8" t="n">
        <f aca="false">-$G$91*AR479</f>
        <v>-0</v>
      </c>
      <c r="AS485" s="8" t="n">
        <f aca="false">-$G$91*AS479</f>
        <v>-0</v>
      </c>
    </row>
    <row r="486" customFormat="false" ht="14.25" hidden="false" customHeight="false" outlineLevel="0" collapsed="false">
      <c r="C486" s="6" t="s">
        <v>299</v>
      </c>
      <c r="D486" s="2" t="s">
        <v>85</v>
      </c>
      <c r="H486" s="8" t="n">
        <f aca="false">SUM(J486:AS486)</f>
        <v>-2500</v>
      </c>
      <c r="J486" s="8" t="n">
        <f aca="false">-$G$96*J482</f>
        <v>-0</v>
      </c>
      <c r="K486" s="8" t="n">
        <f aca="false">-$G$96*K482</f>
        <v>-0</v>
      </c>
      <c r="L486" s="8" t="n">
        <f aca="false">-$G$96*L482</f>
        <v>-0</v>
      </c>
      <c r="M486" s="8" t="n">
        <f aca="false">-$G$96*M482</f>
        <v>-0</v>
      </c>
      <c r="N486" s="8" t="n">
        <f aca="false">-$G$96*N482</f>
        <v>-0</v>
      </c>
      <c r="O486" s="8" t="n">
        <f aca="false">-$G$96*O482</f>
        <v>-2500</v>
      </c>
      <c r="P486" s="8" t="n">
        <f aca="false">-$G$96*P482</f>
        <v>-0</v>
      </c>
      <c r="Q486" s="8" t="n">
        <f aca="false">-$G$96*Q482</f>
        <v>-0</v>
      </c>
      <c r="R486" s="8" t="n">
        <f aca="false">-$G$96*R482</f>
        <v>-0</v>
      </c>
      <c r="S486" s="8" t="n">
        <f aca="false">-$G$96*S482</f>
        <v>-0</v>
      </c>
      <c r="T486" s="8" t="n">
        <f aca="false">-$G$96*T482</f>
        <v>-0</v>
      </c>
      <c r="U486" s="8" t="n">
        <f aca="false">-$G$96*U482</f>
        <v>-0</v>
      </c>
      <c r="V486" s="8" t="n">
        <f aca="false">-$G$96*V482</f>
        <v>-0</v>
      </c>
      <c r="W486" s="8" t="n">
        <f aca="false">-$G$96*W482</f>
        <v>-0</v>
      </c>
      <c r="X486" s="8" t="n">
        <f aca="false">-$G$96*X482</f>
        <v>-0</v>
      </c>
      <c r="Y486" s="8" t="n">
        <f aca="false">-$G$96*Y482</f>
        <v>-0</v>
      </c>
      <c r="Z486" s="8" t="n">
        <f aca="false">-$G$96*Z482</f>
        <v>-0</v>
      </c>
      <c r="AA486" s="8" t="n">
        <f aca="false">-$G$96*AA482</f>
        <v>-0</v>
      </c>
      <c r="AB486" s="8" t="n">
        <f aca="false">-$G$96*AB482</f>
        <v>-0</v>
      </c>
      <c r="AC486" s="8" t="n">
        <f aca="false">-$G$96*AC482</f>
        <v>-0</v>
      </c>
      <c r="AD486" s="8" t="n">
        <f aca="false">-$G$96*AD482</f>
        <v>-0</v>
      </c>
      <c r="AE486" s="8" t="n">
        <f aca="false">-$G$96*AE482</f>
        <v>-0</v>
      </c>
      <c r="AF486" s="8" t="n">
        <f aca="false">-$G$96*AF482</f>
        <v>-0</v>
      </c>
      <c r="AG486" s="8" t="n">
        <f aca="false">-$G$96*AG482</f>
        <v>-0</v>
      </c>
      <c r="AH486" s="8" t="n">
        <f aca="false">-$G$96*AH482</f>
        <v>-0</v>
      </c>
      <c r="AI486" s="8" t="n">
        <f aca="false">-$G$96*AI482</f>
        <v>-0</v>
      </c>
      <c r="AJ486" s="8" t="n">
        <f aca="false">-$G$96*AJ482</f>
        <v>-0</v>
      </c>
      <c r="AK486" s="8" t="n">
        <f aca="false">-$G$96*AK482</f>
        <v>-0</v>
      </c>
      <c r="AL486" s="8" t="n">
        <f aca="false">-$G$96*AL482</f>
        <v>-0</v>
      </c>
      <c r="AM486" s="8" t="n">
        <f aca="false">-$G$96*AM482</f>
        <v>-0</v>
      </c>
      <c r="AN486" s="8" t="n">
        <f aca="false">-$G$96*AN482</f>
        <v>-0</v>
      </c>
      <c r="AO486" s="8" t="n">
        <f aca="false">-$G$96*AO482</f>
        <v>-0</v>
      </c>
      <c r="AP486" s="8" t="n">
        <f aca="false">-$G$96*AP482</f>
        <v>-0</v>
      </c>
      <c r="AQ486" s="8" t="n">
        <f aca="false">-$G$96*AQ482</f>
        <v>-0</v>
      </c>
      <c r="AR486" s="8" t="n">
        <f aca="false">-$G$96*AR482</f>
        <v>-0</v>
      </c>
      <c r="AS486" s="8" t="n">
        <f aca="false">-$G$96*AS482</f>
        <v>-0</v>
      </c>
    </row>
    <row r="487" customFormat="false" ht="14.25" hidden="false" customHeight="false" outlineLevel="0" collapsed="false">
      <c r="C487" s="1" t="s">
        <v>300</v>
      </c>
      <c r="D487" s="2" t="s">
        <v>85</v>
      </c>
      <c r="H487" s="15" t="n">
        <f aca="false">SUM(J487:AS487)</f>
        <v>-76800.0592465753</v>
      </c>
      <c r="J487" s="15" t="n">
        <f aca="false">SUM(J483:J486)</f>
        <v>0</v>
      </c>
      <c r="K487" s="15" t="n">
        <f aca="false">SUM(K483:K486)</f>
        <v>0</v>
      </c>
      <c r="L487" s="15" t="n">
        <f aca="false">SUM(L483:L486)</f>
        <v>0</v>
      </c>
      <c r="M487" s="15" t="n">
        <f aca="false">SUM(M483:M486)</f>
        <v>-29757.5797945206</v>
      </c>
      <c r="N487" s="15" t="n">
        <f aca="false">SUM(N483:N486)</f>
        <v>-31358</v>
      </c>
      <c r="O487" s="15" t="n">
        <f aca="false">SUM(O483:O486)</f>
        <v>-18179</v>
      </c>
      <c r="P487" s="15" t="n">
        <f aca="false">SUM(P483:P486)</f>
        <v>0</v>
      </c>
      <c r="Q487" s="15" t="n">
        <f aca="false">SUM(Q483:Q486)</f>
        <v>2494.52054794521</v>
      </c>
      <c r="R487" s="15" t="n">
        <f aca="false">SUM(R483:R486)</f>
        <v>0</v>
      </c>
      <c r="S487" s="15" t="n">
        <f aca="false">SUM(S483:S486)</f>
        <v>0</v>
      </c>
      <c r="T487" s="15" t="n">
        <f aca="false">SUM(T483:T486)</f>
        <v>0</v>
      </c>
      <c r="U487" s="15" t="n">
        <f aca="false">SUM(U483:U486)</f>
        <v>0</v>
      </c>
      <c r="V487" s="15" t="n">
        <f aca="false">SUM(V483:V486)</f>
        <v>0</v>
      </c>
      <c r="W487" s="15" t="n">
        <f aca="false">SUM(W483:W486)</f>
        <v>0</v>
      </c>
      <c r="X487" s="15" t="n">
        <f aca="false">SUM(X483:X486)</f>
        <v>0</v>
      </c>
      <c r="Y487" s="15" t="n">
        <f aca="false">SUM(Y483:Y486)</f>
        <v>0</v>
      </c>
      <c r="Z487" s="15" t="n">
        <f aca="false">SUM(Z483:Z486)</f>
        <v>0</v>
      </c>
      <c r="AA487" s="15" t="n">
        <f aca="false">SUM(AA483:AA486)</f>
        <v>0</v>
      </c>
      <c r="AB487" s="15" t="n">
        <f aca="false">SUM(AB483:AB486)</f>
        <v>0</v>
      </c>
      <c r="AC487" s="15" t="n">
        <f aca="false">SUM(AC483:AC486)</f>
        <v>0</v>
      </c>
      <c r="AD487" s="15" t="n">
        <f aca="false">SUM(AD483:AD486)</f>
        <v>0</v>
      </c>
      <c r="AE487" s="15" t="n">
        <f aca="false">SUM(AE483:AE486)</f>
        <v>0</v>
      </c>
      <c r="AF487" s="15" t="n">
        <f aca="false">SUM(AF483:AF486)</f>
        <v>0</v>
      </c>
      <c r="AG487" s="15" t="n">
        <f aca="false">SUM(AG483:AG486)</f>
        <v>0</v>
      </c>
      <c r="AH487" s="15" t="n">
        <f aca="false">SUM(AH483:AH486)</f>
        <v>0</v>
      </c>
      <c r="AI487" s="15" t="n">
        <f aca="false">SUM(AI483:AI486)</f>
        <v>0</v>
      </c>
      <c r="AJ487" s="15" t="n">
        <f aca="false">SUM(AJ483:AJ486)</f>
        <v>0</v>
      </c>
      <c r="AK487" s="15" t="n">
        <f aca="false">SUM(AK483:AK486)</f>
        <v>0</v>
      </c>
      <c r="AL487" s="15" t="n">
        <f aca="false">SUM(AL483:AL486)</f>
        <v>0</v>
      </c>
      <c r="AM487" s="15" t="n">
        <f aca="false">SUM(AM483:AM486)</f>
        <v>0</v>
      </c>
      <c r="AN487" s="15" t="n">
        <f aca="false">SUM(AN483:AN486)</f>
        <v>0</v>
      </c>
      <c r="AO487" s="15" t="n">
        <f aca="false">SUM(AO483:AO486)</f>
        <v>0</v>
      </c>
      <c r="AP487" s="15" t="n">
        <f aca="false">SUM(AP483:AP486)</f>
        <v>0</v>
      </c>
      <c r="AQ487" s="15" t="n">
        <f aca="false">SUM(AQ483:AQ486)</f>
        <v>0</v>
      </c>
      <c r="AR487" s="15" t="n">
        <f aca="false">SUM(AR483:AR486)</f>
        <v>0</v>
      </c>
      <c r="AS487" s="15" t="n">
        <f aca="false">SUM(AS483:AS486)</f>
        <v>0</v>
      </c>
    </row>
    <row r="488" customFormat="false" ht="14.25" hidden="false" customHeight="false" outlineLevel="0" collapsed="false">
      <c r="C488" s="6" t="s">
        <v>301</v>
      </c>
      <c r="D488" s="2" t="s">
        <v>3</v>
      </c>
      <c r="J488" s="77" t="n">
        <f aca="false">(1-Degradation)^MAX(J477-1,0)</f>
        <v>1</v>
      </c>
      <c r="K488" s="77" t="n">
        <f aca="false">(1-Degradation)^MAX(K477-1,0)</f>
        <v>1</v>
      </c>
      <c r="L488" s="77" t="n">
        <f aca="false">(1-Degradation)^MAX(L477-1,0)</f>
        <v>1</v>
      </c>
      <c r="M488" s="77" t="n">
        <f aca="false">(1-Degradation)^MAX(M477-1,0)</f>
        <v>1</v>
      </c>
      <c r="N488" s="77" t="n">
        <f aca="false">(1-Degradation)^MAX(N477-1,0)</f>
        <v>1</v>
      </c>
      <c r="O488" s="77" t="n">
        <f aca="false">(1-Degradation)^MAX(O477-1,0)</f>
        <v>1</v>
      </c>
      <c r="P488" s="77" t="n">
        <f aca="false">(1-Degradation)^MAX(P477-1,0)</f>
        <v>1</v>
      </c>
      <c r="Q488" s="77" t="n">
        <f aca="false">(1-Degradation)^MAX(Q477-1,0)</f>
        <v>0.997</v>
      </c>
      <c r="R488" s="77" t="n">
        <f aca="false">(1-Degradation)^MAX(R477-1,0)</f>
        <v>0.994009</v>
      </c>
      <c r="S488" s="77" t="n">
        <f aca="false">(1-Degradation)^MAX(S477-1,0)</f>
        <v>0.991026973</v>
      </c>
      <c r="T488" s="77" t="n">
        <f aca="false">(1-Degradation)^MAX(T477-1,0)</f>
        <v>0.988053892081</v>
      </c>
      <c r="U488" s="77" t="n">
        <f aca="false">(1-Degradation)^MAX(U477-1,0)</f>
        <v>0.985089730404757</v>
      </c>
      <c r="V488" s="77" t="n">
        <f aca="false">(1-Degradation)^MAX(V477-1,0)</f>
        <v>0.982134461213543</v>
      </c>
      <c r="W488" s="77" t="n">
        <f aca="false">(1-Degradation)^MAX(W477-1,0)</f>
        <v>0.979188057829902</v>
      </c>
      <c r="X488" s="77" t="n">
        <f aca="false">(1-Degradation)^MAX(X477-1,0)</f>
        <v>0.976250493656412</v>
      </c>
      <c r="Y488" s="77" t="n">
        <f aca="false">(1-Degradation)^MAX(Y477-1,0)</f>
        <v>0.973321742175443</v>
      </c>
      <c r="Z488" s="77" t="n">
        <f aca="false">(1-Degradation)^MAX(Z477-1,0)</f>
        <v>0.970401776948917</v>
      </c>
      <c r="AA488" s="77" t="n">
        <f aca="false">(1-Degradation)^MAX(AA477-1,0)</f>
        <v>0.96749057161807</v>
      </c>
      <c r="AB488" s="77" t="n">
        <f aca="false">(1-Degradation)^MAX(AB477-1,0)</f>
        <v>0.964588099903216</v>
      </c>
      <c r="AC488" s="77" t="n">
        <f aca="false">(1-Degradation)^MAX(AC477-1,0)</f>
        <v>0.961694335603506</v>
      </c>
      <c r="AD488" s="77" t="n">
        <f aca="false">(1-Degradation)^MAX(AD477-1,0)</f>
        <v>0.958809252596696</v>
      </c>
      <c r="AE488" s="77" t="n">
        <f aca="false">(1-Degradation)^MAX(AE477-1,0)</f>
        <v>0.955932824838906</v>
      </c>
      <c r="AF488" s="77" t="n">
        <f aca="false">(1-Degradation)^MAX(AF477-1,0)</f>
        <v>0.953065026364389</v>
      </c>
      <c r="AG488" s="77" t="n">
        <f aca="false">(1-Degradation)^MAX(AG477-1,0)</f>
        <v>0.950205831285296</v>
      </c>
      <c r="AH488" s="77" t="n">
        <f aca="false">(1-Degradation)^MAX(AH477-1,0)</f>
        <v>0.94735521379144</v>
      </c>
      <c r="AI488" s="77" t="n">
        <f aca="false">(1-Degradation)^MAX(AI477-1,0)</f>
        <v>0.944513148150066</v>
      </c>
      <c r="AJ488" s="77" t="n">
        <f aca="false">(1-Degradation)^MAX(AJ477-1,0)</f>
        <v>0.941679608705615</v>
      </c>
      <c r="AK488" s="77" t="n">
        <f aca="false">(1-Degradation)^MAX(AK477-1,0)</f>
        <v>0.938854569879498</v>
      </c>
      <c r="AL488" s="77" t="n">
        <f aca="false">(1-Degradation)^MAX(AL477-1,0)</f>
        <v>0.93603800616986</v>
      </c>
      <c r="AM488" s="77" t="n">
        <f aca="false">(1-Degradation)^MAX(AM477-1,0)</f>
        <v>0.93322989215135</v>
      </c>
      <c r="AN488" s="77" t="n">
        <f aca="false">(1-Degradation)^MAX(AN477-1,0)</f>
        <v>0.930430202474896</v>
      </c>
      <c r="AO488" s="77" t="n">
        <f aca="false">(1-Degradation)^MAX(AO477-1,0)</f>
        <v>0.927638911867472</v>
      </c>
      <c r="AP488" s="77" t="n">
        <f aca="false">(1-Degradation)^MAX(AP477-1,0)</f>
        <v>0.924855995131869</v>
      </c>
      <c r="AQ488" s="77" t="n">
        <f aca="false">(1-Degradation)^MAX(AQ477-1,0)</f>
        <v>0.922081427146474</v>
      </c>
      <c r="AR488" s="77" t="n">
        <f aca="false">(1-Degradation)^MAX(AR477-1,0)</f>
        <v>0.919315182865034</v>
      </c>
      <c r="AS488" s="77" t="n">
        <f aca="false">(1-Degradation)^MAX(AS477-1,0)</f>
        <v>0.916557237316439</v>
      </c>
    </row>
    <row r="489" customFormat="false" ht="14.25" hidden="false" customHeight="false" outlineLevel="0" collapsed="false">
      <c r="C489" s="6" t="s">
        <v>302</v>
      </c>
      <c r="D489" s="2" t="s">
        <v>303</v>
      </c>
      <c r="H489" s="17" t="n">
        <f aca="false">SUM(J489:AS489)</f>
        <v>4263.39882706474</v>
      </c>
      <c r="J489" s="17" t="n">
        <f aca="false">$G$46*$G$22*(1-Curtailment)*(1-Clipping)*J481*J488/Thousand</f>
        <v>0</v>
      </c>
      <c r="K489" s="17" t="n">
        <f aca="false">$G$46*$G$22*(1-Curtailment)*(1-Clipping)*K481*K488/Thousand</f>
        <v>0</v>
      </c>
      <c r="L489" s="17" t="n">
        <f aca="false">$G$46*$G$22*(1-Curtailment)*(1-Clipping)*L481*L488/Thousand</f>
        <v>0</v>
      </c>
      <c r="M489" s="17" t="n">
        <f aca="false">$G$46*$G$22*(1-Curtailment)*(1-Clipping)*M481*M488/Thousand</f>
        <v>0</v>
      </c>
      <c r="N489" s="17" t="n">
        <f aca="false">$G$46*$G$22*(1-Curtailment)*(1-Clipping)*N481*N488/Thousand</f>
        <v>0</v>
      </c>
      <c r="O489" s="17" t="n">
        <f aca="false">$G$46*$G$22*(1-Curtailment)*(1-Clipping)*O481*O488/Thousand</f>
        <v>74.088</v>
      </c>
      <c r="P489" s="17" t="n">
        <f aca="false">$G$46*$G$22*(1-Curtailment)*(1-Clipping)*P481*P488/Thousand</f>
        <v>148.176</v>
      </c>
      <c r="Q489" s="17" t="n">
        <f aca="false">$G$46*$G$22*(1-Curtailment)*(1-Clipping)*Q481*Q488/Thousand</f>
        <v>147.731472</v>
      </c>
      <c r="R489" s="17" t="n">
        <f aca="false">$G$46*$G$22*(1-Curtailment)*(1-Clipping)*R481*R488/Thousand</f>
        <v>147.288277584</v>
      </c>
      <c r="S489" s="17" t="n">
        <f aca="false">$G$46*$G$22*(1-Curtailment)*(1-Clipping)*S481*S488/Thousand</f>
        <v>146.846412751248</v>
      </c>
      <c r="T489" s="17" t="n">
        <f aca="false">$G$46*$G$22*(1-Curtailment)*(1-Clipping)*T481*T488/Thousand</f>
        <v>146.405873512994</v>
      </c>
      <c r="U489" s="17" t="n">
        <f aca="false">$G$46*$G$22*(1-Curtailment)*(1-Clipping)*U481*U488/Thousand</f>
        <v>145.966655892455</v>
      </c>
      <c r="V489" s="17" t="n">
        <f aca="false">$G$46*$G$22*(1-Curtailment)*(1-Clipping)*V481*V488/Thousand</f>
        <v>145.528755924778</v>
      </c>
      <c r="W489" s="17" t="n">
        <f aca="false">$G$46*$G$22*(1-Curtailment)*(1-Clipping)*W481*W488/Thousand</f>
        <v>145.092169657004</v>
      </c>
      <c r="X489" s="17" t="n">
        <f aca="false">$G$46*$G$22*(1-Curtailment)*(1-Clipping)*X481*X488/Thousand</f>
        <v>144.656893148033</v>
      </c>
      <c r="Y489" s="17" t="n">
        <f aca="false">$G$46*$G$22*(1-Curtailment)*(1-Clipping)*Y481*Y488/Thousand</f>
        <v>144.222922468588</v>
      </c>
      <c r="Z489" s="17" t="n">
        <f aca="false">$G$46*$G$22*(1-Curtailment)*(1-Clipping)*Z481*Z488/Thousand</f>
        <v>143.790253701183</v>
      </c>
      <c r="AA489" s="17" t="n">
        <f aca="false">$G$46*$G$22*(1-Curtailment)*(1-Clipping)*AA481*AA488/Thousand</f>
        <v>143.358882940079</v>
      </c>
      <c r="AB489" s="17" t="n">
        <f aca="false">$G$46*$G$22*(1-Curtailment)*(1-Clipping)*AB481*AB488/Thousand</f>
        <v>142.928806291259</v>
      </c>
      <c r="AC489" s="17" t="n">
        <f aca="false">$G$46*$G$22*(1-Curtailment)*(1-Clipping)*AC481*AC488/Thousand</f>
        <v>142.500019872385</v>
      </c>
      <c r="AD489" s="17" t="n">
        <f aca="false">$G$46*$G$22*(1-Curtailment)*(1-Clipping)*AD481*AD488/Thousand</f>
        <v>142.072519812768</v>
      </c>
      <c r="AE489" s="17" t="n">
        <f aca="false">$G$46*$G$22*(1-Curtailment)*(1-Clipping)*AE481*AE488/Thousand</f>
        <v>141.64630225333</v>
      </c>
      <c r="AF489" s="17" t="n">
        <f aca="false">$G$46*$G$22*(1-Curtailment)*(1-Clipping)*AF481*AF488/Thousand</f>
        <v>141.22136334657</v>
      </c>
      <c r="AG489" s="17" t="n">
        <f aca="false">$G$46*$G$22*(1-Curtailment)*(1-Clipping)*AG481*AG488/Thousand</f>
        <v>140.79769925653</v>
      </c>
      <c r="AH489" s="17" t="n">
        <f aca="false">$G$46*$G$22*(1-Curtailment)*(1-Clipping)*AH481*AH488/Thousand</f>
        <v>140.37530615876</v>
      </c>
      <c r="AI489" s="17" t="n">
        <f aca="false">$G$46*$G$22*(1-Curtailment)*(1-Clipping)*AI481*AI488/Thousand</f>
        <v>139.954180240284</v>
      </c>
      <c r="AJ489" s="17" t="n">
        <f aca="false">$G$46*$G$22*(1-Curtailment)*(1-Clipping)*AJ481*AJ488/Thousand</f>
        <v>139.534317699563</v>
      </c>
      <c r="AK489" s="17" t="n">
        <f aca="false">$G$46*$G$22*(1-Curtailment)*(1-Clipping)*AK481*AK488/Thousand</f>
        <v>139.115714746465</v>
      </c>
      <c r="AL489" s="17" t="n">
        <f aca="false">$G$46*$G$22*(1-Curtailment)*(1-Clipping)*AL481*AL488/Thousand</f>
        <v>138.698367602225</v>
      </c>
      <c r="AM489" s="17" t="n">
        <f aca="false">$G$46*$G$22*(1-Curtailment)*(1-Clipping)*AM481*AM488/Thousand</f>
        <v>138.282272499419</v>
      </c>
      <c r="AN489" s="17" t="n">
        <f aca="false">$G$46*$G$22*(1-Curtailment)*(1-Clipping)*AN481*AN488/Thousand</f>
        <v>137.86742568192</v>
      </c>
      <c r="AO489" s="17" t="n">
        <f aca="false">$G$46*$G$22*(1-Curtailment)*(1-Clipping)*AO481*AO488/Thousand</f>
        <v>137.453823404874</v>
      </c>
      <c r="AP489" s="17" t="n">
        <f aca="false">$G$46*$G$22*(1-Curtailment)*(1-Clipping)*AP481*AP488/Thousand</f>
        <v>137.04146193466</v>
      </c>
      <c r="AQ489" s="17" t="n">
        <f aca="false">$G$46*$G$22*(1-Curtailment)*(1-Clipping)*AQ481*AQ488/Thousand</f>
        <v>136.630337548856</v>
      </c>
      <c r="AR489" s="17" t="n">
        <f aca="false">$G$46*$G$22*(1-Curtailment)*(1-Clipping)*AR481*AR488/Thousand</f>
        <v>136.220446536209</v>
      </c>
      <c r="AS489" s="17" t="n">
        <f aca="false">$G$46*$G$22*(1-Curtailment)*(1-Clipping)*AS481*AS488/Thousand</f>
        <v>67.9058925983003</v>
      </c>
    </row>
    <row r="490" customFormat="false" ht="14.25" hidden="false" customHeight="false" outlineLevel="0" collapsed="false">
      <c r="C490" s="6" t="s">
        <v>304</v>
      </c>
      <c r="D490" s="2" t="s">
        <v>20</v>
      </c>
      <c r="J490" s="17" t="n">
        <f aca="false">Case_PPA*(1+PPA_Esc)^J477*(J481&gt;0)</f>
        <v>0</v>
      </c>
      <c r="K490" s="17" t="n">
        <f aca="false">Case_PPA*(1+PPA_Esc)^K477*(K481&gt;0)</f>
        <v>0</v>
      </c>
      <c r="L490" s="17" t="n">
        <f aca="false">Case_PPA*(1+PPA_Esc)^L477*(L481&gt;0)</f>
        <v>0</v>
      </c>
      <c r="M490" s="17" t="n">
        <f aca="false">Case_PPA*(1+PPA_Esc)^M477*(M481&gt;0)</f>
        <v>0</v>
      </c>
      <c r="N490" s="17" t="n">
        <f aca="false">Case_PPA*(1+PPA_Esc)^N477*(N481&gt;0)</f>
        <v>0</v>
      </c>
      <c r="O490" s="17" t="n">
        <f aca="false">Case_PPA*(1+PPA_Esc)^O477*(O481&gt;0)</f>
        <v>90</v>
      </c>
      <c r="P490" s="17" t="n">
        <f aca="false">Case_PPA*(1+PPA_Esc)^P477*(P481&gt;0)</f>
        <v>90.9</v>
      </c>
      <c r="Q490" s="17" t="n">
        <f aca="false">Case_PPA*(1+PPA_Esc)^Q477*(Q481&gt;0)</f>
        <v>91.809</v>
      </c>
      <c r="R490" s="17" t="n">
        <f aca="false">Case_PPA*(1+PPA_Esc)^R477*(R481&gt;0)</f>
        <v>92.72709</v>
      </c>
      <c r="S490" s="17" t="n">
        <f aca="false">Case_PPA*(1+PPA_Esc)^S477*(S481&gt;0)</f>
        <v>93.6543609</v>
      </c>
      <c r="T490" s="17" t="n">
        <f aca="false">Case_PPA*(1+PPA_Esc)^T477*(T481&gt;0)</f>
        <v>94.590904509</v>
      </c>
      <c r="U490" s="17" t="n">
        <f aca="false">Case_PPA*(1+PPA_Esc)^U477*(U481&gt;0)</f>
        <v>95.53681355409</v>
      </c>
      <c r="V490" s="17" t="n">
        <f aca="false">Case_PPA*(1+PPA_Esc)^V477*(V481&gt;0)</f>
        <v>96.4921816896309</v>
      </c>
      <c r="W490" s="17" t="n">
        <f aca="false">Case_PPA*(1+PPA_Esc)^W477*(W481&gt;0)</f>
        <v>97.4571035065272</v>
      </c>
      <c r="X490" s="17" t="n">
        <f aca="false">Case_PPA*(1+PPA_Esc)^X477*(X481&gt;0)</f>
        <v>98.4316745415925</v>
      </c>
      <c r="Y490" s="17" t="n">
        <f aca="false">Case_PPA*(1+PPA_Esc)^Y477*(Y481&gt;0)</f>
        <v>99.4159912870084</v>
      </c>
      <c r="Z490" s="17" t="n">
        <f aca="false">Case_PPA*(1+PPA_Esc)^Z477*(Z481&gt;0)</f>
        <v>100.410151199878</v>
      </c>
      <c r="AA490" s="17" t="n">
        <f aca="false">Case_PPA*(1+PPA_Esc)^AA477*(AA481&gt;0)</f>
        <v>101.414252711877</v>
      </c>
      <c r="AB490" s="17" t="n">
        <f aca="false">Case_PPA*(1+PPA_Esc)^AB477*(AB481&gt;0)</f>
        <v>102.428395238996</v>
      </c>
      <c r="AC490" s="17" t="n">
        <f aca="false">Case_PPA*(1+PPA_Esc)^AC477*(AC481&gt;0)</f>
        <v>103.452679191386</v>
      </c>
      <c r="AD490" s="17" t="n">
        <f aca="false">Case_PPA*(1+PPA_Esc)^AD477*(AD481&gt;0)</f>
        <v>104.4872059833</v>
      </c>
      <c r="AE490" s="17" t="n">
        <f aca="false">Case_PPA*(1+PPA_Esc)^AE477*(AE481&gt;0)</f>
        <v>105.532078043133</v>
      </c>
      <c r="AF490" s="17" t="n">
        <f aca="false">Case_PPA*(1+PPA_Esc)^AF477*(AF481&gt;0)</f>
        <v>106.587398823564</v>
      </c>
      <c r="AG490" s="17" t="n">
        <f aca="false">Case_PPA*(1+PPA_Esc)^AG477*(AG481&gt;0)</f>
        <v>107.6532728118</v>
      </c>
      <c r="AH490" s="17" t="n">
        <f aca="false">Case_PPA*(1+PPA_Esc)^AH477*(AH481&gt;0)</f>
        <v>108.729805539918</v>
      </c>
      <c r="AI490" s="17" t="n">
        <f aca="false">Case_PPA*(1+PPA_Esc)^AI477*(AI481&gt;0)</f>
        <v>109.817103595317</v>
      </c>
      <c r="AJ490" s="17" t="n">
        <f aca="false">Case_PPA*(1+PPA_Esc)^AJ477*(AJ481&gt;0)</f>
        <v>110.91527463127</v>
      </c>
      <c r="AK490" s="17" t="n">
        <f aca="false">Case_PPA*(1+PPA_Esc)^AK477*(AK481&gt;0)</f>
        <v>112.024427377583</v>
      </c>
      <c r="AL490" s="17" t="n">
        <f aca="false">Case_PPA*(1+PPA_Esc)^AL477*(AL481&gt;0)</f>
        <v>113.144671651359</v>
      </c>
      <c r="AM490" s="17" t="n">
        <f aca="false">Case_PPA*(1+PPA_Esc)^AM477*(AM481&gt;0)</f>
        <v>114.276118367872</v>
      </c>
      <c r="AN490" s="17" t="n">
        <f aca="false">Case_PPA*(1+PPA_Esc)^AN477*(AN481&gt;0)</f>
        <v>115.418879551551</v>
      </c>
      <c r="AO490" s="17" t="n">
        <f aca="false">Case_PPA*(1+PPA_Esc)^AO477*(AO481&gt;0)</f>
        <v>116.573068347067</v>
      </c>
      <c r="AP490" s="17" t="n">
        <f aca="false">Case_PPA*(1+PPA_Esc)^AP477*(AP481&gt;0)</f>
        <v>117.738799030537</v>
      </c>
      <c r="AQ490" s="17" t="n">
        <f aca="false">Case_PPA*(1+PPA_Esc)^AQ477*(AQ481&gt;0)</f>
        <v>118.916187020843</v>
      </c>
      <c r="AR490" s="17" t="n">
        <f aca="false">Case_PPA*(1+PPA_Esc)^AR477*(AR481&gt;0)</f>
        <v>120.105348891051</v>
      </c>
      <c r="AS490" s="17" t="n">
        <f aca="false">Case_PPA*(1+PPA_Esc)^AS477*(AS481&gt;0)</f>
        <v>121.306402379962</v>
      </c>
    </row>
    <row r="491" customFormat="false" ht="14.25" hidden="false" customHeight="false" outlineLevel="0" collapsed="false">
      <c r="C491" s="1" t="s">
        <v>158</v>
      </c>
      <c r="D491" s="2" t="s">
        <v>85</v>
      </c>
      <c r="H491" s="32" t="n">
        <f aca="false">SUM(J491:AS491)</f>
        <v>446130.685729454</v>
      </c>
      <c r="J491" s="32" t="n">
        <f aca="false">J489*J490</f>
        <v>0</v>
      </c>
      <c r="K491" s="32" t="n">
        <f aca="false">K489*K490</f>
        <v>0</v>
      </c>
      <c r="L491" s="32" t="n">
        <f aca="false">L489*L490</f>
        <v>0</v>
      </c>
      <c r="M491" s="32" t="n">
        <f aca="false">M489*M490</f>
        <v>0</v>
      </c>
      <c r="N491" s="32" t="n">
        <f aca="false">N489*N490</f>
        <v>0</v>
      </c>
      <c r="O491" s="32" t="n">
        <f aca="false">O489*O490</f>
        <v>6667.92</v>
      </c>
      <c r="P491" s="32" t="n">
        <f aca="false">P489*P490</f>
        <v>13469.1984</v>
      </c>
      <c r="Q491" s="32" t="n">
        <f aca="false">Q489*Q490</f>
        <v>13563.078712848</v>
      </c>
      <c r="R491" s="32" t="n">
        <f aca="false">R489*R490</f>
        <v>13657.6133714766</v>
      </c>
      <c r="S491" s="32" t="n">
        <f aca="false">S489*S490</f>
        <v>13752.8069366757</v>
      </c>
      <c r="T491" s="32" t="n">
        <f aca="false">T489*T490</f>
        <v>13848.6640010244</v>
      </c>
      <c r="U491" s="32" t="n">
        <f aca="false">U489*U490</f>
        <v>13945.1891891115</v>
      </c>
      <c r="V491" s="32" t="n">
        <f aca="false">V489*V490</f>
        <v>14042.3871577596</v>
      </c>
      <c r="W491" s="32" t="n">
        <f aca="false">W489*W490</f>
        <v>14140.2625962492</v>
      </c>
      <c r="X491" s="32" t="n">
        <f aca="false">X489*X490</f>
        <v>14238.8202265451</v>
      </c>
      <c r="Y491" s="32" t="n">
        <f aca="false">Y489*Y490</f>
        <v>14338.0648035241</v>
      </c>
      <c r="Z491" s="32" t="n">
        <f aca="false">Z489*Z490</f>
        <v>14438.0011152046</v>
      </c>
      <c r="AA491" s="32" t="n">
        <f aca="false">AA489*AA490</f>
        <v>14538.6339829776</v>
      </c>
      <c r="AB491" s="32" t="n">
        <f aca="false">AB489*AB490</f>
        <v>14639.968261839</v>
      </c>
      <c r="AC491" s="32" t="n">
        <f aca="false">AC489*AC490</f>
        <v>14742.008840624</v>
      </c>
      <c r="AD491" s="32" t="n">
        <f aca="false">AD489*AD490</f>
        <v>14844.7606422431</v>
      </c>
      <c r="AE491" s="32" t="n">
        <f aca="false">AE489*AE490</f>
        <v>14948.2286239196</v>
      </c>
      <c r="AF491" s="32" t="n">
        <f aca="false">AF489*AF490</f>
        <v>15052.4177774283</v>
      </c>
      <c r="AG491" s="32" t="n">
        <f aca="false">AG489*AG490</f>
        <v>15157.333129337</v>
      </c>
      <c r="AH491" s="32" t="n">
        <f aca="false">AH489*AH490</f>
        <v>15262.9797412485</v>
      </c>
      <c r="AI491" s="32" t="n">
        <f aca="false">AI489*AI490</f>
        <v>15369.362710045</v>
      </c>
      <c r="AJ491" s="32" t="n">
        <f aca="false">AJ489*AJ490</f>
        <v>15476.487168134</v>
      </c>
      <c r="AK491" s="32" t="n">
        <f aca="false">AK489*AK490</f>
        <v>15584.3582836959</v>
      </c>
      <c r="AL491" s="32" t="n">
        <f aca="false">AL489*AL490</f>
        <v>15692.9812609332</v>
      </c>
      <c r="AM491" s="32" t="n">
        <f aca="false">AM489*AM490</f>
        <v>15802.3613403219</v>
      </c>
      <c r="AN491" s="32" t="n">
        <f aca="false">AN489*AN490</f>
        <v>15912.503798864</v>
      </c>
      <c r="AO491" s="32" t="n">
        <f aca="false">AO489*AO490</f>
        <v>16023.4139503421</v>
      </c>
      <c r="AP491" s="32" t="n">
        <f aca="false">AP489*AP490</f>
        <v>16135.0971455759</v>
      </c>
      <c r="AQ491" s="32" t="n">
        <f aca="false">AQ489*AQ490</f>
        <v>16247.5587726806</v>
      </c>
      <c r="AR491" s="32" t="n">
        <f aca="false">AR489*AR490</f>
        <v>16360.8042573262</v>
      </c>
      <c r="AS491" s="32" t="n">
        <f aca="false">AS489*AS490</f>
        <v>8237.41953149987</v>
      </c>
    </row>
    <row r="492" customFormat="false" ht="14.25" hidden="false" customHeight="false" outlineLevel="0" collapsed="false">
      <c r="C492" s="6" t="s">
        <v>305</v>
      </c>
      <c r="D492" s="2" t="s">
        <v>3</v>
      </c>
      <c r="J492" s="77" t="n">
        <f aca="false">(1+Opex_Esc)^J477</f>
        <v>0.883854287609517</v>
      </c>
      <c r="K492" s="77" t="n">
        <f aca="false">(1+Opex_Esc)^K477</f>
        <v>0.905950644799755</v>
      </c>
      <c r="L492" s="77" t="n">
        <f aca="false">(1+Opex_Esc)^L477</f>
        <v>0.928599410919749</v>
      </c>
      <c r="M492" s="77" t="n">
        <f aca="false">(1+Opex_Esc)^M477</f>
        <v>0.951814396192743</v>
      </c>
      <c r="N492" s="77" t="n">
        <f aca="false">(1+Opex_Esc)^N477</f>
        <v>0.975609756097561</v>
      </c>
      <c r="O492" s="77" t="n">
        <f aca="false">(1+Opex_Esc)^O477</f>
        <v>1</v>
      </c>
      <c r="P492" s="77" t="n">
        <f aca="false">(1+Opex_Esc)^P477</f>
        <v>1.025</v>
      </c>
      <c r="Q492" s="77" t="n">
        <f aca="false">(1+Opex_Esc)^Q477</f>
        <v>1.050625</v>
      </c>
      <c r="R492" s="77" t="n">
        <f aca="false">(1+Opex_Esc)^R477</f>
        <v>1.076890625</v>
      </c>
      <c r="S492" s="77" t="n">
        <f aca="false">(1+Opex_Esc)^S477</f>
        <v>1.103812890625</v>
      </c>
      <c r="T492" s="77" t="n">
        <f aca="false">(1+Opex_Esc)^T477</f>
        <v>1.13140821289062</v>
      </c>
      <c r="U492" s="77" t="n">
        <f aca="false">(1+Opex_Esc)^U477</f>
        <v>1.15969341821289</v>
      </c>
      <c r="V492" s="77" t="n">
        <f aca="false">(1+Opex_Esc)^V477</f>
        <v>1.18868575366821</v>
      </c>
      <c r="W492" s="77" t="n">
        <f aca="false">(1+Opex_Esc)^W477</f>
        <v>1.21840289750992</v>
      </c>
      <c r="X492" s="77" t="n">
        <f aca="false">(1+Opex_Esc)^X477</f>
        <v>1.24886296994767</v>
      </c>
      <c r="Y492" s="77" t="n">
        <f aca="false">(1+Opex_Esc)^Y477</f>
        <v>1.28008454419636</v>
      </c>
      <c r="Z492" s="77" t="n">
        <f aca="false">(1+Opex_Esc)^Z477</f>
        <v>1.31208665780127</v>
      </c>
      <c r="AA492" s="77" t="n">
        <f aca="false">(1+Opex_Esc)^AA477</f>
        <v>1.3448888242463</v>
      </c>
      <c r="AB492" s="77" t="n">
        <f aca="false">(1+Opex_Esc)^AB477</f>
        <v>1.37851104485245</v>
      </c>
      <c r="AC492" s="77" t="n">
        <f aca="false">(1+Opex_Esc)^AC477</f>
        <v>1.41297382097377</v>
      </c>
      <c r="AD492" s="77" t="n">
        <f aca="false">(1+Opex_Esc)^AD477</f>
        <v>1.44829816649811</v>
      </c>
      <c r="AE492" s="77" t="n">
        <f aca="false">(1+Opex_Esc)^AE477</f>
        <v>1.48450562066056</v>
      </c>
      <c r="AF492" s="77" t="n">
        <f aca="false">(1+Opex_Esc)^AF477</f>
        <v>1.52161826117708</v>
      </c>
      <c r="AG492" s="77" t="n">
        <f aca="false">(1+Opex_Esc)^AG477</f>
        <v>1.5596587177065</v>
      </c>
      <c r="AH492" s="77" t="n">
        <f aca="false">(1+Opex_Esc)^AH477</f>
        <v>1.59865018564917</v>
      </c>
      <c r="AI492" s="77" t="n">
        <f aca="false">(1+Opex_Esc)^AI477</f>
        <v>1.63861644029039</v>
      </c>
      <c r="AJ492" s="77" t="n">
        <f aca="false">(1+Opex_Esc)^AJ477</f>
        <v>1.67958185129765</v>
      </c>
      <c r="AK492" s="77" t="n">
        <f aca="false">(1+Opex_Esc)^AK477</f>
        <v>1.7215713975801</v>
      </c>
      <c r="AL492" s="77" t="n">
        <f aca="false">(1+Opex_Esc)^AL477</f>
        <v>1.7646106825196</v>
      </c>
      <c r="AM492" s="77" t="n">
        <f aca="false">(1+Opex_Esc)^AM477</f>
        <v>1.80872594958259</v>
      </c>
      <c r="AN492" s="77" t="n">
        <f aca="false">(1+Opex_Esc)^AN477</f>
        <v>1.85394409832215</v>
      </c>
      <c r="AO492" s="77" t="n">
        <f aca="false">(1+Opex_Esc)^AO477</f>
        <v>1.90029270078021</v>
      </c>
      <c r="AP492" s="77" t="n">
        <f aca="false">(1+Opex_Esc)^AP477</f>
        <v>1.94780001829971</v>
      </c>
      <c r="AQ492" s="77" t="n">
        <f aca="false">(1+Opex_Esc)^AQ477</f>
        <v>1.9964950187572</v>
      </c>
      <c r="AR492" s="77" t="n">
        <f aca="false">(1+Opex_Esc)^AR477</f>
        <v>2.04640739422613</v>
      </c>
      <c r="AS492" s="77" t="n">
        <f aca="false">(1+Opex_Esc)^AS477</f>
        <v>2.09756757908179</v>
      </c>
    </row>
    <row r="493" customFormat="false" ht="14.25" hidden="false" customHeight="false" outlineLevel="0" collapsed="false">
      <c r="C493" s="6" t="s">
        <v>306</v>
      </c>
      <c r="D493" s="2" t="s">
        <v>85</v>
      </c>
      <c r="H493" s="8" t="n">
        <f aca="false">SUM(J493:AS493)</f>
        <v>-70011.0919506797</v>
      </c>
      <c r="J493" s="8" t="n">
        <f aca="false">-(Case_OM+SUM(Opex_Per_MW))*$G$46*J492*J481</f>
        <v>-0</v>
      </c>
      <c r="K493" s="8" t="n">
        <f aca="false">-(Case_OM+SUM(Opex_Per_MW))*$G$46*K492*K481</f>
        <v>-0</v>
      </c>
      <c r="L493" s="8" t="n">
        <f aca="false">-(Case_OM+SUM(Opex_Per_MW))*$G$46*L492*L481</f>
        <v>-0</v>
      </c>
      <c r="M493" s="8" t="n">
        <f aca="false">-(Case_OM+SUM(Opex_Per_MW))*$G$46*M492*M481</f>
        <v>-0</v>
      </c>
      <c r="N493" s="8" t="n">
        <f aca="false">-(Case_OM+SUM(Opex_Per_MW))*$G$46*N492*N481</f>
        <v>-0</v>
      </c>
      <c r="O493" s="8" t="n">
        <f aca="false">-(Case_OM+SUM(Opex_Per_MW))*$G$46*O492*O481</f>
        <v>-787.5</v>
      </c>
      <c r="P493" s="8" t="n">
        <f aca="false">-(Case_OM+SUM(Opex_Per_MW))*$G$46*P492*P481</f>
        <v>-1614.375</v>
      </c>
      <c r="Q493" s="8" t="n">
        <f aca="false">-(Case_OM+SUM(Opex_Per_MW))*$G$46*Q492*Q481</f>
        <v>-1654.734375</v>
      </c>
      <c r="R493" s="8" t="n">
        <f aca="false">-(Case_OM+SUM(Opex_Per_MW))*$G$46*R492*R481</f>
        <v>-1696.102734375</v>
      </c>
      <c r="S493" s="8" t="n">
        <f aca="false">-(Case_OM+SUM(Opex_Per_MW))*$G$46*S492*S481</f>
        <v>-1738.50530273437</v>
      </c>
      <c r="T493" s="8" t="n">
        <f aca="false">-(Case_OM+SUM(Opex_Per_MW))*$G$46*T492*T481</f>
        <v>-1781.96793530273</v>
      </c>
      <c r="U493" s="8" t="n">
        <f aca="false">-(Case_OM+SUM(Opex_Per_MW))*$G$46*U492*U481</f>
        <v>-1826.5171336853</v>
      </c>
      <c r="V493" s="8" t="n">
        <f aca="false">-(Case_OM+SUM(Opex_Per_MW))*$G$46*V492*V481</f>
        <v>-1872.18006202743</v>
      </c>
      <c r="W493" s="8" t="n">
        <f aca="false">-(Case_OM+SUM(Opex_Per_MW))*$G$46*W492*W481</f>
        <v>-1918.98456357812</v>
      </c>
      <c r="X493" s="8" t="n">
        <f aca="false">-(Case_OM+SUM(Opex_Per_MW))*$G$46*X492*X481</f>
        <v>-1966.95917766757</v>
      </c>
      <c r="Y493" s="8" t="n">
        <f aca="false">-(Case_OM+SUM(Opex_Per_MW))*$G$46*Y492*Y481</f>
        <v>-2016.13315710926</v>
      </c>
      <c r="Z493" s="8" t="n">
        <f aca="false">-(Case_OM+SUM(Opex_Per_MW))*$G$46*Z492*Z481</f>
        <v>-2066.53648603699</v>
      </c>
      <c r="AA493" s="8" t="n">
        <f aca="false">-(Case_OM+SUM(Opex_Per_MW))*$G$46*AA492*AA481</f>
        <v>-2118.19989818792</v>
      </c>
      <c r="AB493" s="8" t="n">
        <f aca="false">-(Case_OM+SUM(Opex_Per_MW))*$G$46*AB492*AB481</f>
        <v>-2171.15489564262</v>
      </c>
      <c r="AC493" s="8" t="n">
        <f aca="false">-(Case_OM+SUM(Opex_Per_MW))*$G$46*AC492*AC481</f>
        <v>-2225.43376803368</v>
      </c>
      <c r="AD493" s="8" t="n">
        <f aca="false">-(Case_OM+SUM(Opex_Per_MW))*$G$46*AD492*AD481</f>
        <v>-2281.06961223452</v>
      </c>
      <c r="AE493" s="8" t="n">
        <f aca="false">-(Case_OM+SUM(Opex_Per_MW))*$G$46*AE492*AE481</f>
        <v>-2338.09635254039</v>
      </c>
      <c r="AF493" s="8" t="n">
        <f aca="false">-(Case_OM+SUM(Opex_Per_MW))*$G$46*AF492*AF481</f>
        <v>-2396.5487613539</v>
      </c>
      <c r="AG493" s="8" t="n">
        <f aca="false">-(Case_OM+SUM(Opex_Per_MW))*$G$46*AG492*AG481</f>
        <v>-2456.46248038774</v>
      </c>
      <c r="AH493" s="8" t="n">
        <f aca="false">-(Case_OM+SUM(Opex_Per_MW))*$G$46*AH492*AH481</f>
        <v>-2517.87404239744</v>
      </c>
      <c r="AI493" s="8" t="n">
        <f aca="false">-(Case_OM+SUM(Opex_Per_MW))*$G$46*AI492*AI481</f>
        <v>-2580.82089345737</v>
      </c>
      <c r="AJ493" s="8" t="n">
        <f aca="false">-(Case_OM+SUM(Opex_Per_MW))*$G$46*AJ492*AJ481</f>
        <v>-2645.34141579381</v>
      </c>
      <c r="AK493" s="8" t="n">
        <f aca="false">-(Case_OM+SUM(Opex_Per_MW))*$G$46*AK492*AK481</f>
        <v>-2711.47495118865</v>
      </c>
      <c r="AL493" s="8" t="n">
        <f aca="false">-(Case_OM+SUM(Opex_Per_MW))*$G$46*AL492*AL481</f>
        <v>-2779.26182496837</v>
      </c>
      <c r="AM493" s="8" t="n">
        <f aca="false">-(Case_OM+SUM(Opex_Per_MW))*$G$46*AM492*AM481</f>
        <v>-2848.74337059257</v>
      </c>
      <c r="AN493" s="8" t="n">
        <f aca="false">-(Case_OM+SUM(Opex_Per_MW))*$G$46*AN492*AN481</f>
        <v>-2919.96195485739</v>
      </c>
      <c r="AO493" s="8" t="n">
        <f aca="false">-(Case_OM+SUM(Opex_Per_MW))*$G$46*AO492*AO481</f>
        <v>-2992.96100372882</v>
      </c>
      <c r="AP493" s="8" t="n">
        <f aca="false">-(Case_OM+SUM(Opex_Per_MW))*$G$46*AP492*AP481</f>
        <v>-3067.78502882204</v>
      </c>
      <c r="AQ493" s="8" t="n">
        <f aca="false">-(Case_OM+SUM(Opex_Per_MW))*$G$46*AQ492*AQ481</f>
        <v>-3144.47965454259</v>
      </c>
      <c r="AR493" s="8" t="n">
        <f aca="false">-(Case_OM+SUM(Opex_Per_MW))*$G$46*AR492*AR481</f>
        <v>-3223.09164590616</v>
      </c>
      <c r="AS493" s="8" t="n">
        <f aca="false">-(Case_OM+SUM(Opex_Per_MW))*$G$46*AS492*AS481</f>
        <v>-1651.83446852691</v>
      </c>
    </row>
    <row r="494" customFormat="false" ht="14.25" hidden="false" customHeight="false" outlineLevel="0" collapsed="false">
      <c r="C494" s="6" t="s">
        <v>307</v>
      </c>
      <c r="D494" s="2" t="s">
        <v>85</v>
      </c>
      <c r="H494" s="8" t="n">
        <f aca="false">SUM(J494:AS494)</f>
        <v>-1666.93076073047</v>
      </c>
      <c r="J494" s="8" t="n">
        <f aca="false">-Opex_Admin*$G$6/Lump_Basis*J492*J481</f>
        <v>-0</v>
      </c>
      <c r="K494" s="8" t="n">
        <f aca="false">-Opex_Admin*$G$6/Lump_Basis*K492*K481</f>
        <v>-0</v>
      </c>
      <c r="L494" s="8" t="n">
        <f aca="false">-Opex_Admin*$G$6/Lump_Basis*L492*L481</f>
        <v>-0</v>
      </c>
      <c r="M494" s="8" t="n">
        <f aca="false">-Opex_Admin*$G$6/Lump_Basis*M492*M481</f>
        <v>-0</v>
      </c>
      <c r="N494" s="8" t="n">
        <f aca="false">-Opex_Admin*$G$6/Lump_Basis*N492*N481</f>
        <v>-0</v>
      </c>
      <c r="O494" s="8" t="n">
        <f aca="false">-Opex_Admin*$G$6/Lump_Basis*O492*O481</f>
        <v>-18.75</v>
      </c>
      <c r="P494" s="8" t="n">
        <f aca="false">-Opex_Admin*$G$6/Lump_Basis*P492*P481</f>
        <v>-38.4375</v>
      </c>
      <c r="Q494" s="8" t="n">
        <f aca="false">-Opex_Admin*$G$6/Lump_Basis*Q492*Q481</f>
        <v>-39.3984375</v>
      </c>
      <c r="R494" s="8" t="n">
        <f aca="false">-Opex_Admin*$G$6/Lump_Basis*R492*R481</f>
        <v>-40.3833984375</v>
      </c>
      <c r="S494" s="8" t="n">
        <f aca="false">-Opex_Admin*$G$6/Lump_Basis*S492*S481</f>
        <v>-41.3929833984375</v>
      </c>
      <c r="T494" s="8" t="n">
        <f aca="false">-Opex_Admin*$G$6/Lump_Basis*T492*T481</f>
        <v>-42.4278079833984</v>
      </c>
      <c r="U494" s="8" t="n">
        <f aca="false">-Opex_Admin*$G$6/Lump_Basis*U492*U481</f>
        <v>-43.4885031829834</v>
      </c>
      <c r="V494" s="8" t="n">
        <f aca="false">-Opex_Admin*$G$6/Lump_Basis*V492*V481</f>
        <v>-44.575715762558</v>
      </c>
      <c r="W494" s="8" t="n">
        <f aca="false">-Opex_Admin*$G$6/Lump_Basis*W492*W481</f>
        <v>-45.6901086566219</v>
      </c>
      <c r="X494" s="8" t="n">
        <f aca="false">-Opex_Admin*$G$6/Lump_Basis*X492*X481</f>
        <v>-46.8323613730374</v>
      </c>
      <c r="Y494" s="8" t="n">
        <f aca="false">-Opex_Admin*$G$6/Lump_Basis*Y492*Y481</f>
        <v>-48.0031704073634</v>
      </c>
      <c r="Z494" s="8" t="n">
        <f aca="false">-Opex_Admin*$G$6/Lump_Basis*Z492*Z481</f>
        <v>-49.2032496675475</v>
      </c>
      <c r="AA494" s="8" t="n">
        <f aca="false">-Opex_Admin*$G$6/Lump_Basis*AA492*AA481</f>
        <v>-50.4333309092361</v>
      </c>
      <c r="AB494" s="8" t="n">
        <f aca="false">-Opex_Admin*$G$6/Lump_Basis*AB492*AB481</f>
        <v>-51.694164181967</v>
      </c>
      <c r="AC494" s="8" t="n">
        <f aca="false">-Opex_Admin*$G$6/Lump_Basis*AC492*AC481</f>
        <v>-52.9865182865162</v>
      </c>
      <c r="AD494" s="8" t="n">
        <f aca="false">-Opex_Admin*$G$6/Lump_Basis*AD492*AD481</f>
        <v>-54.3111812436791</v>
      </c>
      <c r="AE494" s="8" t="n">
        <f aca="false">-Opex_Admin*$G$6/Lump_Basis*AE492*AE481</f>
        <v>-55.6689607747711</v>
      </c>
      <c r="AF494" s="8" t="n">
        <f aca="false">-Opex_Admin*$G$6/Lump_Basis*AF492*AF481</f>
        <v>-57.0606847941404</v>
      </c>
      <c r="AG494" s="8" t="n">
        <f aca="false">-Opex_Admin*$G$6/Lump_Basis*AG492*AG481</f>
        <v>-58.4872019139939</v>
      </c>
      <c r="AH494" s="8" t="n">
        <f aca="false">-Opex_Admin*$G$6/Lump_Basis*AH492*AH481</f>
        <v>-59.9493819618437</v>
      </c>
      <c r="AI494" s="8" t="n">
        <f aca="false">-Opex_Admin*$G$6/Lump_Basis*AI492*AI481</f>
        <v>-61.4481165108898</v>
      </c>
      <c r="AJ494" s="8" t="n">
        <f aca="false">-Opex_Admin*$G$6/Lump_Basis*AJ492*AJ481</f>
        <v>-62.984319423662</v>
      </c>
      <c r="AK494" s="8" t="n">
        <f aca="false">-Opex_Admin*$G$6/Lump_Basis*AK492*AK481</f>
        <v>-64.5589274092536</v>
      </c>
      <c r="AL494" s="8" t="n">
        <f aca="false">-Opex_Admin*$G$6/Lump_Basis*AL492*AL481</f>
        <v>-66.1729005944849</v>
      </c>
      <c r="AM494" s="8" t="n">
        <f aca="false">-Opex_Admin*$G$6/Lump_Basis*AM492*AM481</f>
        <v>-67.827223109347</v>
      </c>
      <c r="AN494" s="8" t="n">
        <f aca="false">-Opex_Admin*$G$6/Lump_Basis*AN492*AN481</f>
        <v>-69.5229036870807</v>
      </c>
      <c r="AO494" s="8" t="n">
        <f aca="false">-Opex_Admin*$G$6/Lump_Basis*AO492*AO481</f>
        <v>-71.2609762792577</v>
      </c>
      <c r="AP494" s="8" t="n">
        <f aca="false">-Opex_Admin*$G$6/Lump_Basis*AP492*AP481</f>
        <v>-73.0425006862391</v>
      </c>
      <c r="AQ494" s="8" t="n">
        <f aca="false">-Opex_Admin*$G$6/Lump_Basis*AQ492*AQ481</f>
        <v>-74.8685632033951</v>
      </c>
      <c r="AR494" s="8" t="n">
        <f aca="false">-Opex_Admin*$G$6/Lump_Basis*AR492*AR481</f>
        <v>-76.74027728348</v>
      </c>
      <c r="AS494" s="8" t="n">
        <f aca="false">-Opex_Admin*$G$6/Lump_Basis*AS492*AS481</f>
        <v>-39.3293921077835</v>
      </c>
    </row>
    <row r="495" customFormat="false" ht="14.25" hidden="false" customHeight="false" outlineLevel="0" collapsed="false">
      <c r="C495" s="6" t="s">
        <v>308</v>
      </c>
      <c r="D495" s="2" t="s">
        <v>85</v>
      </c>
      <c r="H495" s="8" t="n">
        <f aca="false">SUM(J495:AS495)</f>
        <v>-31411.9298672852</v>
      </c>
      <c r="J495" s="8" t="n">
        <f aca="false">-J489*(Balancing+Grid_Charges)*J492</f>
        <v>-0</v>
      </c>
      <c r="K495" s="8" t="n">
        <f aca="false">-K489*(Balancing+Grid_Charges)*K492</f>
        <v>-0</v>
      </c>
      <c r="L495" s="8" t="n">
        <f aca="false">-L489*(Balancing+Grid_Charges)*L492</f>
        <v>-0</v>
      </c>
      <c r="M495" s="8" t="n">
        <f aca="false">-M489*(Balancing+Grid_Charges)*M492</f>
        <v>-0</v>
      </c>
      <c r="N495" s="8" t="n">
        <f aca="false">-N489*(Balancing+Grid_Charges)*N492</f>
        <v>-0</v>
      </c>
      <c r="O495" s="8" t="n">
        <f aca="false">-O489*(Balancing+Grid_Charges)*O492</f>
        <v>-370.44</v>
      </c>
      <c r="P495" s="8" t="n">
        <f aca="false">-P489*(Balancing+Grid_Charges)*P492</f>
        <v>-759.402</v>
      </c>
      <c r="Q495" s="8" t="n">
        <f aca="false">-Q489*(Balancing+Grid_Charges)*Q492</f>
        <v>-776.05188885</v>
      </c>
      <c r="R495" s="8" t="n">
        <f aca="false">-R489*(Balancing+Grid_Charges)*R492</f>
        <v>-793.066826513036</v>
      </c>
      <c r="S495" s="8" t="n">
        <f aca="false">-S489*(Balancing+Grid_Charges)*S492</f>
        <v>-810.454816684334</v>
      </c>
      <c r="T495" s="8" t="n">
        <f aca="false">-T489*(Balancing+Grid_Charges)*T492</f>
        <v>-828.224038540138</v>
      </c>
      <c r="U495" s="8" t="n">
        <f aca="false">-U489*(Balancing+Grid_Charges)*U492</f>
        <v>-846.382850585131</v>
      </c>
      <c r="V495" s="8" t="n">
        <f aca="false">-V489*(Balancing+Grid_Charges)*V492</f>
        <v>-864.93979458421</v>
      </c>
      <c r="W495" s="8" t="n">
        <f aca="false">-W489*(Balancing+Grid_Charges)*W492</f>
        <v>-883.903599580468</v>
      </c>
      <c r="X495" s="8" t="n">
        <f aca="false">-X489*(Balancing+Grid_Charges)*X492</f>
        <v>-903.28318600127</v>
      </c>
      <c r="Y495" s="8" t="n">
        <f aca="false">-Y489*(Balancing+Grid_Charges)*Y492</f>
        <v>-923.087669854348</v>
      </c>
      <c r="Z495" s="8" t="n">
        <f aca="false">-Z489*(Balancing+Grid_Charges)*Z492</f>
        <v>-943.326367015904</v>
      </c>
      <c r="AA495" s="8" t="n">
        <f aca="false">-AA489*(Balancing+Grid_Charges)*AA492</f>
        <v>-964.008797612728</v>
      </c>
      <c r="AB495" s="8" t="n">
        <f aca="false">-AB489*(Balancing+Grid_Charges)*AB492</f>
        <v>-985.144690500387</v>
      </c>
      <c r="AC495" s="8" t="n">
        <f aca="false">-AC489*(Balancing+Grid_Charges)*AC492</f>
        <v>-1006.74398783961</v>
      </c>
      <c r="AD495" s="8" t="n">
        <f aca="false">-AD489*(Balancing+Grid_Charges)*AD492</f>
        <v>-1028.81684977299</v>
      </c>
      <c r="AE495" s="8" t="n">
        <f aca="false">-AE489*(Balancing+Grid_Charges)*AE492</f>
        <v>-1051.37365920426</v>
      </c>
      <c r="AF495" s="8" t="n">
        <f aca="false">-AF489*(Balancing+Grid_Charges)*AF492</f>
        <v>-1074.42502668232</v>
      </c>
      <c r="AG495" s="8" t="n">
        <f aca="false">-AG489*(Balancing+Grid_Charges)*AG492</f>
        <v>-1097.98179539233</v>
      </c>
      <c r="AH495" s="8" t="n">
        <f aca="false">-AH489*(Balancing+Grid_Charges)*AH492</f>
        <v>-1122.0550462563</v>
      </c>
      <c r="AI495" s="8" t="n">
        <f aca="false">-AI489*(Balancing+Grid_Charges)*AI492</f>
        <v>-1146.65610314547</v>
      </c>
      <c r="AJ495" s="8" t="n">
        <f aca="false">-AJ489*(Balancing+Grid_Charges)*AJ492</f>
        <v>-1171.79653820694</v>
      </c>
      <c r="AK495" s="8" t="n">
        <f aca="false">-AK489*(Balancing+Grid_Charges)*AK492</f>
        <v>-1197.48817730712</v>
      </c>
      <c r="AL495" s="8" t="n">
        <f aca="false">-AL489*(Balancing+Grid_Charges)*AL492</f>
        <v>-1223.74310559458</v>
      </c>
      <c r="AM495" s="8" t="n">
        <f aca="false">-AM489*(Balancing+Grid_Charges)*AM492</f>
        <v>-1250.57367318474</v>
      </c>
      <c r="AN495" s="8" t="n">
        <f aca="false">-AN489*(Balancing+Grid_Charges)*AN492</f>
        <v>-1277.99250096932</v>
      </c>
      <c r="AO495" s="8" t="n">
        <f aca="false">-AO489*(Balancing+Grid_Charges)*AO492</f>
        <v>-1306.01248655307</v>
      </c>
      <c r="AP495" s="8" t="n">
        <f aca="false">-AP489*(Balancing+Grid_Charges)*AP492</f>
        <v>-1334.64681032075</v>
      </c>
      <c r="AQ495" s="8" t="n">
        <f aca="false">-AQ489*(Balancing+Grid_Charges)*AQ492</f>
        <v>-1363.90894163703</v>
      </c>
      <c r="AR495" s="8" t="n">
        <f aca="false">-AR489*(Balancing+Grid_Charges)*AR492</f>
        <v>-1393.81264518242</v>
      </c>
      <c r="AS495" s="8" t="n">
        <f aca="false">-AS489*(Balancing+Grid_Charges)*AS492</f>
        <v>-712.185993714023</v>
      </c>
    </row>
    <row r="496" customFormat="false" ht="14.25" hidden="false" customHeight="false" outlineLevel="0" collapsed="false">
      <c r="C496" s="6" t="s">
        <v>309</v>
      </c>
      <c r="D496" s="2" t="s">
        <v>85</v>
      </c>
      <c r="H496" s="8" t="n">
        <f aca="false">SUM(J496:AS496)</f>
        <v>-446.130685729454</v>
      </c>
      <c r="J496" s="8" t="n">
        <f aca="false">-J491*MEKH_Fee</f>
        <v>-0</v>
      </c>
      <c r="K496" s="8" t="n">
        <f aca="false">-K491*MEKH_Fee</f>
        <v>-0</v>
      </c>
      <c r="L496" s="8" t="n">
        <f aca="false">-L491*MEKH_Fee</f>
        <v>-0</v>
      </c>
      <c r="M496" s="8" t="n">
        <f aca="false">-M491*MEKH_Fee</f>
        <v>-0</v>
      </c>
      <c r="N496" s="8" t="n">
        <f aca="false">-N491*MEKH_Fee</f>
        <v>-0</v>
      </c>
      <c r="O496" s="8" t="n">
        <f aca="false">-O491*MEKH_Fee</f>
        <v>-6.66792</v>
      </c>
      <c r="P496" s="8" t="n">
        <f aca="false">-P491*MEKH_Fee</f>
        <v>-13.4691984</v>
      </c>
      <c r="Q496" s="8" t="n">
        <f aca="false">-Q491*MEKH_Fee</f>
        <v>-13.563078712848</v>
      </c>
      <c r="R496" s="8" t="n">
        <f aca="false">-R491*MEKH_Fee</f>
        <v>-13.6576133714766</v>
      </c>
      <c r="S496" s="8" t="n">
        <f aca="false">-S491*MEKH_Fee</f>
        <v>-13.7528069366757</v>
      </c>
      <c r="T496" s="8" t="n">
        <f aca="false">-T491*MEKH_Fee</f>
        <v>-13.8486640010244</v>
      </c>
      <c r="U496" s="8" t="n">
        <f aca="false">-U491*MEKH_Fee</f>
        <v>-13.9451891891115</v>
      </c>
      <c r="V496" s="8" t="n">
        <f aca="false">-V491*MEKH_Fee</f>
        <v>-14.0423871577596</v>
      </c>
      <c r="W496" s="8" t="n">
        <f aca="false">-W491*MEKH_Fee</f>
        <v>-14.1402625962492</v>
      </c>
      <c r="X496" s="8" t="n">
        <f aca="false">-X491*MEKH_Fee</f>
        <v>-14.2388202265451</v>
      </c>
      <c r="Y496" s="8" t="n">
        <f aca="false">-Y491*MEKH_Fee</f>
        <v>-14.3380648035241</v>
      </c>
      <c r="Z496" s="8" t="n">
        <f aca="false">-Z491*MEKH_Fee</f>
        <v>-14.4380011152046</v>
      </c>
      <c r="AA496" s="8" t="n">
        <f aca="false">-AA491*MEKH_Fee</f>
        <v>-14.5386339829776</v>
      </c>
      <c r="AB496" s="8" t="n">
        <f aca="false">-AB491*MEKH_Fee</f>
        <v>-14.639968261839</v>
      </c>
      <c r="AC496" s="8" t="n">
        <f aca="false">-AC491*MEKH_Fee</f>
        <v>-14.742008840624</v>
      </c>
      <c r="AD496" s="8" t="n">
        <f aca="false">-AD491*MEKH_Fee</f>
        <v>-14.8447606422431</v>
      </c>
      <c r="AE496" s="8" t="n">
        <f aca="false">-AE491*MEKH_Fee</f>
        <v>-14.9482286239196</v>
      </c>
      <c r="AF496" s="8" t="n">
        <f aca="false">-AF491*MEKH_Fee</f>
        <v>-15.0524177774283</v>
      </c>
      <c r="AG496" s="8" t="n">
        <f aca="false">-AG491*MEKH_Fee</f>
        <v>-15.157333129337</v>
      </c>
      <c r="AH496" s="8" t="n">
        <f aca="false">-AH491*MEKH_Fee</f>
        <v>-15.2629797412485</v>
      </c>
      <c r="AI496" s="8" t="n">
        <f aca="false">-AI491*MEKH_Fee</f>
        <v>-15.369362710045</v>
      </c>
      <c r="AJ496" s="8" t="n">
        <f aca="false">-AJ491*MEKH_Fee</f>
        <v>-15.476487168134</v>
      </c>
      <c r="AK496" s="8" t="n">
        <f aca="false">-AK491*MEKH_Fee</f>
        <v>-15.5843582836959</v>
      </c>
      <c r="AL496" s="8" t="n">
        <f aca="false">-AL491*MEKH_Fee</f>
        <v>-15.6929812609332</v>
      </c>
      <c r="AM496" s="8" t="n">
        <f aca="false">-AM491*MEKH_Fee</f>
        <v>-15.8023613403219</v>
      </c>
      <c r="AN496" s="8" t="n">
        <f aca="false">-AN491*MEKH_Fee</f>
        <v>-15.912503798864</v>
      </c>
      <c r="AO496" s="8" t="n">
        <f aca="false">-AO491*MEKH_Fee</f>
        <v>-16.0234139503421</v>
      </c>
      <c r="AP496" s="8" t="n">
        <f aca="false">-AP491*MEKH_Fee</f>
        <v>-16.1350971455759</v>
      </c>
      <c r="AQ496" s="8" t="n">
        <f aca="false">-AQ491*MEKH_Fee</f>
        <v>-16.2475587726806</v>
      </c>
      <c r="AR496" s="8" t="n">
        <f aca="false">-AR491*MEKH_Fee</f>
        <v>-16.3608042573262</v>
      </c>
      <c r="AS496" s="8" t="n">
        <f aca="false">-AS491*MEKH_Fee</f>
        <v>-8.23741953149987</v>
      </c>
    </row>
    <row r="497" customFormat="false" ht="14.25" hidden="false" customHeight="false" outlineLevel="0" collapsed="false">
      <c r="C497" s="6" t="s">
        <v>310</v>
      </c>
      <c r="D497" s="2" t="s">
        <v>85</v>
      </c>
      <c r="H497" s="8" t="n">
        <f aca="false">SUM(J497:AS497)</f>
        <v>-5176.80416322124</v>
      </c>
      <c r="J497" s="8" t="n">
        <f aca="false">SUM(J493:J496)*Opex_Cont</f>
        <v>0</v>
      </c>
      <c r="K497" s="8" t="n">
        <f aca="false">SUM(K493:K496)*Opex_Cont</f>
        <v>0</v>
      </c>
      <c r="L497" s="8" t="n">
        <f aca="false">SUM(L493:L496)*Opex_Cont</f>
        <v>0</v>
      </c>
      <c r="M497" s="8" t="n">
        <f aca="false">SUM(M493:M496)*Opex_Cont</f>
        <v>0</v>
      </c>
      <c r="N497" s="8" t="n">
        <f aca="false">SUM(N493:N496)*Opex_Cont</f>
        <v>0</v>
      </c>
      <c r="O497" s="8" t="n">
        <f aca="false">SUM(O493:O496)*Opex_Cont</f>
        <v>-59.167896</v>
      </c>
      <c r="P497" s="8" t="n">
        <f aca="false">SUM(P493:P496)*Opex_Cont</f>
        <v>-121.28418492</v>
      </c>
      <c r="Q497" s="8" t="n">
        <f aca="false">SUM(Q493:Q496)*Opex_Cont</f>
        <v>-124.187389003142</v>
      </c>
      <c r="R497" s="8" t="n">
        <f aca="false">SUM(R493:R496)*Opex_Cont</f>
        <v>-127.160528634851</v>
      </c>
      <c r="S497" s="8" t="n">
        <f aca="false">SUM(S493:S496)*Opex_Cont</f>
        <v>-130.205295487691</v>
      </c>
      <c r="T497" s="8" t="n">
        <f aca="false">SUM(T493:T496)*Opex_Cont</f>
        <v>-133.323422291365</v>
      </c>
      <c r="U497" s="8" t="n">
        <f aca="false">SUM(U493:U496)*Opex_Cont</f>
        <v>-136.516683832126</v>
      </c>
      <c r="V497" s="8" t="n">
        <f aca="false">SUM(V493:V496)*Opex_Cont</f>
        <v>-139.786897976598</v>
      </c>
      <c r="W497" s="8" t="n">
        <f aca="false">SUM(W493:W496)*Opex_Cont</f>
        <v>-143.135926720573</v>
      </c>
      <c r="X497" s="8" t="n">
        <f aca="false">SUM(X493:X496)*Opex_Cont</f>
        <v>-146.565677263421</v>
      </c>
      <c r="Y497" s="8" t="n">
        <f aca="false">SUM(Y493:Y496)*Opex_Cont</f>
        <v>-150.078103108725</v>
      </c>
      <c r="Z497" s="8" t="n">
        <f aca="false">SUM(Z493:Z496)*Opex_Cont</f>
        <v>-153.675205191783</v>
      </c>
      <c r="AA497" s="8" t="n">
        <f aca="false">SUM(AA493:AA496)*Opex_Cont</f>
        <v>-157.359033034643</v>
      </c>
      <c r="AB497" s="8" t="n">
        <f aca="false">SUM(AB493:AB496)*Opex_Cont</f>
        <v>-161.13168592934</v>
      </c>
      <c r="AC497" s="8" t="n">
        <f aca="false">SUM(AC493:AC496)*Opex_Cont</f>
        <v>-164.995314150021</v>
      </c>
      <c r="AD497" s="8" t="n">
        <f aca="false">SUM(AD493:AD496)*Opex_Cont</f>
        <v>-168.952120194672</v>
      </c>
      <c r="AE497" s="8" t="n">
        <f aca="false">SUM(AE493:AE496)*Opex_Cont</f>
        <v>-173.004360057167</v>
      </c>
      <c r="AF497" s="8" t="n">
        <f aca="false">SUM(AF493:AF496)*Opex_Cont</f>
        <v>-177.154344530389</v>
      </c>
      <c r="AG497" s="8" t="n">
        <f aca="false">SUM(AG493:AG496)*Opex_Cont</f>
        <v>-181.40444054117</v>
      </c>
      <c r="AH497" s="8" t="n">
        <f aca="false">SUM(AH493:AH496)*Opex_Cont</f>
        <v>-185.757072517842</v>
      </c>
      <c r="AI497" s="8" t="n">
        <f aca="false">SUM(AI493:AI496)*Opex_Cont</f>
        <v>-190.214723791189</v>
      </c>
      <c r="AJ497" s="8" t="n">
        <f aca="false">SUM(AJ493:AJ496)*Opex_Cont</f>
        <v>-194.779938029627</v>
      </c>
      <c r="AK497" s="8" t="n">
        <f aca="false">SUM(AK493:AK496)*Opex_Cont</f>
        <v>-199.455320709436</v>
      </c>
      <c r="AL497" s="8" t="n">
        <f aca="false">SUM(AL493:AL496)*Opex_Cont</f>
        <v>-204.243540620918</v>
      </c>
      <c r="AM497" s="8" t="n">
        <f aca="false">SUM(AM493:AM496)*Opex_Cont</f>
        <v>-209.147331411349</v>
      </c>
      <c r="AN497" s="8" t="n">
        <f aca="false">SUM(AN493:AN496)*Opex_Cont</f>
        <v>-214.169493165633</v>
      </c>
      <c r="AO497" s="8" t="n">
        <f aca="false">SUM(AO493:AO496)*Opex_Cont</f>
        <v>-219.312894025575</v>
      </c>
      <c r="AP497" s="8" t="n">
        <f aca="false">SUM(AP493:AP496)*Opex_Cont</f>
        <v>-224.58047184873</v>
      </c>
      <c r="AQ497" s="8" t="n">
        <f aca="false">SUM(AQ493:AQ496)*Opex_Cont</f>
        <v>-229.975235907785</v>
      </c>
      <c r="AR497" s="8" t="n">
        <f aca="false">SUM(AR493:AR496)*Opex_Cont</f>
        <v>-235.500268631469</v>
      </c>
      <c r="AS497" s="8" t="n">
        <f aca="false">SUM(AS493:AS496)*Opex_Cont</f>
        <v>-120.579363694011</v>
      </c>
    </row>
    <row r="498" customFormat="false" ht="14.25" hidden="false" customHeight="false" outlineLevel="0" collapsed="false">
      <c r="C498" s="6" t="s">
        <v>311</v>
      </c>
      <c r="D498" s="2" t="s">
        <v>85</v>
      </c>
      <c r="H498" s="8" t="n">
        <f aca="false">SUM(J498:AS498)</f>
        <v>-12790.1964811942</v>
      </c>
      <c r="J498" s="8" t="n">
        <f aca="false">-J489*$G$12</f>
        <v>-0</v>
      </c>
      <c r="K498" s="8" t="n">
        <f aca="false">-K489*$G$12</f>
        <v>-0</v>
      </c>
      <c r="L498" s="8" t="n">
        <f aca="false">-L489*$G$12</f>
        <v>-0</v>
      </c>
      <c r="M498" s="8" t="n">
        <f aca="false">-M489*$G$12</f>
        <v>-0</v>
      </c>
      <c r="N498" s="8" t="n">
        <f aca="false">-N489*$G$12</f>
        <v>-0</v>
      </c>
      <c r="O498" s="8" t="n">
        <f aca="false">-O489*$G$12</f>
        <v>-222.264</v>
      </c>
      <c r="P498" s="8" t="n">
        <f aca="false">-P489*$G$12</f>
        <v>-444.528</v>
      </c>
      <c r="Q498" s="8" t="n">
        <f aca="false">-Q489*$G$12</f>
        <v>-443.194416</v>
      </c>
      <c r="R498" s="8" t="n">
        <f aca="false">-R489*$G$12</f>
        <v>-441.864832752</v>
      </c>
      <c r="S498" s="8" t="n">
        <f aca="false">-S489*$G$12</f>
        <v>-440.539238253744</v>
      </c>
      <c r="T498" s="8" t="n">
        <f aca="false">-T489*$G$12</f>
        <v>-439.217620538983</v>
      </c>
      <c r="U498" s="8" t="n">
        <f aca="false">-U489*$G$12</f>
        <v>-437.899967677366</v>
      </c>
      <c r="V498" s="8" t="n">
        <f aca="false">-V489*$G$12</f>
        <v>-436.586267774334</v>
      </c>
      <c r="W498" s="8" t="n">
        <f aca="false">-W489*$G$12</f>
        <v>-435.276508971011</v>
      </c>
      <c r="X498" s="8" t="n">
        <f aca="false">-X489*$G$12</f>
        <v>-433.970679444098</v>
      </c>
      <c r="Y498" s="8" t="n">
        <f aca="false">-Y489*$G$12</f>
        <v>-432.668767405765</v>
      </c>
      <c r="Z498" s="8" t="n">
        <f aca="false">-Z489*$G$12</f>
        <v>-431.370761103548</v>
      </c>
      <c r="AA498" s="8" t="n">
        <f aca="false">-AA489*$G$12</f>
        <v>-430.076648820237</v>
      </c>
      <c r="AB498" s="8" t="n">
        <f aca="false">-AB489*$G$12</f>
        <v>-428.786418873777</v>
      </c>
      <c r="AC498" s="8" t="n">
        <f aca="false">-AC489*$G$12</f>
        <v>-427.500059617155</v>
      </c>
      <c r="AD498" s="8" t="n">
        <f aca="false">-AD489*$G$12</f>
        <v>-426.217559438304</v>
      </c>
      <c r="AE498" s="8" t="n">
        <f aca="false">-AE489*$G$12</f>
        <v>-424.938906759989</v>
      </c>
      <c r="AF498" s="8" t="n">
        <f aca="false">-AF489*$G$12</f>
        <v>-423.664090039709</v>
      </c>
      <c r="AG498" s="8" t="n">
        <f aca="false">-AG489*$G$12</f>
        <v>-422.39309776959</v>
      </c>
      <c r="AH498" s="8" t="n">
        <f aca="false">-AH489*$G$12</f>
        <v>-421.125918476281</v>
      </c>
      <c r="AI498" s="8" t="n">
        <f aca="false">-AI489*$G$12</f>
        <v>-419.862540720852</v>
      </c>
      <c r="AJ498" s="8" t="n">
        <f aca="false">-AJ489*$G$12</f>
        <v>-418.60295309869</v>
      </c>
      <c r="AK498" s="8" t="n">
        <f aca="false">-AK489*$G$12</f>
        <v>-417.347144239394</v>
      </c>
      <c r="AL498" s="8" t="n">
        <f aca="false">-AL489*$G$12</f>
        <v>-416.095102806675</v>
      </c>
      <c r="AM498" s="8" t="n">
        <f aca="false">-AM489*$G$12</f>
        <v>-414.846817498256</v>
      </c>
      <c r="AN498" s="8" t="n">
        <f aca="false">-AN489*$G$12</f>
        <v>-413.602277045761</v>
      </c>
      <c r="AO498" s="8" t="n">
        <f aca="false">-AO489*$G$12</f>
        <v>-412.361470214623</v>
      </c>
      <c r="AP498" s="8" t="n">
        <f aca="false">-AP489*$G$12</f>
        <v>-411.12438580398</v>
      </c>
      <c r="AQ498" s="8" t="n">
        <f aca="false">-AQ489*$G$12</f>
        <v>-409.891012646568</v>
      </c>
      <c r="AR498" s="8" t="n">
        <f aca="false">-AR489*$G$12</f>
        <v>-408.661339608628</v>
      </c>
      <c r="AS498" s="8" t="n">
        <f aca="false">-AS489*$G$12</f>
        <v>-203.717677794901</v>
      </c>
    </row>
    <row r="499" customFormat="false" ht="14.25" hidden="false" customHeight="false" outlineLevel="0" collapsed="false">
      <c r="C499" s="6" t="s">
        <v>312</v>
      </c>
      <c r="D499" s="2" t="s">
        <v>85</v>
      </c>
      <c r="H499" s="8" t="n">
        <f aca="false">SUM(J499:AS499)</f>
        <v>-8922.61371458909</v>
      </c>
      <c r="J499" s="8" t="n">
        <f aca="false">-J491*HIPA_Rate</f>
        <v>-0</v>
      </c>
      <c r="K499" s="8" t="n">
        <f aca="false">-K491*HIPA_Rate</f>
        <v>-0</v>
      </c>
      <c r="L499" s="8" t="n">
        <f aca="false">-L491*HIPA_Rate</f>
        <v>-0</v>
      </c>
      <c r="M499" s="8" t="n">
        <f aca="false">-M491*HIPA_Rate</f>
        <v>-0</v>
      </c>
      <c r="N499" s="8" t="n">
        <f aca="false">-N491*HIPA_Rate</f>
        <v>-0</v>
      </c>
      <c r="O499" s="8" t="n">
        <f aca="false">-O491*HIPA_Rate</f>
        <v>-133.3584</v>
      </c>
      <c r="P499" s="8" t="n">
        <f aca="false">-P491*HIPA_Rate</f>
        <v>-269.383968</v>
      </c>
      <c r="Q499" s="8" t="n">
        <f aca="false">-Q491*HIPA_Rate</f>
        <v>-271.26157425696</v>
      </c>
      <c r="R499" s="8" t="n">
        <f aca="false">-R491*HIPA_Rate</f>
        <v>-273.152267429531</v>
      </c>
      <c r="S499" s="8" t="n">
        <f aca="false">-S491*HIPA_Rate</f>
        <v>-275.056138733515</v>
      </c>
      <c r="T499" s="8" t="n">
        <f aca="false">-T491*HIPA_Rate</f>
        <v>-276.973280020488</v>
      </c>
      <c r="U499" s="8" t="n">
        <f aca="false">-U491*HIPA_Rate</f>
        <v>-278.90378378223</v>
      </c>
      <c r="V499" s="8" t="n">
        <f aca="false">-V491*HIPA_Rate</f>
        <v>-280.847743155192</v>
      </c>
      <c r="W499" s="8" t="n">
        <f aca="false">-W491*HIPA_Rate</f>
        <v>-282.805251924984</v>
      </c>
      <c r="X499" s="8" t="n">
        <f aca="false">-X491*HIPA_Rate</f>
        <v>-284.776404530901</v>
      </c>
      <c r="Y499" s="8" t="n">
        <f aca="false">-Y491*HIPA_Rate</f>
        <v>-286.761296070482</v>
      </c>
      <c r="Z499" s="8" t="n">
        <f aca="false">-Z491*HIPA_Rate</f>
        <v>-288.760022304093</v>
      </c>
      <c r="AA499" s="8" t="n">
        <f aca="false">-AA491*HIPA_Rate</f>
        <v>-290.772679659552</v>
      </c>
      <c r="AB499" s="8" t="n">
        <f aca="false">-AB491*HIPA_Rate</f>
        <v>-292.799365236779</v>
      </c>
      <c r="AC499" s="8" t="n">
        <f aca="false">-AC491*HIPA_Rate</f>
        <v>-294.84017681248</v>
      </c>
      <c r="AD499" s="8" t="n">
        <f aca="false">-AD491*HIPA_Rate</f>
        <v>-296.895212844863</v>
      </c>
      <c r="AE499" s="8" t="n">
        <f aca="false">-AE491*HIPA_Rate</f>
        <v>-298.964572478392</v>
      </c>
      <c r="AF499" s="8" t="n">
        <f aca="false">-AF491*HIPA_Rate</f>
        <v>-301.048355548566</v>
      </c>
      <c r="AG499" s="8" t="n">
        <f aca="false">-AG491*HIPA_Rate</f>
        <v>-303.146662586739</v>
      </c>
      <c r="AH499" s="8" t="n">
        <f aca="false">-AH491*HIPA_Rate</f>
        <v>-305.259594824969</v>
      </c>
      <c r="AI499" s="8" t="n">
        <f aca="false">-AI491*HIPA_Rate</f>
        <v>-307.387254200899</v>
      </c>
      <c r="AJ499" s="8" t="n">
        <f aca="false">-AJ491*HIPA_Rate</f>
        <v>-309.529743362679</v>
      </c>
      <c r="AK499" s="8" t="n">
        <f aca="false">-AK491*HIPA_Rate</f>
        <v>-311.687165673917</v>
      </c>
      <c r="AL499" s="8" t="n">
        <f aca="false">-AL491*HIPA_Rate</f>
        <v>-313.859625218664</v>
      </c>
      <c r="AM499" s="8" t="n">
        <f aca="false">-AM491*HIPA_Rate</f>
        <v>-316.047226806439</v>
      </c>
      <c r="AN499" s="8" t="n">
        <f aca="false">-AN491*HIPA_Rate</f>
        <v>-318.250075977279</v>
      </c>
      <c r="AO499" s="8" t="n">
        <f aca="false">-AO491*HIPA_Rate</f>
        <v>-320.468279006841</v>
      </c>
      <c r="AP499" s="8" t="n">
        <f aca="false">-AP491*HIPA_Rate</f>
        <v>-322.701942911519</v>
      </c>
      <c r="AQ499" s="8" t="n">
        <f aca="false">-AQ491*HIPA_Rate</f>
        <v>-324.951175453612</v>
      </c>
      <c r="AR499" s="8" t="n">
        <f aca="false">-AR491*HIPA_Rate</f>
        <v>-327.216085146524</v>
      </c>
      <c r="AS499" s="8" t="n">
        <f aca="false">-AS491*HIPA_Rate</f>
        <v>-164.748390629997</v>
      </c>
    </row>
    <row r="500" customFormat="false" ht="14.25" hidden="false" customHeight="false" outlineLevel="0" collapsed="false">
      <c r="C500" s="1" t="s">
        <v>313</v>
      </c>
      <c r="D500" s="2" t="s">
        <v>85</v>
      </c>
      <c r="H500" s="32" t="n">
        <f aca="false">SUM(J500:AS500)</f>
        <v>-130425.697623429</v>
      </c>
      <c r="J500" s="32" t="n">
        <f aca="false">SUM(J493:J499)</f>
        <v>0</v>
      </c>
      <c r="K500" s="32" t="n">
        <f aca="false">SUM(K493:K499)</f>
        <v>0</v>
      </c>
      <c r="L500" s="32" t="n">
        <f aca="false">SUM(L493:L499)</f>
        <v>0</v>
      </c>
      <c r="M500" s="32" t="n">
        <f aca="false">SUM(M493:M499)</f>
        <v>0</v>
      </c>
      <c r="N500" s="32" t="n">
        <f aca="false">SUM(N493:N499)</f>
        <v>0</v>
      </c>
      <c r="O500" s="32" t="n">
        <f aca="false">SUM(O493:O499)</f>
        <v>-1598.148216</v>
      </c>
      <c r="P500" s="32" t="n">
        <f aca="false">SUM(P493:P499)</f>
        <v>-3260.87985132</v>
      </c>
      <c r="Q500" s="32" t="n">
        <f aca="false">SUM(Q493:Q499)</f>
        <v>-3322.39115932295</v>
      </c>
      <c r="R500" s="32" t="n">
        <f aca="false">SUM(R493:R499)</f>
        <v>-3385.38820151339</v>
      </c>
      <c r="S500" s="32" t="n">
        <f aca="false">SUM(S493:S499)</f>
        <v>-3449.90658222877</v>
      </c>
      <c r="T500" s="32" t="n">
        <f aca="false">SUM(T493:T499)</f>
        <v>-3515.98276867813</v>
      </c>
      <c r="U500" s="32" t="n">
        <f aca="false">SUM(U493:U499)</f>
        <v>-3583.65411193425</v>
      </c>
      <c r="V500" s="32" t="n">
        <f aca="false">SUM(V493:V499)</f>
        <v>-3652.95886843809</v>
      </c>
      <c r="W500" s="32" t="n">
        <f aca="false">SUM(W493:W499)</f>
        <v>-3723.93622202803</v>
      </c>
      <c r="X500" s="32" t="n">
        <f aca="false">SUM(X493:X499)</f>
        <v>-3796.62630650685</v>
      </c>
      <c r="Y500" s="32" t="n">
        <f aca="false">SUM(Y493:Y499)</f>
        <v>-3871.07022875947</v>
      </c>
      <c r="Z500" s="32" t="n">
        <f aca="false">SUM(Z493:Z499)</f>
        <v>-3947.31009243507</v>
      </c>
      <c r="AA500" s="32" t="n">
        <f aca="false">SUM(AA493:AA499)</f>
        <v>-4025.38902220729</v>
      </c>
      <c r="AB500" s="32" t="n">
        <f aca="false">SUM(AB493:AB499)</f>
        <v>-4105.3511886267</v>
      </c>
      <c r="AC500" s="32" t="n">
        <f aca="false">SUM(AC493:AC499)</f>
        <v>-4187.24183358009</v>
      </c>
      <c r="AD500" s="32" t="n">
        <f aca="false">SUM(AD493:AD499)</f>
        <v>-4271.10729637127</v>
      </c>
      <c r="AE500" s="32" t="n">
        <f aca="false">SUM(AE493:AE499)</f>
        <v>-4356.99504043889</v>
      </c>
      <c r="AF500" s="32" t="n">
        <f aca="false">SUM(AF493:AF499)</f>
        <v>-4444.95368072645</v>
      </c>
      <c r="AG500" s="32" t="n">
        <f aca="false">SUM(AG493:AG499)</f>
        <v>-4535.0330117209</v>
      </c>
      <c r="AH500" s="32" t="n">
        <f aca="false">SUM(AH493:AH499)</f>
        <v>-4627.28403617592</v>
      </c>
      <c r="AI500" s="32" t="n">
        <f aca="false">SUM(AI493:AI499)</f>
        <v>-4721.75899453672</v>
      </c>
      <c r="AJ500" s="32" t="n">
        <f aca="false">SUM(AJ493:AJ499)</f>
        <v>-4818.51139508354</v>
      </c>
      <c r="AK500" s="32" t="n">
        <f aca="false">SUM(AK493:AK499)</f>
        <v>-4917.59604481147</v>
      </c>
      <c r="AL500" s="32" t="n">
        <f aca="false">SUM(AL493:AL499)</f>
        <v>-5019.06908106463</v>
      </c>
      <c r="AM500" s="32" t="n">
        <f aca="false">SUM(AM493:AM499)</f>
        <v>-5122.98800394303</v>
      </c>
      <c r="AN500" s="32" t="n">
        <f aca="false">SUM(AN493:AN499)</f>
        <v>-5229.41170950133</v>
      </c>
      <c r="AO500" s="32" t="n">
        <f aca="false">SUM(AO493:AO499)</f>
        <v>-5338.40052375853</v>
      </c>
      <c r="AP500" s="32" t="n">
        <f aca="false">SUM(AP493:AP499)</f>
        <v>-5450.01623753884</v>
      </c>
      <c r="AQ500" s="32" t="n">
        <f aca="false">SUM(AQ493:AQ499)</f>
        <v>-5564.32214216366</v>
      </c>
      <c r="AR500" s="32" t="n">
        <f aca="false">SUM(AR493:AR499)</f>
        <v>-5681.38306601601</v>
      </c>
      <c r="AS500" s="32" t="n">
        <f aca="false">SUM(AS493:AS499)</f>
        <v>-2900.63270599912</v>
      </c>
    </row>
    <row r="501" customFormat="false" ht="14.25" hidden="false" customHeight="false" outlineLevel="0" collapsed="false">
      <c r="C501" s="1" t="s">
        <v>160</v>
      </c>
      <c r="D501" s="2" t="s">
        <v>85</v>
      </c>
      <c r="H501" s="15" t="n">
        <f aca="false">SUM(J501:AS501)</f>
        <v>315704.988106025</v>
      </c>
      <c r="J501" s="15" t="n">
        <f aca="false">J491+J500</f>
        <v>0</v>
      </c>
      <c r="K501" s="15" t="n">
        <f aca="false">K491+K500</f>
        <v>0</v>
      </c>
      <c r="L501" s="15" t="n">
        <f aca="false">L491+L500</f>
        <v>0</v>
      </c>
      <c r="M501" s="15" t="n">
        <f aca="false">M491+M500</f>
        <v>0</v>
      </c>
      <c r="N501" s="15" t="n">
        <f aca="false">N491+N500</f>
        <v>0</v>
      </c>
      <c r="O501" s="15" t="n">
        <f aca="false">O491+O500</f>
        <v>5069.771784</v>
      </c>
      <c r="P501" s="15" t="n">
        <f aca="false">P491+P500</f>
        <v>10208.31854868</v>
      </c>
      <c r="Q501" s="15" t="n">
        <f aca="false">Q491+Q500</f>
        <v>10240.6875535251</v>
      </c>
      <c r="R501" s="15" t="n">
        <f aca="false">R491+R500</f>
        <v>10272.2251699632</v>
      </c>
      <c r="S501" s="15" t="n">
        <f aca="false">S491+S500</f>
        <v>10302.900354447</v>
      </c>
      <c r="T501" s="15" t="n">
        <f aca="false">T491+T500</f>
        <v>10332.6812323462</v>
      </c>
      <c r="U501" s="15" t="n">
        <f aca="false">U491+U500</f>
        <v>10361.5350771773</v>
      </c>
      <c r="V501" s="15" t="n">
        <f aca="false">V491+V500</f>
        <v>10389.4282893215</v>
      </c>
      <c r="W501" s="15" t="n">
        <f aca="false">W491+W500</f>
        <v>10416.3263742212</v>
      </c>
      <c r="X501" s="15" t="n">
        <f aca="false">X491+X500</f>
        <v>10442.1939200382</v>
      </c>
      <c r="Y501" s="15" t="n">
        <f aca="false">Y491+Y500</f>
        <v>10466.9945747646</v>
      </c>
      <c r="Z501" s="15" t="n">
        <f aca="false">Z491+Z500</f>
        <v>10490.6910227696</v>
      </c>
      <c r="AA501" s="15" t="n">
        <f aca="false">AA491+AA500</f>
        <v>10513.2449607703</v>
      </c>
      <c r="AB501" s="15" t="n">
        <f aca="false">AB491+AB500</f>
        <v>10534.6170732123</v>
      </c>
      <c r="AC501" s="15" t="n">
        <f aca="false">AC491+AC500</f>
        <v>10554.7670070439</v>
      </c>
      <c r="AD501" s="15" t="n">
        <f aca="false">AD491+AD500</f>
        <v>10573.6533458719</v>
      </c>
      <c r="AE501" s="15" t="n">
        <f aca="false">AE491+AE500</f>
        <v>10591.2335834807</v>
      </c>
      <c r="AF501" s="15" t="n">
        <f aca="false">AF491+AF500</f>
        <v>10607.4640967019</v>
      </c>
      <c r="AG501" s="15" t="n">
        <f aca="false">AG491+AG500</f>
        <v>10622.3001176161</v>
      </c>
      <c r="AH501" s="15" t="n">
        <f aca="false">AH491+AH500</f>
        <v>10635.6957050725</v>
      </c>
      <c r="AI501" s="15" t="n">
        <f aca="false">AI491+AI500</f>
        <v>10647.6037155082</v>
      </c>
      <c r="AJ501" s="15" t="n">
        <f aca="false">AJ491+AJ500</f>
        <v>10657.9757730504</v>
      </c>
      <c r="AK501" s="15" t="n">
        <f aca="false">AK491+AK500</f>
        <v>10666.7622388844</v>
      </c>
      <c r="AL501" s="15" t="n">
        <f aca="false">AL491+AL500</f>
        <v>10673.9121798686</v>
      </c>
      <c r="AM501" s="15" t="n">
        <f aca="false">AM491+AM500</f>
        <v>10679.3733363789</v>
      </c>
      <c r="AN501" s="15" t="n">
        <f aca="false">AN491+AN500</f>
        <v>10683.0920893626</v>
      </c>
      <c r="AO501" s="15" t="n">
        <f aca="false">AO491+AO500</f>
        <v>10685.0134265835</v>
      </c>
      <c r="AP501" s="15" t="n">
        <f aca="false">AP491+AP500</f>
        <v>10685.0809080371</v>
      </c>
      <c r="AQ501" s="15" t="n">
        <f aca="false">AQ491+AQ500</f>
        <v>10683.2366305169</v>
      </c>
      <c r="AR501" s="15" t="n">
        <f aca="false">AR491+AR500</f>
        <v>10679.4211913102</v>
      </c>
      <c r="AS501" s="15" t="n">
        <f aca="false">AS491+AS500</f>
        <v>5336.78682550075</v>
      </c>
    </row>
    <row r="502" customFormat="false" ht="14.25" hidden="false" customHeight="false" outlineLevel="0" collapsed="false">
      <c r="C502" s="1" t="s">
        <v>314</v>
      </c>
      <c r="D502" s="2" t="s">
        <v>85</v>
      </c>
      <c r="H502" s="32" t="n">
        <f aca="false">SUM(J502:AS502)</f>
        <v>238904.92885945</v>
      </c>
      <c r="J502" s="32" t="n">
        <f aca="false">J487+J501</f>
        <v>0</v>
      </c>
      <c r="K502" s="32" t="n">
        <f aca="false">K487+K501</f>
        <v>0</v>
      </c>
      <c r="L502" s="32" t="n">
        <f aca="false">L487+L501</f>
        <v>0</v>
      </c>
      <c r="M502" s="32" t="n">
        <f aca="false">M487+M501</f>
        <v>-29757.5797945206</v>
      </c>
      <c r="N502" s="32" t="n">
        <f aca="false">N487+N501</f>
        <v>-31358</v>
      </c>
      <c r="O502" s="32" t="n">
        <f aca="false">O487+O501</f>
        <v>-13109.228216</v>
      </c>
      <c r="P502" s="32" t="n">
        <f aca="false">P487+P501</f>
        <v>10208.31854868</v>
      </c>
      <c r="Q502" s="32" t="n">
        <f aca="false">Q487+Q501</f>
        <v>12735.2081014703</v>
      </c>
      <c r="R502" s="32" t="n">
        <f aca="false">R487+R501</f>
        <v>10272.2251699632</v>
      </c>
      <c r="S502" s="32" t="n">
        <f aca="false">S487+S501</f>
        <v>10302.900354447</v>
      </c>
      <c r="T502" s="32" t="n">
        <f aca="false">T487+T501</f>
        <v>10332.6812323462</v>
      </c>
      <c r="U502" s="32" t="n">
        <f aca="false">U487+U501</f>
        <v>10361.5350771773</v>
      </c>
      <c r="V502" s="32" t="n">
        <f aca="false">V487+V501</f>
        <v>10389.4282893215</v>
      </c>
      <c r="W502" s="32" t="n">
        <f aca="false">W487+W501</f>
        <v>10416.3263742212</v>
      </c>
      <c r="X502" s="32" t="n">
        <f aca="false">X487+X501</f>
        <v>10442.1939200382</v>
      </c>
      <c r="Y502" s="32" t="n">
        <f aca="false">Y487+Y501</f>
        <v>10466.9945747646</v>
      </c>
      <c r="Z502" s="32" t="n">
        <f aca="false">Z487+Z501</f>
        <v>10490.6910227696</v>
      </c>
      <c r="AA502" s="32" t="n">
        <f aca="false">AA487+AA501</f>
        <v>10513.2449607703</v>
      </c>
      <c r="AB502" s="32" t="n">
        <f aca="false">AB487+AB501</f>
        <v>10534.6170732123</v>
      </c>
      <c r="AC502" s="32" t="n">
        <f aca="false">AC487+AC501</f>
        <v>10554.7670070439</v>
      </c>
      <c r="AD502" s="32" t="n">
        <f aca="false">AD487+AD501</f>
        <v>10573.6533458719</v>
      </c>
      <c r="AE502" s="32" t="n">
        <f aca="false">AE487+AE501</f>
        <v>10591.2335834807</v>
      </c>
      <c r="AF502" s="32" t="n">
        <f aca="false">AF487+AF501</f>
        <v>10607.4640967019</v>
      </c>
      <c r="AG502" s="32" t="n">
        <f aca="false">AG487+AG501</f>
        <v>10622.3001176161</v>
      </c>
      <c r="AH502" s="32" t="n">
        <f aca="false">AH487+AH501</f>
        <v>10635.6957050725</v>
      </c>
      <c r="AI502" s="32" t="n">
        <f aca="false">AI487+AI501</f>
        <v>10647.6037155082</v>
      </c>
      <c r="AJ502" s="32" t="n">
        <f aca="false">AJ487+AJ501</f>
        <v>10657.9757730504</v>
      </c>
      <c r="AK502" s="32" t="n">
        <f aca="false">AK487+AK501</f>
        <v>10666.7622388844</v>
      </c>
      <c r="AL502" s="32" t="n">
        <f aca="false">AL487+AL501</f>
        <v>10673.9121798686</v>
      </c>
      <c r="AM502" s="32" t="n">
        <f aca="false">AM487+AM501</f>
        <v>10679.3733363789</v>
      </c>
      <c r="AN502" s="32" t="n">
        <f aca="false">AN487+AN501</f>
        <v>10683.0920893626</v>
      </c>
      <c r="AO502" s="32" t="n">
        <f aca="false">AO487+AO501</f>
        <v>10685.0134265835</v>
      </c>
      <c r="AP502" s="32" t="n">
        <f aca="false">AP487+AP501</f>
        <v>10685.0809080371</v>
      </c>
      <c r="AQ502" s="32" t="n">
        <f aca="false">AQ487+AQ501</f>
        <v>10683.2366305169</v>
      </c>
      <c r="AR502" s="32" t="n">
        <f aca="false">AR487+AR501</f>
        <v>10679.4211913102</v>
      </c>
      <c r="AS502" s="32" t="n">
        <f aca="false">AS487+AS501</f>
        <v>5336.78682550075</v>
      </c>
    </row>
    <row r="503" customFormat="false" ht="14.25" hidden="false" customHeight="false" outlineLevel="0" collapsed="false">
      <c r="C503" s="6" t="s">
        <v>315</v>
      </c>
      <c r="D503" s="2" t="s">
        <v>12</v>
      </c>
      <c r="H503" s="75" t="n">
        <f aca="false">SUM(J503:AS503)</f>
        <v>20</v>
      </c>
      <c r="J503" s="48" t="n">
        <f aca="false">MAX(0,MIN(J480,Tax_Dep_Life*Months_In_Year)-MAX(J480-Months_In_Year,0))/Months_In_Year</f>
        <v>0</v>
      </c>
      <c r="K503" s="48" t="n">
        <f aca="false">MAX(0,MIN(K480,Tax_Dep_Life*Months_In_Year)-MAX(K480-Months_In_Year,0))/Months_In_Year</f>
        <v>0</v>
      </c>
      <c r="L503" s="48" t="n">
        <f aca="false">MAX(0,MIN(L480,Tax_Dep_Life*Months_In_Year)-MAX(L480-Months_In_Year,0))/Months_In_Year</f>
        <v>0</v>
      </c>
      <c r="M503" s="48" t="n">
        <f aca="false">MAX(0,MIN(M480,Tax_Dep_Life*Months_In_Year)-MAX(M480-Months_In_Year,0))/Months_In_Year</f>
        <v>0</v>
      </c>
      <c r="N503" s="48" t="n">
        <f aca="false">MAX(0,MIN(N480,Tax_Dep_Life*Months_In_Year)-MAX(N480-Months_In_Year,0))/Months_In_Year</f>
        <v>0</v>
      </c>
      <c r="O503" s="48" t="n">
        <f aca="false">MAX(0,MIN(O480,Tax_Dep_Life*Months_In_Year)-MAX(O480-Months_In_Year,0))/Months_In_Year</f>
        <v>0.5</v>
      </c>
      <c r="P503" s="48" t="n">
        <f aca="false">MAX(0,MIN(P480,Tax_Dep_Life*Months_In_Year)-MAX(P480-Months_In_Year,0))/Months_In_Year</f>
        <v>1</v>
      </c>
      <c r="Q503" s="48" t="n">
        <f aca="false">MAX(0,MIN(Q480,Tax_Dep_Life*Months_In_Year)-MAX(Q480-Months_In_Year,0))/Months_In_Year</f>
        <v>1</v>
      </c>
      <c r="R503" s="48" t="n">
        <f aca="false">MAX(0,MIN(R480,Tax_Dep_Life*Months_In_Year)-MAX(R480-Months_In_Year,0))/Months_In_Year</f>
        <v>1</v>
      </c>
      <c r="S503" s="48" t="n">
        <f aca="false">MAX(0,MIN(S480,Tax_Dep_Life*Months_In_Year)-MAX(S480-Months_In_Year,0))/Months_In_Year</f>
        <v>1</v>
      </c>
      <c r="T503" s="48" t="n">
        <f aca="false">MAX(0,MIN(T480,Tax_Dep_Life*Months_In_Year)-MAX(T480-Months_In_Year,0))/Months_In_Year</f>
        <v>1</v>
      </c>
      <c r="U503" s="48" t="n">
        <f aca="false">MAX(0,MIN(U480,Tax_Dep_Life*Months_In_Year)-MAX(U480-Months_In_Year,0))/Months_In_Year</f>
        <v>1</v>
      </c>
      <c r="V503" s="48" t="n">
        <f aca="false">MAX(0,MIN(V480,Tax_Dep_Life*Months_In_Year)-MAX(V480-Months_In_Year,0))/Months_In_Year</f>
        <v>1</v>
      </c>
      <c r="W503" s="48" t="n">
        <f aca="false">MAX(0,MIN(W480,Tax_Dep_Life*Months_In_Year)-MAX(W480-Months_In_Year,0))/Months_In_Year</f>
        <v>1</v>
      </c>
      <c r="X503" s="48" t="n">
        <f aca="false">MAX(0,MIN(X480,Tax_Dep_Life*Months_In_Year)-MAX(X480-Months_In_Year,0))/Months_In_Year</f>
        <v>1</v>
      </c>
      <c r="Y503" s="48" t="n">
        <f aca="false">MAX(0,MIN(Y480,Tax_Dep_Life*Months_In_Year)-MAX(Y480-Months_In_Year,0))/Months_In_Year</f>
        <v>1</v>
      </c>
      <c r="Z503" s="48" t="n">
        <f aca="false">MAX(0,MIN(Z480,Tax_Dep_Life*Months_In_Year)-MAX(Z480-Months_In_Year,0))/Months_In_Year</f>
        <v>1</v>
      </c>
      <c r="AA503" s="48" t="n">
        <f aca="false">MAX(0,MIN(AA480,Tax_Dep_Life*Months_In_Year)-MAX(AA480-Months_In_Year,0))/Months_In_Year</f>
        <v>1</v>
      </c>
      <c r="AB503" s="48" t="n">
        <f aca="false">MAX(0,MIN(AB480,Tax_Dep_Life*Months_In_Year)-MAX(AB480-Months_In_Year,0))/Months_In_Year</f>
        <v>1</v>
      </c>
      <c r="AC503" s="48" t="n">
        <f aca="false">MAX(0,MIN(AC480,Tax_Dep_Life*Months_In_Year)-MAX(AC480-Months_In_Year,0))/Months_In_Year</f>
        <v>1</v>
      </c>
      <c r="AD503" s="48" t="n">
        <f aca="false">MAX(0,MIN(AD480,Tax_Dep_Life*Months_In_Year)-MAX(AD480-Months_In_Year,0))/Months_In_Year</f>
        <v>1</v>
      </c>
      <c r="AE503" s="48" t="n">
        <f aca="false">MAX(0,MIN(AE480,Tax_Dep_Life*Months_In_Year)-MAX(AE480-Months_In_Year,0))/Months_In_Year</f>
        <v>1</v>
      </c>
      <c r="AF503" s="48" t="n">
        <f aca="false">MAX(0,MIN(AF480,Tax_Dep_Life*Months_In_Year)-MAX(AF480-Months_In_Year,0))/Months_In_Year</f>
        <v>1</v>
      </c>
      <c r="AG503" s="48" t="n">
        <f aca="false">MAX(0,MIN(AG480,Tax_Dep_Life*Months_In_Year)-MAX(AG480-Months_In_Year,0))/Months_In_Year</f>
        <v>1</v>
      </c>
      <c r="AH503" s="48" t="n">
        <f aca="false">MAX(0,MIN(AH480,Tax_Dep_Life*Months_In_Year)-MAX(AH480-Months_In_Year,0))/Months_In_Year</f>
        <v>1</v>
      </c>
      <c r="AI503" s="48" t="n">
        <f aca="false">MAX(0,MIN(AI480,Tax_Dep_Life*Months_In_Year)-MAX(AI480-Months_In_Year,0))/Months_In_Year</f>
        <v>0.5</v>
      </c>
      <c r="AJ503" s="48" t="n">
        <f aca="false">MAX(0,MIN(AJ480,Tax_Dep_Life*Months_In_Year)-MAX(AJ480-Months_In_Year,0))/Months_In_Year</f>
        <v>0</v>
      </c>
      <c r="AK503" s="48" t="n">
        <f aca="false">MAX(0,MIN(AK480,Tax_Dep_Life*Months_In_Year)-MAX(AK480-Months_In_Year,0))/Months_In_Year</f>
        <v>0</v>
      </c>
      <c r="AL503" s="48" t="n">
        <f aca="false">MAX(0,MIN(AL480,Tax_Dep_Life*Months_In_Year)-MAX(AL480-Months_In_Year,0))/Months_In_Year</f>
        <v>0</v>
      </c>
      <c r="AM503" s="48" t="n">
        <f aca="false">MAX(0,MIN(AM480,Tax_Dep_Life*Months_In_Year)-MAX(AM480-Months_In_Year,0))/Months_In_Year</f>
        <v>0</v>
      </c>
      <c r="AN503" s="48" t="n">
        <f aca="false">MAX(0,MIN(AN480,Tax_Dep_Life*Months_In_Year)-MAX(AN480-Months_In_Year,0))/Months_In_Year</f>
        <v>0</v>
      </c>
      <c r="AO503" s="48" t="n">
        <f aca="false">MAX(0,MIN(AO480,Tax_Dep_Life*Months_In_Year)-MAX(AO480-Months_In_Year,0))/Months_In_Year</f>
        <v>0</v>
      </c>
      <c r="AP503" s="48" t="n">
        <f aca="false">MAX(0,MIN(AP480,Tax_Dep_Life*Months_In_Year)-MAX(AP480-Months_In_Year,0))/Months_In_Year</f>
        <v>0</v>
      </c>
      <c r="AQ503" s="48" t="n">
        <f aca="false">MAX(0,MIN(AQ480,Tax_Dep_Life*Months_In_Year)-MAX(AQ480-Months_In_Year,0))/Months_In_Year</f>
        <v>0</v>
      </c>
      <c r="AR503" s="48" t="n">
        <f aca="false">MAX(0,MIN(AR480,Tax_Dep_Life*Months_In_Year)-MAX(AR480-Months_In_Year,0))/Months_In_Year</f>
        <v>0</v>
      </c>
      <c r="AS503" s="48" t="n">
        <f aca="false">MAX(0,MIN(AS480,Tax_Dep_Life*Months_In_Year)-MAX(AS480-Months_In_Year,0))/Months_In_Year</f>
        <v>0</v>
      </c>
    </row>
    <row r="504" customFormat="false" ht="14.25" hidden="false" customHeight="false" outlineLevel="0" collapsed="false">
      <c r="C504" s="6" t="s">
        <v>316</v>
      </c>
      <c r="D504" s="2" t="s">
        <v>85</v>
      </c>
      <c r="G504" s="52" t="n">
        <f aca="false">G91+G92+G96</f>
        <v>69192.2575342466</v>
      </c>
      <c r="H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</row>
    <row r="505" customFormat="false" ht="14.25" hidden="false" customHeight="false" outlineLevel="0" collapsed="false">
      <c r="C505" s="6" t="s">
        <v>317</v>
      </c>
      <c r="D505" s="2" t="s">
        <v>85</v>
      </c>
      <c r="H505" s="8" t="n">
        <f aca="false">SUM(J505:AS505)</f>
        <v>-69192.2575342466</v>
      </c>
      <c r="J505" s="8" t="n">
        <f aca="false">-$G504/Tax_Dep_Life*J503</f>
        <v>-0</v>
      </c>
      <c r="K505" s="8" t="n">
        <f aca="false">-$G504/Tax_Dep_Life*K503</f>
        <v>-0</v>
      </c>
      <c r="L505" s="8" t="n">
        <f aca="false">-$G504/Tax_Dep_Life*L503</f>
        <v>-0</v>
      </c>
      <c r="M505" s="8" t="n">
        <f aca="false">-$G504/Tax_Dep_Life*M503</f>
        <v>-0</v>
      </c>
      <c r="N505" s="8" t="n">
        <f aca="false">-$G504/Tax_Dep_Life*N503</f>
        <v>-0</v>
      </c>
      <c r="O505" s="8" t="n">
        <f aca="false">-$G504/Tax_Dep_Life*O503</f>
        <v>-1729.80643835616</v>
      </c>
      <c r="P505" s="8" t="n">
        <f aca="false">-$G504/Tax_Dep_Life*P503</f>
        <v>-3459.61287671233</v>
      </c>
      <c r="Q505" s="8" t="n">
        <f aca="false">-$G504/Tax_Dep_Life*Q503</f>
        <v>-3459.61287671233</v>
      </c>
      <c r="R505" s="8" t="n">
        <f aca="false">-$G504/Tax_Dep_Life*R503</f>
        <v>-3459.61287671233</v>
      </c>
      <c r="S505" s="8" t="n">
        <f aca="false">-$G504/Tax_Dep_Life*S503</f>
        <v>-3459.61287671233</v>
      </c>
      <c r="T505" s="8" t="n">
        <f aca="false">-$G504/Tax_Dep_Life*T503</f>
        <v>-3459.61287671233</v>
      </c>
      <c r="U505" s="8" t="n">
        <f aca="false">-$G504/Tax_Dep_Life*U503</f>
        <v>-3459.61287671233</v>
      </c>
      <c r="V505" s="8" t="n">
        <f aca="false">-$G504/Tax_Dep_Life*V503</f>
        <v>-3459.61287671233</v>
      </c>
      <c r="W505" s="8" t="n">
        <f aca="false">-$G504/Tax_Dep_Life*W503</f>
        <v>-3459.61287671233</v>
      </c>
      <c r="X505" s="8" t="n">
        <f aca="false">-$G504/Tax_Dep_Life*X503</f>
        <v>-3459.61287671233</v>
      </c>
      <c r="Y505" s="8" t="n">
        <f aca="false">-$G504/Tax_Dep_Life*Y503</f>
        <v>-3459.61287671233</v>
      </c>
      <c r="Z505" s="8" t="n">
        <f aca="false">-$G504/Tax_Dep_Life*Z503</f>
        <v>-3459.61287671233</v>
      </c>
      <c r="AA505" s="8" t="n">
        <f aca="false">-$G504/Tax_Dep_Life*AA503</f>
        <v>-3459.61287671233</v>
      </c>
      <c r="AB505" s="8" t="n">
        <f aca="false">-$G504/Tax_Dep_Life*AB503</f>
        <v>-3459.61287671233</v>
      </c>
      <c r="AC505" s="8" t="n">
        <f aca="false">-$G504/Tax_Dep_Life*AC503</f>
        <v>-3459.61287671233</v>
      </c>
      <c r="AD505" s="8" t="n">
        <f aca="false">-$G504/Tax_Dep_Life*AD503</f>
        <v>-3459.61287671233</v>
      </c>
      <c r="AE505" s="8" t="n">
        <f aca="false">-$G504/Tax_Dep_Life*AE503</f>
        <v>-3459.61287671233</v>
      </c>
      <c r="AF505" s="8" t="n">
        <f aca="false">-$G504/Tax_Dep_Life*AF503</f>
        <v>-3459.61287671233</v>
      </c>
      <c r="AG505" s="8" t="n">
        <f aca="false">-$G504/Tax_Dep_Life*AG503</f>
        <v>-3459.61287671233</v>
      </c>
      <c r="AH505" s="8" t="n">
        <f aca="false">-$G504/Tax_Dep_Life*AH503</f>
        <v>-3459.61287671233</v>
      </c>
      <c r="AI505" s="8" t="n">
        <f aca="false">-$G504/Tax_Dep_Life*AI503</f>
        <v>-1729.80643835616</v>
      </c>
      <c r="AJ505" s="8" t="n">
        <f aca="false">-$G504/Tax_Dep_Life*AJ503</f>
        <v>-0</v>
      </c>
      <c r="AK505" s="8" t="n">
        <f aca="false">-$G504/Tax_Dep_Life*AK503</f>
        <v>-0</v>
      </c>
      <c r="AL505" s="8" t="n">
        <f aca="false">-$G504/Tax_Dep_Life*AL503</f>
        <v>-0</v>
      </c>
      <c r="AM505" s="8" t="n">
        <f aca="false">-$G504/Tax_Dep_Life*AM503</f>
        <v>-0</v>
      </c>
      <c r="AN505" s="8" t="n">
        <f aca="false">-$G504/Tax_Dep_Life*AN503</f>
        <v>-0</v>
      </c>
      <c r="AO505" s="8" t="n">
        <f aca="false">-$G504/Tax_Dep_Life*AO503</f>
        <v>-0</v>
      </c>
      <c r="AP505" s="8" t="n">
        <f aca="false">-$G504/Tax_Dep_Life*AP503</f>
        <v>-0</v>
      </c>
      <c r="AQ505" s="8" t="n">
        <f aca="false">-$G504/Tax_Dep_Life*AQ503</f>
        <v>-0</v>
      </c>
      <c r="AR505" s="8" t="n">
        <f aca="false">-$G504/Tax_Dep_Life*AR503</f>
        <v>-0</v>
      </c>
      <c r="AS505" s="8" t="n">
        <f aca="false">-$G504/Tax_Dep_Life*AS503</f>
        <v>-0</v>
      </c>
    </row>
    <row r="506" customFormat="false" ht="14.25" hidden="false" customHeight="false" outlineLevel="0" collapsed="false">
      <c r="C506" s="6" t="s">
        <v>318</v>
      </c>
      <c r="D506" s="2" t="s">
        <v>85</v>
      </c>
      <c r="H506" s="8" t="n">
        <f aca="false">SUM(J506:AS506)</f>
        <v>-36976.9095857668</v>
      </c>
      <c r="J506" s="8" t="n">
        <f aca="false">-MAX(0,J501+J505)*CIT_Rate</f>
        <v>-0</v>
      </c>
      <c r="K506" s="8" t="n">
        <f aca="false">-MAX(0,K501+K505)*CIT_Rate</f>
        <v>-0</v>
      </c>
      <c r="L506" s="8" t="n">
        <f aca="false">-MAX(0,L501+L505)*CIT_Rate</f>
        <v>-0</v>
      </c>
      <c r="M506" s="8" t="n">
        <f aca="false">-MAX(0,M501+M505)*CIT_Rate</f>
        <v>-0</v>
      </c>
      <c r="N506" s="8" t="n">
        <f aca="false">-MAX(0,N501+N505)*CIT_Rate</f>
        <v>-0</v>
      </c>
      <c r="O506" s="8" t="n">
        <f aca="false">-MAX(0,O501+O505)*CIT_Rate</f>
        <v>-500.994801846575</v>
      </c>
      <c r="P506" s="8" t="n">
        <f aca="false">-MAX(0,P501+P505)*CIT_Rate</f>
        <v>-1012.30585079515</v>
      </c>
      <c r="Q506" s="8" t="n">
        <f aca="false">-MAX(0,Q501+Q505)*CIT_Rate</f>
        <v>-1017.16120152191</v>
      </c>
      <c r="R506" s="8" t="n">
        <f aca="false">-MAX(0,R501+R505)*CIT_Rate</f>
        <v>-1021.89184398762</v>
      </c>
      <c r="S506" s="8" t="n">
        <f aca="false">-MAX(0,S501+S505)*CIT_Rate</f>
        <v>-1026.4931216602</v>
      </c>
      <c r="T506" s="8" t="n">
        <f aca="false">-MAX(0,T501+T505)*CIT_Rate</f>
        <v>-1030.96025334509</v>
      </c>
      <c r="U506" s="8" t="n">
        <f aca="false">-MAX(0,U501+U505)*CIT_Rate</f>
        <v>-1035.28833006974</v>
      </c>
      <c r="V506" s="8" t="n">
        <f aca="false">-MAX(0,V501+V505)*CIT_Rate</f>
        <v>-1039.47231189138</v>
      </c>
      <c r="W506" s="8" t="n">
        <f aca="false">-MAX(0,W501+W505)*CIT_Rate</f>
        <v>-1043.50702462633</v>
      </c>
      <c r="X506" s="8" t="n">
        <f aca="false">-MAX(0,X501+X505)*CIT_Rate</f>
        <v>-1047.38715649888</v>
      </c>
      <c r="Y506" s="8" t="n">
        <f aca="false">-MAX(0,Y501+Y505)*CIT_Rate</f>
        <v>-1051.10725470784</v>
      </c>
      <c r="Z506" s="8" t="n">
        <f aca="false">-MAX(0,Z501+Z505)*CIT_Rate</f>
        <v>-1054.66172190859</v>
      </c>
      <c r="AA506" s="8" t="n">
        <f aca="false">-MAX(0,AA501+AA505)*CIT_Rate</f>
        <v>-1058.0448126087</v>
      </c>
      <c r="AB506" s="8" t="n">
        <f aca="false">-MAX(0,AB501+AB505)*CIT_Rate</f>
        <v>-1061.25062947499</v>
      </c>
      <c r="AC506" s="8" t="n">
        <f aca="false">-MAX(0,AC501+AC505)*CIT_Rate</f>
        <v>-1064.27311954974</v>
      </c>
      <c r="AD506" s="8" t="n">
        <f aca="false">-MAX(0,AD501+AD505)*CIT_Rate</f>
        <v>-1067.10607037393</v>
      </c>
      <c r="AE506" s="8" t="n">
        <f aca="false">-MAX(0,AE501+AE505)*CIT_Rate</f>
        <v>-1069.74310601525</v>
      </c>
      <c r="AF506" s="8" t="n">
        <f aca="false">-MAX(0,AF501+AF505)*CIT_Rate</f>
        <v>-1072.17768299843</v>
      </c>
      <c r="AG506" s="8" t="n">
        <f aca="false">-MAX(0,AG501+AG505)*CIT_Rate</f>
        <v>-1074.40308613556</v>
      </c>
      <c r="AH506" s="8" t="n">
        <f aca="false">-MAX(0,AH501+AH505)*CIT_Rate</f>
        <v>-1076.41242425403</v>
      </c>
      <c r="AI506" s="8" t="n">
        <f aca="false">-MAX(0,AI501+AI505)*CIT_Rate</f>
        <v>-1337.66959157281</v>
      </c>
      <c r="AJ506" s="8" t="n">
        <f aca="false">-MAX(0,AJ501+AJ505)*CIT_Rate</f>
        <v>-1598.69636595756</v>
      </c>
      <c r="AK506" s="8" t="n">
        <f aca="false">-MAX(0,AK501+AK505)*CIT_Rate</f>
        <v>-1600.01433583266</v>
      </c>
      <c r="AL506" s="8" t="n">
        <f aca="false">-MAX(0,AL501+AL505)*CIT_Rate</f>
        <v>-1601.08682698029</v>
      </c>
      <c r="AM506" s="8" t="n">
        <f aca="false">-MAX(0,AM501+AM505)*CIT_Rate</f>
        <v>-1601.90600045683</v>
      </c>
      <c r="AN506" s="8" t="n">
        <f aca="false">-MAX(0,AN501+AN505)*CIT_Rate</f>
        <v>-1602.4638134044</v>
      </c>
      <c r="AO506" s="8" t="n">
        <f aca="false">-MAX(0,AO501+AO505)*CIT_Rate</f>
        <v>-1602.75201398753</v>
      </c>
      <c r="AP506" s="8" t="n">
        <f aca="false">-MAX(0,AP501+AP505)*CIT_Rate</f>
        <v>-1602.76213620557</v>
      </c>
      <c r="AQ506" s="8" t="n">
        <f aca="false">-MAX(0,AQ501+AQ505)*CIT_Rate</f>
        <v>-1602.48549457754</v>
      </c>
      <c r="AR506" s="8" t="n">
        <f aca="false">-MAX(0,AR501+AR505)*CIT_Rate</f>
        <v>-1601.91317869653</v>
      </c>
      <c r="AS506" s="8" t="n">
        <f aca="false">-MAX(0,AS501+AS505)*CIT_Rate</f>
        <v>-800.518023825112</v>
      </c>
    </row>
    <row r="507" customFormat="false" ht="14.25" hidden="false" customHeight="false" outlineLevel="0" collapsed="false">
      <c r="C507" s="1" t="s">
        <v>319</v>
      </c>
      <c r="D507" s="2" t="s">
        <v>85</v>
      </c>
      <c r="H507" s="32" t="n">
        <f aca="false">SUM(J507:AS507)</f>
        <v>201928.019273683</v>
      </c>
      <c r="J507" s="32" t="n">
        <f aca="false">J502+J506</f>
        <v>0</v>
      </c>
      <c r="K507" s="32" t="n">
        <f aca="false">K502+K506</f>
        <v>0</v>
      </c>
      <c r="L507" s="32" t="n">
        <f aca="false">L502+L506</f>
        <v>0</v>
      </c>
      <c r="M507" s="32" t="n">
        <f aca="false">M502+M506</f>
        <v>-29757.5797945206</v>
      </c>
      <c r="N507" s="32" t="n">
        <f aca="false">N502+N506</f>
        <v>-31358</v>
      </c>
      <c r="O507" s="32" t="n">
        <f aca="false">O502+O506</f>
        <v>-13610.2230178466</v>
      </c>
      <c r="P507" s="32" t="n">
        <f aca="false">P502+P506</f>
        <v>9196.01269788485</v>
      </c>
      <c r="Q507" s="32" t="n">
        <f aca="false">Q502+Q506</f>
        <v>11718.0468999483</v>
      </c>
      <c r="R507" s="32" t="n">
        <f aca="false">R502+R506</f>
        <v>9250.33332597553</v>
      </c>
      <c r="S507" s="32" t="n">
        <f aca="false">S502+S506</f>
        <v>9276.40723278677</v>
      </c>
      <c r="T507" s="32" t="n">
        <f aca="false">T502+T506</f>
        <v>9301.72097900116</v>
      </c>
      <c r="U507" s="32" t="n">
        <f aca="false">U502+U506</f>
        <v>9326.24674710753</v>
      </c>
      <c r="V507" s="32" t="n">
        <f aca="false">V502+V506</f>
        <v>9349.95597743015</v>
      </c>
      <c r="W507" s="32" t="n">
        <f aca="false">W502+W506</f>
        <v>9372.81934959485</v>
      </c>
      <c r="X507" s="32" t="n">
        <f aca="false">X502+X506</f>
        <v>9394.80676353933</v>
      </c>
      <c r="Y507" s="32" t="n">
        <f aca="false">Y502+Y506</f>
        <v>9415.88732005677</v>
      </c>
      <c r="Z507" s="32" t="n">
        <f aca="false">Z502+Z506</f>
        <v>9436.02930086098</v>
      </c>
      <c r="AA507" s="32" t="n">
        <f aca="false">AA502+AA506</f>
        <v>9455.20014816163</v>
      </c>
      <c r="AB507" s="32" t="n">
        <f aca="false">AB502+AB506</f>
        <v>9473.36644373728</v>
      </c>
      <c r="AC507" s="32" t="n">
        <f aca="false">AC502+AC506</f>
        <v>9490.49388749417</v>
      </c>
      <c r="AD507" s="32" t="n">
        <f aca="false">AD502+AD506</f>
        <v>9506.54727549794</v>
      </c>
      <c r="AE507" s="32" t="n">
        <f aca="false">AE502+AE506</f>
        <v>9521.49047746544</v>
      </c>
      <c r="AF507" s="32" t="n">
        <f aca="false">AF502+AF506</f>
        <v>9535.28641370342</v>
      </c>
      <c r="AG507" s="32" t="n">
        <f aca="false">AG502+AG506</f>
        <v>9547.89703148051</v>
      </c>
      <c r="AH507" s="32" t="n">
        <f aca="false">AH502+AH506</f>
        <v>9559.2832808185</v>
      </c>
      <c r="AI507" s="32" t="n">
        <f aca="false">AI502+AI506</f>
        <v>9309.93412393542</v>
      </c>
      <c r="AJ507" s="32" t="n">
        <f aca="false">AJ502+AJ506</f>
        <v>9059.27940709287</v>
      </c>
      <c r="AK507" s="32" t="n">
        <f aca="false">AK502+AK506</f>
        <v>9066.74790305173</v>
      </c>
      <c r="AL507" s="32" t="n">
        <f aca="false">AL502+AL506</f>
        <v>9072.8253528883</v>
      </c>
      <c r="AM507" s="32" t="n">
        <f aca="false">AM502+AM506</f>
        <v>9077.46733592206</v>
      </c>
      <c r="AN507" s="32" t="n">
        <f aca="false">AN502+AN506</f>
        <v>9080.62827595824</v>
      </c>
      <c r="AO507" s="32" t="n">
        <f aca="false">AO502+AO506</f>
        <v>9082.26141259599</v>
      </c>
      <c r="AP507" s="32" t="n">
        <f aca="false">AP502+AP506</f>
        <v>9082.31877183154</v>
      </c>
      <c r="AQ507" s="32" t="n">
        <f aca="false">AQ502+AQ506</f>
        <v>9080.75113593939</v>
      </c>
      <c r="AR507" s="32" t="n">
        <f aca="false">AR502+AR506</f>
        <v>9077.50801261365</v>
      </c>
      <c r="AS507" s="32" t="n">
        <f aca="false">AS502+AS506</f>
        <v>4536.26880167564</v>
      </c>
    </row>
    <row r="508" customFormat="false" ht="14.25" hidden="false" customHeight="false" outlineLevel="0" collapsed="false">
      <c r="C508" s="6" t="s">
        <v>320</v>
      </c>
      <c r="D508" s="2" t="s">
        <v>85</v>
      </c>
      <c r="G508" s="52" t="n">
        <f aca="false">G99*Gearing</f>
        <v>46080.0355479452</v>
      </c>
      <c r="H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</row>
    <row r="509" customFormat="false" ht="14.25" hidden="false" customHeight="false" outlineLevel="0" collapsed="false">
      <c r="C509" s="6" t="s">
        <v>321</v>
      </c>
      <c r="D509" s="2" t="s">
        <v>85</v>
      </c>
      <c r="H509" s="8" t="n">
        <f aca="false">SUM(J509:AS509)</f>
        <v>46080.0355479452</v>
      </c>
      <c r="J509" s="8" t="n">
        <f aca="false">$G508*J479</f>
        <v>0</v>
      </c>
      <c r="K509" s="8" t="n">
        <f aca="false">$G508*K479</f>
        <v>0</v>
      </c>
      <c r="L509" s="8" t="n">
        <f aca="false">$G508*L479</f>
        <v>0</v>
      </c>
      <c r="M509" s="8" t="n">
        <f aca="false">$G508*M479</f>
        <v>11520.0088869863</v>
      </c>
      <c r="N509" s="8" t="n">
        <f aca="false">$G508*N479</f>
        <v>23040.0177739726</v>
      </c>
      <c r="O509" s="8" t="n">
        <f aca="false">$G508*O479</f>
        <v>11520.0088869863</v>
      </c>
      <c r="P509" s="8" t="n">
        <f aca="false">$G508*P479</f>
        <v>0</v>
      </c>
      <c r="Q509" s="8" t="n">
        <f aca="false">$G508*Q479</f>
        <v>0</v>
      </c>
      <c r="R509" s="8" t="n">
        <f aca="false">$G508*R479</f>
        <v>0</v>
      </c>
      <c r="S509" s="8" t="n">
        <f aca="false">$G508*S479</f>
        <v>0</v>
      </c>
      <c r="T509" s="8" t="n">
        <f aca="false">$G508*T479</f>
        <v>0</v>
      </c>
      <c r="U509" s="8" t="n">
        <f aca="false">$G508*U479</f>
        <v>0</v>
      </c>
      <c r="V509" s="8" t="n">
        <f aca="false">$G508*V479</f>
        <v>0</v>
      </c>
      <c r="W509" s="8" t="n">
        <f aca="false">$G508*W479</f>
        <v>0</v>
      </c>
      <c r="X509" s="8" t="n">
        <f aca="false">$G508*X479</f>
        <v>0</v>
      </c>
      <c r="Y509" s="8" t="n">
        <f aca="false">$G508*Y479</f>
        <v>0</v>
      </c>
      <c r="Z509" s="8" t="n">
        <f aca="false">$G508*Z479</f>
        <v>0</v>
      </c>
      <c r="AA509" s="8" t="n">
        <f aca="false">$G508*AA479</f>
        <v>0</v>
      </c>
      <c r="AB509" s="8" t="n">
        <f aca="false">$G508*AB479</f>
        <v>0</v>
      </c>
      <c r="AC509" s="8" t="n">
        <f aca="false">$G508*AC479</f>
        <v>0</v>
      </c>
      <c r="AD509" s="8" t="n">
        <f aca="false">$G508*AD479</f>
        <v>0</v>
      </c>
      <c r="AE509" s="8" t="n">
        <f aca="false">$G508*AE479</f>
        <v>0</v>
      </c>
      <c r="AF509" s="8" t="n">
        <f aca="false">$G508*AF479</f>
        <v>0</v>
      </c>
      <c r="AG509" s="8" t="n">
        <f aca="false">$G508*AG479</f>
        <v>0</v>
      </c>
      <c r="AH509" s="8" t="n">
        <f aca="false">$G508*AH479</f>
        <v>0</v>
      </c>
      <c r="AI509" s="8" t="n">
        <f aca="false">$G508*AI479</f>
        <v>0</v>
      </c>
      <c r="AJ509" s="8" t="n">
        <f aca="false">$G508*AJ479</f>
        <v>0</v>
      </c>
      <c r="AK509" s="8" t="n">
        <f aca="false">$G508*AK479</f>
        <v>0</v>
      </c>
      <c r="AL509" s="8" t="n">
        <f aca="false">$G508*AL479</f>
        <v>0</v>
      </c>
      <c r="AM509" s="8" t="n">
        <f aca="false">$G508*AM479</f>
        <v>0</v>
      </c>
      <c r="AN509" s="8" t="n">
        <f aca="false">$G508*AN479</f>
        <v>0</v>
      </c>
      <c r="AO509" s="8" t="n">
        <f aca="false">$G508*AO479</f>
        <v>0</v>
      </c>
      <c r="AP509" s="8" t="n">
        <f aca="false">$G508*AP479</f>
        <v>0</v>
      </c>
      <c r="AQ509" s="8" t="n">
        <f aca="false">$G508*AQ479</f>
        <v>0</v>
      </c>
      <c r="AR509" s="8" t="n">
        <f aca="false">$G508*AR479</f>
        <v>0</v>
      </c>
      <c r="AS509" s="8" t="n">
        <f aca="false">$G508*AS479</f>
        <v>0</v>
      </c>
    </row>
    <row r="510" customFormat="false" ht="14.25" hidden="false" customHeight="false" outlineLevel="0" collapsed="false">
      <c r="C510" s="6" t="s">
        <v>322</v>
      </c>
      <c r="D510" s="2" t="s">
        <v>85</v>
      </c>
      <c r="H510" s="8" t="n">
        <f aca="false">SUM(J510:AS510)</f>
        <v>2343.78180808514</v>
      </c>
      <c r="J510" s="8" t="n">
        <f aca="false">(SUM($I509:I510)+J509*IDC_Draw_Share)*Debt_Rate*J479*$G478/Months_In_Year</f>
        <v>0</v>
      </c>
      <c r="K510" s="8" t="n">
        <f aca="false">(SUM($I509:J510)+K509*IDC_Draw_Share)*Debt_Rate*K479*$G478/Months_In_Year</f>
        <v>0</v>
      </c>
      <c r="L510" s="8" t="n">
        <f aca="false">(SUM($I509:K510)+L509*IDC_Draw_Share)*Debt_Rate*L479*$G478/Months_In_Year</f>
        <v>0</v>
      </c>
      <c r="M510" s="8" t="n">
        <f aca="false">(SUM($I509:L510)+M509*IDC_Draw_Share)*Debt_Rate*M479*$G478/Months_In_Year</f>
        <v>144.000111087329</v>
      </c>
      <c r="N510" s="8" t="n">
        <f aca="false">(SUM($I509:M510)+N509*IDC_Draw_Share)*Debt_Rate*N479*$G478/Months_In_Year</f>
        <v>1159.200894253</v>
      </c>
      <c r="O510" s="8" t="n">
        <f aca="false">(SUM($I509:N510)+O509*IDC_Draw_Share)*Debt_Rate*O479*$G478/Months_In_Year</f>
        <v>1040.58080274481</v>
      </c>
      <c r="P510" s="8" t="n">
        <f aca="false">(SUM($I509:O510)+P509*IDC_Draw_Share)*Debt_Rate*P479*$G478/Months_In_Year</f>
        <v>0</v>
      </c>
      <c r="Q510" s="8" t="n">
        <f aca="false">(SUM($I509:P510)+Q509*IDC_Draw_Share)*Debt_Rate*Q479*$G478/Months_In_Year</f>
        <v>0</v>
      </c>
      <c r="R510" s="8" t="n">
        <f aca="false">(SUM($I509:Q510)+R509*IDC_Draw_Share)*Debt_Rate*R479*$G478/Months_In_Year</f>
        <v>0</v>
      </c>
      <c r="S510" s="8" t="n">
        <f aca="false">(SUM($I509:R510)+S509*IDC_Draw_Share)*Debt_Rate*S479*$G478/Months_In_Year</f>
        <v>0</v>
      </c>
      <c r="T510" s="8" t="n">
        <f aca="false">(SUM($I509:S510)+T509*IDC_Draw_Share)*Debt_Rate*T479*$G478/Months_In_Year</f>
        <v>0</v>
      </c>
      <c r="U510" s="8" t="n">
        <f aca="false">(SUM($I509:T510)+U509*IDC_Draw_Share)*Debt_Rate*U479*$G478/Months_In_Year</f>
        <v>0</v>
      </c>
      <c r="V510" s="8" t="n">
        <f aca="false">(SUM($I509:U510)+V509*IDC_Draw_Share)*Debt_Rate*V479*$G478/Months_In_Year</f>
        <v>0</v>
      </c>
      <c r="W510" s="8" t="n">
        <f aca="false">(SUM($I509:V510)+W509*IDC_Draw_Share)*Debt_Rate*W479*$G478/Months_In_Year</f>
        <v>0</v>
      </c>
      <c r="X510" s="8" t="n">
        <f aca="false">(SUM($I509:W510)+X509*IDC_Draw_Share)*Debt_Rate*X479*$G478/Months_In_Year</f>
        <v>0</v>
      </c>
      <c r="Y510" s="8" t="n">
        <f aca="false">(SUM($I509:X510)+Y509*IDC_Draw_Share)*Debt_Rate*Y479*$G478/Months_In_Year</f>
        <v>0</v>
      </c>
      <c r="Z510" s="8" t="n">
        <f aca="false">(SUM($I509:Y510)+Z509*IDC_Draw_Share)*Debt_Rate*Z479*$G478/Months_In_Year</f>
        <v>0</v>
      </c>
      <c r="AA510" s="8" t="n">
        <f aca="false">(SUM($I509:Z510)+AA509*IDC_Draw_Share)*Debt_Rate*AA479*$G478/Months_In_Year</f>
        <v>0</v>
      </c>
      <c r="AB510" s="8" t="n">
        <f aca="false">(SUM($I509:AA510)+AB509*IDC_Draw_Share)*Debt_Rate*AB479*$G478/Months_In_Year</f>
        <v>0</v>
      </c>
      <c r="AC510" s="8" t="n">
        <f aca="false">(SUM($I509:AB510)+AC509*IDC_Draw_Share)*Debt_Rate*AC479*$G478/Months_In_Year</f>
        <v>0</v>
      </c>
      <c r="AD510" s="8" t="n">
        <f aca="false">(SUM($I509:AC510)+AD509*IDC_Draw_Share)*Debt_Rate*AD479*$G478/Months_In_Year</f>
        <v>0</v>
      </c>
      <c r="AE510" s="8" t="n">
        <f aca="false">(SUM($I509:AD510)+AE509*IDC_Draw_Share)*Debt_Rate*AE479*$G478/Months_In_Year</f>
        <v>0</v>
      </c>
      <c r="AF510" s="8" t="n">
        <f aca="false">(SUM($I509:AE510)+AF509*IDC_Draw_Share)*Debt_Rate*AF479*$G478/Months_In_Year</f>
        <v>0</v>
      </c>
      <c r="AG510" s="8" t="n">
        <f aca="false">(SUM($I509:AF510)+AG509*IDC_Draw_Share)*Debt_Rate*AG479*$G478/Months_In_Year</f>
        <v>0</v>
      </c>
      <c r="AH510" s="8" t="n">
        <f aca="false">(SUM($I509:AG510)+AH509*IDC_Draw_Share)*Debt_Rate*AH479*$G478/Months_In_Year</f>
        <v>0</v>
      </c>
      <c r="AI510" s="8" t="n">
        <f aca="false">(SUM($I509:AH510)+AI509*IDC_Draw_Share)*Debt_Rate*AI479*$G478/Months_In_Year</f>
        <v>0</v>
      </c>
      <c r="AJ510" s="8" t="n">
        <f aca="false">(SUM($I509:AI510)+AJ509*IDC_Draw_Share)*Debt_Rate*AJ479*$G478/Months_In_Year</f>
        <v>0</v>
      </c>
      <c r="AK510" s="8" t="n">
        <f aca="false">(SUM($I509:AJ510)+AK509*IDC_Draw_Share)*Debt_Rate*AK479*$G478/Months_In_Year</f>
        <v>0</v>
      </c>
      <c r="AL510" s="8" t="n">
        <f aca="false">(SUM($I509:AK510)+AL509*IDC_Draw_Share)*Debt_Rate*AL479*$G478/Months_In_Year</f>
        <v>0</v>
      </c>
      <c r="AM510" s="8" t="n">
        <f aca="false">(SUM($I509:AL510)+AM509*IDC_Draw_Share)*Debt_Rate*AM479*$G478/Months_In_Year</f>
        <v>0</v>
      </c>
      <c r="AN510" s="8" t="n">
        <f aca="false">(SUM($I509:AM510)+AN509*IDC_Draw_Share)*Debt_Rate*AN479*$G478/Months_In_Year</f>
        <v>0</v>
      </c>
      <c r="AO510" s="8" t="n">
        <f aca="false">(SUM($I509:AN510)+AO509*IDC_Draw_Share)*Debt_Rate*AO479*$G478/Months_In_Year</f>
        <v>0</v>
      </c>
      <c r="AP510" s="8" t="n">
        <f aca="false">(SUM($I509:AO510)+AP509*IDC_Draw_Share)*Debt_Rate*AP479*$G478/Months_In_Year</f>
        <v>0</v>
      </c>
      <c r="AQ510" s="8" t="n">
        <f aca="false">(SUM($I509:AP510)+AQ509*IDC_Draw_Share)*Debt_Rate*AQ479*$G478/Months_In_Year</f>
        <v>0</v>
      </c>
      <c r="AR510" s="8" t="n">
        <f aca="false">(SUM($I509:AQ510)+AR509*IDC_Draw_Share)*Debt_Rate*AR479*$G478/Months_In_Year</f>
        <v>0</v>
      </c>
      <c r="AS510" s="8" t="n">
        <f aca="false">(SUM($I509:AR510)+AS509*IDC_Draw_Share)*Debt_Rate*AS479*$G478/Months_In_Year</f>
        <v>0</v>
      </c>
    </row>
    <row r="511" customFormat="false" ht="14.25" hidden="false" customHeight="false" outlineLevel="0" collapsed="false">
      <c r="C511" s="6" t="s">
        <v>323</v>
      </c>
      <c r="D511" s="2" t="s">
        <v>85</v>
      </c>
      <c r="H511" s="8" t="n">
        <f aca="false">SUM(J511:AS511)</f>
        <v>-806.400622089041</v>
      </c>
      <c r="J511" s="8" t="n">
        <f aca="false">-$G508*Debt_Fee*(J479&gt;0)*(I479=0)</f>
        <v>-0</v>
      </c>
      <c r="K511" s="8" t="n">
        <f aca="false">-$G508*Debt_Fee*(K479&gt;0)*(J479=0)</f>
        <v>-0</v>
      </c>
      <c r="L511" s="8" t="n">
        <f aca="false">-$G508*Debt_Fee*(L479&gt;0)*(K479=0)</f>
        <v>-0</v>
      </c>
      <c r="M511" s="8" t="n">
        <f aca="false">-$G508*Debt_Fee*(M479&gt;0)*(L479=0)</f>
        <v>-806.400622089041</v>
      </c>
      <c r="N511" s="8" t="n">
        <f aca="false">-$G508*Debt_Fee*(N479&gt;0)*(M479=0)</f>
        <v>-0</v>
      </c>
      <c r="O511" s="8" t="n">
        <f aca="false">-$G508*Debt_Fee*(O479&gt;0)*(N479=0)</f>
        <v>-0</v>
      </c>
      <c r="P511" s="8" t="n">
        <f aca="false">-$G508*Debt_Fee*(P479&gt;0)*(O479=0)</f>
        <v>-0</v>
      </c>
      <c r="Q511" s="8" t="n">
        <f aca="false">-$G508*Debt_Fee*(Q479&gt;0)*(P479=0)</f>
        <v>-0</v>
      </c>
      <c r="R511" s="8" t="n">
        <f aca="false">-$G508*Debt_Fee*(R479&gt;0)*(Q479=0)</f>
        <v>-0</v>
      </c>
      <c r="S511" s="8" t="n">
        <f aca="false">-$G508*Debt_Fee*(S479&gt;0)*(R479=0)</f>
        <v>-0</v>
      </c>
      <c r="T511" s="8" t="n">
        <f aca="false">-$G508*Debt_Fee*(T479&gt;0)*(S479=0)</f>
        <v>-0</v>
      </c>
      <c r="U511" s="8" t="n">
        <f aca="false">-$G508*Debt_Fee*(U479&gt;0)*(T479=0)</f>
        <v>-0</v>
      </c>
      <c r="V511" s="8" t="n">
        <f aca="false">-$G508*Debt_Fee*(V479&gt;0)*(U479=0)</f>
        <v>-0</v>
      </c>
      <c r="W511" s="8" t="n">
        <f aca="false">-$G508*Debt_Fee*(W479&gt;0)*(V479=0)</f>
        <v>-0</v>
      </c>
      <c r="X511" s="8" t="n">
        <f aca="false">-$G508*Debt_Fee*(X479&gt;0)*(W479=0)</f>
        <v>-0</v>
      </c>
      <c r="Y511" s="8" t="n">
        <f aca="false">-$G508*Debt_Fee*(Y479&gt;0)*(X479=0)</f>
        <v>-0</v>
      </c>
      <c r="Z511" s="8" t="n">
        <f aca="false">-$G508*Debt_Fee*(Z479&gt;0)*(Y479=0)</f>
        <v>-0</v>
      </c>
      <c r="AA511" s="8" t="n">
        <f aca="false">-$G508*Debt_Fee*(AA479&gt;0)*(Z479=0)</f>
        <v>-0</v>
      </c>
      <c r="AB511" s="8" t="n">
        <f aca="false">-$G508*Debt_Fee*(AB479&gt;0)*(AA479=0)</f>
        <v>-0</v>
      </c>
      <c r="AC511" s="8" t="n">
        <f aca="false">-$G508*Debt_Fee*(AC479&gt;0)*(AB479=0)</f>
        <v>-0</v>
      </c>
      <c r="AD511" s="8" t="n">
        <f aca="false">-$G508*Debt_Fee*(AD479&gt;0)*(AC479=0)</f>
        <v>-0</v>
      </c>
      <c r="AE511" s="8" t="n">
        <f aca="false">-$G508*Debt_Fee*(AE479&gt;0)*(AD479=0)</f>
        <v>-0</v>
      </c>
      <c r="AF511" s="8" t="n">
        <f aca="false">-$G508*Debt_Fee*(AF479&gt;0)*(AE479=0)</f>
        <v>-0</v>
      </c>
      <c r="AG511" s="8" t="n">
        <f aca="false">-$G508*Debt_Fee*(AG479&gt;0)*(AF479=0)</f>
        <v>-0</v>
      </c>
      <c r="AH511" s="8" t="n">
        <f aca="false">-$G508*Debt_Fee*(AH479&gt;0)*(AG479=0)</f>
        <v>-0</v>
      </c>
      <c r="AI511" s="8" t="n">
        <f aca="false">-$G508*Debt_Fee*(AI479&gt;0)*(AH479=0)</f>
        <v>-0</v>
      </c>
      <c r="AJ511" s="8" t="n">
        <f aca="false">-$G508*Debt_Fee*(AJ479&gt;0)*(AI479=0)</f>
        <v>-0</v>
      </c>
      <c r="AK511" s="8" t="n">
        <f aca="false">-$G508*Debt_Fee*(AK479&gt;0)*(AJ479=0)</f>
        <v>-0</v>
      </c>
      <c r="AL511" s="8" t="n">
        <f aca="false">-$G508*Debt_Fee*(AL479&gt;0)*(AK479=0)</f>
        <v>-0</v>
      </c>
      <c r="AM511" s="8" t="n">
        <f aca="false">-$G508*Debt_Fee*(AM479&gt;0)*(AL479=0)</f>
        <v>-0</v>
      </c>
      <c r="AN511" s="8" t="n">
        <f aca="false">-$G508*Debt_Fee*(AN479&gt;0)*(AM479=0)</f>
        <v>-0</v>
      </c>
      <c r="AO511" s="8" t="n">
        <f aca="false">-$G508*Debt_Fee*(AO479&gt;0)*(AN479=0)</f>
        <v>-0</v>
      </c>
      <c r="AP511" s="8" t="n">
        <f aca="false">-$G508*Debt_Fee*(AP479&gt;0)*(AO479=0)</f>
        <v>-0</v>
      </c>
      <c r="AQ511" s="8" t="n">
        <f aca="false">-$G508*Debt_Fee*(AQ479&gt;0)*(AP479=0)</f>
        <v>-0</v>
      </c>
      <c r="AR511" s="8" t="n">
        <f aca="false">-$G508*Debt_Fee*(AR479&gt;0)*(AQ479=0)</f>
        <v>-0</v>
      </c>
      <c r="AS511" s="8" t="n">
        <f aca="false">-$G508*Debt_Fee*(AS479&gt;0)*(AR479=0)</f>
        <v>-0</v>
      </c>
    </row>
    <row r="512" customFormat="false" ht="14.25" hidden="false" customHeight="false" outlineLevel="0" collapsed="false">
      <c r="C512" s="6" t="s">
        <v>324</v>
      </c>
      <c r="D512" s="2" t="s">
        <v>85</v>
      </c>
      <c r="H512" s="8" t="n">
        <f aca="false">SUM(J512:AS512)</f>
        <v>-22765.6981606533</v>
      </c>
      <c r="J512" s="8" t="n">
        <f aca="false">-(I515+J509+J510)*Debt_Rate*J481</f>
        <v>-0</v>
      </c>
      <c r="K512" s="8" t="n">
        <f aca="false">-(J515+K509+K510)*Debt_Rate*K481</f>
        <v>-0</v>
      </c>
      <c r="L512" s="8" t="n">
        <f aca="false">-(K515+L509+L510)*Debt_Rate*L481</f>
        <v>-0</v>
      </c>
      <c r="M512" s="8" t="n">
        <f aca="false">-(L515+M509+M510)*Debt_Rate*M481</f>
        <v>-0</v>
      </c>
      <c r="N512" s="8" t="n">
        <f aca="false">-(M515+N509+N510)*Debt_Rate*N481</f>
        <v>-0</v>
      </c>
      <c r="O512" s="8" t="n">
        <f aca="false">-(N515+O509+O510)*Debt_Rate*O481</f>
        <v>-1210.59543390076</v>
      </c>
      <c r="P512" s="8" t="n">
        <f aca="false">-(O515+P509+P510)*Debt_Rate*P481</f>
        <v>-2421.19086780152</v>
      </c>
      <c r="Q512" s="8" t="n">
        <f aca="false">-(P515+Q509+Q510)*Debt_Rate*Q481</f>
        <v>-2308.98734424898</v>
      </c>
      <c r="R512" s="8" t="n">
        <f aca="false">-(Q515+R509+R510)*Debt_Rate*R481</f>
        <v>-2191.17364451882</v>
      </c>
      <c r="S512" s="8" t="n">
        <f aca="false">-(R515+S509+S510)*Debt_Rate*S481</f>
        <v>-2067.46925980215</v>
      </c>
      <c r="T512" s="8" t="n">
        <f aca="false">-(S515+T509+T510)*Debt_Rate*T481</f>
        <v>-1937.57965584965</v>
      </c>
      <c r="U512" s="8" t="n">
        <f aca="false">-(T515+U509+U510)*Debt_Rate*U481</f>
        <v>-1801.19557169952</v>
      </c>
      <c r="V512" s="8" t="n">
        <f aca="false">-(U515+V509+V510)*Debt_Rate*V481</f>
        <v>-1657.99228334189</v>
      </c>
      <c r="W512" s="8" t="n">
        <f aca="false">-(V515+W509+W510)*Debt_Rate*W481</f>
        <v>-1507.62883056638</v>
      </c>
      <c r="X512" s="8" t="n">
        <f aca="false">-(W515+X509+X510)*Debt_Rate*X481</f>
        <v>-1349.74720515208</v>
      </c>
      <c r="Y512" s="8" t="n">
        <f aca="false">-(X515+Y509+Y510)*Debt_Rate*Y481</f>
        <v>-1183.97149846708</v>
      </c>
      <c r="Z512" s="8" t="n">
        <f aca="false">-(Y515+Z509+Z510)*Debt_Rate*Z481</f>
        <v>-1009.90700644782</v>
      </c>
      <c r="AA512" s="8" t="n">
        <f aca="false">-(Z515+AA509+AA510)*Debt_Rate*AA481</f>
        <v>-827.139289827604</v>
      </c>
      <c r="AB512" s="8" t="n">
        <f aca="false">-(AA515+AB509+AB510)*Debt_Rate*AB481</f>
        <v>-635.233187376375</v>
      </c>
      <c r="AC512" s="8" t="n">
        <f aca="false">-(AB515+AC509+AC510)*Debt_Rate*AC481</f>
        <v>-433.731779802584</v>
      </c>
      <c r="AD512" s="8" t="n">
        <f aca="false">-(AC515+AD509+AD510)*Debt_Rate*AD481</f>
        <v>-222.155301850103</v>
      </c>
      <c r="AE512" s="8" t="n">
        <f aca="false">-(AD515+AE509+AE510)*Debt_Rate*AE481</f>
        <v>1.31876731757075E-012</v>
      </c>
      <c r="AF512" s="8" t="n">
        <f aca="false">-(AE515+AF509+AF510)*Debt_Rate*AF481</f>
        <v>1.38470568344928E-012</v>
      </c>
      <c r="AG512" s="8" t="n">
        <f aca="false">-(AF515+AG509+AG510)*Debt_Rate*AG481</f>
        <v>1.45394096762175E-012</v>
      </c>
      <c r="AH512" s="8" t="n">
        <f aca="false">-(AG515+AH509+AH510)*Debt_Rate*AH481</f>
        <v>1.52663801600284E-012</v>
      </c>
      <c r="AI512" s="8" t="n">
        <f aca="false">-(AH515+AI509+AI510)*Debt_Rate*AI481</f>
        <v>1.60296991680298E-012</v>
      </c>
      <c r="AJ512" s="8" t="n">
        <f aca="false">-(AI515+AJ509+AJ510)*Debt_Rate*AJ481</f>
        <v>1.68311841264313E-012</v>
      </c>
      <c r="AK512" s="8" t="n">
        <f aca="false">-(AJ515+AK509+AK510)*Debt_Rate*AK481</f>
        <v>1.76727433327528E-012</v>
      </c>
      <c r="AL512" s="8" t="n">
        <f aca="false">-(AK515+AL509+AL510)*Debt_Rate*AL481</f>
        <v>1.85563804993905E-012</v>
      </c>
      <c r="AM512" s="8" t="n">
        <f aca="false">-(AL515+AM509+AM510)*Debt_Rate*AM481</f>
        <v>1.948419952436E-012</v>
      </c>
      <c r="AN512" s="8" t="n">
        <f aca="false">-(AM515+AN509+AN510)*Debt_Rate*AN481</f>
        <v>2.0458409500578E-012</v>
      </c>
      <c r="AO512" s="8" t="n">
        <f aca="false">-(AN515+AO509+AO510)*Debt_Rate*AO481</f>
        <v>2.14813299756069E-012</v>
      </c>
      <c r="AP512" s="8" t="n">
        <f aca="false">-(AO515+AP509+AP510)*Debt_Rate*AP481</f>
        <v>2.25553964743872E-012</v>
      </c>
      <c r="AQ512" s="8" t="n">
        <f aca="false">-(AP515+AQ509+AQ510)*Debt_Rate*AQ481</f>
        <v>2.36831662981066E-012</v>
      </c>
      <c r="AR512" s="8" t="n">
        <f aca="false">-(AQ515+AR509+AR510)*Debt_Rate*AR481</f>
        <v>2.48673246130119E-012</v>
      </c>
      <c r="AS512" s="8" t="n">
        <f aca="false">-(AR515+AS509+AS510)*Debt_Rate*AS481</f>
        <v>1.30553454218313E-012</v>
      </c>
    </row>
    <row r="513" customFormat="false" ht="14.25" hidden="false" customHeight="false" outlineLevel="0" collapsed="false">
      <c r="C513" s="6" t="s">
        <v>325</v>
      </c>
      <c r="D513" s="2" t="s">
        <v>85</v>
      </c>
      <c r="H513" s="8" t="n">
        <f aca="false">SUM(J513:AS513)</f>
        <v>-71189.5155166837</v>
      </c>
      <c r="J513" s="8" t="n">
        <f aca="false">PMT(Debt_Rate,Debt_Tenor,$H509+$H510)*(J477&gt;=1)*(J477&lt;=Debt_Tenor)+J512*(J477=0)</f>
        <v>-0</v>
      </c>
      <c r="K513" s="8" t="n">
        <f aca="false">PMT(Debt_Rate,Debt_Tenor,$H509+$H510)*(K477&gt;=1)*(K477&lt;=Debt_Tenor)+K512*(K477=0)</f>
        <v>-0</v>
      </c>
      <c r="L513" s="8" t="n">
        <f aca="false">PMT(Debt_Rate,Debt_Tenor,$H509+$H510)*(L477&gt;=1)*(L477&lt;=Debt_Tenor)+L512*(L477=0)</f>
        <v>-0</v>
      </c>
      <c r="M513" s="8" t="n">
        <f aca="false">PMT(Debt_Rate,Debt_Tenor,$H509+$H510)*(M477&gt;=1)*(M477&lt;=Debt_Tenor)+M512*(M477=0)</f>
        <v>-0</v>
      </c>
      <c r="N513" s="8" t="n">
        <f aca="false">PMT(Debt_Rate,Debt_Tenor,$H509+$H510)*(N477&gt;=1)*(N477&lt;=Debt_Tenor)+N512*(N477=0)</f>
        <v>-0</v>
      </c>
      <c r="O513" s="8" t="n">
        <f aca="false">PMT(Debt_Rate,Debt_Tenor,$H509+$H510)*(O477&gt;=1)*(O477&lt;=Debt_Tenor)+O512*(O477=0)</f>
        <v>-1210.59543390076</v>
      </c>
      <c r="P513" s="8" t="n">
        <f aca="false">PMT(Debt_Rate,Debt_Tenor,$H509+$H510)*(P477&gt;=1)*(P477&lt;=Debt_Tenor)+P512*(P477=0)</f>
        <v>-4665.2613388522</v>
      </c>
      <c r="Q513" s="8" t="n">
        <f aca="false">PMT(Debt_Rate,Debt_Tenor,$H509+$H510)*(Q477&gt;=1)*(Q477&lt;=Debt_Tenor)+Q512*(Q477=0)</f>
        <v>-4665.2613388522</v>
      </c>
      <c r="R513" s="8" t="n">
        <f aca="false">PMT(Debt_Rate,Debt_Tenor,$H509+$H510)*(R477&gt;=1)*(R477&lt;=Debt_Tenor)+R512*(R477=0)</f>
        <v>-4665.2613388522</v>
      </c>
      <c r="S513" s="8" t="n">
        <f aca="false">PMT(Debt_Rate,Debt_Tenor,$H509+$H510)*(S477&gt;=1)*(S477&lt;=Debt_Tenor)+S512*(S477=0)</f>
        <v>-4665.2613388522</v>
      </c>
      <c r="T513" s="8" t="n">
        <f aca="false">PMT(Debt_Rate,Debt_Tenor,$H509+$H510)*(T477&gt;=1)*(T477&lt;=Debt_Tenor)+T512*(T477=0)</f>
        <v>-4665.2613388522</v>
      </c>
      <c r="U513" s="8" t="n">
        <f aca="false">PMT(Debt_Rate,Debt_Tenor,$H509+$H510)*(U477&gt;=1)*(U477&lt;=Debt_Tenor)+U512*(U477=0)</f>
        <v>-4665.2613388522</v>
      </c>
      <c r="V513" s="8" t="n">
        <f aca="false">PMT(Debt_Rate,Debt_Tenor,$H509+$H510)*(V477&gt;=1)*(V477&lt;=Debt_Tenor)+V512*(V477=0)</f>
        <v>-4665.2613388522</v>
      </c>
      <c r="W513" s="8" t="n">
        <f aca="false">PMT(Debt_Rate,Debt_Tenor,$H509+$H510)*(W477&gt;=1)*(W477&lt;=Debt_Tenor)+W512*(W477=0)</f>
        <v>-4665.2613388522</v>
      </c>
      <c r="X513" s="8" t="n">
        <f aca="false">PMT(Debt_Rate,Debt_Tenor,$H509+$H510)*(X477&gt;=1)*(X477&lt;=Debt_Tenor)+X512*(X477=0)</f>
        <v>-4665.2613388522</v>
      </c>
      <c r="Y513" s="8" t="n">
        <f aca="false">PMT(Debt_Rate,Debt_Tenor,$H509+$H510)*(Y477&gt;=1)*(Y477&lt;=Debt_Tenor)+Y512*(Y477=0)</f>
        <v>-4665.2613388522</v>
      </c>
      <c r="Z513" s="8" t="n">
        <f aca="false">PMT(Debt_Rate,Debt_Tenor,$H509+$H510)*(Z477&gt;=1)*(Z477&lt;=Debt_Tenor)+Z512*(Z477=0)</f>
        <v>-4665.2613388522</v>
      </c>
      <c r="AA513" s="8" t="n">
        <f aca="false">PMT(Debt_Rate,Debt_Tenor,$H509+$H510)*(AA477&gt;=1)*(AA477&lt;=Debt_Tenor)+AA512*(AA477=0)</f>
        <v>-4665.2613388522</v>
      </c>
      <c r="AB513" s="8" t="n">
        <f aca="false">PMT(Debt_Rate,Debt_Tenor,$H509+$H510)*(AB477&gt;=1)*(AB477&lt;=Debt_Tenor)+AB512*(AB477=0)</f>
        <v>-4665.2613388522</v>
      </c>
      <c r="AC513" s="8" t="n">
        <f aca="false">PMT(Debt_Rate,Debt_Tenor,$H509+$H510)*(AC477&gt;=1)*(AC477&lt;=Debt_Tenor)+AC512*(AC477=0)</f>
        <v>-4665.2613388522</v>
      </c>
      <c r="AD513" s="8" t="n">
        <f aca="false">PMT(Debt_Rate,Debt_Tenor,$H509+$H510)*(AD477&gt;=1)*(AD477&lt;=Debt_Tenor)+AD512*(AD477=0)</f>
        <v>-4665.2613388522</v>
      </c>
      <c r="AE513" s="8" t="n">
        <f aca="false">PMT(Debt_Rate,Debt_Tenor,$H509+$H510)*(AE477&gt;=1)*(AE477&lt;=Debt_Tenor)+AE512*(AE477=0)</f>
        <v>0</v>
      </c>
      <c r="AF513" s="8" t="n">
        <f aca="false">PMT(Debt_Rate,Debt_Tenor,$H509+$H510)*(AF477&gt;=1)*(AF477&lt;=Debt_Tenor)+AF512*(AF477=0)</f>
        <v>0</v>
      </c>
      <c r="AG513" s="8" t="n">
        <f aca="false">PMT(Debt_Rate,Debt_Tenor,$H509+$H510)*(AG477&gt;=1)*(AG477&lt;=Debt_Tenor)+AG512*(AG477=0)</f>
        <v>0</v>
      </c>
      <c r="AH513" s="8" t="n">
        <f aca="false">PMT(Debt_Rate,Debt_Tenor,$H509+$H510)*(AH477&gt;=1)*(AH477&lt;=Debt_Tenor)+AH512*(AH477=0)</f>
        <v>0</v>
      </c>
      <c r="AI513" s="8" t="n">
        <f aca="false">PMT(Debt_Rate,Debt_Tenor,$H509+$H510)*(AI477&gt;=1)*(AI477&lt;=Debt_Tenor)+AI512*(AI477=0)</f>
        <v>0</v>
      </c>
      <c r="AJ513" s="8" t="n">
        <f aca="false">PMT(Debt_Rate,Debt_Tenor,$H509+$H510)*(AJ477&gt;=1)*(AJ477&lt;=Debt_Tenor)+AJ512*(AJ477=0)</f>
        <v>0</v>
      </c>
      <c r="AK513" s="8" t="n">
        <f aca="false">PMT(Debt_Rate,Debt_Tenor,$H509+$H510)*(AK477&gt;=1)*(AK477&lt;=Debt_Tenor)+AK512*(AK477=0)</f>
        <v>0</v>
      </c>
      <c r="AL513" s="8" t="n">
        <f aca="false">PMT(Debt_Rate,Debt_Tenor,$H509+$H510)*(AL477&gt;=1)*(AL477&lt;=Debt_Tenor)+AL512*(AL477=0)</f>
        <v>0</v>
      </c>
      <c r="AM513" s="8" t="n">
        <f aca="false">PMT(Debt_Rate,Debt_Tenor,$H509+$H510)*(AM477&gt;=1)*(AM477&lt;=Debt_Tenor)+AM512*(AM477=0)</f>
        <v>0</v>
      </c>
      <c r="AN513" s="8" t="n">
        <f aca="false">PMT(Debt_Rate,Debt_Tenor,$H509+$H510)*(AN477&gt;=1)*(AN477&lt;=Debt_Tenor)+AN512*(AN477=0)</f>
        <v>0</v>
      </c>
      <c r="AO513" s="8" t="n">
        <f aca="false">PMT(Debt_Rate,Debt_Tenor,$H509+$H510)*(AO477&gt;=1)*(AO477&lt;=Debt_Tenor)+AO512*(AO477=0)</f>
        <v>0</v>
      </c>
      <c r="AP513" s="8" t="n">
        <f aca="false">PMT(Debt_Rate,Debt_Tenor,$H509+$H510)*(AP477&gt;=1)*(AP477&lt;=Debt_Tenor)+AP512*(AP477=0)</f>
        <v>0</v>
      </c>
      <c r="AQ513" s="8" t="n">
        <f aca="false">PMT(Debt_Rate,Debt_Tenor,$H509+$H510)*(AQ477&gt;=1)*(AQ477&lt;=Debt_Tenor)+AQ512*(AQ477=0)</f>
        <v>0</v>
      </c>
      <c r="AR513" s="8" t="n">
        <f aca="false">PMT(Debt_Rate,Debt_Tenor,$H509+$H510)*(AR477&gt;=1)*(AR477&lt;=Debt_Tenor)+AR512*(AR477=0)</f>
        <v>0</v>
      </c>
      <c r="AS513" s="8" t="n">
        <f aca="false">PMT(Debt_Rate,Debt_Tenor,$H509+$H510)*(AS477&gt;=1)*(AS477&lt;=Debt_Tenor)+AS512*(AS477=0)</f>
        <v>0</v>
      </c>
    </row>
    <row r="514" customFormat="false" ht="14.25" hidden="false" customHeight="false" outlineLevel="0" collapsed="false">
      <c r="C514" s="6" t="s">
        <v>326</v>
      </c>
      <c r="D514" s="2" t="s">
        <v>85</v>
      </c>
      <c r="H514" s="8" t="n">
        <f aca="false">SUM(J514:AS514)</f>
        <v>-48423.8173560304</v>
      </c>
      <c r="J514" s="8" t="n">
        <f aca="false">J513-J512</f>
        <v>0</v>
      </c>
      <c r="K514" s="8" t="n">
        <f aca="false">K513-K512</f>
        <v>0</v>
      </c>
      <c r="L514" s="8" t="n">
        <f aca="false">L513-L512</f>
        <v>0</v>
      </c>
      <c r="M514" s="8" t="n">
        <f aca="false">M513-M512</f>
        <v>0</v>
      </c>
      <c r="N514" s="8" t="n">
        <f aca="false">N513-N512</f>
        <v>0</v>
      </c>
      <c r="O514" s="8" t="n">
        <f aca="false">O513-O512</f>
        <v>0</v>
      </c>
      <c r="P514" s="8" t="n">
        <f aca="false">P513-P512</f>
        <v>-2244.07047105068</v>
      </c>
      <c r="Q514" s="8" t="n">
        <f aca="false">Q513-Q512</f>
        <v>-2356.27399460321</v>
      </c>
      <c r="R514" s="8" t="n">
        <f aca="false">R513-R512</f>
        <v>-2474.08769433337</v>
      </c>
      <c r="S514" s="8" t="n">
        <f aca="false">S513-S512</f>
        <v>-2597.79207905004</v>
      </c>
      <c r="T514" s="8" t="n">
        <f aca="false">T513-T512</f>
        <v>-2727.68168300254</v>
      </c>
      <c r="U514" s="8" t="n">
        <f aca="false">U513-U512</f>
        <v>-2864.06576715267</v>
      </c>
      <c r="V514" s="8" t="n">
        <f aca="false">V513-V512</f>
        <v>-3007.26905551031</v>
      </c>
      <c r="W514" s="8" t="n">
        <f aca="false">W513-W512</f>
        <v>-3157.63250828582</v>
      </c>
      <c r="X514" s="8" t="n">
        <f aca="false">X513-X512</f>
        <v>-3315.51413370011</v>
      </c>
      <c r="Y514" s="8" t="n">
        <f aca="false">Y513-Y512</f>
        <v>-3481.28984038512</v>
      </c>
      <c r="Z514" s="8" t="n">
        <f aca="false">Z513-Z512</f>
        <v>-3655.35433240437</v>
      </c>
      <c r="AA514" s="8" t="n">
        <f aca="false">AA513-AA512</f>
        <v>-3838.12204902459</v>
      </c>
      <c r="AB514" s="8" t="n">
        <f aca="false">AB513-AB512</f>
        <v>-4030.02815147582</v>
      </c>
      <c r="AC514" s="8" t="n">
        <f aca="false">AC513-AC512</f>
        <v>-4231.52955904961</v>
      </c>
      <c r="AD514" s="8" t="n">
        <f aca="false">AD513-AD512</f>
        <v>-4443.10603700209</v>
      </c>
      <c r="AE514" s="8" t="n">
        <f aca="false">AE513-AE512</f>
        <v>-1.31876731757075E-012</v>
      </c>
      <c r="AF514" s="8" t="n">
        <f aca="false">AF513-AF512</f>
        <v>-1.38470568344928E-012</v>
      </c>
      <c r="AG514" s="8" t="n">
        <f aca="false">AG513-AG512</f>
        <v>-1.45394096762175E-012</v>
      </c>
      <c r="AH514" s="8" t="n">
        <f aca="false">AH513-AH512</f>
        <v>-1.52663801600284E-012</v>
      </c>
      <c r="AI514" s="8" t="n">
        <f aca="false">AI513-AI512</f>
        <v>-1.60296991680298E-012</v>
      </c>
      <c r="AJ514" s="8" t="n">
        <f aca="false">AJ513-AJ512</f>
        <v>-1.68311841264313E-012</v>
      </c>
      <c r="AK514" s="8" t="n">
        <f aca="false">AK513-AK512</f>
        <v>-1.76727433327528E-012</v>
      </c>
      <c r="AL514" s="8" t="n">
        <f aca="false">AL513-AL512</f>
        <v>-1.85563804993905E-012</v>
      </c>
      <c r="AM514" s="8" t="n">
        <f aca="false">AM513-AM512</f>
        <v>-1.948419952436E-012</v>
      </c>
      <c r="AN514" s="8" t="n">
        <f aca="false">AN513-AN512</f>
        <v>-2.0458409500578E-012</v>
      </c>
      <c r="AO514" s="8" t="n">
        <f aca="false">AO513-AO512</f>
        <v>-2.14813299756069E-012</v>
      </c>
      <c r="AP514" s="8" t="n">
        <f aca="false">AP513-AP512</f>
        <v>-2.25553964743872E-012</v>
      </c>
      <c r="AQ514" s="8" t="n">
        <f aca="false">AQ513-AQ512</f>
        <v>-2.36831662981066E-012</v>
      </c>
      <c r="AR514" s="8" t="n">
        <f aca="false">AR513-AR512</f>
        <v>-2.48673246130119E-012</v>
      </c>
      <c r="AS514" s="8" t="n">
        <f aca="false">AS513-AS512</f>
        <v>-1.30553454218313E-012</v>
      </c>
    </row>
    <row r="515" customFormat="false" ht="14.25" hidden="false" customHeight="false" outlineLevel="0" collapsed="false">
      <c r="C515" s="6" t="s">
        <v>327</v>
      </c>
      <c r="D515" s="2" t="s">
        <v>85</v>
      </c>
      <c r="H515" s="8"/>
      <c r="J515" s="8" t="n">
        <f aca="false">I515+J509+J510+J514</f>
        <v>0</v>
      </c>
      <c r="K515" s="8" t="n">
        <f aca="false">J515+K509+K510+K514</f>
        <v>0</v>
      </c>
      <c r="L515" s="8" t="n">
        <f aca="false">K515+L509+L510+L514</f>
        <v>0</v>
      </c>
      <c r="M515" s="8" t="n">
        <f aca="false">L515+M509+M510+M514</f>
        <v>11664.0089980736</v>
      </c>
      <c r="N515" s="8" t="n">
        <f aca="false">M515+N509+N510+N514</f>
        <v>35863.2276662992</v>
      </c>
      <c r="O515" s="8" t="n">
        <f aca="false">N515+O509+O510+O514</f>
        <v>48423.8173560303</v>
      </c>
      <c r="P515" s="8" t="n">
        <f aca="false">O515+P509+P510+P514</f>
        <v>46179.7468849797</v>
      </c>
      <c r="Q515" s="8" t="n">
        <f aca="false">P515+Q509+Q510+Q514</f>
        <v>43823.4728903764</v>
      </c>
      <c r="R515" s="8" t="n">
        <f aca="false">Q515+R509+R510+R514</f>
        <v>41349.3851960431</v>
      </c>
      <c r="S515" s="8" t="n">
        <f aca="false">R515+S509+S510+S514</f>
        <v>38751.593116993</v>
      </c>
      <c r="T515" s="8" t="n">
        <f aca="false">S515+T509+T510+T514</f>
        <v>36023.9114339905</v>
      </c>
      <c r="U515" s="8" t="n">
        <f aca="false">T515+U509+U510+U514</f>
        <v>33159.8456668378</v>
      </c>
      <c r="V515" s="8" t="n">
        <f aca="false">U515+V509+V510+V514</f>
        <v>30152.5766113275</v>
      </c>
      <c r="W515" s="8" t="n">
        <f aca="false">V515+W509+W510+W514</f>
        <v>26994.9441030417</v>
      </c>
      <c r="X515" s="8" t="n">
        <f aca="false">W515+X509+X510+X514</f>
        <v>23679.4299693416</v>
      </c>
      <c r="Y515" s="8" t="n">
        <f aca="false">X515+Y509+Y510+Y514</f>
        <v>20198.1401289565</v>
      </c>
      <c r="Z515" s="8" t="n">
        <f aca="false">Y515+Z509+Z510+Z514</f>
        <v>16542.7857965521</v>
      </c>
      <c r="AA515" s="8" t="n">
        <f aca="false">Z515+AA509+AA510+AA514</f>
        <v>12704.6637475275</v>
      </c>
      <c r="AB515" s="8" t="n">
        <f aca="false">AA515+AB509+AB510+AB514</f>
        <v>8674.63559605168</v>
      </c>
      <c r="AC515" s="8" t="n">
        <f aca="false">AB515+AC509+AC510+AC514</f>
        <v>4443.10603700207</v>
      </c>
      <c r="AD515" s="8" t="n">
        <f aca="false">AC515+AD509+AD510+AD514</f>
        <v>-2.63753463514149E-011</v>
      </c>
      <c r="AE515" s="8" t="n">
        <f aca="false">AD515+AE509+AE510+AE514</f>
        <v>-2.76941136689857E-011</v>
      </c>
      <c r="AF515" s="8" t="n">
        <f aca="false">AE515+AF509+AF510+AF514</f>
        <v>-2.90788193524349E-011</v>
      </c>
      <c r="AG515" s="8" t="n">
        <f aca="false">AF515+AG509+AG510+AG514</f>
        <v>-3.05327603200567E-011</v>
      </c>
      <c r="AH515" s="8" t="n">
        <f aca="false">AG515+AH509+AH510+AH514</f>
        <v>-3.20593983360595E-011</v>
      </c>
      <c r="AI515" s="8" t="n">
        <f aca="false">AH515+AI509+AI510+AI514</f>
        <v>-3.36623682528625E-011</v>
      </c>
      <c r="AJ515" s="8" t="n">
        <f aca="false">AI515+AJ509+AJ510+AJ514</f>
        <v>-3.53454866655056E-011</v>
      </c>
      <c r="AK515" s="8" t="n">
        <f aca="false">AJ515+AK509+AK510+AK514</f>
        <v>-3.71127609987809E-011</v>
      </c>
      <c r="AL515" s="8" t="n">
        <f aca="false">AK515+AL509+AL510+AL514</f>
        <v>-3.896839904872E-011</v>
      </c>
      <c r="AM515" s="8" t="n">
        <f aca="false">AL515+AM509+AM510+AM514</f>
        <v>-4.0916819001156E-011</v>
      </c>
      <c r="AN515" s="8" t="n">
        <f aca="false">AM515+AN509+AN510+AN514</f>
        <v>-4.29626599512138E-011</v>
      </c>
      <c r="AO515" s="8" t="n">
        <f aca="false">AN515+AO509+AO510+AO514</f>
        <v>-4.51107929487745E-011</v>
      </c>
      <c r="AP515" s="8" t="n">
        <f aca="false">AO515+AP509+AP510+AP514</f>
        <v>-4.73663325962132E-011</v>
      </c>
      <c r="AQ515" s="8" t="n">
        <f aca="false">AP515+AQ509+AQ510+AQ514</f>
        <v>-4.97346492260238E-011</v>
      </c>
      <c r="AR515" s="8" t="n">
        <f aca="false">AQ515+AR509+AR510+AR514</f>
        <v>-5.2221381687325E-011</v>
      </c>
      <c r="AS515" s="8" t="n">
        <f aca="false">AR515+AS509+AS510+AS514</f>
        <v>-5.35269162295081E-011</v>
      </c>
    </row>
    <row r="516" customFormat="false" ht="14.25" hidden="false" customHeight="false" outlineLevel="0" collapsed="false">
      <c r="C516" s="6" t="s">
        <v>328</v>
      </c>
      <c r="D516" s="2" t="s">
        <v>85</v>
      </c>
      <c r="H516" s="8" t="n">
        <f aca="false">SUM(J516:AS516)</f>
        <v>-2343.78180808514</v>
      </c>
      <c r="J516" s="8" t="n">
        <f aca="false">-$H510/Tax_Dep_Life*J503</f>
        <v>-0</v>
      </c>
      <c r="K516" s="8" t="n">
        <f aca="false">-$H510/Tax_Dep_Life*K503</f>
        <v>-0</v>
      </c>
      <c r="L516" s="8" t="n">
        <f aca="false">-$H510/Tax_Dep_Life*L503</f>
        <v>-0</v>
      </c>
      <c r="M516" s="8" t="n">
        <f aca="false">-$H510/Tax_Dep_Life*M503</f>
        <v>-0</v>
      </c>
      <c r="N516" s="8" t="n">
        <f aca="false">-$H510/Tax_Dep_Life*N503</f>
        <v>-0</v>
      </c>
      <c r="O516" s="8" t="n">
        <f aca="false">-$H510/Tax_Dep_Life*O503</f>
        <v>-58.5945452021284</v>
      </c>
      <c r="P516" s="8" t="n">
        <f aca="false">-$H510/Tax_Dep_Life*P503</f>
        <v>-117.189090404257</v>
      </c>
      <c r="Q516" s="8" t="n">
        <f aca="false">-$H510/Tax_Dep_Life*Q503</f>
        <v>-117.189090404257</v>
      </c>
      <c r="R516" s="8" t="n">
        <f aca="false">-$H510/Tax_Dep_Life*R503</f>
        <v>-117.189090404257</v>
      </c>
      <c r="S516" s="8" t="n">
        <f aca="false">-$H510/Tax_Dep_Life*S503</f>
        <v>-117.189090404257</v>
      </c>
      <c r="T516" s="8" t="n">
        <f aca="false">-$H510/Tax_Dep_Life*T503</f>
        <v>-117.189090404257</v>
      </c>
      <c r="U516" s="8" t="n">
        <f aca="false">-$H510/Tax_Dep_Life*U503</f>
        <v>-117.189090404257</v>
      </c>
      <c r="V516" s="8" t="n">
        <f aca="false">-$H510/Tax_Dep_Life*V503</f>
        <v>-117.189090404257</v>
      </c>
      <c r="W516" s="8" t="n">
        <f aca="false">-$H510/Tax_Dep_Life*W503</f>
        <v>-117.189090404257</v>
      </c>
      <c r="X516" s="8" t="n">
        <f aca="false">-$H510/Tax_Dep_Life*X503</f>
        <v>-117.189090404257</v>
      </c>
      <c r="Y516" s="8" t="n">
        <f aca="false">-$H510/Tax_Dep_Life*Y503</f>
        <v>-117.189090404257</v>
      </c>
      <c r="Z516" s="8" t="n">
        <f aca="false">-$H510/Tax_Dep_Life*Z503</f>
        <v>-117.189090404257</v>
      </c>
      <c r="AA516" s="8" t="n">
        <f aca="false">-$H510/Tax_Dep_Life*AA503</f>
        <v>-117.189090404257</v>
      </c>
      <c r="AB516" s="8" t="n">
        <f aca="false">-$H510/Tax_Dep_Life*AB503</f>
        <v>-117.189090404257</v>
      </c>
      <c r="AC516" s="8" t="n">
        <f aca="false">-$H510/Tax_Dep_Life*AC503</f>
        <v>-117.189090404257</v>
      </c>
      <c r="AD516" s="8" t="n">
        <f aca="false">-$H510/Tax_Dep_Life*AD503</f>
        <v>-117.189090404257</v>
      </c>
      <c r="AE516" s="8" t="n">
        <f aca="false">-$H510/Tax_Dep_Life*AE503</f>
        <v>-117.189090404257</v>
      </c>
      <c r="AF516" s="8" t="n">
        <f aca="false">-$H510/Tax_Dep_Life*AF503</f>
        <v>-117.189090404257</v>
      </c>
      <c r="AG516" s="8" t="n">
        <f aca="false">-$H510/Tax_Dep_Life*AG503</f>
        <v>-117.189090404257</v>
      </c>
      <c r="AH516" s="8" t="n">
        <f aca="false">-$H510/Tax_Dep_Life*AH503</f>
        <v>-117.189090404257</v>
      </c>
      <c r="AI516" s="8" t="n">
        <f aca="false">-$H510/Tax_Dep_Life*AI503</f>
        <v>-58.5945452021284</v>
      </c>
      <c r="AJ516" s="8" t="n">
        <f aca="false">-$H510/Tax_Dep_Life*AJ503</f>
        <v>-0</v>
      </c>
      <c r="AK516" s="8" t="n">
        <f aca="false">-$H510/Tax_Dep_Life*AK503</f>
        <v>-0</v>
      </c>
      <c r="AL516" s="8" t="n">
        <f aca="false">-$H510/Tax_Dep_Life*AL503</f>
        <v>-0</v>
      </c>
      <c r="AM516" s="8" t="n">
        <f aca="false">-$H510/Tax_Dep_Life*AM503</f>
        <v>-0</v>
      </c>
      <c r="AN516" s="8" t="n">
        <f aca="false">-$H510/Tax_Dep_Life*AN503</f>
        <v>-0</v>
      </c>
      <c r="AO516" s="8" t="n">
        <f aca="false">-$H510/Tax_Dep_Life*AO503</f>
        <v>-0</v>
      </c>
      <c r="AP516" s="8" t="n">
        <f aca="false">-$H510/Tax_Dep_Life*AP503</f>
        <v>-0</v>
      </c>
      <c r="AQ516" s="8" t="n">
        <f aca="false">-$H510/Tax_Dep_Life*AQ503</f>
        <v>-0</v>
      </c>
      <c r="AR516" s="8" t="n">
        <f aca="false">-$H510/Tax_Dep_Life*AR503</f>
        <v>-0</v>
      </c>
      <c r="AS516" s="8" t="n">
        <f aca="false">-$H510/Tax_Dep_Life*AS503</f>
        <v>-0</v>
      </c>
    </row>
    <row r="517" customFormat="false" ht="14.25" hidden="false" customHeight="false" outlineLevel="0" collapsed="false">
      <c r="C517" s="6" t="s">
        <v>329</v>
      </c>
      <c r="D517" s="2" t="s">
        <v>85</v>
      </c>
      <c r="H517" s="8" t="n">
        <f aca="false">SUM(J517:AS517)</f>
        <v>-33210.487590456</v>
      </c>
      <c r="J517" s="8" t="n">
        <f aca="false">-MAX(0,J501+J505+J516+J512+J511)*CIT_Rate</f>
        <v>-0</v>
      </c>
      <c r="K517" s="8" t="n">
        <f aca="false">-MAX(0,K501+K505+K516+K512+K511)*CIT_Rate</f>
        <v>-0</v>
      </c>
      <c r="L517" s="8" t="n">
        <f aca="false">-MAX(0,L501+L505+L516+L512+L511)*CIT_Rate</f>
        <v>-0</v>
      </c>
      <c r="M517" s="8" t="n">
        <f aca="false">-MAX(0,M501+M505+M516+M512+M511)*CIT_Rate</f>
        <v>-0</v>
      </c>
      <c r="N517" s="8" t="n">
        <f aca="false">-MAX(0,N501+N505+N516+N512+N511)*CIT_Rate</f>
        <v>-0</v>
      </c>
      <c r="O517" s="8" t="n">
        <f aca="false">-MAX(0,O501+O505+O516+O512+O511)*CIT_Rate</f>
        <v>-310.616304981142</v>
      </c>
      <c r="P517" s="8" t="n">
        <f aca="false">-MAX(0,P501+P505+P516+P512+P511)*CIT_Rate</f>
        <v>-631.548857064285</v>
      </c>
      <c r="Q517" s="8" t="n">
        <f aca="false">-MAX(0,Q501+Q505+Q516+Q512+Q511)*CIT_Rate</f>
        <v>-653.234736323922</v>
      </c>
      <c r="R517" s="8" t="n">
        <f aca="false">-MAX(0,R501+R505+R516+R512+R511)*CIT_Rate</f>
        <v>-675.637433749163</v>
      </c>
      <c r="S517" s="8" t="n">
        <f aca="false">-MAX(0,S501+S505+S516+S512+S511)*CIT_Rate</f>
        <v>-698.794369129235</v>
      </c>
      <c r="T517" s="8" t="n">
        <f aca="false">-MAX(0,T501+T505+T516+T512+T511)*CIT_Rate</f>
        <v>-722.744941407001</v>
      </c>
      <c r="U517" s="8" t="n">
        <f aca="false">-MAX(0,U501+U505+U516+U512+U511)*CIT_Rate</f>
        <v>-747.530630754174</v>
      </c>
      <c r="V517" s="8" t="n">
        <f aca="false">-MAX(0,V501+V505+V516+V512+V511)*CIT_Rate</f>
        <v>-773.195105829459</v>
      </c>
      <c r="W517" s="8" t="n">
        <f aca="false">-MAX(0,W501+W505+W516+W512+W511)*CIT_Rate</f>
        <v>-799.784336480733</v>
      </c>
      <c r="X517" s="8" t="n">
        <f aca="false">-MAX(0,X501+X505+X516+X512+X511)*CIT_Rate</f>
        <v>-827.346712165432</v>
      </c>
      <c r="Y517" s="8" t="n">
        <f aca="false">-MAX(0,Y501+Y505+Y516+Y512+Y511)*CIT_Rate</f>
        <v>-855.933166377142</v>
      </c>
      <c r="Z517" s="8" t="n">
        <f aca="false">-MAX(0,Z501+Z505+Z516+Z512+Z511)*CIT_Rate</f>
        <v>-885.597307380774</v>
      </c>
      <c r="AA517" s="8" t="n">
        <f aca="false">-MAX(0,AA501+AA505+AA516+AA512+AA511)*CIT_Rate</f>
        <v>-916.395555573921</v>
      </c>
      <c r="AB517" s="8" t="n">
        <f aca="false">-MAX(0,AB501+AB505+AB516+AB512+AB511)*CIT_Rate</f>
        <v>-948.387287807896</v>
      </c>
      <c r="AC517" s="8" t="n">
        <f aca="false">-MAX(0,AC501+AC505+AC516+AC512+AC511)*CIT_Rate</f>
        <v>-981.634989018711</v>
      </c>
      <c r="AD517" s="8" t="n">
        <f aca="false">-MAX(0,AD501+AD505+AD516+AD512+AD511)*CIT_Rate</f>
        <v>-1016.20441153578</v>
      </c>
      <c r="AE517" s="8" t="n">
        <f aca="false">-MAX(0,AE501+AE505+AE516+AE512+AE511)*CIT_Rate</f>
        <v>-1052.16474245462</v>
      </c>
      <c r="AF517" s="8" t="n">
        <f aca="false">-MAX(0,AF501+AF505+AF516+AF512+AF511)*CIT_Rate</f>
        <v>-1054.59931943779</v>
      </c>
      <c r="AG517" s="8" t="n">
        <f aca="false">-MAX(0,AG501+AG505+AG516+AG512+AG511)*CIT_Rate</f>
        <v>-1056.82472257492</v>
      </c>
      <c r="AH517" s="8" t="n">
        <f aca="false">-MAX(0,AH501+AH505+AH516+AH512+AH511)*CIT_Rate</f>
        <v>-1058.83406069339</v>
      </c>
      <c r="AI517" s="8" t="n">
        <f aca="false">-MAX(0,AI501+AI505+AI516+AI512+AI511)*CIT_Rate</f>
        <v>-1328.88040979249</v>
      </c>
      <c r="AJ517" s="8" t="n">
        <f aca="false">-MAX(0,AJ501+AJ505+AJ516+AJ512+AJ511)*CIT_Rate</f>
        <v>-1598.69636595756</v>
      </c>
      <c r="AK517" s="8" t="n">
        <f aca="false">-MAX(0,AK501+AK505+AK516+AK512+AK511)*CIT_Rate</f>
        <v>-1600.01433583266</v>
      </c>
      <c r="AL517" s="8" t="n">
        <f aca="false">-MAX(0,AL501+AL505+AL516+AL512+AL511)*CIT_Rate</f>
        <v>-1601.08682698029</v>
      </c>
      <c r="AM517" s="8" t="n">
        <f aca="false">-MAX(0,AM501+AM505+AM516+AM512+AM511)*CIT_Rate</f>
        <v>-1601.90600045683</v>
      </c>
      <c r="AN517" s="8" t="n">
        <f aca="false">-MAX(0,AN501+AN505+AN516+AN512+AN511)*CIT_Rate</f>
        <v>-1602.4638134044</v>
      </c>
      <c r="AO517" s="8" t="n">
        <f aca="false">-MAX(0,AO501+AO505+AO516+AO512+AO511)*CIT_Rate</f>
        <v>-1602.75201398753</v>
      </c>
      <c r="AP517" s="8" t="n">
        <f aca="false">-MAX(0,AP501+AP505+AP516+AP512+AP511)*CIT_Rate</f>
        <v>-1602.76213620557</v>
      </c>
      <c r="AQ517" s="8" t="n">
        <f aca="false">-MAX(0,AQ501+AQ505+AQ516+AQ512+AQ511)*CIT_Rate</f>
        <v>-1602.48549457754</v>
      </c>
      <c r="AR517" s="8" t="n">
        <f aca="false">-MAX(0,AR501+AR505+AR516+AR512+AR511)*CIT_Rate</f>
        <v>-1601.91317869653</v>
      </c>
      <c r="AS517" s="8" t="n">
        <f aca="false">-MAX(0,AS501+AS505+AS516+AS512+AS511)*CIT_Rate</f>
        <v>-800.518023825112</v>
      </c>
    </row>
    <row r="518" customFormat="false" ht="14.25" hidden="false" customHeight="false" outlineLevel="0" collapsed="false">
      <c r="C518" s="1" t="s">
        <v>163</v>
      </c>
      <c r="D518" s="2" t="s">
        <v>85</v>
      </c>
      <c r="H518" s="32" t="n">
        <f aca="false">SUM(J518:AS518)</f>
        <v>179778.560678166</v>
      </c>
      <c r="J518" s="32" t="n">
        <f aca="false">J502+J509+J511+J513+J517</f>
        <v>0</v>
      </c>
      <c r="K518" s="32" t="n">
        <f aca="false">K502+K509+K511+K513+K517</f>
        <v>0</v>
      </c>
      <c r="L518" s="32" t="n">
        <f aca="false">L502+L509+L511+L513+L517</f>
        <v>0</v>
      </c>
      <c r="M518" s="32" t="n">
        <f aca="false">M502+M509+M511+M513+M517</f>
        <v>-19043.9715296233</v>
      </c>
      <c r="N518" s="32" t="n">
        <f aca="false">N502+N509+N511+N513+N517</f>
        <v>-8317.9822260274</v>
      </c>
      <c r="O518" s="32" t="n">
        <f aca="false">O502+O509+O511+O513+O517</f>
        <v>-3110.4310678956</v>
      </c>
      <c r="P518" s="32" t="n">
        <f aca="false">P502+P509+P511+P513+P517</f>
        <v>4911.50835276352</v>
      </c>
      <c r="Q518" s="32" t="n">
        <f aca="false">Q502+Q509+Q511+Q513+Q517</f>
        <v>7416.71202629414</v>
      </c>
      <c r="R518" s="32" t="n">
        <f aca="false">R502+R509+R511+R513+R517</f>
        <v>4931.3263973618</v>
      </c>
      <c r="S518" s="32" t="n">
        <f aca="false">S502+S509+S511+S513+S517</f>
        <v>4938.84464646554</v>
      </c>
      <c r="T518" s="32" t="n">
        <f aca="false">T502+T509+T511+T513+T517</f>
        <v>4944.67495208705</v>
      </c>
      <c r="U518" s="32" t="n">
        <f aca="false">U502+U509+U511+U513+U517</f>
        <v>4948.7431075709</v>
      </c>
      <c r="V518" s="32" t="n">
        <f aca="false">V502+V509+V511+V513+V517</f>
        <v>4950.97184463988</v>
      </c>
      <c r="W518" s="32" t="n">
        <f aca="false">W502+W509+W511+W513+W517</f>
        <v>4951.28069888825</v>
      </c>
      <c r="X518" s="32" t="n">
        <f aca="false">X502+X509+X511+X513+X517</f>
        <v>4949.58586902059</v>
      </c>
      <c r="Y518" s="32" t="n">
        <f aca="false">Y502+Y509+Y511+Y513+Y517</f>
        <v>4945.80006953527</v>
      </c>
      <c r="Z518" s="32" t="n">
        <f aca="false">Z502+Z509+Z511+Z513+Z517</f>
        <v>4939.8323765366</v>
      </c>
      <c r="AA518" s="32" t="n">
        <f aca="false">AA502+AA509+AA511+AA513+AA517</f>
        <v>4931.58806634421</v>
      </c>
      <c r="AB518" s="32" t="n">
        <f aca="false">AB502+AB509+AB511+AB513+AB517</f>
        <v>4920.96844655218</v>
      </c>
      <c r="AC518" s="32" t="n">
        <f aca="false">AC502+AC509+AC511+AC513+AC517</f>
        <v>4907.870679173</v>
      </c>
      <c r="AD518" s="32" t="n">
        <f aca="false">AD502+AD509+AD511+AD513+AD517</f>
        <v>4892.18759548389</v>
      </c>
      <c r="AE518" s="32" t="n">
        <f aca="false">AE502+AE509+AE511+AE513+AE517</f>
        <v>9539.06884102607</v>
      </c>
      <c r="AF518" s="32" t="n">
        <f aca="false">AF502+AF509+AF511+AF513+AF517</f>
        <v>9552.86477726406</v>
      </c>
      <c r="AG518" s="32" t="n">
        <f aca="false">AG502+AG509+AG511+AG513+AG517</f>
        <v>9565.47539504115</v>
      </c>
      <c r="AH518" s="32" t="n">
        <f aca="false">AH502+AH509+AH511+AH513+AH517</f>
        <v>9576.86164437914</v>
      </c>
      <c r="AI518" s="32" t="n">
        <f aca="false">AI502+AI509+AI511+AI513+AI517</f>
        <v>9318.72330571574</v>
      </c>
      <c r="AJ518" s="32" t="n">
        <f aca="false">AJ502+AJ509+AJ511+AJ513+AJ517</f>
        <v>9059.27940709287</v>
      </c>
      <c r="AK518" s="32" t="n">
        <f aca="false">AK502+AK509+AK511+AK513+AK517</f>
        <v>9066.74790305173</v>
      </c>
      <c r="AL518" s="32" t="n">
        <f aca="false">AL502+AL509+AL511+AL513+AL517</f>
        <v>9072.8253528883</v>
      </c>
      <c r="AM518" s="32" t="n">
        <f aca="false">AM502+AM509+AM511+AM513+AM517</f>
        <v>9077.46733592206</v>
      </c>
      <c r="AN518" s="32" t="n">
        <f aca="false">AN502+AN509+AN511+AN513+AN517</f>
        <v>9080.62827595824</v>
      </c>
      <c r="AO518" s="32" t="n">
        <f aca="false">AO502+AO509+AO511+AO513+AO517</f>
        <v>9082.26141259599</v>
      </c>
      <c r="AP518" s="32" t="n">
        <f aca="false">AP502+AP509+AP511+AP513+AP517</f>
        <v>9082.31877183154</v>
      </c>
      <c r="AQ518" s="32" t="n">
        <f aca="false">AQ502+AQ509+AQ511+AQ513+AQ517</f>
        <v>9080.75113593939</v>
      </c>
      <c r="AR518" s="32" t="n">
        <f aca="false">AR502+AR509+AR511+AR513+AR517</f>
        <v>9077.50801261365</v>
      </c>
      <c r="AS518" s="32" t="n">
        <f aca="false">AS502+AS509+AS511+AS513+AS517</f>
        <v>4536.26880167564</v>
      </c>
    </row>
    <row r="519" customFormat="false" ht="14.25" hidden="false" customHeight="false" outlineLevel="0" collapsed="false">
      <c r="C519" s="6" t="s">
        <v>330</v>
      </c>
      <c r="D519" s="2" t="s">
        <v>3</v>
      </c>
      <c r="H519" s="47" t="n">
        <f aca="false">MIN(J519:AS519)</f>
        <v>2.04864170303641</v>
      </c>
      <c r="J519" s="47" t="str">
        <f aca="false">IF(J513&lt;0,-(J501+J517)/J513,"")</f>
        <v/>
      </c>
      <c r="K519" s="47" t="str">
        <f aca="false">IF(K513&lt;0,-(K501+K517)/K513,"")</f>
        <v/>
      </c>
      <c r="L519" s="47" t="str">
        <f aca="false">IF(L513&lt;0,-(L501+L517)/L513,"")</f>
        <v/>
      </c>
      <c r="M519" s="47" t="str">
        <f aca="false">IF(M513&lt;0,-(M501+M517)/M513,"")</f>
        <v/>
      </c>
      <c r="N519" s="47" t="str">
        <f aca="false">IF(N513&lt;0,-(N501+N517)/N513,"")</f>
        <v/>
      </c>
      <c r="O519" s="47" t="n">
        <f aca="false">IF(O513&lt;0,-(O501+O517)/O513,"")</f>
        <v>3.93125180035084</v>
      </c>
      <c r="P519" s="47" t="n">
        <f aca="false">IF(P513&lt;0,-(P501+P517)/P513,"")</f>
        <v>2.05278311246159</v>
      </c>
      <c r="Q519" s="47" t="n">
        <f aca="false">IF(Q513&lt;0,-(Q501+Q517)/Q513,"")</f>
        <v>2.05507304325205</v>
      </c>
      <c r="R519" s="47" t="n">
        <f aca="false">IF(R513&lt;0,-(R501+R517)/R513,"")</f>
        <v>2.05703111555484</v>
      </c>
      <c r="S519" s="47" t="n">
        <f aca="false">IF(S513&lt;0,-(S501+S517)/S513,"")</f>
        <v>2.05864265423567</v>
      </c>
      <c r="T519" s="47" t="n">
        <f aca="false">IF(T513&lt;0,-(T501+T517)/T513,"")</f>
        <v>2.05989238178533</v>
      </c>
      <c r="U519" s="47" t="n">
        <f aca="false">IF(U513&lt;0,-(U501+U517)/U513,"")</f>
        <v>2.06076439198762</v>
      </c>
      <c r="V519" s="47" t="n">
        <f aca="false">IF(V513&lt;0,-(V501+V517)/V513,"")</f>
        <v>2.06124212236693</v>
      </c>
      <c r="W519" s="47" t="n">
        <f aca="false">IF(W513&lt;0,-(W501+W517)/W513,"")</f>
        <v>2.06130832535663</v>
      </c>
      <c r="X519" s="47" t="n">
        <f aca="false">IF(X513&lt;0,-(X501+X517)/X513,"")</f>
        <v>2.06094503812692</v>
      </c>
      <c r="Y519" s="47" t="n">
        <f aca="false">IF(Y513&lt;0,-(Y501+Y517)/Y513,"")</f>
        <v>2.06013355100748</v>
      </c>
      <c r="Z519" s="47" t="n">
        <f aca="false">IF(Z513&lt;0,-(Z501+Z517)/Z513,"")</f>
        <v>2.05885437443724</v>
      </c>
      <c r="AA519" s="47" t="n">
        <f aca="false">IF(AA513&lt;0,-(AA501+AA517)/AA513,"")</f>
        <v>2.05708720437032</v>
      </c>
      <c r="AB519" s="47" t="n">
        <f aca="false">IF(AB513&lt;0,-(AB501+AB517)/AB513,"")</f>
        <v>2.05481088606344</v>
      </c>
      <c r="AC519" s="47" t="n">
        <f aca="false">IF(AC513&lt;0,-(AC501+AC517)/AC513,"")</f>
        <v>2.05200337616681</v>
      </c>
      <c r="AD519" s="47" t="n">
        <f aca="false">IF(AD513&lt;0,-(AD501+AD517)/AD513,"")</f>
        <v>2.04864170303641</v>
      </c>
      <c r="AE519" s="47" t="str">
        <f aca="false">IF(AE513&lt;0,-(AE501+AE517)/AE513,"")</f>
        <v/>
      </c>
      <c r="AF519" s="47" t="str">
        <f aca="false">IF(AF513&lt;0,-(AF501+AF517)/AF513,"")</f>
        <v/>
      </c>
      <c r="AG519" s="47" t="str">
        <f aca="false">IF(AG513&lt;0,-(AG501+AG517)/AG513,"")</f>
        <v/>
      </c>
      <c r="AH519" s="47" t="str">
        <f aca="false">IF(AH513&lt;0,-(AH501+AH517)/AH513,"")</f>
        <v/>
      </c>
      <c r="AI519" s="47" t="str">
        <f aca="false">IF(AI513&lt;0,-(AI501+AI517)/AI513,"")</f>
        <v/>
      </c>
      <c r="AJ519" s="47" t="str">
        <f aca="false">IF(AJ513&lt;0,-(AJ501+AJ517)/AJ513,"")</f>
        <v/>
      </c>
      <c r="AK519" s="47" t="str">
        <f aca="false">IF(AK513&lt;0,-(AK501+AK517)/AK513,"")</f>
        <v/>
      </c>
      <c r="AL519" s="47" t="str">
        <f aca="false">IF(AL513&lt;0,-(AL501+AL517)/AL513,"")</f>
        <v/>
      </c>
      <c r="AM519" s="47" t="str">
        <f aca="false">IF(AM513&lt;0,-(AM501+AM517)/AM513,"")</f>
        <v/>
      </c>
      <c r="AN519" s="47" t="str">
        <f aca="false">IF(AN513&lt;0,-(AN501+AN517)/AN513,"")</f>
        <v/>
      </c>
      <c r="AO519" s="47" t="str">
        <f aca="false">IF(AO513&lt;0,-(AO501+AO517)/AO513,"")</f>
        <v/>
      </c>
      <c r="AP519" s="47" t="str">
        <f aca="false">IF(AP513&lt;0,-(AP501+AP517)/AP513,"")</f>
        <v/>
      </c>
      <c r="AQ519" s="47" t="str">
        <f aca="false">IF(AQ513&lt;0,-(AQ501+AQ517)/AQ513,"")</f>
        <v/>
      </c>
      <c r="AR519" s="47" t="str">
        <f aca="false">IF(AR513&lt;0,-(AR501+AR517)/AR513,"")</f>
        <v/>
      </c>
      <c r="AS519" s="47" t="str">
        <f aca="false">IF(AS513&lt;0,-(AS501+AS517)/AS513,"")</f>
        <v/>
      </c>
    </row>
    <row r="520" customFormat="false" ht="14.25" hidden="false" customHeight="false" outlineLevel="0" collapsed="false">
      <c r="C520" s="6" t="s">
        <v>331</v>
      </c>
      <c r="D520" s="2" t="s">
        <v>3</v>
      </c>
      <c r="J520" s="77" t="n">
        <f aca="false">(1+Discount_Rate)^((Inputs!$G$26-J$360)/Days_In_Year)</f>
        <v>1.41371255107938</v>
      </c>
      <c r="K520" s="77" t="n">
        <f aca="false">(1+Discount_Rate)^((Inputs!$G$26-K$360)/Days_In_Year)</f>
        <v>1.30899310285128</v>
      </c>
      <c r="L520" s="77" t="n">
        <f aca="false">(1+Discount_Rate)^((Inputs!$G$26-L$360)/Days_In_Year)</f>
        <v>1.21177511843915</v>
      </c>
      <c r="M520" s="77" t="n">
        <f aca="false">(1+Discount_Rate)^((Inputs!$G$26-M$360)/Days_In_Year)</f>
        <v>1.12201399855477</v>
      </c>
      <c r="N520" s="77" t="n">
        <f aca="false">(1+Discount_Rate)^((Inputs!$G$26-N$360)/Days_In_Year)</f>
        <v>1.03890185051367</v>
      </c>
      <c r="O520" s="77" t="n">
        <f aca="false">(1+Discount_Rate)^((Inputs!$G$26-O$360)/Days_In_Year)</f>
        <v>0.961946157883031</v>
      </c>
      <c r="P520" s="77" t="n">
        <f aca="false">(1+Discount_Rate)^((Inputs!$G$26-P$360)/Days_In_Year)</f>
        <v>0.890503102622714</v>
      </c>
      <c r="Q520" s="77" t="n">
        <f aca="false">(1+Discount_Rate)^((Inputs!$G$26-Q$360)/Days_In_Year)</f>
        <v>0.824539909835846</v>
      </c>
      <c r="R520" s="77" t="n">
        <f aca="false">(1+Discount_Rate)^((Inputs!$G$26-R$360)/Days_In_Year)</f>
        <v>0.763462879477635</v>
      </c>
      <c r="S520" s="77" t="n">
        <f aca="false">(1+Discount_Rate)^((Inputs!$G$26-S$360)/Days_In_Year)</f>
        <v>0.706910073590403</v>
      </c>
      <c r="T520" s="77" t="n">
        <f aca="false">(1+Discount_Rate)^((Inputs!$G$26-T$360)/Days_In_Year)</f>
        <v>0.654408366464987</v>
      </c>
      <c r="U520" s="77" t="n">
        <f aca="false">(1+Discount_Rate)^((Inputs!$G$26-U$360)/Days_In_Year)</f>
        <v>0.605933672652766</v>
      </c>
      <c r="V520" s="77" t="n">
        <f aca="false">(1+Discount_Rate)^((Inputs!$G$26-V$360)/Days_In_Year)</f>
        <v>0.561049696900709</v>
      </c>
      <c r="W520" s="77" t="n">
        <f aca="false">(1+Discount_Rate)^((Inputs!$G$26-W$360)/Days_In_Year)</f>
        <v>0.519490460093249</v>
      </c>
      <c r="X520" s="77" t="n">
        <f aca="false">(1+Discount_Rate)^((Inputs!$G$26-X$360)/Days_In_Year)</f>
        <v>0.480908274028566</v>
      </c>
      <c r="Y520" s="77" t="n">
        <f aca="false">(1+Discount_Rate)^((Inputs!$G$26-Y$360)/Days_In_Year)</f>
        <v>0.445285438915339</v>
      </c>
      <c r="Z520" s="77" t="n">
        <f aca="false">(1+Discount_Rate)^((Inputs!$G$26-Z$360)/Days_In_Year)</f>
        <v>0.412301332329018</v>
      </c>
      <c r="AA520" s="77" t="n">
        <f aca="false">(1+Discount_Rate)^((Inputs!$G$26-AA$360)/Days_In_Year)</f>
        <v>0.381760492897239</v>
      </c>
      <c r="AB520" s="77" t="n">
        <f aca="false">(1+Discount_Rate)^((Inputs!$G$26-AB$360)/Days_In_Year)</f>
        <v>0.353407413292154</v>
      </c>
      <c r="AC520" s="77" t="n">
        <f aca="false">(1+Discount_Rate)^((Inputs!$G$26-AC$360)/Days_In_Year)</f>
        <v>0.327229086381624</v>
      </c>
      <c r="AD520" s="77" t="n">
        <f aca="false">(1+Discount_Rate)^((Inputs!$G$26-AD$360)/Days_In_Year)</f>
        <v>0.3029898947978</v>
      </c>
      <c r="AE520" s="77" t="n">
        <f aca="false">(1+Discount_Rate)^((Inputs!$G$26-AE$360)/Days_In_Year)</f>
        <v>0.280546198886852</v>
      </c>
      <c r="AF520" s="77" t="n">
        <f aca="false">(1+Discount_Rate)^((Inputs!$G$26-AF$360)/Days_In_Year)</f>
        <v>0.259710232730228</v>
      </c>
      <c r="AG520" s="77" t="n">
        <f aca="false">(1+Discount_Rate)^((Inputs!$G$26-AG$360)/Days_In_Year)</f>
        <v>0.240472437713174</v>
      </c>
      <c r="AH520" s="77" t="n">
        <f aca="false">(1+Discount_Rate)^((Inputs!$G$26-AH$360)/Days_In_Year)</f>
        <v>0.222659664549235</v>
      </c>
      <c r="AI520" s="77" t="n">
        <f aca="false">(1+Discount_Rate)^((Inputs!$G$26-AI$360)/Days_In_Year)</f>
        <v>0.206166356064106</v>
      </c>
      <c r="AJ520" s="77" t="n">
        <f aca="false">(1+Discount_Rate)^((Inputs!$G$26-AJ$360)/Days_In_Year)</f>
        <v>0.190854527799705</v>
      </c>
      <c r="AK520" s="77" t="n">
        <f aca="false">(1+Discount_Rate)^((Inputs!$G$26-AK$360)/Days_In_Year)</f>
        <v>0.176717155370097</v>
      </c>
      <c r="AL520" s="77" t="n">
        <f aca="false">(1+Discount_Rate)^((Inputs!$G$26-AL$360)/Days_In_Year)</f>
        <v>0.163626995713053</v>
      </c>
      <c r="AM520" s="77" t="n">
        <f aca="false">(1+Discount_Rate)^((Inputs!$G$26-AM$360)/Days_In_Year)</f>
        <v>0.151506477512086</v>
      </c>
      <c r="AN520" s="77" t="n">
        <f aca="false">(1+Discount_Rate)^((Inputs!$G$26-AN$360)/Days_In_Year)</f>
        <v>0.140254199454224</v>
      </c>
      <c r="AO520" s="77" t="n">
        <f aca="false">(1+Discount_Rate)^((Inputs!$G$26-AO$360)/Days_In_Year)</f>
        <v>0.129864999494652</v>
      </c>
      <c r="AP520" s="77" t="n">
        <f aca="false">(1+Discount_Rate)^((Inputs!$G$26-AP$360)/Days_In_Year)</f>
        <v>0.120245369902455</v>
      </c>
      <c r="AQ520" s="77" t="n">
        <f aca="false">(1+Discount_Rate)^((Inputs!$G$26-AQ$360)/Days_In_Year)</f>
        <v>0.111338305465236</v>
      </c>
      <c r="AR520" s="77" t="n">
        <f aca="false">(1+Discount_Rate)^((Inputs!$G$26-AR$360)/Days_In_Year)</f>
        <v>0.103069288904634</v>
      </c>
      <c r="AS520" s="77" t="n">
        <f aca="false">(1+Discount_Rate)^((Inputs!$G$26-AS$360)/Days_In_Year)</f>
        <v>0.0954345267635496</v>
      </c>
    </row>
    <row r="521" customFormat="false" ht="14.25" hidden="false" customHeight="false" outlineLevel="0" collapsed="false">
      <c r="C521" s="6" t="s">
        <v>332</v>
      </c>
      <c r="D521" s="2" t="s">
        <v>85</v>
      </c>
      <c r="H521" s="8" t="n">
        <f aca="false">SUM(J521:AS521)</f>
        <v>104814.283831267</v>
      </c>
      <c r="J521" s="8" t="n">
        <f aca="false">(J501+J506)*J520</f>
        <v>0</v>
      </c>
      <c r="K521" s="8" t="n">
        <f aca="false">(K501+K506)*K520</f>
        <v>0</v>
      </c>
      <c r="L521" s="8" t="n">
        <f aca="false">(L501+L506)*L520</f>
        <v>0</v>
      </c>
      <c r="M521" s="8" t="n">
        <f aca="false">(M501+M506)*M520</f>
        <v>0</v>
      </c>
      <c r="N521" s="8" t="n">
        <f aca="false">(N501+N506)*N520</f>
        <v>0</v>
      </c>
      <c r="O521" s="8" t="n">
        <f aca="false">(O501+O506)*O520</f>
        <v>4394.91746420691</v>
      </c>
      <c r="P521" s="8" t="n">
        <f aca="false">(P501+P506)*P520</f>
        <v>8189.07783922433</v>
      </c>
      <c r="Q521" s="8" t="n">
        <f aca="false">(Q501+Q506)*Q520</f>
        <v>7605.16558664922</v>
      </c>
      <c r="R521" s="8" t="n">
        <f aca="false">(R501+R506)*R520</f>
        <v>7062.28611717721</v>
      </c>
      <c r="S521" s="8" t="n">
        <f aca="false">(S501+S506)*S520</f>
        <v>6557.58571958384</v>
      </c>
      <c r="T521" s="8" t="n">
        <f aca="false">(T501+T506)*T520</f>
        <v>6087.12403118125</v>
      </c>
      <c r="U521" s="8" t="n">
        <f aca="false">(U501+U506)*U520</f>
        <v>5651.08694354077</v>
      </c>
      <c r="V521" s="8" t="n">
        <f aca="false">(V501+V506)*V520</f>
        <v>5245.78996717216</v>
      </c>
      <c r="W521" s="8" t="n">
        <f aca="false">(W501+W506)*W520</f>
        <v>4869.09023629193</v>
      </c>
      <c r="X521" s="8" t="n">
        <f aca="false">(X501+X506)*X520</f>
        <v>4518.0403054856</v>
      </c>
      <c r="Y521" s="8" t="n">
        <f aca="false">(Y501+Y506)*Y520</f>
        <v>4192.75751808886</v>
      </c>
      <c r="Z521" s="8" t="n">
        <f aca="false">(Z501+Z506)*Z520</f>
        <v>3890.48745264063</v>
      </c>
      <c r="AA521" s="8" t="n">
        <f aca="false">(AA501+AA506)*AA520</f>
        <v>3609.62186900423</v>
      </c>
      <c r="AB521" s="8" t="n">
        <f aca="false">(AB501+AB506)*AB520</f>
        <v>3347.95793004988</v>
      </c>
      <c r="AC521" s="8" t="n">
        <f aca="false">(AC501+AC506)*AC520</f>
        <v>3105.5656441151</v>
      </c>
      <c r="AD521" s="8" t="n">
        <f aca="false">(AD501+AD506)*AD520</f>
        <v>2880.38775889343</v>
      </c>
      <c r="AE521" s="8" t="n">
        <f aca="false">(AE501+AE506)*AE520</f>
        <v>2671.21796119028</v>
      </c>
      <c r="AF521" s="8" t="n">
        <f aca="false">(AF501+AF506)*AF520</f>
        <v>2476.41145365229</v>
      </c>
      <c r="AG521" s="8" t="n">
        <f aca="false">(AG501+AG506)*AG520</f>
        <v>2296.00607419449</v>
      </c>
      <c r="AH521" s="8" t="n">
        <f aca="false">(AH501+AH506)*AH520</f>
        <v>2128.46680863816</v>
      </c>
      <c r="AI521" s="8" t="n">
        <f aca="false">(AI501+AI506)*AI520</f>
        <v>1919.39519352865</v>
      </c>
      <c r="AJ521" s="8" t="n">
        <f aca="false">(AJ501+AJ506)*AJ520</f>
        <v>1729.0044934463</v>
      </c>
      <c r="AK521" s="8" t="n">
        <f aca="false">(AK501+AK506)*AK520</f>
        <v>1602.24989788509</v>
      </c>
      <c r="AL521" s="8" t="n">
        <f aca="false">(AL501+AL506)*AL520</f>
        <v>1484.55915512233</v>
      </c>
      <c r="AM521" s="8" t="n">
        <f aca="false">(AM501+AM506)*AM520</f>
        <v>1375.29510079657</v>
      </c>
      <c r="AN521" s="8" t="n">
        <f aca="false">(AN501+AN506)*AN520</f>
        <v>1273.59624938591</v>
      </c>
      <c r="AO521" s="8" t="n">
        <f aca="false">(AO501+AO506)*AO520</f>
        <v>1179.46787375707</v>
      </c>
      <c r="AP521" s="8" t="n">
        <f aca="false">(AP501+AP506)*AP520</f>
        <v>1092.1067802909</v>
      </c>
      <c r="AQ521" s="8" t="n">
        <f aca="false">(AQ501+AQ506)*AQ520</f>
        <v>1011.03544382701</v>
      </c>
      <c r="AR521" s="8" t="n">
        <f aca="false">(AR501+AR506)*AR520</f>
        <v>935.612295886202</v>
      </c>
      <c r="AS521" s="8" t="n">
        <f aca="false">(AS501+AS506)*AS520</f>
        <v>432.916666360168</v>
      </c>
    </row>
    <row r="522" customFormat="false" ht="14.25" hidden="false" customHeight="false" outlineLevel="0" collapsed="false">
      <c r="C522" s="1" t="s">
        <v>333</v>
      </c>
      <c r="D522" s="2" t="s">
        <v>85</v>
      </c>
      <c r="H522" s="32" t="n">
        <f aca="false">SUM(J522:AS522)</f>
        <v>28014.2245846914</v>
      </c>
      <c r="J522" s="32" t="n">
        <f aca="false">J487*(J477&lt;=0)+J482*($H521+$G$62+$G$63)</f>
        <v>0</v>
      </c>
      <c r="K522" s="32" t="n">
        <f aca="false">K487*(K477&lt;=0)+K482*($H521+$G$62+$G$63)</f>
        <v>0</v>
      </c>
      <c r="L522" s="32" t="n">
        <f aca="false">L487*(L477&lt;=0)+L482*($H521+$G$62+$G$63)</f>
        <v>0</v>
      </c>
      <c r="M522" s="32" t="n">
        <f aca="false">M487*(M477&lt;=0)+M482*($H521+$G$62+$G$63)</f>
        <v>-29757.5797945206</v>
      </c>
      <c r="N522" s="32" t="n">
        <f aca="false">N487*(N477&lt;=0)+N482*($H521+$G$62+$G$63)</f>
        <v>-31358</v>
      </c>
      <c r="O522" s="32" t="n">
        <f aca="false">O487*(O477&lt;=0)+O482*($H521+$G$62+$G$63)</f>
        <v>89129.804379212</v>
      </c>
      <c r="P522" s="32" t="n">
        <f aca="false">P487*(P477&lt;=0)+P482*($H521+$G$62+$G$63)</f>
        <v>0</v>
      </c>
      <c r="Q522" s="32" t="n">
        <f aca="false">Q487*(Q477&lt;=0)+Q482*($H521+$G$62+$G$63)</f>
        <v>0</v>
      </c>
      <c r="R522" s="32" t="n">
        <f aca="false">R487*(R477&lt;=0)+R482*($H521+$G$62+$G$63)</f>
        <v>0</v>
      </c>
      <c r="S522" s="32" t="n">
        <f aca="false">S487*(S477&lt;=0)+S482*($H521+$G$62+$G$63)</f>
        <v>0</v>
      </c>
      <c r="T522" s="32" t="n">
        <f aca="false">T487*(T477&lt;=0)+T482*($H521+$G$62+$G$63)</f>
        <v>0</v>
      </c>
      <c r="U522" s="32" t="n">
        <f aca="false">U487*(U477&lt;=0)+U482*($H521+$G$62+$G$63)</f>
        <v>0</v>
      </c>
      <c r="V522" s="32" t="n">
        <f aca="false">V487*(V477&lt;=0)+V482*($H521+$G$62+$G$63)</f>
        <v>0</v>
      </c>
      <c r="W522" s="32" t="n">
        <f aca="false">W487*(W477&lt;=0)+W482*($H521+$G$62+$G$63)</f>
        <v>0</v>
      </c>
      <c r="X522" s="32" t="n">
        <f aca="false">X487*(X477&lt;=0)+X482*($H521+$G$62+$G$63)</f>
        <v>0</v>
      </c>
      <c r="Y522" s="32" t="n">
        <f aca="false">Y487*(Y477&lt;=0)+Y482*($H521+$G$62+$G$63)</f>
        <v>0</v>
      </c>
      <c r="Z522" s="32" t="n">
        <f aca="false">Z487*(Z477&lt;=0)+Z482*($H521+$G$62+$G$63)</f>
        <v>0</v>
      </c>
      <c r="AA522" s="32" t="n">
        <f aca="false">AA487*(AA477&lt;=0)+AA482*($H521+$G$62+$G$63)</f>
        <v>0</v>
      </c>
      <c r="AB522" s="32" t="n">
        <f aca="false">AB487*(AB477&lt;=0)+AB482*($H521+$G$62+$G$63)</f>
        <v>0</v>
      </c>
      <c r="AC522" s="32" t="n">
        <f aca="false">AC487*(AC477&lt;=0)+AC482*($H521+$G$62+$G$63)</f>
        <v>0</v>
      </c>
      <c r="AD522" s="32" t="n">
        <f aca="false">AD487*(AD477&lt;=0)+AD482*($H521+$G$62+$G$63)</f>
        <v>0</v>
      </c>
      <c r="AE522" s="32" t="n">
        <f aca="false">AE487*(AE477&lt;=0)+AE482*($H521+$G$62+$G$63)</f>
        <v>0</v>
      </c>
      <c r="AF522" s="32" t="n">
        <f aca="false">AF487*(AF477&lt;=0)+AF482*($H521+$G$62+$G$63)</f>
        <v>0</v>
      </c>
      <c r="AG522" s="32" t="n">
        <f aca="false">AG487*(AG477&lt;=0)+AG482*($H521+$G$62+$G$63)</f>
        <v>0</v>
      </c>
      <c r="AH522" s="32" t="n">
        <f aca="false">AH487*(AH477&lt;=0)+AH482*($H521+$G$62+$G$63)</f>
        <v>0</v>
      </c>
      <c r="AI522" s="32" t="n">
        <f aca="false">AI487*(AI477&lt;=0)+AI482*($H521+$G$62+$G$63)</f>
        <v>0</v>
      </c>
      <c r="AJ522" s="32" t="n">
        <f aca="false">AJ487*(AJ477&lt;=0)+AJ482*($H521+$G$62+$G$63)</f>
        <v>0</v>
      </c>
      <c r="AK522" s="32" t="n">
        <f aca="false">AK487*(AK477&lt;=0)+AK482*($H521+$G$62+$G$63)</f>
        <v>0</v>
      </c>
      <c r="AL522" s="32" t="n">
        <f aca="false">AL487*(AL477&lt;=0)+AL482*($H521+$G$62+$G$63)</f>
        <v>0</v>
      </c>
      <c r="AM522" s="32" t="n">
        <f aca="false">AM487*(AM477&lt;=0)+AM482*($H521+$G$62+$G$63)</f>
        <v>0</v>
      </c>
      <c r="AN522" s="32" t="n">
        <f aca="false">AN487*(AN477&lt;=0)+AN482*($H521+$G$62+$G$63)</f>
        <v>0</v>
      </c>
      <c r="AO522" s="32" t="n">
        <f aca="false">AO487*(AO477&lt;=0)+AO482*($H521+$G$62+$G$63)</f>
        <v>0</v>
      </c>
      <c r="AP522" s="32" t="n">
        <f aca="false">AP487*(AP477&lt;=0)+AP482*($H521+$G$62+$G$63)</f>
        <v>0</v>
      </c>
      <c r="AQ522" s="32" t="n">
        <f aca="false">AQ487*(AQ477&lt;=0)+AQ482*($H521+$G$62+$G$63)</f>
        <v>0</v>
      </c>
      <c r="AR522" s="32" t="n">
        <f aca="false">AR487*(AR477&lt;=0)+AR482*($H521+$G$62+$G$63)</f>
        <v>0</v>
      </c>
      <c r="AS522" s="32" t="n">
        <f aca="false">AS487*(AS477&lt;=0)+AS482*($H521+$G$62+$G$63)</f>
        <v>0</v>
      </c>
    </row>
    <row r="523" customFormat="false" ht="14.25" hidden="false" customHeight="false" outlineLevel="0" collapsed="false">
      <c r="C523" s="41" t="s">
        <v>334</v>
      </c>
      <c r="D523" s="42"/>
      <c r="E523" s="43"/>
      <c r="F523" s="43"/>
      <c r="G523" s="43"/>
      <c r="H523" s="43"/>
    </row>
    <row r="524" customFormat="false" ht="14.25" hidden="false" customHeight="false" outlineLevel="0" collapsed="false">
      <c r="C524" s="6" t="s">
        <v>335</v>
      </c>
      <c r="D524" s="2" t="s">
        <v>85</v>
      </c>
      <c r="H524" s="8"/>
      <c r="J524" s="8" t="n">
        <f aca="false">(I524*(1+Rate_Cash)-SUMPRODUCT($G341:$G346*$O341:$O346*(YEAR($L341:$L346)=J359)))*(J360&lt;$G190)*$G21</f>
        <v>0</v>
      </c>
      <c r="K524" s="8" t="n">
        <f aca="false">(J524*(1+Rate_Cash)-SUMPRODUCT($G341:$G346*$O341:$O346*(YEAR($L341:$L346)=K359)))*(K360&lt;$G190)*$G21</f>
        <v>0</v>
      </c>
      <c r="L524" s="8" t="n">
        <f aca="false">(K524*(1+Rate_Cash)-SUMPRODUCT($G341:$G346*$O341:$O346*(YEAR($L341:$L346)=L359)))*(L360&lt;$G190)*$G21</f>
        <v>0</v>
      </c>
      <c r="M524" s="8" t="n">
        <f aca="false">(L524*(1+Rate_Cash)-SUMPRODUCT($G341:$G346*$O341:$O346*(YEAR($L341:$L346)=M359)))*(M360&lt;$G190)*$G21</f>
        <v>0</v>
      </c>
      <c r="N524" s="8" t="n">
        <f aca="false">(M524*(1+Rate_Cash)-SUMPRODUCT($G341:$G346*$O341:$O346*(YEAR($L341:$L346)=N359)))*(N360&lt;$G190)*$G21</f>
        <v>0</v>
      </c>
      <c r="O524" s="8" t="n">
        <f aca="false">(N524*(1+Rate_Cash)-SUMPRODUCT($G341:$G346*$O341:$O346*(YEAR($L341:$L346)=O359)))*(O360&lt;$G190)*$G21</f>
        <v>0</v>
      </c>
      <c r="P524" s="8" t="n">
        <f aca="false">(O524*(1+Rate_Cash)-SUMPRODUCT($G341:$G346*$O341:$O346*(YEAR($L341:$L346)=P359)))*(P360&lt;$G190)*$G21</f>
        <v>0</v>
      </c>
      <c r="Q524" s="8" t="n">
        <f aca="false">(P524*(1+Rate_Cash)-SUMPRODUCT($G341:$G346*$O341:$O346*(YEAR($L341:$L346)=Q359)))*(Q360&lt;$G190)*$G21</f>
        <v>0</v>
      </c>
      <c r="R524" s="8" t="n">
        <f aca="false">(Q524*(1+Rate_Cash)-SUMPRODUCT($G341:$G346*$O341:$O346*(YEAR($L341:$L346)=R359)))*(R360&lt;$G190)*$G21</f>
        <v>0</v>
      </c>
      <c r="S524" s="8" t="n">
        <f aca="false">(R524*(1+Rate_Cash)-SUMPRODUCT($G341:$G346*$O341:$O346*(YEAR($L341:$L346)=S359)))*(S360&lt;$G190)*$G21</f>
        <v>0</v>
      </c>
      <c r="T524" s="8" t="n">
        <f aca="false">(S524*(1+Rate_Cash)-SUMPRODUCT($G341:$G346*$O341:$O346*(YEAR($L341:$L346)=T359)))*(T360&lt;$G190)*$G21</f>
        <v>0</v>
      </c>
      <c r="U524" s="8" t="n">
        <f aca="false">(T524*(1+Rate_Cash)-SUMPRODUCT($G341:$G346*$O341:$O346*(YEAR($L341:$L346)=U359)))*(U360&lt;$G190)*$G21</f>
        <v>0</v>
      </c>
      <c r="V524" s="8" t="n">
        <f aca="false">(U524*(1+Rate_Cash)-SUMPRODUCT($G341:$G346*$O341:$O346*(YEAR($L341:$L346)=V359)))*(V360&lt;$G190)*$G21</f>
        <v>0</v>
      </c>
      <c r="W524" s="8" t="n">
        <f aca="false">(V524*(1+Rate_Cash)-SUMPRODUCT($G341:$G346*$O341:$O346*(YEAR($L341:$L346)=W359)))*(W360&lt;$G190)*$G21</f>
        <v>0</v>
      </c>
      <c r="X524" s="8" t="n">
        <f aca="false">(W524*(1+Rate_Cash)-SUMPRODUCT($G341:$G346*$O341:$O346*(YEAR($L341:$L346)=X359)))*(X360&lt;$G190)*$G21</f>
        <v>0</v>
      </c>
      <c r="Y524" s="8" t="n">
        <f aca="false">(X524*(1+Rate_Cash)-SUMPRODUCT($G341:$G346*$O341:$O346*(YEAR($L341:$L346)=Y359)))*(Y360&lt;$G190)*$G21</f>
        <v>0</v>
      </c>
      <c r="Z524" s="8" t="n">
        <f aca="false">(Y524*(1+Rate_Cash)-SUMPRODUCT($G341:$G346*$O341:$O346*(YEAR($L341:$L346)=Z359)))*(Z360&lt;$G190)*$G21</f>
        <v>0</v>
      </c>
      <c r="AA524" s="8" t="n">
        <f aca="false">(Z524*(1+Rate_Cash)-SUMPRODUCT($G341:$G346*$O341:$O346*(YEAR($L341:$L346)=AA359)))*(AA360&lt;$G190)*$G21</f>
        <v>0</v>
      </c>
      <c r="AB524" s="8" t="n">
        <f aca="false">(AA524*(1+Rate_Cash)-SUMPRODUCT($G341:$G346*$O341:$O346*(YEAR($L341:$L346)=AB359)))*(AB360&lt;$G190)*$G21</f>
        <v>0</v>
      </c>
      <c r="AC524" s="8" t="n">
        <f aca="false">(AB524*(1+Rate_Cash)-SUMPRODUCT($G341:$G346*$O341:$O346*(YEAR($L341:$L346)=AC359)))*(AC360&lt;$G190)*$G21</f>
        <v>0</v>
      </c>
      <c r="AD524" s="8" t="n">
        <f aca="false">(AC524*(1+Rate_Cash)-SUMPRODUCT($G341:$G346*$O341:$O346*(YEAR($L341:$L346)=AD359)))*(AD360&lt;$G190)*$G21</f>
        <v>0</v>
      </c>
      <c r="AE524" s="8" t="n">
        <f aca="false">(AD524*(1+Rate_Cash)-SUMPRODUCT($G341:$G346*$O341:$O346*(YEAR($L341:$L346)=AE359)))*(AE360&lt;$G190)*$G21</f>
        <v>0</v>
      </c>
      <c r="AF524" s="8" t="n">
        <f aca="false">(AE524*(1+Rate_Cash)-SUMPRODUCT($G341:$G346*$O341:$O346*(YEAR($L341:$L346)=AF359)))*(AF360&lt;$G190)*$G21</f>
        <v>0</v>
      </c>
      <c r="AG524" s="8" t="n">
        <f aca="false">(AF524*(1+Rate_Cash)-SUMPRODUCT($G341:$G346*$O341:$O346*(YEAR($L341:$L346)=AG359)))*(AG360&lt;$G190)*$G21</f>
        <v>0</v>
      </c>
      <c r="AH524" s="8" t="n">
        <f aca="false">(AG524*(1+Rate_Cash)-SUMPRODUCT($G341:$G346*$O341:$O346*(YEAR($L341:$L346)=AH359)))*(AH360&lt;$G190)*$G21</f>
        <v>0</v>
      </c>
      <c r="AI524" s="8" t="n">
        <f aca="false">(AH524*(1+Rate_Cash)-SUMPRODUCT($G341:$G346*$O341:$O346*(YEAR($L341:$L346)=AI359)))*(AI360&lt;$G190)*$G21</f>
        <v>0</v>
      </c>
      <c r="AJ524" s="8" t="n">
        <f aca="false">(AI524*(1+Rate_Cash)-SUMPRODUCT($G341:$G346*$O341:$O346*(YEAR($L341:$L346)=AJ359)))*(AJ360&lt;$G190)*$G21</f>
        <v>0</v>
      </c>
      <c r="AK524" s="8" t="n">
        <f aca="false">(AJ524*(1+Rate_Cash)-SUMPRODUCT($G341:$G346*$O341:$O346*(YEAR($L341:$L346)=AK359)))*(AK360&lt;$G190)*$G21</f>
        <v>0</v>
      </c>
      <c r="AL524" s="8" t="n">
        <f aca="false">(AK524*(1+Rate_Cash)-SUMPRODUCT($G341:$G346*$O341:$O346*(YEAR($L341:$L346)=AL359)))*(AL360&lt;$G190)*$G21</f>
        <v>0</v>
      </c>
      <c r="AM524" s="8" t="n">
        <f aca="false">(AL524*(1+Rate_Cash)-SUMPRODUCT($G341:$G346*$O341:$O346*(YEAR($L341:$L346)=AM359)))*(AM360&lt;$G190)*$G21</f>
        <v>0</v>
      </c>
      <c r="AN524" s="8" t="n">
        <f aca="false">(AM524*(1+Rate_Cash)-SUMPRODUCT($G341:$G346*$O341:$O346*(YEAR($L341:$L346)=AN359)))*(AN360&lt;$G190)*$G21</f>
        <v>0</v>
      </c>
      <c r="AO524" s="8" t="n">
        <f aca="false">(AN524*(1+Rate_Cash)-SUMPRODUCT($G341:$G346*$O341:$O346*(YEAR($L341:$L346)=AO359)))*(AO360&lt;$G190)*$G21</f>
        <v>0</v>
      </c>
      <c r="AP524" s="8" t="n">
        <f aca="false">(AO524*(1+Rate_Cash)-SUMPRODUCT($G341:$G346*$O341:$O346*(YEAR($L341:$L346)=AP359)))*(AP360&lt;$G190)*$G21</f>
        <v>0</v>
      </c>
      <c r="AQ524" s="8" t="n">
        <f aca="false">(AP524*(1+Rate_Cash)-SUMPRODUCT($G341:$G346*$O341:$O346*(YEAR($L341:$L346)=AQ359)))*(AQ360&lt;$G190)*$G21</f>
        <v>0</v>
      </c>
      <c r="AR524" s="8" t="n">
        <f aca="false">(AQ524*(1+Rate_Cash)-SUMPRODUCT($G341:$G346*$O341:$O346*(YEAR($L341:$L346)=AR359)))*(AR360&lt;$G190)*$G21</f>
        <v>0</v>
      </c>
      <c r="AS524" s="8" t="n">
        <f aca="false">(AR524*(1+Rate_Cash)-SUMPRODUCT($G341:$G346*$O341:$O346*(YEAR($L341:$L346)=AS359)))*(AS360&lt;$G190)*$G21</f>
        <v>0</v>
      </c>
    </row>
    <row r="525" customFormat="false" ht="14.25" hidden="false" customHeight="false" outlineLevel="0" collapsed="false">
      <c r="C525" s="6" t="s">
        <v>336</v>
      </c>
      <c r="D525" s="2" t="s">
        <v>85</v>
      </c>
      <c r="H525" s="8"/>
      <c r="J525" s="8" t="n">
        <f aca="false">(I525*(1+Rate_Devex)-SUMPRODUCT($G347:$G348*$O347:$O348*(YEAR($L347:$L348)=J359)))*(J360&lt;$G190)*$G21</f>
        <v>0</v>
      </c>
      <c r="K525" s="8" t="n">
        <f aca="false">(J525*(1+Rate_Devex)-SUMPRODUCT($G347:$G348*$O347:$O348*(YEAR($L347:$L348)=K359)))*(K360&lt;$G190)*$G21</f>
        <v>0</v>
      </c>
      <c r="L525" s="8" t="n">
        <f aca="false">(K525*(1+Rate_Devex)-SUMPRODUCT($G347:$G348*$O347:$O348*(YEAR($L347:$L348)=L359)))*(L360&lt;$G190)*$G21</f>
        <v>0</v>
      </c>
      <c r="M525" s="8" t="n">
        <f aca="false">(L525*(1+Rate_Devex)-SUMPRODUCT($G347:$G348*$O347:$O348*(YEAR($L347:$L348)=M359)))*(M360&lt;$G190)*$G21</f>
        <v>0</v>
      </c>
      <c r="N525" s="8" t="n">
        <f aca="false">(M525*(1+Rate_Devex)-SUMPRODUCT($G347:$G348*$O347:$O348*(YEAR($L347:$L348)=N359)))*(N360&lt;$G190)*$G21</f>
        <v>0</v>
      </c>
      <c r="O525" s="8" t="n">
        <f aca="false">(N525*(1+Rate_Devex)-SUMPRODUCT($G347:$G348*$O347:$O348*(YEAR($L347:$L348)=O359)))*(O360&lt;$G190)*$G21</f>
        <v>0</v>
      </c>
      <c r="P525" s="8" t="n">
        <f aca="false">(O525*(1+Rate_Devex)-SUMPRODUCT($G347:$G348*$O347:$O348*(YEAR($L347:$L348)=P359)))*(P360&lt;$G190)*$G21</f>
        <v>0</v>
      </c>
      <c r="Q525" s="8" t="n">
        <f aca="false">(P525*(1+Rate_Devex)-SUMPRODUCT($G347:$G348*$O347:$O348*(YEAR($L347:$L348)=Q359)))*(Q360&lt;$G190)*$G21</f>
        <v>0</v>
      </c>
      <c r="R525" s="8" t="n">
        <f aca="false">(Q525*(1+Rate_Devex)-SUMPRODUCT($G347:$G348*$O347:$O348*(YEAR($L347:$L348)=R359)))*(R360&lt;$G190)*$G21</f>
        <v>0</v>
      </c>
      <c r="S525" s="8" t="n">
        <f aca="false">(R525*(1+Rate_Devex)-SUMPRODUCT($G347:$G348*$O347:$O348*(YEAR($L347:$L348)=S359)))*(S360&lt;$G190)*$G21</f>
        <v>0</v>
      </c>
      <c r="T525" s="8" t="n">
        <f aca="false">(S525*(1+Rate_Devex)-SUMPRODUCT($G347:$G348*$O347:$O348*(YEAR($L347:$L348)=T359)))*(T360&lt;$G190)*$G21</f>
        <v>0</v>
      </c>
      <c r="U525" s="8" t="n">
        <f aca="false">(T525*(1+Rate_Devex)-SUMPRODUCT($G347:$G348*$O347:$O348*(YEAR($L347:$L348)=U359)))*(U360&lt;$G190)*$G21</f>
        <v>0</v>
      </c>
      <c r="V525" s="8" t="n">
        <f aca="false">(U525*(1+Rate_Devex)-SUMPRODUCT($G347:$G348*$O347:$O348*(YEAR($L347:$L348)=V359)))*(V360&lt;$G190)*$G21</f>
        <v>0</v>
      </c>
      <c r="W525" s="8" t="n">
        <f aca="false">(V525*(1+Rate_Devex)-SUMPRODUCT($G347:$G348*$O347:$O348*(YEAR($L347:$L348)=W359)))*(W360&lt;$G190)*$G21</f>
        <v>0</v>
      </c>
      <c r="X525" s="8" t="n">
        <f aca="false">(W525*(1+Rate_Devex)-SUMPRODUCT($G347:$G348*$O347:$O348*(YEAR($L347:$L348)=X359)))*(X360&lt;$G190)*$G21</f>
        <v>0</v>
      </c>
      <c r="Y525" s="8" t="n">
        <f aca="false">(X525*(1+Rate_Devex)-SUMPRODUCT($G347:$G348*$O347:$O348*(YEAR($L347:$L348)=Y359)))*(Y360&lt;$G190)*$G21</f>
        <v>0</v>
      </c>
      <c r="Z525" s="8" t="n">
        <f aca="false">(Y525*(1+Rate_Devex)-SUMPRODUCT($G347:$G348*$O347:$O348*(YEAR($L347:$L348)=Z359)))*(Z360&lt;$G190)*$G21</f>
        <v>0</v>
      </c>
      <c r="AA525" s="8" t="n">
        <f aca="false">(Z525*(1+Rate_Devex)-SUMPRODUCT($G347:$G348*$O347:$O348*(YEAR($L347:$L348)=AA359)))*(AA360&lt;$G190)*$G21</f>
        <v>0</v>
      </c>
      <c r="AB525" s="8" t="n">
        <f aca="false">(AA525*(1+Rate_Devex)-SUMPRODUCT($G347:$G348*$O347:$O348*(YEAR($L347:$L348)=AB359)))*(AB360&lt;$G190)*$G21</f>
        <v>0</v>
      </c>
      <c r="AC525" s="8" t="n">
        <f aca="false">(AB525*(1+Rate_Devex)-SUMPRODUCT($G347:$G348*$O347:$O348*(YEAR($L347:$L348)=AC359)))*(AC360&lt;$G190)*$G21</f>
        <v>0</v>
      </c>
      <c r="AD525" s="8" t="n">
        <f aca="false">(AC525*(1+Rate_Devex)-SUMPRODUCT($G347:$G348*$O347:$O348*(YEAR($L347:$L348)=AD359)))*(AD360&lt;$G190)*$G21</f>
        <v>0</v>
      </c>
      <c r="AE525" s="8" t="n">
        <f aca="false">(AD525*(1+Rate_Devex)-SUMPRODUCT($G347:$G348*$O347:$O348*(YEAR($L347:$L348)=AE359)))*(AE360&lt;$G190)*$G21</f>
        <v>0</v>
      </c>
      <c r="AF525" s="8" t="n">
        <f aca="false">(AE525*(1+Rate_Devex)-SUMPRODUCT($G347:$G348*$O347:$O348*(YEAR($L347:$L348)=AF359)))*(AF360&lt;$G190)*$G21</f>
        <v>0</v>
      </c>
      <c r="AG525" s="8" t="n">
        <f aca="false">(AF525*(1+Rate_Devex)-SUMPRODUCT($G347:$G348*$O347:$O348*(YEAR($L347:$L348)=AG359)))*(AG360&lt;$G190)*$G21</f>
        <v>0</v>
      </c>
      <c r="AH525" s="8" t="n">
        <f aca="false">(AG525*(1+Rate_Devex)-SUMPRODUCT($G347:$G348*$O347:$O348*(YEAR($L347:$L348)=AH359)))*(AH360&lt;$G190)*$G21</f>
        <v>0</v>
      </c>
      <c r="AI525" s="8" t="n">
        <f aca="false">(AH525*(1+Rate_Devex)-SUMPRODUCT($G347:$G348*$O347:$O348*(YEAR($L347:$L348)=AI359)))*(AI360&lt;$G190)*$G21</f>
        <v>0</v>
      </c>
      <c r="AJ525" s="8" t="n">
        <f aca="false">(AI525*(1+Rate_Devex)-SUMPRODUCT($G347:$G348*$O347:$O348*(YEAR($L347:$L348)=AJ359)))*(AJ360&lt;$G190)*$G21</f>
        <v>0</v>
      </c>
      <c r="AK525" s="8" t="n">
        <f aca="false">(AJ525*(1+Rate_Devex)-SUMPRODUCT($G347:$G348*$O347:$O348*(YEAR($L347:$L348)=AK359)))*(AK360&lt;$G190)*$G21</f>
        <v>0</v>
      </c>
      <c r="AL525" s="8" t="n">
        <f aca="false">(AK525*(1+Rate_Devex)-SUMPRODUCT($G347:$G348*$O347:$O348*(YEAR($L347:$L348)=AL359)))*(AL360&lt;$G190)*$G21</f>
        <v>0</v>
      </c>
      <c r="AM525" s="8" t="n">
        <f aca="false">(AL525*(1+Rate_Devex)-SUMPRODUCT($G347:$G348*$O347:$O348*(YEAR($L347:$L348)=AM359)))*(AM360&lt;$G190)*$G21</f>
        <v>0</v>
      </c>
      <c r="AN525" s="8" t="n">
        <f aca="false">(AM525*(1+Rate_Devex)-SUMPRODUCT($G347:$G348*$O347:$O348*(YEAR($L347:$L348)=AN359)))*(AN360&lt;$G190)*$G21</f>
        <v>0</v>
      </c>
      <c r="AO525" s="8" t="n">
        <f aca="false">(AN525*(1+Rate_Devex)-SUMPRODUCT($G347:$G348*$O347:$O348*(YEAR($L347:$L348)=AO359)))*(AO360&lt;$G190)*$G21</f>
        <v>0</v>
      </c>
      <c r="AP525" s="8" t="n">
        <f aca="false">(AO525*(1+Rate_Devex)-SUMPRODUCT($G347:$G348*$O347:$O348*(YEAR($L347:$L348)=AP359)))*(AP360&lt;$G190)*$G21</f>
        <v>0</v>
      </c>
      <c r="AQ525" s="8" t="n">
        <f aca="false">(AP525*(1+Rate_Devex)-SUMPRODUCT($G347:$G348*$O347:$O348*(YEAR($L347:$L348)=AQ359)))*(AQ360&lt;$G190)*$G21</f>
        <v>0</v>
      </c>
      <c r="AR525" s="8" t="n">
        <f aca="false">(AQ525*(1+Rate_Devex)-SUMPRODUCT($G347:$G348*$O347:$O348*(YEAR($L347:$L348)=AR359)))*(AR360&lt;$G190)*$G21</f>
        <v>0</v>
      </c>
      <c r="AS525" s="8" t="n">
        <f aca="false">(AR525*(1+Rate_Devex)-SUMPRODUCT($G347:$G348*$O347:$O348*(YEAR($L347:$L348)=AS359)))*(AS360&lt;$G190)*$G21</f>
        <v>0</v>
      </c>
    </row>
    <row r="526" customFormat="false" ht="14.25" hidden="false" customHeight="false" outlineLevel="0" collapsed="false">
      <c r="C526" s="6" t="s">
        <v>337</v>
      </c>
      <c r="D526" s="2" t="s">
        <v>85</v>
      </c>
      <c r="H526" s="8" t="n">
        <f aca="false">SUM(J526:AS526)</f>
        <v>0</v>
      </c>
      <c r="J526" s="8" t="n">
        <f aca="false">-SUMPRODUCT($G341:$G348*(YEAR($L341:$L348)=J359))*(J360&lt;$G190)*$G21</f>
        <v>0</v>
      </c>
      <c r="K526" s="8" t="n">
        <f aca="false">-SUMPRODUCT($G341:$G348*(YEAR($L341:$L348)=K359))*(K360&lt;$G190)*$G21</f>
        <v>0</v>
      </c>
      <c r="L526" s="8" t="n">
        <f aca="false">-SUMPRODUCT($G341:$G348*(YEAR($L341:$L348)=L359))*(L360&lt;$G190)*$G21</f>
        <v>0</v>
      </c>
      <c r="M526" s="8" t="n">
        <f aca="false">-SUMPRODUCT($G341:$G348*(YEAR($L341:$L348)=M359))*(M360&lt;$G190)*$G21</f>
        <v>-0</v>
      </c>
      <c r="N526" s="8" t="n">
        <f aca="false">-SUMPRODUCT($G341:$G348*(YEAR($L341:$L348)=N359))*(N360&lt;$G190)*$G21</f>
        <v>-0</v>
      </c>
      <c r="O526" s="8" t="n">
        <f aca="false">-SUMPRODUCT($G341:$G348*(YEAR($L341:$L348)=O359))*(O360&lt;$G190)*$G21</f>
        <v>-0</v>
      </c>
      <c r="P526" s="8" t="n">
        <f aca="false">-SUMPRODUCT($G341:$G348*(YEAR($L341:$L348)=P359))*(P360&lt;$G190)*$G21</f>
        <v>-0</v>
      </c>
      <c r="Q526" s="8" t="n">
        <f aca="false">-SUMPRODUCT($G341:$G348*(YEAR($L341:$L348)=Q359))*(Q360&lt;$G190)*$G21</f>
        <v>-0</v>
      </c>
      <c r="R526" s="8" t="n">
        <f aca="false">-SUMPRODUCT($G341:$G348*(YEAR($L341:$L348)=R359))*(R360&lt;$G190)*$G21</f>
        <v>-0</v>
      </c>
      <c r="S526" s="8" t="n">
        <f aca="false">-SUMPRODUCT($G341:$G348*(YEAR($L341:$L348)=S359))*(S360&lt;$G190)*$G21</f>
        <v>-0</v>
      </c>
      <c r="T526" s="8" t="n">
        <f aca="false">-SUMPRODUCT($G341:$G348*(YEAR($L341:$L348)=T359))*(T360&lt;$G190)*$G21</f>
        <v>-0</v>
      </c>
      <c r="U526" s="8" t="n">
        <f aca="false">-SUMPRODUCT($G341:$G348*(YEAR($L341:$L348)=U359))*(U360&lt;$G190)*$G21</f>
        <v>-0</v>
      </c>
      <c r="V526" s="8" t="n">
        <f aca="false">-SUMPRODUCT($G341:$G348*(YEAR($L341:$L348)=V359))*(V360&lt;$G190)*$G21</f>
        <v>-0</v>
      </c>
      <c r="W526" s="8" t="n">
        <f aca="false">-SUMPRODUCT($G341:$G348*(YEAR($L341:$L348)=W359))*(W360&lt;$G190)*$G21</f>
        <v>-0</v>
      </c>
      <c r="X526" s="8" t="n">
        <f aca="false">-SUMPRODUCT($G341:$G348*(YEAR($L341:$L348)=X359))*(X360&lt;$G190)*$G21</f>
        <v>-0</v>
      </c>
      <c r="Y526" s="8" t="n">
        <f aca="false">-SUMPRODUCT($G341:$G348*(YEAR($L341:$L348)=Y359))*(Y360&lt;$G190)*$G21</f>
        <v>-0</v>
      </c>
      <c r="Z526" s="8" t="n">
        <f aca="false">-SUMPRODUCT($G341:$G348*(YEAR($L341:$L348)=Z359))*(Z360&lt;$G190)*$G21</f>
        <v>-0</v>
      </c>
      <c r="AA526" s="8" t="n">
        <f aca="false">-SUMPRODUCT($G341:$G348*(YEAR($L341:$L348)=AA359))*(AA360&lt;$G190)*$G21</f>
        <v>-0</v>
      </c>
      <c r="AB526" s="8" t="n">
        <f aca="false">-SUMPRODUCT($G341:$G348*(YEAR($L341:$L348)=AB359))*(AB360&lt;$G190)*$G21</f>
        <v>-0</v>
      </c>
      <c r="AC526" s="8" t="n">
        <f aca="false">-SUMPRODUCT($G341:$G348*(YEAR($L341:$L348)=AC359))*(AC360&lt;$G190)*$G21</f>
        <v>-0</v>
      </c>
      <c r="AD526" s="8" t="n">
        <f aca="false">-SUMPRODUCT($G341:$G348*(YEAR($L341:$L348)=AD359))*(AD360&lt;$G190)*$G21</f>
        <v>-0</v>
      </c>
      <c r="AE526" s="8" t="n">
        <f aca="false">-SUMPRODUCT($G341:$G348*(YEAR($L341:$L348)=AE359))*(AE360&lt;$G190)*$G21</f>
        <v>-0</v>
      </c>
      <c r="AF526" s="8" t="n">
        <f aca="false">-SUMPRODUCT($G341:$G348*(YEAR($L341:$L348)=AF359))*(AF360&lt;$G190)*$G21</f>
        <v>-0</v>
      </c>
      <c r="AG526" s="8" t="n">
        <f aca="false">-SUMPRODUCT($G341:$G348*(YEAR($L341:$L348)=AG359))*(AG360&lt;$G190)*$G21</f>
        <v>-0</v>
      </c>
      <c r="AH526" s="8" t="n">
        <f aca="false">-SUMPRODUCT($G341:$G348*(YEAR($L341:$L348)=AH359))*(AH360&lt;$G190)*$G21</f>
        <v>-0</v>
      </c>
      <c r="AI526" s="8" t="n">
        <f aca="false">-SUMPRODUCT($G341:$G348*(YEAR($L341:$L348)=AI359))*(AI360&lt;$G190)*$G21</f>
        <v>-0</v>
      </c>
      <c r="AJ526" s="8" t="n">
        <f aca="false">-SUMPRODUCT($G341:$G348*(YEAR($L341:$L348)=AJ359))*(AJ360&lt;$G190)*$G21</f>
        <v>-0</v>
      </c>
      <c r="AK526" s="8" t="n">
        <f aca="false">-SUMPRODUCT($G341:$G348*(YEAR($L341:$L348)=AK359))*(AK360&lt;$G190)*$G21</f>
        <v>-0</v>
      </c>
      <c r="AL526" s="8" t="n">
        <f aca="false">-SUMPRODUCT($G341:$G348*(YEAR($L341:$L348)=AL359))*(AL360&lt;$G190)*$G21</f>
        <v>-0</v>
      </c>
      <c r="AM526" s="8" t="n">
        <f aca="false">-SUMPRODUCT($G341:$G348*(YEAR($L341:$L348)=AM359))*(AM360&lt;$G190)*$G21</f>
        <v>-0</v>
      </c>
      <c r="AN526" s="8" t="n">
        <f aca="false">-SUMPRODUCT($G341:$G348*(YEAR($L341:$L348)=AN359))*(AN360&lt;$G190)*$G21</f>
        <v>-0</v>
      </c>
      <c r="AO526" s="8" t="n">
        <f aca="false">-SUMPRODUCT($G341:$G348*(YEAR($L341:$L348)=AO359))*(AO360&lt;$G190)*$G21</f>
        <v>-0</v>
      </c>
      <c r="AP526" s="8" t="n">
        <f aca="false">-SUMPRODUCT($G341:$G348*(YEAR($L341:$L348)=AP359))*(AP360&lt;$G190)*$G21</f>
        <v>-0</v>
      </c>
      <c r="AQ526" s="8" t="n">
        <f aca="false">-SUMPRODUCT($G341:$G348*(YEAR($L341:$L348)=AQ359))*(AQ360&lt;$G190)*$G21</f>
        <v>-0</v>
      </c>
      <c r="AR526" s="8" t="n">
        <f aca="false">-SUMPRODUCT($G341:$G348*(YEAR($L341:$L348)=AR359))*(AR360&lt;$G190)*$G21</f>
        <v>-0</v>
      </c>
      <c r="AS526" s="8" t="n">
        <f aca="false">-SUMPRODUCT($G341:$G348*(YEAR($L341:$L348)=AS359))*(AS360&lt;$G190)*$G21</f>
        <v>-0</v>
      </c>
    </row>
    <row r="527" customFormat="false" ht="14.25" hidden="false" customHeight="false" outlineLevel="0" collapsed="false">
      <c r="C527" s="6" t="s">
        <v>338</v>
      </c>
      <c r="D527" s="2" t="s">
        <v>85</v>
      </c>
      <c r="H527" s="8" t="n">
        <f aca="false">SUM(J527:AS527)</f>
        <v>0</v>
      </c>
      <c r="J527" s="8" t="n">
        <f aca="false">(J524+J525-I524-I525-J526)*(J360&lt;$G190)*$G21</f>
        <v>0</v>
      </c>
      <c r="K527" s="8" t="n">
        <f aca="false">(K524+K525-J524-J525-K526)*(K360&lt;$G190)*$G21</f>
        <v>0</v>
      </c>
      <c r="L527" s="8" t="n">
        <f aca="false">(L524+L525-K524-K525-L526)*(L360&lt;$G190)*$G21</f>
        <v>0</v>
      </c>
      <c r="M527" s="8" t="n">
        <f aca="false">(M524+M525-L524-L525-M526)*(M360&lt;$G190)*$G21</f>
        <v>0</v>
      </c>
      <c r="N527" s="8" t="n">
        <f aca="false">(N524+N525-M524-M525-N526)*(N360&lt;$G190)*$G21</f>
        <v>0</v>
      </c>
      <c r="O527" s="8" t="n">
        <f aca="false">(O524+O525-N524-N525-O526)*(O360&lt;$G190)*$G21</f>
        <v>0</v>
      </c>
      <c r="P527" s="8" t="n">
        <f aca="false">(P524+P525-O524-O525-P526)*(P360&lt;$G190)*$G21</f>
        <v>0</v>
      </c>
      <c r="Q527" s="8" t="n">
        <f aca="false">(Q524+Q525-P524-P525-Q526)*(Q360&lt;$G190)*$G21</f>
        <v>0</v>
      </c>
      <c r="R527" s="8" t="n">
        <f aca="false">(R524+R525-Q524-Q525-R526)*(R360&lt;$G190)*$G21</f>
        <v>0</v>
      </c>
      <c r="S527" s="8" t="n">
        <f aca="false">(S524+S525-R524-R525-S526)*(S360&lt;$G190)*$G21</f>
        <v>0</v>
      </c>
      <c r="T527" s="8" t="n">
        <f aca="false">(T524+T525-S524-S525-T526)*(T360&lt;$G190)*$G21</f>
        <v>0</v>
      </c>
      <c r="U527" s="8" t="n">
        <f aca="false">(U524+U525-T524-T525-U526)*(U360&lt;$G190)*$G21</f>
        <v>0</v>
      </c>
      <c r="V527" s="8" t="n">
        <f aca="false">(V524+V525-U524-U525-V526)*(V360&lt;$G190)*$G21</f>
        <v>0</v>
      </c>
      <c r="W527" s="8" t="n">
        <f aca="false">(W524+W525-V524-V525-W526)*(W360&lt;$G190)*$G21</f>
        <v>0</v>
      </c>
      <c r="X527" s="8" t="n">
        <f aca="false">(X524+X525-W524-W525-X526)*(X360&lt;$G190)*$G21</f>
        <v>0</v>
      </c>
      <c r="Y527" s="8" t="n">
        <f aca="false">(Y524+Y525-X524-X525-Y526)*(Y360&lt;$G190)*$G21</f>
        <v>0</v>
      </c>
      <c r="Z527" s="8" t="n">
        <f aca="false">(Z524+Z525-Y524-Y525-Z526)*(Z360&lt;$G190)*$G21</f>
        <v>0</v>
      </c>
      <c r="AA527" s="8" t="n">
        <f aca="false">(AA524+AA525-Z524-Z525-AA526)*(AA360&lt;$G190)*$G21</f>
        <v>0</v>
      </c>
      <c r="AB527" s="8" t="n">
        <f aca="false">(AB524+AB525-AA524-AA525-AB526)*(AB360&lt;$G190)*$G21</f>
        <v>0</v>
      </c>
      <c r="AC527" s="8" t="n">
        <f aca="false">(AC524+AC525-AB524-AB525-AC526)*(AC360&lt;$G190)*$G21</f>
        <v>0</v>
      </c>
      <c r="AD527" s="8" t="n">
        <f aca="false">(AD524+AD525-AC524-AC525-AD526)*(AD360&lt;$G190)*$G21</f>
        <v>0</v>
      </c>
      <c r="AE527" s="8" t="n">
        <f aca="false">(AE524+AE525-AD524-AD525-AE526)*(AE360&lt;$G190)*$G21</f>
        <v>0</v>
      </c>
      <c r="AF527" s="8" t="n">
        <f aca="false">(AF524+AF525-AE524-AE525-AF526)*(AF360&lt;$G190)*$G21</f>
        <v>0</v>
      </c>
      <c r="AG527" s="8" t="n">
        <f aca="false">(AG524+AG525-AF524-AF525-AG526)*(AG360&lt;$G190)*$G21</f>
        <v>0</v>
      </c>
      <c r="AH527" s="8" t="n">
        <f aca="false">(AH524+AH525-AG524-AG525-AH526)*(AH360&lt;$G190)*$G21</f>
        <v>0</v>
      </c>
      <c r="AI527" s="8" t="n">
        <f aca="false">(AI524+AI525-AH524-AH525-AI526)*(AI360&lt;$G190)*$G21</f>
        <v>0</v>
      </c>
      <c r="AJ527" s="8" t="n">
        <f aca="false">(AJ524+AJ525-AI524-AI525-AJ526)*(AJ360&lt;$G190)*$G21</f>
        <v>0</v>
      </c>
      <c r="AK527" s="8" t="n">
        <f aca="false">(AK524+AK525-AJ524-AJ525-AK526)*(AK360&lt;$G190)*$G21</f>
        <v>0</v>
      </c>
      <c r="AL527" s="8" t="n">
        <f aca="false">(AL524+AL525-AK524-AK525-AL526)*(AL360&lt;$G190)*$G21</f>
        <v>0</v>
      </c>
      <c r="AM527" s="8" t="n">
        <f aca="false">(AM524+AM525-AL524-AL525-AM526)*(AM360&lt;$G190)*$G21</f>
        <v>0</v>
      </c>
      <c r="AN527" s="8" t="n">
        <f aca="false">(AN524+AN525-AM524-AM525-AN526)*(AN360&lt;$G190)*$G21</f>
        <v>0</v>
      </c>
      <c r="AO527" s="8" t="n">
        <f aca="false">(AO524+AO525-AN524-AN525-AO526)*(AO360&lt;$G190)*$G21</f>
        <v>0</v>
      </c>
      <c r="AP527" s="8" t="n">
        <f aca="false">(AP524+AP525-AO524-AO525-AP526)*(AP360&lt;$G190)*$G21</f>
        <v>0</v>
      </c>
      <c r="AQ527" s="8" t="n">
        <f aca="false">(AQ524+AQ525-AP524-AP525-AQ526)*(AQ360&lt;$G190)*$G21</f>
        <v>0</v>
      </c>
      <c r="AR527" s="8" t="n">
        <f aca="false">(AR524+AR525-AQ524-AQ525-AR526)*(AR360&lt;$G190)*$G21</f>
        <v>0</v>
      </c>
      <c r="AS527" s="8" t="n">
        <f aca="false">(AS524+AS525-AR524-AR525-AS526)*(AS360&lt;$G190)*$G21</f>
        <v>0</v>
      </c>
    </row>
    <row r="528" customFormat="false" ht="14.25" hidden="false" customHeight="false" outlineLevel="0" collapsed="false">
      <c r="C528" s="6" t="s">
        <v>339</v>
      </c>
      <c r="D528" s="2" t="s">
        <v>85</v>
      </c>
      <c r="H528" s="8"/>
      <c r="J528" s="8" t="n">
        <f aca="false">(I528*(1+Rate_Cash)-SUMPRODUCT($G288:$G291*$O288:$O291*(YEAR($L288:$L291)=J359)))*(J360&lt;$G225)*$G21</f>
        <v>0</v>
      </c>
      <c r="K528" s="8" t="n">
        <f aca="false">(J528*(1+Rate_Cash)-SUMPRODUCT($G288:$G291*$O288:$O291*(YEAR($L288:$L291)=K359)))*(K360&lt;$G225)*$G21</f>
        <v>0</v>
      </c>
      <c r="L528" s="8" t="n">
        <f aca="false">(K528*(1+Rate_Cash)-SUMPRODUCT($G288:$G291*$O288:$O291*(YEAR($L288:$L291)=L359)))*(L360&lt;$G225)*$G21</f>
        <v>0</v>
      </c>
      <c r="M528" s="8" t="n">
        <f aca="false">(L528*(1+Rate_Cash)-SUMPRODUCT($G288:$G291*$O288:$O291*(YEAR($L288:$L291)=M359)))*(M360&lt;$G225)*$G21</f>
        <v>0</v>
      </c>
      <c r="N528" s="8" t="n">
        <f aca="false">(M528*(1+Rate_Cash)-SUMPRODUCT($G288:$G291*$O288:$O291*(YEAR($L288:$L291)=N359)))*(N360&lt;$G225)*$G21</f>
        <v>0</v>
      </c>
      <c r="O528" s="8" t="n">
        <f aca="false">(N528*(1+Rate_Cash)-SUMPRODUCT($G288:$G291*$O288:$O291*(YEAR($L288:$L291)=O359)))*(O360&lt;$G225)*$G21</f>
        <v>0</v>
      </c>
      <c r="P528" s="8" t="n">
        <f aca="false">(O528*(1+Rate_Cash)-SUMPRODUCT($G288:$G291*$O288:$O291*(YEAR($L288:$L291)=P359)))*(P360&lt;$G225)*$G21</f>
        <v>0</v>
      </c>
      <c r="Q528" s="8" t="n">
        <f aca="false">(P528*(1+Rate_Cash)-SUMPRODUCT($G288:$G291*$O288:$O291*(YEAR($L288:$L291)=Q359)))*(Q360&lt;$G225)*$G21</f>
        <v>0</v>
      </c>
      <c r="R528" s="8" t="n">
        <f aca="false">(Q528*(1+Rate_Cash)-SUMPRODUCT($G288:$G291*$O288:$O291*(YEAR($L288:$L291)=R359)))*(R360&lt;$G225)*$G21</f>
        <v>0</v>
      </c>
      <c r="S528" s="8" t="n">
        <f aca="false">(R528*(1+Rate_Cash)-SUMPRODUCT($G288:$G291*$O288:$O291*(YEAR($L288:$L291)=S359)))*(S360&lt;$G225)*$G21</f>
        <v>0</v>
      </c>
      <c r="T528" s="8" t="n">
        <f aca="false">(S528*(1+Rate_Cash)-SUMPRODUCT($G288:$G291*$O288:$O291*(YEAR($L288:$L291)=T359)))*(T360&lt;$G225)*$G21</f>
        <v>0</v>
      </c>
      <c r="U528" s="8" t="n">
        <f aca="false">(T528*(1+Rate_Cash)-SUMPRODUCT($G288:$G291*$O288:$O291*(YEAR($L288:$L291)=U359)))*(U360&lt;$G225)*$G21</f>
        <v>0</v>
      </c>
      <c r="V528" s="8" t="n">
        <f aca="false">(U528*(1+Rate_Cash)-SUMPRODUCT($G288:$G291*$O288:$O291*(YEAR($L288:$L291)=V359)))*(V360&lt;$G225)*$G21</f>
        <v>0</v>
      </c>
      <c r="W528" s="8" t="n">
        <f aca="false">(V528*(1+Rate_Cash)-SUMPRODUCT($G288:$G291*$O288:$O291*(YEAR($L288:$L291)=W359)))*(W360&lt;$G225)*$G21</f>
        <v>0</v>
      </c>
      <c r="X528" s="8" t="n">
        <f aca="false">(W528*(1+Rate_Cash)-SUMPRODUCT($G288:$G291*$O288:$O291*(YEAR($L288:$L291)=X359)))*(X360&lt;$G225)*$G21</f>
        <v>0</v>
      </c>
      <c r="Y528" s="8" t="n">
        <f aca="false">(X528*(1+Rate_Cash)-SUMPRODUCT($G288:$G291*$O288:$O291*(YEAR($L288:$L291)=Y359)))*(Y360&lt;$G225)*$G21</f>
        <v>0</v>
      </c>
      <c r="Z528" s="8" t="n">
        <f aca="false">(Y528*(1+Rate_Cash)-SUMPRODUCT($G288:$G291*$O288:$O291*(YEAR($L288:$L291)=Z359)))*(Z360&lt;$G225)*$G21</f>
        <v>0</v>
      </c>
      <c r="AA528" s="8" t="n">
        <f aca="false">(Z528*(1+Rate_Cash)-SUMPRODUCT($G288:$G291*$O288:$O291*(YEAR($L288:$L291)=AA359)))*(AA360&lt;$G225)*$G21</f>
        <v>0</v>
      </c>
      <c r="AB528" s="8" t="n">
        <f aca="false">(AA528*(1+Rate_Cash)-SUMPRODUCT($G288:$G291*$O288:$O291*(YEAR($L288:$L291)=AB359)))*(AB360&lt;$G225)*$G21</f>
        <v>0</v>
      </c>
      <c r="AC528" s="8" t="n">
        <f aca="false">(AB528*(1+Rate_Cash)-SUMPRODUCT($G288:$G291*$O288:$O291*(YEAR($L288:$L291)=AC359)))*(AC360&lt;$G225)*$G21</f>
        <v>0</v>
      </c>
      <c r="AD528" s="8" t="n">
        <f aca="false">(AC528*(1+Rate_Cash)-SUMPRODUCT($G288:$G291*$O288:$O291*(YEAR($L288:$L291)=AD359)))*(AD360&lt;$G225)*$G21</f>
        <v>0</v>
      </c>
      <c r="AE528" s="8" t="n">
        <f aca="false">(AD528*(1+Rate_Cash)-SUMPRODUCT($G288:$G291*$O288:$O291*(YEAR($L288:$L291)=AE359)))*(AE360&lt;$G225)*$G21</f>
        <v>0</v>
      </c>
      <c r="AF528" s="8" t="n">
        <f aca="false">(AE528*(1+Rate_Cash)-SUMPRODUCT($G288:$G291*$O288:$O291*(YEAR($L288:$L291)=AF359)))*(AF360&lt;$G225)*$G21</f>
        <v>0</v>
      </c>
      <c r="AG528" s="8" t="n">
        <f aca="false">(AF528*(1+Rate_Cash)-SUMPRODUCT($G288:$G291*$O288:$O291*(YEAR($L288:$L291)=AG359)))*(AG360&lt;$G225)*$G21</f>
        <v>0</v>
      </c>
      <c r="AH528" s="8" t="n">
        <f aca="false">(AG528*(1+Rate_Cash)-SUMPRODUCT($G288:$G291*$O288:$O291*(YEAR($L288:$L291)=AH359)))*(AH360&lt;$G225)*$G21</f>
        <v>0</v>
      </c>
      <c r="AI528" s="8" t="n">
        <f aca="false">(AH528*(1+Rate_Cash)-SUMPRODUCT($G288:$G291*$O288:$O291*(YEAR($L288:$L291)=AI359)))*(AI360&lt;$G225)*$G21</f>
        <v>0</v>
      </c>
      <c r="AJ528" s="8" t="n">
        <f aca="false">(AI528*(1+Rate_Cash)-SUMPRODUCT($G288:$G291*$O288:$O291*(YEAR($L288:$L291)=AJ359)))*(AJ360&lt;$G225)*$G21</f>
        <v>0</v>
      </c>
      <c r="AK528" s="8" t="n">
        <f aca="false">(AJ528*(1+Rate_Cash)-SUMPRODUCT($G288:$G291*$O288:$O291*(YEAR($L288:$L291)=AK359)))*(AK360&lt;$G225)*$G21</f>
        <v>0</v>
      </c>
      <c r="AL528" s="8" t="n">
        <f aca="false">(AK528*(1+Rate_Cash)-SUMPRODUCT($G288:$G291*$O288:$O291*(YEAR($L288:$L291)=AL359)))*(AL360&lt;$G225)*$G21</f>
        <v>0</v>
      </c>
      <c r="AM528" s="8" t="n">
        <f aca="false">(AL528*(1+Rate_Cash)-SUMPRODUCT($G288:$G291*$O288:$O291*(YEAR($L288:$L291)=AM359)))*(AM360&lt;$G225)*$G21</f>
        <v>0</v>
      </c>
      <c r="AN528" s="8" t="n">
        <f aca="false">(AM528*(1+Rate_Cash)-SUMPRODUCT($G288:$G291*$O288:$O291*(YEAR($L288:$L291)=AN359)))*(AN360&lt;$G225)*$G21</f>
        <v>0</v>
      </c>
      <c r="AO528" s="8" t="n">
        <f aca="false">(AN528*(1+Rate_Cash)-SUMPRODUCT($G288:$G291*$O288:$O291*(YEAR($L288:$L291)=AO359)))*(AO360&lt;$G225)*$G21</f>
        <v>0</v>
      </c>
      <c r="AP528" s="8" t="n">
        <f aca="false">(AO528*(1+Rate_Cash)-SUMPRODUCT($G288:$G291*$O288:$O291*(YEAR($L288:$L291)=AP359)))*(AP360&lt;$G225)*$G21</f>
        <v>0</v>
      </c>
      <c r="AQ528" s="8" t="n">
        <f aca="false">(AP528*(1+Rate_Cash)-SUMPRODUCT($G288:$G291*$O288:$O291*(YEAR($L288:$L291)=AQ359)))*(AQ360&lt;$G225)*$G21</f>
        <v>0</v>
      </c>
      <c r="AR528" s="8" t="n">
        <f aca="false">(AQ528*(1+Rate_Cash)-SUMPRODUCT($G288:$G291*$O288:$O291*(YEAR($L288:$L291)=AR359)))*(AR360&lt;$G225)*$G21</f>
        <v>0</v>
      </c>
      <c r="AS528" s="8" t="n">
        <f aca="false">(AR528*(1+Rate_Cash)-SUMPRODUCT($G288:$G291*$O288:$O291*(YEAR($L288:$L291)=AS359)))*(AS360&lt;$G225)*$G21</f>
        <v>0</v>
      </c>
    </row>
    <row r="529" customFormat="false" ht="14.25" hidden="false" customHeight="false" outlineLevel="0" collapsed="false">
      <c r="C529" s="6" t="s">
        <v>340</v>
      </c>
      <c r="D529" s="2" t="s">
        <v>85</v>
      </c>
      <c r="H529" s="8"/>
      <c r="J529" s="8" t="n">
        <f aca="false">(I529*(1+Rate_Devex)-SUMPRODUCT($G292:$G293*$O292:$O293*(YEAR($L292:$L293)=J359)))*(J360&lt;$G225)*$G21</f>
        <v>0</v>
      </c>
      <c r="K529" s="8" t="n">
        <f aca="false">(J529*(1+Rate_Devex)-SUMPRODUCT($G292:$G293*$O292:$O293*(YEAR($L292:$L293)=K359)))*(K360&lt;$G225)*$G21</f>
        <v>0</v>
      </c>
      <c r="L529" s="8" t="n">
        <f aca="false">(K529*(1+Rate_Devex)-SUMPRODUCT($G292:$G293*$O292:$O293*(YEAR($L292:$L293)=L359)))*(L360&lt;$G225)*$G21</f>
        <v>0</v>
      </c>
      <c r="M529" s="8" t="n">
        <f aca="false">(L529*(1+Rate_Devex)-SUMPRODUCT($G292:$G293*$O292:$O293*(YEAR($L292:$L293)=M359)))*(M360&lt;$G225)*$G21</f>
        <v>0</v>
      </c>
      <c r="N529" s="8" t="n">
        <f aca="false">(M529*(1+Rate_Devex)-SUMPRODUCT($G292:$G293*$O292:$O293*(YEAR($L292:$L293)=N359)))*(N360&lt;$G225)*$G21</f>
        <v>0</v>
      </c>
      <c r="O529" s="8" t="n">
        <f aca="false">(N529*(1+Rate_Devex)-SUMPRODUCT($G292:$G293*$O292:$O293*(YEAR($L292:$L293)=O359)))*(O360&lt;$G225)*$G21</f>
        <v>0</v>
      </c>
      <c r="P529" s="8" t="n">
        <f aca="false">(O529*(1+Rate_Devex)-SUMPRODUCT($G292:$G293*$O292:$O293*(YEAR($L292:$L293)=P359)))*(P360&lt;$G225)*$G21</f>
        <v>0</v>
      </c>
      <c r="Q529" s="8" t="n">
        <f aca="false">(P529*(1+Rate_Devex)-SUMPRODUCT($G292:$G293*$O292:$O293*(YEAR($L292:$L293)=Q359)))*(Q360&lt;$G225)*$G21</f>
        <v>0</v>
      </c>
      <c r="R529" s="8" t="n">
        <f aca="false">(Q529*(1+Rate_Devex)-SUMPRODUCT($G292:$G293*$O292:$O293*(YEAR($L292:$L293)=R359)))*(R360&lt;$G225)*$G21</f>
        <v>0</v>
      </c>
      <c r="S529" s="8" t="n">
        <f aca="false">(R529*(1+Rate_Devex)-SUMPRODUCT($G292:$G293*$O292:$O293*(YEAR($L292:$L293)=S359)))*(S360&lt;$G225)*$G21</f>
        <v>0</v>
      </c>
      <c r="T529" s="8" t="n">
        <f aca="false">(S529*(1+Rate_Devex)-SUMPRODUCT($G292:$G293*$O292:$O293*(YEAR($L292:$L293)=T359)))*(T360&lt;$G225)*$G21</f>
        <v>0</v>
      </c>
      <c r="U529" s="8" t="n">
        <f aca="false">(T529*(1+Rate_Devex)-SUMPRODUCT($G292:$G293*$O292:$O293*(YEAR($L292:$L293)=U359)))*(U360&lt;$G225)*$G21</f>
        <v>0</v>
      </c>
      <c r="V529" s="8" t="n">
        <f aca="false">(U529*(1+Rate_Devex)-SUMPRODUCT($G292:$G293*$O292:$O293*(YEAR($L292:$L293)=V359)))*(V360&lt;$G225)*$G21</f>
        <v>0</v>
      </c>
      <c r="W529" s="8" t="n">
        <f aca="false">(V529*(1+Rate_Devex)-SUMPRODUCT($G292:$G293*$O292:$O293*(YEAR($L292:$L293)=W359)))*(W360&lt;$G225)*$G21</f>
        <v>0</v>
      </c>
      <c r="X529" s="8" t="n">
        <f aca="false">(W529*(1+Rate_Devex)-SUMPRODUCT($G292:$G293*$O292:$O293*(YEAR($L292:$L293)=X359)))*(X360&lt;$G225)*$G21</f>
        <v>0</v>
      </c>
      <c r="Y529" s="8" t="n">
        <f aca="false">(X529*(1+Rate_Devex)-SUMPRODUCT($G292:$G293*$O292:$O293*(YEAR($L292:$L293)=Y359)))*(Y360&lt;$G225)*$G21</f>
        <v>0</v>
      </c>
      <c r="Z529" s="8" t="n">
        <f aca="false">(Y529*(1+Rate_Devex)-SUMPRODUCT($G292:$G293*$O292:$O293*(YEAR($L292:$L293)=Z359)))*(Z360&lt;$G225)*$G21</f>
        <v>0</v>
      </c>
      <c r="AA529" s="8" t="n">
        <f aca="false">(Z529*(1+Rate_Devex)-SUMPRODUCT($G292:$G293*$O292:$O293*(YEAR($L292:$L293)=AA359)))*(AA360&lt;$G225)*$G21</f>
        <v>0</v>
      </c>
      <c r="AB529" s="8" t="n">
        <f aca="false">(AA529*(1+Rate_Devex)-SUMPRODUCT($G292:$G293*$O292:$O293*(YEAR($L292:$L293)=AB359)))*(AB360&lt;$G225)*$G21</f>
        <v>0</v>
      </c>
      <c r="AC529" s="8" t="n">
        <f aca="false">(AB529*(1+Rate_Devex)-SUMPRODUCT($G292:$G293*$O292:$O293*(YEAR($L292:$L293)=AC359)))*(AC360&lt;$G225)*$G21</f>
        <v>0</v>
      </c>
      <c r="AD529" s="8" t="n">
        <f aca="false">(AC529*(1+Rate_Devex)-SUMPRODUCT($G292:$G293*$O292:$O293*(YEAR($L292:$L293)=AD359)))*(AD360&lt;$G225)*$G21</f>
        <v>0</v>
      </c>
      <c r="AE529" s="8" t="n">
        <f aca="false">(AD529*(1+Rate_Devex)-SUMPRODUCT($G292:$G293*$O292:$O293*(YEAR($L292:$L293)=AE359)))*(AE360&lt;$G225)*$G21</f>
        <v>0</v>
      </c>
      <c r="AF529" s="8" t="n">
        <f aca="false">(AE529*(1+Rate_Devex)-SUMPRODUCT($G292:$G293*$O292:$O293*(YEAR($L292:$L293)=AF359)))*(AF360&lt;$G225)*$G21</f>
        <v>0</v>
      </c>
      <c r="AG529" s="8" t="n">
        <f aca="false">(AF529*(1+Rate_Devex)-SUMPRODUCT($G292:$G293*$O292:$O293*(YEAR($L292:$L293)=AG359)))*(AG360&lt;$G225)*$G21</f>
        <v>0</v>
      </c>
      <c r="AH529" s="8" t="n">
        <f aca="false">(AG529*(1+Rate_Devex)-SUMPRODUCT($G292:$G293*$O292:$O293*(YEAR($L292:$L293)=AH359)))*(AH360&lt;$G225)*$G21</f>
        <v>0</v>
      </c>
      <c r="AI529" s="8" t="n">
        <f aca="false">(AH529*(1+Rate_Devex)-SUMPRODUCT($G292:$G293*$O292:$O293*(YEAR($L292:$L293)=AI359)))*(AI360&lt;$G225)*$G21</f>
        <v>0</v>
      </c>
      <c r="AJ529" s="8" t="n">
        <f aca="false">(AI529*(1+Rate_Devex)-SUMPRODUCT($G292:$G293*$O292:$O293*(YEAR($L292:$L293)=AJ359)))*(AJ360&lt;$G225)*$G21</f>
        <v>0</v>
      </c>
      <c r="AK529" s="8" t="n">
        <f aca="false">(AJ529*(1+Rate_Devex)-SUMPRODUCT($G292:$G293*$O292:$O293*(YEAR($L292:$L293)=AK359)))*(AK360&lt;$G225)*$G21</f>
        <v>0</v>
      </c>
      <c r="AL529" s="8" t="n">
        <f aca="false">(AK529*(1+Rate_Devex)-SUMPRODUCT($G292:$G293*$O292:$O293*(YEAR($L292:$L293)=AL359)))*(AL360&lt;$G225)*$G21</f>
        <v>0</v>
      </c>
      <c r="AM529" s="8" t="n">
        <f aca="false">(AL529*(1+Rate_Devex)-SUMPRODUCT($G292:$G293*$O292:$O293*(YEAR($L292:$L293)=AM359)))*(AM360&lt;$G225)*$G21</f>
        <v>0</v>
      </c>
      <c r="AN529" s="8" t="n">
        <f aca="false">(AM529*(1+Rate_Devex)-SUMPRODUCT($G292:$G293*$O292:$O293*(YEAR($L292:$L293)=AN359)))*(AN360&lt;$G225)*$G21</f>
        <v>0</v>
      </c>
      <c r="AO529" s="8" t="n">
        <f aca="false">(AN529*(1+Rate_Devex)-SUMPRODUCT($G292:$G293*$O292:$O293*(YEAR($L292:$L293)=AO359)))*(AO360&lt;$G225)*$G21</f>
        <v>0</v>
      </c>
      <c r="AP529" s="8" t="n">
        <f aca="false">(AO529*(1+Rate_Devex)-SUMPRODUCT($G292:$G293*$O292:$O293*(YEAR($L292:$L293)=AP359)))*(AP360&lt;$G225)*$G21</f>
        <v>0</v>
      </c>
      <c r="AQ529" s="8" t="n">
        <f aca="false">(AP529*(1+Rate_Devex)-SUMPRODUCT($G292:$G293*$O292:$O293*(YEAR($L292:$L293)=AQ359)))*(AQ360&lt;$G225)*$G21</f>
        <v>0</v>
      </c>
      <c r="AR529" s="8" t="n">
        <f aca="false">(AQ529*(1+Rate_Devex)-SUMPRODUCT($G292:$G293*$O292:$O293*(YEAR($L292:$L293)=AR359)))*(AR360&lt;$G225)*$G21</f>
        <v>0</v>
      </c>
      <c r="AS529" s="8" t="n">
        <f aca="false">(AR529*(1+Rate_Devex)-SUMPRODUCT($G292:$G293*$O292:$O293*(YEAR($L292:$L293)=AS359)))*(AS360&lt;$G225)*$G21</f>
        <v>0</v>
      </c>
    </row>
    <row r="530" customFormat="false" ht="14.25" hidden="false" customHeight="false" outlineLevel="0" collapsed="false">
      <c r="C530" s="6" t="s">
        <v>341</v>
      </c>
      <c r="D530" s="2" t="s">
        <v>85</v>
      </c>
      <c r="H530" s="8" t="n">
        <f aca="false">SUM(J530:AS530)</f>
        <v>0</v>
      </c>
      <c r="J530" s="8" t="n">
        <f aca="false">-SUMPRODUCT($G288:$G293*(YEAR($L288:$L293)=J359))*(J360&lt;$G225)*$G21</f>
        <v>0</v>
      </c>
      <c r="K530" s="8" t="n">
        <f aca="false">-SUMPRODUCT($G288:$G293*(YEAR($L288:$L293)=K359))*(K360&lt;$G225)*$G21</f>
        <v>0</v>
      </c>
      <c r="L530" s="8" t="n">
        <f aca="false">-SUMPRODUCT($G288:$G293*(YEAR($L288:$L293)=L359))*(L360&lt;$G225)*$G21</f>
        <v>-0</v>
      </c>
      <c r="M530" s="8" t="n">
        <f aca="false">-SUMPRODUCT($G288:$G293*(YEAR($L288:$L293)=M359))*(M360&lt;$G225)*$G21</f>
        <v>-0</v>
      </c>
      <c r="N530" s="8" t="n">
        <f aca="false">-SUMPRODUCT($G288:$G293*(YEAR($L288:$L293)=N359))*(N360&lt;$G225)*$G21</f>
        <v>-0</v>
      </c>
      <c r="O530" s="8" t="n">
        <f aca="false">-SUMPRODUCT($G288:$G293*(YEAR($L288:$L293)=O359))*(O360&lt;$G225)*$G21</f>
        <v>-0</v>
      </c>
      <c r="P530" s="8" t="n">
        <f aca="false">-SUMPRODUCT($G288:$G293*(YEAR($L288:$L293)=P359))*(P360&lt;$G225)*$G21</f>
        <v>-0</v>
      </c>
      <c r="Q530" s="8" t="n">
        <f aca="false">-SUMPRODUCT($G288:$G293*(YEAR($L288:$L293)=Q359))*(Q360&lt;$G225)*$G21</f>
        <v>-0</v>
      </c>
      <c r="R530" s="8" t="n">
        <f aca="false">-SUMPRODUCT($G288:$G293*(YEAR($L288:$L293)=R359))*(R360&lt;$G225)*$G21</f>
        <v>-0</v>
      </c>
      <c r="S530" s="8" t="n">
        <f aca="false">-SUMPRODUCT($G288:$G293*(YEAR($L288:$L293)=S359))*(S360&lt;$G225)*$G21</f>
        <v>-0</v>
      </c>
      <c r="T530" s="8" t="n">
        <f aca="false">-SUMPRODUCT($G288:$G293*(YEAR($L288:$L293)=T359))*(T360&lt;$G225)*$G21</f>
        <v>-0</v>
      </c>
      <c r="U530" s="8" t="n">
        <f aca="false">-SUMPRODUCT($G288:$G293*(YEAR($L288:$L293)=U359))*(U360&lt;$G225)*$G21</f>
        <v>-0</v>
      </c>
      <c r="V530" s="8" t="n">
        <f aca="false">-SUMPRODUCT($G288:$G293*(YEAR($L288:$L293)=V359))*(V360&lt;$G225)*$G21</f>
        <v>-0</v>
      </c>
      <c r="W530" s="8" t="n">
        <f aca="false">-SUMPRODUCT($G288:$G293*(YEAR($L288:$L293)=W359))*(W360&lt;$G225)*$G21</f>
        <v>-0</v>
      </c>
      <c r="X530" s="8" t="n">
        <f aca="false">-SUMPRODUCT($G288:$G293*(YEAR($L288:$L293)=X359))*(X360&lt;$G225)*$G21</f>
        <v>-0</v>
      </c>
      <c r="Y530" s="8" t="n">
        <f aca="false">-SUMPRODUCT($G288:$G293*(YEAR($L288:$L293)=Y359))*(Y360&lt;$G225)*$G21</f>
        <v>-0</v>
      </c>
      <c r="Z530" s="8" t="n">
        <f aca="false">-SUMPRODUCT($G288:$G293*(YEAR($L288:$L293)=Z359))*(Z360&lt;$G225)*$G21</f>
        <v>-0</v>
      </c>
      <c r="AA530" s="8" t="n">
        <f aca="false">-SUMPRODUCT($G288:$G293*(YEAR($L288:$L293)=AA359))*(AA360&lt;$G225)*$G21</f>
        <v>-0</v>
      </c>
      <c r="AB530" s="8" t="n">
        <f aca="false">-SUMPRODUCT($G288:$G293*(YEAR($L288:$L293)=AB359))*(AB360&lt;$G225)*$G21</f>
        <v>-0</v>
      </c>
      <c r="AC530" s="8" t="n">
        <f aca="false">-SUMPRODUCT($G288:$G293*(YEAR($L288:$L293)=AC359))*(AC360&lt;$G225)*$G21</f>
        <v>-0</v>
      </c>
      <c r="AD530" s="8" t="n">
        <f aca="false">-SUMPRODUCT($G288:$G293*(YEAR($L288:$L293)=AD359))*(AD360&lt;$G225)*$G21</f>
        <v>-0</v>
      </c>
      <c r="AE530" s="8" t="n">
        <f aca="false">-SUMPRODUCT($G288:$G293*(YEAR($L288:$L293)=AE359))*(AE360&lt;$G225)*$G21</f>
        <v>-0</v>
      </c>
      <c r="AF530" s="8" t="n">
        <f aca="false">-SUMPRODUCT($G288:$G293*(YEAR($L288:$L293)=AF359))*(AF360&lt;$G225)*$G21</f>
        <v>-0</v>
      </c>
      <c r="AG530" s="8" t="n">
        <f aca="false">-SUMPRODUCT($G288:$G293*(YEAR($L288:$L293)=AG359))*(AG360&lt;$G225)*$G21</f>
        <v>-0</v>
      </c>
      <c r="AH530" s="8" t="n">
        <f aca="false">-SUMPRODUCT($G288:$G293*(YEAR($L288:$L293)=AH359))*(AH360&lt;$G225)*$G21</f>
        <v>-0</v>
      </c>
      <c r="AI530" s="8" t="n">
        <f aca="false">-SUMPRODUCT($G288:$G293*(YEAR($L288:$L293)=AI359))*(AI360&lt;$G225)*$G21</f>
        <v>-0</v>
      </c>
      <c r="AJ530" s="8" t="n">
        <f aca="false">-SUMPRODUCT($G288:$G293*(YEAR($L288:$L293)=AJ359))*(AJ360&lt;$G225)*$G21</f>
        <v>-0</v>
      </c>
      <c r="AK530" s="8" t="n">
        <f aca="false">-SUMPRODUCT($G288:$G293*(YEAR($L288:$L293)=AK359))*(AK360&lt;$G225)*$G21</f>
        <v>-0</v>
      </c>
      <c r="AL530" s="8" t="n">
        <f aca="false">-SUMPRODUCT($G288:$G293*(YEAR($L288:$L293)=AL359))*(AL360&lt;$G225)*$G21</f>
        <v>-0</v>
      </c>
      <c r="AM530" s="8" t="n">
        <f aca="false">-SUMPRODUCT($G288:$G293*(YEAR($L288:$L293)=AM359))*(AM360&lt;$G225)*$G21</f>
        <v>-0</v>
      </c>
      <c r="AN530" s="8" t="n">
        <f aca="false">-SUMPRODUCT($G288:$G293*(YEAR($L288:$L293)=AN359))*(AN360&lt;$G225)*$G21</f>
        <v>-0</v>
      </c>
      <c r="AO530" s="8" t="n">
        <f aca="false">-SUMPRODUCT($G288:$G293*(YEAR($L288:$L293)=AO359))*(AO360&lt;$G225)*$G21</f>
        <v>-0</v>
      </c>
      <c r="AP530" s="8" t="n">
        <f aca="false">-SUMPRODUCT($G288:$G293*(YEAR($L288:$L293)=AP359))*(AP360&lt;$G225)*$G21</f>
        <v>-0</v>
      </c>
      <c r="AQ530" s="8" t="n">
        <f aca="false">-SUMPRODUCT($G288:$G293*(YEAR($L288:$L293)=AQ359))*(AQ360&lt;$G225)*$G21</f>
        <v>-0</v>
      </c>
      <c r="AR530" s="8" t="n">
        <f aca="false">-SUMPRODUCT($G288:$G293*(YEAR($L288:$L293)=AR359))*(AR360&lt;$G225)*$G21</f>
        <v>-0</v>
      </c>
      <c r="AS530" s="8" t="n">
        <f aca="false">-SUMPRODUCT($G288:$G293*(YEAR($L288:$L293)=AS359))*(AS360&lt;$G225)*$G21</f>
        <v>-0</v>
      </c>
    </row>
    <row r="531" customFormat="false" ht="14.25" hidden="false" customHeight="false" outlineLevel="0" collapsed="false">
      <c r="C531" s="6" t="s">
        <v>342</v>
      </c>
      <c r="D531" s="2" t="s">
        <v>85</v>
      </c>
      <c r="H531" s="8" t="n">
        <f aca="false">SUM(J531:AS531)</f>
        <v>0</v>
      </c>
      <c r="J531" s="8" t="n">
        <f aca="false">(J528+J529-I528-I529-J530)*(J360&lt;$G225)*$G21</f>
        <v>0</v>
      </c>
      <c r="K531" s="8" t="n">
        <f aca="false">(K528+K529-J528-J529-K530)*(K360&lt;$G225)*$G21</f>
        <v>0</v>
      </c>
      <c r="L531" s="8" t="n">
        <f aca="false">(L528+L529-K528-K529-L530)*(L360&lt;$G225)*$G21</f>
        <v>0</v>
      </c>
      <c r="M531" s="8" t="n">
        <f aca="false">(M528+M529-L528-L529-M530)*(M360&lt;$G225)*$G21</f>
        <v>0</v>
      </c>
      <c r="N531" s="8" t="n">
        <f aca="false">(N528+N529-M528-M529-N530)*(N360&lt;$G225)*$G21</f>
        <v>0</v>
      </c>
      <c r="O531" s="8" t="n">
        <f aca="false">(O528+O529-N528-N529-O530)*(O360&lt;$G225)*$G21</f>
        <v>0</v>
      </c>
      <c r="P531" s="8" t="n">
        <f aca="false">(P528+P529-O528-O529-P530)*(P360&lt;$G225)*$G21</f>
        <v>0</v>
      </c>
      <c r="Q531" s="8" t="n">
        <f aca="false">(Q528+Q529-P528-P529-Q530)*(Q360&lt;$G225)*$G21</f>
        <v>0</v>
      </c>
      <c r="R531" s="8" t="n">
        <f aca="false">(R528+R529-Q528-Q529-R530)*(R360&lt;$G225)*$G21</f>
        <v>0</v>
      </c>
      <c r="S531" s="8" t="n">
        <f aca="false">(S528+S529-R528-R529-S530)*(S360&lt;$G225)*$G21</f>
        <v>0</v>
      </c>
      <c r="T531" s="8" t="n">
        <f aca="false">(T528+T529-S528-S529-T530)*(T360&lt;$G225)*$G21</f>
        <v>0</v>
      </c>
      <c r="U531" s="8" t="n">
        <f aca="false">(U528+U529-T528-T529-U530)*(U360&lt;$G225)*$G21</f>
        <v>0</v>
      </c>
      <c r="V531" s="8" t="n">
        <f aca="false">(V528+V529-U528-U529-V530)*(V360&lt;$G225)*$G21</f>
        <v>0</v>
      </c>
      <c r="W531" s="8" t="n">
        <f aca="false">(W528+W529-V528-V529-W530)*(W360&lt;$G225)*$G21</f>
        <v>0</v>
      </c>
      <c r="X531" s="8" t="n">
        <f aca="false">(X528+X529-W528-W529-X530)*(X360&lt;$G225)*$G21</f>
        <v>0</v>
      </c>
      <c r="Y531" s="8" t="n">
        <f aca="false">(Y528+Y529-X528-X529-Y530)*(Y360&lt;$G225)*$G21</f>
        <v>0</v>
      </c>
      <c r="Z531" s="8" t="n">
        <f aca="false">(Z528+Z529-Y528-Y529-Z530)*(Z360&lt;$G225)*$G21</f>
        <v>0</v>
      </c>
      <c r="AA531" s="8" t="n">
        <f aca="false">(AA528+AA529-Z528-Z529-AA530)*(AA360&lt;$G225)*$G21</f>
        <v>0</v>
      </c>
      <c r="AB531" s="8" t="n">
        <f aca="false">(AB528+AB529-AA528-AA529-AB530)*(AB360&lt;$G225)*$G21</f>
        <v>0</v>
      </c>
      <c r="AC531" s="8" t="n">
        <f aca="false">(AC528+AC529-AB528-AB529-AC530)*(AC360&lt;$G225)*$G21</f>
        <v>0</v>
      </c>
      <c r="AD531" s="8" t="n">
        <f aca="false">(AD528+AD529-AC528-AC529-AD530)*(AD360&lt;$G225)*$G21</f>
        <v>0</v>
      </c>
      <c r="AE531" s="8" t="n">
        <f aca="false">(AE528+AE529-AD528-AD529-AE530)*(AE360&lt;$G225)*$G21</f>
        <v>0</v>
      </c>
      <c r="AF531" s="8" t="n">
        <f aca="false">(AF528+AF529-AE528-AE529-AF530)*(AF360&lt;$G225)*$G21</f>
        <v>0</v>
      </c>
      <c r="AG531" s="8" t="n">
        <f aca="false">(AG528+AG529-AF528-AF529-AG530)*(AG360&lt;$G225)*$G21</f>
        <v>0</v>
      </c>
      <c r="AH531" s="8" t="n">
        <f aca="false">(AH528+AH529-AG528-AG529-AH530)*(AH360&lt;$G225)*$G21</f>
        <v>0</v>
      </c>
      <c r="AI531" s="8" t="n">
        <f aca="false">(AI528+AI529-AH528-AH529-AI530)*(AI360&lt;$G225)*$G21</f>
        <v>0</v>
      </c>
      <c r="AJ531" s="8" t="n">
        <f aca="false">(AJ528+AJ529-AI528-AI529-AJ530)*(AJ360&lt;$G225)*$G21</f>
        <v>0</v>
      </c>
      <c r="AK531" s="8" t="n">
        <f aca="false">(AK528+AK529-AJ528-AJ529-AK530)*(AK360&lt;$G225)*$G21</f>
        <v>0</v>
      </c>
      <c r="AL531" s="8" t="n">
        <f aca="false">(AL528+AL529-AK528-AK529-AL530)*(AL360&lt;$G225)*$G21</f>
        <v>0</v>
      </c>
      <c r="AM531" s="8" t="n">
        <f aca="false">(AM528+AM529-AL528-AL529-AM530)*(AM360&lt;$G225)*$G21</f>
        <v>0</v>
      </c>
      <c r="AN531" s="8" t="n">
        <f aca="false">(AN528+AN529-AM528-AM529-AN530)*(AN360&lt;$G225)*$G21</f>
        <v>0</v>
      </c>
      <c r="AO531" s="8" t="n">
        <f aca="false">(AO528+AO529-AN528-AN529-AO530)*(AO360&lt;$G225)*$G21</f>
        <v>0</v>
      </c>
      <c r="AP531" s="8" t="n">
        <f aca="false">(AP528+AP529-AO528-AO529-AP530)*(AP360&lt;$G225)*$G21</f>
        <v>0</v>
      </c>
      <c r="AQ531" s="8" t="n">
        <f aca="false">(AQ528+AQ529-AP528-AP529-AQ530)*(AQ360&lt;$G225)*$G21</f>
        <v>0</v>
      </c>
      <c r="AR531" s="8" t="n">
        <f aca="false">(AR528+AR529-AQ528-AQ529-AR530)*(AR360&lt;$G225)*$G21</f>
        <v>0</v>
      </c>
      <c r="AS531" s="8" t="n">
        <f aca="false">(AS528+AS529-AR528-AR529-AS530)*(AS360&lt;$G225)*$G21</f>
        <v>0</v>
      </c>
    </row>
    <row r="533" customFormat="false" ht="14.25" hidden="false" customHeight="false" outlineLevel="0" collapsed="false">
      <c r="B533" s="4" t="s">
        <v>3</v>
      </c>
      <c r="C533" s="4" t="s">
        <v>345</v>
      </c>
      <c r="D533" s="4" t="s">
        <v>85</v>
      </c>
      <c r="E533" s="5" t="s">
        <v>5</v>
      </c>
      <c r="F533" s="5" t="s">
        <v>6</v>
      </c>
      <c r="G533" s="5" t="s">
        <v>7</v>
      </c>
      <c r="H533" s="5" t="s">
        <v>8</v>
      </c>
    </row>
    <row r="534" customFormat="false" ht="14.25" hidden="false" customHeight="false" outlineLevel="0" collapsed="false">
      <c r="C534" s="6" t="s">
        <v>257</v>
      </c>
      <c r="D534" s="2" t="s">
        <v>85</v>
      </c>
      <c r="E534" s="8" t="n">
        <f aca="false">-MAX(0,$H$408)*CIT_Rate*(1-Share_Exempt)</f>
        <v>-0</v>
      </c>
      <c r="F534" s="8" t="n">
        <f aca="false">-MAX(0,$H$465)*CIT_Rate*(1-Share_Exempt)</f>
        <v>-0</v>
      </c>
      <c r="G534" s="8" t="n">
        <f aca="false">-MAX(0,$H$522)*CIT_Rate*(1-Share_Exempt)</f>
        <v>-0</v>
      </c>
      <c r="H534" s="8" t="n">
        <f aca="false">SUM(E534:G534)</f>
        <v>0</v>
      </c>
    </row>
    <row r="535" customFormat="false" ht="14.25" hidden="false" customHeight="false" outlineLevel="0" collapsed="false">
      <c r="C535" s="1" t="s">
        <v>346</v>
      </c>
      <c r="D535" s="2" t="s">
        <v>85</v>
      </c>
      <c r="E535" s="15" t="n">
        <f aca="false">$H$408+E534</f>
        <v>21612.6299841015</v>
      </c>
      <c r="F535" s="15" t="n">
        <f aca="false">$H$465+F534</f>
        <v>28014.2245846914</v>
      </c>
      <c r="G535" s="15" t="n">
        <f aca="false">$H$522+G534</f>
        <v>28014.2245846914</v>
      </c>
      <c r="H535" s="15" t="n">
        <f aca="false">SUM(E535:G535)</f>
        <v>77641.0791534844</v>
      </c>
    </row>
    <row r="537" customFormat="false" ht="14.25" hidden="false" customHeight="false" outlineLevel="0" collapsed="false">
      <c r="B537" s="4" t="s">
        <v>3</v>
      </c>
      <c r="C537" s="4" t="s">
        <v>347</v>
      </c>
      <c r="D537" s="4"/>
      <c r="E537" s="5" t="s">
        <v>5</v>
      </c>
      <c r="F537" s="5" t="s">
        <v>6</v>
      </c>
      <c r="G537" s="5" t="s">
        <v>7</v>
      </c>
      <c r="H537" s="5" t="s">
        <v>8</v>
      </c>
    </row>
    <row r="538" customFormat="false" ht="14.25" hidden="false" customHeight="false" outlineLevel="0" collapsed="false">
      <c r="C538" s="6" t="s">
        <v>348</v>
      </c>
      <c r="D538" s="2" t="s">
        <v>2</v>
      </c>
      <c r="E538" s="76" t="n">
        <f aca="false">(ABS(SUM(E340:E354)-E336)&gt;Tolerance)*1</f>
        <v>0</v>
      </c>
      <c r="F538" s="76" t="n">
        <f aca="false">(ABS(SUM(F340:F354)-F336)&gt;Tolerance)*1</f>
        <v>0</v>
      </c>
      <c r="G538" s="76" t="n">
        <f aca="false">(ABS(SUM(G340:G354)-G336)&gt;Tolerance)*1</f>
        <v>0</v>
      </c>
      <c r="H538" s="76" t="n">
        <f aca="false">SUM(E538:G538)</f>
        <v>0</v>
      </c>
    </row>
    <row r="539" customFormat="false" ht="14.25" hidden="false" customHeight="false" outlineLevel="0" collapsed="false">
      <c r="C539" s="6" t="s">
        <v>349</v>
      </c>
      <c r="D539" s="2" t="s">
        <v>2</v>
      </c>
      <c r="E539" s="76" t="n">
        <f aca="false">(YEAR(MAX(Inputs!E$21:E$24,$J$55:$J$56))&gt;=YEAR(E190))*1</f>
        <v>0</v>
      </c>
      <c r="F539" s="76" t="n">
        <f aca="false">(YEAR(MAX(Inputs!F$21:F$24,$J$55:$J$56))&gt;=YEAR(F190))*1</f>
        <v>0</v>
      </c>
      <c r="G539" s="76" t="n">
        <f aca="false">(YEAR(MAX(Inputs!G$21:G$24,$J$55:$J$56))&gt;=YEAR(G190))*1</f>
        <v>0</v>
      </c>
      <c r="H539" s="76" t="n">
        <f aca="false">SUM(E539:G539)</f>
        <v>0</v>
      </c>
    </row>
    <row r="540" customFormat="false" ht="14.25" hidden="false" customHeight="false" outlineLevel="0" collapsed="false">
      <c r="C540" s="6" t="s">
        <v>350</v>
      </c>
      <c r="D540" s="2" t="s">
        <v>2</v>
      </c>
      <c r="E540" s="76" t="n">
        <f aca="false">N(AND(E17&lt;&gt;"EU",E17&lt;&gt;"CN"))</f>
        <v>0</v>
      </c>
      <c r="F540" s="76" t="n">
        <f aca="false">N(AND(F17&lt;&gt;"EU",F17&lt;&gt;"CN"))</f>
        <v>0</v>
      </c>
      <c r="G540" s="76" t="n">
        <f aca="false">N(AND(G17&lt;&gt;"EU",G17&lt;&gt;"CN"))</f>
        <v>0</v>
      </c>
      <c r="H540" s="76" t="n">
        <f aca="false">SUM(E540:G540)</f>
        <v>0</v>
      </c>
    </row>
    <row r="541" customFormat="false" ht="14.25" hidden="false" customHeight="false" outlineLevel="0" collapsed="false">
      <c r="C541" s="6" t="s">
        <v>351</v>
      </c>
      <c r="D541" s="2" t="s">
        <v>2</v>
      </c>
      <c r="E541" s="76" t="n">
        <f aca="false">(ABS(SUM(Devex_HUF)/FX/Thousand*Inputs!E$18-E68-E67)&gt;Tolerance)*1</f>
        <v>0</v>
      </c>
      <c r="F541" s="76" t="n">
        <f aca="false">(ABS(SUM(Devex_HUF)/FX/Thousand*Inputs!F$18-F68-F67)&gt;Tolerance)*1</f>
        <v>0</v>
      </c>
      <c r="G541" s="76" t="n">
        <f aca="false">(ABS(SUM(Devex_HUF)/FX/Thousand*Inputs!G$18-G68-G67)&gt;Tolerance)*1</f>
        <v>0</v>
      </c>
      <c r="H541" s="76" t="n">
        <f aca="false">SUM(E541:G541)</f>
        <v>0</v>
      </c>
    </row>
    <row r="542" customFormat="false" ht="14.25" hidden="false" customHeight="false" outlineLevel="0" collapsed="false">
      <c r="C542" s="6" t="s">
        <v>352</v>
      </c>
      <c r="D542" s="2" t="s">
        <v>2</v>
      </c>
      <c r="E542" s="76" t="n">
        <f aca="false">N(ABS(E91+$H$371)&gt;Tolerance)</f>
        <v>0</v>
      </c>
      <c r="F542" s="76" t="n">
        <f aca="false">N(ABS(F91+$H$428)&gt;Tolerance)</f>
        <v>0</v>
      </c>
      <c r="G542" s="76" t="n">
        <f aca="false">N(ABS(G91+$H$485)&gt;Tolerance)</f>
        <v>0</v>
      </c>
      <c r="H542" s="76" t="n">
        <f aca="false">SUM(E542:G542)</f>
        <v>0</v>
      </c>
    </row>
    <row r="543" customFormat="false" ht="14.25" hidden="false" customHeight="false" outlineLevel="0" collapsed="false">
      <c r="C543" s="6" t="s">
        <v>353</v>
      </c>
      <c r="D543" s="2" t="s">
        <v>2</v>
      </c>
      <c r="E543" s="76" t="n">
        <f aca="false">N(ABS(E99+$H$373)&gt;Tolerance)</f>
        <v>0</v>
      </c>
      <c r="F543" s="76" t="n">
        <f aca="false">N(ABS(F99+$H$430)&gt;Tolerance)</f>
        <v>0</v>
      </c>
      <c r="G543" s="76" t="n">
        <f aca="false">N(ABS(G99+$H$487)&gt;Tolerance)</f>
        <v>0</v>
      </c>
      <c r="H543" s="76" t="n">
        <f aca="false">SUM(E543:G543)</f>
        <v>0</v>
      </c>
    </row>
    <row r="544" customFormat="false" ht="14.25" hidden="false" customHeight="false" outlineLevel="0" collapsed="false">
      <c r="C544" s="6" t="s">
        <v>354</v>
      </c>
      <c r="D544" s="2" t="s">
        <v>2</v>
      </c>
      <c r="E544" s="76" t="n">
        <f aca="false">N(ABS($H$367-Life)&gt;Tolerance)</f>
        <v>0</v>
      </c>
      <c r="F544" s="76" t="n">
        <f aca="false">N(ABS($H$424-Life)&gt;Tolerance)</f>
        <v>0</v>
      </c>
      <c r="G544" s="76" t="n">
        <f aca="false">N(ABS($H$481-Life)&gt;Tolerance)</f>
        <v>0</v>
      </c>
      <c r="H544" s="76" t="n">
        <f aca="false">SUM(E544:G544)</f>
        <v>0</v>
      </c>
    </row>
    <row r="545" customFormat="false" ht="14.25" hidden="false" customHeight="false" outlineLevel="0" collapsed="false">
      <c r="C545" s="6" t="s">
        <v>355</v>
      </c>
      <c r="D545" s="2" t="s">
        <v>2</v>
      </c>
      <c r="E545" s="76" t="n">
        <f aca="false">N(Sale_Date_A&gt;=Inputs!E$24)</f>
        <v>0</v>
      </c>
      <c r="F545" s="76" t="n">
        <f aca="false">N(Sale_Date_A&gt;=Inputs!F$24)</f>
        <v>0</v>
      </c>
      <c r="G545" s="76" t="n">
        <f aca="false">N(Sale_Date_A&gt;=Inputs!G$24)</f>
        <v>0</v>
      </c>
      <c r="H545" s="76" t="n">
        <f aca="false">SUM(E545:G545)</f>
        <v>0</v>
      </c>
    </row>
    <row r="546" customFormat="false" ht="14.25" hidden="false" customHeight="false" outlineLevel="0" collapsed="false">
      <c r="C546" s="6" t="s">
        <v>356</v>
      </c>
      <c r="D546" s="2" t="s">
        <v>2</v>
      </c>
      <c r="E546" s="76" t="n">
        <f aca="false">N(ABS(E133+$H$373)&gt;Tolerance)</f>
        <v>0</v>
      </c>
      <c r="F546" s="76" t="n">
        <f aca="false">N(ABS(F133+$H$430)&gt;Tolerance)</f>
        <v>0</v>
      </c>
      <c r="G546" s="76" t="n">
        <f aca="false">N(ABS(G133+$H$487)&gt;Tolerance)</f>
        <v>0</v>
      </c>
      <c r="H546" s="76" t="n">
        <f aca="false">SUM(E546:G546)</f>
        <v>0</v>
      </c>
    </row>
    <row r="547" customFormat="false" ht="14.25" hidden="false" customHeight="false" outlineLevel="0" collapsed="false">
      <c r="C547" s="6" t="s">
        <v>357</v>
      </c>
      <c r="D547" s="2" t="s">
        <v>2</v>
      </c>
      <c r="E547" s="76" t="n">
        <f aca="false">(ABS(SUM(E287:E299)-E282)&gt;Tolerance)*1</f>
        <v>0</v>
      </c>
      <c r="F547" s="76" t="n">
        <f aca="false">(ABS(SUM(F287:F299)-F282)&gt;Tolerance)*1</f>
        <v>0</v>
      </c>
      <c r="G547" s="76" t="n">
        <f aca="false">(ABS(SUM(G287:G299)-G282)&gt;Tolerance)*1</f>
        <v>0</v>
      </c>
      <c r="H547" s="76" t="n">
        <f aca="false">SUM(E547:G547)</f>
        <v>0</v>
      </c>
    </row>
    <row r="548" customFormat="false" ht="14.25" hidden="false" customHeight="false" outlineLevel="0" collapsed="false">
      <c r="C548" s="6" t="s">
        <v>358</v>
      </c>
      <c r="D548" s="2" t="s">
        <v>2</v>
      </c>
      <c r="E548" s="76" t="n">
        <f aca="false">N(ABS($AS$401)&gt;Tolerance)</f>
        <v>0</v>
      </c>
      <c r="F548" s="76" t="n">
        <f aca="false">N(ABS($AS$458)&gt;Tolerance)</f>
        <v>0</v>
      </c>
      <c r="G548" s="76" t="n">
        <f aca="false">N(ABS($AS$515)&gt;Tolerance)</f>
        <v>0</v>
      </c>
      <c r="H548" s="76" t="n">
        <f aca="false">SUM(E548:G548)</f>
        <v>0</v>
      </c>
    </row>
    <row r="549" customFormat="false" ht="14.25" hidden="false" customHeight="false" outlineLevel="0" collapsed="false">
      <c r="C549" s="6" t="s">
        <v>359</v>
      </c>
      <c r="D549" s="2" t="s">
        <v>2</v>
      </c>
      <c r="E549" s="76" t="n">
        <f aca="false">N(E353&gt;Tolerance)+N(E298&gt;Tolerance)</f>
        <v>0</v>
      </c>
      <c r="F549" s="76" t="n">
        <f aca="false">N(F353&gt;Tolerance)+N(F298&gt;Tolerance)</f>
        <v>0</v>
      </c>
      <c r="G549" s="76" t="n">
        <f aca="false">N(G353&gt;Tolerance)+N(G298&gt;Tolerance)</f>
        <v>0</v>
      </c>
      <c r="H549" s="76" t="n">
        <f aca="false">SUM(E549:G549)</f>
        <v>0</v>
      </c>
    </row>
    <row r="550" customFormat="false" ht="14.25" hidden="false" customHeight="false" outlineLevel="0" collapsed="false">
      <c r="C550" s="6" t="s">
        <v>360</v>
      </c>
      <c r="D550" s="2" t="s">
        <v>2</v>
      </c>
      <c r="E550" s="76"/>
      <c r="F550" s="76"/>
      <c r="G550" s="76"/>
      <c r="H550" s="76" t="n">
        <f aca="false">SUMPRODUCT(--ISERROR(E109:H149))</f>
        <v>0</v>
      </c>
    </row>
    <row r="551" customFormat="false" ht="14.25" hidden="false" customHeight="false" outlineLevel="0" collapsed="false">
      <c r="C551" s="1" t="s">
        <v>361</v>
      </c>
      <c r="D551" s="2" t="s">
        <v>2</v>
      </c>
      <c r="H551" s="78" t="n">
        <f aca="false">SUM(H538:H550)</f>
        <v>0</v>
      </c>
    </row>
    <row r="553" customFormat="false" ht="14.25" hidden="false" customHeight="false" outlineLevel="0" collapsed="false">
      <c r="C553" s="79" t="s">
        <v>362</v>
      </c>
    </row>
  </sheetData>
  <conditionalFormatting sqref="H3">
    <cfRule type="cellIs" priority="2" operator="equal" aboveAverage="0" equalAverage="0" bottom="0" percent="0" rank="0" text="" dxfId="0">
      <formula>0</formula>
    </cfRule>
    <cfRule type="cellIs" priority="3" operator="notEqual" aboveAverage="0" equalAverage="0" bottom="0" percent="0" rank="0" text="" dxfId="1">
      <formula>0</formula>
    </cfRule>
  </conditionalFormatting>
  <conditionalFormatting sqref="H551">
    <cfRule type="cellIs" priority="4" operator="notEqual" aboveAverage="0" equalAverage="0" bottom="0" percent="0" rank="0" text="" dxfId="2">
      <formula>0</formula>
    </cfRule>
  </conditionalFormatting>
  <dataValidations count="1">
    <dataValidation allowBlank="false" errorStyle="stop" operator="between" showDropDown="false" showErrorMessage="false" showInputMessage="false" sqref="H25" type="list">
      <formula1>"Base,Low,High"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1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111" activePane="bottomRight" state="frozen"/>
      <selection pane="topLeft" activeCell="A1" activeCellId="0" sqref="A1"/>
      <selection pane="topRight" activeCell="E1" activeCellId="0" sqref="E1"/>
      <selection pane="bottomLeft" activeCell="A111" activeCellId="0" sqref="A111"/>
      <selection pane="bottomRight" activeCell="C124" activeCellId="0" sqref="C124"/>
    </sheetView>
  </sheetViews>
  <sheetFormatPr defaultColWidth="8.66796875" defaultRowHeight="14.25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54"/>
    <col collapsed="false" customWidth="true" hidden="false" outlineLevel="0" max="4" min="4" style="0" width="11"/>
    <col collapsed="false" customWidth="true" hidden="false" outlineLevel="0" max="7" min="5" style="0" width="13"/>
    <col collapsed="false" customWidth="true" hidden="false" outlineLevel="0" max="8" min="8" style="0" width="50"/>
  </cols>
  <sheetData>
    <row r="2" customFormat="false" ht="14.25" hidden="false" customHeight="false" outlineLevel="0" collapsed="false">
      <c r="C2" s="1" t="s">
        <v>363</v>
      </c>
    </row>
    <row r="4" customFormat="false" ht="14.25" hidden="false" customHeight="false" outlineLevel="0" collapsed="false">
      <c r="B4" s="4" t="s">
        <v>3</v>
      </c>
      <c r="C4" s="4" t="s">
        <v>364</v>
      </c>
      <c r="D4" s="4"/>
      <c r="E4" s="5" t="s">
        <v>5</v>
      </c>
      <c r="F4" s="5" t="s">
        <v>6</v>
      </c>
      <c r="G4" s="5" t="s">
        <v>7</v>
      </c>
      <c r="H4" s="4" t="s">
        <v>365</v>
      </c>
    </row>
    <row r="5" customFormat="false" ht="14.25" hidden="false" customHeight="false" outlineLevel="0" collapsed="false">
      <c r="C5" s="42" t="s">
        <v>366</v>
      </c>
      <c r="D5" s="42"/>
      <c r="E5" s="43"/>
      <c r="F5" s="43"/>
      <c r="G5" s="43"/>
      <c r="H5" s="43"/>
    </row>
    <row r="6" customFormat="false" ht="14.25" hidden="false" customHeight="false" outlineLevel="0" collapsed="false">
      <c r="C6" s="6" t="s">
        <v>367</v>
      </c>
      <c r="D6" s="2" t="s">
        <v>368</v>
      </c>
      <c r="E6" s="7" t="n">
        <v>365</v>
      </c>
      <c r="H6" s="2" t="s">
        <v>369</v>
      </c>
    </row>
    <row r="7" customFormat="false" ht="14.25" hidden="false" customHeight="false" outlineLevel="0" collapsed="false">
      <c r="C7" s="6" t="s">
        <v>370</v>
      </c>
      <c r="D7" s="2" t="s">
        <v>371</v>
      </c>
      <c r="E7" s="7" t="n">
        <v>406000000</v>
      </c>
      <c r="H7" s="2" t="s">
        <v>372</v>
      </c>
    </row>
    <row r="8" customFormat="false" ht="14.25" hidden="false" customHeight="false" outlineLevel="0" collapsed="false">
      <c r="C8" s="6" t="s">
        <v>373</v>
      </c>
      <c r="D8" s="2" t="s">
        <v>374</v>
      </c>
      <c r="E8" s="7" t="n">
        <v>200000000</v>
      </c>
      <c r="H8" s="2" t="s">
        <v>375</v>
      </c>
    </row>
    <row r="9" customFormat="false" ht="14.25" hidden="false" customHeight="false" outlineLevel="0" collapsed="false">
      <c r="C9" s="6" t="s">
        <v>376</v>
      </c>
      <c r="D9" s="2" t="s">
        <v>12</v>
      </c>
      <c r="E9" s="9" t="n">
        <v>0.005</v>
      </c>
      <c r="H9" s="2" t="s">
        <v>377</v>
      </c>
    </row>
    <row r="10" customFormat="false" ht="14.25" hidden="false" customHeight="false" outlineLevel="0" collapsed="false">
      <c r="C10" s="6" t="s">
        <v>378</v>
      </c>
      <c r="D10" s="2" t="s">
        <v>12</v>
      </c>
      <c r="E10" s="9" t="n">
        <v>0.025</v>
      </c>
      <c r="H10" s="2" t="s">
        <v>379</v>
      </c>
    </row>
    <row r="11" customFormat="false" ht="14.25" hidden="false" customHeight="false" outlineLevel="0" collapsed="false">
      <c r="C11" s="6" t="s">
        <v>380</v>
      </c>
      <c r="D11" s="2" t="s">
        <v>74</v>
      </c>
      <c r="E11" s="7" t="n">
        <v>3000000</v>
      </c>
      <c r="H11" s="2" t="s">
        <v>381</v>
      </c>
    </row>
    <row r="12" customFormat="false" ht="14.25" hidden="false" customHeight="false" outlineLevel="0" collapsed="false">
      <c r="C12" s="6" t="s">
        <v>77</v>
      </c>
      <c r="D12" s="2" t="s">
        <v>382</v>
      </c>
      <c r="E12" s="7" t="n">
        <v>4500000</v>
      </c>
      <c r="H12" s="2" t="s">
        <v>383</v>
      </c>
    </row>
    <row r="13" customFormat="false" ht="14.25" hidden="false" customHeight="false" outlineLevel="0" collapsed="false">
      <c r="C13" s="42" t="s">
        <v>384</v>
      </c>
      <c r="D13" s="42"/>
      <c r="E13" s="43"/>
      <c r="F13" s="43"/>
      <c r="G13" s="43"/>
      <c r="H13" s="43"/>
    </row>
    <row r="14" customFormat="false" ht="14.25" hidden="false" customHeight="false" outlineLevel="0" collapsed="false">
      <c r="C14" s="6" t="s">
        <v>385</v>
      </c>
      <c r="D14" s="2" t="s">
        <v>382</v>
      </c>
      <c r="E14" s="7" t="n">
        <v>73071306</v>
      </c>
      <c r="F14" s="7" t="n">
        <v>19826680</v>
      </c>
      <c r="G14" s="7" t="n">
        <v>19826680</v>
      </c>
      <c r="H14" s="2" t="s">
        <v>386</v>
      </c>
    </row>
    <row r="15" customFormat="false" ht="14.25" hidden="false" customHeight="false" outlineLevel="0" collapsed="false">
      <c r="C15" s="6" t="s">
        <v>387</v>
      </c>
      <c r="D15" s="2" t="s">
        <v>74</v>
      </c>
      <c r="E15" s="7" t="n">
        <v>508345804</v>
      </c>
      <c r="F15" s="7" t="n">
        <v>460000000</v>
      </c>
      <c r="G15" s="7" t="n">
        <v>460000000</v>
      </c>
      <c r="H15" s="2" t="s">
        <v>388</v>
      </c>
    </row>
    <row r="16" customFormat="false" ht="14.25" hidden="false" customHeight="false" outlineLevel="0" collapsed="false">
      <c r="C16" s="6" t="s">
        <v>389</v>
      </c>
      <c r="D16" s="2" t="s">
        <v>390</v>
      </c>
      <c r="E16" s="11" t="n">
        <v>2</v>
      </c>
      <c r="F16" s="11" t="n">
        <v>1</v>
      </c>
      <c r="G16" s="11" t="n">
        <v>1</v>
      </c>
      <c r="H16" s="2" t="s">
        <v>391</v>
      </c>
    </row>
    <row r="17" customFormat="false" ht="14.25" hidden="false" customHeight="false" outlineLevel="0" collapsed="false">
      <c r="C17" s="6" t="s">
        <v>82</v>
      </c>
      <c r="D17" s="2" t="s">
        <v>85</v>
      </c>
      <c r="E17" s="7" t="n">
        <v>135</v>
      </c>
      <c r="F17" s="7" t="n">
        <v>135</v>
      </c>
      <c r="G17" s="7" t="n">
        <v>135</v>
      </c>
      <c r="H17" s="2" t="s">
        <v>392</v>
      </c>
    </row>
    <row r="18" customFormat="false" ht="14.25" hidden="false" customHeight="false" outlineLevel="0" collapsed="false">
      <c r="C18" s="6" t="s">
        <v>393</v>
      </c>
      <c r="D18" s="2" t="s">
        <v>3</v>
      </c>
      <c r="E18" s="12" t="n">
        <v>0.25</v>
      </c>
      <c r="F18" s="12" t="n">
        <v>0.25</v>
      </c>
      <c r="G18" s="12" t="n">
        <v>0.25</v>
      </c>
      <c r="H18" s="2" t="s">
        <v>394</v>
      </c>
    </row>
    <row r="19" customFormat="false" ht="14.25" hidden="false" customHeight="false" outlineLevel="0" collapsed="false">
      <c r="C19" s="6" t="s">
        <v>395</v>
      </c>
      <c r="D19" s="2" t="s">
        <v>2</v>
      </c>
      <c r="E19" s="11" t="n">
        <v>0</v>
      </c>
      <c r="F19" s="11" t="n">
        <v>0</v>
      </c>
      <c r="G19" s="11" t="n">
        <v>0</v>
      </c>
      <c r="H19" s="2" t="s">
        <v>396</v>
      </c>
    </row>
    <row r="20" customFormat="false" ht="14.25" hidden="false" customHeight="false" outlineLevel="0" collapsed="false">
      <c r="C20" s="6" t="s">
        <v>397</v>
      </c>
      <c r="D20" s="2" t="s">
        <v>168</v>
      </c>
      <c r="E20" s="80" t="n">
        <v>46234</v>
      </c>
      <c r="F20" s="80" t="n">
        <v>46234</v>
      </c>
      <c r="G20" s="80" t="n">
        <v>46234</v>
      </c>
      <c r="H20" s="2" t="s">
        <v>398</v>
      </c>
    </row>
    <row r="21" customFormat="false" ht="14.25" hidden="false" customHeight="false" outlineLevel="0" collapsed="false">
      <c r="C21" s="6" t="s">
        <v>399</v>
      </c>
      <c r="D21" s="2" t="s">
        <v>168</v>
      </c>
      <c r="E21" s="80" t="n">
        <v>46325</v>
      </c>
      <c r="F21" s="80" t="n">
        <v>46325</v>
      </c>
      <c r="G21" s="80" t="n">
        <v>46325</v>
      </c>
      <c r="H21" s="2" t="s">
        <v>400</v>
      </c>
    </row>
    <row r="22" customFormat="false" ht="14.25" hidden="false" customHeight="false" outlineLevel="0" collapsed="false">
      <c r="C22" s="6" t="s">
        <v>401</v>
      </c>
      <c r="D22" s="2" t="s">
        <v>168</v>
      </c>
      <c r="E22" s="80" t="n">
        <v>46402</v>
      </c>
      <c r="F22" s="80" t="n">
        <v>46402</v>
      </c>
      <c r="G22" s="80" t="n">
        <v>46402</v>
      </c>
      <c r="H22" s="2" t="s">
        <v>402</v>
      </c>
    </row>
    <row r="23" customFormat="false" ht="14.25" hidden="false" customHeight="false" outlineLevel="0" collapsed="false">
      <c r="C23" s="6" t="s">
        <v>403</v>
      </c>
      <c r="D23" s="2" t="s">
        <v>168</v>
      </c>
      <c r="E23" s="80" t="n">
        <v>46402</v>
      </c>
      <c r="F23" s="80" t="n">
        <v>46402</v>
      </c>
      <c r="G23" s="80" t="n">
        <v>46402</v>
      </c>
      <c r="H23" s="2" t="s">
        <v>404</v>
      </c>
    </row>
    <row r="24" customFormat="false" ht="14.25" hidden="false" customHeight="false" outlineLevel="0" collapsed="false">
      <c r="C24" s="6" t="s">
        <v>405</v>
      </c>
      <c r="D24" s="2" t="s">
        <v>168</v>
      </c>
      <c r="E24" s="80" t="n">
        <v>47027</v>
      </c>
      <c r="F24" s="80" t="n">
        <v>47027</v>
      </c>
      <c r="G24" s="80" t="n">
        <v>47027</v>
      </c>
      <c r="H24" s="2" t="s">
        <v>406</v>
      </c>
    </row>
    <row r="25" customFormat="false" ht="14.25" hidden="false" customHeight="false" outlineLevel="0" collapsed="false">
      <c r="C25" s="6" t="s">
        <v>407</v>
      </c>
      <c r="D25" s="2" t="s">
        <v>168</v>
      </c>
      <c r="E25" s="80" t="n">
        <v>47299</v>
      </c>
      <c r="F25" s="80" t="n">
        <v>47299</v>
      </c>
      <c r="G25" s="80" t="n">
        <v>47299</v>
      </c>
      <c r="H25" s="2" t="s">
        <v>408</v>
      </c>
    </row>
    <row r="26" customFormat="false" ht="14.25" hidden="false" customHeight="false" outlineLevel="0" collapsed="false">
      <c r="C26" s="6" t="s">
        <v>409</v>
      </c>
      <c r="D26" s="2" t="s">
        <v>168</v>
      </c>
      <c r="E26" s="80" t="n">
        <v>48029</v>
      </c>
      <c r="F26" s="80" t="n">
        <v>48029</v>
      </c>
      <c r="G26" s="80" t="n">
        <v>48029</v>
      </c>
      <c r="H26" s="2" t="s">
        <v>410</v>
      </c>
    </row>
    <row r="27" customFormat="false" ht="14.25" hidden="false" customHeight="false" outlineLevel="0" collapsed="false">
      <c r="C27" s="6" t="s">
        <v>411</v>
      </c>
      <c r="D27" s="2" t="s">
        <v>168</v>
      </c>
      <c r="E27" s="80" t="n">
        <v>48669</v>
      </c>
      <c r="F27" s="80" t="n">
        <v>48669</v>
      </c>
      <c r="G27" s="80" t="n">
        <v>48669</v>
      </c>
      <c r="H27" s="2" t="s">
        <v>412</v>
      </c>
    </row>
    <row r="28" customFormat="false" ht="14.25" hidden="false" customHeight="false" outlineLevel="0" collapsed="false">
      <c r="C28" s="6" t="s">
        <v>413</v>
      </c>
      <c r="D28" s="2" t="s">
        <v>168</v>
      </c>
      <c r="E28" s="80" t="n">
        <v>46325</v>
      </c>
      <c r="F28" s="80" t="n">
        <v>46325</v>
      </c>
      <c r="G28" s="80" t="n">
        <v>46325</v>
      </c>
      <c r="H28" s="2" t="s">
        <v>414</v>
      </c>
    </row>
    <row r="29" customFormat="false" ht="14.25" hidden="false" customHeight="false" outlineLevel="0" collapsed="false">
      <c r="C29" s="42" t="s">
        <v>415</v>
      </c>
      <c r="D29" s="42"/>
      <c r="E29" s="43"/>
      <c r="F29" s="43"/>
      <c r="G29" s="43"/>
      <c r="H29" s="43"/>
    </row>
    <row r="30" customFormat="false" ht="14.25" hidden="false" customHeight="false" outlineLevel="0" collapsed="false">
      <c r="C30" s="6" t="s">
        <v>416</v>
      </c>
      <c r="D30" s="2" t="s">
        <v>12</v>
      </c>
      <c r="E30" s="9" t="n">
        <v>0.12</v>
      </c>
      <c r="H30" s="2" t="s">
        <v>417</v>
      </c>
    </row>
    <row r="31" customFormat="false" ht="14.25" hidden="false" customHeight="false" outlineLevel="0" collapsed="false">
      <c r="C31" s="6" t="s">
        <v>418</v>
      </c>
      <c r="D31" s="2" t="s">
        <v>12</v>
      </c>
      <c r="E31" s="9" t="n">
        <v>0.2</v>
      </c>
      <c r="H31" s="2" t="s">
        <v>419</v>
      </c>
    </row>
    <row r="32" customFormat="false" ht="14.25" hidden="false" customHeight="false" outlineLevel="0" collapsed="false">
      <c r="C32" s="6" t="s">
        <v>420</v>
      </c>
      <c r="D32" s="2" t="s">
        <v>3</v>
      </c>
      <c r="E32" s="12" t="n">
        <v>2</v>
      </c>
      <c r="H32" s="2" t="s">
        <v>421</v>
      </c>
    </row>
    <row r="33" customFormat="false" ht="14.25" hidden="false" customHeight="false" outlineLevel="0" collapsed="false">
      <c r="C33" s="6" t="s">
        <v>422</v>
      </c>
      <c r="D33" s="2" t="s">
        <v>168</v>
      </c>
      <c r="E33" s="80" t="n">
        <v>47299</v>
      </c>
      <c r="H33" s="2" t="s">
        <v>423</v>
      </c>
    </row>
    <row r="34" customFormat="false" ht="14.25" hidden="false" customHeight="false" outlineLevel="0" collapsed="false">
      <c r="C34" s="6" t="s">
        <v>424</v>
      </c>
      <c r="D34" s="2" t="s">
        <v>168</v>
      </c>
      <c r="E34" s="80" t="n">
        <v>47391</v>
      </c>
      <c r="H34" s="2" t="s">
        <v>425</v>
      </c>
    </row>
    <row r="35" customFormat="false" ht="14.25" hidden="false" customHeight="false" outlineLevel="0" collapsed="false">
      <c r="C35" s="6" t="s">
        <v>426</v>
      </c>
      <c r="D35" s="2" t="s">
        <v>168</v>
      </c>
      <c r="E35" s="80" t="n">
        <v>47026</v>
      </c>
      <c r="H35" s="2" t="s">
        <v>427</v>
      </c>
    </row>
    <row r="36" customFormat="false" ht="14.25" hidden="false" customHeight="false" outlineLevel="0" collapsed="false">
      <c r="C36" s="6" t="s">
        <v>428</v>
      </c>
      <c r="D36" s="2" t="s">
        <v>85</v>
      </c>
      <c r="E36" s="7" t="n">
        <v>250</v>
      </c>
      <c r="H36" s="2" t="s">
        <v>429</v>
      </c>
    </row>
    <row r="37" customFormat="false" ht="14.25" hidden="false" customHeight="false" outlineLevel="0" collapsed="false">
      <c r="C37" s="6" t="s">
        <v>430</v>
      </c>
      <c r="D37" s="2" t="s">
        <v>51</v>
      </c>
      <c r="E37" s="10" t="n">
        <v>2.5</v>
      </c>
      <c r="H37" s="2" t="s">
        <v>431</v>
      </c>
    </row>
    <row r="38" customFormat="false" ht="14.25" hidden="false" customHeight="false" outlineLevel="0" collapsed="false">
      <c r="C38" s="6" t="s">
        <v>432</v>
      </c>
      <c r="D38" s="2" t="s">
        <v>42</v>
      </c>
      <c r="E38" s="10" t="n">
        <v>10</v>
      </c>
      <c r="H38" s="2" t="s">
        <v>433</v>
      </c>
    </row>
    <row r="39" customFormat="false" ht="14.25" hidden="false" customHeight="false" outlineLevel="0" collapsed="false">
      <c r="C39" s="6" t="s">
        <v>434</v>
      </c>
      <c r="D39" s="2" t="s">
        <v>12</v>
      </c>
      <c r="E39" s="9" t="n">
        <v>0.15</v>
      </c>
      <c r="H39" s="2" t="s">
        <v>435</v>
      </c>
    </row>
    <row r="40" customFormat="false" ht="14.25" hidden="false" customHeight="false" outlineLevel="0" collapsed="false">
      <c r="C40" s="6" t="s">
        <v>436</v>
      </c>
      <c r="D40" s="2" t="s">
        <v>2</v>
      </c>
      <c r="E40" s="11" t="n">
        <v>1</v>
      </c>
      <c r="H40" s="2" t="s">
        <v>437</v>
      </c>
    </row>
    <row r="41" customFormat="false" ht="14.25" hidden="false" customHeight="false" outlineLevel="0" collapsed="false">
      <c r="C41" s="42" t="s">
        <v>438</v>
      </c>
      <c r="D41" s="42"/>
      <c r="E41" s="43"/>
      <c r="F41" s="43"/>
      <c r="G41" s="43"/>
      <c r="H41" s="43"/>
    </row>
    <row r="42" customFormat="false" ht="14.25" hidden="false" customHeight="false" outlineLevel="0" collapsed="false">
      <c r="C42" s="6" t="s">
        <v>439</v>
      </c>
      <c r="D42" s="2" t="s">
        <v>289</v>
      </c>
      <c r="E42" s="11" t="n">
        <v>20</v>
      </c>
      <c r="H42" s="2" t="s">
        <v>440</v>
      </c>
    </row>
    <row r="43" customFormat="false" ht="14.25" hidden="false" customHeight="false" outlineLevel="0" collapsed="false">
      <c r="C43" s="6" t="s">
        <v>441</v>
      </c>
      <c r="D43" s="2" t="s">
        <v>12</v>
      </c>
      <c r="E43" s="9" t="n">
        <v>0.6</v>
      </c>
      <c r="H43" s="2" t="s">
        <v>442</v>
      </c>
    </row>
    <row r="44" customFormat="false" ht="14.25" hidden="false" customHeight="false" outlineLevel="0" collapsed="false">
      <c r="C44" s="6" t="s">
        <v>443</v>
      </c>
      <c r="D44" s="2" t="s">
        <v>12</v>
      </c>
      <c r="E44" s="9" t="n">
        <v>0.05</v>
      </c>
      <c r="H44" s="2" t="s">
        <v>444</v>
      </c>
    </row>
    <row r="45" customFormat="false" ht="14.25" hidden="false" customHeight="false" outlineLevel="0" collapsed="false">
      <c r="C45" s="6" t="s">
        <v>445</v>
      </c>
      <c r="D45" s="2" t="s">
        <v>289</v>
      </c>
      <c r="E45" s="11" t="n">
        <v>15</v>
      </c>
      <c r="H45" s="2" t="s">
        <v>446</v>
      </c>
    </row>
    <row r="46" customFormat="false" ht="14.25" hidden="false" customHeight="false" outlineLevel="0" collapsed="false">
      <c r="C46" s="6" t="s">
        <v>447</v>
      </c>
      <c r="D46" s="2" t="s">
        <v>12</v>
      </c>
      <c r="E46" s="9" t="n">
        <v>0.0175</v>
      </c>
      <c r="H46" s="2" t="s">
        <v>448</v>
      </c>
    </row>
    <row r="47" customFormat="false" ht="14.25" hidden="false" customHeight="false" outlineLevel="0" collapsed="false">
      <c r="C47" s="6" t="s">
        <v>449</v>
      </c>
      <c r="D47" s="2" t="s">
        <v>12</v>
      </c>
      <c r="E47" s="9" t="n">
        <v>0.5</v>
      </c>
      <c r="H47" s="2" t="s">
        <v>450</v>
      </c>
    </row>
    <row r="48" customFormat="false" ht="14.25" hidden="false" customHeight="false" outlineLevel="0" collapsed="false">
      <c r="C48" s="42" t="s">
        <v>451</v>
      </c>
      <c r="D48" s="42"/>
      <c r="E48" s="43"/>
      <c r="F48" s="43"/>
      <c r="G48" s="43"/>
      <c r="H48" s="43"/>
    </row>
    <row r="49" customFormat="false" ht="14.25" hidden="false" customHeight="false" outlineLevel="0" collapsed="false">
      <c r="C49" s="6" t="s">
        <v>452</v>
      </c>
      <c r="D49" s="2" t="s">
        <v>42</v>
      </c>
      <c r="E49" s="7" t="n">
        <v>80</v>
      </c>
      <c r="H49" s="2" t="s">
        <v>453</v>
      </c>
    </row>
    <row r="50" customFormat="false" ht="14.25" hidden="false" customHeight="false" outlineLevel="0" collapsed="false">
      <c r="C50" s="6" t="s">
        <v>102</v>
      </c>
      <c r="D50" s="2" t="s">
        <v>42</v>
      </c>
      <c r="E50" s="7" t="n">
        <v>90</v>
      </c>
      <c r="H50" s="2" t="s">
        <v>454</v>
      </c>
    </row>
    <row r="51" customFormat="false" ht="14.25" hidden="false" customHeight="false" outlineLevel="0" collapsed="false">
      <c r="C51" s="6" t="s">
        <v>103</v>
      </c>
      <c r="D51" s="2" t="s">
        <v>42</v>
      </c>
      <c r="E51" s="7" t="n">
        <v>70</v>
      </c>
      <c r="H51" s="2" t="s">
        <v>455</v>
      </c>
    </row>
    <row r="52" customFormat="false" ht="14.25" hidden="false" customHeight="false" outlineLevel="0" collapsed="false">
      <c r="C52" s="6" t="s">
        <v>104</v>
      </c>
      <c r="D52" s="2" t="s">
        <v>42</v>
      </c>
      <c r="E52" s="7" t="n">
        <v>60</v>
      </c>
      <c r="H52" s="2" t="s">
        <v>456</v>
      </c>
    </row>
    <row r="53" customFormat="false" ht="14.25" hidden="false" customHeight="false" outlineLevel="0" collapsed="false">
      <c r="C53" s="6" t="s">
        <v>105</v>
      </c>
      <c r="D53" s="2" t="s">
        <v>42</v>
      </c>
      <c r="E53" s="7" t="n">
        <v>40</v>
      </c>
      <c r="H53" s="2" t="s">
        <v>457</v>
      </c>
    </row>
    <row r="54" customFormat="false" ht="14.25" hidden="false" customHeight="false" outlineLevel="0" collapsed="false">
      <c r="C54" s="6" t="s">
        <v>106</v>
      </c>
      <c r="D54" s="2" t="s">
        <v>42</v>
      </c>
      <c r="E54" s="7" t="n">
        <v>0</v>
      </c>
      <c r="H54" s="2" t="s">
        <v>458</v>
      </c>
    </row>
    <row r="55" customFormat="false" ht="14.25" hidden="false" customHeight="false" outlineLevel="0" collapsed="false">
      <c r="C55" s="6" t="s">
        <v>459</v>
      </c>
      <c r="D55" s="2" t="s">
        <v>85</v>
      </c>
      <c r="E55" s="7" t="n">
        <v>12000</v>
      </c>
      <c r="H55" s="2" t="s">
        <v>460</v>
      </c>
    </row>
    <row r="56" customFormat="false" ht="14.25" hidden="false" customHeight="false" outlineLevel="0" collapsed="false">
      <c r="C56" s="6" t="s">
        <v>461</v>
      </c>
      <c r="D56" s="2" t="s">
        <v>10</v>
      </c>
      <c r="E56" s="7" t="n">
        <v>200</v>
      </c>
      <c r="H56" s="2" t="s">
        <v>462</v>
      </c>
    </row>
    <row r="57" customFormat="false" ht="14.25" hidden="false" customHeight="false" outlineLevel="0" collapsed="false">
      <c r="C57" s="6" t="s">
        <v>463</v>
      </c>
      <c r="D57" s="2" t="s">
        <v>12</v>
      </c>
      <c r="E57" s="9" t="n">
        <v>0.05</v>
      </c>
      <c r="H57" s="2" t="s">
        <v>464</v>
      </c>
    </row>
    <row r="58" customFormat="false" ht="14.25" hidden="false" customHeight="false" outlineLevel="0" collapsed="false">
      <c r="C58" s="6" t="s">
        <v>465</v>
      </c>
      <c r="D58" s="2" t="s">
        <v>466</v>
      </c>
      <c r="E58" s="7" t="n">
        <v>100</v>
      </c>
      <c r="H58" s="2" t="s">
        <v>467</v>
      </c>
    </row>
    <row r="59" customFormat="false" ht="14.25" hidden="false" customHeight="false" outlineLevel="0" collapsed="false">
      <c r="C59" s="42" t="s">
        <v>468</v>
      </c>
      <c r="D59" s="42"/>
      <c r="E59" s="43"/>
      <c r="F59" s="43"/>
      <c r="G59" s="43"/>
      <c r="H59" s="43"/>
    </row>
    <row r="60" customFormat="false" ht="14.25" hidden="false" customHeight="false" outlineLevel="0" collapsed="false">
      <c r="C60" s="6" t="s">
        <v>469</v>
      </c>
      <c r="D60" s="2" t="s">
        <v>12</v>
      </c>
      <c r="E60" s="9" t="n">
        <v>0.02</v>
      </c>
      <c r="H60" s="2" t="s">
        <v>470</v>
      </c>
    </row>
    <row r="61" customFormat="false" ht="14.25" hidden="false" customHeight="false" outlineLevel="0" collapsed="false">
      <c r="C61" s="6" t="s">
        <v>471</v>
      </c>
      <c r="D61" s="2" t="s">
        <v>12</v>
      </c>
      <c r="E61" s="9" t="n">
        <v>0.04</v>
      </c>
      <c r="H61" s="2" t="s">
        <v>472</v>
      </c>
    </row>
    <row r="62" customFormat="false" ht="14.25" hidden="false" customHeight="false" outlineLevel="0" collapsed="false">
      <c r="C62" s="6" t="s">
        <v>473</v>
      </c>
      <c r="D62" s="2" t="s">
        <v>474</v>
      </c>
      <c r="E62" s="9" t="n">
        <v>0.003</v>
      </c>
      <c r="H62" s="2" t="s">
        <v>475</v>
      </c>
    </row>
    <row r="63" customFormat="false" ht="14.25" hidden="false" customHeight="false" outlineLevel="0" collapsed="false">
      <c r="C63" s="6" t="s">
        <v>476</v>
      </c>
      <c r="D63" s="2" t="s">
        <v>474</v>
      </c>
      <c r="E63" s="9" t="n">
        <v>0.01</v>
      </c>
      <c r="H63" s="2" t="s">
        <v>477</v>
      </c>
    </row>
    <row r="64" customFormat="false" ht="14.25" hidden="false" customHeight="false" outlineLevel="0" collapsed="false">
      <c r="C64" s="42" t="s">
        <v>478</v>
      </c>
      <c r="D64" s="42"/>
      <c r="E64" s="43"/>
      <c r="F64" s="43"/>
      <c r="G64" s="43"/>
      <c r="H64" s="43"/>
    </row>
    <row r="65" customFormat="false" ht="14.25" hidden="false" customHeight="false" outlineLevel="0" collapsed="false">
      <c r="C65" s="6" t="s">
        <v>479</v>
      </c>
      <c r="D65" s="2" t="s">
        <v>51</v>
      </c>
      <c r="E65" s="10" t="n">
        <v>3</v>
      </c>
      <c r="H65" s="2" t="s">
        <v>480</v>
      </c>
    </row>
    <row r="66" customFormat="false" ht="14.25" hidden="false" customHeight="false" outlineLevel="0" collapsed="false">
      <c r="C66" s="6" t="s">
        <v>481</v>
      </c>
      <c r="D66" s="2" t="s">
        <v>51</v>
      </c>
      <c r="E66" s="10" t="n">
        <v>3</v>
      </c>
      <c r="H66" s="2" t="s">
        <v>482</v>
      </c>
    </row>
    <row r="67" customFormat="false" ht="14.25" hidden="false" customHeight="false" outlineLevel="0" collapsed="false">
      <c r="C67" s="6" t="s">
        <v>483</v>
      </c>
      <c r="D67" s="2" t="s">
        <v>51</v>
      </c>
      <c r="E67" s="10" t="n">
        <v>2.5</v>
      </c>
      <c r="H67" s="2" t="s">
        <v>484</v>
      </c>
    </row>
    <row r="68" customFormat="false" ht="14.25" hidden="false" customHeight="false" outlineLevel="0" collapsed="false">
      <c r="C68" s="6" t="s">
        <v>485</v>
      </c>
      <c r="D68" s="2" t="s">
        <v>51</v>
      </c>
      <c r="E68" s="10" t="n">
        <v>1.5</v>
      </c>
      <c r="H68" s="2" t="s">
        <v>486</v>
      </c>
    </row>
    <row r="69" customFormat="false" ht="14.25" hidden="false" customHeight="false" outlineLevel="0" collapsed="false">
      <c r="C69" s="6" t="s">
        <v>487</v>
      </c>
      <c r="D69" s="2" t="s">
        <v>51</v>
      </c>
      <c r="E69" s="10" t="n">
        <v>3</v>
      </c>
      <c r="H69" s="2" t="s">
        <v>488</v>
      </c>
    </row>
    <row r="70" customFormat="false" ht="14.25" hidden="false" customHeight="false" outlineLevel="0" collapsed="false">
      <c r="C70" s="6" t="s">
        <v>489</v>
      </c>
      <c r="D70" s="2" t="s">
        <v>490</v>
      </c>
      <c r="E70" s="7" t="n">
        <v>150</v>
      </c>
      <c r="H70" s="2" t="s">
        <v>491</v>
      </c>
    </row>
    <row r="71" customFormat="false" ht="14.25" hidden="false" customHeight="false" outlineLevel="0" collapsed="false">
      <c r="C71" s="6" t="s">
        <v>492</v>
      </c>
      <c r="D71" s="2" t="s">
        <v>20</v>
      </c>
      <c r="E71" s="10" t="n">
        <v>4</v>
      </c>
      <c r="H71" s="2" t="s">
        <v>493</v>
      </c>
    </row>
    <row r="72" customFormat="false" ht="14.25" hidden="false" customHeight="false" outlineLevel="0" collapsed="false">
      <c r="C72" s="6" t="s">
        <v>494</v>
      </c>
      <c r="D72" s="2" t="s">
        <v>20</v>
      </c>
      <c r="E72" s="10" t="n">
        <v>1</v>
      </c>
      <c r="H72" s="2" t="s">
        <v>495</v>
      </c>
    </row>
    <row r="73" customFormat="false" ht="14.25" hidden="false" customHeight="false" outlineLevel="0" collapsed="false">
      <c r="C73" s="6" t="s">
        <v>309</v>
      </c>
      <c r="D73" s="2" t="s">
        <v>496</v>
      </c>
      <c r="E73" s="9" t="n">
        <v>0.001</v>
      </c>
      <c r="H73" s="2" t="s">
        <v>497</v>
      </c>
    </row>
    <row r="74" customFormat="false" ht="14.25" hidden="false" customHeight="false" outlineLevel="0" collapsed="false">
      <c r="C74" s="6" t="s">
        <v>312</v>
      </c>
      <c r="D74" s="2" t="s">
        <v>496</v>
      </c>
      <c r="E74" s="9" t="n">
        <v>0.02</v>
      </c>
      <c r="H74" s="2" t="s">
        <v>498</v>
      </c>
    </row>
    <row r="75" customFormat="false" ht="14.25" hidden="false" customHeight="false" outlineLevel="0" collapsed="false">
      <c r="C75" s="6" t="s">
        <v>499</v>
      </c>
      <c r="D75" s="2" t="s">
        <v>12</v>
      </c>
      <c r="E75" s="9" t="n">
        <v>0.05</v>
      </c>
      <c r="H75" s="2" t="s">
        <v>500</v>
      </c>
    </row>
    <row r="76" customFormat="false" ht="14.25" hidden="false" customHeight="false" outlineLevel="0" collapsed="false">
      <c r="C76" s="6" t="s">
        <v>501</v>
      </c>
      <c r="D76" s="2" t="s">
        <v>474</v>
      </c>
      <c r="E76" s="9" t="n">
        <v>0.025</v>
      </c>
      <c r="H76" s="2" t="s">
        <v>502</v>
      </c>
    </row>
    <row r="77" customFormat="false" ht="14.25" hidden="false" customHeight="false" outlineLevel="0" collapsed="false">
      <c r="C77" s="42" t="s">
        <v>503</v>
      </c>
      <c r="D77" s="42"/>
      <c r="E77" s="43"/>
      <c r="F77" s="43"/>
      <c r="G77" s="43"/>
      <c r="H77" s="43"/>
    </row>
    <row r="78" customFormat="false" ht="14.25" hidden="false" customHeight="false" outlineLevel="0" collapsed="false">
      <c r="C78" s="6" t="s">
        <v>504</v>
      </c>
      <c r="D78" s="2" t="s">
        <v>289</v>
      </c>
      <c r="E78" s="11" t="n">
        <v>30</v>
      </c>
      <c r="H78" s="2" t="s">
        <v>505</v>
      </c>
    </row>
    <row r="79" customFormat="false" ht="14.25" hidden="false" customHeight="false" outlineLevel="0" collapsed="false">
      <c r="C79" s="6" t="s">
        <v>506</v>
      </c>
      <c r="D79" s="2" t="s">
        <v>12</v>
      </c>
      <c r="E79" s="9" t="n">
        <v>0.08</v>
      </c>
      <c r="H79" s="2" t="s">
        <v>507</v>
      </c>
    </row>
    <row r="80" customFormat="false" ht="14.25" hidden="false" customHeight="false" outlineLevel="0" collapsed="false">
      <c r="C80" s="6" t="s">
        <v>508</v>
      </c>
      <c r="D80" s="2" t="s">
        <v>156</v>
      </c>
      <c r="E80" s="11" t="n">
        <v>2026</v>
      </c>
      <c r="H80" s="2" t="s">
        <v>509</v>
      </c>
    </row>
    <row r="81" customFormat="false" ht="14.25" hidden="false" customHeight="false" outlineLevel="0" collapsed="false">
      <c r="C81" s="6" t="s">
        <v>510</v>
      </c>
      <c r="D81" s="2" t="s">
        <v>3</v>
      </c>
      <c r="E81" s="7" t="n">
        <v>1000</v>
      </c>
      <c r="H81" s="2" t="s">
        <v>511</v>
      </c>
    </row>
    <row r="82" customFormat="false" ht="14.25" hidden="false" customHeight="false" outlineLevel="0" collapsed="false">
      <c r="C82" s="6" t="s">
        <v>512</v>
      </c>
      <c r="D82" s="2" t="s">
        <v>172</v>
      </c>
      <c r="E82" s="11" t="n">
        <v>365</v>
      </c>
      <c r="H82" s="2" t="s">
        <v>511</v>
      </c>
    </row>
    <row r="83" customFormat="false" ht="14.25" hidden="false" customHeight="false" outlineLevel="0" collapsed="false">
      <c r="C83" s="6" t="s">
        <v>513</v>
      </c>
      <c r="D83" s="2" t="s">
        <v>291</v>
      </c>
      <c r="E83" s="11" t="n">
        <v>12</v>
      </c>
      <c r="H83" s="2" t="s">
        <v>511</v>
      </c>
    </row>
    <row r="84" customFormat="false" ht="14.25" hidden="false" customHeight="false" outlineLevel="0" collapsed="false">
      <c r="C84" s="6" t="s">
        <v>514</v>
      </c>
      <c r="D84" s="2" t="s">
        <v>85</v>
      </c>
      <c r="E84" s="81" t="n">
        <v>0.001</v>
      </c>
      <c r="H84" s="2" t="s">
        <v>511</v>
      </c>
    </row>
    <row r="86" customFormat="false" ht="14.25" hidden="false" customHeight="false" outlineLevel="0" collapsed="false">
      <c r="C86" s="42" t="s">
        <v>515</v>
      </c>
      <c r="D86" s="42"/>
      <c r="E86" s="43"/>
      <c r="F86" s="43"/>
      <c r="G86" s="43"/>
      <c r="H86" s="43"/>
    </row>
    <row r="87" customFormat="false" ht="14.25" hidden="false" customHeight="false" outlineLevel="0" collapsed="false">
      <c r="C87" s="6" t="s">
        <v>516</v>
      </c>
      <c r="D87" s="2" t="s">
        <v>74</v>
      </c>
      <c r="E87" s="7" t="n">
        <v>20590500</v>
      </c>
      <c r="F87" s="80" t="n">
        <v>46431</v>
      </c>
      <c r="G87" s="13" t="s">
        <v>116</v>
      </c>
      <c r="H87" s="2" t="s">
        <v>517</v>
      </c>
    </row>
    <row r="88" customFormat="false" ht="14.25" hidden="false" customHeight="false" outlineLevel="0" collapsed="false">
      <c r="C88" s="6" t="s">
        <v>518</v>
      </c>
      <c r="D88" s="2" t="s">
        <v>74</v>
      </c>
      <c r="E88" s="7" t="n">
        <v>45600000</v>
      </c>
      <c r="F88" s="80" t="n">
        <v>46431</v>
      </c>
      <c r="G88" s="13" t="s">
        <v>116</v>
      </c>
      <c r="H88" s="2" t="s">
        <v>519</v>
      </c>
    </row>
    <row r="89" customFormat="false" ht="14.25" hidden="false" customHeight="false" outlineLevel="0" collapsed="false">
      <c r="C89" s="6" t="s">
        <v>520</v>
      </c>
      <c r="D89" s="2" t="s">
        <v>74</v>
      </c>
      <c r="E89" s="7" t="n">
        <v>59142857.1428571</v>
      </c>
      <c r="F89" s="80" t="n">
        <v>46976</v>
      </c>
      <c r="G89" s="13" t="s">
        <v>521</v>
      </c>
      <c r="H89" s="2" t="s">
        <v>522</v>
      </c>
    </row>
    <row r="90" customFormat="false" ht="14.25" hidden="false" customHeight="false" outlineLevel="0" collapsed="false">
      <c r="C90" s="6" t="s">
        <v>523</v>
      </c>
      <c r="D90" s="2" t="s">
        <v>74</v>
      </c>
      <c r="E90" s="7" t="n">
        <v>750544</v>
      </c>
      <c r="F90" s="80" t="n">
        <v>46976</v>
      </c>
      <c r="G90" s="13" t="s">
        <v>521</v>
      </c>
      <c r="H90" s="2" t="s">
        <v>524</v>
      </c>
    </row>
    <row r="91" customFormat="false" ht="14.25" hidden="false" customHeight="false" outlineLevel="0" collapsed="false">
      <c r="C91" s="6" t="s">
        <v>525</v>
      </c>
      <c r="D91" s="2" t="s">
        <v>74</v>
      </c>
      <c r="E91" s="7" t="n">
        <v>65580000</v>
      </c>
      <c r="F91" s="80" t="n">
        <v>46296</v>
      </c>
      <c r="G91" s="13" t="s">
        <v>521</v>
      </c>
      <c r="H91" s="2" t="s">
        <v>526</v>
      </c>
    </row>
    <row r="92" customFormat="false" ht="14.25" hidden="false" customHeight="false" outlineLevel="0" collapsed="false">
      <c r="C92" s="6" t="s">
        <v>527</v>
      </c>
      <c r="D92" s="2" t="s">
        <v>74</v>
      </c>
      <c r="E92" s="7" t="n">
        <v>147260000</v>
      </c>
      <c r="F92" s="80" t="n">
        <v>46447</v>
      </c>
      <c r="G92" s="13" t="s">
        <v>521</v>
      </c>
      <c r="H92" s="2" t="s">
        <v>528</v>
      </c>
    </row>
    <row r="93" customFormat="false" ht="14.25" hidden="false" customHeight="false" outlineLevel="0" collapsed="false">
      <c r="C93" s="6" t="s">
        <v>529</v>
      </c>
      <c r="D93" s="2" t="s">
        <v>74</v>
      </c>
      <c r="E93" s="7" t="n">
        <v>3600000</v>
      </c>
      <c r="F93" s="80" t="n">
        <v>46388</v>
      </c>
      <c r="G93" s="13" t="s">
        <v>521</v>
      </c>
      <c r="H93" s="2" t="s">
        <v>530</v>
      </c>
    </row>
    <row r="94" customFormat="false" ht="14.25" hidden="false" customHeight="false" outlineLevel="0" collapsed="false">
      <c r="C94" s="6" t="s">
        <v>531</v>
      </c>
      <c r="D94" s="2" t="s">
        <v>74</v>
      </c>
      <c r="E94" s="7" t="n">
        <v>1665000</v>
      </c>
      <c r="F94" s="80" t="n">
        <v>46932</v>
      </c>
      <c r="G94" s="13" t="s">
        <v>521</v>
      </c>
      <c r="H94" s="2" t="s">
        <v>532</v>
      </c>
    </row>
    <row r="95" customFormat="false" ht="14.25" hidden="false" customHeight="false" outlineLevel="0" collapsed="false">
      <c r="C95" s="6" t="s">
        <v>533</v>
      </c>
      <c r="D95" s="2" t="s">
        <v>74</v>
      </c>
      <c r="E95" s="7" t="n">
        <v>960000</v>
      </c>
      <c r="F95" s="80" t="n">
        <v>46746</v>
      </c>
      <c r="G95" s="13" t="s">
        <v>521</v>
      </c>
      <c r="H95" s="2" t="s">
        <v>534</v>
      </c>
    </row>
    <row r="96" customFormat="false" ht="14.25" hidden="false" customHeight="false" outlineLevel="0" collapsed="false">
      <c r="C96" s="6" t="s">
        <v>535</v>
      </c>
      <c r="D96" s="2" t="s">
        <v>74</v>
      </c>
      <c r="E96" s="7" t="n">
        <v>8000000</v>
      </c>
      <c r="F96" s="80" t="n">
        <v>46596</v>
      </c>
      <c r="G96" s="13" t="s">
        <v>521</v>
      </c>
      <c r="H96" s="2" t="s">
        <v>536</v>
      </c>
    </row>
    <row r="97" customFormat="false" ht="14.25" hidden="false" customHeight="false" outlineLevel="0" collapsed="false">
      <c r="C97" s="6" t="s">
        <v>537</v>
      </c>
      <c r="D97" s="2" t="s">
        <v>74</v>
      </c>
      <c r="E97" s="7" t="n">
        <v>50000000</v>
      </c>
      <c r="F97" s="80" t="n">
        <v>46806</v>
      </c>
      <c r="G97" s="13" t="s">
        <v>521</v>
      </c>
      <c r="H97" s="2" t="s">
        <v>538</v>
      </c>
    </row>
    <row r="98" customFormat="false" ht="14.25" hidden="false" customHeight="false" outlineLevel="0" collapsed="false">
      <c r="C98" s="6" t="s">
        <v>539</v>
      </c>
      <c r="D98" s="2" t="s">
        <v>74</v>
      </c>
      <c r="E98" s="7" t="n">
        <v>35000000</v>
      </c>
      <c r="F98" s="80" t="n">
        <v>46806</v>
      </c>
      <c r="G98" s="13" t="s">
        <v>521</v>
      </c>
      <c r="H98" s="2" t="s">
        <v>540</v>
      </c>
    </row>
    <row r="99" customFormat="false" ht="14.25" hidden="false" customHeight="false" outlineLevel="0" collapsed="false">
      <c r="C99" s="6" t="s">
        <v>541</v>
      </c>
      <c r="D99" s="2" t="s">
        <v>74</v>
      </c>
      <c r="E99" s="7" t="n">
        <v>14832000</v>
      </c>
      <c r="F99" s="80" t="n">
        <v>46751</v>
      </c>
      <c r="G99" s="13" t="s">
        <v>521</v>
      </c>
      <c r="H99" s="2" t="s">
        <v>542</v>
      </c>
    </row>
    <row r="100" customFormat="false" ht="14.25" hidden="false" customHeight="false" outlineLevel="0" collapsed="false">
      <c r="C100" s="6" t="s">
        <v>543</v>
      </c>
      <c r="D100" s="2" t="s">
        <v>74</v>
      </c>
      <c r="E100" s="7" t="n">
        <v>40000</v>
      </c>
      <c r="F100" s="80" t="n">
        <v>46871</v>
      </c>
      <c r="G100" s="13" t="s">
        <v>521</v>
      </c>
      <c r="H100" s="2" t="s">
        <v>544</v>
      </c>
    </row>
    <row r="101" customFormat="false" ht="14.25" hidden="false" customHeight="false" outlineLevel="0" collapsed="false">
      <c r="C101" s="6" t="s">
        <v>545</v>
      </c>
      <c r="D101" s="2" t="s">
        <v>74</v>
      </c>
      <c r="E101" s="7" t="n">
        <v>32610000</v>
      </c>
      <c r="F101" s="80" t="n">
        <v>46841</v>
      </c>
      <c r="G101" s="13" t="s">
        <v>521</v>
      </c>
      <c r="H101" s="2" t="s">
        <v>546</v>
      </c>
    </row>
    <row r="102" customFormat="false" ht="14.25" hidden="false" customHeight="false" outlineLevel="0" collapsed="false">
      <c r="C102" s="6" t="s">
        <v>547</v>
      </c>
      <c r="D102" s="2" t="s">
        <v>74</v>
      </c>
      <c r="E102" s="7" t="n">
        <v>8000000</v>
      </c>
      <c r="F102" s="80" t="n">
        <v>46596</v>
      </c>
      <c r="G102" s="13" t="s">
        <v>521</v>
      </c>
      <c r="H102" s="2" t="s">
        <v>548</v>
      </c>
    </row>
    <row r="103" customFormat="false" ht="14.25" hidden="false" customHeight="false" outlineLevel="0" collapsed="false">
      <c r="C103" s="6" t="s">
        <v>549</v>
      </c>
      <c r="D103" s="2" t="s">
        <v>74</v>
      </c>
      <c r="E103" s="7" t="n">
        <v>8000000</v>
      </c>
      <c r="F103" s="80" t="n">
        <v>46566</v>
      </c>
      <c r="G103" s="13" t="s">
        <v>521</v>
      </c>
      <c r="H103" s="2" t="s">
        <v>550</v>
      </c>
    </row>
    <row r="104" customFormat="false" ht="14.25" hidden="false" customHeight="false" outlineLevel="0" collapsed="false">
      <c r="C104" s="6" t="s">
        <v>551</v>
      </c>
      <c r="D104" s="2" t="s">
        <v>74</v>
      </c>
      <c r="E104" s="7" t="n">
        <v>8000000</v>
      </c>
      <c r="F104" s="80" t="n">
        <v>46566</v>
      </c>
      <c r="G104" s="13" t="s">
        <v>521</v>
      </c>
      <c r="H104" s="2" t="s">
        <v>552</v>
      </c>
    </row>
    <row r="105" customFormat="false" ht="14.25" hidden="false" customHeight="false" outlineLevel="0" collapsed="false">
      <c r="C105" s="6" t="s">
        <v>553</v>
      </c>
      <c r="D105" s="2" t="s">
        <v>74</v>
      </c>
      <c r="E105" s="7" t="n">
        <v>4590000</v>
      </c>
      <c r="F105" s="80" t="n">
        <v>46780</v>
      </c>
      <c r="G105" s="13" t="s">
        <v>521</v>
      </c>
      <c r="H105" s="2" t="s">
        <v>554</v>
      </c>
    </row>
    <row r="106" customFormat="false" ht="14.25" hidden="false" customHeight="false" outlineLevel="0" collapsed="false">
      <c r="C106" s="6" t="s">
        <v>555</v>
      </c>
      <c r="D106" s="2" t="s">
        <v>74</v>
      </c>
      <c r="E106" s="7" t="n">
        <v>138000000</v>
      </c>
      <c r="F106" s="80" t="n">
        <v>46780</v>
      </c>
      <c r="G106" s="13" t="s">
        <v>521</v>
      </c>
      <c r="H106" s="2" t="s">
        <v>556</v>
      </c>
    </row>
    <row r="107" customFormat="false" ht="14.25" hidden="false" customHeight="false" outlineLevel="0" collapsed="false">
      <c r="C107" s="6" t="s">
        <v>557</v>
      </c>
      <c r="D107" s="2" t="s">
        <v>74</v>
      </c>
      <c r="E107" s="7" t="n">
        <v>45000000</v>
      </c>
      <c r="F107" s="80" t="n">
        <v>46780</v>
      </c>
      <c r="G107" s="13" t="s">
        <v>521</v>
      </c>
      <c r="H107" s="2" t="s">
        <v>558</v>
      </c>
    </row>
    <row r="108" customFormat="false" ht="14.25" hidden="false" customHeight="false" outlineLevel="0" collapsed="false">
      <c r="C108" s="6" t="s">
        <v>559</v>
      </c>
      <c r="D108" s="2" t="s">
        <v>74</v>
      </c>
      <c r="E108" s="7" t="n">
        <v>74896683.6734694</v>
      </c>
      <c r="F108" s="80" t="n">
        <v>46780</v>
      </c>
      <c r="G108" s="13" t="s">
        <v>521</v>
      </c>
      <c r="H108" s="2" t="s">
        <v>560</v>
      </c>
    </row>
    <row r="109" customFormat="false" ht="14.25" hidden="false" customHeight="false" outlineLevel="0" collapsed="false">
      <c r="C109" s="6" t="s">
        <v>561</v>
      </c>
      <c r="D109" s="2" t="s">
        <v>74</v>
      </c>
      <c r="E109" s="7" t="n">
        <v>15000000</v>
      </c>
      <c r="F109" s="80" t="n">
        <v>46720</v>
      </c>
      <c r="G109" s="13" t="s">
        <v>521</v>
      </c>
      <c r="H109" s="2" t="s">
        <v>562</v>
      </c>
    </row>
    <row r="110" customFormat="false" ht="14.25" hidden="false" customHeight="false" outlineLevel="0" collapsed="false">
      <c r="C110" s="6" t="s">
        <v>563</v>
      </c>
      <c r="D110" s="2" t="s">
        <v>74</v>
      </c>
      <c r="E110" s="7" t="n">
        <v>6000000</v>
      </c>
      <c r="F110" s="80" t="n">
        <v>46780</v>
      </c>
      <c r="G110" s="13" t="s">
        <v>521</v>
      </c>
      <c r="H110" s="2" t="s">
        <v>564</v>
      </c>
    </row>
    <row r="111" customFormat="false" ht="14.25" hidden="false" customHeight="false" outlineLevel="0" collapsed="false">
      <c r="C111" s="6" t="s">
        <v>565</v>
      </c>
      <c r="D111" s="2" t="s">
        <v>74</v>
      </c>
      <c r="E111" s="7" t="n">
        <v>45178571.4285714</v>
      </c>
      <c r="F111" s="80" t="n">
        <v>46780</v>
      </c>
      <c r="G111" s="13" t="s">
        <v>521</v>
      </c>
      <c r="H111" s="2" t="s">
        <v>566</v>
      </c>
    </row>
    <row r="112" customFormat="false" ht="14.25" hidden="false" customHeight="false" outlineLevel="0" collapsed="false">
      <c r="C112" s="6" t="s">
        <v>567</v>
      </c>
      <c r="D112" s="2" t="s">
        <v>74</v>
      </c>
      <c r="E112" s="7" t="n">
        <v>4590000</v>
      </c>
      <c r="F112" s="80" t="n">
        <v>46780</v>
      </c>
      <c r="G112" s="13" t="s">
        <v>521</v>
      </c>
      <c r="H112" s="2" t="s">
        <v>568</v>
      </c>
    </row>
    <row r="113" customFormat="false" ht="14.25" hidden="false" customHeight="false" outlineLevel="0" collapsed="false">
      <c r="C113" s="6" t="s">
        <v>569</v>
      </c>
      <c r="D113" s="2" t="s">
        <v>74</v>
      </c>
      <c r="E113" s="7" t="n">
        <v>70000000</v>
      </c>
      <c r="F113" s="80" t="n">
        <v>46780</v>
      </c>
      <c r="G113" s="13" t="s">
        <v>521</v>
      </c>
      <c r="H113" s="2" t="s">
        <v>570</v>
      </c>
    </row>
    <row r="114" customFormat="false" ht="14.25" hidden="false" customHeight="false" outlineLevel="0" collapsed="false">
      <c r="C114" s="6" t="s">
        <v>571</v>
      </c>
      <c r="D114" s="2" t="s">
        <v>74</v>
      </c>
      <c r="E114" s="7" t="n">
        <v>20000000</v>
      </c>
      <c r="F114" s="80" t="n">
        <v>47126</v>
      </c>
      <c r="G114" s="13" t="s">
        <v>521</v>
      </c>
      <c r="H114" s="2" t="s">
        <v>572</v>
      </c>
    </row>
    <row r="115" customFormat="false" ht="14.25" hidden="false" customHeight="false" outlineLevel="0" collapsed="false">
      <c r="C115" s="6" t="s">
        <v>573</v>
      </c>
      <c r="D115" s="2" t="s">
        <v>74</v>
      </c>
      <c r="E115" s="7" t="n">
        <v>12000000</v>
      </c>
      <c r="F115" s="80" t="n">
        <v>47066</v>
      </c>
      <c r="G115" s="13" t="s">
        <v>521</v>
      </c>
      <c r="H115" s="2" t="s">
        <v>574</v>
      </c>
    </row>
    <row r="116" customFormat="false" ht="14.25" hidden="false" customHeight="false" outlineLevel="0" collapsed="false">
      <c r="C116" s="6" t="s">
        <v>575</v>
      </c>
      <c r="D116" s="2" t="s">
        <v>74</v>
      </c>
      <c r="E116" s="7" t="n">
        <v>7400000</v>
      </c>
      <c r="F116" s="80" t="n">
        <v>46752</v>
      </c>
      <c r="G116" s="13" t="s">
        <v>521</v>
      </c>
      <c r="H116" s="2" t="s">
        <v>576</v>
      </c>
    </row>
    <row r="117" customFormat="false" ht="14.25" hidden="false" customHeight="false" outlineLevel="0" collapsed="false">
      <c r="C117" s="6" t="s">
        <v>577</v>
      </c>
      <c r="D117" s="2" t="s">
        <v>74</v>
      </c>
      <c r="E117" s="7" t="n">
        <v>29600000</v>
      </c>
      <c r="F117" s="80" t="n">
        <v>46752</v>
      </c>
      <c r="G117" s="13" t="s">
        <v>521</v>
      </c>
      <c r="H117" s="2" t="s">
        <v>578</v>
      </c>
    </row>
    <row r="118" customFormat="false" ht="14.25" hidden="false" customHeight="false" outlineLevel="0" collapsed="false">
      <c r="C118" s="6" t="s">
        <v>579</v>
      </c>
      <c r="D118" s="2" t="s">
        <v>74</v>
      </c>
      <c r="E118" s="7" t="n">
        <v>91200000</v>
      </c>
      <c r="F118" s="80" t="n">
        <v>47201</v>
      </c>
      <c r="G118" s="13" t="s">
        <v>116</v>
      </c>
      <c r="H118" s="2" t="s">
        <v>580</v>
      </c>
    </row>
    <row r="119" customFormat="false" ht="14.25" hidden="false" customHeight="false" outlineLevel="0" collapsed="false">
      <c r="C119" s="6" t="s">
        <v>581</v>
      </c>
      <c r="D119" s="2" t="s">
        <v>74</v>
      </c>
      <c r="E119" s="7" t="n">
        <v>107908615.62449</v>
      </c>
      <c r="F119" s="80" t="n">
        <v>46752</v>
      </c>
      <c r="G119" s="13" t="s">
        <v>521</v>
      </c>
      <c r="H119" s="2" t="s">
        <v>582</v>
      </c>
    </row>
    <row r="121" customFormat="false" ht="14.25" hidden="false" customHeight="false" outlineLevel="0" collapsed="false">
      <c r="B121" s="4" t="s">
        <v>3</v>
      </c>
      <c r="C121" s="4" t="s">
        <v>583</v>
      </c>
      <c r="D121" s="4"/>
      <c r="E121" s="5" t="s">
        <v>584</v>
      </c>
      <c r="F121" s="5"/>
      <c r="G121" s="5"/>
      <c r="H121" s="5"/>
    </row>
    <row r="122" customFormat="false" ht="14.25" hidden="false" customHeight="false" outlineLevel="0" collapsed="false">
      <c r="C122" s="6" t="s">
        <v>585</v>
      </c>
      <c r="E122" s="13" t="n">
        <v>10</v>
      </c>
      <c r="F122" s="13" t="n">
        <v>15</v>
      </c>
      <c r="G122" s="13" t="n">
        <v>20</v>
      </c>
      <c r="H122" s="13" t="n">
        <v>25</v>
      </c>
      <c r="I122" s="13" t="n">
        <v>30</v>
      </c>
      <c r="J122" s="13" t="n">
        <v>35</v>
      </c>
      <c r="K122" s="13" t="n">
        <v>40</v>
      </c>
      <c r="L122" s="13" t="n">
        <v>45</v>
      </c>
      <c r="M122" s="13" t="n">
        <v>50</v>
      </c>
    </row>
    <row r="123" customFormat="false" ht="14.25" hidden="false" customHeight="false" outlineLevel="0" collapsed="false">
      <c r="C123" s="6" t="s">
        <v>586</v>
      </c>
      <c r="E123" s="13" t="n">
        <v>0</v>
      </c>
      <c r="F123" s="13" t="n">
        <v>0</v>
      </c>
      <c r="G123" s="13" t="n">
        <v>0</v>
      </c>
      <c r="H123" s="13" t="n">
        <v>0</v>
      </c>
      <c r="I123" s="13" t="n">
        <v>0</v>
      </c>
      <c r="J123" s="13" t="n">
        <v>0</v>
      </c>
      <c r="K123" s="13" t="n">
        <v>0</v>
      </c>
      <c r="L123" s="13" t="n">
        <v>0</v>
      </c>
      <c r="M123" s="13" t="n">
        <v>1</v>
      </c>
    </row>
    <row r="124" customFormat="false" ht="14.25" hidden="false" customHeight="false" outlineLevel="0" collapsed="false">
      <c r="C124" s="6" t="s">
        <v>587</v>
      </c>
      <c r="E124" s="13" t="n">
        <v>0</v>
      </c>
      <c r="F124" s="13" t="n">
        <v>10</v>
      </c>
      <c r="G124" s="13" t="n">
        <v>20</v>
      </c>
      <c r="H124" s="13" t="n">
        <v>30</v>
      </c>
      <c r="I124" s="13" t="n">
        <v>40</v>
      </c>
      <c r="J124" s="13" t="n">
        <v>55</v>
      </c>
      <c r="K124" s="13" t="n">
        <v>70</v>
      </c>
      <c r="L124" s="13" t="n">
        <v>80</v>
      </c>
      <c r="M124" s="13" t="n">
        <v>90</v>
      </c>
      <c r="N124" s="13" t="n">
        <v>100</v>
      </c>
    </row>
    <row r="125" customFormat="false" ht="14.25" hidden="false" customHeight="false" outlineLevel="0" collapsed="false">
      <c r="C125" s="6" t="s">
        <v>588</v>
      </c>
      <c r="E125" s="13" t="n">
        <v>2</v>
      </c>
      <c r="F125" s="13" t="n">
        <v>2.1</v>
      </c>
      <c r="G125" s="13" t="n">
        <v>2.2</v>
      </c>
      <c r="H125" s="13" t="n">
        <v>2.3</v>
      </c>
      <c r="I125" s="13" t="n">
        <v>2.4</v>
      </c>
      <c r="J125" s="13" t="n">
        <v>2.5</v>
      </c>
      <c r="K125" s="13" t="n">
        <v>2.6</v>
      </c>
      <c r="L125" s="13" t="n">
        <v>2.7</v>
      </c>
      <c r="M125" s="13" t="n">
        <v>2.8</v>
      </c>
      <c r="N125" s="13" t="n">
        <v>2.9</v>
      </c>
      <c r="O125" s="13" t="n">
        <v>3</v>
      </c>
    </row>
    <row r="126" customFormat="false" ht="14.25" hidden="false" customHeight="false" outlineLevel="0" collapsed="false">
      <c r="C126" s="6" t="s">
        <v>589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1</v>
      </c>
    </row>
    <row r="127" customFormat="false" ht="14.25" hidden="false" customHeight="false" outlineLevel="0" collapsed="false">
      <c r="C127" s="6" t="s">
        <v>590</v>
      </c>
      <c r="E127" s="13" t="n">
        <v>0</v>
      </c>
      <c r="F127" s="13" t="n">
        <v>5</v>
      </c>
      <c r="G127" s="13" t="n">
        <v>10</v>
      </c>
      <c r="H127" s="13" t="n">
        <v>20</v>
      </c>
      <c r="I127" s="13" t="n">
        <v>30</v>
      </c>
      <c r="J127" s="13" t="n">
        <v>40</v>
      </c>
      <c r="K127" s="13" t="n">
        <v>50</v>
      </c>
      <c r="L127" s="13" t="n">
        <v>60</v>
      </c>
      <c r="M127" s="13" t="n">
        <v>70</v>
      </c>
      <c r="N127" s="13" t="n">
        <v>80</v>
      </c>
      <c r="O127" s="13" t="n">
        <v>90</v>
      </c>
      <c r="P127" s="13" t="n">
        <v>100</v>
      </c>
    </row>
    <row r="128" customFormat="false" ht="14.25" hidden="false" customHeight="false" outlineLevel="0" collapsed="false">
      <c r="C128" s="6" t="s">
        <v>591</v>
      </c>
      <c r="E128" s="13" t="n">
        <v>0.02</v>
      </c>
      <c r="F128" s="13" t="n">
        <v>0.05</v>
      </c>
      <c r="G128" s="13" t="n">
        <v>0.1</v>
      </c>
      <c r="H128" s="13" t="n">
        <v>0.15</v>
      </c>
      <c r="I128" s="13" t="n">
        <v>0.2</v>
      </c>
      <c r="J128" s="13" t="n">
        <v>0.25</v>
      </c>
      <c r="K128" s="13" t="n">
        <v>0.3</v>
      </c>
      <c r="L128" s="13" t="n">
        <v>0.35</v>
      </c>
      <c r="M128" s="13" t="n">
        <v>0.4</v>
      </c>
      <c r="N128" s="13" t="n">
        <v>0.5</v>
      </c>
    </row>
    <row r="129" customFormat="false" ht="14.25" hidden="false" customHeight="false" outlineLevel="0" collapsed="false">
      <c r="C129" s="6" t="s">
        <v>592</v>
      </c>
      <c r="E129" s="13" t="n">
        <v>0</v>
      </c>
      <c r="F129" s="13" t="n">
        <v>1</v>
      </c>
      <c r="G129" s="13" t="n">
        <v>1</v>
      </c>
      <c r="H129" s="13" t="n">
        <v>1</v>
      </c>
      <c r="I129" s="13" t="n">
        <v>1</v>
      </c>
      <c r="J129" s="13" t="n">
        <v>1</v>
      </c>
      <c r="K129" s="13" t="n">
        <v>1</v>
      </c>
      <c r="L129" s="13" t="n">
        <v>1</v>
      </c>
      <c r="M129" s="13" t="n">
        <v>1</v>
      </c>
      <c r="N129" s="13" t="n">
        <v>0</v>
      </c>
    </row>
    <row r="130" customFormat="false" ht="14.25" hidden="false" customHeight="false" outlineLevel="0" collapsed="false">
      <c r="C130" s="6" t="s">
        <v>593</v>
      </c>
      <c r="E130" s="13" t="n">
        <v>0</v>
      </c>
      <c r="F130" s="13" t="n">
        <v>10</v>
      </c>
      <c r="G130" s="13" t="n">
        <v>20</v>
      </c>
      <c r="H130" s="13" t="n">
        <v>30</v>
      </c>
      <c r="I130" s="13" t="n">
        <v>40</v>
      </c>
      <c r="J130" s="13" t="n">
        <v>50</v>
      </c>
      <c r="K130" s="13" t="n">
        <v>60</v>
      </c>
      <c r="L130" s="13" t="n">
        <v>70</v>
      </c>
      <c r="M130" s="13" t="n">
        <v>80</v>
      </c>
      <c r="N130" s="13" t="n">
        <v>90</v>
      </c>
      <c r="O130" s="13" t="n">
        <v>100</v>
      </c>
    </row>
    <row r="131" customFormat="false" ht="14.25" hidden="false" customHeight="false" outlineLevel="0" collapsed="false">
      <c r="B131" s="0" t="s">
        <v>594</v>
      </c>
      <c r="C131" s="6"/>
      <c r="E131" s="13" t="n">
        <v>0.02</v>
      </c>
      <c r="F131" s="13" t="n">
        <v>0.05</v>
      </c>
      <c r="G131" s="13" t="n">
        <v>0.1</v>
      </c>
      <c r="H131" s="13" t="n">
        <v>0.15</v>
      </c>
      <c r="I131" s="13" t="n">
        <v>0.2</v>
      </c>
      <c r="J131" s="13" t="n">
        <v>0.25</v>
      </c>
      <c r="K131" s="13" t="n">
        <v>0.3</v>
      </c>
      <c r="L131" s="13" t="n">
        <v>0.35</v>
      </c>
      <c r="M131" s="13" t="n">
        <v>0.4</v>
      </c>
      <c r="N131" s="13" t="n">
        <v>0.5</v>
      </c>
    </row>
    <row r="132" customFormat="false" ht="14.25" hidden="false" customHeight="false" outlineLevel="0" collapsed="false">
      <c r="B132" s="0" t="s">
        <v>595</v>
      </c>
      <c r="C132" s="6"/>
      <c r="E132" s="13" t="n">
        <v>0</v>
      </c>
      <c r="F132" s="13" t="n">
        <v>1</v>
      </c>
      <c r="G132" s="13" t="n">
        <v>1</v>
      </c>
      <c r="H132" s="13" t="n">
        <v>1</v>
      </c>
      <c r="I132" s="13" t="n">
        <v>1</v>
      </c>
      <c r="J132" s="13" t="n">
        <v>1</v>
      </c>
      <c r="K132" s="13" t="n">
        <v>1</v>
      </c>
      <c r="L132" s="13" t="n">
        <v>1</v>
      </c>
      <c r="M132" s="13" t="n">
        <v>1</v>
      </c>
      <c r="N132" s="13" t="n">
        <v>0</v>
      </c>
    </row>
    <row r="133" customFormat="false" ht="14.25" hidden="false" customHeight="false" outlineLevel="0" collapsed="false">
      <c r="B133" s="0" t="s">
        <v>596</v>
      </c>
      <c r="C133" s="6"/>
      <c r="E133" s="13" t="n">
        <v>0</v>
      </c>
      <c r="F133" s="13" t="n">
        <v>10</v>
      </c>
      <c r="G133" s="13" t="n">
        <v>20</v>
      </c>
      <c r="H133" s="13" t="n">
        <v>30</v>
      </c>
      <c r="I133" s="13" t="n">
        <v>40</v>
      </c>
      <c r="J133" s="13" t="n">
        <v>50</v>
      </c>
      <c r="K133" s="13" t="n">
        <v>60</v>
      </c>
      <c r="L133" s="13" t="n">
        <v>70</v>
      </c>
      <c r="M133" s="13" t="n">
        <v>80</v>
      </c>
      <c r="N133" s="13" t="n">
        <v>90</v>
      </c>
      <c r="O133" s="13" t="n">
        <v>100</v>
      </c>
      <c r="P133" s="82" t="s">
        <v>597</v>
      </c>
    </row>
    <row r="134" customFormat="false" ht="14.25" hidden="false" customHeight="false" outlineLevel="0" collapsed="false">
      <c r="C134" s="6" t="s">
        <v>598</v>
      </c>
      <c r="E134" s="13" t="n">
        <v>1</v>
      </c>
      <c r="F134" s="13" t="n">
        <v>1.2</v>
      </c>
      <c r="G134" s="13" t="n">
        <v>1.3</v>
      </c>
      <c r="H134" s="13" t="n">
        <v>1.4</v>
      </c>
      <c r="I134" s="13" t="n">
        <v>1.5</v>
      </c>
      <c r="J134" s="13" t="n">
        <v>1.6</v>
      </c>
      <c r="K134" s="13" t="n">
        <v>1.7</v>
      </c>
      <c r="L134" s="13" t="n">
        <v>1.8</v>
      </c>
      <c r="M134" s="13" t="n">
        <v>1.9</v>
      </c>
      <c r="N134" s="13" t="n">
        <v>2</v>
      </c>
    </row>
    <row r="135" customFormat="false" ht="14.25" hidden="false" customHeight="false" outlineLevel="0" collapsed="false">
      <c r="C135" s="6" t="s">
        <v>599</v>
      </c>
      <c r="E135" s="13" t="n">
        <v>0</v>
      </c>
      <c r="F135" s="13" t="n">
        <v>1</v>
      </c>
      <c r="G135" s="13" t="n">
        <v>1</v>
      </c>
      <c r="H135" s="13" t="n">
        <v>1</v>
      </c>
      <c r="I135" s="13" t="n">
        <v>1</v>
      </c>
      <c r="J135" s="13" t="n">
        <v>1</v>
      </c>
      <c r="K135" s="13" t="n">
        <v>1</v>
      </c>
      <c r="L135" s="13" t="n">
        <v>1</v>
      </c>
      <c r="M135" s="13" t="n">
        <v>1</v>
      </c>
      <c r="N135" s="13" t="n">
        <v>0</v>
      </c>
      <c r="P135" s="82" t="s">
        <v>600</v>
      </c>
    </row>
    <row r="136" customFormat="false" ht="14.25" hidden="false" customHeight="false" outlineLevel="0" collapsed="false">
      <c r="C136" s="6" t="s">
        <v>601</v>
      </c>
      <c r="E136" s="13" t="n">
        <v>0</v>
      </c>
      <c r="F136" s="13" t="n">
        <v>10</v>
      </c>
      <c r="G136" s="13" t="n">
        <v>20</v>
      </c>
      <c r="H136" s="13" t="n">
        <v>30</v>
      </c>
      <c r="I136" s="13" t="n">
        <v>40</v>
      </c>
      <c r="J136" s="13" t="n">
        <v>50</v>
      </c>
      <c r="K136" s="13" t="n">
        <v>60</v>
      </c>
      <c r="L136" s="13" t="n">
        <v>70</v>
      </c>
      <c r="M136" s="13" t="n">
        <v>80</v>
      </c>
      <c r="N136" s="13" t="n">
        <v>90</v>
      </c>
      <c r="O136" s="13" t="n">
        <v>100</v>
      </c>
    </row>
    <row r="137" customFormat="false" ht="14.25" hidden="false" customHeight="false" outlineLevel="0" collapsed="false">
      <c r="C137" s="6" t="s">
        <v>602</v>
      </c>
      <c r="E137" s="13" t="n">
        <v>100</v>
      </c>
    </row>
    <row r="138" customFormat="false" ht="14.25" hidden="false" customHeight="false" outlineLevel="0" collapsed="false">
      <c r="C138" s="6" t="s">
        <v>603</v>
      </c>
      <c r="E138" s="13" t="n">
        <v>100</v>
      </c>
    </row>
    <row r="139" customFormat="false" ht="14.25" hidden="false" customHeight="false" outlineLevel="0" collapsed="false">
      <c r="C139" s="6" t="s">
        <v>604</v>
      </c>
      <c r="E139" s="13" t="n">
        <v>100</v>
      </c>
    </row>
    <row r="140" customFormat="false" ht="14.25" hidden="false" customHeight="false" outlineLevel="0" collapsed="false">
      <c r="C140" s="6" t="s">
        <v>605</v>
      </c>
      <c r="E140" s="13" t="n">
        <v>80</v>
      </c>
    </row>
    <row r="141" customFormat="false" ht="14.25" hidden="false" customHeight="false" outlineLevel="0" collapsed="false">
      <c r="C141" s="6" t="s">
        <v>606</v>
      </c>
      <c r="E141" s="13" t="n">
        <v>20</v>
      </c>
    </row>
    <row r="142" customFormat="false" ht="14.25" hidden="false" customHeight="false" outlineLevel="0" collapsed="false">
      <c r="C142" s="6" t="s">
        <v>607</v>
      </c>
      <c r="E142" s="13" t="n">
        <v>0.2</v>
      </c>
    </row>
    <row r="143" customFormat="false" ht="14.25" hidden="false" customHeight="false" outlineLevel="0" collapsed="false">
      <c r="C143" s="6" t="s">
        <v>608</v>
      </c>
      <c r="E143" s="13" t="n">
        <v>0.15</v>
      </c>
    </row>
    <row r="144" customFormat="false" ht="14.25" hidden="false" customHeight="false" outlineLevel="0" collapsed="false">
      <c r="C144" s="6" t="s">
        <v>609</v>
      </c>
      <c r="E144" s="13" t="n">
        <v>0.1</v>
      </c>
    </row>
    <row r="145" customFormat="false" ht="14.25" hidden="false" customHeight="false" outlineLevel="0" collapsed="false">
      <c r="C145" s="6" t="s">
        <v>610</v>
      </c>
      <c r="E145" s="13" t="n">
        <v>0.15</v>
      </c>
    </row>
    <row r="146" customFormat="false" ht="14.25" hidden="false" customHeight="false" outlineLevel="0" collapsed="false">
      <c r="C146" s="6" t="s">
        <v>611</v>
      </c>
      <c r="E146" s="13" t="n">
        <v>0.05</v>
      </c>
    </row>
    <row r="147" customFormat="false" ht="14.25" hidden="false" customHeight="false" outlineLevel="0" collapsed="false">
      <c r="C147" s="6" t="s">
        <v>612</v>
      </c>
      <c r="E147" s="13" t="n">
        <v>0.05</v>
      </c>
    </row>
    <row r="148" customFormat="false" ht="14.25" hidden="false" customHeight="false" outlineLevel="0" collapsed="false">
      <c r="C148" s="6" t="s">
        <v>613</v>
      </c>
      <c r="E148" s="13" t="n">
        <v>0.1</v>
      </c>
    </row>
    <row r="149" customFormat="false" ht="14.25" hidden="false" customHeight="false" outlineLevel="0" collapsed="false">
      <c r="C149" s="6" t="s">
        <v>614</v>
      </c>
      <c r="E149" s="13" t="n">
        <v>0.05</v>
      </c>
    </row>
    <row r="150" customFormat="false" ht="14.25" hidden="false" customHeight="false" outlineLevel="0" collapsed="false">
      <c r="C150" s="6" t="s">
        <v>615</v>
      </c>
      <c r="E150" s="13" t="n">
        <v>0.15</v>
      </c>
    </row>
    <row r="152" customFormat="false" ht="14.25" hidden="false" customHeight="false" outlineLevel="0" collapsed="false">
      <c r="C152" s="79" t="s">
        <v>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2026-10-27T15:34:29Z</dcterms:created>
  <dc:creator>openpyxl</dc:creator>
  <dc:description/>
  <dc:language>en-US</dc:language>
  <cp:lastModifiedBy/>
  <dcterms:modified xsi:type="dcterms:W3CDTF">2026-10-29T01:18:52Z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0x010100CB25C80BA76C054AAAC0D3CDDFCEC309</vt:lpwstr>
  </property>
  <property fmtid="{D5CDD505-2E9C-101B-9397-08002B2CF9AE}" pid="3" name="MediaServiceImageTags">
    <vt:lpwstr/>
  </property>
</Properties>
</file>