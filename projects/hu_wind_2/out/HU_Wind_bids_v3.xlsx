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Inputs!$E$69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Inputs!$E$56</definedName>
    <definedName function="false" hidden="false" name="Bid_Sec_Rate" vbProcedure="false">Inputs!$E$9</definedName>
    <definedName function="false" hidden="false" name="Capex_Civil" vbProcedure="false">Inputs!$E$49</definedName>
    <definedName function="false" hidden="false" name="Capex_Cont" vbProcedure="false">Inputs!$E$55</definedName>
    <definedName function="false" hidden="false" name="Capex_Elec" vbProcedure="false">Inputs!$E$50</definedName>
    <definedName function="false" hidden="false" name="Capex_Fdn" vbProcedure="false">Inputs!$E$48</definedName>
    <definedName function="false" hidden="false" name="Capex_Install" vbProcedure="false">Inputs!$E$47</definedName>
    <definedName function="false" hidden="false" name="Capex_Land" vbProcedure="false">Inputs!$E$52</definedName>
    <definedName function="false" hidden="false" name="Capex_Owner" vbProcedure="false">Inputs!$E$51</definedName>
    <definedName function="false" hidden="false" name="Case_CN" vbProcedure="false">Dashboard!$H$27</definedName>
    <definedName function="false" hidden="false" name="Case_EU" vbProcedure="false">Dashboard!$H$26</definedName>
    <definedName function="false" hidden="false" name="Case_OM" vbProcedure="false">Dashboard!$H$30</definedName>
    <definedName function="false" hidden="false" name="Case_P50" vbProcedure="false">Dashboard!$H$29</definedName>
    <definedName function="false" hidden="false" name="Case_PPA" vbProcedure="false">Dashboard!$H$28</definedName>
    <definedName function="false" hidden="false" name="CIT_Rate" vbProcedure="false">Inputs!$E$39</definedName>
    <definedName function="false" hidden="false" name="Clipping" vbProcedure="false">Inputs!$E$59</definedName>
    <definedName function="false" hidden="false" name="Curtailment" vbProcedure="false">Inputs!$E$58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Dashboard!$H$25</definedName>
    <definedName function="false" hidden="false" name="Dash_Case_CN" vbProcedure="false">Dashboard!$E$27:$G$27</definedName>
    <definedName function="false" hidden="false" name="Dash_Case_EU" vbProcedure="false">Dashboard!$E$26:$G$26</definedName>
    <definedName function="false" hidden="false" name="Dash_Case_OM" vbProcedure="false">Dashboard!$E$30:$G$30</definedName>
    <definedName function="false" hidden="false" name="Dash_Case_P50" vbProcedure="false">Dashboard!$E$29:$G$29</definedName>
    <definedName function="false" hidden="false" name="Dash_Case_PPA" vbProcedure="false">Dashboard!$E$28:$G$28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JV" vbProcedure="false">Dashboard!$E$21:$G$21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50" vbProcedure="false">Dashboard!$E$22:$G$22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Inputs!$E$80</definedName>
    <definedName function="false" hidden="false" name="Debt_Rate" vbProcedure="false">Inputs!$E$44</definedName>
    <definedName function="false" hidden="false" name="Debt_Tenor" vbProcedure="false">Inputs!$E$45</definedName>
    <definedName function="false" hidden="false" name="Degradation" vbProcedure="false">Inputs!$E$60</definedName>
    <definedName function="false" hidden="false" name="Devex_Class" vbProcedure="false">Inputs!$G$85:$G$117</definedName>
    <definedName function="false" hidden="false" name="Devex_Date" vbProcedure="false">Inputs!$F$85:$F$117</definedName>
    <definedName function="false" hidden="false" name="Devex_Floor" vbProcedure="false">Inputs!$E$32</definedName>
    <definedName function="false" hidden="false" name="Devex_HUF" vbProcedure="false">Inputs!$E$85:$E$117</definedName>
    <definedName function="false" hidden="false" name="Discount_Rate" vbProcedure="false">Inputs!$E$77</definedName>
    <definedName function="false" hidden="false" name="DSA_Cap" vbProcedure="false">Inputs!$E$38</definedName>
    <definedName function="false" hidden="false" name="DSA_Rate" vbProcedure="false">Inputs!$E$37</definedName>
    <definedName function="false" hidden="false" name="First_Year" vbProcedure="false">Inputs!$E$78</definedName>
    <definedName function="false" hidden="false" name="Freeze_Date" vbProcedure="false">Inputs!$E$33</definedName>
    <definedName function="false" hidden="false" name="FX" vbProcedure="false">Inputs!$E$6</definedName>
    <definedName function="false" hidden="false" name="Gearing" vbProcedure="false">Inputs!$E$43</definedName>
    <definedName function="false" hidden="false" name="Grid_Charges" vbProcedure="false">Inputs!$E$70</definedName>
    <definedName function="false" hidden="false" name="HIPA_Rate" vbProcedure="false">Inputs!$E$72</definedName>
    <definedName function="false" hidden="false" name="Life" vbProcedure="false">Inputs!$E$76</definedName>
    <definedName function="false" hidden="false" name="Lump_Basis" vbProcedure="false">Inputs!$E$54</definedName>
    <definedName function="false" hidden="false" name="Master_Check" vbProcedure="false">Dashboard!$H$533</definedName>
    <definedName function="false" hidden="false" name="MEKH_Fee" vbProcedure="false">Inputs!$E$71</definedName>
    <definedName function="false" hidden="false" name="Months_In_Year" vbProcedure="false">Inputs!$E$81</definedName>
    <definedName function="false" hidden="false" name="Opex_Admin" vbProcedure="false">Inputs!$E$68</definedName>
    <definedName function="false" hidden="false" name="Opex_BoP" vbProcedure="false">Inputs!$E$63</definedName>
    <definedName function="false" hidden="false" name="Opex_Cont" vbProcedure="false">Inputs!$E$73</definedName>
    <definedName function="false" hidden="false" name="Opex_Esc" vbProcedure="false">Inputs!$E$74</definedName>
    <definedName function="false" hidden="false" name="Opex_Ins" vbProcedure="false">Inputs!$E$65</definedName>
    <definedName function="false" hidden="false" name="Opex_Lease" vbProcedure="false">Inputs!$E$64</definedName>
    <definedName function="false" hidden="false" name="Opex_Mgmt" vbProcedure="false">Inputs!$E$66</definedName>
    <definedName function="false" hidden="false" name="Opex_Per_MW" vbProcedure="false">Inputs!$E$63:$E$67</definedName>
    <definedName function="false" hidden="false" name="Opex_PropTax" vbProcedure="false">Inputs!$E$67</definedName>
    <definedName function="false" hidden="false" name="Osz1_Incl" vbProcedure="false">Inputs!$E$121:$M$121</definedName>
    <definedName function="false" hidden="false" name="Osz1_LB" vbProcedure="false">Inputs!$E$120:$M$120</definedName>
    <definedName function="false" hidden="false" name="Osz1_Pts" vbProcedure="false">Inputs!$E$122:$N$122</definedName>
    <definedName function="false" hidden="false" name="Osz1_W" vbProcedure="false">Inputs!$E$140</definedName>
    <definedName function="false" hidden="false" name="Osz2_Incl" vbProcedure="false">Inputs!$E$124:$O$124</definedName>
    <definedName function="false" hidden="false" name="Osz2_LB" vbProcedure="false">Inputs!$E$123:$O$123</definedName>
    <definedName function="false" hidden="false" name="Osz2_Pts" vbProcedure="false">Inputs!$E$125:$P$125</definedName>
    <definedName function="false" hidden="false" name="Osz2_W" vbProcedure="false">Inputs!$E$141</definedName>
    <definedName function="false" hidden="false" name="Osz3_Incl" vbProcedure="false">Inputs!$E$127:$N$127</definedName>
    <definedName function="false" hidden="false" name="Osz3_LB" vbProcedure="false">Inputs!$E$126:$N$126</definedName>
    <definedName function="false" hidden="false" name="Osz3_Pts" vbProcedure="false">Inputs!$E$128:$O$128</definedName>
    <definedName function="false" hidden="false" name="Osz3_W" vbProcedure="false">Inputs!$E$142</definedName>
    <definedName function="false" hidden="false" name="Osz4_Incl" vbProcedure="false">Inputs!$E$130:$N$130</definedName>
    <definedName function="false" hidden="false" name="Osz4_LB" vbProcedure="false">Inputs!$E$129:$N$129</definedName>
    <definedName function="false" hidden="false" name="Osz4_Pts" vbProcedure="false">Inputs!$E$131:$O$131</definedName>
    <definedName function="false" hidden="false" name="Osz4_W" vbProcedure="false">Inputs!$E$143</definedName>
    <definedName function="false" hidden="false" name="Osz5_Pts" vbProcedure="false">Inputs!$E$135</definedName>
    <definedName function="false" hidden="false" name="Osz5_W" vbProcedure="false">Inputs!$E$144</definedName>
    <definedName function="false" hidden="false" name="Osz6_Incl" vbProcedure="false">Inputs!$E$133:$N$133</definedName>
    <definedName function="false" hidden="false" name="Osz6_LB" vbProcedure="false">Inputs!$E$132:$N$132</definedName>
    <definedName function="false" hidden="false" name="Osz6_Pts" vbProcedure="false">Inputs!$E$134:$O$134</definedName>
    <definedName function="false" hidden="false" name="Osz6_W" vbProcedure="false">Inputs!$E$145</definedName>
    <definedName function="false" hidden="false" name="Osz7_Pts" vbProcedure="false">Inputs!$E$136</definedName>
    <definedName function="false" hidden="false" name="Osz7_W" vbProcedure="false">Inputs!$E$146</definedName>
    <definedName function="false" hidden="false" name="Osz8_Pts" vbProcedure="false">Inputs!$E$137</definedName>
    <definedName function="false" hidden="false" name="Osz8_W" vbProcedure="false">Inputs!$E$147</definedName>
    <definedName function="false" hidden="false" name="Osz9a_Pts" vbProcedure="false">Inputs!$E$138</definedName>
    <definedName function="false" hidden="false" name="Osz9b_Pts" vbProcedure="false">Inputs!$E$139</definedName>
    <definedName function="false" hidden="false" name="Osz9_W" vbProcedure="false">Inputs!$E$148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Inputs!$E$61</definedName>
    <definedName function="false" hidden="false" name="Rate_Cash" vbProcedure="false">Inputs!$E$30</definedName>
    <definedName function="false" hidden="false" name="Rate_Devex" vbProcedure="false">Inputs!$E$31</definedName>
    <definedName function="false" hidden="false" name="Sale_Costs" vbProcedure="false">Inputs!$E$36</definedName>
    <definedName function="false" hidden="false" name="Sale_Date" vbProcedure="false">Inputs!$E$34</definedName>
    <definedName function="false" hidden="false" name="Sale_Date_A" vbProcedure="false">Inputs!$E$35</definedName>
    <definedName function="false" hidden="false" name="Share_Exempt" vbProcedure="false">Inputs!$E$40</definedName>
    <definedName function="false" hidden="false" name="Subs_Lump" vbProcedure="false">Inputs!$E$53</definedName>
    <definedName function="false" hidden="false" name="Tax_Dep_Life" vbProcedure="false">Inputs!$E$42</definedName>
    <definedName function="false" hidden="false" name="Thousand" vbProcedure="false">Inputs!$E$79</definedName>
    <definedName function="false" hidden="false" name="Tolerance" vbProcedure="false">Inputs!$E$82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<sst xmlns="http://schemas.openxmlformats.org/spreadsheetml/2006/main" count="1496" uniqueCount="606">
  <si>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</si>
  <si>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</si>
  <si>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</si>
  <si>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</si>
  <si>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</si>
  <si>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</si>
  <si>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</si>
  <si>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</si>
  <si>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</si>
  <si>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</si>
  <si>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</si>
  <si>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</si>
  <si>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</si>
  <si>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</si>
  <si>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</si>
  <si>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</si>
  <si>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</si>
  <si>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</si>
  <si>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</si>
  <si>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</si>
  <si>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</si>
  <si>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</si>
  <si>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</si>
  <si>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</si>
  <si>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</si>
  <si>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</si>
  <si>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</si>
  <si>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</si>
  <si>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</si>
  <si>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</si>
  <si>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</si>
  <si>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JV with a developer (1 = yes; claims and DSA apply)</t>
  </si>
  <si>
    <t xml:space="preserve">Net P50 hours (project wind study)</t>
  </si>
  <si>
    <t xml:space="preserve">h/yr</t>
  </si>
  <si>
    <t xml:space="preserve">Case: turbine price, PPA, yield,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</si>
  <si>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</si>
  <si>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</si>
  <si>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</si>
  <si>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</si>
  <si>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</si>
  <si>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</si>
  <si>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</si>
  <si>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</si>
  <si>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</si>
  <si>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</si>
  <si>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</si>
  <si>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</si>
  <si>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</si>
  <si>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 (not used: project P50 in row 22)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</si>
  <si>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</si>
  <si>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</si>
  <si>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</si>
  <si>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</si>
  <si>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</si>
  <si>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</si>
  <si>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</si>
  <si>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</si>
  <si>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</si>
  <si>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</si>
  <si>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</si>
  <si>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</si>
  <si>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</si>
  <si>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</si>
  <si>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</si>
  <si>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</si>
  <si>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</si>
  <si>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</si>
  <si>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</si>
  <si>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</si>
  <si>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</si>
  <si>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</si>
  <si>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</si>
  <si>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</si>
  <si>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</si>
  <si>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</si>
  <si>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</si>
  <si>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</si>
  <si>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</si>
  <si>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</si>
  <si>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</si>
  <si>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 – development (devex items excl. land)</t>
  </si>
  <si>
    <t xml:space="preserve">DEVEX – land (reservation and purchase)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</si>
  <si>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</si>
  <si>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</si>
  <si>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</si>
  <si>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</si>
  <si>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</si>
  <si>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</si>
  <si>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land, development devex)</t>
  </si>
  <si>
    <t xml:space="preserve">FEP – sunk; recovered only via the claims at the sale</t>
  </si>
  <si>
    <t xml:space="preserve">Securities, returned (bid, performance, TSO connection request)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</si>
  <si>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</si>
  <si>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</si>
  <si>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</si>
  <si>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</si>
  <si>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A: FEP pre-funds everything</t>
  </si>
  <si>
    <t xml:space="preserve">Grid connection fees, share of the total</t>
  </si>
  <si>
    <t xml:space="preserve">FEP exposure if the buyer pays the grid connection fees</t>
  </si>
  <si>
    <t xml:space="preserve">Case B: FEP funds sunk fees, devex and securities only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</si>
  <si>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</si>
  <si>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</si>
  <si>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</si>
  <si>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</si>
  <si>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</si>
  <si>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</si>
  <si>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</si>
  <si>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</si>
  <si>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</si>
  <si>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</si>
  <si>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energy)</t>
  </si>
  <si>
    <t xml:space="preserve">Construction capex</t>
  </si>
  <si>
    <t xml:space="preserve">Connection fees (TSO security, direct, indirect)</t>
  </si>
  <si>
    <t xml:space="preserve">TSO connection-request security (returned)</t>
  </si>
  <si>
    <t xml:space="preserve">Bid security (returned)</t>
  </si>
  <si>
    <t xml:space="preserve">Performance security: 0 (returned)</t>
  </si>
  <si>
    <t xml:space="preserve">Municipal one-off</t>
  </si>
  <si>
    <t xml:space="preserve">Land</t>
  </si>
  <si>
    <t xml:space="preserve">Developer premium paid for the RtB project (150 k€/MVA × MVA; replaces FEP's devex, which the buyer does not bear)</t>
  </si>
  <si>
    <t xml:space="preserve">All-in cost to COD for a buyer (securities excluded: returned)</t>
  </si>
  <si>
    <t xml:space="preserve">All-in cost per MW built</t>
  </si>
  <si>
    <t xml:space="preserve">All-in cost per MVA</t>
  </si>
  <si>
    <t xml:space="preserve">Devex breakdown (BORA_Devex 02-Oct-26 items × the scale; tender fee and securities above)</t>
  </si>
  <si>
    <t xml:space="preserve">Development devex (incl. contingency)</t>
  </si>
  <si>
    <t xml:space="preserve">Devex total (= DEVEX lines above; devex items × scale)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</si>
  <si>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</si>
  <si>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</si>
  <si>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</si>
  <si>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</si>
  <si>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</si>
  <si>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post-tax</t>
  </si>
  <si>
    <t xml:space="preserve">MOIC, pre-tax</t>
  </si>
  <si>
    <t xml:space="preserve">IRR, pre-tax</t>
  </si>
  <si>
    <t xml:space="preserve">MOIC, post-tax</t>
  </si>
  <si>
    <t xml:space="preserve">IRR, post-tax</t>
  </si>
  <si>
    <t xml:space="preserve">RTB exit, Case B: FEP pre-funds the grid connection fees, buyer reimburses them at the sale</t>
  </si>
  <si>
    <t xml:space="preserve">COD exit (as the RtB buyer: pays the RtB price, securities and fees at the Case B sale, builds, sells at COD)</t>
  </si>
  <si>
    <t xml:space="preserve">Connection fees (direct, indirect; the TSO security is credited against the indirect fee)</t>
  </si>
  <si>
    <t xml:space="preserve">Development devex: 0 (FEP's cost, replaced by the RtB premium paid at the sale)</t>
  </si>
  <si>
    <t xml:space="preserve">RtB premium paid to FEP at the sale (150 k€/MVA × MVA)</t>
  </si>
  <si>
    <t xml:space="preserve">Total costs to COD (= all-in cost to COD for a buyer)</t>
  </si>
  <si>
    <t xml:space="preserve">Sale price at COD</t>
  </si>
  <si>
    <t xml:space="preserve">Buyer profit (sale price at COD less the costs above)</t>
  </si>
  <si>
    <t xml:space="preserve">Hold to maturity (as the RtB buyer; EBITDA, CIT 15 %, optional 60 % debt)</t>
  </si>
  <si>
    <t xml:space="preserve">Total capex and costs to COD (= all-in cost to COD for a buyer)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</si>
  <si>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</si>
  <si>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</si>
  <si>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</si>
  <si>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</si>
  <si>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</si>
  <si>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life, unlevered</t>
  </si>
  <si>
    <t xml:space="preserve">Project IRR, post-tax</t>
  </si>
  <si>
    <t xml:space="preserve">Debt drawn at COD (60 %)</t>
  </si>
  <si>
    <t xml:space="preserve">Equity IRR, post-tax (60 % debt)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</si>
  <si>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</si>
  <si>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</si>
  <si>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</si>
  <si>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</si>
  <si>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(RtB purchase, capex, fees, securities), net</t>
  </si>
  <si>
    <t xml:space="preserve">Revenue</t>
  </si>
  <si>
    <t xml:space="preserve">Opex</t>
  </si>
  <si>
    <t xml:space="preserve">EBITDA</t>
  </si>
  <si>
    <t xml:space="preserve">Net cash flow</t>
  </si>
  <si>
    <t xml:space="preserve">Net cash flow, post-tax</t>
  </si>
  <si>
    <t xml:space="preserve">Equity cash flow, post-tax (60 % debt)</t>
  </si>
  <si>
    <t xml:space="preserve">Cumulative net cash flow</t>
  </si>
  <si>
    <t xml:space="preserve">Spending (capex, fees, securities, devex), net</t>
  </si>
  <si>
    <t xml:space="preserve">Detailed calculations: claims, waterfall, dated flows, timelines, checks – expand the group</t>
  </si>
  <si>
    <t xml:space="preserve">RtB exit, Case B: FEP claims at the sale (interest to the freeze, act/365, capitalised 31-Dec)</t>
  </si>
  <si>
    <t xml:space="preserve">Interest accrual end (earlier of freeze and sale)</t>
  </si>
  <si>
    <t xml:space="preserve">date</t>
  </si>
  <si>
    <t xml:space="preserve">Accrual factor in the end year, cash rate</t>
  </si>
  <si>
    <t xml:space="preserve">Accrual factor in the end year, devex rate</t>
  </si>
  <si>
    <t xml:space="preserve">Days to the first 31-Dec from bid submission</t>
  </si>
  <si>
    <t xml:space="preserve">days</t>
  </si>
  <si>
    <t xml:space="preserve">Accrual factor from bid submission</t>
  </si>
  <si>
    <t xml:space="preserve">Days to the first 31-Dec from performance security posting</t>
  </si>
  <si>
    <t xml:space="preserve">Accrual factor from performance security posting</t>
  </si>
  <si>
    <t xml:space="preserve">Days to the first 31-Dec from TSO security payment</t>
  </si>
  <si>
    <t xml:space="preserve">Accrual factor from TSO security payment</t>
  </si>
  <si>
    <t xml:space="preserve">Days to the first 31-Dec from connection agreement (HCSSZ)</t>
  </si>
  <si>
    <t xml:space="preserve">Accrual factor from connection agreement (HCSSZ)</t>
  </si>
  <si>
    <t xml:space="preserve">Days to the first 31-Dec from land payment (amount-weighted)</t>
  </si>
  <si>
    <t xml:space="preserve">Accrual factor from land payment (amount-weighted)</t>
  </si>
  <si>
    <t xml:space="preserve">Days to the first 31-Dec from development devex payment (amount-weighted)</t>
  </si>
  <si>
    <t xml:space="preserve">Accrual factor from development devex payment (amount-weighted)</t>
  </si>
  <si>
    <t xml:space="preserve">Claim on FEP's shareholder loan (JV only): participation fee (not reimbursed)</t>
  </si>
  <si>
    <t xml:space="preserve">Claim on FEP's shareholder loan (JV only): bid security (cash)</t>
  </si>
  <si>
    <t xml:space="preserve">Claim on FEP's shareholder loan (JV only): performance security payable (cash)</t>
  </si>
  <si>
    <t xml:space="preserve">Claim on FEP's shareholder loan (JV only): TSO connection-request security</t>
  </si>
  <si>
    <t xml:space="preserve">Claim on FEP's shareholder loan (JV only): direct connection fee</t>
  </si>
  <si>
    <t xml:space="preserve">Claim on FEP's shareholder loan (JV only): indirect connection fee, payable</t>
  </si>
  <si>
    <t xml:space="preserve">Claim on FEP's shareholder loan (JV only): land, MAX(20 % accrued, 1× principal)</t>
  </si>
  <si>
    <t xml:space="preserve">Claim on FEP's shareholder loan (JV only): development devex, MAX(20 % accrued, 1× principal)</t>
  </si>
  <si>
    <t xml:space="preserve">Total FEP claims on its shareholder loans (JV only)</t>
  </si>
  <si>
    <t xml:space="preserve">Developer success fee due (DSA, capped)</t>
  </si>
  <si>
    <t xml:space="preserve">RtB exit, Case A: buyer pays the grid connection fees directly (FEP does not pre-fund them)</t>
  </si>
  <si>
    <t xml:space="preserve">Grid connection fees paid by the buyer at HCSSZ (direct + indirect, payable)</t>
  </si>
  <si>
    <t xml:space="preserve">Case A devex – land: items paid by sale A (devex file, unscaled)</t>
  </si>
  <si>
    <t xml:space="preserve">Case A devex – land: amount-weighted payment date</t>
  </si>
  <si>
    <t xml:space="preserve">Case A devex – land (× scale)</t>
  </si>
  <si>
    <t xml:space="preserve">Case A devex – development: items paid by sale A (devex file, unscaled)</t>
  </si>
  <si>
    <t xml:space="preserve">Case A devex – development: amount-weighted payment date</t>
  </si>
  <si>
    <t xml:space="preserve">Case A devex – development (× scale)</t>
  </si>
  <si>
    <t xml:space="preserve">FEP cash out to RtB, Case A (peak exposure)</t>
  </si>
  <si>
    <t xml:space="preserve">Case A: interest accrual end (earlier of freeze and sale A)</t>
  </si>
  <si>
    <t xml:space="preserve">Case A: start of the accrual end year</t>
  </si>
  <si>
    <t xml:space="preserve">Case A, from bid submission: factor in the payment year (if before the end year)</t>
  </si>
  <si>
    <t xml:space="preserve">Case A, from bid submission: factor in the end year (to the accrual end)</t>
  </si>
  <si>
    <t xml:space="preserve">Case A, from bid submission: accrual factor</t>
  </si>
  <si>
    <t xml:space="preserve">Case A, from performance security posting: factor in the payment year (if before the end year)</t>
  </si>
  <si>
    <t xml:space="preserve">Case A, from performance security posting: factor in the end year (to the accrual end)</t>
  </si>
  <si>
    <t xml:space="preserve">Case A, from performance security posting: accrual factor</t>
  </si>
  <si>
    <t xml:space="preserve">Case A, from TSO security payment: factor in the payment year (if before the end year)</t>
  </si>
  <si>
    <t xml:space="preserve">Case A, from TSO security payment: factor in the end year (to the accrual end)</t>
  </si>
  <si>
    <t xml:space="preserve">Case A, from TSO security payment: accrual factor</t>
  </si>
  <si>
    <t xml:space="preserve">Case A, from land payment (amount-weighted): factor in the payment year (if before the end year)</t>
  </si>
  <si>
    <t xml:space="preserve">Case A, from land payment (amount-weighted): factor in the end year (to the accrual end)</t>
  </si>
  <si>
    <t xml:space="preserve">Case A, from land payment (amount-weighted): accrual factor</t>
  </si>
  <si>
    <t xml:space="preserve">Case A, from development devex payment (amount-weighted): factor in the payment year (if before the end year)</t>
  </si>
  <si>
    <t xml:space="preserve">Case A, from development devex payment (amount-weighted): factor in the end year (to the accrual end)</t>
  </si>
  <si>
    <t xml:space="preserve">Case A, from development devex payment (amount-weighted): accrual factor</t>
  </si>
  <si>
    <t xml:space="preserve">Case A: claim on FEP's shareholder loan (JV only): participation fee (not reimbursed)</t>
  </si>
  <si>
    <t xml:space="preserve">Case A: claim on FEP's shareholder loan (JV only): bid security (cash)</t>
  </si>
  <si>
    <t xml:space="preserve">Case A: claim on FEP's shareholder loan (JV only): performance security payable (cash)</t>
  </si>
  <si>
    <t xml:space="preserve">Case A: claim on FEP's shareholder loan (JV only): TSO connection-request security</t>
  </si>
  <si>
    <t xml:space="preserve">Case A: claim on FEP's shareholder loan (JV only): land, MAX(20 % accrued, 1× principal)</t>
  </si>
  <si>
    <t xml:space="preserve">Case A: claim on FEP's shareholder loan (JV only): development devex, MAX(20 % accrued, 1× principal)</t>
  </si>
  <si>
    <t xml:space="preserve">Total FEP claims on its shareholder loans, Case A (JV only; no connection-fee claims)</t>
  </si>
  <si>
    <t xml:space="preserve">Case A: developer success fee due (DSA to sale A, capped)</t>
  </si>
  <si>
    <t xml:space="preserve">Waterfall at the sale, Case A</t>
  </si>
  <si>
    <t xml:space="preserve">Buyer reimburses securities at cost (no connection fees to reimburse)</t>
  </si>
  <si>
    <t xml:space="preserve">Buyer pays the land at cost (on top of the premium)</t>
  </si>
  <si>
    <t xml:space="preserve">Total proceeds</t>
  </si>
  <si>
    <t xml:space="preserve">Less sale costs</t>
  </si>
  <si>
    <t xml:space="preserve">Less securities repaid to FEP</t>
  </si>
  <si>
    <t xml:space="preserve">Less land repaid to FEP at cost</t>
  </si>
  <si>
    <t xml:space="preserve">Less FEP claims at 12 % on FEP's shareholder loan (JV only)</t>
  </si>
  <si>
    <t xml:space="preserve">Less FEP land and devex return on FEP's shareholder loan (JV only)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</si>
  <si>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</si>
  <si>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</si>
  <si>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</si>
  <si>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</si>
  <si>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profit, Case A (at sale A): what the buyer pays, less deductions</t>
  </si>
  <si>
    <t xml:space="preserve">Date: Bora</t>
  </si>
  <si>
    <t xml:space="preserve">RtB premium paid by the buyer (150 k EUR/MVA × MVA)</t>
  </si>
  <si>
    <t xml:space="preserve">Land: 0 (bought by the RtB buyer at cost; FEP's land outlay is repaid, not deducted)</t>
  </si>
  <si>
    <t xml:space="preserve">Bid security: 0 (paid back to FEP at the sale)</t>
  </si>
  <si>
    <t xml:space="preserve">Performance security: 0 (paid back to FEP at the sale)</t>
  </si>
  <si>
    <t xml:space="preserve">Less: sale costs</t>
  </si>
  <si>
    <t xml:space="preserve">Less: developer success fee (DSA)</t>
  </si>
  <si>
    <t xml:space="preserve">Less: developer share of distributable proceeds</t>
  </si>
  <si>
    <t xml:space="preserve">FEP claims at 12 % on FEP's shareholder loan (interest, JV only)</t>
  </si>
  <si>
    <t xml:space="preserve">FEP land and devex return on FEP's shareholder loan (JV only)</t>
  </si>
  <si>
    <t xml:space="preserve">FEP receipts at sale A (claims + return + FEP share)</t>
  </si>
  <si>
    <t xml:space="preserve">Less: signing fee and DD, Exit fees</t>
  </si>
  <si>
    <t xml:space="preserve">Less: participation fee (not reimbursed)</t>
  </si>
  <si>
    <t xml:space="preserve">Less: development devex</t>
  </si>
  <si>
    <t xml:space="preserve">FEP profit, pre-tax</t>
  </si>
  <si>
    <t xml:space="preserve">CIT on the exit gain (0 while the participation exemption flag is on)</t>
  </si>
  <si>
    <t xml:space="preserve">CIT on the interest of FEP's shareholder loans (JV only; 15 %, paid yearly as capitalised)</t>
  </si>
  <si>
    <t xml:space="preserve">MOIC, pre-tax (dated cash flows below)</t>
  </si>
  <si>
    <t xml:space="preserve">IRR, pre-tax (dated cash flows below)</t>
  </si>
  <si>
    <t xml:space="preserve">Memo: pre-tax profit vs Case B (connection-fee claims no longer earned, FEP share)</t>
  </si>
  <si>
    <t xml:space="preserve">Memo: FEP dated cash flows, Case A, for MOIC and IRR (securities are paid and repaid at cost: net zero, excluded from the profit above)</t>
  </si>
  <si>
    <t xml:space="preserve">Factor to the first 31-Dec: Bora</t>
  </si>
  <si>
    <t xml:space="preserve">Factor to the first 31-Dec: Iváncsa</t>
  </si>
  <si>
    <t xml:space="preserve">Factor to the first 31-Dec: Dunaújváros</t>
  </si>
  <si>
    <t xml:space="preserve">Performance security payable</t>
  </si>
  <si>
    <t xml:space="preserve">Development devex</t>
  </si>
  <si>
    <t xml:space="preserve">FEP receipts at sale A (receipts above + securities and land repaid)</t>
  </si>
  <si>
    <t xml:space="preserve">CIT on the interest capitalised at 31-Dec-2026</t>
  </si>
  <si>
    <t xml:space="preserve">CIT on the interest capitalised at 31-Dec-2027</t>
  </si>
  <si>
    <t xml:space="preserve">CIT on the interest capitalised at 31-Dec-2028</t>
  </si>
  <si>
    <t xml:space="preserve">CIT on the rest at the sale (stub to the accrual end, devex floor top-up)</t>
  </si>
  <si>
    <t xml:space="preserve">MOIC, post-tax (dated cash flows incl. the CIT rows)</t>
  </si>
  <si>
    <t xml:space="preserve">IRR, post-tax (dated cash flows incl. the CIT rows)</t>
  </si>
  <si>
    <t xml:space="preserve">RtB exit, Case B: waterfall at the sale</t>
  </si>
  <si>
    <t xml:space="preserve">Buyer reimburses securities and connection fees at cost</t>
  </si>
  <si>
    <t xml:space="preserve">Less securities and fees repaid to FEP</t>
  </si>
  <si>
    <t xml:space="preserve">FEP profit, Case B (at the sale): what the buyer pays, less deductions</t>
  </si>
  <si>
    <t xml:space="preserve">FEP receipts at the sale (claims + return + FEP share)</t>
  </si>
  <si>
    <t xml:space="preserve">Memo: FEP dated cash flows, Case B, for MOIC and IRR (securities and connection fees are paid and repaid at cost: net zero, excluded from the profit above)</t>
  </si>
  <si>
    <t xml:space="preserve">Direct connection fee</t>
  </si>
  <si>
    <t xml:space="preserve">Indirect connection fee, payable</t>
  </si>
  <si>
    <t xml:space="preserve">FEP receipts at the sale (receipts above + securities, fees and land repaid)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</si>
  <si>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</si>
  <si>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</si>
  <si>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</si>
  <si>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</si>
  <si>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</si>
  <si>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</si>
  <si>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</si>
  <si>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</si>
  <si>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</si>
  <si>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</si>
  <si>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</si>
  <si>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</si>
  <si>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Buyer pays at the Case B sale: RtB premium, land at cost, securities and connection fees reimbursed to FEP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</si>
  <si>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</si>
  <si>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</si>
  <si>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</si>
  <si>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</si>
  <si>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</si>
  <si>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</si>
  <si>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</si>
  <si>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</si>
  <si>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</si>
  <si>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</si>
  <si>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</si>
  <si>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</si>
  <si>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</si>
  <si>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</si>
  <si>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</si>
  <si>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</si>
  <si>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</si>
  <si>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</si>
  <si>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(straight line on the all-in cost from the COD year)</t>
  </si>
  <si>
    <t xml:space="preserve">CIT, unlevered (no loss carry-forward)</t>
  </si>
  <si>
    <t xml:space="preserve">Unlevered post-tax cash flow</t>
  </si>
  <si>
    <t xml:space="preserve">Debt drawn at COD (gearing × all-in cost; no interest during construction)</t>
  </si>
  <si>
    <t xml:space="preserve">Debt service, annuity (interest + principal; paid, shown positive)</t>
  </si>
  <si>
    <t xml:space="preserve">Interest (on the opening balance)</t>
  </si>
  <si>
    <t xml:space="preserve">Principal repaid (annuity − interest)</t>
  </si>
  <si>
    <t xml:space="preserve">Debt balance, closing</t>
  </si>
  <si>
    <t xml:space="preserve">CIT, levered (interest deductible; no loss carry-forward)</t>
  </si>
  <si>
    <t xml:space="preserve">DSCR (EBITDA ÷ debt service)</t>
  </si>
  <si>
    <t xml:space="preserve">Discount factor to COD (buyer's rate)</t>
  </si>
  <si>
    <t xml:space="preserve">EBITDA valued at COD (total = COD price)</t>
  </si>
  <si>
    <t xml:space="preserve">RtB price: 0 (now in the sale-year payment above)</t>
  </si>
  <si>
    <t xml:space="preserve">COD exit: buyer's cash flow (to COD, price and securities at COD)</t>
  </si>
  <si>
    <t xml:space="preserve">FEP shareholder loans to the JV (RtB cases): balance at 31-Dec and interest capitalised, taxed yearly</t>
  </si>
  <si>
    <t xml:space="preserve">Case B: loan balance at 31-Dec, cash lines (12 %)</t>
  </si>
  <si>
    <t xml:space="preserve">Case B: loan balance at 31-Dec, land and devex (20 %)</t>
  </si>
  <si>
    <t xml:space="preserve">Case B: loans drawn in the year</t>
  </si>
  <si>
    <t xml:space="preserve">Case B: interest capitalised in the year (taxable at FEP)</t>
  </si>
  <si>
    <t xml:space="preserve">Case A: loan balance at 31-Dec, cash lines (12 %)</t>
  </si>
  <si>
    <t xml:space="preserve">Case A: loan balance at 31-Dec, land and devex (20 %)</t>
  </si>
  <si>
    <t xml:space="preserve">Case A: loans drawn in the year</t>
  </si>
  <si>
    <t xml:space="preserve">Case A: interest capitalised in the year (taxable at FEP)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</si>
  <si>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</si>
  <si>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</si>
  <si>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</si>
  <si>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Buyer profit, post-tax</t>
  </si>
  <si>
    <t xml:space="preserve">Checks (0 = OK)</t>
  </si>
  <si>
    <t xml:space="preserve">Case B waterfall closes (proceeds = all amounts paid out)</t>
  </si>
  <si>
    <t xml:space="preserve">Claim lines paid before the accrual end year</t>
  </si>
  <si>
    <t xml:space="preserve">Turbine route is EU or CN</t>
  </si>
  <si>
    <t xml:space="preserve">Devex items × scale = project devex (land + development)</t>
  </si>
  <si>
    <t xml:space="preserve">Construction capex spread in full (timeline = capex)</t>
  </si>
  <si>
    <t xml:space="preserve">Investment cash flows = all-in cost to COD for a buyer (RtB price, capex, fees, municipal, land)</t>
  </si>
  <si>
    <t xml:space="preserve">Operating life inside the timeline</t>
  </si>
  <si>
    <t xml:space="preserve">Sale date A before the HCSSZ date (Case A exits before the connection fees)</t>
  </si>
  <si>
    <t xml:space="preserve">COD cost stack = timeline investment flows</t>
  </si>
  <si>
    <t xml:space="preserve">Case A waterfall closes (proceeds = all amounts paid out)</t>
  </si>
  <si>
    <t xml:space="preserve">Debt repaid by the end of the tenor (closing balance in the last timeline year = 0)</t>
  </si>
  <si>
    <t xml:space="preserve">RtB loan CIT: the rest taxed at the sale is ≤ 0 (yearly schedule does not over-accrue), Case B + Case A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</si>
  <si>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</si>
  <si>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</si>
  <si>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</si>
  <si>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</si>
  <si>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</si>
  <si>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</si>
  <si>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</si>
  <si>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</si>
  <si>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</si>
  <si>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</si>
  <si>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</si>
  <si>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</si>
  <si>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</si>
  <si>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</si>
  <si>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</si>
  <si>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</si>
  <si>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</si>
  <si>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</si>
  <si>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</si>
  <si>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</si>
  <si>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</si>
  <si>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</si>
  <si>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</si>
  <si>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</si>
  <si>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</si>
  <si>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</si>
  <si>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</si>
  <si>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</si>
  <si>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</si>
  <si>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</si>
  <si>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</si>
  <si>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Bora E24+E25: 400 × 50/200; Bid_Cash E55</t>
  </si>
  <si>
    <t xml:space="preserve">Devex scale (bid MVA ÷ 200 MVA of the devex file)</t>
  </si>
  <si>
    <t xml:space="preserve">SPEC §26.2: 50/200; 1 = the full devex file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</si>
  <si>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</si>
  <si>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</si>
  <si>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</si>
  <si>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</si>
  <si>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</si>
  <si>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</si>
  <si>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</si>
  <si>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</si>
  <si>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</si>
  <si>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</si>
  <si>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</si>
  <si>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</si>
  <si>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</si>
  <si>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</si>
  <si>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</si>
  <si>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</si>
  <si>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</si>
  <si>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</si>
  <si>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</si>
  <si>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</si>
  <si>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</si>
  <si>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</si>
  <si>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</si>
  <si>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</si>
  <si>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</si>
  <si>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</si>
  <si>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</si>
  <si>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</si>
  <si>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</si>
  <si>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date, Case B (RtB exit after HCSSZ)</t>
  </si>
  <si>
    <t xml:space="preserve">Bora Inputs E58; SPEC §21.1</t>
  </si>
  <si>
    <t xml:space="preserve">Sale date, Case A (before HCSSZ)</t>
  </si>
  <si>
    <t xml:space="preserve">SPEC §25.2 (user, 28-Oct-2026)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</si>
  <si>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</si>
  <si>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</si>
  <si>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</si>
  <si>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</si>
  <si>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</si>
  <si>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</si>
  <si>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(operating profit; exit gains)</t>
  </si>
  <si>
    <t xml:space="preserve">SPEC §27 (exits exempt by the flag below)</t>
  </si>
  <si>
    <t xml:space="preserve">Share deal, participation exemption on the share gain (1 = on); claims taxed as interest</t>
  </si>
  <si>
    <t xml:space="preserve">Tax and debt (hold case)</t>
  </si>
  <si>
    <t xml:space="preserve">Tax depreciation life (straight line on the all-in cost to COD, from the COD year)</t>
  </si>
  <si>
    <t xml:space="preserve">HU CIT Act Annex 2, 5 % p.a. power plants – to confirm</t>
  </si>
  <si>
    <t xml:space="preserve">Gearing (debt ÷ all-in cost to COD)</t>
  </si>
  <si>
    <t xml:space="preserve">user, 27-Oct-2026</t>
  </si>
  <si>
    <t xml:space="preserve">Debt interest rate</t>
  </si>
  <si>
    <t xml:space="preserve">Bora model Inputs G220</t>
  </si>
  <si>
    <t xml:space="preserve">Debt tenor (annuity from the first full operating year)</t>
  </si>
  <si>
    <t xml:space="preserve">Bora model Inputs G222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</si>
  <si>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</si>
  <si>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</si>
  <si>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</si>
  <si>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</si>
  <si>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</si>
  <si>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</si>
  <si>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</si>
  <si>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Land is in the devex (Inputs rows 80, 81, 110) and bought by the buyer at cost; 0 so it is not counted twice (v3)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</si>
  <si>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</si>
  <si>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</si>
  <si>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</si>
  <si>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</si>
  <si>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</si>
  <si>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</si>
  <si>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</si>
  <si>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</si>
  <si>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</si>
  <si>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</si>
  <si>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</si>
  <si>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</si>
  <si>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</si>
  <si>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</si>
  <si>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</si>
  <si>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</si>
  <si>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</si>
  <si>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</si>
  <si>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</si>
  <si>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</si>
  <si>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</si>
  <si>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</si>
  <si>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</si>
  <si>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</si>
  <si>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</si>
  <si>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</si>
  <si>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</si>
  <si>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</si>
  <si>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</si>
  <si>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</si>
  <si>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</si>
  <si>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</si>
  <si>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</si>
  <si>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</si>
  <si>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</si>
  <si>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</si>
  <si>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</si>
  <si>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</si>
  <si>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</si>
  <si>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</si>
  <si>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</si>
  <si>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</si>
  <si>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</si>
  <si>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</si>
  <si>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</si>
  <si>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</si>
  <si>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</si>
  <si>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pre-tax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</si>
  <si>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</si>
  <si>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</si>
  <si>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</si>
  <si>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</si>
  <si>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</si>
  <si>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</si>
  <si>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Months in a year</t>
  </si>
  <si>
    <t xml:space="preserve">Check tolerance</t>
  </si>
  <si>
    <t xml:space="preserve">Devex items (BORA_Devex 02-Oct-26; all projects × the scale): HUF | date | class</t>
  </si>
  <si>
    <t xml:space="preserve">Capacity allocation process - Awarding – Land reservation fee</t>
  </si>
  <si>
    <t xml:space="preserve">BORA_Devex 02-Oct-26 row 14</t>
  </si>
  <si>
    <t xml:space="preserve">Capacity allocation process - Awarding – Land purchase price</t>
  </si>
  <si>
    <t xml:space="preserve">BORA_Devex 02-Oct-26 row 15</t>
  </si>
  <si>
    <t xml:space="preserve">Grid connection plan – Design fee</t>
  </si>
  <si>
    <t xml:space="preserve">Devex</t>
  </si>
  <si>
    <t xml:space="preserve">BORA_Devex 02-Oct-26 row 16</t>
  </si>
  <si>
    <t xml:space="preserve">Grid connection plan – Administrative fee</t>
  </si>
  <si>
    <t xml:space="preserve">BORA_Devex 02-Oct-26 row 17</t>
  </si>
  <si>
    <t xml:space="preserve">Land contracting (additional land) – Legal fee, agent fee</t>
  </si>
  <si>
    <t xml:space="preserve">BORA_Devex 02-Oct-26 row 20</t>
  </si>
  <si>
    <t xml:space="preserve">Wind measurement – Met Masts</t>
  </si>
  <si>
    <t xml:space="preserve">BORA_Devex 02-Oct-26 row 21</t>
  </si>
  <si>
    <t xml:space="preserve">Wind measurement – Design fee</t>
  </si>
  <si>
    <t xml:space="preserve">BORA_Devex 02-Oct-26 row 22</t>
  </si>
  <si>
    <t xml:space="preserve">Wind measurement – EYA</t>
  </si>
  <si>
    <t xml:space="preserve">BORA_Devex 02-Oct-26 row 23</t>
  </si>
  <si>
    <t xml:space="preserve">Land reclassification – Administrative fee</t>
  </si>
  <si>
    <t xml:space="preserve">BORA_Devex 02-Oct-26 row 24</t>
  </si>
  <si>
    <t xml:space="preserve">Land reclassification – Report fee</t>
  </si>
  <si>
    <t xml:space="preserve">BORA_Devex 02-Oct-26 row 25</t>
  </si>
  <si>
    <t xml:space="preserve">Zoning plan modification – Design fee</t>
  </si>
  <si>
    <t xml:space="preserve">BORA_Devex 02-Oct-26 row 26</t>
  </si>
  <si>
    <t xml:space="preserve">Municipality donation – Donation</t>
  </si>
  <si>
    <t xml:space="preserve">BORA_Devex 02-Oct-26 row 27</t>
  </si>
  <si>
    <t xml:space="preserve">Environmental assessment – Bird-bat monitoring</t>
  </si>
  <si>
    <t xml:space="preserve">BORA_Devex 02-Oct-26 row 28</t>
  </si>
  <si>
    <t xml:space="preserve">Environmental assessment – Administrative fee</t>
  </si>
  <si>
    <t xml:space="preserve">BORA_Devex 02-Oct-26 row 29</t>
  </si>
  <si>
    <t xml:space="preserve">Environmental assessment – Assessment fee</t>
  </si>
  <si>
    <t xml:space="preserve">BORA_Devex 02-Oct-26 row 30</t>
  </si>
  <si>
    <t xml:space="preserve">Other project development – Geotechnical assessment fee</t>
  </si>
  <si>
    <t xml:space="preserve">BORA_Devex 02-Oct-26 row 31</t>
  </si>
  <si>
    <t xml:space="preserve">Other project development – Archaeological</t>
  </si>
  <si>
    <t xml:space="preserve">BORA_Devex 02-Oct-26 row 32</t>
  </si>
  <si>
    <t xml:space="preserve">Other project development – Topography</t>
  </si>
  <si>
    <t xml:space="preserve">BORA_Devex 02-Oct-26 row 33</t>
  </si>
  <si>
    <t xml:space="preserve">Building permit - Turbines – Administrative fee</t>
  </si>
  <si>
    <t xml:space="preserve">BORA_Devex 02-Oct-26 row 34</t>
  </si>
  <si>
    <t xml:space="preserve">Building permit - Turbines – Design fee</t>
  </si>
  <si>
    <t xml:space="preserve">BORA_Devex 02-Oct-26 row 35</t>
  </si>
  <si>
    <t xml:space="preserve">Cable right – Administrative fee</t>
  </si>
  <si>
    <t xml:space="preserve">BORA_Devex 02-Oct-26 row 36</t>
  </si>
  <si>
    <t xml:space="preserve">Cable right – Design fee</t>
  </si>
  <si>
    <t xml:space="preserve">BORA_Devex 02-Oct-26 row 37</t>
  </si>
  <si>
    <t xml:space="preserve">Cable right – Compensation</t>
  </si>
  <si>
    <t xml:space="preserve">BORA_Devex 02-Oct-26 row 38</t>
  </si>
  <si>
    <t xml:space="preserve">Building permit - Substation, switching station – Administrative fee</t>
  </si>
  <si>
    <t xml:space="preserve">BORA_Devex 02-Oct-26 row 39</t>
  </si>
  <si>
    <t xml:space="preserve">Building permit - Substation, switching station – Design fee</t>
  </si>
  <si>
    <t xml:space="preserve">BORA_Devex 02-Oct-26 row 40</t>
  </si>
  <si>
    <t xml:space="preserve">Building permit - BESS – Administrative fee</t>
  </si>
  <si>
    <t xml:space="preserve">BORA_Devex 02-Oct-26 row 41</t>
  </si>
  <si>
    <t xml:space="preserve">Building permit - BESS – Design fee</t>
  </si>
  <si>
    <t xml:space="preserve">BORA_Devex 02-Oct-26 row 42</t>
  </si>
  <si>
    <t xml:space="preserve">HEPURA permit – Administrative fee</t>
  </si>
  <si>
    <t xml:space="preserve">BORA_Devex 02-Oct-26 row 43</t>
  </si>
  <si>
    <t xml:space="preserve">HEPURA permit – Report fee</t>
  </si>
  <si>
    <t xml:space="preserve">BORA_Devex 02-Oct-26 row 44</t>
  </si>
  <si>
    <t xml:space="preserve">Legal costs – Legal costs</t>
  </si>
  <si>
    <t xml:space="preserve">BORA_Devex 02-Oct-26 row 45; continuous: 31-Dec-27</t>
  </si>
  <si>
    <t xml:space="preserve">Financial costs – Financial costs</t>
  </si>
  <si>
    <t xml:space="preserve">BORA_Devex 02-Oct-26 row 46; continuous: 31-Dec-27</t>
  </si>
  <si>
    <t xml:space="preserve">RtB – Land purchase price</t>
  </si>
  <si>
    <t xml:space="preserve">BORA_Devex 02-Oct-26 row 47</t>
  </si>
  <si>
    <t xml:space="preserve">Contingency – Contingency</t>
  </si>
  <si>
    <t xml:space="preserve">BORA_Devex 02-Oct-26 row 48; continuous: 31-Dec-27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</si>
  <si>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</si>
  <si>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</si>
  <si>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</si>
  <si>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</si>
  <si>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</si>
  <si>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</si>
  <si>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</si>
  <si>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</si>
  <si>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</si>
  <si>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</si>
  <si>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</si>
  <si>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Osz4_LB</t>
  </si>
  <si>
    <t xml:space="preserve">Osz4_Incl</t>
  </si>
  <si>
    <t xml:space="preserve">Osz4_Pts</t>
  </si>
  <si>
    <t xml:space="preserve">Kiírás Annex 4, ÖSZ-4: 2&lt;x&lt;5:10 … 40≤x&lt;50:90, 50&lt;x:100 (x = 50 % not defined; scored 90)</t>
  </si>
  <si>
    <t xml:space="preserve">Osz6_LB</t>
  </si>
  <si>
    <t xml:space="preserve">Osz6_Incl</t>
  </si>
  <si>
    <t xml:space="preserve">Kiírás Annex 4, ÖSZ-6: 100 pts only if x &gt; 200 % (strict); 190≤x&lt;200: 90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</si>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</sst>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#,##0"/>
    <numFmt numFmtId="172" formatCode="d\-mmm\-yy"/>
    <numFmt numFmtId="173" formatCode="0.0%"/>
    <numFmt numFmtId="174" formatCode="0.0000"/>
    <numFmt numFmtId="175" formatCode="_(* #,##0.00_);_(* \(#,##0.00\);_(* \-??_);_(@_)"/>
    <numFmt numFmtId="176" formatCode="_-* #,##0.00_-;\-* #,##0.00_-;_-* \-??_-;_-@_-"/>
    <numFmt numFmtId="177" formatCode="#,##0.00;\(#,##0.00\);\–"/>
    <numFmt numFmtId="178" formatCode="0;\-0;\–"/>
    <numFmt numFmtId="179" formatCode="0.000;\(0.000\);\–"/>
    <numFmt numFmtId="180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b val="true"/>
      <i val="true"/>
      <sz val="10"/>
      <color rgb="FF808080"/>
      <name val="Aptos Narrow"/>
      <family val="0"/>
      <charset val="1"/>
    </font>
    <font>
      <sz val="10"/>
      <color rgb="FF808080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sz val="10"/>
      <name val="Arial"/>
      <family val="0"/>
      <charset val="1"/>
    </font>
    <font>
      <b val="true"/>
      <sz val="10"/>
      <color rgb="FF808080"/>
      <name val="Aptos Narro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rgb="FFE6F4EC"/>
        <bgColor rgb="FFF2F2F2"/>
      </patternFill>
    </fill>
    <fill>
      <patternFill patternType="solid">
        <fgColor theme="0" tint="-0.05"/>
        <bgColor rgb="FFE6F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ADA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S535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E128" activeCellId="0" sqref="E128"/>
    </sheetView>
  </sheetViews>
  <sheetFormatPr defaultColWidth="8.6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5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fals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0.2</v>
      </c>
      <c r="F7" s="9" t="n">
        <v>0.4</v>
      </c>
      <c r="G7" s="9" t="n">
        <v>0.4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0.1</v>
      </c>
      <c r="F8" s="9" t="n">
        <v>0.2</v>
      </c>
      <c r="G8" s="9" t="n">
        <v>0.2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0.1</v>
      </c>
      <c r="F10" s="9" t="n">
        <v>0.1</v>
      </c>
      <c r="G10" s="9" t="n">
        <v>0.1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1" customFormat="false" ht="14.25" hidden="false" customHeight="false" outlineLevel="0" collapsed="false">
      <c r="C21" s="6" t="s">
        <v>31</v>
      </c>
      <c r="D21" s="2" t="s">
        <v>2</v>
      </c>
      <c r="E21" s="11" t="n">
        <v>1</v>
      </c>
      <c r="F21" s="11" t="n">
        <v>0</v>
      </c>
      <c r="G21" s="11" t="n">
        <v>0</v>
      </c>
    </row>
    <row r="22" customFormat="false" ht="14.25" hidden="false" customHeight="false" outlineLevel="0" collapsed="false">
      <c r="C22" s="6" t="s">
        <v>32</v>
      </c>
      <c r="D22" s="2" t="s">
        <v>33</v>
      </c>
      <c r="E22" s="14" t="n">
        <v>2500</v>
      </c>
      <c r="F22" s="14" t="n">
        <v>2500</v>
      </c>
      <c r="G22" s="14" t="n">
        <v>2500</v>
      </c>
    </row>
    <row r="24" customFormat="false" ht="14.25" hidden="false" customHeight="false" outlineLevel="0" collapsed="false">
      <c r="B24" s="4" t="s">
        <v>3</v>
      </c>
      <c r="C24" s="4" t="s">
        <v>34</v>
      </c>
      <c r="D24" s="4"/>
      <c r="E24" s="5" t="s">
        <v>35</v>
      </c>
      <c r="F24" s="5" t="s">
        <v>36</v>
      </c>
      <c r="G24" s="5" t="s">
        <v>37</v>
      </c>
      <c r="H24" s="5" t="s">
        <v>38</v>
      </c>
    </row>
    <row r="25" customFormat="false" ht="14.25" hidden="false" customHeight="false" outlineLevel="0" collapsed="false">
      <c r="C25" s="1" t="s">
        <v>39</v>
      </c>
      <c r="D25" s="2" t="s">
        <v>40</v>
      </c>
      <c r="H25" s="13" t="s">
        <v>35</v>
      </c>
    </row>
    <row r="26" customFormat="false" ht="14.25" hidden="false" customHeight="false" outlineLevel="0" collapsed="false">
      <c r="C26" s="6" t="s">
        <v>41</v>
      </c>
      <c r="D26" s="2" t="s">
        <v>42</v>
      </c>
      <c r="E26" s="7" t="n">
        <v>850</v>
      </c>
      <c r="F26" s="7" t="n">
        <v>950</v>
      </c>
      <c r="G26" s="7" t="n">
        <v>800</v>
      </c>
      <c r="H26" s="15" t="n">
        <f aca="false">INDEX(E26:G26,MATCH(Dash_Case,$E$24:$G$24,0))</f>
        <v>850</v>
      </c>
      <c r="J26" s="2" t="s">
        <v>43</v>
      </c>
    </row>
    <row r="27" customFormat="false" ht="14.25" hidden="false" customHeight="false" outlineLevel="0" collapsed="false">
      <c r="C27" s="6" t="s">
        <v>44</v>
      </c>
      <c r="D27" s="2" t="s">
        <v>42</v>
      </c>
      <c r="E27" s="7" t="n">
        <v>500</v>
      </c>
      <c r="F27" s="7" t="n">
        <v>600</v>
      </c>
      <c r="G27" s="7" t="n">
        <v>480</v>
      </c>
      <c r="H27" s="15" t="n">
        <f aca="false">INDEX(E27:G27,MATCH(Dash_Case,$E$24:$G$24,0))</f>
        <v>500</v>
      </c>
      <c r="J27" s="2" t="s">
        <v>45</v>
      </c>
    </row>
    <row r="28" customFormat="false" ht="14.25" hidden="false" customHeight="false" outlineLevel="0" collapsed="false">
      <c r="C28" s="6" t="s">
        <v>46</v>
      </c>
      <c r="D28" s="2" t="s">
        <v>20</v>
      </c>
      <c r="E28" s="10" t="n">
        <v>90</v>
      </c>
      <c r="F28" s="10" t="n">
        <v>90</v>
      </c>
      <c r="G28" s="10" t="n">
        <v>100</v>
      </c>
      <c r="H28" s="16" t="n">
        <f aca="false">INDEX(E28:G28,MATCH(Dash_Case,$E$24:$G$24,0))</f>
        <v>90</v>
      </c>
      <c r="J28" s="2" t="s">
        <v>47</v>
      </c>
    </row>
    <row r="29" customFormat="false" ht="14.25" hidden="false" customHeight="false" outlineLevel="0" collapsed="false">
      <c r="C29" s="6" t="s">
        <v>48</v>
      </c>
      <c r="D29" s="2" t="s">
        <v>33</v>
      </c>
      <c r="E29" s="7" t="n">
        <v>2400</v>
      </c>
      <c r="F29" s="7" t="n">
        <v>2350</v>
      </c>
      <c r="G29" s="7" t="n">
        <v>2500</v>
      </c>
      <c r="H29" s="15" t="n">
        <f aca="false">INDEX(E29:G29,MATCH(Dash_Case,$E$24:$G$24,0))</f>
        <v>2400</v>
      </c>
      <c r="J29" s="2" t="s">
        <v>49</v>
      </c>
    </row>
    <row r="30" customFormat="false" ht="14.25" hidden="false" customHeight="false" outlineLevel="0" collapsed="false">
      <c r="C30" s="6" t="s">
        <v>50</v>
      </c>
      <c r="D30" s="2" t="s">
        <v>51</v>
      </c>
      <c r="E30" s="10" t="n">
        <v>12</v>
      </c>
      <c r="F30" s="10" t="n">
        <v>12</v>
      </c>
      <c r="G30" s="10" t="n">
        <v>10</v>
      </c>
      <c r="H30" s="16" t="n">
        <f aca="false">INDEX(E30:G30,MATCH(Dash_Case,$E$24:$G$24,0))</f>
        <v>12</v>
      </c>
      <c r="J30" s="2" t="s">
        <v>52</v>
      </c>
    </row>
    <row r="32" customFormat="false" ht="14.25" hidden="false" customHeight="false" outlineLevel="0" collapsed="false">
      <c r="B32" s="4" t="s">
        <v>3</v>
      </c>
      <c r="C32" s="4" t="s">
        <v>53</v>
      </c>
      <c r="D32" s="4"/>
      <c r="E32" s="5" t="s">
        <v>5</v>
      </c>
      <c r="F32" s="5" t="s">
        <v>6</v>
      </c>
      <c r="G32" s="5" t="s">
        <v>7</v>
      </c>
      <c r="H32" s="5" t="s">
        <v>8</v>
      </c>
    </row>
    <row r="33" customFormat="false" ht="14.25" hidden="false" customHeight="false" outlineLevel="0" collapsed="false">
      <c r="C33" s="6" t="s">
        <v>54</v>
      </c>
      <c r="D33" s="2" t="s">
        <v>55</v>
      </c>
      <c r="E33" s="17" t="n">
        <f aca="false">INDEX(Osz1_Pts,1+SUMPRODUCT((Osz1_LB&lt;E11)+(Osz1_LB=E11)*Osz1_Incl))*Osz1_W</f>
        <v>4</v>
      </c>
      <c r="F33" s="17" t="n">
        <f aca="false">INDEX(Osz1_Pts,1+SUMPRODUCT((Osz1_LB&lt;F11)+(Osz1_LB=F11)*Osz1_Incl))*Osz1_W</f>
        <v>20</v>
      </c>
      <c r="G33" s="17" t="n">
        <f aca="false">INDEX(Osz1_Pts,1+SUMPRODUCT((Osz1_LB&lt;G11)+(Osz1_LB=G11)*Osz1_Incl))*Osz1_W</f>
        <v>20</v>
      </c>
    </row>
    <row r="34" customFormat="false" ht="14.25" hidden="false" customHeight="false" outlineLevel="0" collapsed="false">
      <c r="C34" s="6" t="s">
        <v>56</v>
      </c>
      <c r="D34" s="2" t="s">
        <v>55</v>
      </c>
      <c r="E34" s="17" t="n">
        <f aca="false">INDEX(Osz2_Pts,1+SUMPRODUCT((Osz2_LB&lt;E12)+(Osz2_LB=E12)*Osz2_Incl))*Osz2_W</f>
        <v>0</v>
      </c>
      <c r="F34" s="17" t="n">
        <f aca="false">INDEX(Osz2_Pts,1+SUMPRODUCT((Osz2_LB&lt;F12)+(Osz2_LB=F12)*Osz2_Incl))*Osz2_W</f>
        <v>15</v>
      </c>
      <c r="G34" s="17" t="n">
        <f aca="false">INDEX(Osz2_Pts,1+SUMPRODUCT((Osz2_LB&lt;G12)+(Osz2_LB=G12)*Osz2_Incl))*Osz2_W</f>
        <v>15</v>
      </c>
    </row>
    <row r="35" customFormat="false" ht="14.25" hidden="false" customHeight="false" outlineLevel="0" collapsed="false">
      <c r="C35" s="6" t="s">
        <v>57</v>
      </c>
      <c r="D35" s="2" t="s">
        <v>55</v>
      </c>
      <c r="E35" s="17" t="n">
        <f aca="false">INDEX(Osz3_Pts,1+SUMPRODUCT((Osz3_LB&lt;E7)+(Osz3_LB=E7)*Osz3_Incl))*Osz3_W</f>
        <v>5</v>
      </c>
      <c r="F35" s="17" t="n">
        <f aca="false">INDEX(Osz3_Pts,1+SUMPRODUCT((Osz3_LB&lt;F7)+(Osz3_LB=F7)*Osz3_Incl))*Osz3_W</f>
        <v>9</v>
      </c>
      <c r="G35" s="17" t="n">
        <f aca="false">INDEX(Osz3_Pts,1+SUMPRODUCT((Osz3_LB&lt;G7)+(Osz3_LB=G7)*Osz3_Incl))*Osz3_W</f>
        <v>9</v>
      </c>
    </row>
    <row r="36" customFormat="false" ht="14.25" hidden="false" customHeight="false" outlineLevel="0" collapsed="false">
      <c r="C36" s="6" t="s">
        <v>58</v>
      </c>
      <c r="D36" s="2" t="s">
        <v>55</v>
      </c>
      <c r="E36" s="17" t="n">
        <f aca="false" t="array" ref="E36:E36">INDEX(Osz4_Pts,1+SUMPRODUCT((Osz4_LB&lt;E8)+(Osz4_LB=E8)*Osz4_Incl))*Osz4_W</f>
        <v>4.5</v>
      </c>
      <c r="F36" s="17" t="n">
        <f aca="false" t="array" ref="F36:F36">INDEX(Osz4_Pts,1+SUMPRODUCT((Osz4_LB&lt;F8)+(Osz4_LB=F8)*Osz4_Incl))*Osz4_W</f>
        <v>7.5</v>
      </c>
      <c r="G36" s="17" t="n">
        <f aca="false" t="array" ref="G36:G36">INDEX(Osz4_Pts,1+SUMPRODUCT((Osz4_LB&lt;G8)+(Osz4_LB=G8)*Osz4_Incl))*Osz4_W</f>
        <v>7.5</v>
      </c>
    </row>
    <row r="37" customFormat="false" ht="14.25" hidden="false" customHeight="false" outlineLevel="0" collapsed="false">
      <c r="C37" s="6" t="s">
        <v>59</v>
      </c>
      <c r="D37" s="2" t="s">
        <v>55</v>
      </c>
      <c r="E37" s="17" t="n">
        <f aca="false">E13*Osz5_Pts*Osz5_W</f>
        <v>5</v>
      </c>
      <c r="F37" s="17" t="n">
        <f aca="false">F13*Osz5_Pts*Osz5_W</f>
        <v>5</v>
      </c>
      <c r="G37" s="17" t="n">
        <f aca="false">G13*Osz5_Pts*Osz5_W</f>
        <v>5</v>
      </c>
    </row>
    <row r="38" customFormat="false" ht="14.25" hidden="false" customHeight="false" outlineLevel="0" collapsed="false">
      <c r="C38" s="6" t="s">
        <v>60</v>
      </c>
      <c r="D38" s="2" t="s">
        <v>55</v>
      </c>
      <c r="E38" s="17" t="n">
        <f aca="false">INDEX(Osz6_Pts,1+SUMPRODUCT((Osz6_LB&lt;E14)+(Osz6_LB=E14)*Osz6_Incl))*Osz6_W</f>
        <v>0</v>
      </c>
      <c r="F38" s="17" t="n">
        <f aca="false">INDEX(Osz6_Pts,1+SUMPRODUCT((Osz6_LB&lt;F14)+(Osz6_LB=F14)*Osz6_Incl))*Osz6_W</f>
        <v>0</v>
      </c>
      <c r="G38" s="17" t="n">
        <f aca="false">INDEX(Osz6_Pts,1+SUMPRODUCT((Osz6_LB&lt;G14)+(Osz6_LB=G14)*Osz6_Incl))*Osz6_W</f>
        <v>0</v>
      </c>
    </row>
    <row r="39" customFormat="false" ht="14.25" hidden="false" customHeight="false" outlineLevel="0" collapsed="false">
      <c r="C39" s="6" t="s">
        <v>61</v>
      </c>
      <c r="D39" s="2" t="s">
        <v>55</v>
      </c>
      <c r="E39" s="17" t="n">
        <f aca="false">E15*Osz7_Pts*Osz7_W</f>
        <v>0</v>
      </c>
      <c r="F39" s="17" t="n">
        <f aca="false">F15*Osz7_Pts*Osz7_W</f>
        <v>0</v>
      </c>
      <c r="G39" s="17" t="n">
        <f aca="false">G15*Osz7_Pts*Osz7_W</f>
        <v>0</v>
      </c>
    </row>
    <row r="40" customFormat="false" ht="14.25" hidden="false" customHeight="false" outlineLevel="0" collapsed="false">
      <c r="C40" s="6" t="s">
        <v>62</v>
      </c>
      <c r="D40" s="2" t="s">
        <v>55</v>
      </c>
      <c r="E40" s="17" t="n">
        <f aca="false">E16*Osz8_Pts*Osz8_W</f>
        <v>5</v>
      </c>
      <c r="F40" s="17" t="n">
        <f aca="false">F16*Osz8_Pts*Osz8_W</f>
        <v>5</v>
      </c>
      <c r="G40" s="17" t="n">
        <f aca="false">G16*Osz8_Pts*Osz8_W</f>
        <v>5</v>
      </c>
    </row>
    <row r="41" customFormat="false" ht="14.25" hidden="false" customHeight="false" outlineLevel="0" collapsed="false">
      <c r="C41" s="6" t="s">
        <v>63</v>
      </c>
      <c r="D41" s="2" t="s">
        <v>55</v>
      </c>
      <c r="E41" s="17" t="n">
        <f aca="false">N(E17="EU")*Osz9a_Pts*Osz9_W</f>
        <v>0</v>
      </c>
      <c r="F41" s="17" t="n">
        <f aca="false">N(F17="EU")*Osz9a_Pts*Osz9_W</f>
        <v>0</v>
      </c>
      <c r="G41" s="17" t="n">
        <f aca="false">N(G17="EU")*Osz9a_Pts*Osz9_W</f>
        <v>0</v>
      </c>
    </row>
    <row r="42" customFormat="false" ht="14.25" hidden="false" customHeight="false" outlineLevel="0" collapsed="false">
      <c r="C42" s="6" t="s">
        <v>64</v>
      </c>
      <c r="D42" s="2" t="s">
        <v>55</v>
      </c>
      <c r="E42" s="17" t="n">
        <f aca="false">Inputs!E$19*Osz9b_Pts*Osz9_W</f>
        <v>0</v>
      </c>
      <c r="F42" s="17" t="n">
        <f aca="false">Inputs!F$19*Osz9b_Pts*Osz9_W</f>
        <v>0</v>
      </c>
      <c r="G42" s="17" t="n">
        <f aca="false">Inputs!G$19*Osz9b_Pts*Osz9_W</f>
        <v>0</v>
      </c>
    </row>
    <row r="43" customFormat="false" ht="14.25" hidden="false" customHeight="false" outlineLevel="0" collapsed="false">
      <c r="C43" s="1" t="s">
        <v>65</v>
      </c>
      <c r="D43" s="2" t="s">
        <v>55</v>
      </c>
      <c r="E43" s="18" t="n">
        <f aca="false">SUM(E33:E42)</f>
        <v>23.5</v>
      </c>
      <c r="F43" s="18" t="n">
        <f aca="false">SUM(F33:F42)</f>
        <v>61.5</v>
      </c>
      <c r="G43" s="18" t="n">
        <f aca="false">SUM(G33:G42)</f>
        <v>61.5</v>
      </c>
    </row>
    <row r="44" customFormat="false" ht="14.25" hidden="false" customHeight="false" outlineLevel="0" collapsed="false">
      <c r="C44" s="6" t="s">
        <v>66</v>
      </c>
      <c r="D44" s="2" t="s">
        <v>67</v>
      </c>
      <c r="E44" s="17" t="n">
        <f aca="false">E6*(1+E7)</f>
        <v>60</v>
      </c>
      <c r="F44" s="17" t="n">
        <f aca="false">F6*(1+F7)</f>
        <v>70</v>
      </c>
      <c r="G44" s="17" t="n">
        <f aca="false">G6*(1+G7)</f>
        <v>70</v>
      </c>
      <c r="H44" s="17" t="n">
        <f aca="false">SUM(E44:G44)</f>
        <v>200</v>
      </c>
    </row>
    <row r="45" customFormat="false" ht="14.25" hidden="false" customHeight="false" outlineLevel="0" collapsed="false">
      <c r="C45" s="6" t="s">
        <v>68</v>
      </c>
      <c r="D45" s="2" t="s">
        <v>69</v>
      </c>
      <c r="E45" s="17" t="n">
        <f aca="false">E6*E8*E9</f>
        <v>20</v>
      </c>
      <c r="F45" s="17" t="n">
        <f aca="false">F6*F8*F9</f>
        <v>40</v>
      </c>
      <c r="G45" s="17" t="n">
        <f aca="false">G6*G8*G9</f>
        <v>40</v>
      </c>
      <c r="H45" s="17" t="n">
        <f aca="false">SUM(E45:G45)</f>
        <v>100</v>
      </c>
    </row>
    <row r="46" customFormat="false" ht="14.25" hidden="false" customHeight="false" outlineLevel="0" collapsed="false">
      <c r="C46" s="6" t="s">
        <v>70</v>
      </c>
      <c r="D46" s="2" t="s">
        <v>67</v>
      </c>
      <c r="E46" s="17" t="n">
        <f aca="false">E44*(1-E10)</f>
        <v>54</v>
      </c>
      <c r="F46" s="17" t="n">
        <f aca="false">F44*(1-F10)</f>
        <v>63</v>
      </c>
      <c r="G46" s="17" t="n">
        <f aca="false">G44*(1-G10)</f>
        <v>63</v>
      </c>
      <c r="H46" s="17" t="n">
        <f aca="false">SUM(E46:G46)</f>
        <v>180</v>
      </c>
    </row>
    <row r="47" customFormat="false" ht="14.25" hidden="false" customHeight="false" outlineLevel="0" collapsed="false">
      <c r="K47" s="19"/>
      <c r="L47" s="19"/>
      <c r="M47" s="19"/>
    </row>
    <row r="48" customFormat="false" ht="14.25" hidden="false" customHeight="false" outlineLevel="0" collapsed="false">
      <c r="B48" s="4" t="s">
        <v>3</v>
      </c>
      <c r="C48" s="4" t="s">
        <v>71</v>
      </c>
      <c r="D48" s="4"/>
      <c r="E48" s="5" t="s">
        <v>5</v>
      </c>
      <c r="F48" s="5" t="s">
        <v>6</v>
      </c>
      <c r="G48" s="5" t="s">
        <v>7</v>
      </c>
      <c r="H48" s="5" t="s">
        <v>8</v>
      </c>
      <c r="J48" s="5" t="s">
        <v>72</v>
      </c>
      <c r="K48" s="20"/>
      <c r="L48" s="20"/>
      <c r="M48" s="19"/>
    </row>
    <row r="49" customFormat="false" ht="14.25" hidden="false" customHeight="false" outlineLevel="0" collapsed="false">
      <c r="C49" s="21" t="s">
        <v>73</v>
      </c>
      <c r="D49" s="22" t="s">
        <v>74</v>
      </c>
      <c r="E49" s="23" t="n">
        <f aca="false">Part_Fee</f>
        <v>3000000</v>
      </c>
      <c r="F49" s="23" t="n">
        <f aca="false">Part_Fee</f>
        <v>3000000</v>
      </c>
      <c r="G49" s="23" t="n">
        <f aca="false">Part_Fee</f>
        <v>3000000</v>
      </c>
      <c r="H49" s="23" t="n">
        <f aca="false">SUM(E49:G49)</f>
        <v>9000000</v>
      </c>
      <c r="J49" s="24" t="n">
        <f aca="false">Inputs!E$21</f>
        <v>46325</v>
      </c>
      <c r="K49" s="25"/>
      <c r="L49" s="25"/>
      <c r="M49" s="19"/>
    </row>
    <row r="50" customFormat="false" ht="14.25" hidden="false" customHeight="false" outlineLevel="0" collapsed="false">
      <c r="C50" s="21" t="s">
        <v>75</v>
      </c>
      <c r="D50" s="22" t="s">
        <v>74</v>
      </c>
      <c r="E50" s="23" t="n">
        <f aca="false">Bid_Sec_Rate*(E44*Bench_Wind+E45*Bench_BESS)</f>
        <v>141800000</v>
      </c>
      <c r="F50" s="23" t="n">
        <f aca="false">Bid_Sec_Rate*(F44*Bench_Wind+F45*Bench_BESS)</f>
        <v>182100000</v>
      </c>
      <c r="G50" s="23" t="n">
        <f aca="false">Bid_Sec_Rate*(G44*Bench_Wind+G45*Bench_BESS)</f>
        <v>182100000</v>
      </c>
      <c r="H50" s="23" t="n">
        <f aca="false">SUM(E50:G50)</f>
        <v>506000000</v>
      </c>
      <c r="J50" s="24" t="n">
        <f aca="false">Inputs!E$21</f>
        <v>46325</v>
      </c>
      <c r="K50" s="25"/>
      <c r="L50" s="25"/>
      <c r="M50" s="19"/>
    </row>
    <row r="51" customFormat="false" ht="14.25" hidden="false" customHeight="false" outlineLevel="0" collapsed="false">
      <c r="C51" s="21" t="s">
        <v>76</v>
      </c>
      <c r="D51" s="22" t="s">
        <v>74</v>
      </c>
      <c r="E51" s="23" t="n">
        <f aca="false">PB_Rate*E14*(E44*Bench_Wind+E45*Bench_BESS)-E50</f>
        <v>567200000</v>
      </c>
      <c r="F51" s="23" t="n">
        <f aca="false">PB_Rate*F14*(F44*Bench_Wind+F45*Bench_BESS)-F50</f>
        <v>728400000</v>
      </c>
      <c r="G51" s="23" t="n">
        <f aca="false">PB_Rate*G14*(G44*Bench_Wind+G45*Bench_BESS)-G50</f>
        <v>728400000</v>
      </c>
      <c r="H51" s="23" t="n">
        <f aca="false">SUM(E51:G51)</f>
        <v>2024000000</v>
      </c>
      <c r="J51" s="24" t="n">
        <f aca="false">Inputs!E$22</f>
        <v>46402</v>
      </c>
      <c r="K51" s="25"/>
      <c r="L51" s="25"/>
      <c r="M51" s="19"/>
    </row>
    <row r="52" customFormat="false" ht="14.25" hidden="false" customHeight="false" outlineLevel="0" collapsed="false">
      <c r="C52" s="26" t="s">
        <v>77</v>
      </c>
      <c r="D52" s="27" t="s">
        <v>74</v>
      </c>
      <c r="E52" s="28" t="n">
        <f aca="false">TSO_Rate*E6</f>
        <v>225000000</v>
      </c>
      <c r="F52" s="28" t="n">
        <f aca="false">TSO_Rate*F6</f>
        <v>225000000</v>
      </c>
      <c r="G52" s="28" t="n">
        <f aca="false">TSO_Rate*G6</f>
        <v>225000000</v>
      </c>
      <c r="H52" s="28" t="n">
        <f aca="false">SUM(E52:G52)</f>
        <v>675000000</v>
      </c>
      <c r="J52" s="24" t="n">
        <f aca="false">Inputs!E$23</f>
        <v>46402</v>
      </c>
      <c r="K52" s="25"/>
      <c r="L52" s="25"/>
      <c r="M52" s="19"/>
    </row>
    <row r="53" customFormat="false" ht="14.25" hidden="false" customHeight="false" outlineLevel="0" collapsed="false">
      <c r="C53" s="29" t="s">
        <v>78</v>
      </c>
      <c r="D53" s="30" t="s">
        <v>74</v>
      </c>
      <c r="E53" s="31" t="n">
        <f aca="false">Inputs!E$15/Inputs!E$16</f>
        <v>254172902</v>
      </c>
      <c r="F53" s="31" t="n">
        <f aca="false">Inputs!F$15/Inputs!F$16</f>
        <v>460000000</v>
      </c>
      <c r="G53" s="31" t="n">
        <f aca="false">Inputs!G$15/Inputs!G$16</f>
        <v>460000000</v>
      </c>
      <c r="H53" s="31" t="n">
        <f aca="false">SUM(E53:G53)</f>
        <v>1174172902</v>
      </c>
      <c r="J53" s="24" t="n">
        <f aca="false">Inputs!E$24</f>
        <v>47027</v>
      </c>
      <c r="K53" s="25"/>
      <c r="L53" s="25"/>
      <c r="M53" s="19"/>
    </row>
    <row r="54" customFormat="false" ht="14.25" hidden="false" customHeight="false" outlineLevel="0" collapsed="false">
      <c r="C54" s="29" t="s">
        <v>79</v>
      </c>
      <c r="D54" s="30" t="s">
        <v>74</v>
      </c>
      <c r="E54" s="31" t="n">
        <f aca="false">Inputs!E$14*E6-E52</f>
        <v>3428565300</v>
      </c>
      <c r="F54" s="31" t="n">
        <f aca="false">Inputs!F$14*F6-F52</f>
        <v>766334000</v>
      </c>
      <c r="G54" s="31" t="n">
        <f aca="false">Inputs!G$14*G6-G52</f>
        <v>766334000</v>
      </c>
      <c r="H54" s="31" t="n">
        <f aca="false">SUM(E54:G54)</f>
        <v>4961233300</v>
      </c>
      <c r="J54" s="24" t="n">
        <f aca="false">Inputs!E$24</f>
        <v>47027</v>
      </c>
      <c r="K54" s="25"/>
      <c r="L54" s="25"/>
      <c r="M54" s="19"/>
    </row>
    <row r="55" customFormat="false" ht="14.25" hidden="false" customHeight="false" outlineLevel="0" collapsed="false">
      <c r="C55" s="6" t="s">
        <v>80</v>
      </c>
      <c r="D55" s="2" t="s">
        <v>74</v>
      </c>
      <c r="E55" s="8" t="n">
        <f aca="false">SUMIF(Devex_Class,"Devex",Devex_HUF)*Inputs!E$18</f>
        <v>255901067.967347</v>
      </c>
      <c r="F55" s="8" t="n">
        <f aca="false">SUMIF(Devex_Class,"Devex",Devex_HUF)*Inputs!F$18</f>
        <v>255901067.967347</v>
      </c>
      <c r="G55" s="8" t="n">
        <f aca="false">SUMIF(Devex_Class,"Devex",Devex_HUF)*Inputs!G$18</f>
        <v>255901067.967347</v>
      </c>
      <c r="H55" s="8" t="n">
        <f aca="false">SUM(E55:G55)</f>
        <v>767703203.902041</v>
      </c>
      <c r="J55" s="24" t="n">
        <f aca="false">SUMPRODUCT((Devex_Class="Devex")*Devex_HUF,Devex_Date)/SUMIF(Devex_Class,"Devex",Devex_HUF)</f>
        <v>46714.1242758881</v>
      </c>
      <c r="K55" s="25"/>
      <c r="L55" s="25"/>
      <c r="M55" s="19"/>
    </row>
    <row r="56" customFormat="false" ht="14.25" hidden="false" customHeight="false" outlineLevel="0" collapsed="false">
      <c r="C56" s="6" t="s">
        <v>81</v>
      </c>
      <c r="D56" s="2" t="s">
        <v>74</v>
      </c>
      <c r="E56" s="8" t="n">
        <f aca="false">SUMIF(Devex_Class,"Land",Devex_HUF)*Inputs!E$18</f>
        <v>39347625</v>
      </c>
      <c r="F56" s="8" t="n">
        <f aca="false">SUMIF(Devex_Class,"Land",Devex_HUF)*Inputs!F$18</f>
        <v>39347625</v>
      </c>
      <c r="G56" s="8" t="n">
        <f aca="false">SUMIF(Devex_Class,"Land",Devex_HUF)*Inputs!G$18</f>
        <v>39347625</v>
      </c>
      <c r="H56" s="8" t="n">
        <f aca="false">SUM(E56:G56)</f>
        <v>118042875</v>
      </c>
      <c r="J56" s="24" t="n">
        <f aca="false">SUMPRODUCT((Devex_Class="Land")*Devex_HUF,Devex_Date)/SUMIF(Devex_Class,"Land",Devex_HUF)</f>
        <v>46877.176865821</v>
      </c>
      <c r="K56" s="25"/>
      <c r="L56" s="25"/>
      <c r="M56" s="19"/>
    </row>
    <row r="57" customFormat="false" ht="14.25" hidden="false" customHeight="false" outlineLevel="0" collapsed="false">
      <c r="C57" s="6" t="s">
        <v>82</v>
      </c>
      <c r="D57" s="2" t="s">
        <v>74</v>
      </c>
      <c r="E57" s="8" t="n">
        <f aca="false">Inputs!E$17*FX*Thousand</f>
        <v>36500000</v>
      </c>
      <c r="F57" s="8" t="n">
        <f aca="false">Inputs!F$17*FX*Thousand</f>
        <v>54750000</v>
      </c>
      <c r="G57" s="8" t="n">
        <f aca="false">Inputs!G$17*FX*Thousand</f>
        <v>54750000</v>
      </c>
      <c r="H57" s="8" t="n">
        <f aca="false">SUM(E57:G57)</f>
        <v>146000000</v>
      </c>
      <c r="J57" s="24" t="n">
        <f aca="false">Inputs!E$20</f>
        <v>46234</v>
      </c>
      <c r="K57" s="25"/>
      <c r="L57" s="25"/>
      <c r="M57" s="19"/>
    </row>
    <row r="58" customFormat="false" ht="14.25" hidden="false" customHeight="false" outlineLevel="0" collapsed="false">
      <c r="C58" s="1" t="s">
        <v>83</v>
      </c>
      <c r="D58" s="2" t="s">
        <v>74</v>
      </c>
      <c r="E58" s="32" t="n">
        <f aca="false">SUM(E49:E57)</f>
        <v>4951486894.96735</v>
      </c>
      <c r="F58" s="32" t="n">
        <f aca="false">SUM(F49:F57)</f>
        <v>2714832692.96735</v>
      </c>
      <c r="G58" s="32" t="n">
        <f aca="false">SUM(G49:G57)</f>
        <v>2714832692.96735</v>
      </c>
      <c r="H58" s="32" t="n">
        <f aca="false">SUM(E58:G58)</f>
        <v>10381152280.902</v>
      </c>
      <c r="K58" s="19"/>
      <c r="L58" s="19"/>
      <c r="M58" s="19"/>
    </row>
    <row r="59" customFormat="false" ht="14.25" hidden="false" customHeight="false" outlineLevel="0" collapsed="false">
      <c r="K59" s="19"/>
      <c r="L59" s="19"/>
      <c r="M59" s="19"/>
    </row>
    <row r="60" customFormat="false" ht="14.25" hidden="false" customHeight="false" outlineLevel="0" collapsed="false">
      <c r="B60" s="4" t="s">
        <v>3</v>
      </c>
      <c r="C60" s="4" t="s">
        <v>84</v>
      </c>
      <c r="D60" s="4"/>
      <c r="E60" s="5" t="s">
        <v>5</v>
      </c>
      <c r="F60" s="5" t="s">
        <v>6</v>
      </c>
      <c r="G60" s="5" t="s">
        <v>7</v>
      </c>
      <c r="H60" s="5" t="s">
        <v>8</v>
      </c>
      <c r="J60" s="5" t="s">
        <v>72</v>
      </c>
      <c r="K60" s="20"/>
      <c r="L60" s="20"/>
      <c r="M60" s="19"/>
    </row>
    <row r="61" customFormat="false" ht="14.25" hidden="false" customHeight="false" outlineLevel="0" collapsed="false">
      <c r="C61" s="21" t="s">
        <v>73</v>
      </c>
      <c r="D61" s="22" t="s">
        <v>85</v>
      </c>
      <c r="E61" s="33" t="n">
        <f aca="false">E49/FX/Thousand</f>
        <v>8.21917808219178</v>
      </c>
      <c r="F61" s="33" t="n">
        <f aca="false">F49/FX/Thousand</f>
        <v>8.21917808219178</v>
      </c>
      <c r="G61" s="33" t="n">
        <f aca="false">G49/FX/Thousand</f>
        <v>8.21917808219178</v>
      </c>
      <c r="H61" s="33" t="n">
        <f aca="false">SUM(E61:G61)</f>
        <v>24.6575342465753</v>
      </c>
      <c r="J61" s="24" t="n">
        <f aca="false">Inputs!E$21</f>
        <v>46325</v>
      </c>
      <c r="K61" s="25"/>
      <c r="L61" s="25"/>
      <c r="M61" s="19"/>
    </row>
    <row r="62" customFormat="false" ht="14.25" hidden="false" customHeight="false" outlineLevel="0" collapsed="false">
      <c r="C62" s="21" t="s">
        <v>75</v>
      </c>
      <c r="D62" s="22" t="s">
        <v>85</v>
      </c>
      <c r="E62" s="23" t="n">
        <f aca="false">E50/FX/Thousand</f>
        <v>388.493150684932</v>
      </c>
      <c r="F62" s="23" t="n">
        <f aca="false">F50/FX/Thousand</f>
        <v>498.904109589041</v>
      </c>
      <c r="G62" s="23" t="n">
        <f aca="false">G50/FX/Thousand</f>
        <v>498.904109589041</v>
      </c>
      <c r="H62" s="23" t="n">
        <f aca="false">SUM(E62:G62)</f>
        <v>1386.30136986301</v>
      </c>
      <c r="J62" s="24" t="n">
        <f aca="false">Inputs!E$21</f>
        <v>46325</v>
      </c>
      <c r="K62" s="25"/>
      <c r="L62" s="25"/>
      <c r="M62" s="19"/>
    </row>
    <row r="63" customFormat="false" ht="14.25" hidden="false" customHeight="false" outlineLevel="0" collapsed="false">
      <c r="C63" s="21" t="s">
        <v>76</v>
      </c>
      <c r="D63" s="22" t="s">
        <v>85</v>
      </c>
      <c r="E63" s="23" t="n">
        <f aca="false">E51/FX/Thousand</f>
        <v>1553.97260273973</v>
      </c>
      <c r="F63" s="23" t="n">
        <f aca="false">F51/FX/Thousand</f>
        <v>1995.61643835616</v>
      </c>
      <c r="G63" s="23" t="n">
        <f aca="false">G51/FX/Thousand</f>
        <v>1995.61643835616</v>
      </c>
      <c r="H63" s="23" t="n">
        <f aca="false">SUM(E63:G63)</f>
        <v>5545.20547945205</v>
      </c>
      <c r="J63" s="24" t="n">
        <f aca="false">Inputs!E$22</f>
        <v>46402</v>
      </c>
      <c r="K63" s="25"/>
      <c r="L63" s="25"/>
      <c r="M63" s="19"/>
    </row>
    <row r="64" customFormat="false" ht="14.25" hidden="false" customHeight="false" outlineLevel="0" collapsed="false">
      <c r="C64" s="26" t="s">
        <v>77</v>
      </c>
      <c r="D64" s="27" t="s">
        <v>85</v>
      </c>
      <c r="E64" s="28" t="n">
        <f aca="false">E52/FX/Thousand</f>
        <v>616.438356164384</v>
      </c>
      <c r="F64" s="28" t="n">
        <f aca="false">F52/FX/Thousand</f>
        <v>616.438356164384</v>
      </c>
      <c r="G64" s="28" t="n">
        <f aca="false">G52/FX/Thousand</f>
        <v>616.438356164384</v>
      </c>
      <c r="H64" s="28" t="n">
        <f aca="false">SUM(E64:G64)</f>
        <v>1849.31506849315</v>
      </c>
      <c r="J64" s="24" t="n">
        <f aca="false">Inputs!E$23</f>
        <v>46402</v>
      </c>
      <c r="K64" s="24"/>
      <c r="L64" s="24"/>
    </row>
    <row r="65" customFormat="false" ht="14.25" hidden="false" customHeight="false" outlineLevel="0" collapsed="false">
      <c r="C65" s="29" t="s">
        <v>78</v>
      </c>
      <c r="D65" s="30" t="s">
        <v>85</v>
      </c>
      <c r="E65" s="31" t="n">
        <f aca="false">E53/FX/Thousand</f>
        <v>696.364115068493</v>
      </c>
      <c r="F65" s="31" t="n">
        <f aca="false">F53/FX/Thousand</f>
        <v>1260.27397260274</v>
      </c>
      <c r="G65" s="31" t="n">
        <f aca="false">G53/FX/Thousand</f>
        <v>1260.27397260274</v>
      </c>
      <c r="H65" s="31" t="n">
        <f aca="false">SUM(E65:G65)</f>
        <v>3216.91206027397</v>
      </c>
      <c r="J65" s="24" t="n">
        <f aca="false">Inputs!E$24</f>
        <v>47027</v>
      </c>
      <c r="K65" s="24"/>
      <c r="L65" s="24"/>
    </row>
    <row r="66" customFormat="false" ht="14.25" hidden="false" customHeight="false" outlineLevel="0" collapsed="false">
      <c r="C66" s="29" t="s">
        <v>79</v>
      </c>
      <c r="D66" s="30" t="s">
        <v>85</v>
      </c>
      <c r="E66" s="31" t="n">
        <f aca="false">E54/FX/Thousand</f>
        <v>9393.3295890411</v>
      </c>
      <c r="F66" s="31" t="n">
        <f aca="false">F54/FX/Thousand</f>
        <v>2099.54520547945</v>
      </c>
      <c r="G66" s="31" t="n">
        <f aca="false">G54/FX/Thousand</f>
        <v>2099.54520547945</v>
      </c>
      <c r="H66" s="31" t="n">
        <f aca="false">SUM(E66:G66)</f>
        <v>13592.42</v>
      </c>
      <c r="J66" s="24" t="n">
        <f aca="false">Inputs!E$24</f>
        <v>47027</v>
      </c>
      <c r="K66" s="24"/>
      <c r="L66" s="24"/>
    </row>
    <row r="67" customFormat="false" ht="14.25" hidden="false" customHeight="false" outlineLevel="0" collapsed="false">
      <c r="C67" s="6" t="s">
        <v>80</v>
      </c>
      <c r="D67" s="2" t="s">
        <v>85</v>
      </c>
      <c r="E67" s="8" t="n">
        <f aca="false">E55/FX/Thousand</f>
        <v>701.098816348896</v>
      </c>
      <c r="F67" s="8" t="n">
        <f aca="false">F55/FX/Thousand</f>
        <v>701.098816348896</v>
      </c>
      <c r="G67" s="8" t="n">
        <f aca="false">G55/FX/Thousand</f>
        <v>701.098816348896</v>
      </c>
      <c r="H67" s="8" t="n">
        <f aca="false">SUM(E67:G67)</f>
        <v>2103.29644904669</v>
      </c>
      <c r="J67" s="24" t="n">
        <f aca="false">J55</f>
        <v>46714.1242758881</v>
      </c>
      <c r="K67" s="24"/>
      <c r="L67" s="24"/>
    </row>
    <row r="68" customFormat="false" ht="14.25" hidden="false" customHeight="false" outlineLevel="0" collapsed="false">
      <c r="C68" s="6" t="s">
        <v>81</v>
      </c>
      <c r="D68" s="2" t="s">
        <v>85</v>
      </c>
      <c r="E68" s="8" t="n">
        <f aca="false">E56/FX/Thousand</f>
        <v>107.801712328767</v>
      </c>
      <c r="F68" s="8" t="n">
        <f aca="false">F56/FX/Thousand</f>
        <v>107.801712328767</v>
      </c>
      <c r="G68" s="8" t="n">
        <f aca="false">G56/FX/Thousand</f>
        <v>107.801712328767</v>
      </c>
      <c r="H68" s="8" t="n">
        <f aca="false">SUM(E68:G68)</f>
        <v>323.405136986301</v>
      </c>
      <c r="J68" s="24" t="n">
        <f aca="false">J56</f>
        <v>46877.176865821</v>
      </c>
      <c r="K68" s="24"/>
      <c r="L68" s="24"/>
    </row>
    <row r="69" customFormat="false" ht="14.25" hidden="false" customHeight="false" outlineLevel="0" collapsed="false">
      <c r="C69" s="6" t="s">
        <v>82</v>
      </c>
      <c r="D69" s="2" t="s">
        <v>85</v>
      </c>
      <c r="E69" s="8" t="n">
        <f aca="false">E57/FX/Thousand</f>
        <v>100</v>
      </c>
      <c r="F69" s="8" t="n">
        <f aca="false">F57/FX/Thousand</f>
        <v>150</v>
      </c>
      <c r="G69" s="8" t="n">
        <f aca="false">G57/FX/Thousand</f>
        <v>150</v>
      </c>
      <c r="H69" s="8" t="n">
        <f aca="false">SUM(E69:G69)</f>
        <v>400</v>
      </c>
      <c r="J69" s="24" t="n">
        <f aca="false">Inputs!E$20</f>
        <v>46234</v>
      </c>
      <c r="K69" s="24"/>
      <c r="L69" s="24"/>
    </row>
    <row r="70" customFormat="false" ht="14.25" hidden="false" customHeight="false" outlineLevel="0" collapsed="false">
      <c r="C70" s="1" t="s">
        <v>83</v>
      </c>
      <c r="D70" s="2" t="s">
        <v>85</v>
      </c>
      <c r="E70" s="32" t="n">
        <f aca="false">SUM(E61:E69)</f>
        <v>13565.7175204585</v>
      </c>
      <c r="F70" s="32" t="n">
        <f aca="false">SUM(F61:F69)</f>
        <v>7437.89778895164</v>
      </c>
      <c r="G70" s="32" t="n">
        <f aca="false">SUM(G61:G69)</f>
        <v>7437.89778895164</v>
      </c>
      <c r="H70" s="32" t="n">
        <f aca="false">SUM(E70:G70)</f>
        <v>28441.5130983618</v>
      </c>
    </row>
    <row r="72" customFormat="false" ht="14.25" hidden="false" customHeight="false" outlineLevel="0" collapsed="false">
      <c r="B72" s="4" t="s">
        <v>3</v>
      </c>
      <c r="C72" s="4" t="s">
        <v>86</v>
      </c>
      <c r="D72" s="4"/>
      <c r="E72" s="5" t="s">
        <v>5</v>
      </c>
      <c r="F72" s="5" t="s">
        <v>6</v>
      </c>
      <c r="G72" s="5" t="s">
        <v>7</v>
      </c>
      <c r="H72" s="5" t="s">
        <v>8</v>
      </c>
      <c r="J72" s="5" t="s">
        <v>87</v>
      </c>
    </row>
    <row r="73" customFormat="false" ht="14.25" hidden="false" customHeight="false" outlineLevel="0" collapsed="false">
      <c r="C73" s="6" t="s">
        <v>88</v>
      </c>
      <c r="D73" s="2" t="s">
        <v>85</v>
      </c>
      <c r="E73" s="8" t="n">
        <f aca="false">E61+SUM(E67:E69)</f>
        <v>917.119706759855</v>
      </c>
      <c r="F73" s="8" t="n">
        <f aca="false">F61+SUM(F67:F69)</f>
        <v>967.119706759855</v>
      </c>
      <c r="G73" s="8" t="n">
        <f aca="false">G61+SUM(G67:G69)</f>
        <v>967.119706759855</v>
      </c>
      <c r="H73" s="8" t="n">
        <f aca="false">SUM(E73:G73)</f>
        <v>2851.35912027956</v>
      </c>
      <c r="J73" s="34" t="s">
        <v>89</v>
      </c>
    </row>
    <row r="74" customFormat="false" ht="14.25" hidden="false" customHeight="false" outlineLevel="0" collapsed="false">
      <c r="C74" s="6" t="s">
        <v>90</v>
      </c>
      <c r="D74" s="2" t="s">
        <v>85</v>
      </c>
      <c r="E74" s="8" t="n">
        <f aca="false">SUM(E62:E64)</f>
        <v>2558.90410958904</v>
      </c>
      <c r="F74" s="8" t="n">
        <f aca="false">SUM(F62:F64)</f>
        <v>3110.95890410959</v>
      </c>
      <c r="G74" s="8" t="n">
        <f aca="false">SUM(G62:G64)</f>
        <v>3110.95890410959</v>
      </c>
      <c r="H74" s="8" t="n">
        <f aca="false">SUM(E74:G74)</f>
        <v>8780.82191780822</v>
      </c>
      <c r="J74" s="34" t="s">
        <v>91</v>
      </c>
    </row>
    <row r="75" customFormat="false" ht="14.25" hidden="false" customHeight="false" outlineLevel="0" collapsed="false">
      <c r="C75" s="6" t="s">
        <v>92</v>
      </c>
      <c r="D75" s="2" t="s">
        <v>85</v>
      </c>
      <c r="E75" s="35" t="n">
        <f aca="false">E65+E66</f>
        <v>10089.6937041096</v>
      </c>
      <c r="F75" s="35" t="n">
        <f aca="false">F65+F66</f>
        <v>3359.81917808219</v>
      </c>
      <c r="G75" s="35" t="n">
        <f aca="false">G65+G66</f>
        <v>3359.81917808219</v>
      </c>
      <c r="H75" s="35" t="n">
        <f aca="false">SUM(E75:G75)</f>
        <v>16809.332060274</v>
      </c>
      <c r="J75" s="34" t="s">
        <v>93</v>
      </c>
    </row>
    <row r="76" customFormat="false" ht="14.25" hidden="false" customHeight="false" outlineLevel="0" collapsed="false">
      <c r="C76" s="1" t="s">
        <v>94</v>
      </c>
      <c r="D76" s="2" t="s">
        <v>85</v>
      </c>
      <c r="E76" s="15" t="n">
        <f aca="false">SUM(E73:E75)</f>
        <v>13565.7175204585</v>
      </c>
      <c r="F76" s="15" t="n">
        <f aca="false">SUM(F73:F75)</f>
        <v>7437.89778895164</v>
      </c>
      <c r="G76" s="15" t="n">
        <f aca="false">SUM(G73:G75)</f>
        <v>7437.89778895164</v>
      </c>
      <c r="H76" s="15" t="n">
        <f aca="false">SUM(E76:G76)</f>
        <v>28441.5130983618</v>
      </c>
      <c r="J76" s="34" t="s">
        <v>95</v>
      </c>
    </row>
    <row r="77" customFormat="false" ht="14.25" hidden="false" customHeight="false" outlineLevel="0" collapsed="false">
      <c r="C77" s="0" t="s">
        <v>96</v>
      </c>
      <c r="D77" s="0" t="s">
        <v>12</v>
      </c>
      <c r="E77" s="36" t="n">
        <f aca="false">E75/E76</f>
        <v>0.743764101596049</v>
      </c>
      <c r="F77" s="36" t="n">
        <f aca="false">F75/F76</f>
        <v>0.451716233997315</v>
      </c>
      <c r="G77" s="36" t="n">
        <f aca="false">G75/G76</f>
        <v>0.451716233997315</v>
      </c>
      <c r="H77" s="36" t="n">
        <f aca="false">H75/H76</f>
        <v>0.591013987270677</v>
      </c>
      <c r="J77" s="34"/>
    </row>
    <row r="78" customFormat="false" ht="14.25" hidden="false" customHeight="false" outlineLevel="0" collapsed="false">
      <c r="C78" s="1" t="s">
        <v>97</v>
      </c>
      <c r="D78" s="2" t="s">
        <v>85</v>
      </c>
      <c r="E78" s="32" t="n">
        <f aca="false">E76-E75</f>
        <v>3476.0238163489</v>
      </c>
      <c r="F78" s="32" t="n">
        <f aca="false">F76-F75</f>
        <v>4078.07861086944</v>
      </c>
      <c r="G78" s="32" t="n">
        <f aca="false">G76-G75</f>
        <v>4078.07861086944</v>
      </c>
      <c r="H78" s="32" t="n">
        <f aca="false">SUM(E78:G78)</f>
        <v>11632.1810380878</v>
      </c>
      <c r="J78" s="34" t="s">
        <v>98</v>
      </c>
    </row>
    <row r="80" customFormat="false" ht="14.25" hidden="false" customHeight="false" outlineLevel="0" collapsed="false">
      <c r="B80" s="4" t="s">
        <v>3</v>
      </c>
      <c r="C80" s="4" t="s">
        <v>99</v>
      </c>
      <c r="D80" s="4"/>
      <c r="E80" s="5" t="s">
        <v>5</v>
      </c>
      <c r="F80" s="5" t="s">
        <v>6</v>
      </c>
      <c r="G80" s="5" t="s">
        <v>7</v>
      </c>
      <c r="H80" s="5" t="s">
        <v>8</v>
      </c>
    </row>
    <row r="81" customFormat="false" ht="14.25" hidden="false" customHeight="false" outlineLevel="0" collapsed="false">
      <c r="C81" s="6" t="s">
        <v>100</v>
      </c>
      <c r="D81" s="2" t="s">
        <v>85</v>
      </c>
      <c r="E81" s="8" t="n">
        <f aca="false">IF(E17="EU",Case_EU,Case_CN)*E46</f>
        <v>27000</v>
      </c>
      <c r="F81" s="8" t="n">
        <f aca="false">IF(F17="EU",Case_EU,Case_CN)*F46</f>
        <v>31500</v>
      </c>
      <c r="G81" s="8" t="n">
        <f aca="false">IF(G17="EU",Case_EU,Case_CN)*G46</f>
        <v>31500</v>
      </c>
      <c r="H81" s="8" t="n">
        <f aca="false">SUM(E81:G81)</f>
        <v>90000</v>
      </c>
    </row>
    <row r="82" customFormat="false" ht="14.25" hidden="false" customHeight="false" outlineLevel="0" collapsed="false">
      <c r="C82" s="6" t="s">
        <v>101</v>
      </c>
      <c r="D82" s="2" t="s">
        <v>85</v>
      </c>
      <c r="E82" s="8" t="n">
        <f aca="false">Capex_Install*E46</f>
        <v>4320</v>
      </c>
      <c r="F82" s="8" t="n">
        <f aca="false">Capex_Install*F46</f>
        <v>5040</v>
      </c>
      <c r="G82" s="8" t="n">
        <f aca="false">Capex_Install*G46</f>
        <v>5040</v>
      </c>
      <c r="H82" s="8" t="n">
        <f aca="false">SUM(E82:G82)</f>
        <v>14400</v>
      </c>
    </row>
    <row r="83" customFormat="false" ht="14.25" hidden="false" customHeight="false" outlineLevel="0" collapsed="false">
      <c r="C83" s="6" t="s">
        <v>102</v>
      </c>
      <c r="D83" s="2" t="s">
        <v>85</v>
      </c>
      <c r="E83" s="8" t="n">
        <f aca="false">Capex_Fdn*E46</f>
        <v>4860</v>
      </c>
      <c r="F83" s="8" t="n">
        <f aca="false">Capex_Fdn*F46</f>
        <v>5670</v>
      </c>
      <c r="G83" s="8" t="n">
        <f aca="false">Capex_Fdn*G46</f>
        <v>5670</v>
      </c>
      <c r="H83" s="8" t="n">
        <f aca="false">SUM(E83:G83)</f>
        <v>16200</v>
      </c>
    </row>
    <row r="84" customFormat="false" ht="14.25" hidden="false" customHeight="false" outlineLevel="0" collapsed="false">
      <c r="C84" s="6" t="s">
        <v>103</v>
      </c>
      <c r="D84" s="2" t="s">
        <v>85</v>
      </c>
      <c r="E84" s="8" t="n">
        <f aca="false">Capex_Civil*E46</f>
        <v>3780</v>
      </c>
      <c r="F84" s="8" t="n">
        <f aca="false">Capex_Civil*F46</f>
        <v>4410</v>
      </c>
      <c r="G84" s="8" t="n">
        <f aca="false">Capex_Civil*G46</f>
        <v>4410</v>
      </c>
      <c r="H84" s="8" t="n">
        <f aca="false">SUM(E84:G84)</f>
        <v>12600</v>
      </c>
    </row>
    <row r="85" customFormat="false" ht="14.25" hidden="false" customHeight="false" outlineLevel="0" collapsed="false">
      <c r="C85" s="6" t="s">
        <v>104</v>
      </c>
      <c r="D85" s="2" t="s">
        <v>85</v>
      </c>
      <c r="E85" s="8" t="n">
        <f aca="false">Capex_Elec*E46</f>
        <v>3240</v>
      </c>
      <c r="F85" s="8" t="n">
        <f aca="false">Capex_Elec*F46</f>
        <v>3780</v>
      </c>
      <c r="G85" s="8" t="n">
        <f aca="false">Capex_Elec*G46</f>
        <v>3780</v>
      </c>
      <c r="H85" s="8" t="n">
        <f aca="false">SUM(E85:G85)</f>
        <v>10800</v>
      </c>
    </row>
    <row r="86" customFormat="false" ht="14.25" hidden="false" customHeight="false" outlineLevel="0" collapsed="false">
      <c r="C86" s="6" t="s">
        <v>105</v>
      </c>
      <c r="D86" s="2" t="s">
        <v>85</v>
      </c>
      <c r="E86" s="8" t="n">
        <f aca="false">Capex_Owner*E46</f>
        <v>2160</v>
      </c>
      <c r="F86" s="8" t="n">
        <f aca="false">Capex_Owner*F46</f>
        <v>2520</v>
      </c>
      <c r="G86" s="8" t="n">
        <f aca="false">Capex_Owner*G46</f>
        <v>2520</v>
      </c>
      <c r="H86" s="8" t="n">
        <f aca="false">SUM(E86:G86)</f>
        <v>7200</v>
      </c>
    </row>
    <row r="87" customFormat="false" ht="14.25" hidden="false" customHeight="false" outlineLevel="0" collapsed="false">
      <c r="C87" s="6" t="s">
        <v>106</v>
      </c>
      <c r="D87" s="2" t="s">
        <v>85</v>
      </c>
      <c r="E87" s="8" t="n">
        <f aca="false">Capex_Land*E46</f>
        <v>0</v>
      </c>
      <c r="F87" s="8" t="n">
        <f aca="false">Capex_Land*F46</f>
        <v>0</v>
      </c>
      <c r="G87" s="8" t="n">
        <f aca="false">Capex_Land*G46</f>
        <v>0</v>
      </c>
      <c r="H87" s="8" t="n">
        <f aca="false">SUM(E87:G87)</f>
        <v>0</v>
      </c>
    </row>
    <row r="88" customFormat="false" ht="14.25" hidden="false" customHeight="false" outlineLevel="0" collapsed="false">
      <c r="C88" s="6" t="s">
        <v>107</v>
      </c>
      <c r="D88" s="2" t="s">
        <v>85</v>
      </c>
      <c r="E88" s="8" t="n">
        <f aca="false">Subs_Lump*E6/Lump_Basis</f>
        <v>3000</v>
      </c>
      <c r="F88" s="8" t="n">
        <f aca="false">Subs_Lump*F6/Lump_Basis</f>
        <v>3000</v>
      </c>
      <c r="G88" s="8" t="n">
        <f aca="false">Subs_Lump*G6/Lump_Basis</f>
        <v>3000</v>
      </c>
      <c r="H88" s="8" t="n">
        <f aca="false">SUM(E88:G88)</f>
        <v>9000</v>
      </c>
    </row>
    <row r="89" customFormat="false" ht="14.25" hidden="false" customHeight="false" outlineLevel="0" collapsed="false">
      <c r="C89" s="6" t="s">
        <v>108</v>
      </c>
      <c r="D89" s="2" t="s">
        <v>85</v>
      </c>
      <c r="E89" s="8" t="n">
        <f aca="false">SUM(E81:E88)*Capex_Cont</f>
        <v>2418</v>
      </c>
      <c r="F89" s="8" t="n">
        <f aca="false">SUM(F81:F88)*Capex_Cont</f>
        <v>2796</v>
      </c>
      <c r="G89" s="8" t="n">
        <f aca="false">SUM(G81:G88)*Capex_Cont</f>
        <v>2796</v>
      </c>
      <c r="H89" s="8" t="n">
        <f aca="false">SUM(E89:G89)</f>
        <v>8010</v>
      </c>
    </row>
    <row r="90" customFormat="false" ht="14.25" hidden="false" customHeight="false" outlineLevel="0" collapsed="false">
      <c r="C90" s="6" t="s">
        <v>109</v>
      </c>
      <c r="D90" s="2" t="s">
        <v>85</v>
      </c>
      <c r="E90" s="8" t="n">
        <f aca="false">BESS_Capex*E45</f>
        <v>2000</v>
      </c>
      <c r="F90" s="8" t="n">
        <f aca="false">BESS_Capex*F45</f>
        <v>4000</v>
      </c>
      <c r="G90" s="8" t="n">
        <f aca="false">BESS_Capex*G45</f>
        <v>4000</v>
      </c>
      <c r="H90" s="8" t="n">
        <f aca="false">SUM(E90:G90)</f>
        <v>10000</v>
      </c>
    </row>
    <row r="91" customFormat="false" ht="14.25" hidden="false" customHeight="false" outlineLevel="0" collapsed="false">
      <c r="C91" s="1" t="s">
        <v>110</v>
      </c>
      <c r="D91" s="2" t="s">
        <v>85</v>
      </c>
      <c r="E91" s="32" t="n">
        <f aca="false">SUM(E81:E90)</f>
        <v>52778</v>
      </c>
      <c r="F91" s="32" t="n">
        <f aca="false">SUM(F81:F90)</f>
        <v>62716</v>
      </c>
      <c r="G91" s="32" t="n">
        <f aca="false">SUM(G81:G90)</f>
        <v>62716</v>
      </c>
      <c r="H91" s="32" t="n">
        <f aca="false">SUM(E91:G91)</f>
        <v>178210</v>
      </c>
    </row>
    <row r="92" customFormat="false" ht="14.25" hidden="false" customHeight="false" outlineLevel="0" collapsed="false">
      <c r="C92" s="29" t="s">
        <v>111</v>
      </c>
      <c r="D92" s="30" t="s">
        <v>85</v>
      </c>
      <c r="E92" s="31" t="n">
        <f aca="false">E64+E65+E66</f>
        <v>10706.132060274</v>
      </c>
      <c r="F92" s="31" t="n">
        <f aca="false">F64+F65+F66</f>
        <v>3976.25753424658</v>
      </c>
      <c r="G92" s="31" t="n">
        <f aca="false">G64+G65+G66</f>
        <v>3976.25753424658</v>
      </c>
      <c r="H92" s="31" t="n">
        <f aca="false">SUM(E92:G92)</f>
        <v>18658.6471287671</v>
      </c>
    </row>
    <row r="93" customFormat="false" ht="14.25" hidden="false" customHeight="false" outlineLevel="0" collapsed="false">
      <c r="C93" s="29" t="s">
        <v>112</v>
      </c>
      <c r="D93" s="30" t="s">
        <v>85</v>
      </c>
      <c r="E93" s="31" t="n">
        <f aca="false">0</f>
        <v>0</v>
      </c>
      <c r="F93" s="31" t="n">
        <f aca="false">0</f>
        <v>0</v>
      </c>
      <c r="G93" s="31" t="n">
        <f aca="false">0</f>
        <v>0</v>
      </c>
      <c r="H93" s="31" t="n">
        <f aca="false">SUM(E93:G93)</f>
        <v>0</v>
      </c>
    </row>
    <row r="94" customFormat="false" ht="14.25" hidden="false" customHeight="false" outlineLevel="0" collapsed="false">
      <c r="C94" s="29" t="s">
        <v>113</v>
      </c>
      <c r="D94" s="30" t="s">
        <v>85</v>
      </c>
      <c r="E94" s="31" t="n">
        <f aca="false">0</f>
        <v>0</v>
      </c>
      <c r="F94" s="31" t="n">
        <f aca="false">0</f>
        <v>0</v>
      </c>
      <c r="G94" s="31" t="n">
        <f aca="false">0</f>
        <v>0</v>
      </c>
      <c r="H94" s="31" t="n">
        <f aca="false">SUM(E94:G94)</f>
        <v>0</v>
      </c>
    </row>
    <row r="95" customFormat="false" ht="14.25" hidden="false" customHeight="false" outlineLevel="0" collapsed="false">
      <c r="C95" s="29" t="s">
        <v>114</v>
      </c>
      <c r="D95" s="30" t="s">
        <v>85</v>
      </c>
      <c r="E95" s="31" t="n">
        <f aca="false">0</f>
        <v>0</v>
      </c>
      <c r="F95" s="31" t="n">
        <f aca="false">0</f>
        <v>0</v>
      </c>
      <c r="G95" s="31" t="n">
        <f aca="false">0</f>
        <v>0</v>
      </c>
      <c r="H95" s="31" t="n">
        <f aca="false">SUM(E95:G95)</f>
        <v>0</v>
      </c>
    </row>
    <row r="96" customFormat="false" ht="14.25" hidden="false" customHeight="false" outlineLevel="0" collapsed="false">
      <c r="C96" s="6" t="s">
        <v>115</v>
      </c>
      <c r="D96" s="2" t="s">
        <v>85</v>
      </c>
      <c r="E96" s="8" t="n">
        <f aca="false">E11*E6</f>
        <v>1000</v>
      </c>
      <c r="F96" s="8" t="n">
        <f aca="false">F11*F6</f>
        <v>2500</v>
      </c>
      <c r="G96" s="8" t="n">
        <f aca="false">G11*G6</f>
        <v>2500</v>
      </c>
      <c r="H96" s="8" t="n">
        <f aca="false">SUM(E96:G96)</f>
        <v>6000</v>
      </c>
    </row>
    <row r="97" customFormat="false" ht="14.25" hidden="false" customHeight="false" outlineLevel="0" collapsed="false">
      <c r="C97" s="6" t="s">
        <v>116</v>
      </c>
      <c r="D97" s="2" t="s">
        <v>85</v>
      </c>
      <c r="E97" s="8" t="n">
        <f aca="false">E68</f>
        <v>107.801712328767</v>
      </c>
      <c r="F97" s="8" t="n">
        <f aca="false">F68</f>
        <v>107.801712328767</v>
      </c>
      <c r="G97" s="8" t="n">
        <f aca="false">G68</f>
        <v>107.801712328767</v>
      </c>
      <c r="H97" s="8" t="n">
        <f aca="false">SUM(E97:G97)</f>
        <v>323.405136986301</v>
      </c>
    </row>
    <row r="98" customFormat="false" ht="14.25" hidden="false" customHeight="false" outlineLevel="0" collapsed="false">
      <c r="C98" s="6" t="s">
        <v>117</v>
      </c>
      <c r="D98" s="2" t="s">
        <v>85</v>
      </c>
      <c r="E98" s="8" t="n">
        <f aca="false">E18*E6</f>
        <v>7500</v>
      </c>
      <c r="F98" s="8" t="n">
        <f aca="false">F18*F6</f>
        <v>7500</v>
      </c>
      <c r="G98" s="8" t="n">
        <f aca="false">G18*G6</f>
        <v>7500</v>
      </c>
      <c r="H98" s="8" t="n">
        <f aca="false">SUM(E98:G98)</f>
        <v>22500</v>
      </c>
    </row>
    <row r="99" customFormat="false" ht="14.25" hidden="false" customHeight="false" outlineLevel="0" collapsed="false">
      <c r="C99" s="1" t="s">
        <v>118</v>
      </c>
      <c r="D99" s="2" t="s">
        <v>85</v>
      </c>
      <c r="E99" s="32" t="n">
        <f aca="false">E91+SUM(E92:E98)</f>
        <v>72091.9337726027</v>
      </c>
      <c r="F99" s="32" t="n">
        <f aca="false">F91+SUM(F92:F98)</f>
        <v>76800.0592465753</v>
      </c>
      <c r="G99" s="32" t="n">
        <f aca="false">G91+SUM(G92:G98)</f>
        <v>76800.0592465753</v>
      </c>
      <c r="H99" s="32" t="n">
        <f aca="false">SUM(E99:G99)</f>
        <v>225692.052265753</v>
      </c>
    </row>
    <row r="100" customFormat="false" ht="14.25" hidden="false" customHeight="false" outlineLevel="0" collapsed="false">
      <c r="C100" s="6" t="s">
        <v>119</v>
      </c>
      <c r="D100" s="2" t="s">
        <v>42</v>
      </c>
      <c r="E100" s="17" t="n">
        <f aca="false">E99/E46</f>
        <v>1335.03581060375</v>
      </c>
      <c r="F100" s="17" t="n">
        <f aca="false">F99/F46</f>
        <v>1219.04855946945</v>
      </c>
      <c r="G100" s="17" t="n">
        <f aca="false">G99/G46</f>
        <v>1219.04855946945</v>
      </c>
      <c r="H100" s="17" t="n">
        <f aca="false">H99/H46</f>
        <v>1253.84473480974</v>
      </c>
    </row>
    <row r="101" s="37" customFormat="true" ht="14.25" hidden="false" customHeight="false" outlineLevel="0" collapsed="false">
      <c r="C101" s="6" t="s">
        <v>120</v>
      </c>
      <c r="D101" s="2" t="s">
        <v>18</v>
      </c>
      <c r="E101" s="17" t="n">
        <f aca="false">E99/E6</f>
        <v>1441.83867545205</v>
      </c>
      <c r="F101" s="17" t="n">
        <f aca="false">F99/F6</f>
        <v>1536.00118493151</v>
      </c>
      <c r="G101" s="17" t="n">
        <f aca="false">G99/G6</f>
        <v>1536.00118493151</v>
      </c>
      <c r="H101" s="17" t="n">
        <f aca="false">H99/H6</f>
        <v>1504.61368177169</v>
      </c>
    </row>
    <row r="103" customFormat="false" ht="14.25" hidden="false" customHeight="false" outlineLevel="0" collapsed="false">
      <c r="B103" s="4" t="s">
        <v>3</v>
      </c>
      <c r="C103" s="4" t="s">
        <v>121</v>
      </c>
      <c r="D103" s="4"/>
      <c r="E103" s="5" t="s">
        <v>5</v>
      </c>
      <c r="F103" s="5" t="s">
        <v>6</v>
      </c>
      <c r="G103" s="5" t="s">
        <v>7</v>
      </c>
      <c r="H103" s="5" t="s">
        <v>8</v>
      </c>
    </row>
    <row r="104" customFormat="false" ht="14.25" hidden="false" customHeight="false" outlineLevel="0" collapsed="false">
      <c r="C104" s="6" t="s">
        <v>116</v>
      </c>
      <c r="D104" s="2" t="s">
        <v>85</v>
      </c>
      <c r="E104" s="17" t="n">
        <f aca="false">E68</f>
        <v>107.801712328767</v>
      </c>
      <c r="F104" s="17" t="n">
        <f aca="false">F68</f>
        <v>107.801712328767</v>
      </c>
      <c r="G104" s="17" t="n">
        <f aca="false">G68</f>
        <v>107.801712328767</v>
      </c>
      <c r="H104" s="17" t="n">
        <f aca="false">SUM(E104:G104)</f>
        <v>323.405136986301</v>
      </c>
    </row>
    <row r="105" customFormat="false" ht="14.25" hidden="false" customHeight="false" outlineLevel="0" collapsed="false">
      <c r="C105" s="6" t="s">
        <v>122</v>
      </c>
      <c r="D105" s="2" t="s">
        <v>85</v>
      </c>
      <c r="E105" s="17" t="n">
        <f aca="false">E67</f>
        <v>701.098816348896</v>
      </c>
      <c r="F105" s="17" t="n">
        <f aca="false">F67</f>
        <v>701.098816348896</v>
      </c>
      <c r="G105" s="17" t="n">
        <f aca="false">G67</f>
        <v>701.098816348896</v>
      </c>
      <c r="H105" s="17" t="n">
        <f aca="false">SUM(E105:G105)</f>
        <v>2103.29644904669</v>
      </c>
    </row>
    <row r="106" customFormat="false" ht="14.25" hidden="false" customHeight="false" outlineLevel="0" collapsed="false">
      <c r="C106" s="1" t="s">
        <v>123</v>
      </c>
      <c r="D106" s="2" t="s">
        <v>85</v>
      </c>
      <c r="E106" s="18" t="n">
        <f aca="false">SUM(E104:E105)</f>
        <v>808.900528677663</v>
      </c>
      <c r="F106" s="18" t="n">
        <f aca="false">SUM(F104:F105)</f>
        <v>808.900528677663</v>
      </c>
      <c r="G106" s="18" t="n">
        <f aca="false">SUM(G104:G105)</f>
        <v>808.900528677663</v>
      </c>
      <c r="H106" s="18" t="n">
        <f aca="false">SUM(E106:G106)</f>
        <v>2426.70158603299</v>
      </c>
    </row>
    <row r="108" customFormat="false" ht="14.25" hidden="false" customHeight="false" outlineLevel="0" collapsed="false">
      <c r="A108" s="37"/>
      <c r="B108" s="38" t="s">
        <v>3</v>
      </c>
      <c r="C108" s="39" t="s">
        <v>124</v>
      </c>
      <c r="D108" s="38"/>
      <c r="E108" s="40" t="s">
        <v>5</v>
      </c>
      <c r="F108" s="40" t="s">
        <v>6</v>
      </c>
      <c r="G108" s="40" t="s">
        <v>7</v>
      </c>
      <c r="H108" s="40" t="s">
        <v>8</v>
      </c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</row>
    <row r="109" customFormat="false" ht="14.25" hidden="false" customHeight="false" outlineLevel="0" collapsed="false">
      <c r="C109" s="41" t="s">
        <v>125</v>
      </c>
      <c r="D109" s="42"/>
      <c r="E109" s="43"/>
      <c r="F109" s="43"/>
      <c r="G109" s="43"/>
      <c r="H109" s="43"/>
    </row>
    <row r="110" customFormat="false" ht="14.25" hidden="false" customHeight="false" outlineLevel="0" collapsed="false">
      <c r="C110" s="6" t="s">
        <v>126</v>
      </c>
      <c r="D110" s="2" t="s">
        <v>85</v>
      </c>
      <c r="E110" s="8" t="n">
        <f aca="false">E217</f>
        <v>10089.6937041096</v>
      </c>
      <c r="F110" s="8" t="n">
        <f aca="false">F217</f>
        <v>3359.81917808219</v>
      </c>
      <c r="G110" s="8" t="n">
        <f aca="false">G217</f>
        <v>3359.81917808219</v>
      </c>
      <c r="H110" s="8" t="n">
        <f aca="false">SUM(E110:G110)</f>
        <v>16809.332060274</v>
      </c>
    </row>
    <row r="111" customFormat="false" ht="14.25" hidden="false" customHeight="false" outlineLevel="0" collapsed="false">
      <c r="C111" s="44" t="s">
        <v>127</v>
      </c>
      <c r="D111" s="45" t="s">
        <v>85</v>
      </c>
      <c r="E111" s="46" t="n">
        <f aca="false">E224</f>
        <v>3391.64025470506</v>
      </c>
      <c r="F111" s="46" t="n">
        <f aca="false">F224</f>
        <v>3993.69504922561</v>
      </c>
      <c r="G111" s="46" t="n">
        <f aca="false">G224</f>
        <v>3993.69504922561</v>
      </c>
      <c r="H111" s="46" t="n">
        <f aca="false">SUM(E111:G111)</f>
        <v>11379.0303531563</v>
      </c>
    </row>
    <row r="112" customFormat="false" ht="14.25" hidden="false" customHeight="false" outlineLevel="0" collapsed="false">
      <c r="C112" s="6" t="s">
        <v>128</v>
      </c>
      <c r="D112" s="2" t="s">
        <v>85</v>
      </c>
      <c r="E112" s="8" t="n">
        <f aca="false">E294</f>
        <v>7865.20493804327</v>
      </c>
      <c r="F112" s="8" t="n">
        <f aca="false">F294</f>
        <v>10406.2948630137</v>
      </c>
      <c r="G112" s="8" t="n">
        <f aca="false">G294</f>
        <v>10406.2948630137</v>
      </c>
      <c r="H112" s="8" t="n">
        <f aca="false">SUM(E112:G112)</f>
        <v>28677.7946640707</v>
      </c>
    </row>
    <row r="113" customFormat="false" ht="14.25" hidden="false" customHeight="false" outlineLevel="0" collapsed="false">
      <c r="C113" s="44" t="s">
        <v>129</v>
      </c>
      <c r="D113" s="45" t="s">
        <v>85</v>
      </c>
      <c r="E113" s="46" t="n">
        <f aca="false">E282</f>
        <v>4279.95724856315</v>
      </c>
      <c r="F113" s="46" t="n">
        <f aca="false">F282</f>
        <v>6412.59981378809</v>
      </c>
      <c r="G113" s="46" t="n">
        <f aca="false">G282</f>
        <v>6412.59981378809</v>
      </c>
      <c r="H113" s="46" t="n">
        <f aca="false">SUM(E113:G113)</f>
        <v>17105.1568761393</v>
      </c>
    </row>
    <row r="114" customFormat="false" ht="14.25" hidden="false" customHeight="false" outlineLevel="0" collapsed="false">
      <c r="C114" s="6" t="s">
        <v>130</v>
      </c>
      <c r="D114" s="2" t="s">
        <v>3</v>
      </c>
      <c r="E114" s="47" t="n">
        <f aca="false">E283</f>
        <v>2.31899740166495</v>
      </c>
      <c r="F114" s="47" t="n">
        <f aca="false">F283</f>
        <v>2.60568088818687</v>
      </c>
      <c r="G114" s="47" t="n">
        <f aca="false">G283</f>
        <v>2.60568088818687</v>
      </c>
      <c r="H114" s="47" t="n">
        <f aca="false">H283</f>
        <v>2.52023184524823</v>
      </c>
    </row>
    <row r="115" customFormat="false" ht="14.25" hidden="false" customHeight="false" outlineLevel="0" collapsed="false">
      <c r="C115" s="6" t="s">
        <v>131</v>
      </c>
      <c r="D115" s="2" t="s">
        <v>12</v>
      </c>
      <c r="E115" s="48" t="n">
        <f aca="false">E284</f>
        <v>0.683901674423866</v>
      </c>
      <c r="F115" s="48" t="n">
        <f aca="false">F284</f>
        <v>0.789921152442643</v>
      </c>
      <c r="G115" s="48" t="n">
        <f aca="false">G284</f>
        <v>0.789921152442643</v>
      </c>
    </row>
    <row r="116" customFormat="false" ht="14.25" hidden="false" customHeight="false" outlineLevel="0" collapsed="false">
      <c r="C116" s="6" t="s">
        <v>132</v>
      </c>
      <c r="D116" s="2" t="s">
        <v>3</v>
      </c>
      <c r="E116" s="47" t="n">
        <f aca="false">E299</f>
        <v>2.19376891619551</v>
      </c>
      <c r="F116" s="47" t="n">
        <f aca="false">F299</f>
        <v>2.60568088818687</v>
      </c>
      <c r="G116" s="47" t="n">
        <f aca="false">G299</f>
        <v>2.60568088818687</v>
      </c>
      <c r="H116" s="47" t="n">
        <f aca="false">H299</f>
        <v>2.47806897524933</v>
      </c>
    </row>
    <row r="117" customFormat="false" ht="14.25" hidden="false" customHeight="false" outlineLevel="0" collapsed="false">
      <c r="C117" s="6" t="s">
        <v>133</v>
      </c>
      <c r="D117" s="2" t="s">
        <v>12</v>
      </c>
      <c r="E117" s="48" t="n">
        <f aca="false">E300</f>
        <v>0.655344162084242</v>
      </c>
      <c r="F117" s="48" t="n">
        <f aca="false">F300</f>
        <v>0.789921152442643</v>
      </c>
      <c r="G117" s="48" t="n">
        <f aca="false">G300</f>
        <v>0.789921152442643</v>
      </c>
    </row>
    <row r="118" customFormat="false" ht="14.25" hidden="false" customHeight="false" outlineLevel="0" collapsed="false">
      <c r="C118" s="41" t="s">
        <v>134</v>
      </c>
      <c r="D118" s="42"/>
      <c r="E118" s="43"/>
      <c r="F118" s="43"/>
      <c r="G118" s="43"/>
      <c r="H118" s="43"/>
    </row>
    <row r="119" customFormat="false" ht="14.25" hidden="false" customHeight="false" outlineLevel="0" collapsed="false">
      <c r="C119" s="44" t="s">
        <v>127</v>
      </c>
      <c r="D119" s="49" t="s">
        <v>85</v>
      </c>
      <c r="E119" s="46" t="n">
        <f aca="false">E70</f>
        <v>13565.7175204585</v>
      </c>
      <c r="F119" s="46" t="n">
        <f aca="false">F70</f>
        <v>7437.89778895164</v>
      </c>
      <c r="G119" s="46" t="n">
        <f aca="false">G70</f>
        <v>7437.89778895164</v>
      </c>
      <c r="H119" s="46" t="n">
        <f aca="false">SUM(E119:G119)</f>
        <v>28441.5130983618</v>
      </c>
    </row>
    <row r="120" customFormat="false" ht="14.25" hidden="false" customHeight="false" outlineLevel="0" collapsed="false">
      <c r="C120" s="6" t="s">
        <v>128</v>
      </c>
      <c r="D120" s="2" t="s">
        <v>85</v>
      </c>
      <c r="E120" s="8" t="n">
        <f aca="false">E348</f>
        <v>18298.0729861777</v>
      </c>
      <c r="F120" s="8" t="n">
        <f aca="false">F348</f>
        <v>13828.5797945205</v>
      </c>
      <c r="G120" s="8" t="n">
        <f aca="false">G348</f>
        <v>13828.5797945205</v>
      </c>
      <c r="H120" s="8" t="n">
        <f aca="false">SUM(E120:G120)</f>
        <v>45955.2325752188</v>
      </c>
    </row>
    <row r="121" customFormat="false" ht="14.25" hidden="false" customHeight="false" outlineLevel="0" collapsed="false">
      <c r="C121" s="44" t="s">
        <v>129</v>
      </c>
      <c r="D121" s="45" t="s">
        <v>85</v>
      </c>
      <c r="E121" s="46" t="n">
        <f aca="false">E335</f>
        <v>4345.89373564404</v>
      </c>
      <c r="F121" s="46" t="n">
        <f aca="false">F335</f>
        <v>6390.68200556891</v>
      </c>
      <c r="G121" s="46" t="n">
        <f aca="false">G335</f>
        <v>6390.68200556891</v>
      </c>
      <c r="H121" s="15" t="n">
        <f aca="false">SUM(E121:G121)</f>
        <v>17127.2577467819</v>
      </c>
    </row>
    <row r="122" customFormat="false" ht="14.25" hidden="false" customHeight="false" outlineLevel="0" collapsed="false">
      <c r="C122" s="6" t="s">
        <v>130</v>
      </c>
      <c r="D122" s="2" t="s">
        <v>3</v>
      </c>
      <c r="E122" s="47" t="n">
        <f aca="false">E336</f>
        <v>1.34884667608494</v>
      </c>
      <c r="F122" s="47" t="n">
        <f aca="false">F336</f>
        <v>1.85920540815467</v>
      </c>
      <c r="G122" s="47" t="n">
        <f aca="false">G336</f>
        <v>1.85920540815467</v>
      </c>
      <c r="H122" s="47" t="n">
        <f aca="false">H336</f>
        <v>1.61578015966618</v>
      </c>
    </row>
    <row r="123" customFormat="false" ht="14.25" hidden="false" customHeight="false" outlineLevel="0" collapsed="false">
      <c r="C123" s="6" t="s">
        <v>131</v>
      </c>
      <c r="D123" s="2" t="s">
        <v>12</v>
      </c>
      <c r="E123" s="48" t="n">
        <f aca="false">E337</f>
        <v>0.229959485444803</v>
      </c>
      <c r="F123" s="48" t="n">
        <f aca="false">F337</f>
        <v>0.36981874472502</v>
      </c>
      <c r="G123" s="48" t="n">
        <f aca="false">G337</f>
        <v>0.36981874472502</v>
      </c>
    </row>
    <row r="124" customFormat="false" ht="14.25" hidden="false" customHeight="false" outlineLevel="0" collapsed="false">
      <c r="C124" s="6" t="s">
        <v>132</v>
      </c>
      <c r="D124" s="2" t="s">
        <v>3</v>
      </c>
      <c r="E124" s="47" t="n">
        <f aca="false">E353</f>
        <v>1.31148494135623</v>
      </c>
      <c r="F124" s="47" t="n">
        <f aca="false">F353</f>
        <v>1.85920540815467</v>
      </c>
      <c r="G124" s="47" t="n">
        <f aca="false">G353</f>
        <v>1.85920540815467</v>
      </c>
      <c r="H124" s="47" t="n">
        <f aca="false">H353</f>
        <v>1.59411935277143</v>
      </c>
    </row>
    <row r="125" customFormat="false" ht="14.25" hidden="false" customHeight="false" outlineLevel="0" collapsed="false">
      <c r="C125" s="6" t="s">
        <v>133</v>
      </c>
      <c r="D125" s="2" t="s">
        <v>12</v>
      </c>
      <c r="E125" s="48" t="n">
        <f aca="false">E354</f>
        <v>0.210843691770911</v>
      </c>
      <c r="F125" s="48" t="n">
        <f aca="false">F354</f>
        <v>0.36981874472502</v>
      </c>
      <c r="G125" s="48" t="n">
        <f aca="false">G354</f>
        <v>0.36981874472502</v>
      </c>
    </row>
    <row r="126" customFormat="false" ht="14.25" hidden="false" customHeight="false" outlineLevel="0" collapsed="false">
      <c r="C126" s="41" t="s">
        <v>135</v>
      </c>
      <c r="D126" s="42"/>
      <c r="E126" s="43"/>
      <c r="F126" s="43"/>
      <c r="G126" s="43"/>
      <c r="H126" s="43"/>
    </row>
    <row r="127" customFormat="false" ht="14.25" hidden="false" customHeight="false" outlineLevel="0" collapsed="false">
      <c r="C127" s="6" t="s">
        <v>110</v>
      </c>
      <c r="D127" s="2" t="s">
        <v>85</v>
      </c>
      <c r="E127" s="8" t="n">
        <f aca="false">E91</f>
        <v>52778</v>
      </c>
      <c r="F127" s="8" t="n">
        <f aca="false">F91</f>
        <v>62716</v>
      </c>
      <c r="G127" s="8" t="n">
        <f aca="false">G91</f>
        <v>62716</v>
      </c>
      <c r="H127" s="8" t="n">
        <f aca="false">SUM(E127:G127)</f>
        <v>178210</v>
      </c>
    </row>
    <row r="128" customFormat="false" ht="14.25" hidden="false" customHeight="false" outlineLevel="0" collapsed="false">
      <c r="C128" s="6" t="s">
        <v>136</v>
      </c>
      <c r="D128" s="2" t="s">
        <v>85</v>
      </c>
      <c r="E128" s="8" t="n">
        <f aca="false">E92</f>
        <v>10706.132060274</v>
      </c>
      <c r="F128" s="8" t="n">
        <f aca="false">F92</f>
        <v>3976.25753424658</v>
      </c>
      <c r="G128" s="8" t="n">
        <f aca="false">G92</f>
        <v>3976.25753424658</v>
      </c>
      <c r="H128" s="8" t="n">
        <f aca="false">SUM(E128:G128)</f>
        <v>18658.6471287671</v>
      </c>
    </row>
    <row r="129" customFormat="false" ht="14.25" hidden="false" customHeight="false" outlineLevel="0" collapsed="false">
      <c r="C129" s="6" t="s">
        <v>115</v>
      </c>
      <c r="D129" s="2" t="s">
        <v>85</v>
      </c>
      <c r="E129" s="8" t="n">
        <f aca="false">E96</f>
        <v>1000</v>
      </c>
      <c r="F129" s="8" t="n">
        <f aca="false">F96</f>
        <v>2500</v>
      </c>
      <c r="G129" s="8" t="n">
        <f aca="false">G96</f>
        <v>2500</v>
      </c>
      <c r="H129" s="8" t="n">
        <f aca="false">SUM(E129:G129)</f>
        <v>6000</v>
      </c>
    </row>
    <row r="130" customFormat="false" ht="14.25" hidden="false" customHeight="false" outlineLevel="0" collapsed="false">
      <c r="C130" s="6" t="s">
        <v>116</v>
      </c>
      <c r="D130" s="2" t="s">
        <v>85</v>
      </c>
      <c r="E130" s="8" t="n">
        <f aca="false">E68</f>
        <v>107.801712328767</v>
      </c>
      <c r="F130" s="8" t="n">
        <f aca="false">F68</f>
        <v>107.801712328767</v>
      </c>
      <c r="G130" s="8" t="n">
        <f aca="false">G68</f>
        <v>107.801712328767</v>
      </c>
      <c r="H130" s="8" t="n">
        <f aca="false">SUM(E130:G130)</f>
        <v>323.405136986301</v>
      </c>
    </row>
    <row r="131" customFormat="false" ht="14.25" hidden="false" customHeight="false" outlineLevel="0" collapsed="false">
      <c r="C131" s="6" t="s">
        <v>137</v>
      </c>
      <c r="D131" s="2" t="s">
        <v>85</v>
      </c>
      <c r="E131" s="8" t="n">
        <f aca="false">0</f>
        <v>0</v>
      </c>
      <c r="F131" s="8" t="n">
        <f aca="false">0</f>
        <v>0</v>
      </c>
      <c r="G131" s="8" t="n">
        <f aca="false">0</f>
        <v>0</v>
      </c>
      <c r="H131" s="8" t="n">
        <f aca="false">SUM(E131:G131)</f>
        <v>0</v>
      </c>
    </row>
    <row r="132" customFormat="false" ht="14.25" hidden="false" customHeight="false" outlineLevel="0" collapsed="false">
      <c r="C132" s="6" t="s">
        <v>138</v>
      </c>
      <c r="D132" s="2" t="s">
        <v>85</v>
      </c>
      <c r="E132" s="8" t="n">
        <f aca="false">E98</f>
        <v>7500</v>
      </c>
      <c r="F132" s="8" t="n">
        <f aca="false">F98</f>
        <v>7500</v>
      </c>
      <c r="G132" s="8" t="n">
        <f aca="false">G98</f>
        <v>7500</v>
      </c>
      <c r="H132" s="8" t="n">
        <f aca="false">SUM(E132:G132)</f>
        <v>22500</v>
      </c>
    </row>
    <row r="133" customFormat="false" ht="14.25" hidden="false" customHeight="false" outlineLevel="0" collapsed="false">
      <c r="C133" s="1" t="s">
        <v>139</v>
      </c>
      <c r="D133" s="50" t="s">
        <v>85</v>
      </c>
      <c r="E133" s="15" t="n">
        <f aca="false">SUM(E127:E132)</f>
        <v>72091.9337726027</v>
      </c>
      <c r="F133" s="15" t="n">
        <f aca="false">SUM(F127:F132)</f>
        <v>76800.0592465753</v>
      </c>
      <c r="G133" s="15" t="n">
        <f aca="false">SUM(G127:G132)</f>
        <v>76800.0592465753</v>
      </c>
      <c r="H133" s="15" t="n">
        <f aca="false">SUM(E133:G133)</f>
        <v>225692.052265753</v>
      </c>
    </row>
    <row r="134" customFormat="false" ht="14.25" hidden="false" customHeight="false" outlineLevel="0" collapsed="false">
      <c r="C134" s="6" t="s">
        <v>140</v>
      </c>
      <c r="D134" s="2" t="s">
        <v>85</v>
      </c>
      <c r="E134" s="8" t="n">
        <f aca="false">$H$399</f>
        <v>104654.654246613</v>
      </c>
      <c r="F134" s="8" t="n">
        <f aca="false">$H$451</f>
        <v>117317.066600666</v>
      </c>
      <c r="G134" s="8" t="n">
        <f aca="false">$H$503</f>
        <v>117317.066600666</v>
      </c>
      <c r="H134" s="8" t="n">
        <f aca="false">SUM(E134:G134)</f>
        <v>339288.787447944</v>
      </c>
    </row>
    <row r="135" customFormat="false" ht="14.25" hidden="false" customHeight="false" outlineLevel="0" collapsed="false">
      <c r="C135" s="1" t="s">
        <v>141</v>
      </c>
      <c r="D135" s="2" t="s">
        <v>85</v>
      </c>
      <c r="E135" s="15" t="n">
        <f aca="false">E518</f>
        <v>32562.7204740098</v>
      </c>
      <c r="F135" s="15" t="n">
        <f aca="false">F518</f>
        <v>40517.0073540907</v>
      </c>
      <c r="G135" s="15" t="n">
        <f aca="false">G518</f>
        <v>40517.0073540907</v>
      </c>
      <c r="H135" s="15" t="n">
        <f aca="false">SUM(E135:G135)</f>
        <v>113596.735182191</v>
      </c>
    </row>
    <row r="136" customFormat="false" ht="14.25" hidden="false" customHeight="false" outlineLevel="0" collapsed="false">
      <c r="C136" s="6" t="s">
        <v>130</v>
      </c>
      <c r="D136" s="2" t="s">
        <v>3</v>
      </c>
      <c r="E136" s="47" t="n">
        <f aca="false">SUMIF($J$401:$AS$401,"&gt;0")/-SUMIF($J$401:$AS$401,"&lt;0")</f>
        <v>1.54416402320072</v>
      </c>
      <c r="F136" s="47" t="n">
        <f aca="false">SUMIF($J$453:$AS$453,"&gt;0")/-SUMIF($J$453:$AS$453,"&lt;0")</f>
        <v>1.66295709686981</v>
      </c>
      <c r="G136" s="47" t="n">
        <f aca="false">SUMIF($J$505:$AS$505,"&gt;0")/-SUMIF($J$505:$AS$505,"&lt;0")</f>
        <v>1.66295709686981</v>
      </c>
    </row>
    <row r="137" customFormat="false" ht="14.25" hidden="false" customHeight="false" outlineLevel="0" collapsed="false">
      <c r="C137" s="6" t="s">
        <v>131</v>
      </c>
      <c r="D137" s="2" t="s">
        <v>12</v>
      </c>
      <c r="E137" s="48" t="e">
        <f aca="false" t="array" ref="E137:E137">XIRR(_xlfn._xlws.FILTER($J$401:$AS$401,$J$401:$AS$401&lt;&gt;0),_xlfn._xlws.FILTER($J$358:$AS$358,$J$401:$AS$401&lt;&gt;0))</f>
        <v>#NAME?</v>
      </c>
      <c r="F137" s="48" t="e">
        <f aca="false" t="array" ref="F137:F137">XIRR(_xlfn._xlws.FILTER($J$453:$AS$453,$J$453:$AS$453&lt;&gt;0),_xlfn._xlws.FILTER($J$358:$AS$358,$J$453:$AS$453&lt;&gt;0))</f>
        <v>#NAME?</v>
      </c>
      <c r="G137" s="48" t="e">
        <f aca="false" t="array" ref="G137:G137">XIRR(_xlfn._xlws.FILTER($J$505:$AS$505,$J$505:$AS$505&lt;&gt;0),_xlfn._xlws.FILTER($J$358:$AS$358,$J$505:$AS$505&lt;&gt;0))</f>
        <v>#NAME?</v>
      </c>
      <c r="J137" s="51"/>
    </row>
    <row r="138" customFormat="false" ht="14.25" hidden="false" customHeight="false" outlineLevel="0" collapsed="false">
      <c r="C138" s="41" t="s">
        <v>142</v>
      </c>
      <c r="D138" s="42"/>
      <c r="E138" s="43"/>
      <c r="F138" s="43"/>
      <c r="G138" s="43"/>
      <c r="H138" s="43"/>
    </row>
    <row r="139" customFormat="false" ht="14.25" hidden="false" customHeight="false" outlineLevel="0" collapsed="false">
      <c r="C139" s="6" t="s">
        <v>143</v>
      </c>
      <c r="D139" s="2" t="s">
        <v>85</v>
      </c>
      <c r="E139" s="8" t="n">
        <f aca="false">E99</f>
        <v>72091.9337726027</v>
      </c>
      <c r="F139" s="8" t="n">
        <f aca="false">F99</f>
        <v>76800.0592465753</v>
      </c>
      <c r="G139" s="8" t="n">
        <f aca="false">G99</f>
        <v>76800.0592465753</v>
      </c>
      <c r="H139" s="8" t="n">
        <f aca="false">SUM(E139:G139)</f>
        <v>225692.052265753</v>
      </c>
    </row>
    <row r="140" customFormat="false" ht="14.25" hidden="false" customHeight="false" outlineLevel="0" collapsed="false">
      <c r="C140" s="6" t="s">
        <v>144</v>
      </c>
      <c r="D140" s="2" t="s">
        <v>85</v>
      </c>
      <c r="E140" s="8" t="n">
        <f aca="false">$H$375</f>
        <v>382397.730625247</v>
      </c>
      <c r="F140" s="8" t="n">
        <f aca="false">$H$427</f>
        <v>446130.685729454</v>
      </c>
      <c r="G140" s="8" t="n">
        <f aca="false">$H$479</f>
        <v>446130.685729454</v>
      </c>
      <c r="H140" s="8" t="n">
        <f aca="false">SUM(E140:G140)</f>
        <v>1274659.10208416</v>
      </c>
    </row>
    <row r="141" customFormat="false" ht="14.25" hidden="false" customHeight="false" outlineLevel="0" collapsed="false">
      <c r="C141" s="6" t="s">
        <v>145</v>
      </c>
      <c r="D141" s="2" t="s">
        <v>85</v>
      </c>
      <c r="E141" s="8" t="n">
        <f aca="false">$H$384</f>
        <v>-101080.469164597</v>
      </c>
      <c r="F141" s="8" t="n">
        <f aca="false">$H$436</f>
        <v>-130425.697623429</v>
      </c>
      <c r="G141" s="8" t="n">
        <f aca="false">$H$488</f>
        <v>-130425.697623429</v>
      </c>
      <c r="H141" s="8" t="n">
        <f aca="false">SUM(E141:G141)</f>
        <v>-361931.864411456</v>
      </c>
    </row>
    <row r="142" customFormat="false" ht="14.25" hidden="false" customHeight="false" outlineLevel="0" collapsed="false">
      <c r="C142" s="6" t="s">
        <v>146</v>
      </c>
      <c r="D142" s="2" t="s">
        <v>85</v>
      </c>
      <c r="E142" s="8" t="n">
        <f aca="false">$H$385</f>
        <v>281317.26146065</v>
      </c>
      <c r="F142" s="8" t="n">
        <f aca="false">$H$437</f>
        <v>315704.988106025</v>
      </c>
      <c r="G142" s="8" t="n">
        <f aca="false">$H$489</f>
        <v>315704.988106025</v>
      </c>
      <c r="H142" s="8" t="n">
        <f aca="false">SUM(E142:G142)</f>
        <v>912727.2376727</v>
      </c>
    </row>
    <row r="143" customFormat="false" ht="14.25" hidden="false" customHeight="false" outlineLevel="0" collapsed="false">
      <c r="C143" s="1" t="s">
        <v>147</v>
      </c>
      <c r="D143" s="2" t="s">
        <v>12</v>
      </c>
      <c r="E143" s="52" t="e">
        <f aca="false" t="array" ref="E143:E143">XIRR(_xlfn._xlws.FILTER($J$386:$AS$386,$J$386:$AS$386&lt;&gt;0),_xlfn._xlws.FILTER($J$358:$AS$358,$J$386:$AS$386&lt;&gt;0))</f>
        <v>#NAME?</v>
      </c>
      <c r="F143" s="52" t="e">
        <f aca="false" t="array" ref="F143:F143">XIRR(_xlfn._xlws.FILTER($J$438:$AS$438,$J$438:$AS$438&lt;&gt;0),_xlfn._xlws.FILTER($J$358:$AS$358,$J$438:$AS$438&lt;&gt;0))</f>
        <v>#NAME?</v>
      </c>
      <c r="G143" s="52" t="e">
        <f aca="false" t="array" ref="G143:G143">XIRR(_xlfn._xlws.FILTER($J$490:$AS$490,$J$490:$AS$490&lt;&gt;0),_xlfn._xlws.FILTER($J$358:$AS$358,$J$490:$AS$490&lt;&gt;0))</f>
        <v>#NAME?</v>
      </c>
    </row>
    <row r="144" customFormat="false" ht="14.25" hidden="false" customHeight="false" outlineLevel="0" collapsed="false">
      <c r="C144" s="6" t="s">
        <v>148</v>
      </c>
      <c r="D144" s="2" t="s">
        <v>85</v>
      </c>
      <c r="E144" s="8" t="n">
        <f aca="false">XNPV(Discount_Rate,$J$386:$AS$386,$J$358:$AS$358)</f>
        <v>19561.2549092521</v>
      </c>
      <c r="F144" s="8" t="n">
        <f aca="false">XNPV(Discount_Rate,$J$438:$AS$438,$J$358:$AS$358)</f>
        <v>25408.5413585676</v>
      </c>
      <c r="G144" s="8" t="n">
        <f aca="false">XNPV(Discount_Rate,$J$490:$AS$490,$J$358:$AS$358)</f>
        <v>25408.5413585676</v>
      </c>
      <c r="H144" s="8" t="n">
        <f aca="false">SUM(E144:G144)</f>
        <v>70378.3376263873</v>
      </c>
    </row>
    <row r="145" customFormat="false" ht="14.25" hidden="false" customHeight="false" outlineLevel="0" collapsed="false">
      <c r="C145" s="6" t="s">
        <v>149</v>
      </c>
      <c r="D145" s="2" t="s">
        <v>85</v>
      </c>
      <c r="E145" s="8" t="n">
        <f aca="false">$H$388</f>
        <v>-31383.7991532071</v>
      </c>
      <c r="F145" s="8" t="n">
        <f aca="false">$H$440</f>
        <v>-35835.7393289174</v>
      </c>
      <c r="G145" s="8" t="n">
        <f aca="false">$H$492</f>
        <v>-35835.7393289174</v>
      </c>
      <c r="H145" s="8" t="n">
        <f aca="false">SUM(E145:G145)</f>
        <v>-103055.277811042</v>
      </c>
    </row>
    <row r="146" customFormat="false" ht="14.25" hidden="false" customHeight="false" outlineLevel="0" collapsed="false">
      <c r="C146" s="1" t="s">
        <v>150</v>
      </c>
      <c r="D146" s="2" t="s">
        <v>12</v>
      </c>
      <c r="E146" s="52" t="e">
        <f aca="false" t="array" ref="E146:E146">XIRR(_xlfn._xlws.FILTER($J$389:$AS$389,$J$389:$AS$389&lt;&gt;0),_xlfn._xlws.FILTER($J$358:$AS$358,$J$389:$AS$389&lt;&gt;0))</f>
        <v>#NAME?</v>
      </c>
      <c r="F146" s="52" t="e">
        <f aca="false" t="array" ref="F146:F146">XIRR(_xlfn._xlws.FILTER($J$441:$AS$441,$J$441:$AS$441&lt;&gt;0),_xlfn._xlws.FILTER($J$358:$AS$358,$J$441:$AS$441&lt;&gt;0))</f>
        <v>#NAME?</v>
      </c>
      <c r="G146" s="52" t="e">
        <f aca="false" t="array" ref="G146:G146">XIRR(_xlfn._xlws.FILTER($J$493:$AS$493,$J$493:$AS$493&lt;&gt;0),_xlfn._xlws.FILTER($J$358:$AS$358,$J$493:$AS$493&lt;&gt;0))</f>
        <v>#NAME?</v>
      </c>
    </row>
    <row r="147" customFormat="false" ht="14.25" hidden="false" customHeight="false" outlineLevel="0" collapsed="false">
      <c r="C147" s="6" t="s">
        <v>151</v>
      </c>
      <c r="D147" s="2" t="s">
        <v>85</v>
      </c>
      <c r="E147" s="8" t="n">
        <f aca="false">$H$390</f>
        <v>43255.1602635616</v>
      </c>
      <c r="F147" s="8" t="n">
        <f aca="false">$H$442</f>
        <v>46080.0355479452</v>
      </c>
      <c r="G147" s="8" t="n">
        <f aca="false">$H$494</f>
        <v>46080.0355479452</v>
      </c>
      <c r="H147" s="8" t="n">
        <f aca="false">SUM(E147:G147)</f>
        <v>135415.231359452</v>
      </c>
    </row>
    <row r="148" customFormat="false" ht="14.25" hidden="false" customHeight="false" outlineLevel="0" collapsed="false">
      <c r="C148" s="1" t="s">
        <v>152</v>
      </c>
      <c r="D148" s="2" t="s">
        <v>12</v>
      </c>
      <c r="E148" s="52" t="e">
        <f aca="false" t="array" ref="E148:E148">XIRR(_xlfn._xlws.FILTER($J$396:$AS$396,$J$396:$AS$396&lt;&gt;0),_xlfn._xlws.FILTER($J$358:$AS$358,$J$396:$AS$396&lt;&gt;0))</f>
        <v>#NAME?</v>
      </c>
      <c r="F148" s="52" t="e">
        <f aca="false" t="array" ref="F148:F148">XIRR(_xlfn._xlws.FILTER($J$448:$AS$448,$J$448:$AS$448&lt;&gt;0),_xlfn._xlws.FILTER($J$358:$AS$358,$J$448:$AS$448&lt;&gt;0))</f>
        <v>#NAME?</v>
      </c>
      <c r="G148" s="52" t="e">
        <f aca="false" t="array" ref="G148:G148">XIRR(_xlfn._xlws.FILTER($J$500:$AS$500,$J$500:$AS$500&lt;&gt;0),_xlfn._xlws.FILTER($J$358:$AS$358,$J$500:$AS$500&lt;&gt;0))</f>
        <v>#NAME?</v>
      </c>
    </row>
    <row r="149" customFormat="false" ht="14.25" hidden="false" customHeight="false" outlineLevel="0" collapsed="false">
      <c r="C149" s="6" t="s">
        <v>153</v>
      </c>
      <c r="D149" s="2" t="s">
        <v>3</v>
      </c>
      <c r="E149" s="47" t="n">
        <f aca="false">$H$397</f>
        <v>2.18972555710294</v>
      </c>
      <c r="F149" s="47" t="n">
        <f aca="false">$H$449</f>
        <v>2.29945255944663</v>
      </c>
      <c r="G149" s="47" t="n">
        <f aca="false">$H$501</f>
        <v>2.29945255944663</v>
      </c>
      <c r="H149" s="47"/>
    </row>
    <row r="154" customFormat="false" ht="14.25" hidden="false" customHeight="false" outlineLevel="0" collapsed="false">
      <c r="B154" s="4" t="s">
        <v>3</v>
      </c>
      <c r="C154" s="4" t="s">
        <v>154</v>
      </c>
      <c r="D154" s="4"/>
      <c r="E154" s="5"/>
      <c r="F154" s="5"/>
      <c r="G154" s="5"/>
      <c r="H154" s="5" t="s">
        <v>8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customFormat="false" ht="14.25" hidden="false" customHeight="false" outlineLevel="0" collapsed="false">
      <c r="C155" s="6" t="s">
        <v>155</v>
      </c>
      <c r="D155" s="2" t="s">
        <v>156</v>
      </c>
      <c r="J155" s="53" t="n">
        <f aca="false">J357</f>
        <v>2026</v>
      </c>
      <c r="K155" s="53" t="n">
        <f aca="false">K357</f>
        <v>2027</v>
      </c>
      <c r="L155" s="53" t="n">
        <f aca="false">L357</f>
        <v>2028</v>
      </c>
      <c r="M155" s="53" t="n">
        <f aca="false">M357</f>
        <v>2029</v>
      </c>
      <c r="N155" s="53" t="n">
        <f aca="false">N357</f>
        <v>2030</v>
      </c>
      <c r="O155" s="53" t="n">
        <f aca="false">O357</f>
        <v>2031</v>
      </c>
      <c r="P155" s="53" t="n">
        <f aca="false">P357</f>
        <v>2032</v>
      </c>
      <c r="Q155" s="53" t="n">
        <f aca="false">Q357</f>
        <v>2033</v>
      </c>
      <c r="R155" s="53" t="n">
        <f aca="false">R357</f>
        <v>2034</v>
      </c>
      <c r="S155" s="53" t="n">
        <f aca="false">S357</f>
        <v>2035</v>
      </c>
      <c r="T155" s="53" t="n">
        <f aca="false">T357</f>
        <v>2036</v>
      </c>
      <c r="U155" s="53" t="n">
        <f aca="false">U357</f>
        <v>2037</v>
      </c>
      <c r="V155" s="53" t="n">
        <f aca="false">V357</f>
        <v>2038</v>
      </c>
      <c r="W155" s="53" t="n">
        <f aca="false">W357</f>
        <v>2039</v>
      </c>
      <c r="X155" s="53" t="n">
        <f aca="false">X357</f>
        <v>2040</v>
      </c>
      <c r="Y155" s="53" t="n">
        <f aca="false">Y357</f>
        <v>2041</v>
      </c>
      <c r="Z155" s="53" t="n">
        <f aca="false">Z357</f>
        <v>2042</v>
      </c>
      <c r="AA155" s="53" t="n">
        <f aca="false">AA357</f>
        <v>2043</v>
      </c>
      <c r="AB155" s="53" t="n">
        <f aca="false">AB357</f>
        <v>2044</v>
      </c>
      <c r="AC155" s="53" t="n">
        <f aca="false">AC357</f>
        <v>2045</v>
      </c>
      <c r="AD155" s="53" t="n">
        <f aca="false">AD357</f>
        <v>2046</v>
      </c>
      <c r="AE155" s="53" t="n">
        <f aca="false">AE357</f>
        <v>2047</v>
      </c>
      <c r="AF155" s="53" t="n">
        <f aca="false">AF357</f>
        <v>2048</v>
      </c>
      <c r="AG155" s="53" t="n">
        <f aca="false">AG357</f>
        <v>2049</v>
      </c>
      <c r="AH155" s="53" t="n">
        <f aca="false">AH357</f>
        <v>2050</v>
      </c>
      <c r="AI155" s="53" t="n">
        <f aca="false">AI357</f>
        <v>2051</v>
      </c>
      <c r="AJ155" s="53" t="n">
        <f aca="false">AJ357</f>
        <v>2052</v>
      </c>
      <c r="AK155" s="53" t="n">
        <f aca="false">AK357</f>
        <v>2053</v>
      </c>
      <c r="AL155" s="53" t="n">
        <f aca="false">AL357</f>
        <v>2054</v>
      </c>
      <c r="AM155" s="53" t="n">
        <f aca="false">AM357</f>
        <v>2055</v>
      </c>
      <c r="AN155" s="53" t="n">
        <f aca="false">AN357</f>
        <v>2056</v>
      </c>
      <c r="AO155" s="53" t="n">
        <f aca="false">AO357</f>
        <v>2057</v>
      </c>
      <c r="AP155" s="53" t="n">
        <f aca="false">AP357</f>
        <v>2058</v>
      </c>
      <c r="AQ155" s="53" t="n">
        <f aca="false">AQ357</f>
        <v>2059</v>
      </c>
      <c r="AR155" s="53" t="n">
        <f aca="false">AR357</f>
        <v>2060</v>
      </c>
      <c r="AS155" s="53" t="n">
        <f aca="false">AS357</f>
        <v>2061</v>
      </c>
    </row>
    <row r="157" customFormat="false" ht="14.25" hidden="false" customHeight="false" outlineLevel="0" collapsed="false">
      <c r="C157" s="42" t="s">
        <v>5</v>
      </c>
      <c r="D157" s="42"/>
      <c r="E157" s="43"/>
      <c r="F157" s="43"/>
      <c r="G157" s="43"/>
      <c r="H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</row>
    <row r="158" customFormat="false" ht="14.25" hidden="false" customHeight="false" outlineLevel="0" collapsed="false">
      <c r="C158" s="6" t="s">
        <v>157</v>
      </c>
      <c r="D158" s="2" t="s">
        <v>85</v>
      </c>
      <c r="H158" s="8" t="n">
        <f aca="false">SUM(J158:AS158)</f>
        <v>-72091.9337726027</v>
      </c>
      <c r="J158" s="8" t="n">
        <f aca="false">J371</f>
        <v>0</v>
      </c>
      <c r="K158" s="8" t="n">
        <f aca="false">K371</f>
        <v>0</v>
      </c>
      <c r="L158" s="8" t="n">
        <f aca="false">L371</f>
        <v>0</v>
      </c>
      <c r="M158" s="8" t="n">
        <f aca="false">M371</f>
        <v>-33450.8995260274</v>
      </c>
      <c r="N158" s="8" t="n">
        <f aca="false">N371</f>
        <v>-26389</v>
      </c>
      <c r="O158" s="8" t="n">
        <f aca="false">O371</f>
        <v>-14194.5</v>
      </c>
      <c r="P158" s="8" t="n">
        <f aca="false">P371</f>
        <v>0</v>
      </c>
      <c r="Q158" s="8" t="n">
        <f aca="false">Q371</f>
        <v>1942.46575342466</v>
      </c>
      <c r="R158" s="8" t="n">
        <f aca="false">R371</f>
        <v>0</v>
      </c>
      <c r="S158" s="8" t="n">
        <f aca="false">S371</f>
        <v>0</v>
      </c>
      <c r="T158" s="8" t="n">
        <f aca="false">T371</f>
        <v>0</v>
      </c>
      <c r="U158" s="8" t="n">
        <f aca="false">U371</f>
        <v>0</v>
      </c>
      <c r="V158" s="8" t="n">
        <f aca="false">V371</f>
        <v>0</v>
      </c>
      <c r="W158" s="8" t="n">
        <f aca="false">W371</f>
        <v>0</v>
      </c>
      <c r="X158" s="8" t="n">
        <f aca="false">X371</f>
        <v>0</v>
      </c>
      <c r="Y158" s="8" t="n">
        <f aca="false">Y371</f>
        <v>0</v>
      </c>
      <c r="Z158" s="8" t="n">
        <f aca="false">Z371</f>
        <v>0</v>
      </c>
      <c r="AA158" s="8" t="n">
        <f aca="false">AA371</f>
        <v>0</v>
      </c>
      <c r="AB158" s="8" t="n">
        <f aca="false">AB371</f>
        <v>0</v>
      </c>
      <c r="AC158" s="8" t="n">
        <f aca="false">AC371</f>
        <v>0</v>
      </c>
      <c r="AD158" s="8" t="n">
        <f aca="false">AD371</f>
        <v>0</v>
      </c>
      <c r="AE158" s="8" t="n">
        <f aca="false">AE371</f>
        <v>0</v>
      </c>
      <c r="AF158" s="8" t="n">
        <f aca="false">AF371</f>
        <v>0</v>
      </c>
      <c r="AG158" s="8" t="n">
        <f aca="false">AG371</f>
        <v>0</v>
      </c>
      <c r="AH158" s="8" t="n">
        <f aca="false">AH371</f>
        <v>0</v>
      </c>
      <c r="AI158" s="8" t="n">
        <f aca="false">AI371</f>
        <v>0</v>
      </c>
      <c r="AJ158" s="8" t="n">
        <f aca="false">AJ371</f>
        <v>0</v>
      </c>
      <c r="AK158" s="8" t="n">
        <f aca="false">AK371</f>
        <v>0</v>
      </c>
      <c r="AL158" s="8" t="n">
        <f aca="false">AL371</f>
        <v>0</v>
      </c>
      <c r="AM158" s="8" t="n">
        <f aca="false">AM371</f>
        <v>0</v>
      </c>
      <c r="AN158" s="8" t="n">
        <f aca="false">AN371</f>
        <v>0</v>
      </c>
      <c r="AO158" s="8" t="n">
        <f aca="false">AO371</f>
        <v>0</v>
      </c>
      <c r="AP158" s="8" t="n">
        <f aca="false">AP371</f>
        <v>0</v>
      </c>
      <c r="AQ158" s="8" t="n">
        <f aca="false">AQ371</f>
        <v>0</v>
      </c>
      <c r="AR158" s="8" t="n">
        <f aca="false">AR371</f>
        <v>0</v>
      </c>
      <c r="AS158" s="8" t="n">
        <f aca="false">AS371</f>
        <v>0</v>
      </c>
    </row>
    <row r="159" customFormat="false" ht="14.25" hidden="false" customHeight="false" outlineLevel="0" collapsed="false">
      <c r="C159" s="6" t="s">
        <v>158</v>
      </c>
      <c r="D159" s="2" t="s">
        <v>85</v>
      </c>
      <c r="H159" s="8" t="n">
        <f aca="false">SUM(J159:AS159)</f>
        <v>382397.730625247</v>
      </c>
      <c r="J159" s="8" t="n">
        <f aca="false">J375</f>
        <v>0</v>
      </c>
      <c r="K159" s="8" t="n">
        <f aca="false">K375</f>
        <v>0</v>
      </c>
      <c r="L159" s="8" t="n">
        <f aca="false">L375</f>
        <v>0</v>
      </c>
      <c r="M159" s="8" t="n">
        <f aca="false">M375</f>
        <v>0</v>
      </c>
      <c r="N159" s="8" t="n">
        <f aca="false">N375</f>
        <v>0</v>
      </c>
      <c r="O159" s="8" t="n">
        <f aca="false">O375</f>
        <v>5715.36</v>
      </c>
      <c r="P159" s="8" t="n">
        <f aca="false">P375</f>
        <v>11545.0272</v>
      </c>
      <c r="Q159" s="8" t="n">
        <f aca="false">Q375</f>
        <v>11625.496039584</v>
      </c>
      <c r="R159" s="8" t="n">
        <f aca="false">R375</f>
        <v>11706.5257469799</v>
      </c>
      <c r="S159" s="8" t="n">
        <f aca="false">S375</f>
        <v>11788.1202314363</v>
      </c>
      <c r="T159" s="8" t="n">
        <f aca="false">T375</f>
        <v>11870.2834294495</v>
      </c>
      <c r="U159" s="8" t="n">
        <f aca="false">U375</f>
        <v>11953.0193049527</v>
      </c>
      <c r="V159" s="8" t="n">
        <f aca="false">V375</f>
        <v>12036.3318495082</v>
      </c>
      <c r="W159" s="8" t="n">
        <f aca="false">W375</f>
        <v>12120.2250824993</v>
      </c>
      <c r="X159" s="8" t="n">
        <f aca="false">X375</f>
        <v>12204.7030513243</v>
      </c>
      <c r="Y159" s="8" t="n">
        <f aca="false">Y375</f>
        <v>12289.7698315921</v>
      </c>
      <c r="Z159" s="8" t="n">
        <f aca="false">Z375</f>
        <v>12375.4295273183</v>
      </c>
      <c r="AA159" s="8" t="n">
        <f aca="false">AA375</f>
        <v>12461.6862711237</v>
      </c>
      <c r="AB159" s="8" t="n">
        <f aca="false">AB375</f>
        <v>12548.5442244334</v>
      </c>
      <c r="AC159" s="8" t="n">
        <f aca="false">AC375</f>
        <v>12636.0075776777</v>
      </c>
      <c r="AD159" s="8" t="n">
        <f aca="false">AD375</f>
        <v>12724.0805504941</v>
      </c>
      <c r="AE159" s="8" t="n">
        <f aca="false">AE375</f>
        <v>12812.7673919311</v>
      </c>
      <c r="AF159" s="8" t="n">
        <f aca="false">AF375</f>
        <v>12902.0723806528</v>
      </c>
      <c r="AG159" s="8" t="n">
        <f aca="false">AG375</f>
        <v>12991.999825146</v>
      </c>
      <c r="AH159" s="8" t="n">
        <f aca="false">AH375</f>
        <v>13082.5540639272</v>
      </c>
      <c r="AI159" s="8" t="n">
        <f aca="false">AI375</f>
        <v>13173.7394657528</v>
      </c>
      <c r="AJ159" s="8" t="n">
        <f aca="false">AJ375</f>
        <v>13265.5604298291</v>
      </c>
      <c r="AK159" s="8" t="n">
        <f aca="false">AK375</f>
        <v>13358.021386025</v>
      </c>
      <c r="AL159" s="8" t="n">
        <f aca="false">AL375</f>
        <v>13451.1267950856</v>
      </c>
      <c r="AM159" s="8" t="n">
        <f aca="false">AM375</f>
        <v>13544.8811488474</v>
      </c>
      <c r="AN159" s="8" t="n">
        <f aca="false">AN375</f>
        <v>13639.2889704548</v>
      </c>
      <c r="AO159" s="8" t="n">
        <f aca="false">AO375</f>
        <v>13734.3548145789</v>
      </c>
      <c r="AP159" s="8" t="n">
        <f aca="false">AP375</f>
        <v>13830.0832676365</v>
      </c>
      <c r="AQ159" s="8" t="n">
        <f aca="false">AQ375</f>
        <v>13926.4789480119</v>
      </c>
      <c r="AR159" s="8" t="n">
        <f aca="false">AR375</f>
        <v>14023.5465062796</v>
      </c>
      <c r="AS159" s="8" t="n">
        <f aca="false">AS375</f>
        <v>7060.64531271418</v>
      </c>
    </row>
    <row r="160" customFormat="false" ht="14.25" hidden="false" customHeight="false" outlineLevel="0" collapsed="false">
      <c r="C160" s="6" t="s">
        <v>159</v>
      </c>
      <c r="D160" s="2" t="s">
        <v>85</v>
      </c>
      <c r="H160" s="8" t="n">
        <f aca="false">SUM(J160:AS160)</f>
        <v>-101080.469164597</v>
      </c>
      <c r="J160" s="8" t="n">
        <f aca="false">J384</f>
        <v>0</v>
      </c>
      <c r="K160" s="8" t="n">
        <f aca="false">K384</f>
        <v>0</v>
      </c>
      <c r="L160" s="8" t="n">
        <f aca="false">L384</f>
        <v>0</v>
      </c>
      <c r="M160" s="8" t="n">
        <f aca="false">M384</f>
        <v>0</v>
      </c>
      <c r="N160" s="8" t="n">
        <f aca="false">N384</f>
        <v>0</v>
      </c>
      <c r="O160" s="8" t="n">
        <f aca="false">O384</f>
        <v>-1182.141828</v>
      </c>
      <c r="P160" s="8" t="n">
        <f aca="false">P384</f>
        <v>-2419.78149756</v>
      </c>
      <c r="Q160" s="8" t="n">
        <f aca="false">Q384</f>
        <v>-2473.79268847324</v>
      </c>
      <c r="R160" s="8" t="n">
        <f aca="false">R384</f>
        <v>-2529.07754013253</v>
      </c>
      <c r="S160" s="8" t="n">
        <f aca="false">S384</f>
        <v>-2585.66667091693</v>
      </c>
      <c r="T160" s="8" t="n">
        <f aca="false">T384</f>
        <v>-2643.59144103106</v>
      </c>
      <c r="U160" s="8" t="n">
        <f aca="false">U384</f>
        <v>-2702.88397055478</v>
      </c>
      <c r="V160" s="8" t="n">
        <f aca="false">V384</f>
        <v>-2763.57715793331</v>
      </c>
      <c r="W160" s="8" t="n">
        <f aca="false">W384</f>
        <v>-2825.70469891879</v>
      </c>
      <c r="X160" s="8" t="n">
        <f aca="false">X384</f>
        <v>-2889.30110597403</v>
      </c>
      <c r="Y160" s="8" t="n">
        <f aca="false">Y384</f>
        <v>-2954.40172814999</v>
      </c>
      <c r="Z160" s="8" t="n">
        <f aca="false">Z384</f>
        <v>-3021.04277144858</v>
      </c>
      <c r="AA160" s="8" t="n">
        <f aca="false">AA384</f>
        <v>-3089.26131968243</v>
      </c>
      <c r="AB160" s="8" t="n">
        <f aca="false">AB384</f>
        <v>-3159.09535584409</v>
      </c>
      <c r="AC160" s="8" t="n">
        <f aca="false">AC384</f>
        <v>-3230.58378399692</v>
      </c>
      <c r="AD160" s="8" t="n">
        <f aca="false">AD384</f>
        <v>-3303.76645170053</v>
      </c>
      <c r="AE160" s="8" t="n">
        <f aca="false">AE384</f>
        <v>-3378.68417298384</v>
      </c>
      <c r="AF160" s="8" t="n">
        <f aca="false">AF384</f>
        <v>-3455.37875187918</v>
      </c>
      <c r="AG160" s="8" t="n">
        <f aca="false">AG384</f>
        <v>-3533.89300653108</v>
      </c>
      <c r="AH160" s="8" t="n">
        <f aca="false">AH384</f>
        <v>-3614.27079389397</v>
      </c>
      <c r="AI160" s="8" t="n">
        <f aca="false">AI384</f>
        <v>-3696.55703503309</v>
      </c>
      <c r="AJ160" s="8" t="n">
        <f aca="false">AJ384</f>
        <v>-3780.79774104342</v>
      </c>
      <c r="AK160" s="8" t="n">
        <f aca="false">AK384</f>
        <v>-3867.04003960174</v>
      </c>
      <c r="AL160" s="8" t="n">
        <f aca="false">AL384</f>
        <v>-3955.33220216742</v>
      </c>
      <c r="AM160" s="8" t="n">
        <f aca="false">AM384</f>
        <v>-4045.72367184764</v>
      </c>
      <c r="AN160" s="8" t="n">
        <f aca="false">AN384</f>
        <v>-4138.26509194355</v>
      </c>
      <c r="AO160" s="8" t="n">
        <f aca="false">AO384</f>
        <v>-4233.00833519381</v>
      </c>
      <c r="AP160" s="8" t="n">
        <f aca="false">AP384</f>
        <v>-4330.00653373281</v>
      </c>
      <c r="AQ160" s="8" t="n">
        <f aca="false">AQ384</f>
        <v>-4429.31410978088</v>
      </c>
      <c r="AR160" s="8" t="n">
        <f aca="false">AR384</f>
        <v>-4530.98680708456</v>
      </c>
      <c r="AS160" s="8" t="n">
        <f aca="false">AS384</f>
        <v>-2317.54086156264</v>
      </c>
    </row>
    <row r="161" customFormat="false" ht="14.25" hidden="false" customHeight="false" outlineLevel="0" collapsed="false">
      <c r="C161" s="6" t="s">
        <v>160</v>
      </c>
      <c r="D161" s="2" t="s">
        <v>85</v>
      </c>
      <c r="H161" s="8" t="n">
        <f aca="false">SUM(J161:AS161)</f>
        <v>281317.26146065</v>
      </c>
      <c r="J161" s="8" t="n">
        <f aca="false">J385</f>
        <v>0</v>
      </c>
      <c r="K161" s="8" t="n">
        <f aca="false">K385</f>
        <v>0</v>
      </c>
      <c r="L161" s="8" t="n">
        <f aca="false">L385</f>
        <v>0</v>
      </c>
      <c r="M161" s="8" t="n">
        <f aca="false">M385</f>
        <v>0</v>
      </c>
      <c r="N161" s="8" t="n">
        <f aca="false">N385</f>
        <v>0</v>
      </c>
      <c r="O161" s="8" t="n">
        <f aca="false">O385</f>
        <v>4533.218172</v>
      </c>
      <c r="P161" s="8" t="n">
        <f aca="false">P385</f>
        <v>9125.24570244</v>
      </c>
      <c r="Q161" s="8" t="n">
        <f aca="false">Q385</f>
        <v>9151.70335111076</v>
      </c>
      <c r="R161" s="8" t="n">
        <f aca="false">R385</f>
        <v>9177.44820684737</v>
      </c>
      <c r="S161" s="8" t="n">
        <f aca="false">S385</f>
        <v>9202.45356051942</v>
      </c>
      <c r="T161" s="8" t="n">
        <f aca="false">T385</f>
        <v>9226.6919884184</v>
      </c>
      <c r="U161" s="8" t="n">
        <f aca="false">U385</f>
        <v>9250.13533439795</v>
      </c>
      <c r="V161" s="8" t="n">
        <f aca="false">V385</f>
        <v>9272.75469157493</v>
      </c>
      <c r="W161" s="8" t="n">
        <f aca="false">W385</f>
        <v>9294.52038358052</v>
      </c>
      <c r="X161" s="8" t="n">
        <f aca="false">X385</f>
        <v>9315.40194535031</v>
      </c>
      <c r="Y161" s="8" t="n">
        <f aca="false">Y385</f>
        <v>9335.36810344208</v>
      </c>
      <c r="Z161" s="8" t="n">
        <f aca="false">Z385</f>
        <v>9354.38675586968</v>
      </c>
      <c r="AA161" s="8" t="n">
        <f aca="false">AA385</f>
        <v>9372.42495144124</v>
      </c>
      <c r="AB161" s="8" t="n">
        <f aca="false">AB385</f>
        <v>9389.44886858932</v>
      </c>
      <c r="AC161" s="8" t="n">
        <f aca="false">AC385</f>
        <v>9405.42379368079</v>
      </c>
      <c r="AD161" s="8" t="n">
        <f aca="false">AD385</f>
        <v>9420.31409879359</v>
      </c>
      <c r="AE161" s="8" t="n">
        <f aca="false">AE385</f>
        <v>9434.08321894722</v>
      </c>
      <c r="AF161" s="8" t="n">
        <f aca="false">AF385</f>
        <v>9446.69362877364</v>
      </c>
      <c r="AG161" s="8" t="n">
        <f aca="false">AG385</f>
        <v>9458.1068186149</v>
      </c>
      <c r="AH161" s="8" t="n">
        <f aca="false">AH385</f>
        <v>9468.28327003328</v>
      </c>
      <c r="AI161" s="8" t="n">
        <f aca="false">AI385</f>
        <v>9477.18243071973</v>
      </c>
      <c r="AJ161" s="8" t="n">
        <f aca="false">AJ385</f>
        <v>9484.7626887857</v>
      </c>
      <c r="AK161" s="8" t="n">
        <f aca="false">AK385</f>
        <v>9490.98134642328</v>
      </c>
      <c r="AL161" s="8" t="n">
        <f aca="false">AL385</f>
        <v>9495.7945929182</v>
      </c>
      <c r="AM161" s="8" t="n">
        <f aca="false">AM385</f>
        <v>9499.15747699973</v>
      </c>
      <c r="AN161" s="8" t="n">
        <f aca="false">AN385</f>
        <v>9501.02387851128</v>
      </c>
      <c r="AO161" s="8" t="n">
        <f aca="false">AO385</f>
        <v>9501.34647938509</v>
      </c>
      <c r="AP161" s="8" t="n">
        <f aca="false">AP385</f>
        <v>9500.07673390371</v>
      </c>
      <c r="AQ161" s="8" t="n">
        <f aca="false">AQ385</f>
        <v>9497.16483823106</v>
      </c>
      <c r="AR161" s="8" t="n">
        <f aca="false">AR385</f>
        <v>9492.55969919502</v>
      </c>
      <c r="AS161" s="8" t="n">
        <f aca="false">AS385</f>
        <v>4743.10445115153</v>
      </c>
    </row>
    <row r="162" customFormat="false" ht="14.25" hidden="false" customHeight="false" outlineLevel="0" collapsed="false">
      <c r="C162" s="1" t="s">
        <v>161</v>
      </c>
      <c r="D162" s="2" t="s">
        <v>85</v>
      </c>
      <c r="H162" s="15" t="n">
        <f aca="false">SUM(J162:AS162)</f>
        <v>209225.327688047</v>
      </c>
      <c r="J162" s="15" t="n">
        <f aca="false">J386</f>
        <v>0</v>
      </c>
      <c r="K162" s="15" t="n">
        <f aca="false">K386</f>
        <v>0</v>
      </c>
      <c r="L162" s="15" t="n">
        <f aca="false">L386</f>
        <v>0</v>
      </c>
      <c r="M162" s="15" t="n">
        <f aca="false">M386</f>
        <v>-33450.8995260274</v>
      </c>
      <c r="N162" s="15" t="n">
        <f aca="false">N386</f>
        <v>-26389</v>
      </c>
      <c r="O162" s="15" t="n">
        <f aca="false">O386</f>
        <v>-9661.281828</v>
      </c>
      <c r="P162" s="15" t="n">
        <f aca="false">P386</f>
        <v>9125.24570244</v>
      </c>
      <c r="Q162" s="15" t="n">
        <f aca="false">Q386</f>
        <v>11094.1691045354</v>
      </c>
      <c r="R162" s="15" t="n">
        <f aca="false">R386</f>
        <v>9177.44820684737</v>
      </c>
      <c r="S162" s="15" t="n">
        <f aca="false">S386</f>
        <v>9202.45356051942</v>
      </c>
      <c r="T162" s="15" t="n">
        <f aca="false">T386</f>
        <v>9226.6919884184</v>
      </c>
      <c r="U162" s="15" t="n">
        <f aca="false">U386</f>
        <v>9250.13533439795</v>
      </c>
      <c r="V162" s="15" t="n">
        <f aca="false">V386</f>
        <v>9272.75469157493</v>
      </c>
      <c r="W162" s="15" t="n">
        <f aca="false">W386</f>
        <v>9294.52038358052</v>
      </c>
      <c r="X162" s="15" t="n">
        <f aca="false">X386</f>
        <v>9315.40194535031</v>
      </c>
      <c r="Y162" s="15" t="n">
        <f aca="false">Y386</f>
        <v>9335.36810344208</v>
      </c>
      <c r="Z162" s="15" t="n">
        <f aca="false">Z386</f>
        <v>9354.38675586968</v>
      </c>
      <c r="AA162" s="15" t="n">
        <f aca="false">AA386</f>
        <v>9372.42495144124</v>
      </c>
      <c r="AB162" s="15" t="n">
        <f aca="false">AB386</f>
        <v>9389.44886858932</v>
      </c>
      <c r="AC162" s="15" t="n">
        <f aca="false">AC386</f>
        <v>9405.42379368079</v>
      </c>
      <c r="AD162" s="15" t="n">
        <f aca="false">AD386</f>
        <v>9420.31409879359</v>
      </c>
      <c r="AE162" s="15" t="n">
        <f aca="false">AE386</f>
        <v>9434.08321894722</v>
      </c>
      <c r="AF162" s="15" t="n">
        <f aca="false">AF386</f>
        <v>9446.69362877364</v>
      </c>
      <c r="AG162" s="15" t="n">
        <f aca="false">AG386</f>
        <v>9458.1068186149</v>
      </c>
      <c r="AH162" s="15" t="n">
        <f aca="false">AH386</f>
        <v>9468.28327003328</v>
      </c>
      <c r="AI162" s="15" t="n">
        <f aca="false">AI386</f>
        <v>9477.18243071973</v>
      </c>
      <c r="AJ162" s="15" t="n">
        <f aca="false">AJ386</f>
        <v>9484.7626887857</v>
      </c>
      <c r="AK162" s="15" t="n">
        <f aca="false">AK386</f>
        <v>9490.98134642328</v>
      </c>
      <c r="AL162" s="15" t="n">
        <f aca="false">AL386</f>
        <v>9495.7945929182</v>
      </c>
      <c r="AM162" s="15" t="n">
        <f aca="false">AM386</f>
        <v>9499.15747699973</v>
      </c>
      <c r="AN162" s="15" t="n">
        <f aca="false">AN386</f>
        <v>9501.02387851128</v>
      </c>
      <c r="AO162" s="15" t="n">
        <f aca="false">AO386</f>
        <v>9501.34647938509</v>
      </c>
      <c r="AP162" s="15" t="n">
        <f aca="false">AP386</f>
        <v>9500.07673390371</v>
      </c>
      <c r="AQ162" s="15" t="n">
        <f aca="false">AQ386</f>
        <v>9497.16483823106</v>
      </c>
      <c r="AR162" s="15" t="n">
        <f aca="false">AR386</f>
        <v>9492.55969919502</v>
      </c>
      <c r="AS162" s="15" t="n">
        <f aca="false">AS386</f>
        <v>4743.10445115153</v>
      </c>
    </row>
    <row r="163" customFormat="false" ht="14.25" hidden="false" customHeight="false" outlineLevel="0" collapsed="false">
      <c r="C163" s="1" t="s">
        <v>162</v>
      </c>
      <c r="D163" s="2" t="s">
        <v>85</v>
      </c>
      <c r="H163" s="15" t="n">
        <f aca="false">SUM(J163:AS163)</f>
        <v>177841.52853484</v>
      </c>
      <c r="J163" s="15" t="n">
        <f aca="false">J389</f>
        <v>0</v>
      </c>
      <c r="K163" s="15" t="n">
        <f aca="false">K389</f>
        <v>0</v>
      </c>
      <c r="L163" s="15" t="n">
        <f aca="false">L389</f>
        <v>0</v>
      </c>
      <c r="M163" s="15" t="n">
        <f aca="false">M389</f>
        <v>-33450.8995260274</v>
      </c>
      <c r="N163" s="15" t="n">
        <f aca="false">N389</f>
        <v>-26389</v>
      </c>
      <c r="O163" s="15" t="n">
        <f aca="false">O389</f>
        <v>-9800.57505050548</v>
      </c>
      <c r="P163" s="15" t="n">
        <f aca="false">P389</f>
        <v>8297.14835036852</v>
      </c>
      <c r="Q163" s="15" t="n">
        <f aca="false">Q389</f>
        <v>10262.1031051633</v>
      </c>
      <c r="R163" s="15" t="n">
        <f aca="false">R389</f>
        <v>8341.52047911478</v>
      </c>
      <c r="S163" s="15" t="n">
        <f aca="false">S389</f>
        <v>8362.77502973603</v>
      </c>
      <c r="T163" s="15" t="n">
        <f aca="false">T389</f>
        <v>8383.37769345016</v>
      </c>
      <c r="U163" s="15" t="n">
        <f aca="false">U389</f>
        <v>8403.30453753278</v>
      </c>
      <c r="V163" s="15" t="n">
        <f aca="false">V389</f>
        <v>8422.53099113321</v>
      </c>
      <c r="W163" s="15" t="n">
        <f aca="false">W389</f>
        <v>8441.03182933797</v>
      </c>
      <c r="X163" s="15" t="n">
        <f aca="false">X389</f>
        <v>8458.78115684229</v>
      </c>
      <c r="Y163" s="15" t="n">
        <f aca="false">Y389</f>
        <v>8475.75239122029</v>
      </c>
      <c r="Z163" s="15" t="n">
        <f aca="false">Z389</f>
        <v>8491.91824578375</v>
      </c>
      <c r="AA163" s="15" t="n">
        <f aca="false">AA389</f>
        <v>8507.25071201958</v>
      </c>
      <c r="AB163" s="15" t="n">
        <f aca="false">AB389</f>
        <v>8521.72104159544</v>
      </c>
      <c r="AC163" s="15" t="n">
        <f aca="false">AC389</f>
        <v>8535.29972792319</v>
      </c>
      <c r="AD163" s="15" t="n">
        <f aca="false">AD389</f>
        <v>8547.95648726908</v>
      </c>
      <c r="AE163" s="15" t="n">
        <f aca="false">AE389</f>
        <v>8559.66023939966</v>
      </c>
      <c r="AF163" s="15" t="n">
        <f aca="false">AF389</f>
        <v>8570.37908775212</v>
      </c>
      <c r="AG163" s="15" t="n">
        <f aca="false">AG389</f>
        <v>8580.08029911718</v>
      </c>
      <c r="AH163" s="15" t="n">
        <f aca="false">AH389</f>
        <v>8588.7302828228</v>
      </c>
      <c r="AI163" s="15" t="n">
        <f aca="false">AI389</f>
        <v>8055.60506611177</v>
      </c>
      <c r="AJ163" s="15" t="n">
        <f aca="false">AJ389</f>
        <v>8062.04828546784</v>
      </c>
      <c r="AK163" s="15" t="n">
        <f aca="false">AK389</f>
        <v>8067.33414445979</v>
      </c>
      <c r="AL163" s="15" t="n">
        <f aca="false">AL389</f>
        <v>8071.42540398047</v>
      </c>
      <c r="AM163" s="15" t="n">
        <f aca="false">AM389</f>
        <v>8074.28385544977</v>
      </c>
      <c r="AN163" s="15" t="n">
        <f aca="false">AN389</f>
        <v>8075.87029673459</v>
      </c>
      <c r="AO163" s="15" t="n">
        <f aca="false">AO389</f>
        <v>8076.14450747733</v>
      </c>
      <c r="AP163" s="15" t="n">
        <f aca="false">AP389</f>
        <v>8075.06522381815</v>
      </c>
      <c r="AQ163" s="15" t="n">
        <f aca="false">AQ389</f>
        <v>8072.5901124964</v>
      </c>
      <c r="AR163" s="15" t="n">
        <f aca="false">AR389</f>
        <v>8068.67574431577</v>
      </c>
      <c r="AS163" s="15" t="n">
        <f aca="false">AS389</f>
        <v>4031.6387834788</v>
      </c>
    </row>
    <row r="164" customFormat="false" ht="14.25" hidden="false" customHeight="false" outlineLevel="0" collapsed="false">
      <c r="C164" s="1" t="s">
        <v>163</v>
      </c>
      <c r="D164" s="2" t="s">
        <v>85</v>
      </c>
      <c r="H164" s="15" t="n">
        <f aca="false">SUM(J164:AS164)</f>
        <v>161475.325852493</v>
      </c>
      <c r="J164" s="15" t="n">
        <f aca="false">J396</f>
        <v>0</v>
      </c>
      <c r="K164" s="15" t="n">
        <f aca="false">K396</f>
        <v>0</v>
      </c>
      <c r="L164" s="15" t="n">
        <f aca="false">L396</f>
        <v>0</v>
      </c>
      <c r="M164" s="15" t="n">
        <f aca="false">M396</f>
        <v>-33450.8995260274</v>
      </c>
      <c r="N164" s="15" t="n">
        <f aca="false">N396</f>
        <v>-26389</v>
      </c>
      <c r="O164" s="15" t="n">
        <f aca="false">O396</f>
        <v>33454.5852130562</v>
      </c>
      <c r="P164" s="15" t="n">
        <f aca="false">P396</f>
        <v>4454.26096164922</v>
      </c>
      <c r="Q164" s="15" t="n">
        <f aca="false">Q396</f>
        <v>6404.18164336263</v>
      </c>
      <c r="R164" s="15" t="n">
        <f aca="false">R396</f>
        <v>4467.81324057864</v>
      </c>
      <c r="S164" s="15" t="n">
        <f aca="false">S396</f>
        <v>4472.49272562766</v>
      </c>
      <c r="T164" s="15" t="n">
        <f aca="false">T396</f>
        <v>4475.69157049095</v>
      </c>
      <c r="U164" s="15" t="n">
        <f aca="false">U396</f>
        <v>4477.34440478019</v>
      </c>
      <c r="V164" s="15" t="n">
        <f aca="false">V396</f>
        <v>4477.38314809758</v>
      </c>
      <c r="W164" s="15" t="n">
        <f aca="false">W396</f>
        <v>4475.73689050513</v>
      </c>
      <c r="X164" s="15" t="n">
        <f aca="false">X396</f>
        <v>4472.33176742239</v>
      </c>
      <c r="Y164" s="15" t="n">
        <f aca="false">Y396</f>
        <v>4467.09082868398</v>
      </c>
      <c r="Z164" s="15" t="n">
        <f aca="false">Z396</f>
        <v>4459.93390147521</v>
      </c>
      <c r="AA164" s="15" t="n">
        <f aca="false">AA396</f>
        <v>4450.77744685018</v>
      </c>
      <c r="AB164" s="15" t="n">
        <f aca="false">AB396</f>
        <v>4439.53440952216</v>
      </c>
      <c r="AC164" s="15" t="n">
        <f aca="false">AC396</f>
        <v>4426.11406060083</v>
      </c>
      <c r="AD164" s="15" t="n">
        <f aca="false">AD396</f>
        <v>4410.42183293517</v>
      </c>
      <c r="AE164" s="15" t="n">
        <f aca="false">AE396</f>
        <v>8559.66023939966</v>
      </c>
      <c r="AF164" s="15" t="n">
        <f aca="false">AF396</f>
        <v>8570.37908775212</v>
      </c>
      <c r="AG164" s="15" t="n">
        <f aca="false">AG396</f>
        <v>8580.08029911718</v>
      </c>
      <c r="AH164" s="15" t="n">
        <f aca="false">AH396</f>
        <v>8588.7302828228</v>
      </c>
      <c r="AI164" s="15" t="n">
        <f aca="false">AI396</f>
        <v>8055.60506611177</v>
      </c>
      <c r="AJ164" s="15" t="n">
        <f aca="false">AJ396</f>
        <v>8062.04828546784</v>
      </c>
      <c r="AK164" s="15" t="n">
        <f aca="false">AK396</f>
        <v>8067.33414445979</v>
      </c>
      <c r="AL164" s="15" t="n">
        <f aca="false">AL396</f>
        <v>8071.42540398047</v>
      </c>
      <c r="AM164" s="15" t="n">
        <f aca="false">AM396</f>
        <v>8074.28385544977</v>
      </c>
      <c r="AN164" s="15" t="n">
        <f aca="false">AN396</f>
        <v>8075.87029673459</v>
      </c>
      <c r="AO164" s="15" t="n">
        <f aca="false">AO396</f>
        <v>8076.14450747733</v>
      </c>
      <c r="AP164" s="15" t="n">
        <f aca="false">AP396</f>
        <v>8075.06522381815</v>
      </c>
      <c r="AQ164" s="15" t="n">
        <f aca="false">AQ396</f>
        <v>8072.5901124964</v>
      </c>
      <c r="AR164" s="15" t="n">
        <f aca="false">AR396</f>
        <v>8068.67574431577</v>
      </c>
      <c r="AS164" s="15" t="n">
        <f aca="false">AS396</f>
        <v>4031.6387834788</v>
      </c>
    </row>
    <row r="165" customFormat="false" ht="14.25" hidden="false" customHeight="false" outlineLevel="0" collapsed="false">
      <c r="C165" s="6" t="s">
        <v>164</v>
      </c>
      <c r="D165" s="2" t="s">
        <v>85</v>
      </c>
      <c r="J165" s="8" t="n">
        <f aca="false">SUM($J162:J162)</f>
        <v>0</v>
      </c>
      <c r="K165" s="8" t="n">
        <f aca="false">SUM($J162:K162)</f>
        <v>0</v>
      </c>
      <c r="L165" s="8" t="n">
        <f aca="false">SUM($J162:L162)</f>
        <v>0</v>
      </c>
      <c r="M165" s="8" t="n">
        <f aca="false">SUM($J162:M162)</f>
        <v>-33450.8995260274</v>
      </c>
      <c r="N165" s="8" t="n">
        <f aca="false">SUM($J162:N162)</f>
        <v>-59839.8995260274</v>
      </c>
      <c r="O165" s="8" t="n">
        <f aca="false">SUM($J162:O162)</f>
        <v>-69501.1813540274</v>
      </c>
      <c r="P165" s="8" t="n">
        <f aca="false">SUM($J162:P162)</f>
        <v>-60375.9356515874</v>
      </c>
      <c r="Q165" s="8" t="n">
        <f aca="false">SUM($J162:Q162)</f>
        <v>-49281.766547052</v>
      </c>
      <c r="R165" s="8" t="n">
        <f aca="false">SUM($J162:R162)</f>
        <v>-40104.3183402046</v>
      </c>
      <c r="S165" s="8" t="n">
        <f aca="false">SUM($J162:S162)</f>
        <v>-30901.8647796852</v>
      </c>
      <c r="T165" s="8" t="n">
        <f aca="false">SUM($J162:T162)</f>
        <v>-21675.1727912668</v>
      </c>
      <c r="U165" s="8" t="n">
        <f aca="false">SUM($J162:U162)</f>
        <v>-12425.0374568688</v>
      </c>
      <c r="V165" s="8" t="n">
        <f aca="false">SUM($J162:V162)</f>
        <v>-3152.28276529391</v>
      </c>
      <c r="W165" s="8" t="n">
        <f aca="false">SUM($J162:W162)</f>
        <v>6142.23761828661</v>
      </c>
      <c r="X165" s="8" t="n">
        <f aca="false">SUM($J162:X162)</f>
        <v>15457.6395636369</v>
      </c>
      <c r="Y165" s="8" t="n">
        <f aca="false">SUM($J162:Y162)</f>
        <v>24793.007667079</v>
      </c>
      <c r="Z165" s="8" t="n">
        <f aca="false">SUM($J162:Z162)</f>
        <v>34147.3944229487</v>
      </c>
      <c r="AA165" s="8" t="n">
        <f aca="false">SUM($J162:AA162)</f>
        <v>43519.8193743899</v>
      </c>
      <c r="AB165" s="8" t="n">
        <f aca="false">SUM($J162:AB162)</f>
        <v>52909.2682429792</v>
      </c>
      <c r="AC165" s="8" t="n">
        <f aca="false">SUM($J162:AC162)</f>
        <v>62314.69203666</v>
      </c>
      <c r="AD165" s="8" t="n">
        <f aca="false">SUM($J162:AD162)</f>
        <v>71735.0061354536</v>
      </c>
      <c r="AE165" s="8" t="n">
        <f aca="false">SUM($J162:AE162)</f>
        <v>81169.0893544008</v>
      </c>
      <c r="AF165" s="8" t="n">
        <f aca="false">SUM($J162:AF162)</f>
        <v>90615.7829831745</v>
      </c>
      <c r="AG165" s="8" t="n">
        <f aca="false">SUM($J162:AG162)</f>
        <v>100073.889801789</v>
      </c>
      <c r="AH165" s="8" t="n">
        <f aca="false">SUM($J162:AH162)</f>
        <v>109542.173071823</v>
      </c>
      <c r="AI165" s="8" t="n">
        <f aca="false">SUM($J162:AI162)</f>
        <v>119019.355502542</v>
      </c>
      <c r="AJ165" s="8" t="n">
        <f aca="false">SUM($J162:AJ162)</f>
        <v>128504.118191328</v>
      </c>
      <c r="AK165" s="8" t="n">
        <f aca="false">SUM($J162:AK162)</f>
        <v>137995.099537751</v>
      </c>
      <c r="AL165" s="8" t="n">
        <f aca="false">SUM($J162:AL162)</f>
        <v>147490.89413067</v>
      </c>
      <c r="AM165" s="8" t="n">
        <f aca="false">SUM($J162:AM162)</f>
        <v>156990.051607669</v>
      </c>
      <c r="AN165" s="8" t="n">
        <f aca="false">SUM($J162:AN162)</f>
        <v>166491.075486181</v>
      </c>
      <c r="AO165" s="8" t="n">
        <f aca="false">SUM($J162:AO162)</f>
        <v>175992.421965566</v>
      </c>
      <c r="AP165" s="8" t="n">
        <f aca="false">SUM($J162:AP162)</f>
        <v>185492.498699469</v>
      </c>
      <c r="AQ165" s="8" t="n">
        <f aca="false">SUM($J162:AQ162)</f>
        <v>194989.6635377</v>
      </c>
      <c r="AR165" s="8" t="n">
        <f aca="false">SUM($J162:AR162)</f>
        <v>204482.223236895</v>
      </c>
      <c r="AS165" s="8" t="n">
        <f aca="false">SUM($J162:AS162)</f>
        <v>209225.327688047</v>
      </c>
    </row>
    <row r="167" customFormat="false" ht="14.25" hidden="false" customHeight="false" outlineLevel="0" collapsed="false">
      <c r="C167" s="42" t="s">
        <v>6</v>
      </c>
      <c r="D167" s="42"/>
      <c r="E167" s="43"/>
      <c r="F167" s="43"/>
      <c r="G167" s="43"/>
      <c r="H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</row>
    <row r="168" customFormat="false" ht="14.25" hidden="false" customHeight="false" outlineLevel="0" collapsed="false">
      <c r="C168" s="6" t="s">
        <v>165</v>
      </c>
      <c r="D168" s="2" t="s">
        <v>85</v>
      </c>
      <c r="H168" s="8" t="n">
        <f aca="false">SUM(J168:AS168)</f>
        <v>-76800.0592465753</v>
      </c>
      <c r="J168" s="8" t="n">
        <f aca="false">J423</f>
        <v>0</v>
      </c>
      <c r="K168" s="8" t="n">
        <f aca="false">K423</f>
        <v>0</v>
      </c>
      <c r="L168" s="8" t="n">
        <f aca="false">L423</f>
        <v>0</v>
      </c>
      <c r="M168" s="8" t="n">
        <f aca="false">M423</f>
        <v>-29757.5797945206</v>
      </c>
      <c r="N168" s="8" t="n">
        <f aca="false">N423</f>
        <v>-31358</v>
      </c>
      <c r="O168" s="8" t="n">
        <f aca="false">O423</f>
        <v>-18179</v>
      </c>
      <c r="P168" s="8" t="n">
        <f aca="false">P423</f>
        <v>0</v>
      </c>
      <c r="Q168" s="8" t="n">
        <f aca="false">Q423</f>
        <v>2494.52054794521</v>
      </c>
      <c r="R168" s="8" t="n">
        <f aca="false">R423</f>
        <v>0</v>
      </c>
      <c r="S168" s="8" t="n">
        <f aca="false">S423</f>
        <v>0</v>
      </c>
      <c r="T168" s="8" t="n">
        <f aca="false">T423</f>
        <v>0</v>
      </c>
      <c r="U168" s="8" t="n">
        <f aca="false">U423</f>
        <v>0</v>
      </c>
      <c r="V168" s="8" t="n">
        <f aca="false">V423</f>
        <v>0</v>
      </c>
      <c r="W168" s="8" t="n">
        <f aca="false">W423</f>
        <v>0</v>
      </c>
      <c r="X168" s="8" t="n">
        <f aca="false">X423</f>
        <v>0</v>
      </c>
      <c r="Y168" s="8" t="n">
        <f aca="false">Y423</f>
        <v>0</v>
      </c>
      <c r="Z168" s="8" t="n">
        <f aca="false">Z423</f>
        <v>0</v>
      </c>
      <c r="AA168" s="8" t="n">
        <f aca="false">AA423</f>
        <v>0</v>
      </c>
      <c r="AB168" s="8" t="n">
        <f aca="false">AB423</f>
        <v>0</v>
      </c>
      <c r="AC168" s="8" t="n">
        <f aca="false">AC423</f>
        <v>0</v>
      </c>
      <c r="AD168" s="8" t="n">
        <f aca="false">AD423</f>
        <v>0</v>
      </c>
      <c r="AE168" s="8" t="n">
        <f aca="false">AE423</f>
        <v>0</v>
      </c>
      <c r="AF168" s="8" t="n">
        <f aca="false">AF423</f>
        <v>0</v>
      </c>
      <c r="AG168" s="8" t="n">
        <f aca="false">AG423</f>
        <v>0</v>
      </c>
      <c r="AH168" s="8" t="n">
        <f aca="false">AH423</f>
        <v>0</v>
      </c>
      <c r="AI168" s="8" t="n">
        <f aca="false">AI423</f>
        <v>0</v>
      </c>
      <c r="AJ168" s="8" t="n">
        <f aca="false">AJ423</f>
        <v>0</v>
      </c>
      <c r="AK168" s="8" t="n">
        <f aca="false">AK423</f>
        <v>0</v>
      </c>
      <c r="AL168" s="8" t="n">
        <f aca="false">AL423</f>
        <v>0</v>
      </c>
      <c r="AM168" s="8" t="n">
        <f aca="false">AM423</f>
        <v>0</v>
      </c>
      <c r="AN168" s="8" t="n">
        <f aca="false">AN423</f>
        <v>0</v>
      </c>
      <c r="AO168" s="8" t="n">
        <f aca="false">AO423</f>
        <v>0</v>
      </c>
      <c r="AP168" s="8" t="n">
        <f aca="false">AP423</f>
        <v>0</v>
      </c>
      <c r="AQ168" s="8" t="n">
        <f aca="false">AQ423</f>
        <v>0</v>
      </c>
      <c r="AR168" s="8" t="n">
        <f aca="false">AR423</f>
        <v>0</v>
      </c>
      <c r="AS168" s="8" t="n">
        <f aca="false">AS423</f>
        <v>0</v>
      </c>
    </row>
    <row r="169" customFormat="false" ht="14.25" hidden="false" customHeight="false" outlineLevel="0" collapsed="false">
      <c r="C169" s="6" t="s">
        <v>158</v>
      </c>
      <c r="D169" s="2" t="s">
        <v>85</v>
      </c>
      <c r="H169" s="8" t="n">
        <f aca="false">SUM(J169:AS169)</f>
        <v>446130.685729454</v>
      </c>
      <c r="J169" s="8" t="n">
        <f aca="false">J427</f>
        <v>0</v>
      </c>
      <c r="K169" s="8" t="n">
        <f aca="false">K427</f>
        <v>0</v>
      </c>
      <c r="L169" s="8" t="n">
        <f aca="false">L427</f>
        <v>0</v>
      </c>
      <c r="M169" s="8" t="n">
        <f aca="false">M427</f>
        <v>0</v>
      </c>
      <c r="N169" s="8" t="n">
        <f aca="false">N427</f>
        <v>0</v>
      </c>
      <c r="O169" s="8" t="n">
        <f aca="false">O427</f>
        <v>6667.92</v>
      </c>
      <c r="P169" s="8" t="n">
        <f aca="false">P427</f>
        <v>13469.1984</v>
      </c>
      <c r="Q169" s="8" t="n">
        <f aca="false">Q427</f>
        <v>13563.078712848</v>
      </c>
      <c r="R169" s="8" t="n">
        <f aca="false">R427</f>
        <v>13657.6133714766</v>
      </c>
      <c r="S169" s="8" t="n">
        <f aca="false">S427</f>
        <v>13752.8069366757</v>
      </c>
      <c r="T169" s="8" t="n">
        <f aca="false">T427</f>
        <v>13848.6640010244</v>
      </c>
      <c r="U169" s="8" t="n">
        <f aca="false">U427</f>
        <v>13945.1891891115</v>
      </c>
      <c r="V169" s="8" t="n">
        <f aca="false">V427</f>
        <v>14042.3871577596</v>
      </c>
      <c r="W169" s="8" t="n">
        <f aca="false">W427</f>
        <v>14140.2625962492</v>
      </c>
      <c r="X169" s="8" t="n">
        <f aca="false">X427</f>
        <v>14238.8202265451</v>
      </c>
      <c r="Y169" s="8" t="n">
        <f aca="false">Y427</f>
        <v>14338.0648035241</v>
      </c>
      <c r="Z169" s="8" t="n">
        <f aca="false">Z427</f>
        <v>14438.0011152046</v>
      </c>
      <c r="AA169" s="8" t="n">
        <f aca="false">AA427</f>
        <v>14538.6339829776</v>
      </c>
      <c r="AB169" s="8" t="n">
        <f aca="false">AB427</f>
        <v>14639.968261839</v>
      </c>
      <c r="AC169" s="8" t="n">
        <f aca="false">AC427</f>
        <v>14742.008840624</v>
      </c>
      <c r="AD169" s="8" t="n">
        <f aca="false">AD427</f>
        <v>14844.7606422431</v>
      </c>
      <c r="AE169" s="8" t="n">
        <f aca="false">AE427</f>
        <v>14948.2286239196</v>
      </c>
      <c r="AF169" s="8" t="n">
        <f aca="false">AF427</f>
        <v>15052.4177774283</v>
      </c>
      <c r="AG169" s="8" t="n">
        <f aca="false">AG427</f>
        <v>15157.333129337</v>
      </c>
      <c r="AH169" s="8" t="n">
        <f aca="false">AH427</f>
        <v>15262.9797412485</v>
      </c>
      <c r="AI169" s="8" t="n">
        <f aca="false">AI427</f>
        <v>15369.362710045</v>
      </c>
      <c r="AJ169" s="8" t="n">
        <f aca="false">AJ427</f>
        <v>15476.487168134</v>
      </c>
      <c r="AK169" s="8" t="n">
        <f aca="false">AK427</f>
        <v>15584.3582836959</v>
      </c>
      <c r="AL169" s="8" t="n">
        <f aca="false">AL427</f>
        <v>15692.9812609332</v>
      </c>
      <c r="AM169" s="8" t="n">
        <f aca="false">AM427</f>
        <v>15802.3613403219</v>
      </c>
      <c r="AN169" s="8" t="n">
        <f aca="false">AN427</f>
        <v>15912.503798864</v>
      </c>
      <c r="AO169" s="8" t="n">
        <f aca="false">AO427</f>
        <v>16023.4139503421</v>
      </c>
      <c r="AP169" s="8" t="n">
        <f aca="false">AP427</f>
        <v>16135.0971455759</v>
      </c>
      <c r="AQ169" s="8" t="n">
        <f aca="false">AQ427</f>
        <v>16247.5587726806</v>
      </c>
      <c r="AR169" s="8" t="n">
        <f aca="false">AR427</f>
        <v>16360.8042573262</v>
      </c>
      <c r="AS169" s="8" t="n">
        <f aca="false">AS427</f>
        <v>8237.41953149987</v>
      </c>
    </row>
    <row r="170" customFormat="false" ht="14.25" hidden="false" customHeight="false" outlineLevel="0" collapsed="false">
      <c r="C170" s="6" t="s">
        <v>159</v>
      </c>
      <c r="D170" s="2" t="s">
        <v>85</v>
      </c>
      <c r="H170" s="8" t="n">
        <f aca="false">SUM(J170:AS170)</f>
        <v>-130425.697623429</v>
      </c>
      <c r="J170" s="8" t="n">
        <f aca="false">J436</f>
        <v>0</v>
      </c>
      <c r="K170" s="8" t="n">
        <f aca="false">K436</f>
        <v>0</v>
      </c>
      <c r="L170" s="8" t="n">
        <f aca="false">L436</f>
        <v>0</v>
      </c>
      <c r="M170" s="8" t="n">
        <f aca="false">M436</f>
        <v>0</v>
      </c>
      <c r="N170" s="8" t="n">
        <f aca="false">N436</f>
        <v>0</v>
      </c>
      <c r="O170" s="8" t="n">
        <f aca="false">O436</f>
        <v>-1598.148216</v>
      </c>
      <c r="P170" s="8" t="n">
        <f aca="false">P436</f>
        <v>-3260.87985132</v>
      </c>
      <c r="Q170" s="8" t="n">
        <f aca="false">Q436</f>
        <v>-3322.39115932295</v>
      </c>
      <c r="R170" s="8" t="n">
        <f aca="false">R436</f>
        <v>-3385.38820151339</v>
      </c>
      <c r="S170" s="8" t="n">
        <f aca="false">S436</f>
        <v>-3449.90658222877</v>
      </c>
      <c r="T170" s="8" t="n">
        <f aca="false">T436</f>
        <v>-3515.98276867813</v>
      </c>
      <c r="U170" s="8" t="n">
        <f aca="false">U436</f>
        <v>-3583.65411193425</v>
      </c>
      <c r="V170" s="8" t="n">
        <f aca="false">V436</f>
        <v>-3652.95886843809</v>
      </c>
      <c r="W170" s="8" t="n">
        <f aca="false">W436</f>
        <v>-3723.93622202803</v>
      </c>
      <c r="X170" s="8" t="n">
        <f aca="false">X436</f>
        <v>-3796.62630650685</v>
      </c>
      <c r="Y170" s="8" t="n">
        <f aca="false">Y436</f>
        <v>-3871.07022875947</v>
      </c>
      <c r="Z170" s="8" t="n">
        <f aca="false">Z436</f>
        <v>-3947.31009243507</v>
      </c>
      <c r="AA170" s="8" t="n">
        <f aca="false">AA436</f>
        <v>-4025.38902220729</v>
      </c>
      <c r="AB170" s="8" t="n">
        <f aca="false">AB436</f>
        <v>-4105.3511886267</v>
      </c>
      <c r="AC170" s="8" t="n">
        <f aca="false">AC436</f>
        <v>-4187.24183358009</v>
      </c>
      <c r="AD170" s="8" t="n">
        <f aca="false">AD436</f>
        <v>-4271.10729637127</v>
      </c>
      <c r="AE170" s="8" t="n">
        <f aca="false">AE436</f>
        <v>-4356.99504043889</v>
      </c>
      <c r="AF170" s="8" t="n">
        <f aca="false">AF436</f>
        <v>-4444.95368072645</v>
      </c>
      <c r="AG170" s="8" t="n">
        <f aca="false">AG436</f>
        <v>-4535.0330117209</v>
      </c>
      <c r="AH170" s="8" t="n">
        <f aca="false">AH436</f>
        <v>-4627.28403617592</v>
      </c>
      <c r="AI170" s="8" t="n">
        <f aca="false">AI436</f>
        <v>-4721.75899453672</v>
      </c>
      <c r="AJ170" s="8" t="n">
        <f aca="false">AJ436</f>
        <v>-4818.51139508354</v>
      </c>
      <c r="AK170" s="8" t="n">
        <f aca="false">AK436</f>
        <v>-4917.59604481147</v>
      </c>
      <c r="AL170" s="8" t="n">
        <f aca="false">AL436</f>
        <v>-5019.06908106463</v>
      </c>
      <c r="AM170" s="8" t="n">
        <f aca="false">AM436</f>
        <v>-5122.98800394303</v>
      </c>
      <c r="AN170" s="8" t="n">
        <f aca="false">AN436</f>
        <v>-5229.41170950133</v>
      </c>
      <c r="AO170" s="8" t="n">
        <f aca="false">AO436</f>
        <v>-5338.40052375853</v>
      </c>
      <c r="AP170" s="8" t="n">
        <f aca="false">AP436</f>
        <v>-5450.01623753884</v>
      </c>
      <c r="AQ170" s="8" t="n">
        <f aca="false">AQ436</f>
        <v>-5564.32214216366</v>
      </c>
      <c r="AR170" s="8" t="n">
        <f aca="false">AR436</f>
        <v>-5681.38306601601</v>
      </c>
      <c r="AS170" s="8" t="n">
        <f aca="false">AS436</f>
        <v>-2900.63270599912</v>
      </c>
    </row>
    <row r="171" customFormat="false" ht="14.25" hidden="false" customHeight="false" outlineLevel="0" collapsed="false">
      <c r="C171" s="6" t="s">
        <v>160</v>
      </c>
      <c r="D171" s="2" t="s">
        <v>85</v>
      </c>
      <c r="H171" s="8" t="n">
        <f aca="false">SUM(J171:AS171)</f>
        <v>315704.988106025</v>
      </c>
      <c r="J171" s="8" t="n">
        <f aca="false">J437</f>
        <v>0</v>
      </c>
      <c r="K171" s="8" t="n">
        <f aca="false">K437</f>
        <v>0</v>
      </c>
      <c r="L171" s="8" t="n">
        <f aca="false">L437</f>
        <v>0</v>
      </c>
      <c r="M171" s="8" t="n">
        <f aca="false">M437</f>
        <v>0</v>
      </c>
      <c r="N171" s="8" t="n">
        <f aca="false">N437</f>
        <v>0</v>
      </c>
      <c r="O171" s="8" t="n">
        <f aca="false">O437</f>
        <v>5069.771784</v>
      </c>
      <c r="P171" s="8" t="n">
        <f aca="false">P437</f>
        <v>10208.31854868</v>
      </c>
      <c r="Q171" s="8" t="n">
        <f aca="false">Q437</f>
        <v>10240.6875535251</v>
      </c>
      <c r="R171" s="8" t="n">
        <f aca="false">R437</f>
        <v>10272.2251699632</v>
      </c>
      <c r="S171" s="8" t="n">
        <f aca="false">S437</f>
        <v>10302.900354447</v>
      </c>
      <c r="T171" s="8" t="n">
        <f aca="false">T437</f>
        <v>10332.6812323462</v>
      </c>
      <c r="U171" s="8" t="n">
        <f aca="false">U437</f>
        <v>10361.5350771773</v>
      </c>
      <c r="V171" s="8" t="n">
        <f aca="false">V437</f>
        <v>10389.4282893215</v>
      </c>
      <c r="W171" s="8" t="n">
        <f aca="false">W437</f>
        <v>10416.3263742212</v>
      </c>
      <c r="X171" s="8" t="n">
        <f aca="false">X437</f>
        <v>10442.1939200382</v>
      </c>
      <c r="Y171" s="8" t="n">
        <f aca="false">Y437</f>
        <v>10466.9945747646</v>
      </c>
      <c r="Z171" s="8" t="n">
        <f aca="false">Z437</f>
        <v>10490.6910227696</v>
      </c>
      <c r="AA171" s="8" t="n">
        <f aca="false">AA437</f>
        <v>10513.2449607703</v>
      </c>
      <c r="AB171" s="8" t="n">
        <f aca="false">AB437</f>
        <v>10534.6170732123</v>
      </c>
      <c r="AC171" s="8" t="n">
        <f aca="false">AC437</f>
        <v>10554.7670070439</v>
      </c>
      <c r="AD171" s="8" t="n">
        <f aca="false">AD437</f>
        <v>10573.6533458719</v>
      </c>
      <c r="AE171" s="8" t="n">
        <f aca="false">AE437</f>
        <v>10591.2335834807</v>
      </c>
      <c r="AF171" s="8" t="n">
        <f aca="false">AF437</f>
        <v>10607.4640967019</v>
      </c>
      <c r="AG171" s="8" t="n">
        <f aca="false">AG437</f>
        <v>10622.3001176161</v>
      </c>
      <c r="AH171" s="8" t="n">
        <f aca="false">AH437</f>
        <v>10635.6957050725</v>
      </c>
      <c r="AI171" s="8" t="n">
        <f aca="false">AI437</f>
        <v>10647.6037155082</v>
      </c>
      <c r="AJ171" s="8" t="n">
        <f aca="false">AJ437</f>
        <v>10657.9757730504</v>
      </c>
      <c r="AK171" s="8" t="n">
        <f aca="false">AK437</f>
        <v>10666.7622388844</v>
      </c>
      <c r="AL171" s="8" t="n">
        <f aca="false">AL437</f>
        <v>10673.9121798686</v>
      </c>
      <c r="AM171" s="8" t="n">
        <f aca="false">AM437</f>
        <v>10679.3733363789</v>
      </c>
      <c r="AN171" s="8" t="n">
        <f aca="false">AN437</f>
        <v>10683.0920893626</v>
      </c>
      <c r="AO171" s="8" t="n">
        <f aca="false">AO437</f>
        <v>10685.0134265835</v>
      </c>
      <c r="AP171" s="8" t="n">
        <f aca="false">AP437</f>
        <v>10685.0809080371</v>
      </c>
      <c r="AQ171" s="8" t="n">
        <f aca="false">AQ437</f>
        <v>10683.2366305169</v>
      </c>
      <c r="AR171" s="8" t="n">
        <f aca="false">AR437</f>
        <v>10679.4211913102</v>
      </c>
      <c r="AS171" s="8" t="n">
        <f aca="false">AS437</f>
        <v>5336.78682550075</v>
      </c>
    </row>
    <row r="172" customFormat="false" ht="14.25" hidden="false" customHeight="false" outlineLevel="0" collapsed="false">
      <c r="C172" s="1" t="s">
        <v>161</v>
      </c>
      <c r="D172" s="2" t="s">
        <v>85</v>
      </c>
      <c r="H172" s="15" t="n">
        <f aca="false">SUM(J172:AS172)</f>
        <v>238904.92885945</v>
      </c>
      <c r="J172" s="15" t="n">
        <f aca="false">J438</f>
        <v>0</v>
      </c>
      <c r="K172" s="15" t="n">
        <f aca="false">K438</f>
        <v>0</v>
      </c>
      <c r="L172" s="15" t="n">
        <f aca="false">L438</f>
        <v>0</v>
      </c>
      <c r="M172" s="15" t="n">
        <f aca="false">M438</f>
        <v>-29757.5797945206</v>
      </c>
      <c r="N172" s="15" t="n">
        <f aca="false">N438</f>
        <v>-31358</v>
      </c>
      <c r="O172" s="15" t="n">
        <f aca="false">O438</f>
        <v>-13109.228216</v>
      </c>
      <c r="P172" s="15" t="n">
        <f aca="false">P438</f>
        <v>10208.31854868</v>
      </c>
      <c r="Q172" s="15" t="n">
        <f aca="false">Q438</f>
        <v>12735.2081014703</v>
      </c>
      <c r="R172" s="15" t="n">
        <f aca="false">R438</f>
        <v>10272.2251699632</v>
      </c>
      <c r="S172" s="15" t="n">
        <f aca="false">S438</f>
        <v>10302.900354447</v>
      </c>
      <c r="T172" s="15" t="n">
        <f aca="false">T438</f>
        <v>10332.6812323462</v>
      </c>
      <c r="U172" s="15" t="n">
        <f aca="false">U438</f>
        <v>10361.5350771773</v>
      </c>
      <c r="V172" s="15" t="n">
        <f aca="false">V438</f>
        <v>10389.4282893215</v>
      </c>
      <c r="W172" s="15" t="n">
        <f aca="false">W438</f>
        <v>10416.3263742212</v>
      </c>
      <c r="X172" s="15" t="n">
        <f aca="false">X438</f>
        <v>10442.1939200382</v>
      </c>
      <c r="Y172" s="15" t="n">
        <f aca="false">Y438</f>
        <v>10466.9945747646</v>
      </c>
      <c r="Z172" s="15" t="n">
        <f aca="false">Z438</f>
        <v>10490.6910227696</v>
      </c>
      <c r="AA172" s="15" t="n">
        <f aca="false">AA438</f>
        <v>10513.2449607703</v>
      </c>
      <c r="AB172" s="15" t="n">
        <f aca="false">AB438</f>
        <v>10534.6170732123</v>
      </c>
      <c r="AC172" s="15" t="n">
        <f aca="false">AC438</f>
        <v>10554.7670070439</v>
      </c>
      <c r="AD172" s="15" t="n">
        <f aca="false">AD438</f>
        <v>10573.6533458719</v>
      </c>
      <c r="AE172" s="15" t="n">
        <f aca="false">AE438</f>
        <v>10591.2335834807</v>
      </c>
      <c r="AF172" s="15" t="n">
        <f aca="false">AF438</f>
        <v>10607.4640967019</v>
      </c>
      <c r="AG172" s="15" t="n">
        <f aca="false">AG438</f>
        <v>10622.3001176161</v>
      </c>
      <c r="AH172" s="15" t="n">
        <f aca="false">AH438</f>
        <v>10635.6957050725</v>
      </c>
      <c r="AI172" s="15" t="n">
        <f aca="false">AI438</f>
        <v>10647.6037155082</v>
      </c>
      <c r="AJ172" s="15" t="n">
        <f aca="false">AJ438</f>
        <v>10657.9757730504</v>
      </c>
      <c r="AK172" s="15" t="n">
        <f aca="false">AK438</f>
        <v>10666.7622388844</v>
      </c>
      <c r="AL172" s="15" t="n">
        <f aca="false">AL438</f>
        <v>10673.9121798686</v>
      </c>
      <c r="AM172" s="15" t="n">
        <f aca="false">AM438</f>
        <v>10679.3733363789</v>
      </c>
      <c r="AN172" s="15" t="n">
        <f aca="false">AN438</f>
        <v>10683.0920893626</v>
      </c>
      <c r="AO172" s="15" t="n">
        <f aca="false">AO438</f>
        <v>10685.0134265835</v>
      </c>
      <c r="AP172" s="15" t="n">
        <f aca="false">AP438</f>
        <v>10685.0809080371</v>
      </c>
      <c r="AQ172" s="15" t="n">
        <f aca="false">AQ438</f>
        <v>10683.2366305169</v>
      </c>
      <c r="AR172" s="15" t="n">
        <f aca="false">AR438</f>
        <v>10679.4211913102</v>
      </c>
      <c r="AS172" s="15" t="n">
        <f aca="false">AS438</f>
        <v>5336.78682550075</v>
      </c>
    </row>
    <row r="173" customFormat="false" ht="14.25" hidden="false" customHeight="false" outlineLevel="0" collapsed="false">
      <c r="C173" s="1" t="s">
        <v>162</v>
      </c>
      <c r="D173" s="2" t="s">
        <v>85</v>
      </c>
      <c r="H173" s="15" t="n">
        <f aca="false">SUM(J173:AS173)</f>
        <v>203069.189530532</v>
      </c>
      <c r="J173" s="15" t="n">
        <f aca="false">J441</f>
        <v>0</v>
      </c>
      <c r="K173" s="15" t="n">
        <f aca="false">K441</f>
        <v>0</v>
      </c>
      <c r="L173" s="15" t="n">
        <f aca="false">L441</f>
        <v>0</v>
      </c>
      <c r="M173" s="15" t="n">
        <f aca="false">M441</f>
        <v>-29757.5797945206</v>
      </c>
      <c r="N173" s="15" t="n">
        <f aca="false">N441</f>
        <v>-31358</v>
      </c>
      <c r="O173" s="15" t="n">
        <f aca="false">O441</f>
        <v>-13293.6935392507</v>
      </c>
      <c r="P173" s="15" t="n">
        <f aca="false">P441</f>
        <v>9253.07121072731</v>
      </c>
      <c r="Q173" s="15" t="n">
        <f aca="false">Q441</f>
        <v>11775.1054127908</v>
      </c>
      <c r="R173" s="15" t="n">
        <f aca="false">R441</f>
        <v>9307.391838818</v>
      </c>
      <c r="S173" s="15" t="n">
        <f aca="false">S441</f>
        <v>9333.46574562924</v>
      </c>
      <c r="T173" s="15" t="n">
        <f aca="false">T441</f>
        <v>9358.77949184362</v>
      </c>
      <c r="U173" s="15" t="n">
        <f aca="false">U441</f>
        <v>9383.30525994999</v>
      </c>
      <c r="V173" s="15" t="n">
        <f aca="false">V441</f>
        <v>9407.01449027262</v>
      </c>
      <c r="W173" s="15" t="n">
        <f aca="false">W441</f>
        <v>9429.87786243732</v>
      </c>
      <c r="X173" s="15" t="n">
        <f aca="false">X441</f>
        <v>9451.8652763818</v>
      </c>
      <c r="Y173" s="15" t="n">
        <f aca="false">Y441</f>
        <v>9472.94583289924</v>
      </c>
      <c r="Z173" s="15" t="n">
        <f aca="false">Z441</f>
        <v>9493.08781370345</v>
      </c>
      <c r="AA173" s="15" t="n">
        <f aca="false">AA441</f>
        <v>9512.25866100409</v>
      </c>
      <c r="AB173" s="15" t="n">
        <f aca="false">AB441</f>
        <v>9530.42495657974</v>
      </c>
      <c r="AC173" s="15" t="n">
        <f aca="false">AC441</f>
        <v>9547.55240033664</v>
      </c>
      <c r="AD173" s="15" t="n">
        <f aca="false">AD441</f>
        <v>9563.6057883404</v>
      </c>
      <c r="AE173" s="15" t="n">
        <f aca="false">AE441</f>
        <v>9578.5489903079</v>
      </c>
      <c r="AF173" s="15" t="n">
        <f aca="false">AF441</f>
        <v>9592.34492654589</v>
      </c>
      <c r="AG173" s="15" t="n">
        <f aca="false">AG441</f>
        <v>9604.95554432298</v>
      </c>
      <c r="AH173" s="15" t="n">
        <f aca="false">AH441</f>
        <v>9616.34179366096</v>
      </c>
      <c r="AI173" s="15" t="n">
        <f aca="false">AI441</f>
        <v>9050.463158182</v>
      </c>
      <c r="AJ173" s="15" t="n">
        <f aca="false">AJ441</f>
        <v>9059.27940709287</v>
      </c>
      <c r="AK173" s="15" t="n">
        <f aca="false">AK441</f>
        <v>9066.74790305173</v>
      </c>
      <c r="AL173" s="15" t="n">
        <f aca="false">AL441</f>
        <v>9072.8253528883</v>
      </c>
      <c r="AM173" s="15" t="n">
        <f aca="false">AM441</f>
        <v>9077.46733592206</v>
      </c>
      <c r="AN173" s="15" t="n">
        <f aca="false">AN441</f>
        <v>9080.62827595824</v>
      </c>
      <c r="AO173" s="15" t="n">
        <f aca="false">AO441</f>
        <v>9082.26141259599</v>
      </c>
      <c r="AP173" s="15" t="n">
        <f aca="false">AP441</f>
        <v>9082.31877183154</v>
      </c>
      <c r="AQ173" s="15" t="n">
        <f aca="false">AQ441</f>
        <v>9080.75113593939</v>
      </c>
      <c r="AR173" s="15" t="n">
        <f aca="false">AR441</f>
        <v>9077.50801261365</v>
      </c>
      <c r="AS173" s="15" t="n">
        <f aca="false">AS441</f>
        <v>4536.26880167564</v>
      </c>
    </row>
    <row r="174" customFormat="false" ht="14.25" hidden="false" customHeight="false" outlineLevel="0" collapsed="false">
      <c r="C174" s="1" t="s">
        <v>163</v>
      </c>
      <c r="D174" s="2" t="s">
        <v>85</v>
      </c>
      <c r="H174" s="15" t="n">
        <f aca="false">SUM(J174:AS174)</f>
        <v>185634.15526428</v>
      </c>
      <c r="J174" s="15" t="n">
        <f aca="false">J448</f>
        <v>0</v>
      </c>
      <c r="K174" s="15" t="n">
        <f aca="false">K448</f>
        <v>0</v>
      </c>
      <c r="L174" s="15" t="n">
        <f aca="false">L448</f>
        <v>0</v>
      </c>
      <c r="M174" s="15" t="n">
        <f aca="false">M448</f>
        <v>-29757.5797945206</v>
      </c>
      <c r="N174" s="15" t="n">
        <f aca="false">N448</f>
        <v>-31358</v>
      </c>
      <c r="O174" s="15" t="n">
        <f aca="false">O448</f>
        <v>32786.3420086945</v>
      </c>
      <c r="P174" s="15" t="n">
        <f aca="false">P448</f>
        <v>5159.21543953256</v>
      </c>
      <c r="Q174" s="15" t="n">
        <f aca="false">Q448</f>
        <v>7665.23373464301</v>
      </c>
      <c r="R174" s="15" t="n">
        <f aca="false">R448</f>
        <v>5180.70345836949</v>
      </c>
      <c r="S174" s="15" t="n">
        <f aca="false">S448</f>
        <v>5189.11982776499</v>
      </c>
      <c r="T174" s="15" t="n">
        <f aca="false">T448</f>
        <v>5195.89315969284</v>
      </c>
      <c r="U174" s="15" t="n">
        <f aca="false">U448</f>
        <v>5200.95149279836</v>
      </c>
      <c r="V174" s="15" t="n">
        <f aca="false">V448</f>
        <v>5204.21991637009</v>
      </c>
      <c r="W174" s="15" t="n">
        <f aca="false">W448</f>
        <v>5205.62044144634</v>
      </c>
      <c r="X174" s="15" t="n">
        <f aca="false">X448</f>
        <v>5205.07186594796</v>
      </c>
      <c r="Y174" s="15" t="n">
        <f aca="false">Y448</f>
        <v>5202.48963355039</v>
      </c>
      <c r="Z174" s="15" t="n">
        <f aca="false">Z448</f>
        <v>5197.78568599385</v>
      </c>
      <c r="AA174" s="15" t="n">
        <f aca="false">AA448</f>
        <v>5190.86830851569</v>
      </c>
      <c r="AB174" s="15" t="n">
        <f aca="false">AB448</f>
        <v>5181.64196807361</v>
      </c>
      <c r="AC174" s="15" t="n">
        <f aca="false">AC448</f>
        <v>5170.00714401188</v>
      </c>
      <c r="AD174" s="15" t="n">
        <f aca="false">AD448</f>
        <v>5155.86015080609</v>
      </c>
      <c r="AE174" s="15" t="n">
        <f aca="false">AE448</f>
        <v>9578.5489903079</v>
      </c>
      <c r="AF174" s="15" t="n">
        <f aca="false">AF448</f>
        <v>9592.34492654589</v>
      </c>
      <c r="AG174" s="15" t="n">
        <f aca="false">AG448</f>
        <v>9604.95554432298</v>
      </c>
      <c r="AH174" s="15" t="n">
        <f aca="false">AH448</f>
        <v>9616.34179366096</v>
      </c>
      <c r="AI174" s="15" t="n">
        <f aca="false">AI448</f>
        <v>9050.463158182</v>
      </c>
      <c r="AJ174" s="15" t="n">
        <f aca="false">AJ448</f>
        <v>9059.27940709287</v>
      </c>
      <c r="AK174" s="15" t="n">
        <f aca="false">AK448</f>
        <v>9066.74790305173</v>
      </c>
      <c r="AL174" s="15" t="n">
        <f aca="false">AL448</f>
        <v>9072.8253528883</v>
      </c>
      <c r="AM174" s="15" t="n">
        <f aca="false">AM448</f>
        <v>9077.46733592206</v>
      </c>
      <c r="AN174" s="15" t="n">
        <f aca="false">AN448</f>
        <v>9080.62827595824</v>
      </c>
      <c r="AO174" s="15" t="n">
        <f aca="false">AO448</f>
        <v>9082.26141259599</v>
      </c>
      <c r="AP174" s="15" t="n">
        <f aca="false">AP448</f>
        <v>9082.31877183154</v>
      </c>
      <c r="AQ174" s="15" t="n">
        <f aca="false">AQ448</f>
        <v>9080.75113593939</v>
      </c>
      <c r="AR174" s="15" t="n">
        <f aca="false">AR448</f>
        <v>9077.50801261365</v>
      </c>
      <c r="AS174" s="15" t="n">
        <f aca="false">AS448</f>
        <v>4536.26880167564</v>
      </c>
    </row>
    <row r="175" customFormat="false" ht="14.25" hidden="false" customHeight="false" outlineLevel="0" collapsed="false">
      <c r="C175" s="6" t="s">
        <v>164</v>
      </c>
      <c r="D175" s="2" t="s">
        <v>85</v>
      </c>
      <c r="J175" s="8" t="n">
        <f aca="false">SUM($J172:J172)</f>
        <v>0</v>
      </c>
      <c r="K175" s="8" t="n">
        <f aca="false">SUM($J172:K172)</f>
        <v>0</v>
      </c>
      <c r="L175" s="8" t="n">
        <f aca="false">SUM($J172:L172)</f>
        <v>0</v>
      </c>
      <c r="M175" s="8" t="n">
        <f aca="false">SUM($J172:M172)</f>
        <v>-29757.5797945206</v>
      </c>
      <c r="N175" s="8" t="n">
        <f aca="false">SUM($J172:N172)</f>
        <v>-61115.5797945206</v>
      </c>
      <c r="O175" s="8" t="n">
        <f aca="false">SUM($J172:O172)</f>
        <v>-74224.8080105205</v>
      </c>
      <c r="P175" s="8" t="n">
        <f aca="false">SUM($J172:P172)</f>
        <v>-64016.4894618405</v>
      </c>
      <c r="Q175" s="8" t="n">
        <f aca="false">SUM($J172:Q172)</f>
        <v>-51281.2813603703</v>
      </c>
      <c r="R175" s="8" t="n">
        <f aca="false">SUM($J172:R172)</f>
        <v>-41009.0561904071</v>
      </c>
      <c r="S175" s="8" t="n">
        <f aca="false">SUM($J172:S172)</f>
        <v>-30706.1558359602</v>
      </c>
      <c r="T175" s="8" t="n">
        <f aca="false">SUM($J172:T172)</f>
        <v>-20373.4746036139</v>
      </c>
      <c r="U175" s="8" t="n">
        <f aca="false">SUM($J172:U172)</f>
        <v>-10011.9395264367</v>
      </c>
      <c r="V175" s="8" t="n">
        <f aca="false">SUM($J172:V172)</f>
        <v>377.488762884879</v>
      </c>
      <c r="W175" s="8" t="n">
        <f aca="false">SUM($J172:W172)</f>
        <v>10793.8151371061</v>
      </c>
      <c r="X175" s="8" t="n">
        <f aca="false">SUM($J172:X172)</f>
        <v>21236.0090571443</v>
      </c>
      <c r="Y175" s="8" t="n">
        <f aca="false">SUM($J172:Y172)</f>
        <v>31703.0036319089</v>
      </c>
      <c r="Z175" s="8" t="n">
        <f aca="false">SUM($J172:Z172)</f>
        <v>42193.6946546785</v>
      </c>
      <c r="AA175" s="8" t="n">
        <f aca="false">SUM($J172:AA172)</f>
        <v>52706.9396154488</v>
      </c>
      <c r="AB175" s="8" t="n">
        <f aca="false">SUM($J172:AB172)</f>
        <v>63241.5566886611</v>
      </c>
      <c r="AC175" s="8" t="n">
        <f aca="false">SUM($J172:AC172)</f>
        <v>73796.323695705</v>
      </c>
      <c r="AD175" s="8" t="n">
        <f aca="false">SUM($J172:AD172)</f>
        <v>84369.9770415768</v>
      </c>
      <c r="AE175" s="8" t="n">
        <f aca="false">SUM($J172:AE172)</f>
        <v>94961.2106250575</v>
      </c>
      <c r="AF175" s="8" t="n">
        <f aca="false">SUM($J172:AF172)</f>
        <v>105568.674721759</v>
      </c>
      <c r="AG175" s="8" t="n">
        <f aca="false">SUM($J172:AG172)</f>
        <v>116190.974839375</v>
      </c>
      <c r="AH175" s="8" t="n">
        <f aca="false">SUM($J172:AH172)</f>
        <v>126826.670544448</v>
      </c>
      <c r="AI175" s="8" t="n">
        <f aca="false">SUM($J172:AI172)</f>
        <v>137474.274259956</v>
      </c>
      <c r="AJ175" s="8" t="n">
        <f aca="false">SUM($J172:AJ172)</f>
        <v>148132.250033007</v>
      </c>
      <c r="AK175" s="8" t="n">
        <f aca="false">SUM($J172:AK172)</f>
        <v>158799.012271891</v>
      </c>
      <c r="AL175" s="8" t="n">
        <f aca="false">SUM($J172:AL172)</f>
        <v>169472.92445176</v>
      </c>
      <c r="AM175" s="8" t="n">
        <f aca="false">SUM($J172:AM172)</f>
        <v>180152.297788139</v>
      </c>
      <c r="AN175" s="8" t="n">
        <f aca="false">SUM($J172:AN172)</f>
        <v>190835.389877501</v>
      </c>
      <c r="AO175" s="8" t="n">
        <f aca="false">SUM($J172:AO172)</f>
        <v>201520.403304085</v>
      </c>
      <c r="AP175" s="8" t="n">
        <f aca="false">SUM($J172:AP172)</f>
        <v>212205.484212122</v>
      </c>
      <c r="AQ175" s="8" t="n">
        <f aca="false">SUM($J172:AQ172)</f>
        <v>222888.720842639</v>
      </c>
      <c r="AR175" s="8" t="n">
        <f aca="false">SUM($J172:AR172)</f>
        <v>233568.142033949</v>
      </c>
      <c r="AS175" s="8" t="n">
        <f aca="false">SUM($J172:AS172)</f>
        <v>238904.92885945</v>
      </c>
    </row>
    <row r="177" customFormat="false" ht="14.25" hidden="false" customHeight="false" outlineLevel="0" collapsed="false">
      <c r="C177" s="42" t="s">
        <v>7</v>
      </c>
      <c r="D177" s="42"/>
      <c r="E177" s="43"/>
      <c r="F177" s="43"/>
      <c r="G177" s="43"/>
      <c r="H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</row>
    <row r="178" customFormat="false" ht="14.25" hidden="false" customHeight="false" outlineLevel="0" collapsed="false">
      <c r="C178" s="6" t="s">
        <v>165</v>
      </c>
      <c r="D178" s="2" t="s">
        <v>85</v>
      </c>
      <c r="H178" s="8" t="n">
        <f aca="false">SUM(J178:AS178)</f>
        <v>-76800.0592465753</v>
      </c>
      <c r="J178" s="8" t="n">
        <f aca="false">J475</f>
        <v>0</v>
      </c>
      <c r="K178" s="8" t="n">
        <f aca="false">K475</f>
        <v>0</v>
      </c>
      <c r="L178" s="8" t="n">
        <f aca="false">L475</f>
        <v>0</v>
      </c>
      <c r="M178" s="8" t="n">
        <f aca="false">M475</f>
        <v>-29757.5797945206</v>
      </c>
      <c r="N178" s="8" t="n">
        <f aca="false">N475</f>
        <v>-31358</v>
      </c>
      <c r="O178" s="8" t="n">
        <f aca="false">O475</f>
        <v>-18179</v>
      </c>
      <c r="P178" s="8" t="n">
        <f aca="false">P475</f>
        <v>0</v>
      </c>
      <c r="Q178" s="8" t="n">
        <f aca="false">Q475</f>
        <v>2494.52054794521</v>
      </c>
      <c r="R178" s="8" t="n">
        <f aca="false">R475</f>
        <v>0</v>
      </c>
      <c r="S178" s="8" t="n">
        <f aca="false">S475</f>
        <v>0</v>
      </c>
      <c r="T178" s="8" t="n">
        <f aca="false">T475</f>
        <v>0</v>
      </c>
      <c r="U178" s="8" t="n">
        <f aca="false">U475</f>
        <v>0</v>
      </c>
      <c r="V178" s="8" t="n">
        <f aca="false">V475</f>
        <v>0</v>
      </c>
      <c r="W178" s="8" t="n">
        <f aca="false">W475</f>
        <v>0</v>
      </c>
      <c r="X178" s="8" t="n">
        <f aca="false">X475</f>
        <v>0</v>
      </c>
      <c r="Y178" s="8" t="n">
        <f aca="false">Y475</f>
        <v>0</v>
      </c>
      <c r="Z178" s="8" t="n">
        <f aca="false">Z475</f>
        <v>0</v>
      </c>
      <c r="AA178" s="8" t="n">
        <f aca="false">AA475</f>
        <v>0</v>
      </c>
      <c r="AB178" s="8" t="n">
        <f aca="false">AB475</f>
        <v>0</v>
      </c>
      <c r="AC178" s="8" t="n">
        <f aca="false">AC475</f>
        <v>0</v>
      </c>
      <c r="AD178" s="8" t="n">
        <f aca="false">AD475</f>
        <v>0</v>
      </c>
      <c r="AE178" s="8" t="n">
        <f aca="false">AE475</f>
        <v>0</v>
      </c>
      <c r="AF178" s="8" t="n">
        <f aca="false">AF475</f>
        <v>0</v>
      </c>
      <c r="AG178" s="8" t="n">
        <f aca="false">AG475</f>
        <v>0</v>
      </c>
      <c r="AH178" s="8" t="n">
        <f aca="false">AH475</f>
        <v>0</v>
      </c>
      <c r="AI178" s="8" t="n">
        <f aca="false">AI475</f>
        <v>0</v>
      </c>
      <c r="AJ178" s="8" t="n">
        <f aca="false">AJ475</f>
        <v>0</v>
      </c>
      <c r="AK178" s="8" t="n">
        <f aca="false">AK475</f>
        <v>0</v>
      </c>
      <c r="AL178" s="8" t="n">
        <f aca="false">AL475</f>
        <v>0</v>
      </c>
      <c r="AM178" s="8" t="n">
        <f aca="false">AM475</f>
        <v>0</v>
      </c>
      <c r="AN178" s="8" t="n">
        <f aca="false">AN475</f>
        <v>0</v>
      </c>
      <c r="AO178" s="8" t="n">
        <f aca="false">AO475</f>
        <v>0</v>
      </c>
      <c r="AP178" s="8" t="n">
        <f aca="false">AP475</f>
        <v>0</v>
      </c>
      <c r="AQ178" s="8" t="n">
        <f aca="false">AQ475</f>
        <v>0</v>
      </c>
      <c r="AR178" s="8" t="n">
        <f aca="false">AR475</f>
        <v>0</v>
      </c>
      <c r="AS178" s="8" t="n">
        <f aca="false">AS475</f>
        <v>0</v>
      </c>
    </row>
    <row r="179" customFormat="false" ht="14.25" hidden="false" customHeight="false" outlineLevel="0" collapsed="false">
      <c r="C179" s="6" t="s">
        <v>158</v>
      </c>
      <c r="D179" s="2" t="s">
        <v>85</v>
      </c>
      <c r="H179" s="8" t="n">
        <f aca="false">SUM(J179:AS179)</f>
        <v>446130.685729454</v>
      </c>
      <c r="J179" s="8" t="n">
        <f aca="false">J479</f>
        <v>0</v>
      </c>
      <c r="K179" s="8" t="n">
        <f aca="false">K479</f>
        <v>0</v>
      </c>
      <c r="L179" s="8" t="n">
        <f aca="false">L479</f>
        <v>0</v>
      </c>
      <c r="M179" s="8" t="n">
        <f aca="false">M479</f>
        <v>0</v>
      </c>
      <c r="N179" s="8" t="n">
        <f aca="false">N479</f>
        <v>0</v>
      </c>
      <c r="O179" s="8" t="n">
        <f aca="false">O479</f>
        <v>6667.92</v>
      </c>
      <c r="P179" s="8" t="n">
        <f aca="false">P479</f>
        <v>13469.1984</v>
      </c>
      <c r="Q179" s="8" t="n">
        <f aca="false">Q479</f>
        <v>13563.078712848</v>
      </c>
      <c r="R179" s="8" t="n">
        <f aca="false">R479</f>
        <v>13657.6133714766</v>
      </c>
      <c r="S179" s="8" t="n">
        <f aca="false">S479</f>
        <v>13752.8069366757</v>
      </c>
      <c r="T179" s="8" t="n">
        <f aca="false">T479</f>
        <v>13848.6640010244</v>
      </c>
      <c r="U179" s="8" t="n">
        <f aca="false">U479</f>
        <v>13945.1891891115</v>
      </c>
      <c r="V179" s="8" t="n">
        <f aca="false">V479</f>
        <v>14042.3871577596</v>
      </c>
      <c r="W179" s="8" t="n">
        <f aca="false">W479</f>
        <v>14140.2625962492</v>
      </c>
      <c r="X179" s="8" t="n">
        <f aca="false">X479</f>
        <v>14238.8202265451</v>
      </c>
      <c r="Y179" s="8" t="n">
        <f aca="false">Y479</f>
        <v>14338.0648035241</v>
      </c>
      <c r="Z179" s="8" t="n">
        <f aca="false">Z479</f>
        <v>14438.0011152046</v>
      </c>
      <c r="AA179" s="8" t="n">
        <f aca="false">AA479</f>
        <v>14538.6339829776</v>
      </c>
      <c r="AB179" s="8" t="n">
        <f aca="false">AB479</f>
        <v>14639.968261839</v>
      </c>
      <c r="AC179" s="8" t="n">
        <f aca="false">AC479</f>
        <v>14742.008840624</v>
      </c>
      <c r="AD179" s="8" t="n">
        <f aca="false">AD479</f>
        <v>14844.7606422431</v>
      </c>
      <c r="AE179" s="8" t="n">
        <f aca="false">AE479</f>
        <v>14948.2286239196</v>
      </c>
      <c r="AF179" s="8" t="n">
        <f aca="false">AF479</f>
        <v>15052.4177774283</v>
      </c>
      <c r="AG179" s="8" t="n">
        <f aca="false">AG479</f>
        <v>15157.333129337</v>
      </c>
      <c r="AH179" s="8" t="n">
        <f aca="false">AH479</f>
        <v>15262.9797412485</v>
      </c>
      <c r="AI179" s="8" t="n">
        <f aca="false">AI479</f>
        <v>15369.362710045</v>
      </c>
      <c r="AJ179" s="8" t="n">
        <f aca="false">AJ479</f>
        <v>15476.487168134</v>
      </c>
      <c r="AK179" s="8" t="n">
        <f aca="false">AK479</f>
        <v>15584.3582836959</v>
      </c>
      <c r="AL179" s="8" t="n">
        <f aca="false">AL479</f>
        <v>15692.9812609332</v>
      </c>
      <c r="AM179" s="8" t="n">
        <f aca="false">AM479</f>
        <v>15802.3613403219</v>
      </c>
      <c r="AN179" s="8" t="n">
        <f aca="false">AN479</f>
        <v>15912.503798864</v>
      </c>
      <c r="AO179" s="8" t="n">
        <f aca="false">AO479</f>
        <v>16023.4139503421</v>
      </c>
      <c r="AP179" s="8" t="n">
        <f aca="false">AP479</f>
        <v>16135.0971455759</v>
      </c>
      <c r="AQ179" s="8" t="n">
        <f aca="false">AQ479</f>
        <v>16247.5587726806</v>
      </c>
      <c r="AR179" s="8" t="n">
        <f aca="false">AR479</f>
        <v>16360.8042573262</v>
      </c>
      <c r="AS179" s="8" t="n">
        <f aca="false">AS479</f>
        <v>8237.41953149987</v>
      </c>
    </row>
    <row r="180" customFormat="false" ht="14.25" hidden="false" customHeight="false" outlineLevel="0" collapsed="false">
      <c r="C180" s="6" t="s">
        <v>159</v>
      </c>
      <c r="D180" s="2" t="s">
        <v>85</v>
      </c>
      <c r="H180" s="8" t="n">
        <f aca="false">SUM(J180:AS180)</f>
        <v>-130425.697623429</v>
      </c>
      <c r="J180" s="8" t="n">
        <f aca="false">J488</f>
        <v>0</v>
      </c>
      <c r="K180" s="8" t="n">
        <f aca="false">K488</f>
        <v>0</v>
      </c>
      <c r="L180" s="8" t="n">
        <f aca="false">L488</f>
        <v>0</v>
      </c>
      <c r="M180" s="8" t="n">
        <f aca="false">M488</f>
        <v>0</v>
      </c>
      <c r="N180" s="8" t="n">
        <f aca="false">N488</f>
        <v>0</v>
      </c>
      <c r="O180" s="8" t="n">
        <f aca="false">O488</f>
        <v>-1598.148216</v>
      </c>
      <c r="P180" s="8" t="n">
        <f aca="false">P488</f>
        <v>-3260.87985132</v>
      </c>
      <c r="Q180" s="8" t="n">
        <f aca="false">Q488</f>
        <v>-3322.39115932295</v>
      </c>
      <c r="R180" s="8" t="n">
        <f aca="false">R488</f>
        <v>-3385.38820151339</v>
      </c>
      <c r="S180" s="8" t="n">
        <f aca="false">S488</f>
        <v>-3449.90658222877</v>
      </c>
      <c r="T180" s="8" t="n">
        <f aca="false">T488</f>
        <v>-3515.98276867813</v>
      </c>
      <c r="U180" s="8" t="n">
        <f aca="false">U488</f>
        <v>-3583.65411193425</v>
      </c>
      <c r="V180" s="8" t="n">
        <f aca="false">V488</f>
        <v>-3652.95886843809</v>
      </c>
      <c r="W180" s="8" t="n">
        <f aca="false">W488</f>
        <v>-3723.93622202803</v>
      </c>
      <c r="X180" s="8" t="n">
        <f aca="false">X488</f>
        <v>-3796.62630650685</v>
      </c>
      <c r="Y180" s="8" t="n">
        <f aca="false">Y488</f>
        <v>-3871.07022875947</v>
      </c>
      <c r="Z180" s="8" t="n">
        <f aca="false">Z488</f>
        <v>-3947.31009243507</v>
      </c>
      <c r="AA180" s="8" t="n">
        <f aca="false">AA488</f>
        <v>-4025.38902220729</v>
      </c>
      <c r="AB180" s="8" t="n">
        <f aca="false">AB488</f>
        <v>-4105.3511886267</v>
      </c>
      <c r="AC180" s="8" t="n">
        <f aca="false">AC488</f>
        <v>-4187.24183358009</v>
      </c>
      <c r="AD180" s="8" t="n">
        <f aca="false">AD488</f>
        <v>-4271.10729637127</v>
      </c>
      <c r="AE180" s="8" t="n">
        <f aca="false">AE488</f>
        <v>-4356.99504043889</v>
      </c>
      <c r="AF180" s="8" t="n">
        <f aca="false">AF488</f>
        <v>-4444.95368072645</v>
      </c>
      <c r="AG180" s="8" t="n">
        <f aca="false">AG488</f>
        <v>-4535.0330117209</v>
      </c>
      <c r="AH180" s="8" t="n">
        <f aca="false">AH488</f>
        <v>-4627.28403617592</v>
      </c>
      <c r="AI180" s="8" t="n">
        <f aca="false">AI488</f>
        <v>-4721.75899453672</v>
      </c>
      <c r="AJ180" s="8" t="n">
        <f aca="false">AJ488</f>
        <v>-4818.51139508354</v>
      </c>
      <c r="AK180" s="8" t="n">
        <f aca="false">AK488</f>
        <v>-4917.59604481147</v>
      </c>
      <c r="AL180" s="8" t="n">
        <f aca="false">AL488</f>
        <v>-5019.06908106463</v>
      </c>
      <c r="AM180" s="8" t="n">
        <f aca="false">AM488</f>
        <v>-5122.98800394303</v>
      </c>
      <c r="AN180" s="8" t="n">
        <f aca="false">AN488</f>
        <v>-5229.41170950133</v>
      </c>
      <c r="AO180" s="8" t="n">
        <f aca="false">AO488</f>
        <v>-5338.40052375853</v>
      </c>
      <c r="AP180" s="8" t="n">
        <f aca="false">AP488</f>
        <v>-5450.01623753884</v>
      </c>
      <c r="AQ180" s="8" t="n">
        <f aca="false">AQ488</f>
        <v>-5564.32214216366</v>
      </c>
      <c r="AR180" s="8" t="n">
        <f aca="false">AR488</f>
        <v>-5681.38306601601</v>
      </c>
      <c r="AS180" s="8" t="n">
        <f aca="false">AS488</f>
        <v>-2900.63270599912</v>
      </c>
    </row>
    <row r="181" customFormat="false" ht="14.25" hidden="false" customHeight="false" outlineLevel="0" collapsed="false">
      <c r="C181" s="6" t="s">
        <v>160</v>
      </c>
      <c r="D181" s="2" t="s">
        <v>85</v>
      </c>
      <c r="H181" s="8" t="n">
        <f aca="false">SUM(J181:AS181)</f>
        <v>315704.988106025</v>
      </c>
      <c r="J181" s="8" t="n">
        <f aca="false">J489</f>
        <v>0</v>
      </c>
      <c r="K181" s="8" t="n">
        <f aca="false">K489</f>
        <v>0</v>
      </c>
      <c r="L181" s="8" t="n">
        <f aca="false">L489</f>
        <v>0</v>
      </c>
      <c r="M181" s="8" t="n">
        <f aca="false">M489</f>
        <v>0</v>
      </c>
      <c r="N181" s="8" t="n">
        <f aca="false">N489</f>
        <v>0</v>
      </c>
      <c r="O181" s="8" t="n">
        <f aca="false">O489</f>
        <v>5069.771784</v>
      </c>
      <c r="P181" s="8" t="n">
        <f aca="false">P489</f>
        <v>10208.31854868</v>
      </c>
      <c r="Q181" s="8" t="n">
        <f aca="false">Q489</f>
        <v>10240.6875535251</v>
      </c>
      <c r="R181" s="8" t="n">
        <f aca="false">R489</f>
        <v>10272.2251699632</v>
      </c>
      <c r="S181" s="8" t="n">
        <f aca="false">S489</f>
        <v>10302.900354447</v>
      </c>
      <c r="T181" s="8" t="n">
        <f aca="false">T489</f>
        <v>10332.6812323462</v>
      </c>
      <c r="U181" s="8" t="n">
        <f aca="false">U489</f>
        <v>10361.5350771773</v>
      </c>
      <c r="V181" s="8" t="n">
        <f aca="false">V489</f>
        <v>10389.4282893215</v>
      </c>
      <c r="W181" s="8" t="n">
        <f aca="false">W489</f>
        <v>10416.3263742212</v>
      </c>
      <c r="X181" s="8" t="n">
        <f aca="false">X489</f>
        <v>10442.1939200382</v>
      </c>
      <c r="Y181" s="8" t="n">
        <f aca="false">Y489</f>
        <v>10466.9945747646</v>
      </c>
      <c r="Z181" s="8" t="n">
        <f aca="false">Z489</f>
        <v>10490.6910227696</v>
      </c>
      <c r="AA181" s="8" t="n">
        <f aca="false">AA489</f>
        <v>10513.2449607703</v>
      </c>
      <c r="AB181" s="8" t="n">
        <f aca="false">AB489</f>
        <v>10534.6170732123</v>
      </c>
      <c r="AC181" s="8" t="n">
        <f aca="false">AC489</f>
        <v>10554.7670070439</v>
      </c>
      <c r="AD181" s="8" t="n">
        <f aca="false">AD489</f>
        <v>10573.6533458719</v>
      </c>
      <c r="AE181" s="8" t="n">
        <f aca="false">AE489</f>
        <v>10591.2335834807</v>
      </c>
      <c r="AF181" s="8" t="n">
        <f aca="false">AF489</f>
        <v>10607.4640967019</v>
      </c>
      <c r="AG181" s="8" t="n">
        <f aca="false">AG489</f>
        <v>10622.3001176161</v>
      </c>
      <c r="AH181" s="8" t="n">
        <f aca="false">AH489</f>
        <v>10635.6957050725</v>
      </c>
      <c r="AI181" s="8" t="n">
        <f aca="false">AI489</f>
        <v>10647.6037155082</v>
      </c>
      <c r="AJ181" s="8" t="n">
        <f aca="false">AJ489</f>
        <v>10657.9757730504</v>
      </c>
      <c r="AK181" s="8" t="n">
        <f aca="false">AK489</f>
        <v>10666.7622388844</v>
      </c>
      <c r="AL181" s="8" t="n">
        <f aca="false">AL489</f>
        <v>10673.9121798686</v>
      </c>
      <c r="AM181" s="8" t="n">
        <f aca="false">AM489</f>
        <v>10679.3733363789</v>
      </c>
      <c r="AN181" s="8" t="n">
        <f aca="false">AN489</f>
        <v>10683.0920893626</v>
      </c>
      <c r="AO181" s="8" t="n">
        <f aca="false">AO489</f>
        <v>10685.0134265835</v>
      </c>
      <c r="AP181" s="8" t="n">
        <f aca="false">AP489</f>
        <v>10685.0809080371</v>
      </c>
      <c r="AQ181" s="8" t="n">
        <f aca="false">AQ489</f>
        <v>10683.2366305169</v>
      </c>
      <c r="AR181" s="8" t="n">
        <f aca="false">AR489</f>
        <v>10679.4211913102</v>
      </c>
      <c r="AS181" s="8" t="n">
        <f aca="false">AS489</f>
        <v>5336.78682550075</v>
      </c>
    </row>
    <row r="182" customFormat="false" ht="14.25" hidden="false" customHeight="false" outlineLevel="0" collapsed="false">
      <c r="C182" s="1" t="s">
        <v>161</v>
      </c>
      <c r="D182" s="2" t="s">
        <v>85</v>
      </c>
      <c r="H182" s="15" t="n">
        <f aca="false">SUM(J182:AS182)</f>
        <v>238904.92885945</v>
      </c>
      <c r="J182" s="15" t="n">
        <f aca="false">J490</f>
        <v>0</v>
      </c>
      <c r="K182" s="15" t="n">
        <f aca="false">K490</f>
        <v>0</v>
      </c>
      <c r="L182" s="15" t="n">
        <f aca="false">L490</f>
        <v>0</v>
      </c>
      <c r="M182" s="15" t="n">
        <f aca="false">M490</f>
        <v>-29757.5797945206</v>
      </c>
      <c r="N182" s="15" t="n">
        <f aca="false">N490</f>
        <v>-31358</v>
      </c>
      <c r="O182" s="15" t="n">
        <f aca="false">O490</f>
        <v>-13109.228216</v>
      </c>
      <c r="P182" s="15" t="n">
        <f aca="false">P490</f>
        <v>10208.31854868</v>
      </c>
      <c r="Q182" s="15" t="n">
        <f aca="false">Q490</f>
        <v>12735.2081014703</v>
      </c>
      <c r="R182" s="15" t="n">
        <f aca="false">R490</f>
        <v>10272.2251699632</v>
      </c>
      <c r="S182" s="15" t="n">
        <f aca="false">S490</f>
        <v>10302.900354447</v>
      </c>
      <c r="T182" s="15" t="n">
        <f aca="false">T490</f>
        <v>10332.6812323462</v>
      </c>
      <c r="U182" s="15" t="n">
        <f aca="false">U490</f>
        <v>10361.5350771773</v>
      </c>
      <c r="V182" s="15" t="n">
        <f aca="false">V490</f>
        <v>10389.4282893215</v>
      </c>
      <c r="W182" s="15" t="n">
        <f aca="false">W490</f>
        <v>10416.3263742212</v>
      </c>
      <c r="X182" s="15" t="n">
        <f aca="false">X490</f>
        <v>10442.1939200382</v>
      </c>
      <c r="Y182" s="15" t="n">
        <f aca="false">Y490</f>
        <v>10466.9945747646</v>
      </c>
      <c r="Z182" s="15" t="n">
        <f aca="false">Z490</f>
        <v>10490.6910227696</v>
      </c>
      <c r="AA182" s="15" t="n">
        <f aca="false">AA490</f>
        <v>10513.2449607703</v>
      </c>
      <c r="AB182" s="15" t="n">
        <f aca="false">AB490</f>
        <v>10534.6170732123</v>
      </c>
      <c r="AC182" s="15" t="n">
        <f aca="false">AC490</f>
        <v>10554.7670070439</v>
      </c>
      <c r="AD182" s="15" t="n">
        <f aca="false">AD490</f>
        <v>10573.6533458719</v>
      </c>
      <c r="AE182" s="15" t="n">
        <f aca="false">AE490</f>
        <v>10591.2335834807</v>
      </c>
      <c r="AF182" s="15" t="n">
        <f aca="false">AF490</f>
        <v>10607.4640967019</v>
      </c>
      <c r="AG182" s="15" t="n">
        <f aca="false">AG490</f>
        <v>10622.3001176161</v>
      </c>
      <c r="AH182" s="15" t="n">
        <f aca="false">AH490</f>
        <v>10635.6957050725</v>
      </c>
      <c r="AI182" s="15" t="n">
        <f aca="false">AI490</f>
        <v>10647.6037155082</v>
      </c>
      <c r="AJ182" s="15" t="n">
        <f aca="false">AJ490</f>
        <v>10657.9757730504</v>
      </c>
      <c r="AK182" s="15" t="n">
        <f aca="false">AK490</f>
        <v>10666.7622388844</v>
      </c>
      <c r="AL182" s="15" t="n">
        <f aca="false">AL490</f>
        <v>10673.9121798686</v>
      </c>
      <c r="AM182" s="15" t="n">
        <f aca="false">AM490</f>
        <v>10679.3733363789</v>
      </c>
      <c r="AN182" s="15" t="n">
        <f aca="false">AN490</f>
        <v>10683.0920893626</v>
      </c>
      <c r="AO182" s="15" t="n">
        <f aca="false">AO490</f>
        <v>10685.0134265835</v>
      </c>
      <c r="AP182" s="15" t="n">
        <f aca="false">AP490</f>
        <v>10685.0809080371</v>
      </c>
      <c r="AQ182" s="15" t="n">
        <f aca="false">AQ490</f>
        <v>10683.2366305169</v>
      </c>
      <c r="AR182" s="15" t="n">
        <f aca="false">AR490</f>
        <v>10679.4211913102</v>
      </c>
      <c r="AS182" s="15" t="n">
        <f aca="false">AS490</f>
        <v>5336.78682550075</v>
      </c>
    </row>
    <row r="183" customFormat="false" ht="14.25" hidden="false" customHeight="false" outlineLevel="0" collapsed="false">
      <c r="C183" s="1" t="s">
        <v>162</v>
      </c>
      <c r="D183" s="2" t="s">
        <v>85</v>
      </c>
      <c r="H183" s="15" t="n">
        <f aca="false">SUM(J183:AS183)</f>
        <v>203069.189530532</v>
      </c>
      <c r="J183" s="15" t="n">
        <f aca="false">J493</f>
        <v>0</v>
      </c>
      <c r="K183" s="15" t="n">
        <f aca="false">K493</f>
        <v>0</v>
      </c>
      <c r="L183" s="15" t="n">
        <f aca="false">L493</f>
        <v>0</v>
      </c>
      <c r="M183" s="15" t="n">
        <f aca="false">M493</f>
        <v>-29757.5797945206</v>
      </c>
      <c r="N183" s="15" t="n">
        <f aca="false">N493</f>
        <v>-31358</v>
      </c>
      <c r="O183" s="15" t="n">
        <f aca="false">O493</f>
        <v>-13293.6935392507</v>
      </c>
      <c r="P183" s="15" t="n">
        <f aca="false">P493</f>
        <v>9253.07121072731</v>
      </c>
      <c r="Q183" s="15" t="n">
        <f aca="false">Q493</f>
        <v>11775.1054127908</v>
      </c>
      <c r="R183" s="15" t="n">
        <f aca="false">R493</f>
        <v>9307.391838818</v>
      </c>
      <c r="S183" s="15" t="n">
        <f aca="false">S493</f>
        <v>9333.46574562924</v>
      </c>
      <c r="T183" s="15" t="n">
        <f aca="false">T493</f>
        <v>9358.77949184362</v>
      </c>
      <c r="U183" s="15" t="n">
        <f aca="false">U493</f>
        <v>9383.30525994999</v>
      </c>
      <c r="V183" s="15" t="n">
        <f aca="false">V493</f>
        <v>9407.01449027262</v>
      </c>
      <c r="W183" s="15" t="n">
        <f aca="false">W493</f>
        <v>9429.87786243732</v>
      </c>
      <c r="X183" s="15" t="n">
        <f aca="false">X493</f>
        <v>9451.8652763818</v>
      </c>
      <c r="Y183" s="15" t="n">
        <f aca="false">Y493</f>
        <v>9472.94583289924</v>
      </c>
      <c r="Z183" s="15" t="n">
        <f aca="false">Z493</f>
        <v>9493.08781370345</v>
      </c>
      <c r="AA183" s="15" t="n">
        <f aca="false">AA493</f>
        <v>9512.25866100409</v>
      </c>
      <c r="AB183" s="15" t="n">
        <f aca="false">AB493</f>
        <v>9530.42495657974</v>
      </c>
      <c r="AC183" s="15" t="n">
        <f aca="false">AC493</f>
        <v>9547.55240033664</v>
      </c>
      <c r="AD183" s="15" t="n">
        <f aca="false">AD493</f>
        <v>9563.6057883404</v>
      </c>
      <c r="AE183" s="15" t="n">
        <f aca="false">AE493</f>
        <v>9578.5489903079</v>
      </c>
      <c r="AF183" s="15" t="n">
        <f aca="false">AF493</f>
        <v>9592.34492654589</v>
      </c>
      <c r="AG183" s="15" t="n">
        <f aca="false">AG493</f>
        <v>9604.95554432298</v>
      </c>
      <c r="AH183" s="15" t="n">
        <f aca="false">AH493</f>
        <v>9616.34179366096</v>
      </c>
      <c r="AI183" s="15" t="n">
        <f aca="false">AI493</f>
        <v>9050.463158182</v>
      </c>
      <c r="AJ183" s="15" t="n">
        <f aca="false">AJ493</f>
        <v>9059.27940709287</v>
      </c>
      <c r="AK183" s="15" t="n">
        <f aca="false">AK493</f>
        <v>9066.74790305173</v>
      </c>
      <c r="AL183" s="15" t="n">
        <f aca="false">AL493</f>
        <v>9072.8253528883</v>
      </c>
      <c r="AM183" s="15" t="n">
        <f aca="false">AM493</f>
        <v>9077.46733592206</v>
      </c>
      <c r="AN183" s="15" t="n">
        <f aca="false">AN493</f>
        <v>9080.62827595824</v>
      </c>
      <c r="AO183" s="15" t="n">
        <f aca="false">AO493</f>
        <v>9082.26141259599</v>
      </c>
      <c r="AP183" s="15" t="n">
        <f aca="false">AP493</f>
        <v>9082.31877183154</v>
      </c>
      <c r="AQ183" s="15" t="n">
        <f aca="false">AQ493</f>
        <v>9080.75113593939</v>
      </c>
      <c r="AR183" s="15" t="n">
        <f aca="false">AR493</f>
        <v>9077.50801261365</v>
      </c>
      <c r="AS183" s="15" t="n">
        <f aca="false">AS493</f>
        <v>4536.26880167564</v>
      </c>
    </row>
    <row r="184" customFormat="false" ht="14.25" hidden="false" customHeight="false" outlineLevel="0" collapsed="false">
      <c r="C184" s="1" t="s">
        <v>163</v>
      </c>
      <c r="D184" s="2" t="s">
        <v>85</v>
      </c>
      <c r="H184" s="15" t="n">
        <f aca="false">SUM(J184:AS184)</f>
        <v>185634.15526428</v>
      </c>
      <c r="J184" s="15" t="n">
        <f aca="false">J500</f>
        <v>0</v>
      </c>
      <c r="K184" s="15" t="n">
        <f aca="false">K500</f>
        <v>0</v>
      </c>
      <c r="L184" s="15" t="n">
        <f aca="false">L500</f>
        <v>0</v>
      </c>
      <c r="M184" s="15" t="n">
        <f aca="false">M500</f>
        <v>-29757.5797945206</v>
      </c>
      <c r="N184" s="15" t="n">
        <f aca="false">N500</f>
        <v>-31358</v>
      </c>
      <c r="O184" s="15" t="n">
        <f aca="false">O500</f>
        <v>32786.3420086945</v>
      </c>
      <c r="P184" s="15" t="n">
        <f aca="false">P500</f>
        <v>5159.21543953256</v>
      </c>
      <c r="Q184" s="15" t="n">
        <f aca="false">Q500</f>
        <v>7665.23373464301</v>
      </c>
      <c r="R184" s="15" t="n">
        <f aca="false">R500</f>
        <v>5180.70345836949</v>
      </c>
      <c r="S184" s="15" t="n">
        <f aca="false">S500</f>
        <v>5189.11982776499</v>
      </c>
      <c r="T184" s="15" t="n">
        <f aca="false">T500</f>
        <v>5195.89315969284</v>
      </c>
      <c r="U184" s="15" t="n">
        <f aca="false">U500</f>
        <v>5200.95149279836</v>
      </c>
      <c r="V184" s="15" t="n">
        <f aca="false">V500</f>
        <v>5204.21991637009</v>
      </c>
      <c r="W184" s="15" t="n">
        <f aca="false">W500</f>
        <v>5205.62044144634</v>
      </c>
      <c r="X184" s="15" t="n">
        <f aca="false">X500</f>
        <v>5205.07186594796</v>
      </c>
      <c r="Y184" s="15" t="n">
        <f aca="false">Y500</f>
        <v>5202.48963355039</v>
      </c>
      <c r="Z184" s="15" t="n">
        <f aca="false">Z500</f>
        <v>5197.78568599385</v>
      </c>
      <c r="AA184" s="15" t="n">
        <f aca="false">AA500</f>
        <v>5190.86830851569</v>
      </c>
      <c r="AB184" s="15" t="n">
        <f aca="false">AB500</f>
        <v>5181.64196807361</v>
      </c>
      <c r="AC184" s="15" t="n">
        <f aca="false">AC500</f>
        <v>5170.00714401188</v>
      </c>
      <c r="AD184" s="15" t="n">
        <f aca="false">AD500</f>
        <v>5155.86015080609</v>
      </c>
      <c r="AE184" s="15" t="n">
        <f aca="false">AE500</f>
        <v>9578.5489903079</v>
      </c>
      <c r="AF184" s="15" t="n">
        <f aca="false">AF500</f>
        <v>9592.34492654589</v>
      </c>
      <c r="AG184" s="15" t="n">
        <f aca="false">AG500</f>
        <v>9604.95554432298</v>
      </c>
      <c r="AH184" s="15" t="n">
        <f aca="false">AH500</f>
        <v>9616.34179366096</v>
      </c>
      <c r="AI184" s="15" t="n">
        <f aca="false">AI500</f>
        <v>9050.463158182</v>
      </c>
      <c r="AJ184" s="15" t="n">
        <f aca="false">AJ500</f>
        <v>9059.27940709287</v>
      </c>
      <c r="AK184" s="15" t="n">
        <f aca="false">AK500</f>
        <v>9066.74790305173</v>
      </c>
      <c r="AL184" s="15" t="n">
        <f aca="false">AL500</f>
        <v>9072.8253528883</v>
      </c>
      <c r="AM184" s="15" t="n">
        <f aca="false">AM500</f>
        <v>9077.46733592206</v>
      </c>
      <c r="AN184" s="15" t="n">
        <f aca="false">AN500</f>
        <v>9080.62827595824</v>
      </c>
      <c r="AO184" s="15" t="n">
        <f aca="false">AO500</f>
        <v>9082.26141259599</v>
      </c>
      <c r="AP184" s="15" t="n">
        <f aca="false">AP500</f>
        <v>9082.31877183154</v>
      </c>
      <c r="AQ184" s="15" t="n">
        <f aca="false">AQ500</f>
        <v>9080.75113593939</v>
      </c>
      <c r="AR184" s="15" t="n">
        <f aca="false">AR500</f>
        <v>9077.50801261365</v>
      </c>
      <c r="AS184" s="15" t="n">
        <f aca="false">AS500</f>
        <v>4536.26880167564</v>
      </c>
    </row>
    <row r="185" customFormat="false" ht="14.25" hidden="false" customHeight="false" outlineLevel="0" collapsed="false">
      <c r="C185" s="6" t="s">
        <v>164</v>
      </c>
      <c r="D185" s="2" t="s">
        <v>85</v>
      </c>
      <c r="J185" s="8" t="n">
        <f aca="false">SUM($J182:J182)</f>
        <v>0</v>
      </c>
      <c r="K185" s="8" t="n">
        <f aca="false">SUM($J182:K182)</f>
        <v>0</v>
      </c>
      <c r="L185" s="8" t="n">
        <f aca="false">SUM($J182:L182)</f>
        <v>0</v>
      </c>
      <c r="M185" s="8" t="n">
        <f aca="false">SUM($J182:M182)</f>
        <v>-29757.5797945206</v>
      </c>
      <c r="N185" s="8" t="n">
        <f aca="false">SUM($J182:N182)</f>
        <v>-61115.5797945206</v>
      </c>
      <c r="O185" s="8" t="n">
        <f aca="false">SUM($J182:O182)</f>
        <v>-74224.8080105205</v>
      </c>
      <c r="P185" s="8" t="n">
        <f aca="false">SUM($J182:P182)</f>
        <v>-64016.4894618405</v>
      </c>
      <c r="Q185" s="8" t="n">
        <f aca="false">SUM($J182:Q182)</f>
        <v>-51281.2813603703</v>
      </c>
      <c r="R185" s="8" t="n">
        <f aca="false">SUM($J182:R182)</f>
        <v>-41009.0561904071</v>
      </c>
      <c r="S185" s="8" t="n">
        <f aca="false">SUM($J182:S182)</f>
        <v>-30706.1558359602</v>
      </c>
      <c r="T185" s="8" t="n">
        <f aca="false">SUM($J182:T182)</f>
        <v>-20373.4746036139</v>
      </c>
      <c r="U185" s="8" t="n">
        <f aca="false">SUM($J182:U182)</f>
        <v>-10011.9395264367</v>
      </c>
      <c r="V185" s="8" t="n">
        <f aca="false">SUM($J182:V182)</f>
        <v>377.488762884879</v>
      </c>
      <c r="W185" s="8" t="n">
        <f aca="false">SUM($J182:W182)</f>
        <v>10793.8151371061</v>
      </c>
      <c r="X185" s="8" t="n">
        <f aca="false">SUM($J182:X182)</f>
        <v>21236.0090571443</v>
      </c>
      <c r="Y185" s="8" t="n">
        <f aca="false">SUM($J182:Y182)</f>
        <v>31703.0036319089</v>
      </c>
      <c r="Z185" s="8" t="n">
        <f aca="false">SUM($J182:Z182)</f>
        <v>42193.6946546785</v>
      </c>
      <c r="AA185" s="8" t="n">
        <f aca="false">SUM($J182:AA182)</f>
        <v>52706.9396154488</v>
      </c>
      <c r="AB185" s="8" t="n">
        <f aca="false">SUM($J182:AB182)</f>
        <v>63241.5566886611</v>
      </c>
      <c r="AC185" s="8" t="n">
        <f aca="false">SUM($J182:AC182)</f>
        <v>73796.323695705</v>
      </c>
      <c r="AD185" s="8" t="n">
        <f aca="false">SUM($J182:AD182)</f>
        <v>84369.9770415768</v>
      </c>
      <c r="AE185" s="8" t="n">
        <f aca="false">SUM($J182:AE182)</f>
        <v>94961.2106250575</v>
      </c>
      <c r="AF185" s="8" t="n">
        <f aca="false">SUM($J182:AF182)</f>
        <v>105568.674721759</v>
      </c>
      <c r="AG185" s="8" t="n">
        <f aca="false">SUM($J182:AG182)</f>
        <v>116190.974839375</v>
      </c>
      <c r="AH185" s="8" t="n">
        <f aca="false">SUM($J182:AH182)</f>
        <v>126826.670544448</v>
      </c>
      <c r="AI185" s="8" t="n">
        <f aca="false">SUM($J182:AI182)</f>
        <v>137474.274259956</v>
      </c>
      <c r="AJ185" s="8" t="n">
        <f aca="false">SUM($J182:AJ182)</f>
        <v>148132.250033007</v>
      </c>
      <c r="AK185" s="8" t="n">
        <f aca="false">SUM($J182:AK182)</f>
        <v>158799.012271891</v>
      </c>
      <c r="AL185" s="8" t="n">
        <f aca="false">SUM($J182:AL182)</f>
        <v>169472.92445176</v>
      </c>
      <c r="AM185" s="8" t="n">
        <f aca="false">SUM($J182:AM182)</f>
        <v>180152.297788139</v>
      </c>
      <c r="AN185" s="8" t="n">
        <f aca="false">SUM($J182:AN182)</f>
        <v>190835.389877501</v>
      </c>
      <c r="AO185" s="8" t="n">
        <f aca="false">SUM($J182:AO182)</f>
        <v>201520.403304085</v>
      </c>
      <c r="AP185" s="8" t="n">
        <f aca="false">SUM($J182:AP182)</f>
        <v>212205.484212122</v>
      </c>
      <c r="AQ185" s="8" t="n">
        <f aca="false">SUM($J182:AQ182)</f>
        <v>222888.720842639</v>
      </c>
      <c r="AR185" s="8" t="n">
        <f aca="false">SUM($J182:AR182)</f>
        <v>233568.142033949</v>
      </c>
      <c r="AS185" s="8" t="n">
        <f aca="false">SUM($J182:AS182)</f>
        <v>238904.92885945</v>
      </c>
    </row>
    <row r="187" customFormat="false" ht="14.25" hidden="false" customHeight="false" outlineLevel="0" collapsed="false">
      <c r="B187" s="4" t="s">
        <v>3</v>
      </c>
      <c r="C187" s="4" t="s">
        <v>166</v>
      </c>
      <c r="D187" s="4"/>
      <c r="E187" s="5" t="s">
        <v>5</v>
      </c>
      <c r="F187" s="5" t="s">
        <v>6</v>
      </c>
      <c r="G187" s="5" t="s">
        <v>7</v>
      </c>
      <c r="H187" s="5" t="s">
        <v>8</v>
      </c>
    </row>
    <row r="189" customFormat="false" ht="14.25" hidden="false" customHeight="false" outlineLevel="0" collapsed="false">
      <c r="B189" s="4" t="s">
        <v>3</v>
      </c>
      <c r="C189" s="4" t="s">
        <v>167</v>
      </c>
      <c r="D189" s="4"/>
      <c r="E189" s="5" t="s">
        <v>5</v>
      </c>
      <c r="F189" s="5" t="s">
        <v>6</v>
      </c>
      <c r="G189" s="5" t="s">
        <v>7</v>
      </c>
      <c r="H189" s="5" t="s">
        <v>8</v>
      </c>
    </row>
    <row r="190" customFormat="false" ht="14.25" hidden="false" customHeight="false" outlineLevel="0" collapsed="false">
      <c r="C190" s="54" t="s">
        <v>168</v>
      </c>
      <c r="D190" s="55" t="s">
        <v>169</v>
      </c>
      <c r="E190" s="56" t="n">
        <f aca="false">MIN(Freeze_Date,Sale_Date)</f>
        <v>47299</v>
      </c>
      <c r="F190" s="56" t="n">
        <f aca="false">MIN(Freeze_Date,Sale_Date)</f>
        <v>47299</v>
      </c>
      <c r="G190" s="56" t="n">
        <f aca="false">MIN(Freeze_Date,Sale_Date)</f>
        <v>47299</v>
      </c>
      <c r="H190" s="57"/>
    </row>
    <row r="191" customFormat="false" ht="14.25" hidden="false" customHeight="false" outlineLevel="0" collapsed="false">
      <c r="C191" s="54" t="s">
        <v>170</v>
      </c>
      <c r="D191" s="55" t="s">
        <v>3</v>
      </c>
      <c r="E191" s="58" t="n">
        <f aca="false">1+Rate_Cash*(E190-DATE(YEAR(E190),1,1)+1)/Days_In_Year</f>
        <v>1.05950684931507</v>
      </c>
      <c r="F191" s="58" t="n">
        <f aca="false">1+Rate_Cash*(F190-DATE(YEAR(F190),1,1)+1)/Days_In_Year</f>
        <v>1.05950684931507</v>
      </c>
      <c r="G191" s="58" t="n">
        <f aca="false">1+Rate_Cash*(G190-DATE(YEAR(G190),1,1)+1)/Days_In_Year</f>
        <v>1.05950684931507</v>
      </c>
      <c r="H191" s="57"/>
    </row>
    <row r="192" customFormat="false" ht="14.25" hidden="false" customHeight="false" outlineLevel="0" collapsed="false">
      <c r="C192" s="54" t="s">
        <v>171</v>
      </c>
      <c r="D192" s="55" t="s">
        <v>3</v>
      </c>
      <c r="E192" s="58" t="n">
        <f aca="false">1+Rate_Devex*(E190-DATE(YEAR(E190),1,1)+1)/Days_In_Year</f>
        <v>1.09917808219178</v>
      </c>
      <c r="F192" s="58" t="n">
        <f aca="false">1+Rate_Devex*(F190-DATE(YEAR(F190),1,1)+1)/Days_In_Year</f>
        <v>1.09917808219178</v>
      </c>
      <c r="G192" s="58" t="n">
        <f aca="false">1+Rate_Devex*(G190-DATE(YEAR(G190),1,1)+1)/Days_In_Year</f>
        <v>1.09917808219178</v>
      </c>
      <c r="H192" s="57"/>
    </row>
    <row r="193" customFormat="false" ht="14.25" hidden="false" customHeight="false" outlineLevel="0" collapsed="false">
      <c r="C193" s="54" t="s">
        <v>172</v>
      </c>
      <c r="D193" s="55" t="s">
        <v>173</v>
      </c>
      <c r="E193" s="59" t="n">
        <f aca="false">DATE(YEAR(Inputs!E$21)+1,1,1)-Inputs!E$21</f>
        <v>63</v>
      </c>
      <c r="F193" s="59" t="n">
        <f aca="false">DATE(YEAR(Inputs!F$21)+1,1,1)-Inputs!F$21</f>
        <v>63</v>
      </c>
      <c r="G193" s="59" t="n">
        <f aca="false">DATE(YEAR(Inputs!G$21)+1,1,1)-Inputs!G$21</f>
        <v>63</v>
      </c>
      <c r="H193" s="57"/>
    </row>
    <row r="194" customFormat="false" ht="14.25" hidden="false" customHeight="false" outlineLevel="0" collapsed="false">
      <c r="C194" s="54" t="s">
        <v>174</v>
      </c>
      <c r="D194" s="55" t="s">
        <v>3</v>
      </c>
      <c r="E194" s="58" t="n">
        <f aca="false">(1+Rate_Cash*E193/Days_In_Year)*(1+Rate_Cash)^(YEAR(E190)-YEAR(Inputs!E$21)-1)*E191</f>
        <v>1.35657301688182</v>
      </c>
      <c r="F194" s="58" t="n">
        <f aca="false">(1+Rate_Cash*F193/Days_In_Year)*(1+Rate_Cash)^(YEAR(F190)-YEAR(Inputs!F$21)-1)*F191</f>
        <v>1.35657301688182</v>
      </c>
      <c r="G194" s="58" t="n">
        <f aca="false">(1+Rate_Cash*G193/Days_In_Year)*(1+Rate_Cash)^(YEAR(G190)-YEAR(Inputs!G$21)-1)*G191</f>
        <v>1.35657301688182</v>
      </c>
      <c r="H194" s="57"/>
    </row>
    <row r="195" customFormat="false" ht="14.25" hidden="false" customHeight="false" outlineLevel="0" collapsed="false">
      <c r="C195" s="54" t="s">
        <v>175</v>
      </c>
      <c r="D195" s="55" t="s">
        <v>173</v>
      </c>
      <c r="E195" s="59" t="n">
        <f aca="false">DATE(YEAR(Inputs!E$22)+1,1,1)-Inputs!E$22</f>
        <v>351</v>
      </c>
      <c r="F195" s="59" t="n">
        <f aca="false">DATE(YEAR(Inputs!F$22)+1,1,1)-Inputs!F$22</f>
        <v>351</v>
      </c>
      <c r="G195" s="59" t="n">
        <f aca="false">DATE(YEAR(Inputs!G$22)+1,1,1)-Inputs!G$22</f>
        <v>351</v>
      </c>
      <c r="H195" s="57"/>
    </row>
    <row r="196" customFormat="false" ht="14.25" hidden="false" customHeight="false" outlineLevel="0" collapsed="false">
      <c r="C196" s="54" t="s">
        <v>176</v>
      </c>
      <c r="D196" s="55" t="s">
        <v>3</v>
      </c>
      <c r="E196" s="58" t="n">
        <f aca="false">(1+Rate_Cash*E195/Days_In_Year)*(1+Rate_Cash)^(YEAR(E190)-YEAR(Inputs!E$22)-1)*E191</f>
        <v>1.32358356140364</v>
      </c>
      <c r="F196" s="58" t="n">
        <f aca="false">(1+Rate_Cash*F195/Days_In_Year)*(1+Rate_Cash)^(YEAR(F190)-YEAR(Inputs!F$22)-1)*F191</f>
        <v>1.32358356140364</v>
      </c>
      <c r="G196" s="58" t="n">
        <f aca="false">(1+Rate_Cash*G195/Days_In_Year)*(1+Rate_Cash)^(YEAR(G190)-YEAR(Inputs!G$22)-1)*G191</f>
        <v>1.32358356140364</v>
      </c>
      <c r="H196" s="57"/>
    </row>
    <row r="197" customFormat="false" ht="14.25" hidden="false" customHeight="false" outlineLevel="0" collapsed="false">
      <c r="C197" s="54" t="s">
        <v>177</v>
      </c>
      <c r="D197" s="55" t="s">
        <v>173</v>
      </c>
      <c r="E197" s="59" t="n">
        <f aca="false">DATE(YEAR(Inputs!E$23)+1,1,1)-Inputs!E$23</f>
        <v>351</v>
      </c>
      <c r="F197" s="59" t="n">
        <f aca="false">DATE(YEAR(Inputs!F$23)+1,1,1)-Inputs!F$23</f>
        <v>351</v>
      </c>
      <c r="G197" s="59" t="n">
        <f aca="false">DATE(YEAR(Inputs!G$23)+1,1,1)-Inputs!G$23</f>
        <v>351</v>
      </c>
      <c r="H197" s="57"/>
    </row>
    <row r="198" customFormat="false" ht="14.25" hidden="false" customHeight="false" outlineLevel="0" collapsed="false">
      <c r="C198" s="54" t="s">
        <v>178</v>
      </c>
      <c r="D198" s="55" t="s">
        <v>3</v>
      </c>
      <c r="E198" s="58" t="n">
        <f aca="false">(1+Rate_Cash*E197/Days_In_Year)*(1+Rate_Cash)^(YEAR(E190)-YEAR(Inputs!E$23)-1)*E191</f>
        <v>1.32358356140364</v>
      </c>
      <c r="F198" s="58" t="n">
        <f aca="false">(1+Rate_Cash*F197/Days_In_Year)*(1+Rate_Cash)^(YEAR(F190)-YEAR(Inputs!F$23)-1)*F191</f>
        <v>1.32358356140364</v>
      </c>
      <c r="G198" s="58" t="n">
        <f aca="false">(1+Rate_Cash*G197/Days_In_Year)*(1+Rate_Cash)^(YEAR(G190)-YEAR(Inputs!G$23)-1)*G191</f>
        <v>1.32358356140364</v>
      </c>
      <c r="H198" s="57"/>
    </row>
    <row r="199" customFormat="false" ht="14.25" hidden="false" customHeight="false" outlineLevel="0" collapsed="false">
      <c r="C199" s="54" t="s">
        <v>179</v>
      </c>
      <c r="D199" s="55" t="s">
        <v>173</v>
      </c>
      <c r="E199" s="59" t="n">
        <f aca="false">DATE(YEAR(Inputs!E$24)+1,1,1)-Inputs!E$24</f>
        <v>92</v>
      </c>
      <c r="F199" s="59" t="n">
        <f aca="false">DATE(YEAR(Inputs!F$24)+1,1,1)-Inputs!F$24</f>
        <v>92</v>
      </c>
      <c r="G199" s="59" t="n">
        <f aca="false">DATE(YEAR(Inputs!G$24)+1,1,1)-Inputs!G$24</f>
        <v>92</v>
      </c>
      <c r="H199" s="57"/>
    </row>
    <row r="200" customFormat="false" ht="14.25" hidden="false" customHeight="false" outlineLevel="0" collapsed="false">
      <c r="C200" s="54" t="s">
        <v>180</v>
      </c>
      <c r="D200" s="55" t="s">
        <v>3</v>
      </c>
      <c r="E200" s="58" t="n">
        <f aca="false">(1+Rate_Cash*E199/Days_In_Year)*(1+Rate_Cash)^(YEAR(E190)-YEAR(Inputs!E$24)-1)*E191</f>
        <v>1.09155330305874</v>
      </c>
      <c r="F200" s="58" t="n">
        <f aca="false">(1+Rate_Cash*F199/Days_In_Year)*(1+Rate_Cash)^(YEAR(F190)-YEAR(Inputs!F$24)-1)*F191</f>
        <v>1.09155330305874</v>
      </c>
      <c r="G200" s="58" t="n">
        <f aca="false">(1+Rate_Cash*G199/Days_In_Year)*(1+Rate_Cash)^(YEAR(G190)-YEAR(Inputs!G$24)-1)*G191</f>
        <v>1.09155330305874</v>
      </c>
      <c r="H200" s="57"/>
    </row>
    <row r="201" customFormat="false" ht="14.25" hidden="false" customHeight="false" outlineLevel="0" collapsed="false">
      <c r="C201" s="54" t="s">
        <v>181</v>
      </c>
      <c r="D201" s="55" t="s">
        <v>173</v>
      </c>
      <c r="E201" s="59" t="n">
        <f aca="false">DATE(YEAR($J$56)+1,1,1)-$J$56</f>
        <v>241.823134179002</v>
      </c>
      <c r="F201" s="59" t="n">
        <f aca="false">DATE(YEAR($J$56)+1,1,1)-$J$56</f>
        <v>241.823134179002</v>
      </c>
      <c r="G201" s="59" t="n">
        <f aca="false">DATE(YEAR($J$56)+1,1,1)-$J$56</f>
        <v>241.823134179002</v>
      </c>
      <c r="H201" s="57"/>
    </row>
    <row r="202" customFormat="false" ht="14.25" hidden="false" customHeight="false" outlineLevel="0" collapsed="false">
      <c r="C202" s="54" t="s">
        <v>182</v>
      </c>
      <c r="D202" s="55" t="s">
        <v>3</v>
      </c>
      <c r="E202" s="58" t="n">
        <f aca="false">(1+Rate_Devex*E201/Days_In_Year)*(1+Rate_Devex)^(YEAR(E190)-YEAR($J$56)-1)*E192</f>
        <v>1.24482558293506</v>
      </c>
      <c r="F202" s="58" t="n">
        <f aca="false">(1+Rate_Devex*F201/Days_In_Year)*(1+Rate_Devex)^(YEAR(F190)-YEAR($J$56)-1)*F192</f>
        <v>1.24482558293506</v>
      </c>
      <c r="G202" s="58" t="n">
        <f aca="false">(1+Rate_Devex*G201/Days_In_Year)*(1+Rate_Devex)^(YEAR(G190)-YEAR($J$56)-1)*G192</f>
        <v>1.24482558293506</v>
      </c>
      <c r="H202" s="57"/>
    </row>
    <row r="203" customFormat="false" ht="14.25" hidden="false" customHeight="false" outlineLevel="0" collapsed="false">
      <c r="C203" s="54" t="s">
        <v>183</v>
      </c>
      <c r="D203" s="55" t="s">
        <v>173</v>
      </c>
      <c r="E203" s="59" t="n">
        <f aca="false">DATE(YEAR($J$55)+1,1,1)-$J$55</f>
        <v>38.8757241119529</v>
      </c>
      <c r="F203" s="59" t="n">
        <f aca="false">DATE(YEAR($J$55)+1,1,1)-$J$55</f>
        <v>38.8757241119529</v>
      </c>
      <c r="G203" s="59" t="n">
        <f aca="false">DATE(YEAR($J$55)+1,1,1)-$J$55</f>
        <v>38.8757241119529</v>
      </c>
      <c r="H203" s="57"/>
    </row>
    <row r="204" customFormat="false" ht="14.25" hidden="false" customHeight="false" outlineLevel="0" collapsed="false">
      <c r="C204" s="54" t="s">
        <v>184</v>
      </c>
      <c r="D204" s="55" t="s">
        <v>3</v>
      </c>
      <c r="E204" s="58" t="n">
        <f aca="false">(1+Rate_Devex*E203/Days_In_Year)*(1+Rate_Devex)^(YEAR(E190)-YEAR($J$55)-1)*E192</f>
        <v>1.34711102062895</v>
      </c>
      <c r="F204" s="58" t="n">
        <f aca="false">(1+Rate_Devex*F203/Days_In_Year)*(1+Rate_Devex)^(YEAR(F190)-YEAR($J$55)-1)*F192</f>
        <v>1.34711102062895</v>
      </c>
      <c r="G204" s="58" t="n">
        <f aca="false">(1+Rate_Devex*G203/Days_In_Year)*(1+Rate_Devex)^(YEAR(G190)-YEAR($J$55)-1)*G192</f>
        <v>1.34711102062895</v>
      </c>
      <c r="H204" s="57"/>
    </row>
    <row r="205" customFormat="false" ht="14.25" hidden="false" customHeight="false" outlineLevel="0" collapsed="false">
      <c r="C205" s="54" t="s">
        <v>185</v>
      </c>
      <c r="D205" s="55" t="s">
        <v>85</v>
      </c>
      <c r="E205" s="60" t="n">
        <f aca="false">E$21*E61*(E194-1)</f>
        <v>2.93073712505603</v>
      </c>
      <c r="F205" s="60" t="n">
        <f aca="false">F$21*F61*(F194-1)</f>
        <v>0</v>
      </c>
      <c r="G205" s="60" t="n">
        <f aca="false">G$21*G61*(G194-1)</f>
        <v>0</v>
      </c>
      <c r="H205" s="60" t="n">
        <f aca="false">SUM(E205:G205)</f>
        <v>2.93073712505603</v>
      </c>
    </row>
    <row r="206" customFormat="false" ht="14.25" hidden="false" customHeight="false" outlineLevel="0" collapsed="false">
      <c r="C206" s="54" t="s">
        <v>186</v>
      </c>
      <c r="D206" s="55" t="s">
        <v>85</v>
      </c>
      <c r="E206" s="61" t="n">
        <f aca="false">E$21*E62*(E194-1)</f>
        <v>138.526174777648</v>
      </c>
      <c r="F206" s="61" t="n">
        <f aca="false">F$21*F62*(F194-1)</f>
        <v>0</v>
      </c>
      <c r="G206" s="61" t="n">
        <f aca="false">G$21*G62*(G194-1)</f>
        <v>0</v>
      </c>
      <c r="H206" s="61" t="n">
        <f aca="false">SUM(E206:G206)</f>
        <v>138.526174777648</v>
      </c>
    </row>
    <row r="207" customFormat="false" ht="14.25" hidden="false" customHeight="false" outlineLevel="0" collapsed="false">
      <c r="C207" s="54" t="s">
        <v>187</v>
      </c>
      <c r="D207" s="55" t="s">
        <v>85</v>
      </c>
      <c r="E207" s="61" t="n">
        <f aca="false">E$21*E63*(E196-1)</f>
        <v>502.839989118205</v>
      </c>
      <c r="F207" s="61" t="n">
        <f aca="false">F$21*F63*(F196-1)</f>
        <v>0</v>
      </c>
      <c r="G207" s="61" t="n">
        <f aca="false">G$21*G63*(G196-1)</f>
        <v>0</v>
      </c>
      <c r="H207" s="61" t="n">
        <f aca="false">SUM(E207:G207)</f>
        <v>502.839989118205</v>
      </c>
    </row>
    <row r="208" customFormat="false" ht="14.25" hidden="false" customHeight="false" outlineLevel="0" collapsed="false">
      <c r="C208" s="54" t="s">
        <v>188</v>
      </c>
      <c r="D208" s="55" t="s">
        <v>85</v>
      </c>
      <c r="E208" s="61" t="n">
        <f aca="false">E$21*E64*(E198-1)</f>
        <v>199.469318673477</v>
      </c>
      <c r="F208" s="61" t="n">
        <f aca="false">F$21*F64*(F198-1)</f>
        <v>0</v>
      </c>
      <c r="G208" s="61" t="n">
        <f aca="false">G$21*G64*(G198-1)</f>
        <v>0</v>
      </c>
      <c r="H208" s="61" t="n">
        <f aca="false">SUM(E208:G208)</f>
        <v>199.469318673477</v>
      </c>
    </row>
    <row r="209" customFormat="false" ht="14.25" hidden="false" customHeight="false" outlineLevel="0" collapsed="false">
      <c r="C209" s="54" t="s">
        <v>189</v>
      </c>
      <c r="D209" s="55" t="s">
        <v>85</v>
      </c>
      <c r="E209" s="61" t="n">
        <f aca="false">E$21*E65*(E200-1)</f>
        <v>63.7544348660937</v>
      </c>
      <c r="F209" s="61" t="n">
        <f aca="false">F$21*F65*(F200-1)</f>
        <v>0</v>
      </c>
      <c r="G209" s="61" t="n">
        <f aca="false">G$21*G65*(G200-1)</f>
        <v>0</v>
      </c>
      <c r="H209" s="61" t="n">
        <f aca="false">SUM(E209:G209)</f>
        <v>63.7544348660937</v>
      </c>
    </row>
    <row r="210" customFormat="false" ht="14.25" hidden="false" customHeight="false" outlineLevel="0" collapsed="false">
      <c r="C210" s="54" t="s">
        <v>190</v>
      </c>
      <c r="D210" s="55" t="s">
        <v>85</v>
      </c>
      <c r="E210" s="61" t="n">
        <f aca="false">E$21*E66*(E200-1)</f>
        <v>859.990350596064</v>
      </c>
      <c r="F210" s="61" t="n">
        <f aca="false">F$21*F66*(F200-1)</f>
        <v>0</v>
      </c>
      <c r="G210" s="61" t="n">
        <f aca="false">G$21*G66*(G200-1)</f>
        <v>0</v>
      </c>
      <c r="H210" s="61" t="n">
        <f aca="false">SUM(E210:G210)</f>
        <v>859.990350596064</v>
      </c>
    </row>
    <row r="211" customFormat="false" ht="14.25" hidden="false" customHeight="false" outlineLevel="0" collapsed="false">
      <c r="C211" s="54" t="s">
        <v>191</v>
      </c>
      <c r="D211" s="55" t="s">
        <v>85</v>
      </c>
      <c r="E211" s="61" t="n">
        <f aca="false">E$21*E68*MAX(E202-1,Devex_Floor-1)</f>
        <v>107.801712328767</v>
      </c>
      <c r="F211" s="61" t="n">
        <f aca="false">F$21*F68*MAX(F202-1,Devex_Floor-1)</f>
        <v>0</v>
      </c>
      <c r="G211" s="61" t="n">
        <f aca="false">G$21*G68*MAX(G202-1,Devex_Floor-1)</f>
        <v>0</v>
      </c>
      <c r="H211" s="61" t="n">
        <f aca="false">SUM(E211:G211)</f>
        <v>107.801712328767</v>
      </c>
    </row>
    <row r="212" customFormat="false" ht="14.25" hidden="false" customHeight="false" outlineLevel="0" collapsed="false">
      <c r="C212" s="54" t="s">
        <v>192</v>
      </c>
      <c r="D212" s="55" t="s">
        <v>85</v>
      </c>
      <c r="E212" s="61" t="n">
        <f aca="false">E$21*E67*MAX(E204-1,Devex_Floor-1)</f>
        <v>701.098816348896</v>
      </c>
      <c r="F212" s="61" t="n">
        <f aca="false">F$21*F67*MAX(F204-1,Devex_Floor-1)</f>
        <v>0</v>
      </c>
      <c r="G212" s="61" t="n">
        <f aca="false">G$21*G67*MAX(G204-1,Devex_Floor-1)</f>
        <v>0</v>
      </c>
      <c r="H212" s="61" t="n">
        <f aca="false">SUM(E212:G212)</f>
        <v>701.098816348896</v>
      </c>
    </row>
    <row r="213" customFormat="false" ht="14.25" hidden="false" customHeight="false" outlineLevel="0" collapsed="false">
      <c r="C213" s="62" t="s">
        <v>193</v>
      </c>
      <c r="D213" s="55" t="s">
        <v>85</v>
      </c>
      <c r="E213" s="63" t="n">
        <f aca="false">SUM(E205:E212)</f>
        <v>2576.41153383421</v>
      </c>
      <c r="F213" s="63" t="n">
        <f aca="false">SUM(F205:F212)</f>
        <v>0</v>
      </c>
      <c r="G213" s="63" t="n">
        <f aca="false">SUM(G205:G212)</f>
        <v>0</v>
      </c>
      <c r="H213" s="63" t="n">
        <f aca="false">SUM(E213:G213)</f>
        <v>2576.41153383421</v>
      </c>
    </row>
    <row r="214" customFormat="false" ht="14.25" hidden="false" customHeight="false" outlineLevel="0" collapsed="false">
      <c r="C214" s="54" t="s">
        <v>194</v>
      </c>
      <c r="D214" s="55" t="s">
        <v>85</v>
      </c>
      <c r="E214" s="61" t="n">
        <f aca="false">E20*MIN(DSA_Rate*YEARFRAC(Inputs!E$28,Sale_Date),DSA_Cap)*E44</f>
        <v>437.5</v>
      </c>
      <c r="F214" s="61" t="n">
        <f aca="false">F20*MIN(DSA_Rate*YEARFRAC(Inputs!F$28,Sale_Date),DSA_Cap)*F44</f>
        <v>0</v>
      </c>
      <c r="G214" s="61" t="n">
        <f aca="false">G20*MIN(DSA_Rate*YEARFRAC(Inputs!G$28,Sale_Date),DSA_Cap)*G44</f>
        <v>0</v>
      </c>
      <c r="H214" s="61" t="n">
        <f aca="false">SUM(E214:G214)</f>
        <v>437.5</v>
      </c>
    </row>
    <row r="216" customFormat="false" ht="14.25" hidden="false" customHeight="false" outlineLevel="0" collapsed="false">
      <c r="B216" s="4" t="s">
        <v>3</v>
      </c>
      <c r="C216" s="4" t="s">
        <v>195</v>
      </c>
      <c r="D216" s="4"/>
      <c r="E216" s="5" t="s">
        <v>5</v>
      </c>
      <c r="F216" s="5" t="s">
        <v>6</v>
      </c>
      <c r="G216" s="5" t="s">
        <v>7</v>
      </c>
      <c r="H216" s="5" t="s">
        <v>8</v>
      </c>
    </row>
    <row r="217" customFormat="false" ht="14.25" hidden="false" customHeight="false" outlineLevel="0" collapsed="false">
      <c r="C217" s="54" t="s">
        <v>196</v>
      </c>
      <c r="D217" s="55" t="s">
        <v>85</v>
      </c>
      <c r="E217" s="61" t="n">
        <f aca="false">E65+E66</f>
        <v>10089.6937041096</v>
      </c>
      <c r="F217" s="61" t="n">
        <f aca="false">F65+F66</f>
        <v>3359.81917808219</v>
      </c>
      <c r="G217" s="61" t="n">
        <f aca="false">G65+G66</f>
        <v>3359.81917808219</v>
      </c>
      <c r="H217" s="61" t="n">
        <f aca="false">SUM(E217:G217)</f>
        <v>16809.332060274</v>
      </c>
    </row>
    <row r="218" customFormat="false" ht="14.25" hidden="false" customHeight="false" outlineLevel="0" collapsed="false">
      <c r="C218" s="54" t="s">
        <v>197</v>
      </c>
      <c r="D218" s="55" t="s">
        <v>74</v>
      </c>
      <c r="E218" s="61" t="n">
        <f aca="false">SUMIFS(Devex_HUF,Devex_Class,"Land",Devex_Date,"&lt;="&amp;Sale_Date_A)</f>
        <v>66190500</v>
      </c>
      <c r="F218" s="61" t="n">
        <f aca="false">SUMIFS(Devex_HUF,Devex_Class,"Land",Devex_Date,"&lt;="&amp;Sale_Date_A)</f>
        <v>66190500</v>
      </c>
      <c r="G218" s="61" t="n">
        <f aca="false">SUMIFS(Devex_HUF,Devex_Class,"Land",Devex_Date,"&lt;="&amp;Sale_Date_A)</f>
        <v>66190500</v>
      </c>
      <c r="H218" s="61"/>
    </row>
    <row r="219" customFormat="false" ht="14.25" hidden="false" customHeight="false" outlineLevel="0" collapsed="false">
      <c r="C219" s="54" t="s">
        <v>198</v>
      </c>
      <c r="D219" s="55" t="s">
        <v>169</v>
      </c>
      <c r="E219" s="56" t="n">
        <f aca="false">SUMPRODUCT((Devex_Class="Land")*(Devex_Date&lt;=Sale_Date_A)*Devex_HUF,Devex_Date)/E218</f>
        <v>46431</v>
      </c>
      <c r="F219" s="56" t="n">
        <f aca="false">SUMPRODUCT((Devex_Class="Land")*(Devex_Date&lt;=Sale_Date_A)*Devex_HUF,Devex_Date)/F218</f>
        <v>46431</v>
      </c>
      <c r="G219" s="56" t="n">
        <f aca="false">SUMPRODUCT((Devex_Class="Land")*(Devex_Date&lt;=Sale_Date_A)*Devex_HUF,Devex_Date)/G218</f>
        <v>46431</v>
      </c>
      <c r="H219" s="57"/>
    </row>
    <row r="220" customFormat="false" ht="14.25" hidden="false" customHeight="false" outlineLevel="0" collapsed="false">
      <c r="C220" s="54" t="s">
        <v>199</v>
      </c>
      <c r="D220" s="55" t="s">
        <v>85</v>
      </c>
      <c r="E220" s="61" t="n">
        <f aca="false">E218/FX/Thousand*Inputs!E$18</f>
        <v>45.3359589041096</v>
      </c>
      <c r="F220" s="61" t="n">
        <f aca="false">F218/FX/Thousand*Inputs!F$18</f>
        <v>45.3359589041096</v>
      </c>
      <c r="G220" s="61" t="n">
        <f aca="false">G218/FX/Thousand*Inputs!G$18</f>
        <v>45.3359589041096</v>
      </c>
      <c r="H220" s="61" t="n">
        <f aca="false">SUM(E220:G220)</f>
        <v>136.007876712329</v>
      </c>
    </row>
    <row r="221" customFormat="false" ht="14.25" hidden="false" customHeight="false" outlineLevel="0" collapsed="false">
      <c r="C221" s="54" t="s">
        <v>200</v>
      </c>
      <c r="D221" s="55" t="s">
        <v>74</v>
      </c>
      <c r="E221" s="61" t="n">
        <f aca="false">SUMIFS(Devex_HUF,Devex_Class,"Devex",Devex_Date,"&lt;="&amp;Sale_Date_A)</f>
        <v>991604271.869388</v>
      </c>
      <c r="F221" s="61" t="n">
        <f aca="false">SUMIFS(Devex_HUF,Devex_Class,"Devex",Devex_Date,"&lt;="&amp;Sale_Date_A)</f>
        <v>991604271.869388</v>
      </c>
      <c r="G221" s="61" t="n">
        <f aca="false">SUMIFS(Devex_HUF,Devex_Class,"Devex",Devex_Date,"&lt;="&amp;Sale_Date_A)</f>
        <v>991604271.869388</v>
      </c>
      <c r="H221" s="61"/>
    </row>
    <row r="222" customFormat="false" ht="14.25" hidden="false" customHeight="false" outlineLevel="0" collapsed="false">
      <c r="C222" s="54" t="s">
        <v>201</v>
      </c>
      <c r="D222" s="55" t="s">
        <v>169</v>
      </c>
      <c r="E222" s="56" t="n">
        <f aca="false">SUMPRODUCT((Devex_Class="Devex")*(Devex_Date&lt;=Sale_Date_A)*Devex_HUF,Devex_Date)/E221</f>
        <v>46701.5587560279</v>
      </c>
      <c r="F222" s="56" t="n">
        <f aca="false">SUMPRODUCT((Devex_Class="Devex")*(Devex_Date&lt;=Sale_Date_A)*Devex_HUF,Devex_Date)/F221</f>
        <v>46701.5587560279</v>
      </c>
      <c r="G222" s="56" t="n">
        <f aca="false">SUMPRODUCT((Devex_Class="Devex")*(Devex_Date&lt;=Sale_Date_A)*Devex_HUF,Devex_Date)/G221</f>
        <v>46701.5587560279</v>
      </c>
      <c r="H222" s="57"/>
    </row>
    <row r="223" customFormat="false" ht="14.25" hidden="false" customHeight="false" outlineLevel="0" collapsed="false">
      <c r="C223" s="54" t="s">
        <v>202</v>
      </c>
      <c r="D223" s="55" t="s">
        <v>85</v>
      </c>
      <c r="E223" s="61" t="n">
        <f aca="false">E221/FX/Thousand*Inputs!E$18</f>
        <v>679.181008129718</v>
      </c>
      <c r="F223" s="61" t="n">
        <f aca="false">F221/FX/Thousand*Inputs!F$18</f>
        <v>679.181008129718</v>
      </c>
      <c r="G223" s="61" t="n">
        <f aca="false">G221/FX/Thousand*Inputs!G$18</f>
        <v>679.181008129718</v>
      </c>
      <c r="H223" s="61" t="n">
        <f aca="false">SUM(E223:G223)</f>
        <v>2037.54302438915</v>
      </c>
    </row>
    <row r="224" customFormat="false" ht="14.25" hidden="false" customHeight="false" outlineLevel="0" collapsed="false">
      <c r="C224" s="54" t="s">
        <v>203</v>
      </c>
      <c r="D224" s="55" t="s">
        <v>85</v>
      </c>
      <c r="E224" s="61" t="n">
        <f aca="false">E61+SUM(E62:E64)+E220+E223+E69</f>
        <v>3391.64025470506</v>
      </c>
      <c r="F224" s="61" t="n">
        <f aca="false">F61+SUM(F62:F64)+F220+F223+F69</f>
        <v>3993.69504922561</v>
      </c>
      <c r="G224" s="61" t="n">
        <f aca="false">G61+SUM(G62:G64)+G220+G223+G69</f>
        <v>3993.69504922561</v>
      </c>
      <c r="H224" s="61" t="n">
        <f aca="false">SUM(E224:G224)</f>
        <v>11379.0303531563</v>
      </c>
    </row>
    <row r="225" customFormat="false" ht="14.25" hidden="false" customHeight="false" outlineLevel="0" collapsed="false">
      <c r="C225" s="54" t="s">
        <v>204</v>
      </c>
      <c r="D225" s="55" t="s">
        <v>169</v>
      </c>
      <c r="E225" s="56" t="n">
        <f aca="false">MIN(Freeze_Date,Sale_Date_A)</f>
        <v>47026</v>
      </c>
      <c r="F225" s="56" t="n">
        <f aca="false">MIN(Freeze_Date,Sale_Date_A)</f>
        <v>47026</v>
      </c>
      <c r="G225" s="56" t="n">
        <f aca="false">MIN(Freeze_Date,Sale_Date_A)</f>
        <v>47026</v>
      </c>
      <c r="H225" s="57"/>
    </row>
    <row r="226" customFormat="false" ht="14.25" hidden="false" customHeight="false" outlineLevel="0" collapsed="false">
      <c r="C226" s="54" t="s">
        <v>205</v>
      </c>
      <c r="D226" s="55" t="s">
        <v>169</v>
      </c>
      <c r="E226" s="56" t="n">
        <f aca="false">DATE(YEAR(E225),1,1)</f>
        <v>46753</v>
      </c>
      <c r="F226" s="56" t="n">
        <f aca="false">DATE(YEAR(F225),1,1)</f>
        <v>46753</v>
      </c>
      <c r="G226" s="56" t="n">
        <f aca="false">DATE(YEAR(G225),1,1)</f>
        <v>46753</v>
      </c>
      <c r="H226" s="57"/>
    </row>
    <row r="227" customFormat="false" ht="14.25" hidden="false" customHeight="false" outlineLevel="0" collapsed="false">
      <c r="C227" s="54" t="s">
        <v>206</v>
      </c>
      <c r="D227" s="55" t="s">
        <v>3</v>
      </c>
      <c r="E227" s="58" t="n">
        <f aca="false">1+Rate_Cash*(DATE(YEAR(Inputs!E$21)+1,1,1)-Inputs!E$21)*(Inputs!E$21&lt;E226)/Days_In_Year</f>
        <v>1.02071232876712</v>
      </c>
      <c r="F227" s="58" t="n">
        <f aca="false">1+Rate_Cash*(DATE(YEAR(Inputs!F$21)+1,1,1)-Inputs!F$21)*(Inputs!F$21&lt;F226)/Days_In_Year</f>
        <v>1.02071232876712</v>
      </c>
      <c r="G227" s="58" t="n">
        <f aca="false">1+Rate_Cash*(DATE(YEAR(Inputs!G$21)+1,1,1)-Inputs!G$21)*(Inputs!G$21&lt;G226)/Days_In_Year</f>
        <v>1.02071232876712</v>
      </c>
      <c r="H227" s="57"/>
    </row>
    <row r="228" customFormat="false" ht="14.25" hidden="false" customHeight="false" outlineLevel="0" collapsed="false">
      <c r="C228" s="54" t="s">
        <v>207</v>
      </c>
      <c r="D228" s="55" t="s">
        <v>3</v>
      </c>
      <c r="E228" s="58" t="n">
        <f aca="false">1+Rate_Cash*MAX(0,E225-MAX(Inputs!E$21,E226)+1)/Days_In_Year</f>
        <v>1.09008219178082</v>
      </c>
      <c r="F228" s="58" t="n">
        <f aca="false">1+Rate_Cash*MAX(0,F225-MAX(Inputs!F$21,F226)+1)/Days_In_Year</f>
        <v>1.09008219178082</v>
      </c>
      <c r="G228" s="58" t="n">
        <f aca="false">1+Rate_Cash*MAX(0,G225-MAX(Inputs!G$21,G226)+1)/Days_In_Year</f>
        <v>1.09008219178082</v>
      </c>
      <c r="H228" s="57"/>
    </row>
    <row r="229" customFormat="false" ht="14.25" hidden="false" customHeight="false" outlineLevel="0" collapsed="false">
      <c r="C229" s="54" t="s">
        <v>208</v>
      </c>
      <c r="D229" s="55" t="s">
        <v>3</v>
      </c>
      <c r="E229" s="58" t="n">
        <f aca="false">E227*(1+Rate_Cash)^MAX(0,YEAR(E226)-YEAR(Inputs!E$21)-1)*E228</f>
        <v>1.24617957242259</v>
      </c>
      <c r="F229" s="58" t="n">
        <f aca="false">F227*(1+Rate_Cash)^MAX(0,YEAR(F226)-YEAR(Inputs!F$21)-1)*F228</f>
        <v>1.24617957242259</v>
      </c>
      <c r="G229" s="58" t="n">
        <f aca="false">G227*(1+Rate_Cash)^MAX(0,YEAR(G226)-YEAR(Inputs!G$21)-1)*G228</f>
        <v>1.24617957242259</v>
      </c>
      <c r="H229" s="57"/>
    </row>
    <row r="230" customFormat="false" ht="14.25" hidden="false" customHeight="false" outlineLevel="0" collapsed="false">
      <c r="C230" s="54" t="s">
        <v>209</v>
      </c>
      <c r="D230" s="55" t="s">
        <v>3</v>
      </c>
      <c r="E230" s="58" t="n">
        <f aca="false">1+Rate_Cash*(DATE(YEAR(Inputs!E$22)+1,1,1)-Inputs!E$22)*(Inputs!E$22&lt;E226)/Days_In_Year</f>
        <v>1.11539726027397</v>
      </c>
      <c r="F230" s="58" t="n">
        <f aca="false">1+Rate_Cash*(DATE(YEAR(Inputs!F$22)+1,1,1)-Inputs!F$22)*(Inputs!F$22&lt;F226)/Days_In_Year</f>
        <v>1.11539726027397</v>
      </c>
      <c r="G230" s="58" t="n">
        <f aca="false">1+Rate_Cash*(DATE(YEAR(Inputs!G$22)+1,1,1)-Inputs!G$22)*(Inputs!G$22&lt;G226)/Days_In_Year</f>
        <v>1.11539726027397</v>
      </c>
      <c r="H230" s="57"/>
    </row>
    <row r="231" customFormat="false" ht="14.25" hidden="false" customHeight="false" outlineLevel="0" collapsed="false">
      <c r="C231" s="54" t="s">
        <v>210</v>
      </c>
      <c r="D231" s="55" t="s">
        <v>3</v>
      </c>
      <c r="E231" s="58" t="n">
        <f aca="false">1+Rate_Cash*MAX(0,E225-MAX(Inputs!E$22,E226)+1)/Days_In_Year</f>
        <v>1.09008219178082</v>
      </c>
      <c r="F231" s="58" t="n">
        <f aca="false">1+Rate_Cash*MAX(0,F225-MAX(Inputs!F$22,F226)+1)/Days_In_Year</f>
        <v>1.09008219178082</v>
      </c>
      <c r="G231" s="58" t="n">
        <f aca="false">1+Rate_Cash*MAX(0,G225-MAX(Inputs!G$22,G226)+1)/Days_In_Year</f>
        <v>1.09008219178082</v>
      </c>
      <c r="H231" s="57"/>
    </row>
    <row r="232" customFormat="false" ht="14.25" hidden="false" customHeight="false" outlineLevel="0" collapsed="false">
      <c r="C232" s="54" t="s">
        <v>211</v>
      </c>
      <c r="D232" s="55" t="s">
        <v>3</v>
      </c>
      <c r="E232" s="58" t="n">
        <f aca="false">E230*(1+Rate_Cash)^MAX(0,YEAR(E226)-YEAR(Inputs!E$22)-1)*E231</f>
        <v>1.21587469018578</v>
      </c>
      <c r="F232" s="58" t="n">
        <f aca="false">F230*(1+Rate_Cash)^MAX(0,YEAR(F226)-YEAR(Inputs!F$22)-1)*F231</f>
        <v>1.21587469018578</v>
      </c>
      <c r="G232" s="58" t="n">
        <f aca="false">G230*(1+Rate_Cash)^MAX(0,YEAR(G226)-YEAR(Inputs!G$22)-1)*G231</f>
        <v>1.21587469018578</v>
      </c>
      <c r="H232" s="57"/>
    </row>
    <row r="233" customFormat="false" ht="14.25" hidden="false" customHeight="false" outlineLevel="0" collapsed="false">
      <c r="C233" s="54" t="s">
        <v>212</v>
      </c>
      <c r="D233" s="55" t="s">
        <v>3</v>
      </c>
      <c r="E233" s="58" t="n">
        <f aca="false">1+Rate_Cash*(DATE(YEAR(Inputs!E$23)+1,1,1)-Inputs!E$23)*(Inputs!E$23&lt;E226)/Days_In_Year</f>
        <v>1.11539726027397</v>
      </c>
      <c r="F233" s="58" t="n">
        <f aca="false">1+Rate_Cash*(DATE(YEAR(Inputs!F$23)+1,1,1)-Inputs!F$23)*(Inputs!F$23&lt;F226)/Days_In_Year</f>
        <v>1.11539726027397</v>
      </c>
      <c r="G233" s="58" t="n">
        <f aca="false">1+Rate_Cash*(DATE(YEAR(Inputs!G$23)+1,1,1)-Inputs!G$23)*(Inputs!G$23&lt;G226)/Days_In_Year</f>
        <v>1.11539726027397</v>
      </c>
      <c r="H233" s="57"/>
    </row>
    <row r="234" customFormat="false" ht="14.25" hidden="false" customHeight="false" outlineLevel="0" collapsed="false">
      <c r="C234" s="54" t="s">
        <v>213</v>
      </c>
      <c r="D234" s="55" t="s">
        <v>3</v>
      </c>
      <c r="E234" s="58" t="n">
        <f aca="false">1+Rate_Cash*MAX(0,E225-MAX(Inputs!E$23,E226)+1)/Days_In_Year</f>
        <v>1.09008219178082</v>
      </c>
      <c r="F234" s="58" t="n">
        <f aca="false">1+Rate_Cash*MAX(0,F225-MAX(Inputs!F$23,F226)+1)/Days_In_Year</f>
        <v>1.09008219178082</v>
      </c>
      <c r="G234" s="58" t="n">
        <f aca="false">1+Rate_Cash*MAX(0,G225-MAX(Inputs!G$23,G226)+1)/Days_In_Year</f>
        <v>1.09008219178082</v>
      </c>
      <c r="H234" s="57"/>
    </row>
    <row r="235" customFormat="false" ht="14.25" hidden="false" customHeight="false" outlineLevel="0" collapsed="false">
      <c r="C235" s="54" t="s">
        <v>214</v>
      </c>
      <c r="D235" s="55" t="s">
        <v>3</v>
      </c>
      <c r="E235" s="58" t="n">
        <f aca="false">E233*(1+Rate_Cash)^MAX(0,YEAR(E226)-YEAR(Inputs!E$23)-1)*E234</f>
        <v>1.21587469018578</v>
      </c>
      <c r="F235" s="58" t="n">
        <f aca="false">F233*(1+Rate_Cash)^MAX(0,YEAR(F226)-YEAR(Inputs!F$23)-1)*F234</f>
        <v>1.21587469018578</v>
      </c>
      <c r="G235" s="58" t="n">
        <f aca="false">G233*(1+Rate_Cash)^MAX(0,YEAR(G226)-YEAR(Inputs!G$23)-1)*G234</f>
        <v>1.21587469018578</v>
      </c>
      <c r="H235" s="57"/>
    </row>
    <row r="236" customFormat="false" ht="14.25" hidden="false" customHeight="false" outlineLevel="0" collapsed="false">
      <c r="C236" s="54" t="s">
        <v>215</v>
      </c>
      <c r="D236" s="55" t="s">
        <v>3</v>
      </c>
      <c r="E236" s="58" t="n">
        <f aca="false">1+Rate_Devex*(DATE(YEAR(E219)+1,1,1)-E219)*(E219&lt;E226)/Days_In_Year</f>
        <v>1.17643835616438</v>
      </c>
      <c r="F236" s="58" t="n">
        <f aca="false">1+Rate_Devex*(DATE(YEAR(F219)+1,1,1)-F219)*(F219&lt;F226)/Days_In_Year</f>
        <v>1.17643835616438</v>
      </c>
      <c r="G236" s="58" t="n">
        <f aca="false">1+Rate_Devex*(DATE(YEAR(G219)+1,1,1)-G219)*(G219&lt;G226)/Days_In_Year</f>
        <v>1.17643835616438</v>
      </c>
      <c r="H236" s="57"/>
    </row>
    <row r="237" customFormat="false" ht="14.25" hidden="false" customHeight="false" outlineLevel="0" collapsed="false">
      <c r="C237" s="54" t="s">
        <v>216</v>
      </c>
      <c r="D237" s="55" t="s">
        <v>3</v>
      </c>
      <c r="E237" s="58" t="n">
        <f aca="false">1+Rate_Devex*MAX(0,E225-MAX(E219,E226)+1)/Days_In_Year</f>
        <v>1.15013698630137</v>
      </c>
      <c r="F237" s="58" t="n">
        <f aca="false">1+Rate_Devex*MAX(0,F225-MAX(F219,F226)+1)/Days_In_Year</f>
        <v>1.15013698630137</v>
      </c>
      <c r="G237" s="58" t="n">
        <f aca="false">1+Rate_Devex*MAX(0,G225-MAX(G219,G226)+1)/Days_In_Year</f>
        <v>1.15013698630137</v>
      </c>
      <c r="H237" s="57"/>
    </row>
    <row r="238" customFormat="false" ht="14.25" hidden="false" customHeight="false" outlineLevel="0" collapsed="false">
      <c r="C238" s="54" t="s">
        <v>217</v>
      </c>
      <c r="D238" s="55" t="s">
        <v>3</v>
      </c>
      <c r="E238" s="58" t="n">
        <f aca="false">E236*(1+Rate_Devex)^MAX(0,YEAR(E226)-YEAR(E219)-1)*E237</f>
        <v>1.35306526552824</v>
      </c>
      <c r="F238" s="58" t="n">
        <f aca="false">F236*(1+Rate_Devex)^MAX(0,YEAR(F226)-YEAR(F219)-1)*F237</f>
        <v>1.35306526552824</v>
      </c>
      <c r="G238" s="58" t="n">
        <f aca="false">G236*(1+Rate_Devex)^MAX(0,YEAR(G226)-YEAR(G219)-1)*G237</f>
        <v>1.35306526552824</v>
      </c>
      <c r="H238" s="57"/>
    </row>
    <row r="239" customFormat="false" ht="14.25" hidden="false" customHeight="false" outlineLevel="0" collapsed="false">
      <c r="C239" s="54" t="s">
        <v>218</v>
      </c>
      <c r="D239" s="55" t="s">
        <v>3</v>
      </c>
      <c r="E239" s="58" t="n">
        <f aca="false">1+Rate_Devex*(DATE(YEAR(E222)+1,1,1)-E222)*(E222&lt;E226)/Days_In_Year</f>
        <v>1.02818698299841</v>
      </c>
      <c r="F239" s="58" t="n">
        <f aca="false">1+Rate_Devex*(DATE(YEAR(F222)+1,1,1)-F222)*(F222&lt;F226)/Days_In_Year</f>
        <v>1.02818698299841</v>
      </c>
      <c r="G239" s="58" t="n">
        <f aca="false">1+Rate_Devex*(DATE(YEAR(G222)+1,1,1)-G222)*(G222&lt;G226)/Days_In_Year</f>
        <v>1.02818698299841</v>
      </c>
      <c r="H239" s="57"/>
    </row>
    <row r="240" customFormat="false" ht="14.25" hidden="false" customHeight="false" outlineLevel="0" collapsed="false">
      <c r="C240" s="54" t="s">
        <v>219</v>
      </c>
      <c r="D240" s="55" t="s">
        <v>3</v>
      </c>
      <c r="E240" s="58" t="n">
        <f aca="false">1+Rate_Devex*MAX(0,E225-MAX(E222,E226)+1)/Days_In_Year</f>
        <v>1.15013698630137</v>
      </c>
      <c r="F240" s="58" t="n">
        <f aca="false">1+Rate_Devex*MAX(0,F225-MAX(F222,F226)+1)/Days_In_Year</f>
        <v>1.15013698630137</v>
      </c>
      <c r="G240" s="58" t="n">
        <f aca="false">1+Rate_Devex*MAX(0,G225-MAX(G222,G226)+1)/Days_In_Year</f>
        <v>1.15013698630137</v>
      </c>
      <c r="H240" s="57"/>
    </row>
    <row r="241" customFormat="false" ht="14.25" hidden="false" customHeight="false" outlineLevel="0" collapsed="false">
      <c r="C241" s="54" t="s">
        <v>220</v>
      </c>
      <c r="D241" s="55" t="s">
        <v>3</v>
      </c>
      <c r="E241" s="58" t="n">
        <f aca="false">E239*(1+Rate_Devex)^MAX(0,YEAR(E226)-YEAR(E222)-1)*E240</f>
        <v>1.18255587798009</v>
      </c>
      <c r="F241" s="58" t="n">
        <f aca="false">F239*(1+Rate_Devex)^MAX(0,YEAR(F226)-YEAR(F222)-1)*F240</f>
        <v>1.18255587798009</v>
      </c>
      <c r="G241" s="58" t="n">
        <f aca="false">G239*(1+Rate_Devex)^MAX(0,YEAR(G226)-YEAR(G222)-1)*G240</f>
        <v>1.18255587798009</v>
      </c>
      <c r="H241" s="57"/>
    </row>
    <row r="242" customFormat="false" ht="14.25" hidden="false" customHeight="false" outlineLevel="0" collapsed="false">
      <c r="C242" s="54" t="s">
        <v>221</v>
      </c>
      <c r="D242" s="55" t="s">
        <v>85</v>
      </c>
      <c r="E242" s="60" t="n">
        <f aca="false">E$21*E61*(E229-1)</f>
        <v>2.02339374593912</v>
      </c>
      <c r="F242" s="60" t="n">
        <f aca="false">F$21*F61*(F229-1)</f>
        <v>0</v>
      </c>
      <c r="G242" s="60" t="n">
        <f aca="false">G$21*G61*(G229-1)</f>
        <v>0</v>
      </c>
      <c r="H242" s="60" t="n">
        <f aca="false">SUM(E242:G242)</f>
        <v>2.02339374593912</v>
      </c>
    </row>
    <row r="243" customFormat="false" ht="14.25" hidden="false" customHeight="false" outlineLevel="0" collapsed="false">
      <c r="C243" s="54" t="s">
        <v>222</v>
      </c>
      <c r="D243" s="55" t="s">
        <v>85</v>
      </c>
      <c r="E243" s="60" t="n">
        <f aca="false">E$21*E62*(E229-1)</f>
        <v>95.6390777247226</v>
      </c>
      <c r="F243" s="60" t="n">
        <f aca="false">F$21*F62*(F229-1)</f>
        <v>0</v>
      </c>
      <c r="G243" s="60" t="n">
        <f aca="false">G$21*G62*(G229-1)</f>
        <v>0</v>
      </c>
      <c r="H243" s="60" t="n">
        <f aca="false">SUM(E243:G243)</f>
        <v>95.6390777247226</v>
      </c>
    </row>
    <row r="244" customFormat="false" ht="14.25" hidden="false" customHeight="false" outlineLevel="0" collapsed="false">
      <c r="C244" s="54" t="s">
        <v>223</v>
      </c>
      <c r="D244" s="55" t="s">
        <v>85</v>
      </c>
      <c r="E244" s="60" t="n">
        <f aca="false">E$21*E63*(E232-1)</f>
        <v>335.463354173622</v>
      </c>
      <c r="F244" s="60" t="n">
        <f aca="false">F$21*F63*(F232-1)</f>
        <v>0</v>
      </c>
      <c r="G244" s="60" t="n">
        <f aca="false">G$21*G63*(G232-1)</f>
        <v>0</v>
      </c>
      <c r="H244" s="60" t="n">
        <f aca="false">SUM(E244:G244)</f>
        <v>335.463354173622</v>
      </c>
    </row>
    <row r="245" customFormat="false" ht="14.25" hidden="false" customHeight="false" outlineLevel="0" collapsed="false">
      <c r="C245" s="54" t="s">
        <v>224</v>
      </c>
      <c r="D245" s="55" t="s">
        <v>85</v>
      </c>
      <c r="E245" s="60" t="n">
        <f aca="false">E$21*E64*(E235-1)</f>
        <v>133.073439155615</v>
      </c>
      <c r="F245" s="60" t="n">
        <f aca="false">F$21*F64*(F235-1)</f>
        <v>0</v>
      </c>
      <c r="G245" s="60" t="n">
        <f aca="false">G$21*G64*(G235-1)</f>
        <v>0</v>
      </c>
      <c r="H245" s="60" t="n">
        <f aca="false">SUM(E245:G245)</f>
        <v>133.073439155615</v>
      </c>
    </row>
    <row r="246" customFormat="false" ht="14.25" hidden="false" customHeight="false" outlineLevel="0" collapsed="false">
      <c r="C246" s="54" t="s">
        <v>225</v>
      </c>
      <c r="D246" s="55" t="s">
        <v>85</v>
      </c>
      <c r="E246" s="60" t="n">
        <f aca="false">E$21*E220*MAX(E238-1,Devex_Floor-1)</f>
        <v>45.3359589041096</v>
      </c>
      <c r="F246" s="60" t="n">
        <f aca="false">F$21*F220*MAX(F238-1,Devex_Floor-1)</f>
        <v>0</v>
      </c>
      <c r="G246" s="60" t="n">
        <f aca="false">G$21*G220*MAX(G238-1,Devex_Floor-1)</f>
        <v>0</v>
      </c>
      <c r="H246" s="60" t="n">
        <f aca="false">SUM(E246:G246)</f>
        <v>45.3359589041096</v>
      </c>
    </row>
    <row r="247" customFormat="false" ht="14.25" hidden="false" customHeight="false" outlineLevel="0" collapsed="false">
      <c r="C247" s="54" t="s">
        <v>226</v>
      </c>
      <c r="D247" s="55" t="s">
        <v>85</v>
      </c>
      <c r="E247" s="60" t="n">
        <f aca="false">E$21*E223*MAX(E241-1,Devex_Floor-1)</f>
        <v>679.181008129718</v>
      </c>
      <c r="F247" s="60" t="n">
        <f aca="false">F$21*F223*MAX(F241-1,Devex_Floor-1)</f>
        <v>0</v>
      </c>
      <c r="G247" s="60" t="n">
        <f aca="false">G$21*G223*MAX(G241-1,Devex_Floor-1)</f>
        <v>0</v>
      </c>
      <c r="H247" s="60" t="n">
        <f aca="false">SUM(E247:G247)</f>
        <v>679.181008129718</v>
      </c>
    </row>
    <row r="248" customFormat="false" ht="14.25" hidden="false" customHeight="false" outlineLevel="0" collapsed="false">
      <c r="C248" s="64" t="s">
        <v>227</v>
      </c>
      <c r="D248" s="65" t="s">
        <v>85</v>
      </c>
      <c r="E248" s="66" t="n">
        <f aca="false">SUM(E242:E247)</f>
        <v>1290.71623183373</v>
      </c>
      <c r="F248" s="66" t="n">
        <f aca="false">SUM(F242:F247)</f>
        <v>0</v>
      </c>
      <c r="G248" s="66" t="n">
        <f aca="false">SUM(G242:G247)</f>
        <v>0</v>
      </c>
      <c r="H248" s="66" t="n">
        <f aca="false">SUM(E248:G248)</f>
        <v>1290.71623183373</v>
      </c>
    </row>
    <row r="249" customFormat="false" ht="14.25" hidden="false" customHeight="false" outlineLevel="0" collapsed="false">
      <c r="C249" s="54" t="s">
        <v>228</v>
      </c>
      <c r="D249" s="55" t="s">
        <v>85</v>
      </c>
      <c r="E249" s="60" t="n">
        <f aca="false">E20*MIN(DSA_Rate*YEARFRAC(Inputs!E$28,Sale_Date_A),DSA_Cap)*E44</f>
        <v>287.5</v>
      </c>
      <c r="F249" s="60" t="n">
        <f aca="false">F20*MIN(DSA_Rate*YEARFRAC(Inputs!F$28,Sale_Date_A),DSA_Cap)*F44</f>
        <v>0</v>
      </c>
      <c r="G249" s="60" t="n">
        <f aca="false">G20*MIN(DSA_Rate*YEARFRAC(Inputs!G$28,Sale_Date_A),DSA_Cap)*G44</f>
        <v>0</v>
      </c>
      <c r="H249" s="60" t="n">
        <f aca="false">SUM(E249:G249)</f>
        <v>287.5</v>
      </c>
    </row>
    <row r="250" customFormat="false" ht="14.25" hidden="false" customHeight="false" outlineLevel="0" collapsed="false">
      <c r="C250" s="41" t="s">
        <v>229</v>
      </c>
      <c r="D250" s="42"/>
      <c r="E250" s="43"/>
      <c r="F250" s="43"/>
      <c r="G250" s="43"/>
      <c r="H250" s="43"/>
    </row>
    <row r="251" customFormat="false" ht="14.25" hidden="false" customHeight="false" outlineLevel="0" collapsed="false">
      <c r="C251" s="6" t="s">
        <v>28</v>
      </c>
      <c r="D251" s="2" t="s">
        <v>85</v>
      </c>
      <c r="E251" s="8" t="n">
        <f aca="false">E18*E6</f>
        <v>7500</v>
      </c>
      <c r="F251" s="8" t="n">
        <f aca="false">F18*F6</f>
        <v>7500</v>
      </c>
      <c r="G251" s="8" t="n">
        <f aca="false">G18*G6</f>
        <v>7500</v>
      </c>
      <c r="H251" s="8" t="n">
        <f aca="false">SUM(E251:G251)</f>
        <v>22500</v>
      </c>
    </row>
    <row r="252" customFormat="false" ht="14.25" hidden="false" customHeight="false" outlineLevel="0" collapsed="false">
      <c r="C252" s="6" t="s">
        <v>230</v>
      </c>
      <c r="D252" s="2" t="s">
        <v>85</v>
      </c>
      <c r="E252" s="8" t="n">
        <f aca="false">SUM(E62:E64)</f>
        <v>2558.90410958904</v>
      </c>
      <c r="F252" s="8" t="n">
        <f aca="false">SUM(F62:F64)</f>
        <v>3110.95890410959</v>
      </c>
      <c r="G252" s="8" t="n">
        <f aca="false">SUM(G62:G64)</f>
        <v>3110.95890410959</v>
      </c>
      <c r="H252" s="8" t="n">
        <f aca="false">SUM(E252:G252)</f>
        <v>8780.82191780822</v>
      </c>
    </row>
    <row r="253" customFormat="false" ht="14.25" hidden="false" customHeight="false" outlineLevel="0" collapsed="false">
      <c r="C253" s="6" t="s">
        <v>231</v>
      </c>
      <c r="D253" s="2" t="s">
        <v>85</v>
      </c>
      <c r="E253" s="8" t="n">
        <f aca="false">E220</f>
        <v>45.3359589041096</v>
      </c>
      <c r="F253" s="8" t="n">
        <f aca="false">F220</f>
        <v>45.3359589041096</v>
      </c>
      <c r="G253" s="8" t="n">
        <f aca="false">G220</f>
        <v>45.3359589041096</v>
      </c>
      <c r="H253" s="8" t="n">
        <f aca="false">SUM(E253:G253)</f>
        <v>136.007876712329</v>
      </c>
    </row>
    <row r="254" customFormat="false" ht="14.25" hidden="false" customHeight="false" outlineLevel="0" collapsed="false">
      <c r="C254" s="6" t="s">
        <v>232</v>
      </c>
      <c r="D254" s="2" t="s">
        <v>85</v>
      </c>
      <c r="E254" s="8" t="n">
        <f aca="false">SUM(E251:E253)</f>
        <v>10104.2400684932</v>
      </c>
      <c r="F254" s="8" t="n">
        <f aca="false">SUM(F251:F253)</f>
        <v>10656.2948630137</v>
      </c>
      <c r="G254" s="8" t="n">
        <f aca="false">SUM(G251:G253)</f>
        <v>10656.2948630137</v>
      </c>
      <c r="H254" s="8" t="n">
        <f aca="false">SUM(E254:G254)</f>
        <v>31416.8297945206</v>
      </c>
    </row>
    <row r="255" customFormat="false" ht="14.25" hidden="false" customHeight="false" outlineLevel="0" collapsed="false">
      <c r="C255" s="6" t="s">
        <v>233</v>
      </c>
      <c r="D255" s="2" t="s">
        <v>85</v>
      </c>
      <c r="E255" s="8" t="n">
        <f aca="false">-MIN(E254,Sale_Costs)</f>
        <v>-250</v>
      </c>
      <c r="F255" s="8" t="n">
        <f aca="false">-MIN(F254,Sale_Costs)</f>
        <v>-250</v>
      </c>
      <c r="G255" s="8" t="n">
        <f aca="false">-MIN(G254,Sale_Costs)</f>
        <v>-250</v>
      </c>
      <c r="H255" s="8" t="n">
        <f aca="false">SUM(E255:G255)</f>
        <v>-750</v>
      </c>
    </row>
    <row r="256" customFormat="false" ht="14.25" hidden="false" customHeight="false" outlineLevel="0" collapsed="false">
      <c r="C256" s="6" t="s">
        <v>234</v>
      </c>
      <c r="D256" s="2" t="s">
        <v>85</v>
      </c>
      <c r="E256" s="8" t="n">
        <f aca="false">-MIN(SUM(E254:E255),E252)</f>
        <v>-2558.90410958904</v>
      </c>
      <c r="F256" s="8" t="n">
        <f aca="false">-MIN(SUM(F254:F255),F252)</f>
        <v>-3110.95890410959</v>
      </c>
      <c r="G256" s="8" t="n">
        <f aca="false">-MIN(SUM(G254:G255),G252)</f>
        <v>-3110.95890410959</v>
      </c>
      <c r="H256" s="8" t="n">
        <f aca="false">SUM(E256:G256)</f>
        <v>-8780.82191780822</v>
      </c>
    </row>
    <row r="257" customFormat="false" ht="14.25" hidden="false" customHeight="false" outlineLevel="0" collapsed="false">
      <c r="C257" s="6" t="s">
        <v>235</v>
      </c>
      <c r="D257" s="2" t="s">
        <v>85</v>
      </c>
      <c r="E257" s="8" t="n">
        <f aca="false">-MIN(SUM(E254:E256),E253)</f>
        <v>-45.3359589041096</v>
      </c>
      <c r="F257" s="8" t="n">
        <f aca="false">-MIN(SUM(F254:F256),F253)</f>
        <v>-45.3359589041096</v>
      </c>
      <c r="G257" s="8" t="n">
        <f aca="false">-MIN(SUM(G254:G256),G253)</f>
        <v>-45.3359589041096</v>
      </c>
      <c r="H257" s="8" t="n">
        <f aca="false">SUM(E257:G257)</f>
        <v>-136.007876712329</v>
      </c>
    </row>
    <row r="258" customFormat="false" ht="14.25" hidden="false" customHeight="false" outlineLevel="0" collapsed="false">
      <c r="C258" s="6" t="s">
        <v>236</v>
      </c>
      <c r="D258" s="2" t="s">
        <v>85</v>
      </c>
      <c r="E258" s="8" t="n">
        <f aca="false">-MIN(SUM(E254:E257),SUM(E242:E245))</f>
        <v>-566.199264799899</v>
      </c>
      <c r="F258" s="8" t="n">
        <f aca="false">-MIN(SUM(F254:F257),SUM(F242:F245))</f>
        <v>-0</v>
      </c>
      <c r="G258" s="8" t="n">
        <f aca="false">-MIN(SUM(G254:G257),SUM(G242:G245))</f>
        <v>-0</v>
      </c>
      <c r="H258" s="8" t="n">
        <f aca="false">SUM(E258:G258)</f>
        <v>-566.199264799899</v>
      </c>
    </row>
    <row r="259" customFormat="false" ht="14.25" hidden="false" customHeight="false" outlineLevel="0" collapsed="false">
      <c r="C259" s="6" t="s">
        <v>237</v>
      </c>
      <c r="D259" s="2" t="s">
        <v>85</v>
      </c>
      <c r="E259" s="8" t="n">
        <f aca="false">-MIN(SUM(E254:E258),SUM(E246:E247))</f>
        <v>-724.516967033827</v>
      </c>
      <c r="F259" s="8" t="n">
        <f aca="false">-MIN(SUM(F254:F258),SUM(F246:F247))</f>
        <v>-0</v>
      </c>
      <c r="G259" s="8" t="n">
        <f aca="false">-MIN(SUM(G254:G258),SUM(G246:G247))</f>
        <v>-0</v>
      </c>
      <c r="H259" s="8" t="n">
        <f aca="false">SUM(E259:G259)</f>
        <v>-724.516967033827</v>
      </c>
    </row>
    <row r="260" customFormat="false" ht="14.25" hidden="false" customHeight="false" outlineLevel="0" collapsed="false">
      <c r="C260" s="6" t="s">
        <v>238</v>
      </c>
      <c r="D260" s="2" t="s">
        <v>85</v>
      </c>
      <c r="E260" s="8" t="n">
        <f aca="false">-MIN(SUM(E254:E259),E249)</f>
        <v>-287.5</v>
      </c>
      <c r="F260" s="8" t="n">
        <f aca="false">-MIN(SUM(F254:F259),F249)</f>
        <v>-0</v>
      </c>
      <c r="G260" s="8" t="n">
        <f aca="false">-MIN(SUM(G254:G259),G249)</f>
        <v>-0</v>
      </c>
      <c r="H260" s="8" t="n">
        <f aca="false">SUM(E260:G260)</f>
        <v>-287.5</v>
      </c>
    </row>
    <row r="261" customFormat="false" ht="14.25" hidden="false" customHeight="false" outlineLevel="0" collapsed="false">
      <c r="C261" s="6" t="s">
        <v>239</v>
      </c>
      <c r="D261" s="2" t="s">
        <v>85</v>
      </c>
      <c r="E261" s="8" t="n">
        <f aca="false">SUM(E254:E260)</f>
        <v>5671.78376816627</v>
      </c>
      <c r="F261" s="8" t="n">
        <f aca="false">SUM(F254:F260)</f>
        <v>7250</v>
      </c>
      <c r="G261" s="8" t="n">
        <f aca="false">SUM(G254:G260)</f>
        <v>7250</v>
      </c>
      <c r="H261" s="8" t="n">
        <f aca="false">SUM(E261:G261)</f>
        <v>20171.7837681663</v>
      </c>
    </row>
    <row r="262" customFormat="false" ht="14.25" hidden="false" customHeight="false" outlineLevel="0" collapsed="false">
      <c r="C262" s="6" t="s">
        <v>240</v>
      </c>
      <c r="D262" s="2" t="s">
        <v>85</v>
      </c>
      <c r="E262" s="8" t="n">
        <f aca="false">E261*E19</f>
        <v>3970.24863771639</v>
      </c>
      <c r="F262" s="8" t="n">
        <f aca="false">F261*F19</f>
        <v>7250</v>
      </c>
      <c r="G262" s="8" t="n">
        <f aca="false">G261*G19</f>
        <v>7250</v>
      </c>
      <c r="H262" s="8" t="n">
        <f aca="false">SUM(E262:G262)</f>
        <v>18470.2486377164</v>
      </c>
    </row>
    <row r="263" customFormat="false" ht="14.25" hidden="false" customHeight="false" outlineLevel="0" collapsed="false">
      <c r="C263" s="6" t="s">
        <v>241</v>
      </c>
      <c r="D263" s="2" t="s">
        <v>85</v>
      </c>
      <c r="E263" s="8" t="n">
        <f aca="false">E261-E262</f>
        <v>1701.53513044988</v>
      </c>
      <c r="F263" s="8" t="n">
        <f aca="false">F261-F262</f>
        <v>0</v>
      </c>
      <c r="G263" s="8" t="n">
        <f aca="false">G261-G262</f>
        <v>0</v>
      </c>
      <c r="H263" s="8" t="n">
        <f aca="false">SUM(E263:G263)</f>
        <v>1701.53513044988</v>
      </c>
    </row>
    <row r="264" customFormat="false" ht="14.25" hidden="false" customHeight="false" outlineLevel="0" collapsed="false">
      <c r="C264" s="42" t="s">
        <v>242</v>
      </c>
      <c r="D264" s="42"/>
      <c r="E264" s="43" t="s">
        <v>5</v>
      </c>
      <c r="F264" s="43" t="s">
        <v>6</v>
      </c>
      <c r="G264" s="43" t="s">
        <v>7</v>
      </c>
      <c r="H264" s="43" t="s">
        <v>8</v>
      </c>
      <c r="J264" s="43" t="s">
        <v>243</v>
      </c>
      <c r="K264" s="43" t="s">
        <v>6</v>
      </c>
      <c r="L264" s="43" t="s">
        <v>7</v>
      </c>
    </row>
    <row r="265" customFormat="false" ht="14.25" hidden="false" customHeight="false" outlineLevel="0" collapsed="false">
      <c r="C265" s="6" t="s">
        <v>244</v>
      </c>
      <c r="D265" s="2" t="s">
        <v>85</v>
      </c>
      <c r="E265" s="8" t="n">
        <f aca="false">E251</f>
        <v>7500</v>
      </c>
      <c r="F265" s="8" t="n">
        <f aca="false">F251</f>
        <v>7500</v>
      </c>
      <c r="G265" s="8" t="n">
        <f aca="false">G251</f>
        <v>7500</v>
      </c>
      <c r="H265" s="8" t="n">
        <f aca="false">SUM(E265:G265)</f>
        <v>22500</v>
      </c>
      <c r="J265" s="24"/>
      <c r="K265" s="24"/>
      <c r="L265" s="24"/>
    </row>
    <row r="266" customFormat="false" ht="14.25" hidden="false" customHeight="false" outlineLevel="0" collapsed="false">
      <c r="C266" s="6" t="s">
        <v>245</v>
      </c>
      <c r="D266" s="2" t="s">
        <v>85</v>
      </c>
      <c r="E266" s="8" t="n">
        <f aca="false">0</f>
        <v>0</v>
      </c>
      <c r="F266" s="8" t="n">
        <f aca="false">0</f>
        <v>0</v>
      </c>
      <c r="G266" s="8" t="n">
        <f aca="false">0</f>
        <v>0</v>
      </c>
      <c r="H266" s="8" t="n">
        <f aca="false">SUM(E266:G266)</f>
        <v>0</v>
      </c>
      <c r="J266" s="24"/>
      <c r="K266" s="24"/>
      <c r="L266" s="24"/>
    </row>
    <row r="267" customFormat="false" ht="14.25" hidden="false" customHeight="false" outlineLevel="0" collapsed="false">
      <c r="C267" s="6" t="s">
        <v>246</v>
      </c>
      <c r="D267" s="2" t="s">
        <v>85</v>
      </c>
      <c r="E267" s="8" t="n">
        <f aca="false">0</f>
        <v>0</v>
      </c>
      <c r="F267" s="8" t="n">
        <f aca="false">0</f>
        <v>0</v>
      </c>
      <c r="G267" s="8" t="n">
        <f aca="false">0</f>
        <v>0</v>
      </c>
      <c r="H267" s="8" t="n">
        <f aca="false">SUM(E267:G267)</f>
        <v>0</v>
      </c>
      <c r="J267" s="24"/>
      <c r="K267" s="24"/>
      <c r="L267" s="24"/>
    </row>
    <row r="268" customFormat="false" ht="14.25" hidden="false" customHeight="false" outlineLevel="0" collapsed="false">
      <c r="C268" s="6" t="s">
        <v>247</v>
      </c>
      <c r="D268" s="2" t="s">
        <v>85</v>
      </c>
      <c r="E268" s="8" t="n">
        <f aca="false">0</f>
        <v>0</v>
      </c>
      <c r="F268" s="8" t="n">
        <f aca="false">0</f>
        <v>0</v>
      </c>
      <c r="G268" s="8" t="n">
        <f aca="false">0</f>
        <v>0</v>
      </c>
      <c r="H268" s="8" t="n">
        <f aca="false">SUM(E268:G268)</f>
        <v>0</v>
      </c>
      <c r="J268" s="24"/>
      <c r="K268" s="24"/>
      <c r="L268" s="24"/>
    </row>
    <row r="269" customFormat="false" ht="14.25" hidden="false" customHeight="false" outlineLevel="0" collapsed="false">
      <c r="C269" s="6" t="s">
        <v>248</v>
      </c>
      <c r="D269" s="2" t="s">
        <v>85</v>
      </c>
      <c r="E269" s="8" t="n">
        <f aca="false">E255</f>
        <v>-250</v>
      </c>
      <c r="F269" s="8" t="n">
        <f aca="false">F255</f>
        <v>-250</v>
      </c>
      <c r="G269" s="8" t="n">
        <f aca="false">G255</f>
        <v>-250</v>
      </c>
      <c r="H269" s="8" t="n">
        <f aca="false">SUM(E269:G269)</f>
        <v>-750</v>
      </c>
      <c r="J269" s="24"/>
      <c r="K269" s="24"/>
      <c r="L269" s="24"/>
    </row>
    <row r="270" customFormat="false" ht="14.25" hidden="false" customHeight="false" outlineLevel="0" collapsed="false">
      <c r="C270" s="6" t="s">
        <v>249</v>
      </c>
      <c r="D270" s="2" t="s">
        <v>85</v>
      </c>
      <c r="E270" s="8" t="n">
        <f aca="false">E260</f>
        <v>-287.5</v>
      </c>
      <c r="F270" s="8" t="n">
        <f aca="false">F260</f>
        <v>-0</v>
      </c>
      <c r="G270" s="8" t="n">
        <f aca="false">G260</f>
        <v>-0</v>
      </c>
      <c r="H270" s="8" t="n">
        <f aca="false">SUM(E270:G270)</f>
        <v>-287.5</v>
      </c>
      <c r="J270" s="24"/>
      <c r="K270" s="24"/>
      <c r="L270" s="24"/>
    </row>
    <row r="271" customFormat="false" ht="14.25" hidden="false" customHeight="false" outlineLevel="0" collapsed="false">
      <c r="C271" s="6" t="s">
        <v>250</v>
      </c>
      <c r="D271" s="2" t="s">
        <v>85</v>
      </c>
      <c r="E271" s="8" t="n">
        <f aca="false">-E263</f>
        <v>-1701.53513044988</v>
      </c>
      <c r="F271" s="8" t="n">
        <f aca="false">-F263</f>
        <v>-0</v>
      </c>
      <c r="G271" s="8" t="n">
        <f aca="false">-G263</f>
        <v>-0</v>
      </c>
      <c r="H271" s="8" t="n">
        <f aca="false">SUM(E271:G271)</f>
        <v>-1701.53513044988</v>
      </c>
      <c r="J271" s="24"/>
      <c r="K271" s="24"/>
      <c r="L271" s="24"/>
    </row>
    <row r="272" customFormat="false" ht="14.25" hidden="false" customHeight="false" outlineLevel="0" collapsed="false">
      <c r="C272" s="6" t="s">
        <v>251</v>
      </c>
      <c r="D272" s="67" t="s">
        <v>85</v>
      </c>
      <c r="E272" s="8" t="n">
        <f aca="false">-E258</f>
        <v>566.199264799899</v>
      </c>
      <c r="F272" s="8" t="n">
        <f aca="false">-F258</f>
        <v>0</v>
      </c>
      <c r="G272" s="8" t="n">
        <f aca="false">-G258</f>
        <v>0</v>
      </c>
      <c r="H272" s="8" t="n">
        <f aca="false">SUM(E272:G272)</f>
        <v>566.199264799899</v>
      </c>
      <c r="J272" s="24"/>
      <c r="K272" s="24"/>
      <c r="L272" s="24"/>
    </row>
    <row r="273" customFormat="false" ht="14.25" hidden="false" customHeight="false" outlineLevel="0" collapsed="false">
      <c r="C273" s="6" t="s">
        <v>252</v>
      </c>
      <c r="D273" s="67" t="s">
        <v>85</v>
      </c>
      <c r="E273" s="8" t="n">
        <f aca="false">-E259</f>
        <v>724.516967033827</v>
      </c>
      <c r="F273" s="8" t="n">
        <f aca="false">-F259</f>
        <v>0</v>
      </c>
      <c r="G273" s="8" t="n">
        <f aca="false">-G259</f>
        <v>0</v>
      </c>
      <c r="H273" s="8" t="n">
        <f aca="false">SUM(E273:G273)</f>
        <v>724.516967033827</v>
      </c>
      <c r="J273" s="24"/>
      <c r="K273" s="24"/>
      <c r="L273" s="24"/>
    </row>
    <row r="274" customFormat="false" ht="14.25" hidden="false" customHeight="false" outlineLevel="0" collapsed="false">
      <c r="C274" s="6" t="s">
        <v>29</v>
      </c>
      <c r="D274" s="67" t="s">
        <v>85</v>
      </c>
      <c r="E274" s="8" t="n">
        <f aca="false">E262</f>
        <v>3970.24863771639</v>
      </c>
      <c r="F274" s="8" t="n">
        <f aca="false">F262</f>
        <v>7250</v>
      </c>
      <c r="G274" s="8" t="n">
        <f aca="false">G262</f>
        <v>7250</v>
      </c>
      <c r="H274" s="8" t="n">
        <f aca="false">SUM(E274:G274)</f>
        <v>18470.2486377164</v>
      </c>
      <c r="J274" s="24"/>
      <c r="K274" s="24"/>
      <c r="L274" s="24"/>
    </row>
    <row r="275" customFormat="false" ht="14.25" hidden="false" customHeight="false" outlineLevel="0" collapsed="false">
      <c r="C275" s="44" t="s">
        <v>253</v>
      </c>
      <c r="D275" s="45" t="s">
        <v>85</v>
      </c>
      <c r="E275" s="68" t="n">
        <f aca="false">SUM(E272:E274)</f>
        <v>5260.96486955012</v>
      </c>
      <c r="F275" s="68" t="n">
        <f aca="false">SUM(F272:F274)</f>
        <v>7250</v>
      </c>
      <c r="G275" s="68" t="n">
        <f aca="false">SUM(G272:G274)</f>
        <v>7250</v>
      </c>
      <c r="H275" s="68" t="n">
        <f aca="false">SUM(E275:G275)</f>
        <v>19760.9648695501</v>
      </c>
    </row>
    <row r="276" customFormat="false" ht="14.25" hidden="false" customHeight="false" outlineLevel="0" collapsed="false">
      <c r="C276" s="6" t="s">
        <v>254</v>
      </c>
      <c r="D276" s="2" t="s">
        <v>85</v>
      </c>
      <c r="E276" s="8" t="n">
        <f aca="false">-E69</f>
        <v>-100</v>
      </c>
      <c r="F276" s="8" t="n">
        <f aca="false">-F69</f>
        <v>-150</v>
      </c>
      <c r="G276" s="8" t="n">
        <f aca="false">-G69</f>
        <v>-150</v>
      </c>
      <c r="H276" s="8" t="n">
        <f aca="false">SUM(E276:G276)</f>
        <v>-400</v>
      </c>
      <c r="J276" s="24"/>
      <c r="K276" s="24"/>
      <c r="L276" s="24"/>
    </row>
    <row r="277" customFormat="false" ht="14.25" hidden="false" customHeight="false" outlineLevel="0" collapsed="false">
      <c r="C277" s="6" t="s">
        <v>255</v>
      </c>
      <c r="D277" s="2" t="s">
        <v>85</v>
      </c>
      <c r="E277" s="8" t="n">
        <f aca="false">-E61</f>
        <v>-8.21917808219178</v>
      </c>
      <c r="F277" s="8" t="n">
        <f aca="false">-F61</f>
        <v>-8.21917808219178</v>
      </c>
      <c r="G277" s="8" t="n">
        <f aca="false">-G61</f>
        <v>-8.21917808219178</v>
      </c>
      <c r="H277" s="8" t="n">
        <f aca="false">SUM(E277:G277)</f>
        <v>-24.6575342465753</v>
      </c>
      <c r="J277" s="24"/>
      <c r="K277" s="24"/>
      <c r="L277" s="24"/>
    </row>
    <row r="278" customFormat="false" ht="14.25" hidden="false" customHeight="false" outlineLevel="0" collapsed="false">
      <c r="C278" s="6" t="s">
        <v>256</v>
      </c>
      <c r="D278" s="2" t="s">
        <v>85</v>
      </c>
      <c r="E278" s="8" t="n">
        <f aca="false">-E223</f>
        <v>-679.181008129718</v>
      </c>
      <c r="F278" s="8" t="n">
        <f aca="false">-F223</f>
        <v>-679.181008129718</v>
      </c>
      <c r="G278" s="8" t="n">
        <f aca="false">-G223</f>
        <v>-679.181008129718</v>
      </c>
      <c r="H278" s="8" t="n">
        <f aca="false">SUM(E278:G278)</f>
        <v>-2037.54302438915</v>
      </c>
      <c r="J278" s="24"/>
      <c r="K278" s="24"/>
      <c r="L278" s="24"/>
    </row>
    <row r="279" customFormat="false" ht="14.25" hidden="false" customHeight="false" outlineLevel="0" collapsed="false">
      <c r="C279" s="44" t="s">
        <v>257</v>
      </c>
      <c r="D279" s="45" t="s">
        <v>85</v>
      </c>
      <c r="E279" s="68" t="n">
        <f aca="false">E275+SUM(E276:E278)</f>
        <v>4473.56468333821</v>
      </c>
      <c r="F279" s="68" t="n">
        <f aca="false">F275+SUM(F276:F278)</f>
        <v>6412.59981378809</v>
      </c>
      <c r="G279" s="68" t="n">
        <f aca="false">G275+SUM(G276:G278)</f>
        <v>6412.59981378809</v>
      </c>
      <c r="H279" s="68" t="n">
        <f aca="false">SUM(E279:G279)</f>
        <v>17298.7643109144</v>
      </c>
    </row>
    <row r="280" customFormat="false" ht="14.25" hidden="false" customHeight="false" outlineLevel="0" collapsed="false">
      <c r="C280" s="1" t="s">
        <v>258</v>
      </c>
      <c r="D280" s="2" t="s">
        <v>85</v>
      </c>
      <c r="E280" s="32" t="n">
        <f aca="false">-MAX(0,E279)*CIT_Rate*(1-Share_Exempt)</f>
        <v>-0</v>
      </c>
      <c r="F280" s="32" t="n">
        <f aca="false">-MAX(0,F279)*CIT_Rate*(1-Share_Exempt)</f>
        <v>-0</v>
      </c>
      <c r="G280" s="32" t="n">
        <f aca="false">-MAX(0,G279)*CIT_Rate*(1-Share_Exempt)</f>
        <v>-0</v>
      </c>
      <c r="H280" s="32" t="n">
        <f aca="false">SUM(E280:G280)</f>
        <v>0</v>
      </c>
    </row>
    <row r="281" customFormat="false" ht="14.25" hidden="false" customHeight="false" outlineLevel="0" collapsed="false">
      <c r="C281" s="1" t="s">
        <v>259</v>
      </c>
      <c r="D281" s="2" t="s">
        <v>85</v>
      </c>
      <c r="E281" s="32" t="n">
        <f aca="false">-E248*CIT_Rate*E$21</f>
        <v>-193.607434775059</v>
      </c>
      <c r="F281" s="32" t="n">
        <f aca="false">-F248*CIT_Rate*F$21</f>
        <v>-0</v>
      </c>
      <c r="G281" s="32" t="n">
        <f aca="false">-G248*CIT_Rate*G$21</f>
        <v>-0</v>
      </c>
      <c r="H281" s="32" t="n">
        <f aca="false">SUM(E281:G281)</f>
        <v>-193.607434775059</v>
      </c>
    </row>
    <row r="282" customFormat="false" ht="14.25" hidden="false" customHeight="false" outlineLevel="0" collapsed="false">
      <c r="C282" s="44" t="s">
        <v>129</v>
      </c>
      <c r="D282" s="45" t="s">
        <v>85</v>
      </c>
      <c r="E282" s="68" t="n">
        <f aca="false">E279+E280+E281</f>
        <v>4279.95724856315</v>
      </c>
      <c r="F282" s="68" t="n">
        <f aca="false">F279+F280+F281</f>
        <v>6412.59981378809</v>
      </c>
      <c r="G282" s="68" t="n">
        <f aca="false">G279+G280+G281</f>
        <v>6412.59981378809</v>
      </c>
      <c r="H282" s="68" t="n">
        <f aca="false">SUM(E282:G282)</f>
        <v>17105.1568761393</v>
      </c>
    </row>
    <row r="283" customFormat="false" ht="14.25" hidden="false" customHeight="false" outlineLevel="0" collapsed="false">
      <c r="C283" s="6" t="s">
        <v>260</v>
      </c>
      <c r="D283" s="2" t="s">
        <v>3</v>
      </c>
      <c r="E283" s="47" t="n">
        <f aca="false">SUMIF(E287:E294,"&gt;0")/-SUMIF(E287:E294,"&lt;0")</f>
        <v>2.31899740166495</v>
      </c>
      <c r="F283" s="47" t="n">
        <f aca="false">SUMIF(F287:F294,"&gt;0")/-SUMIF(F287:F294,"&lt;0")</f>
        <v>2.60568088818687</v>
      </c>
      <c r="G283" s="47" t="n">
        <f aca="false">SUMIF(G287:G294,"&gt;0")/-SUMIF(G287:G294,"&lt;0")</f>
        <v>2.60568088818687</v>
      </c>
      <c r="H283" s="47" t="n">
        <f aca="false">SUMIF(H287:H294,"&gt;0")/-SUMIF(H287:H294,"&lt;0")</f>
        <v>2.52023184524823</v>
      </c>
    </row>
    <row r="284" customFormat="false" ht="14.25" hidden="false" customHeight="false" outlineLevel="0" collapsed="false">
      <c r="C284" s="6" t="s">
        <v>261</v>
      </c>
      <c r="D284" s="2" t="s">
        <v>12</v>
      </c>
      <c r="E284" s="48" t="n">
        <f aca="false">XIRR(E287:E294,J287:J294)</f>
        <v>0.683901674423866</v>
      </c>
      <c r="F284" s="48" t="n">
        <f aca="false">XIRR(F287:F294,K287:K294)</f>
        <v>0.789921152442643</v>
      </c>
      <c r="G284" s="48" t="n">
        <f aca="false">XIRR(G287:G294,L287:L294)</f>
        <v>0.789921152442643</v>
      </c>
    </row>
    <row r="285" customFormat="false" ht="14.25" hidden="false" customHeight="false" outlineLevel="0" collapsed="false">
      <c r="C285" s="69" t="s">
        <v>262</v>
      </c>
      <c r="D285" s="34" t="s">
        <v>85</v>
      </c>
      <c r="E285" s="8" t="n">
        <f aca="false">E279-E332</f>
        <v>-258.790782380967</v>
      </c>
      <c r="F285" s="8" t="n">
        <f aca="false">F279-F332</f>
        <v>21.9178082191811</v>
      </c>
      <c r="G285" s="8" t="n">
        <f aca="false">G279-G332</f>
        <v>21.9178082191811</v>
      </c>
      <c r="H285" s="8" t="n">
        <f aca="false">SUM(E285:G285)</f>
        <v>-214.955165942605</v>
      </c>
    </row>
    <row r="286" customFormat="false" ht="14.25" hidden="false" customHeight="false" outlineLevel="0" collapsed="false">
      <c r="C286" s="42" t="s">
        <v>263</v>
      </c>
      <c r="D286" s="42"/>
      <c r="E286" s="43"/>
      <c r="F286" s="43"/>
      <c r="G286" s="43"/>
      <c r="H286" s="43"/>
      <c r="J286" s="43" t="s">
        <v>243</v>
      </c>
      <c r="K286" s="43" t="s">
        <v>6</v>
      </c>
      <c r="L286" s="43" t="s">
        <v>7</v>
      </c>
      <c r="M286" s="43" t="s">
        <v>264</v>
      </c>
      <c r="N286" s="43" t="s">
        <v>265</v>
      </c>
      <c r="O286" s="43" t="s">
        <v>266</v>
      </c>
    </row>
    <row r="287" customFormat="false" ht="14.25" hidden="false" customHeight="false" outlineLevel="1" collapsed="false">
      <c r="C287" s="6" t="s">
        <v>82</v>
      </c>
      <c r="D287" s="2" t="s">
        <v>85</v>
      </c>
      <c r="E287" s="8" t="n">
        <f aca="false">-E69</f>
        <v>-100</v>
      </c>
      <c r="F287" s="8" t="n">
        <f aca="false">-F69</f>
        <v>-150</v>
      </c>
      <c r="G287" s="8" t="n">
        <f aca="false">-G69</f>
        <v>-150</v>
      </c>
      <c r="H287" s="8" t="n">
        <f aca="false">SUM(E287:G287)</f>
        <v>-400</v>
      </c>
      <c r="J287" s="24" t="n">
        <f aca="false">Inputs!E$20</f>
        <v>46234</v>
      </c>
      <c r="K287" s="24" t="n">
        <f aca="false">Inputs!F$20</f>
        <v>46234</v>
      </c>
      <c r="L287" s="24" t="n">
        <f aca="false">Inputs!G$20</f>
        <v>46234</v>
      </c>
    </row>
    <row r="288" customFormat="false" ht="14.25" hidden="false" customHeight="false" outlineLevel="1" collapsed="false">
      <c r="C288" s="6" t="s">
        <v>73</v>
      </c>
      <c r="D288" s="2" t="s">
        <v>85</v>
      </c>
      <c r="E288" s="8" t="n">
        <f aca="false">-E61</f>
        <v>-8.21917808219178</v>
      </c>
      <c r="F288" s="8" t="n">
        <f aca="false">-F61</f>
        <v>-8.21917808219178</v>
      </c>
      <c r="G288" s="8" t="n">
        <f aca="false">-G61</f>
        <v>-8.21917808219178</v>
      </c>
      <c r="H288" s="8" t="n">
        <f aca="false">SUM(E288:G288)</f>
        <v>-24.6575342465753</v>
      </c>
      <c r="J288" s="24" t="n">
        <f aca="false">Inputs!E$21</f>
        <v>46325</v>
      </c>
      <c r="K288" s="24" t="n">
        <f aca="false">Inputs!F$21</f>
        <v>46325</v>
      </c>
      <c r="L288" s="24" t="n">
        <f aca="false">Inputs!G$21</f>
        <v>46325</v>
      </c>
      <c r="M288" s="70" t="n">
        <f aca="false">1+Rate_Cash*(DATE(YEAR(J288)+1,1,1)-J288)/Days_In_Year</f>
        <v>1.02071232876712</v>
      </c>
      <c r="N288" s="70" t="n">
        <f aca="false">1+Rate_Cash*(DATE(YEAR(K288)+1,1,1)-K288)/Days_In_Year</f>
        <v>1.02071232876712</v>
      </c>
      <c r="O288" s="70" t="n">
        <f aca="false">1+Rate_Cash*(DATE(YEAR(L288)+1,1,1)-L288)/Days_In_Year</f>
        <v>1.02071232876712</v>
      </c>
    </row>
    <row r="289" customFormat="false" ht="14.25" hidden="false" customHeight="false" outlineLevel="1" collapsed="false">
      <c r="C289" s="6" t="s">
        <v>75</v>
      </c>
      <c r="D289" s="2" t="s">
        <v>85</v>
      </c>
      <c r="E289" s="8" t="n">
        <f aca="false">-E62</f>
        <v>-388.493150684932</v>
      </c>
      <c r="F289" s="8" t="n">
        <f aca="false">-F62</f>
        <v>-498.904109589041</v>
      </c>
      <c r="G289" s="8" t="n">
        <f aca="false">-G62</f>
        <v>-498.904109589041</v>
      </c>
      <c r="H289" s="8" t="n">
        <f aca="false">SUM(E289:G289)</f>
        <v>-1386.30136986301</v>
      </c>
      <c r="J289" s="24" t="n">
        <f aca="false">Inputs!E$21</f>
        <v>46325</v>
      </c>
      <c r="K289" s="24" t="n">
        <f aca="false">Inputs!F$21</f>
        <v>46325</v>
      </c>
      <c r="L289" s="24" t="n">
        <f aca="false">Inputs!G$21</f>
        <v>46325</v>
      </c>
      <c r="M289" s="70" t="n">
        <f aca="false">1+Rate_Cash*(DATE(YEAR(J289)+1,1,1)-J289)/Days_In_Year</f>
        <v>1.02071232876712</v>
      </c>
      <c r="N289" s="70" t="n">
        <f aca="false">1+Rate_Cash*(DATE(YEAR(K289)+1,1,1)-K289)/Days_In_Year</f>
        <v>1.02071232876712</v>
      </c>
      <c r="O289" s="70" t="n">
        <f aca="false">1+Rate_Cash*(DATE(YEAR(L289)+1,1,1)-L289)/Days_In_Year</f>
        <v>1.02071232876712</v>
      </c>
    </row>
    <row r="290" customFormat="false" ht="14.25" hidden="false" customHeight="false" outlineLevel="1" collapsed="false">
      <c r="C290" s="6" t="s">
        <v>267</v>
      </c>
      <c r="D290" s="2" t="s">
        <v>85</v>
      </c>
      <c r="E290" s="8" t="n">
        <f aca="false">-E63</f>
        <v>-1553.97260273973</v>
      </c>
      <c r="F290" s="8" t="n">
        <f aca="false">-F63</f>
        <v>-1995.61643835616</v>
      </c>
      <c r="G290" s="8" t="n">
        <f aca="false">-G63</f>
        <v>-1995.61643835616</v>
      </c>
      <c r="H290" s="8" t="n">
        <f aca="false">SUM(E290:G290)</f>
        <v>-5545.20547945205</v>
      </c>
      <c r="J290" s="24" t="n">
        <f aca="false">Inputs!E$22</f>
        <v>46402</v>
      </c>
      <c r="K290" s="24" t="n">
        <f aca="false">Inputs!F$22</f>
        <v>46402</v>
      </c>
      <c r="L290" s="24" t="n">
        <f aca="false">Inputs!G$22</f>
        <v>46402</v>
      </c>
      <c r="M290" s="70" t="n">
        <f aca="false">1+Rate_Cash*(DATE(YEAR(J290)+1,1,1)-J290)/Days_In_Year</f>
        <v>1.11539726027397</v>
      </c>
      <c r="N290" s="70" t="n">
        <f aca="false">1+Rate_Cash*(DATE(YEAR(K290)+1,1,1)-K290)/Days_In_Year</f>
        <v>1.11539726027397</v>
      </c>
      <c r="O290" s="70" t="n">
        <f aca="false">1+Rate_Cash*(DATE(YEAR(L290)+1,1,1)-L290)/Days_In_Year</f>
        <v>1.11539726027397</v>
      </c>
    </row>
    <row r="291" customFormat="false" ht="14.25" hidden="false" customHeight="false" outlineLevel="1" collapsed="false">
      <c r="C291" s="6" t="s">
        <v>77</v>
      </c>
      <c r="D291" s="2" t="s">
        <v>85</v>
      </c>
      <c r="E291" s="8" t="n">
        <f aca="false">-E64</f>
        <v>-616.438356164384</v>
      </c>
      <c r="F291" s="8" t="n">
        <f aca="false">-F64</f>
        <v>-616.438356164384</v>
      </c>
      <c r="G291" s="8" t="n">
        <f aca="false">-G64</f>
        <v>-616.438356164384</v>
      </c>
      <c r="H291" s="8" t="n">
        <f aca="false">SUM(E291:G291)</f>
        <v>-1849.31506849315</v>
      </c>
      <c r="J291" s="24" t="n">
        <f aca="false">Inputs!E$23</f>
        <v>46402</v>
      </c>
      <c r="K291" s="24" t="n">
        <f aca="false">Inputs!F$23</f>
        <v>46402</v>
      </c>
      <c r="L291" s="24" t="n">
        <f aca="false">Inputs!G$23</f>
        <v>46402</v>
      </c>
      <c r="M291" s="70" t="n">
        <f aca="false">1+Rate_Cash*(DATE(YEAR(J291)+1,1,1)-J291)/Days_In_Year</f>
        <v>1.11539726027397</v>
      </c>
      <c r="N291" s="70" t="n">
        <f aca="false">1+Rate_Cash*(DATE(YEAR(K291)+1,1,1)-K291)/Days_In_Year</f>
        <v>1.11539726027397</v>
      </c>
      <c r="O291" s="70" t="n">
        <f aca="false">1+Rate_Cash*(DATE(YEAR(L291)+1,1,1)-L291)/Days_In_Year</f>
        <v>1.11539726027397</v>
      </c>
    </row>
    <row r="292" customFormat="false" ht="14.25" hidden="false" customHeight="false" outlineLevel="1" collapsed="false">
      <c r="C292" s="6" t="s">
        <v>116</v>
      </c>
      <c r="D292" s="2" t="s">
        <v>85</v>
      </c>
      <c r="E292" s="8" t="n">
        <f aca="false">-E220</f>
        <v>-45.3359589041096</v>
      </c>
      <c r="F292" s="8" t="n">
        <f aca="false">-F220</f>
        <v>-45.3359589041096</v>
      </c>
      <c r="G292" s="8" t="n">
        <f aca="false">-G220</f>
        <v>-45.3359589041096</v>
      </c>
      <c r="H292" s="8" t="n">
        <f aca="false">SUM(E292:G292)</f>
        <v>-136.007876712329</v>
      </c>
      <c r="J292" s="24" t="n">
        <f aca="false">E219</f>
        <v>46431</v>
      </c>
      <c r="K292" s="24" t="n">
        <f aca="false">F219</f>
        <v>46431</v>
      </c>
      <c r="L292" s="24" t="n">
        <f aca="false">G219</f>
        <v>46431</v>
      </c>
      <c r="M292" s="70" t="n">
        <f aca="false">1+Rate_Devex*(DATE(YEAR(J292)+1,1,1)-J292)/Days_In_Year</f>
        <v>1.17643835616438</v>
      </c>
      <c r="N292" s="70" t="n">
        <f aca="false">1+Rate_Devex*(DATE(YEAR(K292)+1,1,1)-K292)/Days_In_Year</f>
        <v>1.17643835616438</v>
      </c>
      <c r="O292" s="70" t="n">
        <f aca="false">1+Rate_Devex*(DATE(YEAR(L292)+1,1,1)-L292)/Days_In_Year</f>
        <v>1.17643835616438</v>
      </c>
    </row>
    <row r="293" customFormat="false" ht="14.25" hidden="false" customHeight="false" outlineLevel="1" collapsed="false">
      <c r="C293" s="6" t="s">
        <v>268</v>
      </c>
      <c r="D293" s="2" t="s">
        <v>85</v>
      </c>
      <c r="E293" s="8" t="n">
        <f aca="false">-E223</f>
        <v>-679.181008129718</v>
      </c>
      <c r="F293" s="8" t="n">
        <f aca="false">-F223</f>
        <v>-679.181008129718</v>
      </c>
      <c r="G293" s="8" t="n">
        <f aca="false">-G223</f>
        <v>-679.181008129718</v>
      </c>
      <c r="H293" s="8" t="n">
        <f aca="false">SUM(E293:G293)</f>
        <v>-2037.54302438915</v>
      </c>
      <c r="J293" s="24" t="n">
        <f aca="false">E222</f>
        <v>46701.5587560279</v>
      </c>
      <c r="K293" s="24" t="n">
        <f aca="false">F222</f>
        <v>46701.5587560279</v>
      </c>
      <c r="L293" s="24" t="n">
        <f aca="false">G222</f>
        <v>46701.5587560279</v>
      </c>
      <c r="M293" s="70" t="n">
        <f aca="false">1+Rate_Devex*(DATE(YEAR(J293)+1,1,1)-J293)/Days_In_Year</f>
        <v>1.02818698299841</v>
      </c>
      <c r="N293" s="70" t="n">
        <f aca="false">1+Rate_Devex*(DATE(YEAR(K293)+1,1,1)-K293)/Days_In_Year</f>
        <v>1.02818698299841</v>
      </c>
      <c r="O293" s="70" t="n">
        <f aca="false">1+Rate_Devex*(DATE(YEAR(L293)+1,1,1)-L293)/Days_In_Year</f>
        <v>1.02818698299841</v>
      </c>
    </row>
    <row r="294" customFormat="false" ht="14.25" hidden="false" customHeight="false" outlineLevel="1" collapsed="false">
      <c r="C294" s="6" t="s">
        <v>269</v>
      </c>
      <c r="D294" s="2" t="s">
        <v>85</v>
      </c>
      <c r="E294" s="8" t="n">
        <f aca="false">E275-E256-E257</f>
        <v>7865.20493804327</v>
      </c>
      <c r="F294" s="8" t="n">
        <f aca="false">F275-F256-F257</f>
        <v>10406.2948630137</v>
      </c>
      <c r="G294" s="8" t="n">
        <f aca="false">G275-G256-G257</f>
        <v>10406.2948630137</v>
      </c>
      <c r="H294" s="8" t="n">
        <f aca="false">SUM(E294:G294)</f>
        <v>28677.7946640707</v>
      </c>
      <c r="J294" s="24" t="n">
        <f aca="false">Sale_Date_A</f>
        <v>47026</v>
      </c>
      <c r="K294" s="24" t="n">
        <f aca="false">Sale_Date_A</f>
        <v>47026</v>
      </c>
      <c r="L294" s="24" t="n">
        <f aca="false">Sale_Date_A</f>
        <v>47026</v>
      </c>
    </row>
    <row r="295" customFormat="false" ht="14.25" hidden="false" customHeight="false" outlineLevel="0" collapsed="false">
      <c r="C295" s="6" t="s">
        <v>270</v>
      </c>
      <c r="D295" s="2" t="s">
        <v>85</v>
      </c>
      <c r="E295" s="8" t="n">
        <f aca="false">-J$410*CIT_Rate*E$21</f>
        <v>-1.23252542690937</v>
      </c>
      <c r="F295" s="8" t="n">
        <f aca="false">-J$462*CIT_Rate*F$21</f>
        <v>-0</v>
      </c>
      <c r="G295" s="8" t="n">
        <f aca="false">-J$514*CIT_Rate*G$21</f>
        <v>-0</v>
      </c>
      <c r="H295" s="8" t="n">
        <f aca="false">SUM(E295:G295)</f>
        <v>-1.23252542690937</v>
      </c>
      <c r="J295" s="24" t="n">
        <f aca="false">J$358</f>
        <v>46387</v>
      </c>
      <c r="K295" s="24" t="n">
        <f aca="false">J$358</f>
        <v>46387</v>
      </c>
      <c r="L295" s="24" t="n">
        <f aca="false">J$358</f>
        <v>46387</v>
      </c>
    </row>
    <row r="296" customFormat="false" ht="14.25" hidden="false" customHeight="false" outlineLevel="0" collapsed="false">
      <c r="C296" s="6" t="s">
        <v>271</v>
      </c>
      <c r="D296" s="2" t="s">
        <v>85</v>
      </c>
      <c r="E296" s="8" t="n">
        <f aca="false">-K$410*CIT_Rate*E$21</f>
        <v>-48.9291065569347</v>
      </c>
      <c r="F296" s="8" t="n">
        <f aca="false">-K$462*CIT_Rate*F$21</f>
        <v>-0</v>
      </c>
      <c r="G296" s="8" t="n">
        <f aca="false">-K$514*CIT_Rate*G$21</f>
        <v>-0</v>
      </c>
      <c r="H296" s="8" t="n">
        <f aca="false">SUM(E296:G296)</f>
        <v>-48.9291065569347</v>
      </c>
      <c r="J296" s="24" t="n">
        <f aca="false">K$358</f>
        <v>46752</v>
      </c>
      <c r="K296" s="24" t="n">
        <f aca="false">K$358</f>
        <v>46752</v>
      </c>
      <c r="L296" s="24" t="n">
        <f aca="false">K$358</f>
        <v>46752</v>
      </c>
    </row>
    <row r="297" customFormat="false" ht="14.25" hidden="false" customHeight="false" outlineLevel="0" collapsed="false">
      <c r="C297" s="6" t="s">
        <v>272</v>
      </c>
      <c r="D297" s="2" t="s">
        <v>85</v>
      </c>
      <c r="E297" s="8" t="n">
        <f aca="false">-L$410*CIT_Rate*E$21</f>
        <v>0</v>
      </c>
      <c r="F297" s="8" t="n">
        <f aca="false">-L$462*CIT_Rate*F$21</f>
        <v>0</v>
      </c>
      <c r="G297" s="8" t="n">
        <f aca="false">-L$514*CIT_Rate*G$21</f>
        <v>0</v>
      </c>
      <c r="H297" s="8" t="n">
        <f aca="false">SUM(E297:G297)</f>
        <v>0</v>
      </c>
      <c r="J297" s="24" t="n">
        <f aca="false">L$358</f>
        <v>47118</v>
      </c>
      <c r="K297" s="24" t="n">
        <f aca="false">L$358</f>
        <v>47118</v>
      </c>
      <c r="L297" s="24" t="n">
        <f aca="false">L$358</f>
        <v>47118</v>
      </c>
    </row>
    <row r="298" customFormat="false" ht="14.25" hidden="false" customHeight="false" outlineLevel="0" collapsed="false">
      <c r="C298" s="6" t="s">
        <v>273</v>
      </c>
      <c r="D298" s="2" t="s">
        <v>85</v>
      </c>
      <c r="E298" s="8" t="n">
        <f aca="false">-E248*CIT_Rate*E$21-SUM(E295:E297)</f>
        <v>-143.445802791215</v>
      </c>
      <c r="F298" s="8" t="n">
        <f aca="false">-F248*CIT_Rate*F$21-SUM(F295:F297)</f>
        <v>-0</v>
      </c>
      <c r="G298" s="8" t="n">
        <f aca="false">-G248*CIT_Rate*G$21-SUM(G295:G297)</f>
        <v>-0</v>
      </c>
      <c r="H298" s="8" t="n">
        <f aca="false">SUM(E298:G298)</f>
        <v>-143.445802791215</v>
      </c>
      <c r="J298" s="24" t="n">
        <f aca="false">Sale_Date_A</f>
        <v>47026</v>
      </c>
      <c r="K298" s="24" t="n">
        <f aca="false">Sale_Date_A</f>
        <v>47026</v>
      </c>
      <c r="L298" s="24" t="n">
        <f aca="false">Sale_Date_A</f>
        <v>47026</v>
      </c>
    </row>
    <row r="299" customFormat="false" ht="14.25" hidden="false" customHeight="false" outlineLevel="0" collapsed="false">
      <c r="C299" s="6" t="s">
        <v>274</v>
      </c>
      <c r="D299" s="2" t="s">
        <v>3</v>
      </c>
      <c r="E299" s="47" t="n">
        <f aca="false">SUMIF(E287:E298,"&gt;0")/-SUMIF(E287:E298,"&lt;0")</f>
        <v>2.19376891619551</v>
      </c>
      <c r="F299" s="47" t="n">
        <f aca="false">SUMIF(F287:F298,"&gt;0")/-SUMIF(F287:F298,"&lt;0")</f>
        <v>2.60568088818687</v>
      </c>
      <c r="G299" s="47" t="n">
        <f aca="false">SUMIF(G287:G298,"&gt;0")/-SUMIF(G287:G298,"&lt;0")</f>
        <v>2.60568088818687</v>
      </c>
      <c r="H299" s="47" t="n">
        <f aca="false">SUMIF(H287:H298,"&gt;0")/-SUMIF(H287:H298,"&lt;0")</f>
        <v>2.47806897524933</v>
      </c>
      <c r="J299" s="24"/>
      <c r="K299" s="24"/>
      <c r="L299" s="24"/>
    </row>
    <row r="300" customFormat="false" ht="14.25" hidden="false" customHeight="false" outlineLevel="0" collapsed="false">
      <c r="C300" s="6" t="s">
        <v>275</v>
      </c>
      <c r="D300" s="2" t="s">
        <v>12</v>
      </c>
      <c r="E300" s="48" t="n">
        <f aca="false">XIRR(E287:E298,J287:J298)</f>
        <v>0.655344162084242</v>
      </c>
      <c r="F300" s="48" t="n">
        <f aca="false">XIRR(F287:F298,K287:K298)</f>
        <v>0.789921152442643</v>
      </c>
      <c r="G300" s="48" t="n">
        <f aca="false">XIRR(G287:G298,L287:L298)</f>
        <v>0.789921152442643</v>
      </c>
      <c r="J300" s="24"/>
      <c r="K300" s="24"/>
      <c r="L300" s="24"/>
    </row>
    <row r="302" customFormat="false" ht="14.25" hidden="false" customHeight="false" outlineLevel="0" collapsed="false">
      <c r="B302" s="4" t="s">
        <v>3</v>
      </c>
      <c r="C302" s="4" t="s">
        <v>276</v>
      </c>
      <c r="D302" s="4"/>
      <c r="E302" s="5" t="s">
        <v>5</v>
      </c>
      <c r="F302" s="5" t="s">
        <v>6</v>
      </c>
      <c r="G302" s="5" t="s">
        <v>7</v>
      </c>
      <c r="H302" s="5" t="s">
        <v>8</v>
      </c>
    </row>
    <row r="303" customFormat="false" ht="14.25" hidden="false" customHeight="false" outlineLevel="0" collapsed="false">
      <c r="C303" s="6" t="s">
        <v>28</v>
      </c>
      <c r="D303" s="2" t="s">
        <v>85</v>
      </c>
      <c r="E303" s="8" t="n">
        <f aca="false">E18*E6</f>
        <v>7500</v>
      </c>
      <c r="F303" s="8" t="n">
        <f aca="false">F18*F6</f>
        <v>7500</v>
      </c>
      <c r="G303" s="8" t="n">
        <f aca="false">G18*G6</f>
        <v>7500</v>
      </c>
      <c r="H303" s="8" t="n">
        <f aca="false">SUM(E303:G303)</f>
        <v>22500</v>
      </c>
    </row>
    <row r="304" customFormat="false" ht="14.25" hidden="false" customHeight="false" outlineLevel="0" collapsed="false">
      <c r="C304" s="6" t="s">
        <v>277</v>
      </c>
      <c r="D304" s="2" t="s">
        <v>85</v>
      </c>
      <c r="E304" s="8" t="n">
        <f aca="false">SUM(E62:E66)</f>
        <v>12648.5978136986</v>
      </c>
      <c r="F304" s="8" t="n">
        <f aca="false">SUM(F62:F66)</f>
        <v>6470.77808219178</v>
      </c>
      <c r="G304" s="8" t="n">
        <f aca="false">SUM(G62:G66)</f>
        <v>6470.77808219178</v>
      </c>
      <c r="H304" s="8" t="n">
        <f aca="false">SUM(E304:G304)</f>
        <v>25590.1539780822</v>
      </c>
    </row>
    <row r="305" customFormat="false" ht="14.25" hidden="false" customHeight="false" outlineLevel="0" collapsed="false">
      <c r="C305" s="1" t="s">
        <v>231</v>
      </c>
      <c r="D305" s="2" t="s">
        <v>85</v>
      </c>
      <c r="E305" s="15" t="n">
        <f aca="false">E68</f>
        <v>107.801712328767</v>
      </c>
      <c r="F305" s="15" t="n">
        <f aca="false">F68</f>
        <v>107.801712328767</v>
      </c>
      <c r="G305" s="15" t="n">
        <f aca="false">G68</f>
        <v>107.801712328767</v>
      </c>
      <c r="H305" s="15" t="n">
        <f aca="false">SUM(E305:G305)</f>
        <v>323.405136986301</v>
      </c>
    </row>
    <row r="306" customFormat="false" ht="14.25" hidden="false" customHeight="false" outlineLevel="0" collapsed="false">
      <c r="C306" s="6" t="s">
        <v>232</v>
      </c>
      <c r="D306" s="2" t="s">
        <v>85</v>
      </c>
      <c r="E306" s="8" t="n">
        <f aca="false">SUM(E303:E305)</f>
        <v>20256.3995260274</v>
      </c>
      <c r="F306" s="8" t="n">
        <f aca="false">SUM(F303:F305)</f>
        <v>14078.5797945205</v>
      </c>
      <c r="G306" s="8" t="n">
        <f aca="false">SUM(G303:G305)</f>
        <v>14078.5797945205</v>
      </c>
      <c r="H306" s="8" t="n">
        <f aca="false">SUM(E306:G306)</f>
        <v>48413.5591150685</v>
      </c>
    </row>
    <row r="307" customFormat="false" ht="14.25" hidden="false" customHeight="false" outlineLevel="0" collapsed="false">
      <c r="C307" s="6" t="s">
        <v>233</v>
      </c>
      <c r="D307" s="2" t="s">
        <v>85</v>
      </c>
      <c r="E307" s="8" t="n">
        <f aca="false">-MIN(E306,Sale_Costs)</f>
        <v>-250</v>
      </c>
      <c r="F307" s="8" t="n">
        <f aca="false">-MIN(F306,Sale_Costs)</f>
        <v>-250</v>
      </c>
      <c r="G307" s="8" t="n">
        <f aca="false">-MIN(G306,Sale_Costs)</f>
        <v>-250</v>
      </c>
      <c r="H307" s="8" t="n">
        <f aca="false">SUM(E307:G307)</f>
        <v>-750</v>
      </c>
    </row>
    <row r="308" customFormat="false" ht="14.25" hidden="false" customHeight="false" outlineLevel="0" collapsed="false">
      <c r="C308" s="6" t="s">
        <v>278</v>
      </c>
      <c r="D308" s="2" t="s">
        <v>85</v>
      </c>
      <c r="E308" s="8" t="n">
        <f aca="false">-MIN(SUM(E306:E307),E304)</f>
        <v>-12648.5978136986</v>
      </c>
      <c r="F308" s="8" t="n">
        <f aca="false">-MIN(SUM(F306:F307),F304)</f>
        <v>-6470.77808219178</v>
      </c>
      <c r="G308" s="8" t="n">
        <f aca="false">-MIN(SUM(G306:G307),G304)</f>
        <v>-6470.77808219178</v>
      </c>
      <c r="H308" s="8" t="n">
        <f aca="false">SUM(E308:G308)</f>
        <v>-25590.1539780822</v>
      </c>
    </row>
    <row r="309" customFormat="false" ht="14.25" hidden="false" customHeight="false" outlineLevel="0" collapsed="false">
      <c r="C309" s="6" t="s">
        <v>235</v>
      </c>
      <c r="D309" s="2" t="s">
        <v>85</v>
      </c>
      <c r="E309" s="8" t="n">
        <f aca="false">-MIN(SUM(E306:E308),E305)</f>
        <v>-107.801712328767</v>
      </c>
      <c r="F309" s="8" t="n">
        <f aca="false">-MIN(SUM(F306:F308),F305)</f>
        <v>-107.801712328767</v>
      </c>
      <c r="G309" s="8" t="n">
        <f aca="false">-MIN(SUM(G306:G308),G305)</f>
        <v>-107.801712328767</v>
      </c>
      <c r="H309" s="8" t="n">
        <f aca="false">SUM(E309:G309)</f>
        <v>-323.405136986301</v>
      </c>
    </row>
    <row r="310" customFormat="false" ht="14.25" hidden="false" customHeight="false" outlineLevel="0" collapsed="false">
      <c r="C310" s="6" t="s">
        <v>236</v>
      </c>
      <c r="D310" s="2" t="s">
        <v>85</v>
      </c>
      <c r="E310" s="8" t="n">
        <f aca="false">-MIN(SUM(E306:E309),SUM(E205:E210))</f>
        <v>-1767.51100515654</v>
      </c>
      <c r="F310" s="8" t="n">
        <f aca="false">-MIN(SUM(F306:F309),SUM(F205:F210))</f>
        <v>-0</v>
      </c>
      <c r="G310" s="8" t="n">
        <f aca="false">-MIN(SUM(G306:G309),SUM(G205:G210))</f>
        <v>-0</v>
      </c>
      <c r="H310" s="8" t="n">
        <f aca="false">SUM(E310:G310)</f>
        <v>-1767.51100515654</v>
      </c>
      <c r="N310" s="71"/>
    </row>
    <row r="311" customFormat="false" ht="14.25" hidden="false" customHeight="false" outlineLevel="0" collapsed="false">
      <c r="C311" s="6" t="s">
        <v>237</v>
      </c>
      <c r="D311" s="2" t="s">
        <v>85</v>
      </c>
      <c r="E311" s="8" t="n">
        <f aca="false">-MIN(SUM(E306:E310),SUM(E211:E212))</f>
        <v>-808.900528677663</v>
      </c>
      <c r="F311" s="8" t="n">
        <f aca="false">-MIN(SUM(F306:F310),SUM(F211:F212))</f>
        <v>-0</v>
      </c>
      <c r="G311" s="8" t="n">
        <f aca="false">-MIN(SUM(G306:G310),SUM(G211:G212))</f>
        <v>-0</v>
      </c>
      <c r="H311" s="8" t="n">
        <f aca="false">SUM(E311:G311)</f>
        <v>-808.900528677663</v>
      </c>
      <c r="N311" s="71"/>
    </row>
    <row r="312" customFormat="false" ht="14.25" hidden="false" customHeight="false" outlineLevel="0" collapsed="false">
      <c r="C312" s="6" t="s">
        <v>238</v>
      </c>
      <c r="D312" s="2" t="s">
        <v>85</v>
      </c>
      <c r="E312" s="8" t="n">
        <f aca="false">-MIN(SUM(E306:E311),E214)</f>
        <v>-437.5</v>
      </c>
      <c r="F312" s="8" t="n">
        <f aca="false">-MIN(SUM(F306:F311),F214)</f>
        <v>-0</v>
      </c>
      <c r="G312" s="8" t="n">
        <f aca="false">-MIN(SUM(G306:G311),G214)</f>
        <v>-0</v>
      </c>
      <c r="H312" s="8" t="n">
        <f aca="false">SUM(E312:G312)</f>
        <v>-437.5</v>
      </c>
    </row>
    <row r="313" customFormat="false" ht="14.25" hidden="false" customHeight="false" outlineLevel="0" collapsed="false">
      <c r="C313" s="1" t="s">
        <v>239</v>
      </c>
      <c r="D313" s="2" t="s">
        <v>85</v>
      </c>
      <c r="E313" s="32" t="n">
        <f aca="false">SUM(E306:E312)</f>
        <v>4236.08846616579</v>
      </c>
      <c r="F313" s="32" t="n">
        <f aca="false">SUM(F306:F312)</f>
        <v>7250</v>
      </c>
      <c r="G313" s="32" t="n">
        <f aca="false">SUM(G306:G312)</f>
        <v>7250</v>
      </c>
      <c r="H313" s="32" t="n">
        <f aca="false">SUM(E313:G313)</f>
        <v>18736.0884661658</v>
      </c>
    </row>
    <row r="314" customFormat="false" ht="14.25" hidden="false" customHeight="false" outlineLevel="0" collapsed="false">
      <c r="C314" s="6" t="s">
        <v>240</v>
      </c>
      <c r="D314" s="2" t="s">
        <v>85</v>
      </c>
      <c r="E314" s="8" t="n">
        <f aca="false">E313*E19</f>
        <v>2965.26192631606</v>
      </c>
      <c r="F314" s="8" t="n">
        <f aca="false">F313*F19</f>
        <v>7250</v>
      </c>
      <c r="G314" s="8" t="n">
        <f aca="false">G313*G19</f>
        <v>7250</v>
      </c>
      <c r="H314" s="8" t="n">
        <f aca="false">SUM(E314:G314)</f>
        <v>17465.2619263161</v>
      </c>
    </row>
    <row r="315" customFormat="false" ht="14.25" hidden="false" customHeight="false" outlineLevel="0" collapsed="false">
      <c r="C315" s="6" t="s">
        <v>241</v>
      </c>
      <c r="D315" s="2" t="s">
        <v>85</v>
      </c>
      <c r="E315" s="8" t="n">
        <f aca="false">E313-E314</f>
        <v>1270.82653984974</v>
      </c>
      <c r="F315" s="8" t="n">
        <f aca="false">F313-F314</f>
        <v>0</v>
      </c>
      <c r="G315" s="8" t="n">
        <f aca="false">G313-G314</f>
        <v>0</v>
      </c>
      <c r="H315" s="8" t="n">
        <f aca="false">SUM(E315:G315)</f>
        <v>1270.82653984974</v>
      </c>
    </row>
    <row r="317" customFormat="false" ht="14.25" hidden="false" customHeight="false" outlineLevel="0" collapsed="false">
      <c r="C317" s="42" t="s">
        <v>279</v>
      </c>
      <c r="D317" s="42"/>
      <c r="E317" s="43" t="s">
        <v>5</v>
      </c>
      <c r="F317" s="43" t="s">
        <v>6</v>
      </c>
      <c r="G317" s="43" t="s">
        <v>7</v>
      </c>
      <c r="H317" s="43" t="s">
        <v>8</v>
      </c>
      <c r="J317" s="43"/>
      <c r="K317" s="43"/>
      <c r="L317" s="43"/>
    </row>
    <row r="318" customFormat="false" ht="14.25" hidden="false" customHeight="false" outlineLevel="0" collapsed="false">
      <c r="C318" s="6" t="s">
        <v>244</v>
      </c>
      <c r="D318" s="2" t="s">
        <v>85</v>
      </c>
      <c r="E318" s="8" t="n">
        <f aca="false">E303</f>
        <v>7500</v>
      </c>
      <c r="F318" s="8" t="n">
        <f aca="false">F303</f>
        <v>7500</v>
      </c>
      <c r="G318" s="8" t="n">
        <f aca="false">G303</f>
        <v>7500</v>
      </c>
      <c r="H318" s="8" t="n">
        <f aca="false">SUM(E318:G318)</f>
        <v>22500</v>
      </c>
      <c r="J318" s="24"/>
      <c r="K318" s="24"/>
      <c r="L318" s="24"/>
    </row>
    <row r="319" customFormat="false" ht="14.25" hidden="false" customHeight="false" outlineLevel="0" collapsed="false">
      <c r="C319" s="6" t="s">
        <v>245</v>
      </c>
      <c r="D319" s="2" t="s">
        <v>85</v>
      </c>
      <c r="E319" s="8" t="n">
        <f aca="false">0</f>
        <v>0</v>
      </c>
      <c r="F319" s="8" t="n">
        <f aca="false">0</f>
        <v>0</v>
      </c>
      <c r="G319" s="8" t="n">
        <f aca="false">0</f>
        <v>0</v>
      </c>
      <c r="H319" s="8" t="n">
        <f aca="false">SUM(E319:G319)</f>
        <v>0</v>
      </c>
      <c r="J319" s="24"/>
      <c r="K319" s="24"/>
      <c r="L319" s="24"/>
    </row>
    <row r="320" customFormat="false" ht="14.25" hidden="false" customHeight="false" outlineLevel="0" collapsed="false">
      <c r="C320" s="6" t="s">
        <v>246</v>
      </c>
      <c r="D320" s="2" t="s">
        <v>85</v>
      </c>
      <c r="E320" s="8" t="n">
        <f aca="false">0</f>
        <v>0</v>
      </c>
      <c r="F320" s="8" t="n">
        <f aca="false">0</f>
        <v>0</v>
      </c>
      <c r="G320" s="8" t="n">
        <f aca="false">0</f>
        <v>0</v>
      </c>
      <c r="H320" s="8" t="n">
        <f aca="false">SUM(E320:G320)</f>
        <v>0</v>
      </c>
      <c r="J320" s="24"/>
      <c r="K320" s="24"/>
      <c r="L320" s="24"/>
    </row>
    <row r="321" customFormat="false" ht="14.25" hidden="false" customHeight="false" outlineLevel="0" collapsed="false">
      <c r="C321" s="6" t="s">
        <v>247</v>
      </c>
      <c r="D321" s="2" t="s">
        <v>85</v>
      </c>
      <c r="E321" s="8" t="n">
        <f aca="false">0</f>
        <v>0</v>
      </c>
      <c r="F321" s="8" t="n">
        <f aca="false">0</f>
        <v>0</v>
      </c>
      <c r="G321" s="8" t="n">
        <f aca="false">0</f>
        <v>0</v>
      </c>
      <c r="H321" s="8" t="n">
        <f aca="false">SUM(E321:G321)</f>
        <v>0</v>
      </c>
      <c r="J321" s="24"/>
      <c r="K321" s="24"/>
      <c r="L321" s="24"/>
    </row>
    <row r="322" customFormat="false" ht="14.25" hidden="false" customHeight="false" outlineLevel="0" collapsed="false">
      <c r="C322" s="6" t="s">
        <v>248</v>
      </c>
      <c r="D322" s="2" t="s">
        <v>85</v>
      </c>
      <c r="E322" s="8" t="n">
        <f aca="false">E307</f>
        <v>-250</v>
      </c>
      <c r="F322" s="8" t="n">
        <f aca="false">F307</f>
        <v>-250</v>
      </c>
      <c r="G322" s="8" t="n">
        <f aca="false">G307</f>
        <v>-250</v>
      </c>
      <c r="H322" s="8" t="n">
        <f aca="false">SUM(E322:G322)</f>
        <v>-750</v>
      </c>
      <c r="J322" s="24"/>
      <c r="K322" s="24"/>
      <c r="L322" s="24"/>
    </row>
    <row r="323" customFormat="false" ht="14.25" hidden="false" customHeight="false" outlineLevel="0" collapsed="false">
      <c r="C323" s="6" t="s">
        <v>249</v>
      </c>
      <c r="D323" s="2" t="s">
        <v>85</v>
      </c>
      <c r="E323" s="8" t="n">
        <f aca="false">E312</f>
        <v>-437.5</v>
      </c>
      <c r="F323" s="8" t="n">
        <f aca="false">F312</f>
        <v>-0</v>
      </c>
      <c r="G323" s="8" t="n">
        <f aca="false">G312</f>
        <v>-0</v>
      </c>
      <c r="H323" s="8" t="n">
        <f aca="false">SUM(E323:G323)</f>
        <v>-437.5</v>
      </c>
      <c r="J323" s="24"/>
      <c r="K323" s="24"/>
      <c r="L323" s="24"/>
    </row>
    <row r="324" customFormat="false" ht="14.25" hidden="false" customHeight="false" outlineLevel="0" collapsed="false">
      <c r="C324" s="6" t="s">
        <v>250</v>
      </c>
      <c r="D324" s="2" t="s">
        <v>85</v>
      </c>
      <c r="E324" s="8" t="n">
        <f aca="false">-E315</f>
        <v>-1270.82653984974</v>
      </c>
      <c r="F324" s="8" t="n">
        <f aca="false">-F315</f>
        <v>-0</v>
      </c>
      <c r="G324" s="8" t="n">
        <f aca="false">-G315</f>
        <v>-0</v>
      </c>
      <c r="H324" s="8" t="n">
        <f aca="false">SUM(E324:G324)</f>
        <v>-1270.82653984974</v>
      </c>
      <c r="J324" s="24"/>
      <c r="K324" s="24"/>
      <c r="L324" s="24"/>
    </row>
    <row r="325" customFormat="false" ht="14.25" hidden="false" customHeight="false" outlineLevel="0" collapsed="false">
      <c r="C325" s="6" t="s">
        <v>251</v>
      </c>
      <c r="D325" s="67" t="s">
        <v>85</v>
      </c>
      <c r="E325" s="8" t="n">
        <f aca="false">-E310</f>
        <v>1767.51100515654</v>
      </c>
      <c r="F325" s="8" t="n">
        <f aca="false">-F310</f>
        <v>0</v>
      </c>
      <c r="G325" s="8" t="n">
        <f aca="false">-G310</f>
        <v>0</v>
      </c>
      <c r="H325" s="8" t="n">
        <f aca="false">SUM(E325:G325)</f>
        <v>1767.51100515654</v>
      </c>
      <c r="J325" s="24"/>
      <c r="K325" s="24"/>
      <c r="L325" s="24"/>
    </row>
    <row r="326" customFormat="false" ht="14.25" hidden="false" customHeight="false" outlineLevel="0" collapsed="false">
      <c r="C326" s="6" t="s">
        <v>252</v>
      </c>
      <c r="D326" s="67" t="s">
        <v>85</v>
      </c>
      <c r="E326" s="8" t="n">
        <f aca="false">-E311</f>
        <v>808.900528677663</v>
      </c>
      <c r="F326" s="8" t="n">
        <f aca="false">-F311</f>
        <v>0</v>
      </c>
      <c r="G326" s="8" t="n">
        <f aca="false">-G311</f>
        <v>0</v>
      </c>
      <c r="H326" s="8" t="n">
        <f aca="false">SUM(E326:G326)</f>
        <v>808.900528677663</v>
      </c>
      <c r="J326" s="24"/>
      <c r="K326" s="24"/>
      <c r="L326" s="24"/>
    </row>
    <row r="327" customFormat="false" ht="14.25" hidden="false" customHeight="false" outlineLevel="0" collapsed="false">
      <c r="C327" s="6" t="s">
        <v>29</v>
      </c>
      <c r="D327" s="67" t="s">
        <v>85</v>
      </c>
      <c r="E327" s="8" t="n">
        <f aca="false">E314</f>
        <v>2965.26192631606</v>
      </c>
      <c r="F327" s="8" t="n">
        <f aca="false">F314</f>
        <v>7250</v>
      </c>
      <c r="G327" s="8" t="n">
        <f aca="false">G314</f>
        <v>7250</v>
      </c>
      <c r="H327" s="8" t="n">
        <f aca="false">SUM(E327:G327)</f>
        <v>17465.2619263161</v>
      </c>
      <c r="J327" s="24"/>
      <c r="K327" s="24"/>
      <c r="L327" s="24"/>
    </row>
    <row r="328" customFormat="false" ht="14.25" hidden="false" customHeight="false" outlineLevel="0" collapsed="false">
      <c r="C328" s="44" t="s">
        <v>280</v>
      </c>
      <c r="D328" s="45" t="s">
        <v>85</v>
      </c>
      <c r="E328" s="68" t="n">
        <f aca="false">SUM(E325:E327)</f>
        <v>5541.67346015026</v>
      </c>
      <c r="F328" s="68" t="n">
        <f aca="false">SUM(F325:F327)</f>
        <v>7250</v>
      </c>
      <c r="G328" s="68" t="n">
        <f aca="false">SUM(G325:G327)</f>
        <v>7250</v>
      </c>
      <c r="H328" s="68" t="n">
        <f aca="false">SUM(E328:G328)</f>
        <v>20041.6734601503</v>
      </c>
    </row>
    <row r="329" customFormat="false" ht="14.25" hidden="false" customHeight="false" outlineLevel="0" collapsed="false">
      <c r="C329" s="6" t="s">
        <v>254</v>
      </c>
      <c r="D329" s="2" t="s">
        <v>85</v>
      </c>
      <c r="E329" s="8" t="n">
        <f aca="false">-E69</f>
        <v>-100</v>
      </c>
      <c r="F329" s="8" t="n">
        <f aca="false">-F69</f>
        <v>-150</v>
      </c>
      <c r="G329" s="8" t="n">
        <f aca="false">-G69</f>
        <v>-150</v>
      </c>
      <c r="H329" s="8" t="n">
        <f aca="false">SUM(E329:G329)</f>
        <v>-400</v>
      </c>
      <c r="J329" s="24"/>
      <c r="K329" s="24"/>
      <c r="L329" s="24"/>
    </row>
    <row r="330" customFormat="false" ht="14.25" hidden="false" customHeight="false" outlineLevel="0" collapsed="false">
      <c r="C330" s="6" t="s">
        <v>255</v>
      </c>
      <c r="D330" s="2" t="s">
        <v>85</v>
      </c>
      <c r="E330" s="8" t="n">
        <f aca="false">-E61</f>
        <v>-8.21917808219178</v>
      </c>
      <c r="F330" s="8" t="n">
        <f aca="false">-F61</f>
        <v>-8.21917808219178</v>
      </c>
      <c r="G330" s="8" t="n">
        <f aca="false">-G61</f>
        <v>-8.21917808219178</v>
      </c>
      <c r="H330" s="8" t="n">
        <f aca="false">SUM(E330:G330)</f>
        <v>-24.6575342465753</v>
      </c>
      <c r="J330" s="24"/>
      <c r="K330" s="24"/>
      <c r="L330" s="24"/>
    </row>
    <row r="331" customFormat="false" ht="14.25" hidden="false" customHeight="false" outlineLevel="0" collapsed="false">
      <c r="C331" s="6" t="s">
        <v>256</v>
      </c>
      <c r="D331" s="2" t="s">
        <v>85</v>
      </c>
      <c r="E331" s="8" t="n">
        <f aca="false">-E67</f>
        <v>-701.098816348896</v>
      </c>
      <c r="F331" s="8" t="n">
        <f aca="false">-F67</f>
        <v>-701.098816348896</v>
      </c>
      <c r="G331" s="8" t="n">
        <f aca="false">-G67</f>
        <v>-701.098816348896</v>
      </c>
      <c r="H331" s="8" t="n">
        <f aca="false">SUM(E331:G331)</f>
        <v>-2103.29644904669</v>
      </c>
      <c r="J331" s="24"/>
      <c r="K331" s="24"/>
      <c r="L331" s="24"/>
    </row>
    <row r="332" customFormat="false" ht="14.25" hidden="false" customHeight="false" outlineLevel="0" collapsed="false">
      <c r="C332" s="44" t="s">
        <v>257</v>
      </c>
      <c r="D332" s="45" t="s">
        <v>85</v>
      </c>
      <c r="E332" s="68" t="n">
        <f aca="false">E328+SUM(E329:E331)</f>
        <v>4732.35546571918</v>
      </c>
      <c r="F332" s="68" t="n">
        <f aca="false">F328+SUM(F329:F331)</f>
        <v>6390.68200556891</v>
      </c>
      <c r="G332" s="68" t="n">
        <f aca="false">G328+SUM(G329:G331)</f>
        <v>6390.68200556891</v>
      </c>
      <c r="H332" s="68" t="n">
        <f aca="false">SUM(E332:G332)</f>
        <v>17513.719476857</v>
      </c>
    </row>
    <row r="333" customFormat="false" ht="14.25" hidden="false" customHeight="false" outlineLevel="0" collapsed="false">
      <c r="C333" s="1" t="s">
        <v>258</v>
      </c>
      <c r="D333" s="2" t="s">
        <v>85</v>
      </c>
      <c r="E333" s="32" t="n">
        <f aca="false">-MAX(0,E332)*CIT_Rate*(1-Share_Exempt)</f>
        <v>-0</v>
      </c>
      <c r="F333" s="32" t="n">
        <f aca="false">-MAX(0,F332)*CIT_Rate*(1-Share_Exempt)</f>
        <v>-0</v>
      </c>
      <c r="G333" s="32" t="n">
        <f aca="false">-MAX(0,G332)*CIT_Rate*(1-Share_Exempt)</f>
        <v>-0</v>
      </c>
      <c r="H333" s="32" t="n">
        <f aca="false">SUM(E333:G333)</f>
        <v>0</v>
      </c>
    </row>
    <row r="334" customFormat="false" ht="14.25" hidden="false" customHeight="false" outlineLevel="0" collapsed="false">
      <c r="C334" s="1" t="s">
        <v>259</v>
      </c>
      <c r="D334" s="2" t="s">
        <v>85</v>
      </c>
      <c r="E334" s="32" t="n">
        <f aca="false">-E213*CIT_Rate*E$21</f>
        <v>-386.461730075131</v>
      </c>
      <c r="F334" s="32" t="n">
        <f aca="false">-F213*CIT_Rate*F$21</f>
        <v>-0</v>
      </c>
      <c r="G334" s="32" t="n">
        <f aca="false">-G213*CIT_Rate*G$21</f>
        <v>-0</v>
      </c>
      <c r="H334" s="32" t="n">
        <f aca="false">SUM(E334:G334)</f>
        <v>-386.461730075131</v>
      </c>
    </row>
    <row r="335" customFormat="false" ht="14.25" hidden="false" customHeight="false" outlineLevel="0" collapsed="false">
      <c r="C335" s="44" t="s">
        <v>129</v>
      </c>
      <c r="D335" s="45" t="s">
        <v>85</v>
      </c>
      <c r="E335" s="68" t="n">
        <f aca="false">E332+E333+E334</f>
        <v>4345.89373564404</v>
      </c>
      <c r="F335" s="68" t="n">
        <f aca="false">F332+F333+F334</f>
        <v>6390.68200556891</v>
      </c>
      <c r="G335" s="68" t="n">
        <f aca="false">G332+G333+G334</f>
        <v>6390.68200556891</v>
      </c>
      <c r="H335" s="68" t="n">
        <f aca="false">SUM(E335:G335)</f>
        <v>17127.2577467819</v>
      </c>
    </row>
    <row r="336" customFormat="false" ht="14.25" hidden="false" customHeight="false" outlineLevel="0" collapsed="false">
      <c r="C336" s="6" t="s">
        <v>260</v>
      </c>
      <c r="D336" s="2" t="s">
        <v>3</v>
      </c>
      <c r="E336" s="47" t="n">
        <f aca="false">SUMIF(E339:E348,"&gt;0")/-SUMIF(E339:E348,"&lt;0")</f>
        <v>1.34884667608494</v>
      </c>
      <c r="F336" s="47" t="n">
        <f aca="false">SUMIF(F339:F348,"&gt;0")/-SUMIF(F339:F348,"&lt;0")</f>
        <v>1.85920540815467</v>
      </c>
      <c r="G336" s="47" t="n">
        <f aca="false">SUMIF(G339:G348,"&gt;0")/-SUMIF(G339:G348,"&lt;0")</f>
        <v>1.85920540815467</v>
      </c>
      <c r="H336" s="47" t="n">
        <f aca="false">SUMIF(H339:H348,"&gt;0")/-SUMIF(H339:H348,"&lt;0")</f>
        <v>1.61578015966618</v>
      </c>
    </row>
    <row r="337" customFormat="false" ht="14.25" hidden="false" customHeight="false" outlineLevel="0" collapsed="false">
      <c r="C337" s="6" t="s">
        <v>261</v>
      </c>
      <c r="D337" s="2" t="s">
        <v>12</v>
      </c>
      <c r="E337" s="48" t="n">
        <f aca="false">XIRR(E339:E348,J339:J348)</f>
        <v>0.229959485444803</v>
      </c>
      <c r="F337" s="48" t="n">
        <f aca="false">XIRR(F339:F348,K339:K348)</f>
        <v>0.36981874472502</v>
      </c>
      <c r="G337" s="48" t="n">
        <f aca="false">XIRR(G339:G348,L339:L348)</f>
        <v>0.36981874472502</v>
      </c>
    </row>
    <row r="338" customFormat="false" ht="14.25" hidden="false" customHeight="false" outlineLevel="0" collapsed="false">
      <c r="C338" s="42" t="s">
        <v>281</v>
      </c>
      <c r="D338" s="42"/>
      <c r="E338" s="43"/>
      <c r="F338" s="43"/>
      <c r="G338" s="43"/>
      <c r="H338" s="43"/>
      <c r="J338" s="43" t="s">
        <v>243</v>
      </c>
      <c r="K338" s="43" t="s">
        <v>6</v>
      </c>
      <c r="L338" s="43" t="s">
        <v>7</v>
      </c>
      <c r="M338" s="43" t="s">
        <v>264</v>
      </c>
      <c r="N338" s="43" t="s">
        <v>265</v>
      </c>
      <c r="O338" s="43" t="s">
        <v>266</v>
      </c>
    </row>
    <row r="339" customFormat="false" ht="14.25" hidden="false" customHeight="false" outlineLevel="1" collapsed="false">
      <c r="C339" s="6" t="s">
        <v>82</v>
      </c>
      <c r="D339" s="2" t="s">
        <v>85</v>
      </c>
      <c r="E339" s="8" t="n">
        <f aca="false">-E69</f>
        <v>-100</v>
      </c>
      <c r="F339" s="8" t="n">
        <f aca="false">-F69</f>
        <v>-150</v>
      </c>
      <c r="G339" s="8" t="n">
        <f aca="false">-G69</f>
        <v>-150</v>
      </c>
      <c r="H339" s="8" t="n">
        <f aca="false">SUM(E339:G339)</f>
        <v>-400</v>
      </c>
      <c r="J339" s="24" t="n">
        <f aca="false">Inputs!E$20</f>
        <v>46234</v>
      </c>
      <c r="K339" s="24" t="n">
        <f aca="false">Inputs!F$20</f>
        <v>46234</v>
      </c>
      <c r="L339" s="24" t="n">
        <f aca="false">Inputs!G$20</f>
        <v>46234</v>
      </c>
    </row>
    <row r="340" customFormat="false" ht="14.25" hidden="false" customHeight="false" outlineLevel="1" collapsed="false">
      <c r="C340" s="6" t="s">
        <v>73</v>
      </c>
      <c r="D340" s="2" t="s">
        <v>85</v>
      </c>
      <c r="E340" s="8" t="n">
        <f aca="false">-E61</f>
        <v>-8.21917808219178</v>
      </c>
      <c r="F340" s="8" t="n">
        <f aca="false">-F61</f>
        <v>-8.21917808219178</v>
      </c>
      <c r="G340" s="8" t="n">
        <f aca="false">-G61</f>
        <v>-8.21917808219178</v>
      </c>
      <c r="H340" s="8" t="n">
        <f aca="false">SUM(E340:G340)</f>
        <v>-24.6575342465753</v>
      </c>
      <c r="J340" s="24" t="n">
        <f aca="false">Inputs!E$21</f>
        <v>46325</v>
      </c>
      <c r="K340" s="24" t="n">
        <f aca="false">Inputs!F$21</f>
        <v>46325</v>
      </c>
      <c r="L340" s="24" t="n">
        <f aca="false">Inputs!G$21</f>
        <v>46325</v>
      </c>
      <c r="M340" s="70" t="n">
        <f aca="false">1+Rate_Cash*(DATE(YEAR(J340)+1,1,1)-J340)/Days_In_Year</f>
        <v>1.02071232876712</v>
      </c>
      <c r="N340" s="70" t="n">
        <f aca="false">1+Rate_Cash*(DATE(YEAR(K340)+1,1,1)-K340)/Days_In_Year</f>
        <v>1.02071232876712</v>
      </c>
      <c r="O340" s="70" t="n">
        <f aca="false">1+Rate_Cash*(DATE(YEAR(L340)+1,1,1)-L340)/Days_In_Year</f>
        <v>1.02071232876712</v>
      </c>
    </row>
    <row r="341" customFormat="false" ht="14.25" hidden="false" customHeight="false" outlineLevel="1" collapsed="false">
      <c r="C341" s="6" t="s">
        <v>75</v>
      </c>
      <c r="D341" s="2" t="s">
        <v>85</v>
      </c>
      <c r="E341" s="8" t="n">
        <f aca="false">-E62</f>
        <v>-388.493150684932</v>
      </c>
      <c r="F341" s="8" t="n">
        <f aca="false">-F62</f>
        <v>-498.904109589041</v>
      </c>
      <c r="G341" s="8" t="n">
        <f aca="false">-G62</f>
        <v>-498.904109589041</v>
      </c>
      <c r="H341" s="8" t="n">
        <f aca="false">SUM(E341:G341)</f>
        <v>-1386.30136986301</v>
      </c>
      <c r="J341" s="24" t="n">
        <f aca="false">Inputs!E$21</f>
        <v>46325</v>
      </c>
      <c r="K341" s="24" t="n">
        <f aca="false">Inputs!F$21</f>
        <v>46325</v>
      </c>
      <c r="L341" s="24" t="n">
        <f aca="false">Inputs!G$21</f>
        <v>46325</v>
      </c>
      <c r="M341" s="70" t="n">
        <f aca="false">1+Rate_Cash*(DATE(YEAR(J341)+1,1,1)-J341)/Days_In_Year</f>
        <v>1.02071232876712</v>
      </c>
      <c r="N341" s="70" t="n">
        <f aca="false">1+Rate_Cash*(DATE(YEAR(K341)+1,1,1)-K341)/Days_In_Year</f>
        <v>1.02071232876712</v>
      </c>
      <c r="O341" s="70" t="n">
        <f aca="false">1+Rate_Cash*(DATE(YEAR(L341)+1,1,1)-L341)/Days_In_Year</f>
        <v>1.02071232876712</v>
      </c>
    </row>
    <row r="342" customFormat="false" ht="14.25" hidden="false" customHeight="false" outlineLevel="1" collapsed="false">
      <c r="C342" s="6" t="s">
        <v>267</v>
      </c>
      <c r="D342" s="2" t="s">
        <v>85</v>
      </c>
      <c r="E342" s="8" t="n">
        <f aca="false">-E63</f>
        <v>-1553.97260273973</v>
      </c>
      <c r="F342" s="8" t="n">
        <f aca="false">-F63</f>
        <v>-1995.61643835616</v>
      </c>
      <c r="G342" s="8" t="n">
        <f aca="false">-G63</f>
        <v>-1995.61643835616</v>
      </c>
      <c r="H342" s="8" t="n">
        <f aca="false">SUM(E342:G342)</f>
        <v>-5545.20547945205</v>
      </c>
      <c r="J342" s="24" t="n">
        <f aca="false">Inputs!E$22</f>
        <v>46402</v>
      </c>
      <c r="K342" s="24" t="n">
        <f aca="false">Inputs!F$22</f>
        <v>46402</v>
      </c>
      <c r="L342" s="24" t="n">
        <f aca="false">Inputs!G$22</f>
        <v>46402</v>
      </c>
      <c r="M342" s="70" t="n">
        <f aca="false">1+Rate_Cash*(DATE(YEAR(J342)+1,1,1)-J342)/Days_In_Year</f>
        <v>1.11539726027397</v>
      </c>
      <c r="N342" s="70" t="n">
        <f aca="false">1+Rate_Cash*(DATE(YEAR(K342)+1,1,1)-K342)/Days_In_Year</f>
        <v>1.11539726027397</v>
      </c>
      <c r="O342" s="70" t="n">
        <f aca="false">1+Rate_Cash*(DATE(YEAR(L342)+1,1,1)-L342)/Days_In_Year</f>
        <v>1.11539726027397</v>
      </c>
    </row>
    <row r="343" customFormat="false" ht="14.25" hidden="false" customHeight="false" outlineLevel="1" collapsed="false">
      <c r="C343" s="6" t="s">
        <v>77</v>
      </c>
      <c r="D343" s="2" t="s">
        <v>85</v>
      </c>
      <c r="E343" s="8" t="n">
        <f aca="false">-E64</f>
        <v>-616.438356164384</v>
      </c>
      <c r="F343" s="8" t="n">
        <f aca="false">-F64</f>
        <v>-616.438356164384</v>
      </c>
      <c r="G343" s="8" t="n">
        <f aca="false">-G64</f>
        <v>-616.438356164384</v>
      </c>
      <c r="H343" s="8" t="n">
        <f aca="false">SUM(E343:G343)</f>
        <v>-1849.31506849315</v>
      </c>
      <c r="J343" s="24" t="n">
        <f aca="false">Inputs!E$23</f>
        <v>46402</v>
      </c>
      <c r="K343" s="24" t="n">
        <f aca="false">Inputs!F$23</f>
        <v>46402</v>
      </c>
      <c r="L343" s="24" t="n">
        <f aca="false">Inputs!G$23</f>
        <v>46402</v>
      </c>
      <c r="M343" s="70" t="n">
        <f aca="false">1+Rate_Cash*(DATE(YEAR(J343)+1,1,1)-J343)/Days_In_Year</f>
        <v>1.11539726027397</v>
      </c>
      <c r="N343" s="70" t="n">
        <f aca="false">1+Rate_Cash*(DATE(YEAR(K343)+1,1,1)-K343)/Days_In_Year</f>
        <v>1.11539726027397</v>
      </c>
      <c r="O343" s="70" t="n">
        <f aca="false">1+Rate_Cash*(DATE(YEAR(L343)+1,1,1)-L343)/Days_In_Year</f>
        <v>1.11539726027397</v>
      </c>
    </row>
    <row r="344" customFormat="false" ht="14.25" hidden="false" customHeight="false" outlineLevel="1" collapsed="false">
      <c r="C344" s="6" t="s">
        <v>282</v>
      </c>
      <c r="D344" s="2" t="s">
        <v>85</v>
      </c>
      <c r="E344" s="8" t="n">
        <f aca="false">-E65</f>
        <v>-696.364115068493</v>
      </c>
      <c r="F344" s="8" t="n">
        <f aca="false">-F65</f>
        <v>-1260.27397260274</v>
      </c>
      <c r="G344" s="8" t="n">
        <f aca="false">-G65</f>
        <v>-1260.27397260274</v>
      </c>
      <c r="H344" s="8" t="n">
        <f aca="false">SUM(E344:G344)</f>
        <v>-3216.91206027397</v>
      </c>
      <c r="J344" s="24" t="n">
        <f aca="false">Inputs!E$24</f>
        <v>47027</v>
      </c>
      <c r="K344" s="24" t="n">
        <f aca="false">Inputs!F$24</f>
        <v>47027</v>
      </c>
      <c r="L344" s="24" t="n">
        <f aca="false">Inputs!G$24</f>
        <v>47027</v>
      </c>
      <c r="M344" s="70" t="n">
        <f aca="false">1+Rate_Cash*(DATE(YEAR(J344)+1,1,1)-J344)/Days_In_Year</f>
        <v>1.03024657534247</v>
      </c>
      <c r="N344" s="70" t="n">
        <f aca="false">1+Rate_Cash*(DATE(YEAR(K344)+1,1,1)-K344)/Days_In_Year</f>
        <v>1.03024657534247</v>
      </c>
      <c r="O344" s="70" t="n">
        <f aca="false">1+Rate_Cash*(DATE(YEAR(L344)+1,1,1)-L344)/Days_In_Year</f>
        <v>1.03024657534247</v>
      </c>
    </row>
    <row r="345" customFormat="false" ht="14.25" hidden="false" customHeight="false" outlineLevel="1" collapsed="false">
      <c r="C345" s="6" t="s">
        <v>283</v>
      </c>
      <c r="D345" s="2" t="s">
        <v>85</v>
      </c>
      <c r="E345" s="8" t="n">
        <f aca="false">-E66</f>
        <v>-9393.3295890411</v>
      </c>
      <c r="F345" s="8" t="n">
        <f aca="false">-F66</f>
        <v>-2099.54520547945</v>
      </c>
      <c r="G345" s="8" t="n">
        <f aca="false">-G66</f>
        <v>-2099.54520547945</v>
      </c>
      <c r="H345" s="8" t="n">
        <f aca="false">SUM(E345:G345)</f>
        <v>-13592.42</v>
      </c>
      <c r="J345" s="24" t="n">
        <f aca="false">Inputs!E$24</f>
        <v>47027</v>
      </c>
      <c r="K345" s="24" t="n">
        <f aca="false">Inputs!F$24</f>
        <v>47027</v>
      </c>
      <c r="L345" s="24" t="n">
        <f aca="false">Inputs!G$24</f>
        <v>47027</v>
      </c>
      <c r="M345" s="70" t="n">
        <f aca="false">1+Rate_Cash*(DATE(YEAR(J345)+1,1,1)-J345)/Days_In_Year</f>
        <v>1.03024657534247</v>
      </c>
      <c r="N345" s="70" t="n">
        <f aca="false">1+Rate_Cash*(DATE(YEAR(K345)+1,1,1)-K345)/Days_In_Year</f>
        <v>1.03024657534247</v>
      </c>
      <c r="O345" s="70" t="n">
        <f aca="false">1+Rate_Cash*(DATE(YEAR(L345)+1,1,1)-L345)/Days_In_Year</f>
        <v>1.03024657534247</v>
      </c>
    </row>
    <row r="346" customFormat="false" ht="14.25" hidden="false" customHeight="false" outlineLevel="1" collapsed="false">
      <c r="C346" s="6" t="s">
        <v>116</v>
      </c>
      <c r="D346" s="2" t="s">
        <v>85</v>
      </c>
      <c r="E346" s="8" t="n">
        <f aca="false">-E68</f>
        <v>-107.801712328767</v>
      </c>
      <c r="F346" s="8" t="n">
        <f aca="false">-F68</f>
        <v>-107.801712328767</v>
      </c>
      <c r="G346" s="8" t="n">
        <f aca="false">-G68</f>
        <v>-107.801712328767</v>
      </c>
      <c r="H346" s="8" t="n">
        <f aca="false">SUM(E346:G346)</f>
        <v>-323.405136986301</v>
      </c>
      <c r="J346" s="24" t="n">
        <f aca="false">$J$56</f>
        <v>46877.176865821</v>
      </c>
      <c r="K346" s="24" t="n">
        <f aca="false">$J$56</f>
        <v>46877.176865821</v>
      </c>
      <c r="L346" s="24" t="n">
        <f aca="false">$J$56</f>
        <v>46877.176865821</v>
      </c>
      <c r="M346" s="70" t="n">
        <f aca="false">1+Rate_Devex*(DATE(YEAR(J346)+1,1,1)-J346)/Days_In_Year</f>
        <v>1.1325058269474</v>
      </c>
      <c r="N346" s="70" t="n">
        <f aca="false">1+Rate_Devex*(DATE(YEAR(K346)+1,1,1)-K346)/Days_In_Year</f>
        <v>1.1325058269474</v>
      </c>
      <c r="O346" s="70" t="n">
        <f aca="false">1+Rate_Devex*(DATE(YEAR(L346)+1,1,1)-L346)/Days_In_Year</f>
        <v>1.1325058269474</v>
      </c>
    </row>
    <row r="347" customFormat="false" ht="14.25" hidden="false" customHeight="false" outlineLevel="1" collapsed="false">
      <c r="C347" s="6" t="s">
        <v>268</v>
      </c>
      <c r="D347" s="2" t="s">
        <v>85</v>
      </c>
      <c r="E347" s="8" t="n">
        <f aca="false">-E67</f>
        <v>-701.098816348896</v>
      </c>
      <c r="F347" s="8" t="n">
        <f aca="false">-F67</f>
        <v>-701.098816348896</v>
      </c>
      <c r="G347" s="8" t="n">
        <f aca="false">-G67</f>
        <v>-701.098816348896</v>
      </c>
      <c r="H347" s="8" t="n">
        <f aca="false">SUM(E347:G347)</f>
        <v>-2103.29644904669</v>
      </c>
      <c r="J347" s="24" t="n">
        <f aca="false">$J$55</f>
        <v>46714.1242758881</v>
      </c>
      <c r="K347" s="24" t="n">
        <f aca="false">$J$55</f>
        <v>46714.1242758881</v>
      </c>
      <c r="L347" s="24" t="n">
        <f aca="false">$J$55</f>
        <v>46714.1242758881</v>
      </c>
      <c r="M347" s="70" t="n">
        <f aca="false">1+Rate_Devex*(DATE(YEAR(J347)+1,1,1)-J347)/Days_In_Year</f>
        <v>1.02130176663669</v>
      </c>
      <c r="N347" s="70" t="n">
        <f aca="false">1+Rate_Devex*(DATE(YEAR(K347)+1,1,1)-K347)/Days_In_Year</f>
        <v>1.02130176663669</v>
      </c>
      <c r="O347" s="70" t="n">
        <f aca="false">1+Rate_Devex*(DATE(YEAR(L347)+1,1,1)-L347)/Days_In_Year</f>
        <v>1.02130176663669</v>
      </c>
    </row>
    <row r="348" customFormat="false" ht="14.25" hidden="false" customHeight="false" outlineLevel="1" collapsed="false">
      <c r="C348" s="6" t="s">
        <v>284</v>
      </c>
      <c r="D348" s="2" t="s">
        <v>85</v>
      </c>
      <c r="E348" s="8" t="n">
        <f aca="false">E328-E308-E309</f>
        <v>18298.0729861777</v>
      </c>
      <c r="F348" s="8" t="n">
        <f aca="false">F328-F308-F309</f>
        <v>13828.5797945205</v>
      </c>
      <c r="G348" s="8" t="n">
        <f aca="false">G328-G308-G309</f>
        <v>13828.5797945205</v>
      </c>
      <c r="H348" s="8" t="n">
        <f aca="false">SUM(E348:G348)</f>
        <v>45955.2325752188</v>
      </c>
      <c r="J348" s="24" t="n">
        <f aca="false">Sale_Date</f>
        <v>47391</v>
      </c>
      <c r="K348" s="24" t="n">
        <f aca="false">Sale_Date</f>
        <v>47391</v>
      </c>
      <c r="L348" s="24" t="n">
        <f aca="false">Sale_Date</f>
        <v>47391</v>
      </c>
    </row>
    <row r="349" customFormat="false" ht="14.25" hidden="false" customHeight="false" outlineLevel="0" collapsed="false">
      <c r="C349" s="6" t="s">
        <v>270</v>
      </c>
      <c r="D349" s="2" t="s">
        <v>85</v>
      </c>
      <c r="E349" s="8" t="n">
        <f aca="false">-J$406*CIT_Rate*E$21</f>
        <v>-1.23252542690937</v>
      </c>
      <c r="F349" s="8" t="n">
        <f aca="false">-J$458*CIT_Rate*F$21</f>
        <v>-0</v>
      </c>
      <c r="G349" s="8" t="n">
        <f aca="false">-J$510*CIT_Rate*G$21</f>
        <v>-0</v>
      </c>
      <c r="H349" s="8" t="n">
        <f aca="false">SUM(E349:G349)</f>
        <v>-1.23252542690937</v>
      </c>
      <c r="J349" s="24" t="n">
        <f aca="false">J$358</f>
        <v>46387</v>
      </c>
      <c r="K349" s="24" t="n">
        <f aca="false">J$358</f>
        <v>46387</v>
      </c>
      <c r="L349" s="24" t="n">
        <f aca="false">J$358</f>
        <v>46387</v>
      </c>
    </row>
    <row r="350" customFormat="false" ht="14.25" hidden="false" customHeight="false" outlineLevel="0" collapsed="false">
      <c r="C350" s="6" t="s">
        <v>271</v>
      </c>
      <c r="D350" s="2" t="s">
        <v>85</v>
      </c>
      <c r="E350" s="8" t="n">
        <f aca="false">-K$406*CIT_Rate*E$21</f>
        <v>-47.0978432242265</v>
      </c>
      <c r="F350" s="8" t="n">
        <f aca="false">-K$458*CIT_Rate*F$21</f>
        <v>-0</v>
      </c>
      <c r="G350" s="8" t="n">
        <f aca="false">-K$510*CIT_Rate*G$21</f>
        <v>-0</v>
      </c>
      <c r="H350" s="8" t="n">
        <f aca="false">SUM(E350:G350)</f>
        <v>-47.0978432242265</v>
      </c>
      <c r="J350" s="24" t="n">
        <f aca="false">K$358</f>
        <v>46752</v>
      </c>
      <c r="K350" s="24" t="n">
        <f aca="false">K$358</f>
        <v>46752</v>
      </c>
      <c r="L350" s="24" t="n">
        <f aca="false">K$358</f>
        <v>46752</v>
      </c>
    </row>
    <row r="351" customFormat="false" ht="14.25" hidden="false" customHeight="false" outlineLevel="0" collapsed="false">
      <c r="C351" s="6" t="s">
        <v>272</v>
      </c>
      <c r="D351" s="2" t="s">
        <v>85</v>
      </c>
      <c r="E351" s="8" t="n">
        <f aca="false">-L$406*CIT_Rate*E$21</f>
        <v>-121.13949900352</v>
      </c>
      <c r="F351" s="8" t="n">
        <f aca="false">-L$458*CIT_Rate*F$21</f>
        <v>-0</v>
      </c>
      <c r="G351" s="8" t="n">
        <f aca="false">-L$510*CIT_Rate*G$21</f>
        <v>-0</v>
      </c>
      <c r="H351" s="8" t="n">
        <f aca="false">SUM(E351:G351)</f>
        <v>-121.13949900352</v>
      </c>
      <c r="J351" s="24" t="n">
        <f aca="false">L$358</f>
        <v>47118</v>
      </c>
      <c r="K351" s="24" t="n">
        <f aca="false">L$358</f>
        <v>47118</v>
      </c>
      <c r="L351" s="24" t="n">
        <f aca="false">L$358</f>
        <v>47118</v>
      </c>
    </row>
    <row r="352" customFormat="false" ht="14.25" hidden="false" customHeight="false" outlineLevel="0" collapsed="false">
      <c r="C352" s="6" t="s">
        <v>273</v>
      </c>
      <c r="D352" s="2" t="s">
        <v>85</v>
      </c>
      <c r="E352" s="8" t="n">
        <f aca="false">-E213*CIT_Rate*E$21-SUM(E349:E351)</f>
        <v>-216.991862420476</v>
      </c>
      <c r="F352" s="8" t="n">
        <f aca="false">-F213*CIT_Rate*F$21-SUM(F349:F351)</f>
        <v>-0</v>
      </c>
      <c r="G352" s="8" t="n">
        <f aca="false">-G213*CIT_Rate*G$21-SUM(G349:G351)</f>
        <v>-0</v>
      </c>
      <c r="H352" s="8" t="n">
        <f aca="false">SUM(E352:G352)</f>
        <v>-216.991862420476</v>
      </c>
      <c r="J352" s="24" t="n">
        <f aca="false">Sale_Date</f>
        <v>47391</v>
      </c>
      <c r="K352" s="24" t="n">
        <f aca="false">Sale_Date</f>
        <v>47391</v>
      </c>
      <c r="L352" s="24" t="n">
        <f aca="false">Sale_Date</f>
        <v>47391</v>
      </c>
    </row>
    <row r="353" customFormat="false" ht="14.25" hidden="false" customHeight="false" outlineLevel="0" collapsed="false">
      <c r="C353" s="6" t="s">
        <v>274</v>
      </c>
      <c r="D353" s="2" t="s">
        <v>3</v>
      </c>
      <c r="E353" s="47" t="n">
        <f aca="false">SUMIF(E339:E352,"&gt;0")/-SUMIF(E339:E352,"&lt;0")</f>
        <v>1.31148494135623</v>
      </c>
      <c r="F353" s="47" t="n">
        <f aca="false">SUMIF(F339:F352,"&gt;0")/-SUMIF(F339:F352,"&lt;0")</f>
        <v>1.85920540815467</v>
      </c>
      <c r="G353" s="47" t="n">
        <f aca="false">SUMIF(G339:G352,"&gt;0")/-SUMIF(G339:G352,"&lt;0")</f>
        <v>1.85920540815467</v>
      </c>
      <c r="H353" s="47" t="n">
        <f aca="false">SUMIF(H339:H352,"&gt;0")/-SUMIF(H339:H352,"&lt;0")</f>
        <v>1.59411935277143</v>
      </c>
      <c r="J353" s="24"/>
      <c r="K353" s="24"/>
      <c r="L353" s="24"/>
    </row>
    <row r="354" customFormat="false" ht="14.25" hidden="false" customHeight="false" outlineLevel="0" collapsed="false">
      <c r="C354" s="6" t="s">
        <v>275</v>
      </c>
      <c r="D354" s="2" t="s">
        <v>12</v>
      </c>
      <c r="E354" s="48" t="n">
        <f aca="false">XIRR(E339:E352,J339:J352)</f>
        <v>0.210843691770911</v>
      </c>
      <c r="F354" s="48" t="n">
        <f aca="false">XIRR(F339:F352,K339:K352)</f>
        <v>0.36981874472502</v>
      </c>
      <c r="G354" s="48" t="n">
        <f aca="false">XIRR(G339:G352,L339:L352)</f>
        <v>0.36981874472502</v>
      </c>
      <c r="J354" s="24"/>
      <c r="K354" s="24"/>
      <c r="L354" s="24"/>
    </row>
    <row r="355" customFormat="false" ht="14.25" hidden="false" customHeight="false" outlineLevel="0" collapsed="false">
      <c r="C355" s="1"/>
      <c r="D355" s="2"/>
      <c r="E355" s="15"/>
      <c r="F355" s="15"/>
      <c r="G355" s="15"/>
      <c r="H355" s="15"/>
    </row>
    <row r="356" customFormat="false" ht="14.25" hidden="false" customHeight="false" outlineLevel="0" collapsed="false">
      <c r="B356" s="4" t="s">
        <v>3</v>
      </c>
      <c r="C356" s="4" t="s">
        <v>285</v>
      </c>
      <c r="D356" s="4"/>
      <c r="E356" s="72"/>
      <c r="F356" s="72"/>
      <c r="G356" s="72"/>
      <c r="H356" s="5" t="s">
        <v>8</v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</row>
    <row r="357" customFormat="false" ht="14.25" hidden="false" customHeight="false" outlineLevel="0" collapsed="false">
      <c r="C357" s="6" t="s">
        <v>155</v>
      </c>
      <c r="D357" s="2" t="s">
        <v>156</v>
      </c>
      <c r="J357" s="73" t="n">
        <f aca="false">First_Year+COLUMN()-COLUMN($J$1)</f>
        <v>2026</v>
      </c>
      <c r="K357" s="73" t="n">
        <f aca="false">First_Year+COLUMN()-COLUMN($J$1)</f>
        <v>2027</v>
      </c>
      <c r="L357" s="73" t="n">
        <f aca="false">First_Year+COLUMN()-COLUMN($J$1)</f>
        <v>2028</v>
      </c>
      <c r="M357" s="73" t="n">
        <f aca="false">First_Year+COLUMN()-COLUMN($J$1)</f>
        <v>2029</v>
      </c>
      <c r="N357" s="73" t="n">
        <f aca="false">First_Year+COLUMN()-COLUMN($J$1)</f>
        <v>2030</v>
      </c>
      <c r="O357" s="73" t="n">
        <f aca="false">First_Year+COLUMN()-COLUMN($J$1)</f>
        <v>2031</v>
      </c>
      <c r="P357" s="73" t="n">
        <f aca="false">First_Year+COLUMN()-COLUMN($J$1)</f>
        <v>2032</v>
      </c>
      <c r="Q357" s="73" t="n">
        <f aca="false">First_Year+COLUMN()-COLUMN($J$1)</f>
        <v>2033</v>
      </c>
      <c r="R357" s="73" t="n">
        <f aca="false">First_Year+COLUMN()-COLUMN($J$1)</f>
        <v>2034</v>
      </c>
      <c r="S357" s="73" t="n">
        <f aca="false">First_Year+COLUMN()-COLUMN($J$1)</f>
        <v>2035</v>
      </c>
      <c r="T357" s="73" t="n">
        <f aca="false">First_Year+COLUMN()-COLUMN($J$1)</f>
        <v>2036</v>
      </c>
      <c r="U357" s="73" t="n">
        <f aca="false">First_Year+COLUMN()-COLUMN($J$1)</f>
        <v>2037</v>
      </c>
      <c r="V357" s="73" t="n">
        <f aca="false">First_Year+COLUMN()-COLUMN($J$1)</f>
        <v>2038</v>
      </c>
      <c r="W357" s="73" t="n">
        <f aca="false">First_Year+COLUMN()-COLUMN($J$1)</f>
        <v>2039</v>
      </c>
      <c r="X357" s="73" t="n">
        <f aca="false">First_Year+COLUMN()-COLUMN($J$1)</f>
        <v>2040</v>
      </c>
      <c r="Y357" s="73" t="n">
        <f aca="false">First_Year+COLUMN()-COLUMN($J$1)</f>
        <v>2041</v>
      </c>
      <c r="Z357" s="73" t="n">
        <f aca="false">First_Year+COLUMN()-COLUMN($J$1)</f>
        <v>2042</v>
      </c>
      <c r="AA357" s="73" t="n">
        <f aca="false">First_Year+COLUMN()-COLUMN($J$1)</f>
        <v>2043</v>
      </c>
      <c r="AB357" s="73" t="n">
        <f aca="false">First_Year+COLUMN()-COLUMN($J$1)</f>
        <v>2044</v>
      </c>
      <c r="AC357" s="73" t="n">
        <f aca="false">First_Year+COLUMN()-COLUMN($J$1)</f>
        <v>2045</v>
      </c>
      <c r="AD357" s="73" t="n">
        <f aca="false">First_Year+COLUMN()-COLUMN($J$1)</f>
        <v>2046</v>
      </c>
      <c r="AE357" s="73" t="n">
        <f aca="false">First_Year+COLUMN()-COLUMN($J$1)</f>
        <v>2047</v>
      </c>
      <c r="AF357" s="73" t="n">
        <f aca="false">First_Year+COLUMN()-COLUMN($J$1)</f>
        <v>2048</v>
      </c>
      <c r="AG357" s="73" t="n">
        <f aca="false">First_Year+COLUMN()-COLUMN($J$1)</f>
        <v>2049</v>
      </c>
      <c r="AH357" s="73" t="n">
        <f aca="false">First_Year+COLUMN()-COLUMN($J$1)</f>
        <v>2050</v>
      </c>
      <c r="AI357" s="73" t="n">
        <f aca="false">First_Year+COLUMN()-COLUMN($J$1)</f>
        <v>2051</v>
      </c>
      <c r="AJ357" s="73" t="n">
        <f aca="false">First_Year+COLUMN()-COLUMN($J$1)</f>
        <v>2052</v>
      </c>
      <c r="AK357" s="73" t="n">
        <f aca="false">First_Year+COLUMN()-COLUMN($J$1)</f>
        <v>2053</v>
      </c>
      <c r="AL357" s="73" t="n">
        <f aca="false">First_Year+COLUMN()-COLUMN($J$1)</f>
        <v>2054</v>
      </c>
      <c r="AM357" s="73" t="n">
        <f aca="false">First_Year+COLUMN()-COLUMN($J$1)</f>
        <v>2055</v>
      </c>
      <c r="AN357" s="73" t="n">
        <f aca="false">First_Year+COLUMN()-COLUMN($J$1)</f>
        <v>2056</v>
      </c>
      <c r="AO357" s="73" t="n">
        <f aca="false">First_Year+COLUMN()-COLUMN($J$1)</f>
        <v>2057</v>
      </c>
      <c r="AP357" s="73" t="n">
        <f aca="false">First_Year+COLUMN()-COLUMN($J$1)</f>
        <v>2058</v>
      </c>
      <c r="AQ357" s="73" t="n">
        <f aca="false">First_Year+COLUMN()-COLUMN($J$1)</f>
        <v>2059</v>
      </c>
      <c r="AR357" s="73" t="n">
        <f aca="false">First_Year+COLUMN()-COLUMN($J$1)</f>
        <v>2060</v>
      </c>
      <c r="AS357" s="73" t="n">
        <f aca="false">First_Year+COLUMN()-COLUMN($J$1)</f>
        <v>2061</v>
      </c>
    </row>
    <row r="358" customFormat="false" ht="14.25" hidden="false" customHeight="false" outlineLevel="0" collapsed="false">
      <c r="C358" s="6" t="s">
        <v>286</v>
      </c>
      <c r="D358" s="2" t="s">
        <v>169</v>
      </c>
      <c r="J358" s="24" t="n">
        <f aca="false">DATE(J357+1,1,1)-1</f>
        <v>46387</v>
      </c>
      <c r="K358" s="24" t="n">
        <f aca="false">DATE(K357+1,1,1)-1</f>
        <v>46752</v>
      </c>
      <c r="L358" s="24" t="n">
        <f aca="false">DATE(L357+1,1,1)-1</f>
        <v>47118</v>
      </c>
      <c r="M358" s="24" t="n">
        <f aca="false">DATE(M357+1,1,1)-1</f>
        <v>47483</v>
      </c>
      <c r="N358" s="24" t="n">
        <f aca="false">DATE(N357+1,1,1)-1</f>
        <v>47848</v>
      </c>
      <c r="O358" s="24" t="n">
        <f aca="false">DATE(O357+1,1,1)-1</f>
        <v>48213</v>
      </c>
      <c r="P358" s="24" t="n">
        <f aca="false">DATE(P357+1,1,1)-1</f>
        <v>48579</v>
      </c>
      <c r="Q358" s="24" t="n">
        <f aca="false">DATE(Q357+1,1,1)-1</f>
        <v>48944</v>
      </c>
      <c r="R358" s="24" t="n">
        <f aca="false">DATE(R357+1,1,1)-1</f>
        <v>49309</v>
      </c>
      <c r="S358" s="24" t="n">
        <f aca="false">DATE(S357+1,1,1)-1</f>
        <v>49674</v>
      </c>
      <c r="T358" s="24" t="n">
        <f aca="false">DATE(T357+1,1,1)-1</f>
        <v>50040</v>
      </c>
      <c r="U358" s="24" t="n">
        <f aca="false">DATE(U357+1,1,1)-1</f>
        <v>50405</v>
      </c>
      <c r="V358" s="24" t="n">
        <f aca="false">DATE(V357+1,1,1)-1</f>
        <v>50770</v>
      </c>
      <c r="W358" s="24" t="n">
        <f aca="false">DATE(W357+1,1,1)-1</f>
        <v>51135</v>
      </c>
      <c r="X358" s="24" t="n">
        <f aca="false">DATE(X357+1,1,1)-1</f>
        <v>51501</v>
      </c>
      <c r="Y358" s="24" t="n">
        <f aca="false">DATE(Y357+1,1,1)-1</f>
        <v>51866</v>
      </c>
      <c r="Z358" s="24" t="n">
        <f aca="false">DATE(Z357+1,1,1)-1</f>
        <v>52231</v>
      </c>
      <c r="AA358" s="24" t="n">
        <f aca="false">DATE(AA357+1,1,1)-1</f>
        <v>52596</v>
      </c>
      <c r="AB358" s="24" t="n">
        <f aca="false">DATE(AB357+1,1,1)-1</f>
        <v>52962</v>
      </c>
      <c r="AC358" s="24" t="n">
        <f aca="false">DATE(AC357+1,1,1)-1</f>
        <v>53327</v>
      </c>
      <c r="AD358" s="24" t="n">
        <f aca="false">DATE(AD357+1,1,1)-1</f>
        <v>53692</v>
      </c>
      <c r="AE358" s="24" t="n">
        <f aca="false">DATE(AE357+1,1,1)-1</f>
        <v>54057</v>
      </c>
      <c r="AF358" s="24" t="n">
        <f aca="false">DATE(AF357+1,1,1)-1</f>
        <v>54423</v>
      </c>
      <c r="AG358" s="24" t="n">
        <f aca="false">DATE(AG357+1,1,1)-1</f>
        <v>54788</v>
      </c>
      <c r="AH358" s="24" t="n">
        <f aca="false">DATE(AH357+1,1,1)-1</f>
        <v>55153</v>
      </c>
      <c r="AI358" s="24" t="n">
        <f aca="false">DATE(AI357+1,1,1)-1</f>
        <v>55518</v>
      </c>
      <c r="AJ358" s="24" t="n">
        <f aca="false">DATE(AJ357+1,1,1)-1</f>
        <v>55884</v>
      </c>
      <c r="AK358" s="24" t="n">
        <f aca="false">DATE(AK357+1,1,1)-1</f>
        <v>56249</v>
      </c>
      <c r="AL358" s="24" t="n">
        <f aca="false">DATE(AL357+1,1,1)-1</f>
        <v>56614</v>
      </c>
      <c r="AM358" s="24" t="n">
        <f aca="false">DATE(AM357+1,1,1)-1</f>
        <v>56979</v>
      </c>
      <c r="AN358" s="24" t="n">
        <f aca="false">DATE(AN357+1,1,1)-1</f>
        <v>57345</v>
      </c>
      <c r="AO358" s="24" t="n">
        <f aca="false">DATE(AO357+1,1,1)-1</f>
        <v>57710</v>
      </c>
      <c r="AP358" s="24" t="n">
        <f aca="false">DATE(AP357+1,1,1)-1</f>
        <v>58075</v>
      </c>
      <c r="AQ358" s="24" t="n">
        <f aca="false">DATE(AQ357+1,1,1)-1</f>
        <v>58440</v>
      </c>
      <c r="AR358" s="24" t="n">
        <f aca="false">DATE(AR357+1,1,1)-1</f>
        <v>58806</v>
      </c>
      <c r="AS358" s="24" t="n">
        <f aca="false">DATE(AS357+1,1,1)-1</f>
        <v>59171</v>
      </c>
    </row>
    <row r="360" customFormat="false" ht="14.25" hidden="false" customHeight="false" outlineLevel="0" collapsed="false">
      <c r="B360" s="4" t="s">
        <v>3</v>
      </c>
      <c r="C360" s="4" t="s">
        <v>287</v>
      </c>
      <c r="D360" s="4"/>
      <c r="E360" s="5" t="s">
        <v>288</v>
      </c>
      <c r="F360" s="5"/>
      <c r="G360" s="5"/>
      <c r="H360" s="5" t="s">
        <v>8</v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</row>
    <row r="361" customFormat="false" ht="14.25" hidden="false" customHeight="false" outlineLevel="0" collapsed="false">
      <c r="C361" s="6" t="s">
        <v>289</v>
      </c>
      <c r="D361" s="2" t="s">
        <v>290</v>
      </c>
      <c r="J361" s="73" t="n">
        <f aca="false">J$357-YEAR(Inputs!$E$26)</f>
        <v>-5</v>
      </c>
      <c r="K361" s="73" t="n">
        <f aca="false">K$357-YEAR(Inputs!$E$26)</f>
        <v>-4</v>
      </c>
      <c r="L361" s="73" t="n">
        <f aca="false">L$357-YEAR(Inputs!$E$26)</f>
        <v>-3</v>
      </c>
      <c r="M361" s="73" t="n">
        <f aca="false">M$357-YEAR(Inputs!$E$26)</f>
        <v>-2</v>
      </c>
      <c r="N361" s="73" t="n">
        <f aca="false">N$357-YEAR(Inputs!$E$26)</f>
        <v>-1</v>
      </c>
      <c r="O361" s="73" t="n">
        <f aca="false">O$357-YEAR(Inputs!$E$26)</f>
        <v>0</v>
      </c>
      <c r="P361" s="73" t="n">
        <f aca="false">P$357-YEAR(Inputs!$E$26)</f>
        <v>1</v>
      </c>
      <c r="Q361" s="73" t="n">
        <f aca="false">Q$357-YEAR(Inputs!$E$26)</f>
        <v>2</v>
      </c>
      <c r="R361" s="73" t="n">
        <f aca="false">R$357-YEAR(Inputs!$E$26)</f>
        <v>3</v>
      </c>
      <c r="S361" s="73" t="n">
        <f aca="false">S$357-YEAR(Inputs!$E$26)</f>
        <v>4</v>
      </c>
      <c r="T361" s="73" t="n">
        <f aca="false">T$357-YEAR(Inputs!$E$26)</f>
        <v>5</v>
      </c>
      <c r="U361" s="73" t="n">
        <f aca="false">U$357-YEAR(Inputs!$E$26)</f>
        <v>6</v>
      </c>
      <c r="V361" s="73" t="n">
        <f aca="false">V$357-YEAR(Inputs!$E$26)</f>
        <v>7</v>
      </c>
      <c r="W361" s="73" t="n">
        <f aca="false">W$357-YEAR(Inputs!$E$26)</f>
        <v>8</v>
      </c>
      <c r="X361" s="73" t="n">
        <f aca="false">X$357-YEAR(Inputs!$E$26)</f>
        <v>9</v>
      </c>
      <c r="Y361" s="73" t="n">
        <f aca="false">Y$357-YEAR(Inputs!$E$26)</f>
        <v>10</v>
      </c>
      <c r="Z361" s="73" t="n">
        <f aca="false">Z$357-YEAR(Inputs!$E$26)</f>
        <v>11</v>
      </c>
      <c r="AA361" s="73" t="n">
        <f aca="false">AA$357-YEAR(Inputs!$E$26)</f>
        <v>12</v>
      </c>
      <c r="AB361" s="73" t="n">
        <f aca="false">AB$357-YEAR(Inputs!$E$26)</f>
        <v>13</v>
      </c>
      <c r="AC361" s="73" t="n">
        <f aca="false">AC$357-YEAR(Inputs!$E$26)</f>
        <v>14</v>
      </c>
      <c r="AD361" s="73" t="n">
        <f aca="false">AD$357-YEAR(Inputs!$E$26)</f>
        <v>15</v>
      </c>
      <c r="AE361" s="73" t="n">
        <f aca="false">AE$357-YEAR(Inputs!$E$26)</f>
        <v>16</v>
      </c>
      <c r="AF361" s="73" t="n">
        <f aca="false">AF$357-YEAR(Inputs!$E$26)</f>
        <v>17</v>
      </c>
      <c r="AG361" s="73" t="n">
        <f aca="false">AG$357-YEAR(Inputs!$E$26)</f>
        <v>18</v>
      </c>
      <c r="AH361" s="73" t="n">
        <f aca="false">AH$357-YEAR(Inputs!$E$26)</f>
        <v>19</v>
      </c>
      <c r="AI361" s="73" t="n">
        <f aca="false">AI$357-YEAR(Inputs!$E$26)</f>
        <v>20</v>
      </c>
      <c r="AJ361" s="73" t="n">
        <f aca="false">AJ$357-YEAR(Inputs!$E$26)</f>
        <v>21</v>
      </c>
      <c r="AK361" s="73" t="n">
        <f aca="false">AK$357-YEAR(Inputs!$E$26)</f>
        <v>22</v>
      </c>
      <c r="AL361" s="73" t="n">
        <f aca="false">AL$357-YEAR(Inputs!$E$26)</f>
        <v>23</v>
      </c>
      <c r="AM361" s="73" t="n">
        <f aca="false">AM$357-YEAR(Inputs!$E$26)</f>
        <v>24</v>
      </c>
      <c r="AN361" s="73" t="n">
        <f aca="false">AN$357-YEAR(Inputs!$E$26)</f>
        <v>25</v>
      </c>
      <c r="AO361" s="73" t="n">
        <f aca="false">AO$357-YEAR(Inputs!$E$26)</f>
        <v>26</v>
      </c>
      <c r="AP361" s="73" t="n">
        <f aca="false">AP$357-YEAR(Inputs!$E$26)</f>
        <v>27</v>
      </c>
      <c r="AQ361" s="73" t="n">
        <f aca="false">AQ$357-YEAR(Inputs!$E$26)</f>
        <v>28</v>
      </c>
      <c r="AR361" s="73" t="n">
        <f aca="false">AR$357-YEAR(Inputs!$E$26)</f>
        <v>29</v>
      </c>
      <c r="AS361" s="73" t="n">
        <f aca="false">AS$357-YEAR(Inputs!$E$26)</f>
        <v>30</v>
      </c>
    </row>
    <row r="362" customFormat="false" ht="14.25" hidden="false" customHeight="false" outlineLevel="0" collapsed="false">
      <c r="C362" s="6" t="s">
        <v>291</v>
      </c>
      <c r="D362" s="2" t="s">
        <v>292</v>
      </c>
      <c r="E362" s="73" t="n">
        <f aca="false">DATEDIF(Inputs!$E$25,Inputs!$E$26,"m")</f>
        <v>24</v>
      </c>
      <c r="J362" s="73" t="n">
        <f aca="false">(J$357+1-YEAR(Inputs!$E$25))*Months_In_Year-MONTH(Inputs!$E$25)</f>
        <v>-30</v>
      </c>
      <c r="K362" s="73" t="n">
        <f aca="false">(K$357+1-YEAR(Inputs!$E$25))*Months_In_Year-MONTH(Inputs!$E$25)</f>
        <v>-18</v>
      </c>
      <c r="L362" s="73" t="n">
        <f aca="false">(L$357+1-YEAR(Inputs!$E$25))*Months_In_Year-MONTH(Inputs!$E$25)</f>
        <v>-6</v>
      </c>
      <c r="M362" s="73" t="n">
        <f aca="false">(M$357+1-YEAR(Inputs!$E$25))*Months_In_Year-MONTH(Inputs!$E$25)</f>
        <v>6</v>
      </c>
      <c r="N362" s="73" t="n">
        <f aca="false">(N$357+1-YEAR(Inputs!$E$25))*Months_In_Year-MONTH(Inputs!$E$25)</f>
        <v>18</v>
      </c>
      <c r="O362" s="73" t="n">
        <f aca="false">(O$357+1-YEAR(Inputs!$E$25))*Months_In_Year-MONTH(Inputs!$E$25)</f>
        <v>30</v>
      </c>
      <c r="P362" s="73" t="n">
        <f aca="false">(P$357+1-YEAR(Inputs!$E$25))*Months_In_Year-MONTH(Inputs!$E$25)</f>
        <v>42</v>
      </c>
      <c r="Q362" s="73" t="n">
        <f aca="false">(Q$357+1-YEAR(Inputs!$E$25))*Months_In_Year-MONTH(Inputs!$E$25)</f>
        <v>54</v>
      </c>
      <c r="R362" s="73" t="n">
        <f aca="false">(R$357+1-YEAR(Inputs!$E$25))*Months_In_Year-MONTH(Inputs!$E$25)</f>
        <v>66</v>
      </c>
      <c r="S362" s="73" t="n">
        <f aca="false">(S$357+1-YEAR(Inputs!$E$25))*Months_In_Year-MONTH(Inputs!$E$25)</f>
        <v>78</v>
      </c>
      <c r="T362" s="73" t="n">
        <f aca="false">(T$357+1-YEAR(Inputs!$E$25))*Months_In_Year-MONTH(Inputs!$E$25)</f>
        <v>90</v>
      </c>
      <c r="U362" s="73" t="n">
        <f aca="false">(U$357+1-YEAR(Inputs!$E$25))*Months_In_Year-MONTH(Inputs!$E$25)</f>
        <v>102</v>
      </c>
      <c r="V362" s="73" t="n">
        <f aca="false">(V$357+1-YEAR(Inputs!$E$25))*Months_In_Year-MONTH(Inputs!$E$25)</f>
        <v>114</v>
      </c>
      <c r="W362" s="73" t="n">
        <f aca="false">(W$357+1-YEAR(Inputs!$E$25))*Months_In_Year-MONTH(Inputs!$E$25)</f>
        <v>126</v>
      </c>
      <c r="X362" s="73" t="n">
        <f aca="false">(X$357+1-YEAR(Inputs!$E$25))*Months_In_Year-MONTH(Inputs!$E$25)</f>
        <v>138</v>
      </c>
      <c r="Y362" s="73" t="n">
        <f aca="false">(Y$357+1-YEAR(Inputs!$E$25))*Months_In_Year-MONTH(Inputs!$E$25)</f>
        <v>150</v>
      </c>
      <c r="Z362" s="73" t="n">
        <f aca="false">(Z$357+1-YEAR(Inputs!$E$25))*Months_In_Year-MONTH(Inputs!$E$25)</f>
        <v>162</v>
      </c>
      <c r="AA362" s="73" t="n">
        <f aca="false">(AA$357+1-YEAR(Inputs!$E$25))*Months_In_Year-MONTH(Inputs!$E$25)</f>
        <v>174</v>
      </c>
      <c r="AB362" s="73" t="n">
        <f aca="false">(AB$357+1-YEAR(Inputs!$E$25))*Months_In_Year-MONTH(Inputs!$E$25)</f>
        <v>186</v>
      </c>
      <c r="AC362" s="73" t="n">
        <f aca="false">(AC$357+1-YEAR(Inputs!$E$25))*Months_In_Year-MONTH(Inputs!$E$25)</f>
        <v>198</v>
      </c>
      <c r="AD362" s="73" t="n">
        <f aca="false">(AD$357+1-YEAR(Inputs!$E$25))*Months_In_Year-MONTH(Inputs!$E$25)</f>
        <v>210</v>
      </c>
      <c r="AE362" s="73" t="n">
        <f aca="false">(AE$357+1-YEAR(Inputs!$E$25))*Months_In_Year-MONTH(Inputs!$E$25)</f>
        <v>222</v>
      </c>
      <c r="AF362" s="73" t="n">
        <f aca="false">(AF$357+1-YEAR(Inputs!$E$25))*Months_In_Year-MONTH(Inputs!$E$25)</f>
        <v>234</v>
      </c>
      <c r="AG362" s="73" t="n">
        <f aca="false">(AG$357+1-YEAR(Inputs!$E$25))*Months_In_Year-MONTH(Inputs!$E$25)</f>
        <v>246</v>
      </c>
      <c r="AH362" s="73" t="n">
        <f aca="false">(AH$357+1-YEAR(Inputs!$E$25))*Months_In_Year-MONTH(Inputs!$E$25)</f>
        <v>258</v>
      </c>
      <c r="AI362" s="73" t="n">
        <f aca="false">(AI$357+1-YEAR(Inputs!$E$25))*Months_In_Year-MONTH(Inputs!$E$25)</f>
        <v>270</v>
      </c>
      <c r="AJ362" s="73" t="n">
        <f aca="false">(AJ$357+1-YEAR(Inputs!$E$25))*Months_In_Year-MONTH(Inputs!$E$25)</f>
        <v>282</v>
      </c>
      <c r="AK362" s="73" t="n">
        <f aca="false">(AK$357+1-YEAR(Inputs!$E$25))*Months_In_Year-MONTH(Inputs!$E$25)</f>
        <v>294</v>
      </c>
      <c r="AL362" s="73" t="n">
        <f aca="false">(AL$357+1-YEAR(Inputs!$E$25))*Months_In_Year-MONTH(Inputs!$E$25)</f>
        <v>306</v>
      </c>
      <c r="AM362" s="73" t="n">
        <f aca="false">(AM$357+1-YEAR(Inputs!$E$25))*Months_In_Year-MONTH(Inputs!$E$25)</f>
        <v>318</v>
      </c>
      <c r="AN362" s="73" t="n">
        <f aca="false">(AN$357+1-YEAR(Inputs!$E$25))*Months_In_Year-MONTH(Inputs!$E$25)</f>
        <v>330</v>
      </c>
      <c r="AO362" s="73" t="n">
        <f aca="false">(AO$357+1-YEAR(Inputs!$E$25))*Months_In_Year-MONTH(Inputs!$E$25)</f>
        <v>342</v>
      </c>
      <c r="AP362" s="73" t="n">
        <f aca="false">(AP$357+1-YEAR(Inputs!$E$25))*Months_In_Year-MONTH(Inputs!$E$25)</f>
        <v>354</v>
      </c>
      <c r="AQ362" s="73" t="n">
        <f aca="false">(AQ$357+1-YEAR(Inputs!$E$25))*Months_In_Year-MONTH(Inputs!$E$25)</f>
        <v>366</v>
      </c>
      <c r="AR362" s="73" t="n">
        <f aca="false">(AR$357+1-YEAR(Inputs!$E$25))*Months_In_Year-MONTH(Inputs!$E$25)</f>
        <v>378</v>
      </c>
      <c r="AS362" s="73" t="n">
        <f aca="false">(AS$357+1-YEAR(Inputs!$E$25))*Months_In_Year-MONTH(Inputs!$E$25)</f>
        <v>390</v>
      </c>
    </row>
    <row r="363" customFormat="false" ht="14.25" hidden="false" customHeight="false" outlineLevel="0" collapsed="false">
      <c r="C363" s="6" t="s">
        <v>293</v>
      </c>
      <c r="D363" s="2" t="s">
        <v>12</v>
      </c>
      <c r="H363" s="74" t="n">
        <f aca="false">SUM(J363:AS363)</f>
        <v>1</v>
      </c>
      <c r="J363" s="48" t="n">
        <f aca="false">MAX(0,MIN(J362,$E362)-MAX(J362-Months_In_Year,0))/$E362</f>
        <v>0</v>
      </c>
      <c r="K363" s="48" t="n">
        <f aca="false">MAX(0,MIN(K362,$E362)-MAX(K362-Months_In_Year,0))/$E362</f>
        <v>0</v>
      </c>
      <c r="L363" s="48" t="n">
        <f aca="false">MAX(0,MIN(L362,$E362)-MAX(L362-Months_In_Year,0))/$E362</f>
        <v>0</v>
      </c>
      <c r="M363" s="48" t="n">
        <f aca="false">MAX(0,MIN(M362,$E362)-MAX(M362-Months_In_Year,0))/$E362</f>
        <v>0.25</v>
      </c>
      <c r="N363" s="48" t="n">
        <f aca="false">MAX(0,MIN(N362,$E362)-MAX(N362-Months_In_Year,0))/$E362</f>
        <v>0.5</v>
      </c>
      <c r="O363" s="48" t="n">
        <f aca="false">MAX(0,MIN(O362,$E362)-MAX(O362-Months_In_Year,0))/$E362</f>
        <v>0.25</v>
      </c>
      <c r="P363" s="48" t="n">
        <f aca="false">MAX(0,MIN(P362,$E362)-MAX(P362-Months_In_Year,0))/$E362</f>
        <v>0</v>
      </c>
      <c r="Q363" s="48" t="n">
        <f aca="false">MAX(0,MIN(Q362,$E362)-MAX(Q362-Months_In_Year,0))/$E362</f>
        <v>0</v>
      </c>
      <c r="R363" s="48" t="n">
        <f aca="false">MAX(0,MIN(R362,$E362)-MAX(R362-Months_In_Year,0))/$E362</f>
        <v>0</v>
      </c>
      <c r="S363" s="48" t="n">
        <f aca="false">MAX(0,MIN(S362,$E362)-MAX(S362-Months_In_Year,0))/$E362</f>
        <v>0</v>
      </c>
      <c r="T363" s="48" t="n">
        <f aca="false">MAX(0,MIN(T362,$E362)-MAX(T362-Months_In_Year,0))/$E362</f>
        <v>0</v>
      </c>
      <c r="U363" s="48" t="n">
        <f aca="false">MAX(0,MIN(U362,$E362)-MAX(U362-Months_In_Year,0))/$E362</f>
        <v>0</v>
      </c>
      <c r="V363" s="48" t="n">
        <f aca="false">MAX(0,MIN(V362,$E362)-MAX(V362-Months_In_Year,0))/$E362</f>
        <v>0</v>
      </c>
      <c r="W363" s="48" t="n">
        <f aca="false">MAX(0,MIN(W362,$E362)-MAX(W362-Months_In_Year,0))/$E362</f>
        <v>0</v>
      </c>
      <c r="X363" s="48" t="n">
        <f aca="false">MAX(0,MIN(X362,$E362)-MAX(X362-Months_In_Year,0))/$E362</f>
        <v>0</v>
      </c>
      <c r="Y363" s="48" t="n">
        <f aca="false">MAX(0,MIN(Y362,$E362)-MAX(Y362-Months_In_Year,0))/$E362</f>
        <v>0</v>
      </c>
      <c r="Z363" s="48" t="n">
        <f aca="false">MAX(0,MIN(Z362,$E362)-MAX(Z362-Months_In_Year,0))/$E362</f>
        <v>0</v>
      </c>
      <c r="AA363" s="48" t="n">
        <f aca="false">MAX(0,MIN(AA362,$E362)-MAX(AA362-Months_In_Year,0))/$E362</f>
        <v>0</v>
      </c>
      <c r="AB363" s="48" t="n">
        <f aca="false">MAX(0,MIN(AB362,$E362)-MAX(AB362-Months_In_Year,0))/$E362</f>
        <v>0</v>
      </c>
      <c r="AC363" s="48" t="n">
        <f aca="false">MAX(0,MIN(AC362,$E362)-MAX(AC362-Months_In_Year,0))/$E362</f>
        <v>0</v>
      </c>
      <c r="AD363" s="48" t="n">
        <f aca="false">MAX(0,MIN(AD362,$E362)-MAX(AD362-Months_In_Year,0))/$E362</f>
        <v>0</v>
      </c>
      <c r="AE363" s="48" t="n">
        <f aca="false">MAX(0,MIN(AE362,$E362)-MAX(AE362-Months_In_Year,0))/$E362</f>
        <v>0</v>
      </c>
      <c r="AF363" s="48" t="n">
        <f aca="false">MAX(0,MIN(AF362,$E362)-MAX(AF362-Months_In_Year,0))/$E362</f>
        <v>0</v>
      </c>
      <c r="AG363" s="48" t="n">
        <f aca="false">MAX(0,MIN(AG362,$E362)-MAX(AG362-Months_In_Year,0))/$E362</f>
        <v>0</v>
      </c>
      <c r="AH363" s="48" t="n">
        <f aca="false">MAX(0,MIN(AH362,$E362)-MAX(AH362-Months_In_Year,0))/$E362</f>
        <v>0</v>
      </c>
      <c r="AI363" s="48" t="n">
        <f aca="false">MAX(0,MIN(AI362,$E362)-MAX(AI362-Months_In_Year,0))/$E362</f>
        <v>0</v>
      </c>
      <c r="AJ363" s="48" t="n">
        <f aca="false">MAX(0,MIN(AJ362,$E362)-MAX(AJ362-Months_In_Year,0))/$E362</f>
        <v>0</v>
      </c>
      <c r="AK363" s="48" t="n">
        <f aca="false">MAX(0,MIN(AK362,$E362)-MAX(AK362-Months_In_Year,0))/$E362</f>
        <v>0</v>
      </c>
      <c r="AL363" s="48" t="n">
        <f aca="false">MAX(0,MIN(AL362,$E362)-MAX(AL362-Months_In_Year,0))/$E362</f>
        <v>0</v>
      </c>
      <c r="AM363" s="48" t="n">
        <f aca="false">MAX(0,MIN(AM362,$E362)-MAX(AM362-Months_In_Year,0))/$E362</f>
        <v>0</v>
      </c>
      <c r="AN363" s="48" t="n">
        <f aca="false">MAX(0,MIN(AN362,$E362)-MAX(AN362-Months_In_Year,0))/$E362</f>
        <v>0</v>
      </c>
      <c r="AO363" s="48" t="n">
        <f aca="false">MAX(0,MIN(AO362,$E362)-MAX(AO362-Months_In_Year,0))/$E362</f>
        <v>0</v>
      </c>
      <c r="AP363" s="48" t="n">
        <f aca="false">MAX(0,MIN(AP362,$E362)-MAX(AP362-Months_In_Year,0))/$E362</f>
        <v>0</v>
      </c>
      <c r="AQ363" s="48" t="n">
        <f aca="false">MAX(0,MIN(AQ362,$E362)-MAX(AQ362-Months_In_Year,0))/$E362</f>
        <v>0</v>
      </c>
      <c r="AR363" s="48" t="n">
        <f aca="false">MAX(0,MIN(AR362,$E362)-MAX(AR362-Months_In_Year,0))/$E362</f>
        <v>0</v>
      </c>
      <c r="AS363" s="48" t="n">
        <f aca="false">MAX(0,MIN(AS362,$E362)-MAX(AS362-Months_In_Year,0))/$E362</f>
        <v>0</v>
      </c>
    </row>
    <row r="364" customFormat="false" ht="14.25" hidden="false" customHeight="false" outlineLevel="0" collapsed="false">
      <c r="C364" s="6" t="s">
        <v>294</v>
      </c>
      <c r="D364" s="2" t="s">
        <v>292</v>
      </c>
      <c r="E364" s="73" t="n">
        <f aca="false">Life*Months_In_Year</f>
        <v>360</v>
      </c>
      <c r="J364" s="73" t="n">
        <f aca="false">(J$357+1-YEAR(Inputs!$E$26))*Months_In_Year-MONTH(Inputs!$E$26)</f>
        <v>-54</v>
      </c>
      <c r="K364" s="73" t="n">
        <f aca="false">(K$357+1-YEAR(Inputs!$E$26))*Months_In_Year-MONTH(Inputs!$E$26)</f>
        <v>-42</v>
      </c>
      <c r="L364" s="73" t="n">
        <f aca="false">(L$357+1-YEAR(Inputs!$E$26))*Months_In_Year-MONTH(Inputs!$E$26)</f>
        <v>-30</v>
      </c>
      <c r="M364" s="73" t="n">
        <f aca="false">(M$357+1-YEAR(Inputs!$E$26))*Months_In_Year-MONTH(Inputs!$E$26)</f>
        <v>-18</v>
      </c>
      <c r="N364" s="73" t="n">
        <f aca="false">(N$357+1-YEAR(Inputs!$E$26))*Months_In_Year-MONTH(Inputs!$E$26)</f>
        <v>-6</v>
      </c>
      <c r="O364" s="73" t="n">
        <f aca="false">(O$357+1-YEAR(Inputs!$E$26))*Months_In_Year-MONTH(Inputs!$E$26)</f>
        <v>6</v>
      </c>
      <c r="P364" s="73" t="n">
        <f aca="false">(P$357+1-YEAR(Inputs!$E$26))*Months_In_Year-MONTH(Inputs!$E$26)</f>
        <v>18</v>
      </c>
      <c r="Q364" s="73" t="n">
        <f aca="false">(Q$357+1-YEAR(Inputs!$E$26))*Months_In_Year-MONTH(Inputs!$E$26)</f>
        <v>30</v>
      </c>
      <c r="R364" s="73" t="n">
        <f aca="false">(R$357+1-YEAR(Inputs!$E$26))*Months_In_Year-MONTH(Inputs!$E$26)</f>
        <v>42</v>
      </c>
      <c r="S364" s="73" t="n">
        <f aca="false">(S$357+1-YEAR(Inputs!$E$26))*Months_In_Year-MONTH(Inputs!$E$26)</f>
        <v>54</v>
      </c>
      <c r="T364" s="73" t="n">
        <f aca="false">(T$357+1-YEAR(Inputs!$E$26))*Months_In_Year-MONTH(Inputs!$E$26)</f>
        <v>66</v>
      </c>
      <c r="U364" s="73" t="n">
        <f aca="false">(U$357+1-YEAR(Inputs!$E$26))*Months_In_Year-MONTH(Inputs!$E$26)</f>
        <v>78</v>
      </c>
      <c r="V364" s="73" t="n">
        <f aca="false">(V$357+1-YEAR(Inputs!$E$26))*Months_In_Year-MONTH(Inputs!$E$26)</f>
        <v>90</v>
      </c>
      <c r="W364" s="73" t="n">
        <f aca="false">(W$357+1-YEAR(Inputs!$E$26))*Months_In_Year-MONTH(Inputs!$E$26)</f>
        <v>102</v>
      </c>
      <c r="X364" s="73" t="n">
        <f aca="false">(X$357+1-YEAR(Inputs!$E$26))*Months_In_Year-MONTH(Inputs!$E$26)</f>
        <v>114</v>
      </c>
      <c r="Y364" s="73" t="n">
        <f aca="false">(Y$357+1-YEAR(Inputs!$E$26))*Months_In_Year-MONTH(Inputs!$E$26)</f>
        <v>126</v>
      </c>
      <c r="Z364" s="73" t="n">
        <f aca="false">(Z$357+1-YEAR(Inputs!$E$26))*Months_In_Year-MONTH(Inputs!$E$26)</f>
        <v>138</v>
      </c>
      <c r="AA364" s="73" t="n">
        <f aca="false">(AA$357+1-YEAR(Inputs!$E$26))*Months_In_Year-MONTH(Inputs!$E$26)</f>
        <v>150</v>
      </c>
      <c r="AB364" s="73" t="n">
        <f aca="false">(AB$357+1-YEAR(Inputs!$E$26))*Months_In_Year-MONTH(Inputs!$E$26)</f>
        <v>162</v>
      </c>
      <c r="AC364" s="73" t="n">
        <f aca="false">(AC$357+1-YEAR(Inputs!$E$26))*Months_In_Year-MONTH(Inputs!$E$26)</f>
        <v>174</v>
      </c>
      <c r="AD364" s="73" t="n">
        <f aca="false">(AD$357+1-YEAR(Inputs!$E$26))*Months_In_Year-MONTH(Inputs!$E$26)</f>
        <v>186</v>
      </c>
      <c r="AE364" s="73" t="n">
        <f aca="false">(AE$357+1-YEAR(Inputs!$E$26))*Months_In_Year-MONTH(Inputs!$E$26)</f>
        <v>198</v>
      </c>
      <c r="AF364" s="73" t="n">
        <f aca="false">(AF$357+1-YEAR(Inputs!$E$26))*Months_In_Year-MONTH(Inputs!$E$26)</f>
        <v>210</v>
      </c>
      <c r="AG364" s="73" t="n">
        <f aca="false">(AG$357+1-YEAR(Inputs!$E$26))*Months_In_Year-MONTH(Inputs!$E$26)</f>
        <v>222</v>
      </c>
      <c r="AH364" s="73" t="n">
        <f aca="false">(AH$357+1-YEAR(Inputs!$E$26))*Months_In_Year-MONTH(Inputs!$E$26)</f>
        <v>234</v>
      </c>
      <c r="AI364" s="73" t="n">
        <f aca="false">(AI$357+1-YEAR(Inputs!$E$26))*Months_In_Year-MONTH(Inputs!$E$26)</f>
        <v>246</v>
      </c>
      <c r="AJ364" s="73" t="n">
        <f aca="false">(AJ$357+1-YEAR(Inputs!$E$26))*Months_In_Year-MONTH(Inputs!$E$26)</f>
        <v>258</v>
      </c>
      <c r="AK364" s="73" t="n">
        <f aca="false">(AK$357+1-YEAR(Inputs!$E$26))*Months_In_Year-MONTH(Inputs!$E$26)</f>
        <v>270</v>
      </c>
      <c r="AL364" s="73" t="n">
        <f aca="false">(AL$357+1-YEAR(Inputs!$E$26))*Months_In_Year-MONTH(Inputs!$E$26)</f>
        <v>282</v>
      </c>
      <c r="AM364" s="73" t="n">
        <f aca="false">(AM$357+1-YEAR(Inputs!$E$26))*Months_In_Year-MONTH(Inputs!$E$26)</f>
        <v>294</v>
      </c>
      <c r="AN364" s="73" t="n">
        <f aca="false">(AN$357+1-YEAR(Inputs!$E$26))*Months_In_Year-MONTH(Inputs!$E$26)</f>
        <v>306</v>
      </c>
      <c r="AO364" s="73" t="n">
        <f aca="false">(AO$357+1-YEAR(Inputs!$E$26))*Months_In_Year-MONTH(Inputs!$E$26)</f>
        <v>318</v>
      </c>
      <c r="AP364" s="73" t="n">
        <f aca="false">(AP$357+1-YEAR(Inputs!$E$26))*Months_In_Year-MONTH(Inputs!$E$26)</f>
        <v>330</v>
      </c>
      <c r="AQ364" s="73" t="n">
        <f aca="false">(AQ$357+1-YEAR(Inputs!$E$26))*Months_In_Year-MONTH(Inputs!$E$26)</f>
        <v>342</v>
      </c>
      <c r="AR364" s="73" t="n">
        <f aca="false">(AR$357+1-YEAR(Inputs!$E$26))*Months_In_Year-MONTH(Inputs!$E$26)</f>
        <v>354</v>
      </c>
      <c r="AS364" s="73" t="n">
        <f aca="false">(AS$357+1-YEAR(Inputs!$E$26))*Months_In_Year-MONTH(Inputs!$E$26)</f>
        <v>366</v>
      </c>
    </row>
    <row r="365" customFormat="false" ht="14.25" hidden="false" customHeight="false" outlineLevel="0" collapsed="false">
      <c r="C365" s="6" t="s">
        <v>295</v>
      </c>
      <c r="D365" s="2" t="s">
        <v>12</v>
      </c>
      <c r="H365" s="74" t="n">
        <f aca="false">SUM(J365:AS365)</f>
        <v>30</v>
      </c>
      <c r="J365" s="48" t="n">
        <f aca="false">MAX(0,MIN(J364,$E364)-MAX(J364-Months_In_Year,0))/Months_In_Year</f>
        <v>0</v>
      </c>
      <c r="K365" s="48" t="n">
        <f aca="false">MAX(0,MIN(K364,$E364)-MAX(K364-Months_In_Year,0))/Months_In_Year</f>
        <v>0</v>
      </c>
      <c r="L365" s="48" t="n">
        <f aca="false">MAX(0,MIN(L364,$E364)-MAX(L364-Months_In_Year,0))/Months_In_Year</f>
        <v>0</v>
      </c>
      <c r="M365" s="48" t="n">
        <f aca="false">MAX(0,MIN(M364,$E364)-MAX(M364-Months_In_Year,0))/Months_In_Year</f>
        <v>0</v>
      </c>
      <c r="N365" s="48" t="n">
        <f aca="false">MAX(0,MIN(N364,$E364)-MAX(N364-Months_In_Year,0))/Months_In_Year</f>
        <v>0</v>
      </c>
      <c r="O365" s="48" t="n">
        <f aca="false">MAX(0,MIN(O364,$E364)-MAX(O364-Months_In_Year,0))/Months_In_Year</f>
        <v>0.5</v>
      </c>
      <c r="P365" s="48" t="n">
        <f aca="false">MAX(0,MIN(P364,$E364)-MAX(P364-Months_In_Year,0))/Months_In_Year</f>
        <v>1</v>
      </c>
      <c r="Q365" s="48" t="n">
        <f aca="false">MAX(0,MIN(Q364,$E364)-MAX(Q364-Months_In_Year,0))/Months_In_Year</f>
        <v>1</v>
      </c>
      <c r="R365" s="48" t="n">
        <f aca="false">MAX(0,MIN(R364,$E364)-MAX(R364-Months_In_Year,0))/Months_In_Year</f>
        <v>1</v>
      </c>
      <c r="S365" s="48" t="n">
        <f aca="false">MAX(0,MIN(S364,$E364)-MAX(S364-Months_In_Year,0))/Months_In_Year</f>
        <v>1</v>
      </c>
      <c r="T365" s="48" t="n">
        <f aca="false">MAX(0,MIN(T364,$E364)-MAX(T364-Months_In_Year,0))/Months_In_Year</f>
        <v>1</v>
      </c>
      <c r="U365" s="48" t="n">
        <f aca="false">MAX(0,MIN(U364,$E364)-MAX(U364-Months_In_Year,0))/Months_In_Year</f>
        <v>1</v>
      </c>
      <c r="V365" s="48" t="n">
        <f aca="false">MAX(0,MIN(V364,$E364)-MAX(V364-Months_In_Year,0))/Months_In_Year</f>
        <v>1</v>
      </c>
      <c r="W365" s="48" t="n">
        <f aca="false">MAX(0,MIN(W364,$E364)-MAX(W364-Months_In_Year,0))/Months_In_Year</f>
        <v>1</v>
      </c>
      <c r="X365" s="48" t="n">
        <f aca="false">MAX(0,MIN(X364,$E364)-MAX(X364-Months_In_Year,0))/Months_In_Year</f>
        <v>1</v>
      </c>
      <c r="Y365" s="48" t="n">
        <f aca="false">MAX(0,MIN(Y364,$E364)-MAX(Y364-Months_In_Year,0))/Months_In_Year</f>
        <v>1</v>
      </c>
      <c r="Z365" s="48" t="n">
        <f aca="false">MAX(0,MIN(Z364,$E364)-MAX(Z364-Months_In_Year,0))/Months_In_Year</f>
        <v>1</v>
      </c>
      <c r="AA365" s="48" t="n">
        <f aca="false">MAX(0,MIN(AA364,$E364)-MAX(AA364-Months_In_Year,0))/Months_In_Year</f>
        <v>1</v>
      </c>
      <c r="AB365" s="48" t="n">
        <f aca="false">MAX(0,MIN(AB364,$E364)-MAX(AB364-Months_In_Year,0))/Months_In_Year</f>
        <v>1</v>
      </c>
      <c r="AC365" s="48" t="n">
        <f aca="false">MAX(0,MIN(AC364,$E364)-MAX(AC364-Months_In_Year,0))/Months_In_Year</f>
        <v>1</v>
      </c>
      <c r="AD365" s="48" t="n">
        <f aca="false">MAX(0,MIN(AD364,$E364)-MAX(AD364-Months_In_Year,0))/Months_In_Year</f>
        <v>1</v>
      </c>
      <c r="AE365" s="48" t="n">
        <f aca="false">MAX(0,MIN(AE364,$E364)-MAX(AE364-Months_In_Year,0))/Months_In_Year</f>
        <v>1</v>
      </c>
      <c r="AF365" s="48" t="n">
        <f aca="false">MAX(0,MIN(AF364,$E364)-MAX(AF364-Months_In_Year,0))/Months_In_Year</f>
        <v>1</v>
      </c>
      <c r="AG365" s="48" t="n">
        <f aca="false">MAX(0,MIN(AG364,$E364)-MAX(AG364-Months_In_Year,0))/Months_In_Year</f>
        <v>1</v>
      </c>
      <c r="AH365" s="48" t="n">
        <f aca="false">MAX(0,MIN(AH364,$E364)-MAX(AH364-Months_In_Year,0))/Months_In_Year</f>
        <v>1</v>
      </c>
      <c r="AI365" s="48" t="n">
        <f aca="false">MAX(0,MIN(AI364,$E364)-MAX(AI364-Months_In_Year,0))/Months_In_Year</f>
        <v>1</v>
      </c>
      <c r="AJ365" s="48" t="n">
        <f aca="false">MAX(0,MIN(AJ364,$E364)-MAX(AJ364-Months_In_Year,0))/Months_In_Year</f>
        <v>1</v>
      </c>
      <c r="AK365" s="48" t="n">
        <f aca="false">MAX(0,MIN(AK364,$E364)-MAX(AK364-Months_In_Year,0))/Months_In_Year</f>
        <v>1</v>
      </c>
      <c r="AL365" s="48" t="n">
        <f aca="false">MAX(0,MIN(AL364,$E364)-MAX(AL364-Months_In_Year,0))/Months_In_Year</f>
        <v>1</v>
      </c>
      <c r="AM365" s="48" t="n">
        <f aca="false">MAX(0,MIN(AM364,$E364)-MAX(AM364-Months_In_Year,0))/Months_In_Year</f>
        <v>1</v>
      </c>
      <c r="AN365" s="48" t="n">
        <f aca="false">MAX(0,MIN(AN364,$E364)-MAX(AN364-Months_In_Year,0))/Months_In_Year</f>
        <v>1</v>
      </c>
      <c r="AO365" s="48" t="n">
        <f aca="false">MAX(0,MIN(AO364,$E364)-MAX(AO364-Months_In_Year,0))/Months_In_Year</f>
        <v>1</v>
      </c>
      <c r="AP365" s="48" t="n">
        <f aca="false">MAX(0,MIN(AP364,$E364)-MAX(AP364-Months_In_Year,0))/Months_In_Year</f>
        <v>1</v>
      </c>
      <c r="AQ365" s="48" t="n">
        <f aca="false">MAX(0,MIN(AQ364,$E364)-MAX(AQ364-Months_In_Year,0))/Months_In_Year</f>
        <v>1</v>
      </c>
      <c r="AR365" s="48" t="n">
        <f aca="false">MAX(0,MIN(AR364,$E364)-MAX(AR364-Months_In_Year,0))/Months_In_Year</f>
        <v>1</v>
      </c>
      <c r="AS365" s="48" t="n">
        <f aca="false">MAX(0,MIN(AS364,$E364)-MAX(AS364-Months_In_Year,0))/Months_In_Year</f>
        <v>0.5</v>
      </c>
    </row>
    <row r="366" customFormat="false" ht="14.25" hidden="false" customHeight="false" outlineLevel="0" collapsed="false">
      <c r="C366" s="6" t="s">
        <v>296</v>
      </c>
      <c r="D366" s="2" t="s">
        <v>2</v>
      </c>
      <c r="J366" s="75" t="n">
        <f aca="false">N(J361=0)</f>
        <v>0</v>
      </c>
      <c r="K366" s="75" t="n">
        <f aca="false">N(K361=0)</f>
        <v>0</v>
      </c>
      <c r="L366" s="75" t="n">
        <f aca="false">N(L361=0)</f>
        <v>0</v>
      </c>
      <c r="M366" s="75" t="n">
        <f aca="false">N(M361=0)</f>
        <v>0</v>
      </c>
      <c r="N366" s="75" t="n">
        <f aca="false">N(N361=0)</f>
        <v>0</v>
      </c>
      <c r="O366" s="75" t="n">
        <f aca="false">N(O361=0)</f>
        <v>1</v>
      </c>
      <c r="P366" s="75" t="n">
        <f aca="false">N(P361=0)</f>
        <v>0</v>
      </c>
      <c r="Q366" s="75" t="n">
        <f aca="false">N(Q361=0)</f>
        <v>0</v>
      </c>
      <c r="R366" s="75" t="n">
        <f aca="false">N(R361=0)</f>
        <v>0</v>
      </c>
      <c r="S366" s="75" t="n">
        <f aca="false">N(S361=0)</f>
        <v>0</v>
      </c>
      <c r="T366" s="75" t="n">
        <f aca="false">N(T361=0)</f>
        <v>0</v>
      </c>
      <c r="U366" s="75" t="n">
        <f aca="false">N(U361=0)</f>
        <v>0</v>
      </c>
      <c r="V366" s="75" t="n">
        <f aca="false">N(V361=0)</f>
        <v>0</v>
      </c>
      <c r="W366" s="75" t="n">
        <f aca="false">N(W361=0)</f>
        <v>0</v>
      </c>
      <c r="X366" s="75" t="n">
        <f aca="false">N(X361=0)</f>
        <v>0</v>
      </c>
      <c r="Y366" s="75" t="n">
        <f aca="false">N(Y361=0)</f>
        <v>0</v>
      </c>
      <c r="Z366" s="75" t="n">
        <f aca="false">N(Z361=0)</f>
        <v>0</v>
      </c>
      <c r="AA366" s="75" t="n">
        <f aca="false">N(AA361=0)</f>
        <v>0</v>
      </c>
      <c r="AB366" s="75" t="n">
        <f aca="false">N(AB361=0)</f>
        <v>0</v>
      </c>
      <c r="AC366" s="75" t="n">
        <f aca="false">N(AC361=0)</f>
        <v>0</v>
      </c>
      <c r="AD366" s="75" t="n">
        <f aca="false">N(AD361=0)</f>
        <v>0</v>
      </c>
      <c r="AE366" s="75" t="n">
        <f aca="false">N(AE361=0)</f>
        <v>0</v>
      </c>
      <c r="AF366" s="75" t="n">
        <f aca="false">N(AF361=0)</f>
        <v>0</v>
      </c>
      <c r="AG366" s="75" t="n">
        <f aca="false">N(AG361=0)</f>
        <v>0</v>
      </c>
      <c r="AH366" s="75" t="n">
        <f aca="false">N(AH361=0)</f>
        <v>0</v>
      </c>
      <c r="AI366" s="75" t="n">
        <f aca="false">N(AI361=0)</f>
        <v>0</v>
      </c>
      <c r="AJ366" s="75" t="n">
        <f aca="false">N(AJ361=0)</f>
        <v>0</v>
      </c>
      <c r="AK366" s="75" t="n">
        <f aca="false">N(AK361=0)</f>
        <v>0</v>
      </c>
      <c r="AL366" s="75" t="n">
        <f aca="false">N(AL361=0)</f>
        <v>0</v>
      </c>
      <c r="AM366" s="75" t="n">
        <f aca="false">N(AM361=0)</f>
        <v>0</v>
      </c>
      <c r="AN366" s="75" t="n">
        <f aca="false">N(AN361=0)</f>
        <v>0</v>
      </c>
      <c r="AO366" s="75" t="n">
        <f aca="false">N(AO361=0)</f>
        <v>0</v>
      </c>
      <c r="AP366" s="75" t="n">
        <f aca="false">N(AP361=0)</f>
        <v>0</v>
      </c>
      <c r="AQ366" s="75" t="n">
        <f aca="false">N(AQ361=0)</f>
        <v>0</v>
      </c>
      <c r="AR366" s="75" t="n">
        <f aca="false">N(AR361=0)</f>
        <v>0</v>
      </c>
      <c r="AS366" s="75" t="n">
        <f aca="false">N(AS361=0)</f>
        <v>0</v>
      </c>
    </row>
    <row r="367" customFormat="false" ht="14.25" hidden="false" customHeight="false" outlineLevel="0" collapsed="false">
      <c r="C367" s="6" t="s">
        <v>297</v>
      </c>
      <c r="D367" s="2" t="s">
        <v>85</v>
      </c>
      <c r="H367" s="8" t="n">
        <f aca="false">SUM(J367:AS367)</f>
        <v>-20256.3995260274</v>
      </c>
      <c r="J367" s="8" t="n">
        <f aca="false">-($E$98+$E$68+$E$62+$E$63+$E$92)*(J$357=YEAR(Sale_Date))</f>
        <v>-0</v>
      </c>
      <c r="K367" s="8" t="n">
        <f aca="false">-($E$98+$E$68+$E$62+$E$63+$E$92)*(K$357=YEAR(Sale_Date))</f>
        <v>-0</v>
      </c>
      <c r="L367" s="8" t="n">
        <f aca="false">-($E$98+$E$68+$E$62+$E$63+$E$92)*(L$357=YEAR(Sale_Date))</f>
        <v>-0</v>
      </c>
      <c r="M367" s="8" t="n">
        <f aca="false">-($E$98+$E$68+$E$62+$E$63+$E$92)*(M$357=YEAR(Sale_Date))</f>
        <v>-20256.3995260274</v>
      </c>
      <c r="N367" s="8" t="n">
        <f aca="false">-($E$98+$E$68+$E$62+$E$63+$E$92)*(N$357=YEAR(Sale_Date))</f>
        <v>-0</v>
      </c>
      <c r="O367" s="8" t="n">
        <f aca="false">-($E$98+$E$68+$E$62+$E$63+$E$92)*(O$357=YEAR(Sale_Date))</f>
        <v>-0</v>
      </c>
      <c r="P367" s="8" t="n">
        <f aca="false">-($E$98+$E$68+$E$62+$E$63+$E$92)*(P$357=YEAR(Sale_Date))</f>
        <v>-0</v>
      </c>
      <c r="Q367" s="8" t="n">
        <f aca="false">-($E$98+$E$68+$E$62+$E$63+$E$92)*(Q$357=YEAR(Sale_Date))</f>
        <v>-0</v>
      </c>
      <c r="R367" s="8" t="n">
        <f aca="false">-($E$98+$E$68+$E$62+$E$63+$E$92)*(R$357=YEAR(Sale_Date))</f>
        <v>-0</v>
      </c>
      <c r="S367" s="8" t="n">
        <f aca="false">-($E$98+$E$68+$E$62+$E$63+$E$92)*(S$357=YEAR(Sale_Date))</f>
        <v>-0</v>
      </c>
      <c r="T367" s="8" t="n">
        <f aca="false">-($E$98+$E$68+$E$62+$E$63+$E$92)*(T$357=YEAR(Sale_Date))</f>
        <v>-0</v>
      </c>
      <c r="U367" s="8" t="n">
        <f aca="false">-($E$98+$E$68+$E$62+$E$63+$E$92)*(U$357=YEAR(Sale_Date))</f>
        <v>-0</v>
      </c>
      <c r="V367" s="8" t="n">
        <f aca="false">-($E$98+$E$68+$E$62+$E$63+$E$92)*(V$357=YEAR(Sale_Date))</f>
        <v>-0</v>
      </c>
      <c r="W367" s="8" t="n">
        <f aca="false">-($E$98+$E$68+$E$62+$E$63+$E$92)*(W$357=YEAR(Sale_Date))</f>
        <v>-0</v>
      </c>
      <c r="X367" s="8" t="n">
        <f aca="false">-($E$98+$E$68+$E$62+$E$63+$E$92)*(X$357=YEAR(Sale_Date))</f>
        <v>-0</v>
      </c>
      <c r="Y367" s="8" t="n">
        <f aca="false">-($E$98+$E$68+$E$62+$E$63+$E$92)*(Y$357=YEAR(Sale_Date))</f>
        <v>-0</v>
      </c>
      <c r="Z367" s="8" t="n">
        <f aca="false">-($E$98+$E$68+$E$62+$E$63+$E$92)*(Z$357=YEAR(Sale_Date))</f>
        <v>-0</v>
      </c>
      <c r="AA367" s="8" t="n">
        <f aca="false">-($E$98+$E$68+$E$62+$E$63+$E$92)*(AA$357=YEAR(Sale_Date))</f>
        <v>-0</v>
      </c>
      <c r="AB367" s="8" t="n">
        <f aca="false">-($E$98+$E$68+$E$62+$E$63+$E$92)*(AB$357=YEAR(Sale_Date))</f>
        <v>-0</v>
      </c>
      <c r="AC367" s="8" t="n">
        <f aca="false">-($E$98+$E$68+$E$62+$E$63+$E$92)*(AC$357=YEAR(Sale_Date))</f>
        <v>-0</v>
      </c>
      <c r="AD367" s="8" t="n">
        <f aca="false">-($E$98+$E$68+$E$62+$E$63+$E$92)*(AD$357=YEAR(Sale_Date))</f>
        <v>-0</v>
      </c>
      <c r="AE367" s="8" t="n">
        <f aca="false">-($E$98+$E$68+$E$62+$E$63+$E$92)*(AE$357=YEAR(Sale_Date))</f>
        <v>-0</v>
      </c>
      <c r="AF367" s="8" t="n">
        <f aca="false">-($E$98+$E$68+$E$62+$E$63+$E$92)*(AF$357=YEAR(Sale_Date))</f>
        <v>-0</v>
      </c>
      <c r="AG367" s="8" t="n">
        <f aca="false">-($E$98+$E$68+$E$62+$E$63+$E$92)*(AG$357=YEAR(Sale_Date))</f>
        <v>-0</v>
      </c>
      <c r="AH367" s="8" t="n">
        <f aca="false">-($E$98+$E$68+$E$62+$E$63+$E$92)*(AH$357=YEAR(Sale_Date))</f>
        <v>-0</v>
      </c>
      <c r="AI367" s="8" t="n">
        <f aca="false">-($E$98+$E$68+$E$62+$E$63+$E$92)*(AI$357=YEAR(Sale_Date))</f>
        <v>-0</v>
      </c>
      <c r="AJ367" s="8" t="n">
        <f aca="false">-($E$98+$E$68+$E$62+$E$63+$E$92)*(AJ$357=YEAR(Sale_Date))</f>
        <v>-0</v>
      </c>
      <c r="AK367" s="8" t="n">
        <f aca="false">-($E$98+$E$68+$E$62+$E$63+$E$92)*(AK$357=YEAR(Sale_Date))</f>
        <v>-0</v>
      </c>
      <c r="AL367" s="8" t="n">
        <f aca="false">-($E$98+$E$68+$E$62+$E$63+$E$92)*(AL$357=YEAR(Sale_Date))</f>
        <v>-0</v>
      </c>
      <c r="AM367" s="8" t="n">
        <f aca="false">-($E$98+$E$68+$E$62+$E$63+$E$92)*(AM$357=YEAR(Sale_Date))</f>
        <v>-0</v>
      </c>
      <c r="AN367" s="8" t="n">
        <f aca="false">-($E$98+$E$68+$E$62+$E$63+$E$92)*(AN$357=YEAR(Sale_Date))</f>
        <v>-0</v>
      </c>
      <c r="AO367" s="8" t="n">
        <f aca="false">-($E$98+$E$68+$E$62+$E$63+$E$92)*(AO$357=YEAR(Sale_Date))</f>
        <v>-0</v>
      </c>
      <c r="AP367" s="8" t="n">
        <f aca="false">-($E$98+$E$68+$E$62+$E$63+$E$92)*(AP$357=YEAR(Sale_Date))</f>
        <v>-0</v>
      </c>
      <c r="AQ367" s="8" t="n">
        <f aca="false">-($E$98+$E$68+$E$62+$E$63+$E$92)*(AQ$357=YEAR(Sale_Date))</f>
        <v>-0</v>
      </c>
      <c r="AR367" s="8" t="n">
        <f aca="false">-($E$98+$E$68+$E$62+$E$63+$E$92)*(AR$357=YEAR(Sale_Date))</f>
        <v>-0</v>
      </c>
      <c r="AS367" s="8" t="n">
        <f aca="false">-($E$98+$E$68+$E$62+$E$63+$E$92)*(AS$357=YEAR(Sale_Date))</f>
        <v>-0</v>
      </c>
    </row>
    <row r="368" customFormat="false" ht="14.25" hidden="false" customHeight="false" outlineLevel="0" collapsed="false">
      <c r="C368" s="6" t="s">
        <v>298</v>
      </c>
      <c r="D368" s="2" t="s">
        <v>85</v>
      </c>
      <c r="H368" s="8" t="n">
        <f aca="false">SUM(J368:AS368)</f>
        <v>1942.46575342466</v>
      </c>
      <c r="J368" s="8" t="n">
        <f aca="false">($E$62+$E$63)*(J$357=YEAR(Inputs!$E$27))</f>
        <v>0</v>
      </c>
      <c r="K368" s="8" t="n">
        <f aca="false">($E$62+$E$63)*(K$357=YEAR(Inputs!$E$27))</f>
        <v>0</v>
      </c>
      <c r="L368" s="8" t="n">
        <f aca="false">($E$62+$E$63)*(L$357=YEAR(Inputs!$E$27))</f>
        <v>0</v>
      </c>
      <c r="M368" s="8" t="n">
        <f aca="false">($E$62+$E$63)*(M$357=YEAR(Inputs!$E$27))</f>
        <v>0</v>
      </c>
      <c r="N368" s="8" t="n">
        <f aca="false">($E$62+$E$63)*(N$357=YEAR(Inputs!$E$27))</f>
        <v>0</v>
      </c>
      <c r="O368" s="8" t="n">
        <f aca="false">($E$62+$E$63)*(O$357=YEAR(Inputs!$E$27))</f>
        <v>0</v>
      </c>
      <c r="P368" s="8" t="n">
        <f aca="false">($E$62+$E$63)*(P$357=YEAR(Inputs!$E$27))</f>
        <v>0</v>
      </c>
      <c r="Q368" s="8" t="n">
        <f aca="false">($E$62+$E$63)*(Q$357=YEAR(Inputs!$E$27))</f>
        <v>1942.46575342466</v>
      </c>
      <c r="R368" s="8" t="n">
        <f aca="false">($E$62+$E$63)*(R$357=YEAR(Inputs!$E$27))</f>
        <v>0</v>
      </c>
      <c r="S368" s="8" t="n">
        <f aca="false">($E$62+$E$63)*(S$357=YEAR(Inputs!$E$27))</f>
        <v>0</v>
      </c>
      <c r="T368" s="8" t="n">
        <f aca="false">($E$62+$E$63)*(T$357=YEAR(Inputs!$E$27))</f>
        <v>0</v>
      </c>
      <c r="U368" s="8" t="n">
        <f aca="false">($E$62+$E$63)*(U$357=YEAR(Inputs!$E$27))</f>
        <v>0</v>
      </c>
      <c r="V368" s="8" t="n">
        <f aca="false">($E$62+$E$63)*(V$357=YEAR(Inputs!$E$27))</f>
        <v>0</v>
      </c>
      <c r="W368" s="8" t="n">
        <f aca="false">($E$62+$E$63)*(W$357=YEAR(Inputs!$E$27))</f>
        <v>0</v>
      </c>
      <c r="X368" s="8" t="n">
        <f aca="false">($E$62+$E$63)*(X$357=YEAR(Inputs!$E$27))</f>
        <v>0</v>
      </c>
      <c r="Y368" s="8" t="n">
        <f aca="false">($E$62+$E$63)*(Y$357=YEAR(Inputs!$E$27))</f>
        <v>0</v>
      </c>
      <c r="Z368" s="8" t="n">
        <f aca="false">($E$62+$E$63)*(Z$357=YEAR(Inputs!$E$27))</f>
        <v>0</v>
      </c>
      <c r="AA368" s="8" t="n">
        <f aca="false">($E$62+$E$63)*(AA$357=YEAR(Inputs!$E$27))</f>
        <v>0</v>
      </c>
      <c r="AB368" s="8" t="n">
        <f aca="false">($E$62+$E$63)*(AB$357=YEAR(Inputs!$E$27))</f>
        <v>0</v>
      </c>
      <c r="AC368" s="8" t="n">
        <f aca="false">($E$62+$E$63)*(AC$357=YEAR(Inputs!$E$27))</f>
        <v>0</v>
      </c>
      <c r="AD368" s="8" t="n">
        <f aca="false">($E$62+$E$63)*(AD$357=YEAR(Inputs!$E$27))</f>
        <v>0</v>
      </c>
      <c r="AE368" s="8" t="n">
        <f aca="false">($E$62+$E$63)*(AE$357=YEAR(Inputs!$E$27))</f>
        <v>0</v>
      </c>
      <c r="AF368" s="8" t="n">
        <f aca="false">($E$62+$E$63)*(AF$357=YEAR(Inputs!$E$27))</f>
        <v>0</v>
      </c>
      <c r="AG368" s="8" t="n">
        <f aca="false">($E$62+$E$63)*(AG$357=YEAR(Inputs!$E$27))</f>
        <v>0</v>
      </c>
      <c r="AH368" s="8" t="n">
        <f aca="false">($E$62+$E$63)*(AH$357=YEAR(Inputs!$E$27))</f>
        <v>0</v>
      </c>
      <c r="AI368" s="8" t="n">
        <f aca="false">($E$62+$E$63)*(AI$357=YEAR(Inputs!$E$27))</f>
        <v>0</v>
      </c>
      <c r="AJ368" s="8" t="n">
        <f aca="false">($E$62+$E$63)*(AJ$357=YEAR(Inputs!$E$27))</f>
        <v>0</v>
      </c>
      <c r="AK368" s="8" t="n">
        <f aca="false">($E$62+$E$63)*(AK$357=YEAR(Inputs!$E$27))</f>
        <v>0</v>
      </c>
      <c r="AL368" s="8" t="n">
        <f aca="false">($E$62+$E$63)*(AL$357=YEAR(Inputs!$E$27))</f>
        <v>0</v>
      </c>
      <c r="AM368" s="8" t="n">
        <f aca="false">($E$62+$E$63)*(AM$357=YEAR(Inputs!$E$27))</f>
        <v>0</v>
      </c>
      <c r="AN368" s="8" t="n">
        <f aca="false">($E$62+$E$63)*(AN$357=YEAR(Inputs!$E$27))</f>
        <v>0</v>
      </c>
      <c r="AO368" s="8" t="n">
        <f aca="false">($E$62+$E$63)*(AO$357=YEAR(Inputs!$E$27))</f>
        <v>0</v>
      </c>
      <c r="AP368" s="8" t="n">
        <f aca="false">($E$62+$E$63)*(AP$357=YEAR(Inputs!$E$27))</f>
        <v>0</v>
      </c>
      <c r="AQ368" s="8" t="n">
        <f aca="false">($E$62+$E$63)*(AQ$357=YEAR(Inputs!$E$27))</f>
        <v>0</v>
      </c>
      <c r="AR368" s="8" t="n">
        <f aca="false">($E$62+$E$63)*(AR$357=YEAR(Inputs!$E$27))</f>
        <v>0</v>
      </c>
      <c r="AS368" s="8" t="n">
        <f aca="false">($E$62+$E$63)*(AS$357=YEAR(Inputs!$E$27))</f>
        <v>0</v>
      </c>
    </row>
    <row r="369" customFormat="false" ht="14.25" hidden="false" customHeight="false" outlineLevel="0" collapsed="false">
      <c r="C369" s="6" t="s">
        <v>299</v>
      </c>
      <c r="D369" s="2" t="s">
        <v>85</v>
      </c>
      <c r="H369" s="8" t="n">
        <f aca="false">SUM(J369:AS369)</f>
        <v>-52778</v>
      </c>
      <c r="J369" s="8" t="n">
        <f aca="false">-$E$91*J363</f>
        <v>-0</v>
      </c>
      <c r="K369" s="8" t="n">
        <f aca="false">-$E$91*K363</f>
        <v>-0</v>
      </c>
      <c r="L369" s="8" t="n">
        <f aca="false">-$E$91*L363</f>
        <v>-0</v>
      </c>
      <c r="M369" s="8" t="n">
        <f aca="false">-$E$91*M363</f>
        <v>-13194.5</v>
      </c>
      <c r="N369" s="8" t="n">
        <f aca="false">-$E$91*N363</f>
        <v>-26389</v>
      </c>
      <c r="O369" s="8" t="n">
        <f aca="false">-$E$91*O363</f>
        <v>-13194.5</v>
      </c>
      <c r="P369" s="8" t="n">
        <f aca="false">-$E$91*P363</f>
        <v>-0</v>
      </c>
      <c r="Q369" s="8" t="n">
        <f aca="false">-$E$91*Q363</f>
        <v>-0</v>
      </c>
      <c r="R369" s="8" t="n">
        <f aca="false">-$E$91*R363</f>
        <v>-0</v>
      </c>
      <c r="S369" s="8" t="n">
        <f aca="false">-$E$91*S363</f>
        <v>-0</v>
      </c>
      <c r="T369" s="8" t="n">
        <f aca="false">-$E$91*T363</f>
        <v>-0</v>
      </c>
      <c r="U369" s="8" t="n">
        <f aca="false">-$E$91*U363</f>
        <v>-0</v>
      </c>
      <c r="V369" s="8" t="n">
        <f aca="false">-$E$91*V363</f>
        <v>-0</v>
      </c>
      <c r="W369" s="8" t="n">
        <f aca="false">-$E$91*W363</f>
        <v>-0</v>
      </c>
      <c r="X369" s="8" t="n">
        <f aca="false">-$E$91*X363</f>
        <v>-0</v>
      </c>
      <c r="Y369" s="8" t="n">
        <f aca="false">-$E$91*Y363</f>
        <v>-0</v>
      </c>
      <c r="Z369" s="8" t="n">
        <f aca="false">-$E$91*Z363</f>
        <v>-0</v>
      </c>
      <c r="AA369" s="8" t="n">
        <f aca="false">-$E$91*AA363</f>
        <v>-0</v>
      </c>
      <c r="AB369" s="8" t="n">
        <f aca="false">-$E$91*AB363</f>
        <v>-0</v>
      </c>
      <c r="AC369" s="8" t="n">
        <f aca="false">-$E$91*AC363</f>
        <v>-0</v>
      </c>
      <c r="AD369" s="8" t="n">
        <f aca="false">-$E$91*AD363</f>
        <v>-0</v>
      </c>
      <c r="AE369" s="8" t="n">
        <f aca="false">-$E$91*AE363</f>
        <v>-0</v>
      </c>
      <c r="AF369" s="8" t="n">
        <f aca="false">-$E$91*AF363</f>
        <v>-0</v>
      </c>
      <c r="AG369" s="8" t="n">
        <f aca="false">-$E$91*AG363</f>
        <v>-0</v>
      </c>
      <c r="AH369" s="8" t="n">
        <f aca="false">-$E$91*AH363</f>
        <v>-0</v>
      </c>
      <c r="AI369" s="8" t="n">
        <f aca="false">-$E$91*AI363</f>
        <v>-0</v>
      </c>
      <c r="AJ369" s="8" t="n">
        <f aca="false">-$E$91*AJ363</f>
        <v>-0</v>
      </c>
      <c r="AK369" s="8" t="n">
        <f aca="false">-$E$91*AK363</f>
        <v>-0</v>
      </c>
      <c r="AL369" s="8" t="n">
        <f aca="false">-$E$91*AL363</f>
        <v>-0</v>
      </c>
      <c r="AM369" s="8" t="n">
        <f aca="false">-$E$91*AM363</f>
        <v>-0</v>
      </c>
      <c r="AN369" s="8" t="n">
        <f aca="false">-$E$91*AN363</f>
        <v>-0</v>
      </c>
      <c r="AO369" s="8" t="n">
        <f aca="false">-$E$91*AO363</f>
        <v>-0</v>
      </c>
      <c r="AP369" s="8" t="n">
        <f aca="false">-$E$91*AP363</f>
        <v>-0</v>
      </c>
      <c r="AQ369" s="8" t="n">
        <f aca="false">-$E$91*AQ363</f>
        <v>-0</v>
      </c>
      <c r="AR369" s="8" t="n">
        <f aca="false">-$E$91*AR363</f>
        <v>-0</v>
      </c>
      <c r="AS369" s="8" t="n">
        <f aca="false">-$E$91*AS363</f>
        <v>-0</v>
      </c>
    </row>
    <row r="370" customFormat="false" ht="14.25" hidden="false" customHeight="false" outlineLevel="0" collapsed="false">
      <c r="C370" s="6" t="s">
        <v>300</v>
      </c>
      <c r="D370" s="2" t="s">
        <v>85</v>
      </c>
      <c r="H370" s="8" t="n">
        <f aca="false">SUM(J370:AS370)</f>
        <v>-1000</v>
      </c>
      <c r="J370" s="8" t="n">
        <f aca="false">-$E$96*J366</f>
        <v>-0</v>
      </c>
      <c r="K370" s="8" t="n">
        <f aca="false">-$E$96*K366</f>
        <v>-0</v>
      </c>
      <c r="L370" s="8" t="n">
        <f aca="false">-$E$96*L366</f>
        <v>-0</v>
      </c>
      <c r="M370" s="8" t="n">
        <f aca="false">-$E$96*M366</f>
        <v>-0</v>
      </c>
      <c r="N370" s="8" t="n">
        <f aca="false">-$E$96*N366</f>
        <v>-0</v>
      </c>
      <c r="O370" s="8" t="n">
        <f aca="false">-$E$96*O366</f>
        <v>-1000</v>
      </c>
      <c r="P370" s="8" t="n">
        <f aca="false">-$E$96*P366</f>
        <v>-0</v>
      </c>
      <c r="Q370" s="8" t="n">
        <f aca="false">-$E$96*Q366</f>
        <v>-0</v>
      </c>
      <c r="R370" s="8" t="n">
        <f aca="false">-$E$96*R366</f>
        <v>-0</v>
      </c>
      <c r="S370" s="8" t="n">
        <f aca="false">-$E$96*S366</f>
        <v>-0</v>
      </c>
      <c r="T370" s="8" t="n">
        <f aca="false">-$E$96*T366</f>
        <v>-0</v>
      </c>
      <c r="U370" s="8" t="n">
        <f aca="false">-$E$96*U366</f>
        <v>-0</v>
      </c>
      <c r="V370" s="8" t="n">
        <f aca="false">-$E$96*V366</f>
        <v>-0</v>
      </c>
      <c r="W370" s="8" t="n">
        <f aca="false">-$E$96*W366</f>
        <v>-0</v>
      </c>
      <c r="X370" s="8" t="n">
        <f aca="false">-$E$96*X366</f>
        <v>-0</v>
      </c>
      <c r="Y370" s="8" t="n">
        <f aca="false">-$E$96*Y366</f>
        <v>-0</v>
      </c>
      <c r="Z370" s="8" t="n">
        <f aca="false">-$E$96*Z366</f>
        <v>-0</v>
      </c>
      <c r="AA370" s="8" t="n">
        <f aca="false">-$E$96*AA366</f>
        <v>-0</v>
      </c>
      <c r="AB370" s="8" t="n">
        <f aca="false">-$E$96*AB366</f>
        <v>-0</v>
      </c>
      <c r="AC370" s="8" t="n">
        <f aca="false">-$E$96*AC366</f>
        <v>-0</v>
      </c>
      <c r="AD370" s="8" t="n">
        <f aca="false">-$E$96*AD366</f>
        <v>-0</v>
      </c>
      <c r="AE370" s="8" t="n">
        <f aca="false">-$E$96*AE366</f>
        <v>-0</v>
      </c>
      <c r="AF370" s="8" t="n">
        <f aca="false">-$E$96*AF366</f>
        <v>-0</v>
      </c>
      <c r="AG370" s="8" t="n">
        <f aca="false">-$E$96*AG366</f>
        <v>-0</v>
      </c>
      <c r="AH370" s="8" t="n">
        <f aca="false">-$E$96*AH366</f>
        <v>-0</v>
      </c>
      <c r="AI370" s="8" t="n">
        <f aca="false">-$E$96*AI366</f>
        <v>-0</v>
      </c>
      <c r="AJ370" s="8" t="n">
        <f aca="false">-$E$96*AJ366</f>
        <v>-0</v>
      </c>
      <c r="AK370" s="8" t="n">
        <f aca="false">-$E$96*AK366</f>
        <v>-0</v>
      </c>
      <c r="AL370" s="8" t="n">
        <f aca="false">-$E$96*AL366</f>
        <v>-0</v>
      </c>
      <c r="AM370" s="8" t="n">
        <f aca="false">-$E$96*AM366</f>
        <v>-0</v>
      </c>
      <c r="AN370" s="8" t="n">
        <f aca="false">-$E$96*AN366</f>
        <v>-0</v>
      </c>
      <c r="AO370" s="8" t="n">
        <f aca="false">-$E$96*AO366</f>
        <v>-0</v>
      </c>
      <c r="AP370" s="8" t="n">
        <f aca="false">-$E$96*AP366</f>
        <v>-0</v>
      </c>
      <c r="AQ370" s="8" t="n">
        <f aca="false">-$E$96*AQ366</f>
        <v>-0</v>
      </c>
      <c r="AR370" s="8" t="n">
        <f aca="false">-$E$96*AR366</f>
        <v>-0</v>
      </c>
      <c r="AS370" s="8" t="n">
        <f aca="false">-$E$96*AS366</f>
        <v>-0</v>
      </c>
    </row>
    <row r="371" customFormat="false" ht="14.25" hidden="false" customHeight="false" outlineLevel="0" collapsed="false">
      <c r="C371" s="1" t="s">
        <v>301</v>
      </c>
      <c r="D371" s="2" t="s">
        <v>85</v>
      </c>
      <c r="H371" s="15" t="n">
        <f aca="false">SUM(J371:AS371)</f>
        <v>-72091.9337726027</v>
      </c>
      <c r="J371" s="15" t="n">
        <f aca="false">SUM(J367:J370)</f>
        <v>0</v>
      </c>
      <c r="K371" s="15" t="n">
        <f aca="false">SUM(K367:K370)</f>
        <v>0</v>
      </c>
      <c r="L371" s="15" t="n">
        <f aca="false">SUM(L367:L370)</f>
        <v>0</v>
      </c>
      <c r="M371" s="15" t="n">
        <f aca="false">SUM(M367:M370)</f>
        <v>-33450.8995260274</v>
      </c>
      <c r="N371" s="15" t="n">
        <f aca="false">SUM(N367:N370)</f>
        <v>-26389</v>
      </c>
      <c r="O371" s="15" t="n">
        <f aca="false">SUM(O367:O370)</f>
        <v>-14194.5</v>
      </c>
      <c r="P371" s="15" t="n">
        <f aca="false">SUM(P367:P370)</f>
        <v>0</v>
      </c>
      <c r="Q371" s="15" t="n">
        <f aca="false">SUM(Q367:Q370)</f>
        <v>1942.46575342466</v>
      </c>
      <c r="R371" s="15" t="n">
        <f aca="false">SUM(R367:R370)</f>
        <v>0</v>
      </c>
      <c r="S371" s="15" t="n">
        <f aca="false">SUM(S367:S370)</f>
        <v>0</v>
      </c>
      <c r="T371" s="15" t="n">
        <f aca="false">SUM(T367:T370)</f>
        <v>0</v>
      </c>
      <c r="U371" s="15" t="n">
        <f aca="false">SUM(U367:U370)</f>
        <v>0</v>
      </c>
      <c r="V371" s="15" t="n">
        <f aca="false">SUM(V367:V370)</f>
        <v>0</v>
      </c>
      <c r="W371" s="15" t="n">
        <f aca="false">SUM(W367:W370)</f>
        <v>0</v>
      </c>
      <c r="X371" s="15" t="n">
        <f aca="false">SUM(X367:X370)</f>
        <v>0</v>
      </c>
      <c r="Y371" s="15" t="n">
        <f aca="false">SUM(Y367:Y370)</f>
        <v>0</v>
      </c>
      <c r="Z371" s="15" t="n">
        <f aca="false">SUM(Z367:Z370)</f>
        <v>0</v>
      </c>
      <c r="AA371" s="15" t="n">
        <f aca="false">SUM(AA367:AA370)</f>
        <v>0</v>
      </c>
      <c r="AB371" s="15" t="n">
        <f aca="false">SUM(AB367:AB370)</f>
        <v>0</v>
      </c>
      <c r="AC371" s="15" t="n">
        <f aca="false">SUM(AC367:AC370)</f>
        <v>0</v>
      </c>
      <c r="AD371" s="15" t="n">
        <f aca="false">SUM(AD367:AD370)</f>
        <v>0</v>
      </c>
      <c r="AE371" s="15" t="n">
        <f aca="false">SUM(AE367:AE370)</f>
        <v>0</v>
      </c>
      <c r="AF371" s="15" t="n">
        <f aca="false">SUM(AF367:AF370)</f>
        <v>0</v>
      </c>
      <c r="AG371" s="15" t="n">
        <f aca="false">SUM(AG367:AG370)</f>
        <v>0</v>
      </c>
      <c r="AH371" s="15" t="n">
        <f aca="false">SUM(AH367:AH370)</f>
        <v>0</v>
      </c>
      <c r="AI371" s="15" t="n">
        <f aca="false">SUM(AI367:AI370)</f>
        <v>0</v>
      </c>
      <c r="AJ371" s="15" t="n">
        <f aca="false">SUM(AJ367:AJ370)</f>
        <v>0</v>
      </c>
      <c r="AK371" s="15" t="n">
        <f aca="false">SUM(AK367:AK370)</f>
        <v>0</v>
      </c>
      <c r="AL371" s="15" t="n">
        <f aca="false">SUM(AL367:AL370)</f>
        <v>0</v>
      </c>
      <c r="AM371" s="15" t="n">
        <f aca="false">SUM(AM367:AM370)</f>
        <v>0</v>
      </c>
      <c r="AN371" s="15" t="n">
        <f aca="false">SUM(AN367:AN370)</f>
        <v>0</v>
      </c>
      <c r="AO371" s="15" t="n">
        <f aca="false">SUM(AO367:AO370)</f>
        <v>0</v>
      </c>
      <c r="AP371" s="15" t="n">
        <f aca="false">SUM(AP367:AP370)</f>
        <v>0</v>
      </c>
      <c r="AQ371" s="15" t="n">
        <f aca="false">SUM(AQ367:AQ370)</f>
        <v>0</v>
      </c>
      <c r="AR371" s="15" t="n">
        <f aca="false">SUM(AR367:AR370)</f>
        <v>0</v>
      </c>
      <c r="AS371" s="15" t="n">
        <f aca="false">SUM(AS367:AS370)</f>
        <v>0</v>
      </c>
    </row>
    <row r="372" customFormat="false" ht="14.25" hidden="false" customHeight="false" outlineLevel="0" collapsed="false">
      <c r="C372" s="6" t="s">
        <v>302</v>
      </c>
      <c r="D372" s="2" t="s">
        <v>3</v>
      </c>
      <c r="J372" s="76" t="n">
        <f aca="false">(1-Degradation)^MAX(J361-1,0)</f>
        <v>1</v>
      </c>
      <c r="K372" s="76" t="n">
        <f aca="false">(1-Degradation)^MAX(K361-1,0)</f>
        <v>1</v>
      </c>
      <c r="L372" s="76" t="n">
        <f aca="false">(1-Degradation)^MAX(L361-1,0)</f>
        <v>1</v>
      </c>
      <c r="M372" s="76" t="n">
        <f aca="false">(1-Degradation)^MAX(M361-1,0)</f>
        <v>1</v>
      </c>
      <c r="N372" s="76" t="n">
        <f aca="false">(1-Degradation)^MAX(N361-1,0)</f>
        <v>1</v>
      </c>
      <c r="O372" s="76" t="n">
        <f aca="false">(1-Degradation)^MAX(O361-1,0)</f>
        <v>1</v>
      </c>
      <c r="P372" s="76" t="n">
        <f aca="false">(1-Degradation)^MAX(P361-1,0)</f>
        <v>1</v>
      </c>
      <c r="Q372" s="76" t="n">
        <f aca="false">(1-Degradation)^MAX(Q361-1,0)</f>
        <v>0.997</v>
      </c>
      <c r="R372" s="76" t="n">
        <f aca="false">(1-Degradation)^MAX(R361-1,0)</f>
        <v>0.994009</v>
      </c>
      <c r="S372" s="76" t="n">
        <f aca="false">(1-Degradation)^MAX(S361-1,0)</f>
        <v>0.991026973</v>
      </c>
      <c r="T372" s="76" t="n">
        <f aca="false">(1-Degradation)^MAX(T361-1,0)</f>
        <v>0.988053892081</v>
      </c>
      <c r="U372" s="76" t="n">
        <f aca="false">(1-Degradation)^MAX(U361-1,0)</f>
        <v>0.985089730404757</v>
      </c>
      <c r="V372" s="76" t="n">
        <f aca="false">(1-Degradation)^MAX(V361-1,0)</f>
        <v>0.982134461213543</v>
      </c>
      <c r="W372" s="76" t="n">
        <f aca="false">(1-Degradation)^MAX(W361-1,0)</f>
        <v>0.979188057829902</v>
      </c>
      <c r="X372" s="76" t="n">
        <f aca="false">(1-Degradation)^MAX(X361-1,0)</f>
        <v>0.976250493656412</v>
      </c>
      <c r="Y372" s="76" t="n">
        <f aca="false">(1-Degradation)^MAX(Y361-1,0)</f>
        <v>0.973321742175443</v>
      </c>
      <c r="Z372" s="76" t="n">
        <f aca="false">(1-Degradation)^MAX(Z361-1,0)</f>
        <v>0.970401776948917</v>
      </c>
      <c r="AA372" s="76" t="n">
        <f aca="false">(1-Degradation)^MAX(AA361-1,0)</f>
        <v>0.96749057161807</v>
      </c>
      <c r="AB372" s="76" t="n">
        <f aca="false">(1-Degradation)^MAX(AB361-1,0)</f>
        <v>0.964588099903216</v>
      </c>
      <c r="AC372" s="76" t="n">
        <f aca="false">(1-Degradation)^MAX(AC361-1,0)</f>
        <v>0.961694335603506</v>
      </c>
      <c r="AD372" s="76" t="n">
        <f aca="false">(1-Degradation)^MAX(AD361-1,0)</f>
        <v>0.958809252596696</v>
      </c>
      <c r="AE372" s="76" t="n">
        <f aca="false">(1-Degradation)^MAX(AE361-1,0)</f>
        <v>0.955932824838906</v>
      </c>
      <c r="AF372" s="76" t="n">
        <f aca="false">(1-Degradation)^MAX(AF361-1,0)</f>
        <v>0.953065026364389</v>
      </c>
      <c r="AG372" s="76" t="n">
        <f aca="false">(1-Degradation)^MAX(AG361-1,0)</f>
        <v>0.950205831285296</v>
      </c>
      <c r="AH372" s="76" t="n">
        <f aca="false">(1-Degradation)^MAX(AH361-1,0)</f>
        <v>0.94735521379144</v>
      </c>
      <c r="AI372" s="76" t="n">
        <f aca="false">(1-Degradation)^MAX(AI361-1,0)</f>
        <v>0.944513148150066</v>
      </c>
      <c r="AJ372" s="76" t="n">
        <f aca="false">(1-Degradation)^MAX(AJ361-1,0)</f>
        <v>0.941679608705615</v>
      </c>
      <c r="AK372" s="76" t="n">
        <f aca="false">(1-Degradation)^MAX(AK361-1,0)</f>
        <v>0.938854569879498</v>
      </c>
      <c r="AL372" s="76" t="n">
        <f aca="false">(1-Degradation)^MAX(AL361-1,0)</f>
        <v>0.93603800616986</v>
      </c>
      <c r="AM372" s="76" t="n">
        <f aca="false">(1-Degradation)^MAX(AM361-1,0)</f>
        <v>0.93322989215135</v>
      </c>
      <c r="AN372" s="76" t="n">
        <f aca="false">(1-Degradation)^MAX(AN361-1,0)</f>
        <v>0.930430202474896</v>
      </c>
      <c r="AO372" s="76" t="n">
        <f aca="false">(1-Degradation)^MAX(AO361-1,0)</f>
        <v>0.927638911867472</v>
      </c>
      <c r="AP372" s="76" t="n">
        <f aca="false">(1-Degradation)^MAX(AP361-1,0)</f>
        <v>0.924855995131869</v>
      </c>
      <c r="AQ372" s="76" t="n">
        <f aca="false">(1-Degradation)^MAX(AQ361-1,0)</f>
        <v>0.922081427146474</v>
      </c>
      <c r="AR372" s="76" t="n">
        <f aca="false">(1-Degradation)^MAX(AR361-1,0)</f>
        <v>0.919315182865034</v>
      </c>
      <c r="AS372" s="76" t="n">
        <f aca="false">(1-Degradation)^MAX(AS361-1,0)</f>
        <v>0.916557237316439</v>
      </c>
    </row>
    <row r="373" customFormat="false" ht="14.25" hidden="false" customHeight="false" outlineLevel="0" collapsed="false">
      <c r="C373" s="6" t="s">
        <v>303</v>
      </c>
      <c r="D373" s="2" t="s">
        <v>304</v>
      </c>
      <c r="H373" s="17" t="n">
        <f aca="false">SUM(J373:AS373)</f>
        <v>3654.34185176978</v>
      </c>
      <c r="J373" s="17" t="n">
        <f aca="false">$E$46*$E$22*(1-Curtailment)*(1-Clipping)*J365*J372/Thousand</f>
        <v>0</v>
      </c>
      <c r="K373" s="17" t="n">
        <f aca="false">$E$46*$E$22*(1-Curtailment)*(1-Clipping)*K365*K372/Thousand</f>
        <v>0</v>
      </c>
      <c r="L373" s="17" t="n">
        <f aca="false">$E$46*$E$22*(1-Curtailment)*(1-Clipping)*L365*L372/Thousand</f>
        <v>0</v>
      </c>
      <c r="M373" s="17" t="n">
        <f aca="false">$E$46*$E$22*(1-Curtailment)*(1-Clipping)*M365*M372/Thousand</f>
        <v>0</v>
      </c>
      <c r="N373" s="17" t="n">
        <f aca="false">$E$46*$E$22*(1-Curtailment)*(1-Clipping)*N365*N372/Thousand</f>
        <v>0</v>
      </c>
      <c r="O373" s="17" t="n">
        <f aca="false">$E$46*$E$22*(1-Curtailment)*(1-Clipping)*O365*O372/Thousand</f>
        <v>63.504</v>
      </c>
      <c r="P373" s="17" t="n">
        <f aca="false">$E$46*$E$22*(1-Curtailment)*(1-Clipping)*P365*P372/Thousand</f>
        <v>127.008</v>
      </c>
      <c r="Q373" s="17" t="n">
        <f aca="false">$E$46*$E$22*(1-Curtailment)*(1-Clipping)*Q365*Q372/Thousand</f>
        <v>126.626976</v>
      </c>
      <c r="R373" s="17" t="n">
        <f aca="false">$E$46*$E$22*(1-Curtailment)*(1-Clipping)*R365*R372/Thousand</f>
        <v>126.247095072</v>
      </c>
      <c r="S373" s="17" t="n">
        <f aca="false">$E$46*$E$22*(1-Curtailment)*(1-Clipping)*S365*S372/Thousand</f>
        <v>125.868353786784</v>
      </c>
      <c r="T373" s="17" t="n">
        <f aca="false">$E$46*$E$22*(1-Curtailment)*(1-Clipping)*T365*T372/Thousand</f>
        <v>125.490748725424</v>
      </c>
      <c r="U373" s="17" t="n">
        <f aca="false">$E$46*$E$22*(1-Curtailment)*(1-Clipping)*U365*U372/Thousand</f>
        <v>125.114276479247</v>
      </c>
      <c r="V373" s="17" t="n">
        <f aca="false">$E$46*$E$22*(1-Curtailment)*(1-Clipping)*V365*V372/Thousand</f>
        <v>124.73893364981</v>
      </c>
      <c r="W373" s="17" t="n">
        <f aca="false">$E$46*$E$22*(1-Curtailment)*(1-Clipping)*W365*W372/Thousand</f>
        <v>124.36471684886</v>
      </c>
      <c r="X373" s="17" t="n">
        <f aca="false">$E$46*$E$22*(1-Curtailment)*(1-Clipping)*X365*X372/Thousand</f>
        <v>123.991622698314</v>
      </c>
      <c r="Y373" s="17" t="n">
        <f aca="false">$E$46*$E$22*(1-Curtailment)*(1-Clipping)*Y365*Y372/Thousand</f>
        <v>123.619647830219</v>
      </c>
      <c r="Z373" s="17" t="n">
        <f aca="false">$E$46*$E$22*(1-Curtailment)*(1-Clipping)*Z365*Z372/Thousand</f>
        <v>123.248788886728</v>
      </c>
      <c r="AA373" s="17" t="n">
        <f aca="false">$E$46*$E$22*(1-Curtailment)*(1-Clipping)*AA365*AA372/Thousand</f>
        <v>122.879042520068</v>
      </c>
      <c r="AB373" s="17" t="n">
        <f aca="false">$E$46*$E$22*(1-Curtailment)*(1-Clipping)*AB365*AB372/Thousand</f>
        <v>122.510405392508</v>
      </c>
      <c r="AC373" s="17" t="n">
        <f aca="false">$E$46*$E$22*(1-Curtailment)*(1-Clipping)*AC365*AC372/Thousand</f>
        <v>122.14287417633</v>
      </c>
      <c r="AD373" s="17" t="n">
        <f aca="false">$E$46*$E$22*(1-Curtailment)*(1-Clipping)*AD365*AD372/Thousand</f>
        <v>121.776445553801</v>
      </c>
      <c r="AE373" s="17" t="n">
        <f aca="false">$E$46*$E$22*(1-Curtailment)*(1-Clipping)*AE365*AE372/Thousand</f>
        <v>121.41111621714</v>
      </c>
      <c r="AF373" s="17" t="n">
        <f aca="false">$E$46*$E$22*(1-Curtailment)*(1-Clipping)*AF365*AF372/Thousand</f>
        <v>121.046882868488</v>
      </c>
      <c r="AG373" s="17" t="n">
        <f aca="false">$E$46*$E$22*(1-Curtailment)*(1-Clipping)*AG365*AG372/Thousand</f>
        <v>120.683742219883</v>
      </c>
      <c r="AH373" s="17" t="n">
        <f aca="false">$E$46*$E$22*(1-Curtailment)*(1-Clipping)*AH365*AH372/Thousand</f>
        <v>120.321690993223</v>
      </c>
      <c r="AI373" s="17" t="n">
        <f aca="false">$E$46*$E$22*(1-Curtailment)*(1-Clipping)*AI365*AI372/Thousand</f>
        <v>119.960725920244</v>
      </c>
      <c r="AJ373" s="17" t="n">
        <f aca="false">$E$46*$E$22*(1-Curtailment)*(1-Clipping)*AJ365*AJ372/Thousand</f>
        <v>119.600843742483</v>
      </c>
      <c r="AK373" s="17" t="n">
        <f aca="false">$E$46*$E$22*(1-Curtailment)*(1-Clipping)*AK365*AK372/Thousand</f>
        <v>119.242041211255</v>
      </c>
      <c r="AL373" s="17" t="n">
        <f aca="false">$E$46*$E$22*(1-Curtailment)*(1-Clipping)*AL365*AL372/Thousand</f>
        <v>118.884315087622</v>
      </c>
      <c r="AM373" s="17" t="n">
        <f aca="false">$E$46*$E$22*(1-Curtailment)*(1-Clipping)*AM365*AM372/Thousand</f>
        <v>118.527662142359</v>
      </c>
      <c r="AN373" s="17" t="n">
        <f aca="false">$E$46*$E$22*(1-Curtailment)*(1-Clipping)*AN365*AN372/Thousand</f>
        <v>118.172079155932</v>
      </c>
      <c r="AO373" s="17" t="n">
        <f aca="false">$E$46*$E$22*(1-Curtailment)*(1-Clipping)*AO365*AO372/Thousand</f>
        <v>117.817562918464</v>
      </c>
      <c r="AP373" s="17" t="n">
        <f aca="false">$E$46*$E$22*(1-Curtailment)*(1-Clipping)*AP365*AP372/Thousand</f>
        <v>117.464110229708</v>
      </c>
      <c r="AQ373" s="17" t="n">
        <f aca="false">$E$46*$E$22*(1-Curtailment)*(1-Clipping)*AQ365*AQ372/Thousand</f>
        <v>117.111717899019</v>
      </c>
      <c r="AR373" s="17" t="n">
        <f aca="false">$E$46*$E$22*(1-Curtailment)*(1-Clipping)*AR365*AR372/Thousand</f>
        <v>116.760382745322</v>
      </c>
      <c r="AS373" s="17" t="n">
        <f aca="false">$E$46*$E$22*(1-Curtailment)*(1-Clipping)*AS365*AS372/Thousand</f>
        <v>58.2050507985431</v>
      </c>
    </row>
    <row r="374" customFormat="false" ht="14.25" hidden="false" customHeight="false" outlineLevel="0" collapsed="false">
      <c r="C374" s="6" t="s">
        <v>305</v>
      </c>
      <c r="D374" s="2" t="s">
        <v>20</v>
      </c>
      <c r="J374" s="17" t="n">
        <f aca="false">Case_PPA*(1+PPA_Esc)^J361*(J365&gt;0)</f>
        <v>0</v>
      </c>
      <c r="K374" s="17" t="n">
        <f aca="false">Case_PPA*(1+PPA_Esc)^K361*(K365&gt;0)</f>
        <v>0</v>
      </c>
      <c r="L374" s="17" t="n">
        <f aca="false">Case_PPA*(1+PPA_Esc)^L361*(L365&gt;0)</f>
        <v>0</v>
      </c>
      <c r="M374" s="17" t="n">
        <f aca="false">Case_PPA*(1+PPA_Esc)^M361*(M365&gt;0)</f>
        <v>0</v>
      </c>
      <c r="N374" s="17" t="n">
        <f aca="false">Case_PPA*(1+PPA_Esc)^N361*(N365&gt;0)</f>
        <v>0</v>
      </c>
      <c r="O374" s="17" t="n">
        <f aca="false">Case_PPA*(1+PPA_Esc)^O361*(O365&gt;0)</f>
        <v>90</v>
      </c>
      <c r="P374" s="17" t="n">
        <f aca="false">Case_PPA*(1+PPA_Esc)^P361*(P365&gt;0)</f>
        <v>90.9</v>
      </c>
      <c r="Q374" s="17" t="n">
        <f aca="false">Case_PPA*(1+PPA_Esc)^Q361*(Q365&gt;0)</f>
        <v>91.809</v>
      </c>
      <c r="R374" s="17" t="n">
        <f aca="false">Case_PPA*(1+PPA_Esc)^R361*(R365&gt;0)</f>
        <v>92.72709</v>
      </c>
      <c r="S374" s="17" t="n">
        <f aca="false">Case_PPA*(1+PPA_Esc)^S361*(S365&gt;0)</f>
        <v>93.6543609</v>
      </c>
      <c r="T374" s="17" t="n">
        <f aca="false">Case_PPA*(1+PPA_Esc)^T361*(T365&gt;0)</f>
        <v>94.590904509</v>
      </c>
      <c r="U374" s="17" t="n">
        <f aca="false">Case_PPA*(1+PPA_Esc)^U361*(U365&gt;0)</f>
        <v>95.53681355409</v>
      </c>
      <c r="V374" s="17" t="n">
        <f aca="false">Case_PPA*(1+PPA_Esc)^V361*(V365&gt;0)</f>
        <v>96.4921816896309</v>
      </c>
      <c r="W374" s="17" t="n">
        <f aca="false">Case_PPA*(1+PPA_Esc)^W361*(W365&gt;0)</f>
        <v>97.4571035065272</v>
      </c>
      <c r="X374" s="17" t="n">
        <f aca="false">Case_PPA*(1+PPA_Esc)^X361*(X365&gt;0)</f>
        <v>98.4316745415925</v>
      </c>
      <c r="Y374" s="17" t="n">
        <f aca="false">Case_PPA*(1+PPA_Esc)^Y361*(Y365&gt;0)</f>
        <v>99.4159912870084</v>
      </c>
      <c r="Z374" s="17" t="n">
        <f aca="false">Case_PPA*(1+PPA_Esc)^Z361*(Z365&gt;0)</f>
        <v>100.410151199878</v>
      </c>
      <c r="AA374" s="17" t="n">
        <f aca="false">Case_PPA*(1+PPA_Esc)^AA361*(AA365&gt;0)</f>
        <v>101.414252711877</v>
      </c>
      <c r="AB374" s="17" t="n">
        <f aca="false">Case_PPA*(1+PPA_Esc)^AB361*(AB365&gt;0)</f>
        <v>102.428395238996</v>
      </c>
      <c r="AC374" s="17" t="n">
        <f aca="false">Case_PPA*(1+PPA_Esc)^AC361*(AC365&gt;0)</f>
        <v>103.452679191386</v>
      </c>
      <c r="AD374" s="17" t="n">
        <f aca="false">Case_PPA*(1+PPA_Esc)^AD361*(AD365&gt;0)</f>
        <v>104.4872059833</v>
      </c>
      <c r="AE374" s="17" t="n">
        <f aca="false">Case_PPA*(1+PPA_Esc)^AE361*(AE365&gt;0)</f>
        <v>105.532078043133</v>
      </c>
      <c r="AF374" s="17" t="n">
        <f aca="false">Case_PPA*(1+PPA_Esc)^AF361*(AF365&gt;0)</f>
        <v>106.587398823564</v>
      </c>
      <c r="AG374" s="17" t="n">
        <f aca="false">Case_PPA*(1+PPA_Esc)^AG361*(AG365&gt;0)</f>
        <v>107.6532728118</v>
      </c>
      <c r="AH374" s="17" t="n">
        <f aca="false">Case_PPA*(1+PPA_Esc)^AH361*(AH365&gt;0)</f>
        <v>108.729805539918</v>
      </c>
      <c r="AI374" s="17" t="n">
        <f aca="false">Case_PPA*(1+PPA_Esc)^AI361*(AI365&gt;0)</f>
        <v>109.817103595317</v>
      </c>
      <c r="AJ374" s="17" t="n">
        <f aca="false">Case_PPA*(1+PPA_Esc)^AJ361*(AJ365&gt;0)</f>
        <v>110.91527463127</v>
      </c>
      <c r="AK374" s="17" t="n">
        <f aca="false">Case_PPA*(1+PPA_Esc)^AK361*(AK365&gt;0)</f>
        <v>112.024427377583</v>
      </c>
      <c r="AL374" s="17" t="n">
        <f aca="false">Case_PPA*(1+PPA_Esc)^AL361*(AL365&gt;0)</f>
        <v>113.144671651359</v>
      </c>
      <c r="AM374" s="17" t="n">
        <f aca="false">Case_PPA*(1+PPA_Esc)^AM361*(AM365&gt;0)</f>
        <v>114.276118367872</v>
      </c>
      <c r="AN374" s="17" t="n">
        <f aca="false">Case_PPA*(1+PPA_Esc)^AN361*(AN365&gt;0)</f>
        <v>115.418879551551</v>
      </c>
      <c r="AO374" s="17" t="n">
        <f aca="false">Case_PPA*(1+PPA_Esc)^AO361*(AO365&gt;0)</f>
        <v>116.573068347067</v>
      </c>
      <c r="AP374" s="17" t="n">
        <f aca="false">Case_PPA*(1+PPA_Esc)^AP361*(AP365&gt;0)</f>
        <v>117.738799030537</v>
      </c>
      <c r="AQ374" s="17" t="n">
        <f aca="false">Case_PPA*(1+PPA_Esc)^AQ361*(AQ365&gt;0)</f>
        <v>118.916187020843</v>
      </c>
      <c r="AR374" s="17" t="n">
        <f aca="false">Case_PPA*(1+PPA_Esc)^AR361*(AR365&gt;0)</f>
        <v>120.105348891051</v>
      </c>
      <c r="AS374" s="17" t="n">
        <f aca="false">Case_PPA*(1+PPA_Esc)^AS361*(AS365&gt;0)</f>
        <v>121.306402379962</v>
      </c>
    </row>
    <row r="375" customFormat="false" ht="14.25" hidden="false" customHeight="false" outlineLevel="0" collapsed="false">
      <c r="C375" s="1" t="s">
        <v>158</v>
      </c>
      <c r="D375" s="2" t="s">
        <v>85</v>
      </c>
      <c r="H375" s="32" t="n">
        <f aca="false">SUM(J375:AS375)</f>
        <v>382397.730625247</v>
      </c>
      <c r="J375" s="32" t="n">
        <f aca="false">J373*J374</f>
        <v>0</v>
      </c>
      <c r="K375" s="32" t="n">
        <f aca="false">K373*K374</f>
        <v>0</v>
      </c>
      <c r="L375" s="32" t="n">
        <f aca="false">L373*L374</f>
        <v>0</v>
      </c>
      <c r="M375" s="32" t="n">
        <f aca="false">M373*M374</f>
        <v>0</v>
      </c>
      <c r="N375" s="32" t="n">
        <f aca="false">N373*N374</f>
        <v>0</v>
      </c>
      <c r="O375" s="32" t="n">
        <f aca="false">O373*O374</f>
        <v>5715.36</v>
      </c>
      <c r="P375" s="32" t="n">
        <f aca="false">P373*P374</f>
        <v>11545.0272</v>
      </c>
      <c r="Q375" s="32" t="n">
        <f aca="false">Q373*Q374</f>
        <v>11625.496039584</v>
      </c>
      <c r="R375" s="32" t="n">
        <f aca="false">R373*R374</f>
        <v>11706.5257469799</v>
      </c>
      <c r="S375" s="32" t="n">
        <f aca="false">S373*S374</f>
        <v>11788.1202314363</v>
      </c>
      <c r="T375" s="32" t="n">
        <f aca="false">T373*T374</f>
        <v>11870.2834294495</v>
      </c>
      <c r="U375" s="32" t="n">
        <f aca="false">U373*U374</f>
        <v>11953.0193049527</v>
      </c>
      <c r="V375" s="32" t="n">
        <f aca="false">V373*V374</f>
        <v>12036.3318495082</v>
      </c>
      <c r="W375" s="32" t="n">
        <f aca="false">W373*W374</f>
        <v>12120.2250824993</v>
      </c>
      <c r="X375" s="32" t="n">
        <f aca="false">X373*X374</f>
        <v>12204.7030513243</v>
      </c>
      <c r="Y375" s="32" t="n">
        <f aca="false">Y373*Y374</f>
        <v>12289.7698315921</v>
      </c>
      <c r="Z375" s="32" t="n">
        <f aca="false">Z373*Z374</f>
        <v>12375.4295273183</v>
      </c>
      <c r="AA375" s="32" t="n">
        <f aca="false">AA373*AA374</f>
        <v>12461.6862711237</v>
      </c>
      <c r="AB375" s="32" t="n">
        <f aca="false">AB373*AB374</f>
        <v>12548.5442244334</v>
      </c>
      <c r="AC375" s="32" t="n">
        <f aca="false">AC373*AC374</f>
        <v>12636.0075776777</v>
      </c>
      <c r="AD375" s="32" t="n">
        <f aca="false">AD373*AD374</f>
        <v>12724.0805504941</v>
      </c>
      <c r="AE375" s="32" t="n">
        <f aca="false">AE373*AE374</f>
        <v>12812.7673919311</v>
      </c>
      <c r="AF375" s="32" t="n">
        <f aca="false">AF373*AF374</f>
        <v>12902.0723806528</v>
      </c>
      <c r="AG375" s="32" t="n">
        <f aca="false">AG373*AG374</f>
        <v>12991.999825146</v>
      </c>
      <c r="AH375" s="32" t="n">
        <f aca="false">AH373*AH374</f>
        <v>13082.5540639272</v>
      </c>
      <c r="AI375" s="32" t="n">
        <f aca="false">AI373*AI374</f>
        <v>13173.7394657528</v>
      </c>
      <c r="AJ375" s="32" t="n">
        <f aca="false">AJ373*AJ374</f>
        <v>13265.5604298291</v>
      </c>
      <c r="AK375" s="32" t="n">
        <f aca="false">AK373*AK374</f>
        <v>13358.021386025</v>
      </c>
      <c r="AL375" s="32" t="n">
        <f aca="false">AL373*AL374</f>
        <v>13451.1267950856</v>
      </c>
      <c r="AM375" s="32" t="n">
        <f aca="false">AM373*AM374</f>
        <v>13544.8811488474</v>
      </c>
      <c r="AN375" s="32" t="n">
        <f aca="false">AN373*AN374</f>
        <v>13639.2889704548</v>
      </c>
      <c r="AO375" s="32" t="n">
        <f aca="false">AO373*AO374</f>
        <v>13734.3548145789</v>
      </c>
      <c r="AP375" s="32" t="n">
        <f aca="false">AP373*AP374</f>
        <v>13830.0832676365</v>
      </c>
      <c r="AQ375" s="32" t="n">
        <f aca="false">AQ373*AQ374</f>
        <v>13926.4789480119</v>
      </c>
      <c r="AR375" s="32" t="n">
        <f aca="false">AR373*AR374</f>
        <v>14023.5465062796</v>
      </c>
      <c r="AS375" s="32" t="n">
        <f aca="false">AS373*AS374</f>
        <v>7060.64531271418</v>
      </c>
    </row>
    <row r="376" customFormat="false" ht="14.25" hidden="false" customHeight="false" outlineLevel="0" collapsed="false">
      <c r="C376" s="6" t="s">
        <v>306</v>
      </c>
      <c r="D376" s="2" t="s">
        <v>3</v>
      </c>
      <c r="J376" s="76" t="n">
        <f aca="false">(1+Opex_Esc)^J361</f>
        <v>0.883854287609517</v>
      </c>
      <c r="K376" s="76" t="n">
        <f aca="false">(1+Opex_Esc)^K361</f>
        <v>0.905950644799755</v>
      </c>
      <c r="L376" s="76" t="n">
        <f aca="false">(1+Opex_Esc)^L361</f>
        <v>0.928599410919749</v>
      </c>
      <c r="M376" s="76" t="n">
        <f aca="false">(1+Opex_Esc)^M361</f>
        <v>0.951814396192743</v>
      </c>
      <c r="N376" s="76" t="n">
        <f aca="false">(1+Opex_Esc)^N361</f>
        <v>0.975609756097561</v>
      </c>
      <c r="O376" s="76" t="n">
        <f aca="false">(1+Opex_Esc)^O361</f>
        <v>1</v>
      </c>
      <c r="P376" s="76" t="n">
        <f aca="false">(1+Opex_Esc)^P361</f>
        <v>1.025</v>
      </c>
      <c r="Q376" s="76" t="n">
        <f aca="false">(1+Opex_Esc)^Q361</f>
        <v>1.050625</v>
      </c>
      <c r="R376" s="76" t="n">
        <f aca="false">(1+Opex_Esc)^R361</f>
        <v>1.076890625</v>
      </c>
      <c r="S376" s="76" t="n">
        <f aca="false">(1+Opex_Esc)^S361</f>
        <v>1.103812890625</v>
      </c>
      <c r="T376" s="76" t="n">
        <f aca="false">(1+Opex_Esc)^T361</f>
        <v>1.13140821289062</v>
      </c>
      <c r="U376" s="76" t="n">
        <f aca="false">(1+Opex_Esc)^U361</f>
        <v>1.15969341821289</v>
      </c>
      <c r="V376" s="76" t="n">
        <f aca="false">(1+Opex_Esc)^V361</f>
        <v>1.18868575366821</v>
      </c>
      <c r="W376" s="76" t="n">
        <f aca="false">(1+Opex_Esc)^W361</f>
        <v>1.21840289750992</v>
      </c>
      <c r="X376" s="76" t="n">
        <f aca="false">(1+Opex_Esc)^X361</f>
        <v>1.24886296994767</v>
      </c>
      <c r="Y376" s="76" t="n">
        <f aca="false">(1+Opex_Esc)^Y361</f>
        <v>1.28008454419636</v>
      </c>
      <c r="Z376" s="76" t="n">
        <f aca="false">(1+Opex_Esc)^Z361</f>
        <v>1.31208665780127</v>
      </c>
      <c r="AA376" s="76" t="n">
        <f aca="false">(1+Opex_Esc)^AA361</f>
        <v>1.3448888242463</v>
      </c>
      <c r="AB376" s="76" t="n">
        <f aca="false">(1+Opex_Esc)^AB361</f>
        <v>1.37851104485245</v>
      </c>
      <c r="AC376" s="76" t="n">
        <f aca="false">(1+Opex_Esc)^AC361</f>
        <v>1.41297382097377</v>
      </c>
      <c r="AD376" s="76" t="n">
        <f aca="false">(1+Opex_Esc)^AD361</f>
        <v>1.44829816649811</v>
      </c>
      <c r="AE376" s="76" t="n">
        <f aca="false">(1+Opex_Esc)^AE361</f>
        <v>1.48450562066056</v>
      </c>
      <c r="AF376" s="76" t="n">
        <f aca="false">(1+Opex_Esc)^AF361</f>
        <v>1.52161826117708</v>
      </c>
      <c r="AG376" s="76" t="n">
        <f aca="false">(1+Opex_Esc)^AG361</f>
        <v>1.5596587177065</v>
      </c>
      <c r="AH376" s="76" t="n">
        <f aca="false">(1+Opex_Esc)^AH361</f>
        <v>1.59865018564917</v>
      </c>
      <c r="AI376" s="76" t="n">
        <f aca="false">(1+Opex_Esc)^AI361</f>
        <v>1.63861644029039</v>
      </c>
      <c r="AJ376" s="76" t="n">
        <f aca="false">(1+Opex_Esc)^AJ361</f>
        <v>1.67958185129765</v>
      </c>
      <c r="AK376" s="76" t="n">
        <f aca="false">(1+Opex_Esc)^AK361</f>
        <v>1.7215713975801</v>
      </c>
      <c r="AL376" s="76" t="n">
        <f aca="false">(1+Opex_Esc)^AL361</f>
        <v>1.7646106825196</v>
      </c>
      <c r="AM376" s="76" t="n">
        <f aca="false">(1+Opex_Esc)^AM361</f>
        <v>1.80872594958259</v>
      </c>
      <c r="AN376" s="76" t="n">
        <f aca="false">(1+Opex_Esc)^AN361</f>
        <v>1.85394409832215</v>
      </c>
      <c r="AO376" s="76" t="n">
        <f aca="false">(1+Opex_Esc)^AO361</f>
        <v>1.90029270078021</v>
      </c>
      <c r="AP376" s="76" t="n">
        <f aca="false">(1+Opex_Esc)^AP361</f>
        <v>1.94780001829971</v>
      </c>
      <c r="AQ376" s="76" t="n">
        <f aca="false">(1+Opex_Esc)^AQ361</f>
        <v>1.9964950187572</v>
      </c>
      <c r="AR376" s="76" t="n">
        <f aca="false">(1+Opex_Esc)^AR361</f>
        <v>2.04640739422613</v>
      </c>
      <c r="AS376" s="76" t="n">
        <f aca="false">(1+Opex_Esc)^AS361</f>
        <v>2.09756757908179</v>
      </c>
    </row>
    <row r="377" customFormat="false" ht="14.25" hidden="false" customHeight="false" outlineLevel="0" collapsed="false">
      <c r="C377" s="6" t="s">
        <v>307</v>
      </c>
      <c r="D377" s="2" t="s">
        <v>85</v>
      </c>
      <c r="H377" s="8" t="n">
        <f aca="false">SUM(J377:AS377)</f>
        <v>-60009.5073862969</v>
      </c>
      <c r="J377" s="8" t="n">
        <f aca="false">-(Case_OM+SUM(Opex_Per_MW))*$E$46*J376*J365</f>
        <v>-0</v>
      </c>
      <c r="K377" s="8" t="n">
        <f aca="false">-(Case_OM+SUM(Opex_Per_MW))*$E$46*K376*K365</f>
        <v>-0</v>
      </c>
      <c r="L377" s="8" t="n">
        <f aca="false">-(Case_OM+SUM(Opex_Per_MW))*$E$46*L376*L365</f>
        <v>-0</v>
      </c>
      <c r="M377" s="8" t="n">
        <f aca="false">-(Case_OM+SUM(Opex_Per_MW))*$E$46*M376*M365</f>
        <v>-0</v>
      </c>
      <c r="N377" s="8" t="n">
        <f aca="false">-(Case_OM+SUM(Opex_Per_MW))*$E$46*N376*N365</f>
        <v>-0</v>
      </c>
      <c r="O377" s="8" t="n">
        <f aca="false">-(Case_OM+SUM(Opex_Per_MW))*$E$46*O376*O365</f>
        <v>-675</v>
      </c>
      <c r="P377" s="8" t="n">
        <f aca="false">-(Case_OM+SUM(Opex_Per_MW))*$E$46*P376*P365</f>
        <v>-1383.75</v>
      </c>
      <c r="Q377" s="8" t="n">
        <f aca="false">-(Case_OM+SUM(Opex_Per_MW))*$E$46*Q376*Q365</f>
        <v>-1418.34375</v>
      </c>
      <c r="R377" s="8" t="n">
        <f aca="false">-(Case_OM+SUM(Opex_Per_MW))*$E$46*R376*R365</f>
        <v>-1453.80234375</v>
      </c>
      <c r="S377" s="8" t="n">
        <f aca="false">-(Case_OM+SUM(Opex_Per_MW))*$E$46*S376*S365</f>
        <v>-1490.14740234375</v>
      </c>
      <c r="T377" s="8" t="n">
        <f aca="false">-(Case_OM+SUM(Opex_Per_MW))*$E$46*T376*T365</f>
        <v>-1527.40108740234</v>
      </c>
      <c r="U377" s="8" t="n">
        <f aca="false">-(Case_OM+SUM(Opex_Per_MW))*$E$46*U376*U365</f>
        <v>-1565.5861145874</v>
      </c>
      <c r="V377" s="8" t="n">
        <f aca="false">-(Case_OM+SUM(Opex_Per_MW))*$E$46*V376*V365</f>
        <v>-1604.72576745209</v>
      </c>
      <c r="W377" s="8" t="n">
        <f aca="false">-(Case_OM+SUM(Opex_Per_MW))*$E$46*W376*W365</f>
        <v>-1644.84391163839</v>
      </c>
      <c r="X377" s="8" t="n">
        <f aca="false">-(Case_OM+SUM(Opex_Per_MW))*$E$46*X376*X365</f>
        <v>-1685.96500942935</v>
      </c>
      <c r="Y377" s="8" t="n">
        <f aca="false">-(Case_OM+SUM(Opex_Per_MW))*$E$46*Y376*Y365</f>
        <v>-1728.11413466508</v>
      </c>
      <c r="Z377" s="8" t="n">
        <f aca="false">-(Case_OM+SUM(Opex_Per_MW))*$E$46*Z376*Z365</f>
        <v>-1771.31698803171</v>
      </c>
      <c r="AA377" s="8" t="n">
        <f aca="false">-(Case_OM+SUM(Opex_Per_MW))*$E$46*AA376*AA365</f>
        <v>-1815.5999127325</v>
      </c>
      <c r="AB377" s="8" t="n">
        <f aca="false">-(Case_OM+SUM(Opex_Per_MW))*$E$46*AB376*AB365</f>
        <v>-1860.98991055081</v>
      </c>
      <c r="AC377" s="8" t="n">
        <f aca="false">-(Case_OM+SUM(Opex_Per_MW))*$E$46*AC376*AC365</f>
        <v>-1907.51465831458</v>
      </c>
      <c r="AD377" s="8" t="n">
        <f aca="false">-(Case_OM+SUM(Opex_Per_MW))*$E$46*AD376*AD365</f>
        <v>-1955.20252477245</v>
      </c>
      <c r="AE377" s="8" t="n">
        <f aca="false">-(Case_OM+SUM(Opex_Per_MW))*$E$46*AE376*AE365</f>
        <v>-2004.08258789176</v>
      </c>
      <c r="AF377" s="8" t="n">
        <f aca="false">-(Case_OM+SUM(Opex_Per_MW))*$E$46*AF376*AF365</f>
        <v>-2054.18465258905</v>
      </c>
      <c r="AG377" s="8" t="n">
        <f aca="false">-(Case_OM+SUM(Opex_Per_MW))*$E$46*AG376*AG365</f>
        <v>-2105.53926890378</v>
      </c>
      <c r="AH377" s="8" t="n">
        <f aca="false">-(Case_OM+SUM(Opex_Per_MW))*$E$46*AH376*AH365</f>
        <v>-2158.17775062637</v>
      </c>
      <c r="AI377" s="8" t="n">
        <f aca="false">-(Case_OM+SUM(Opex_Per_MW))*$E$46*AI376*AI365</f>
        <v>-2212.13219439203</v>
      </c>
      <c r="AJ377" s="8" t="n">
        <f aca="false">-(Case_OM+SUM(Opex_Per_MW))*$E$46*AJ376*AJ365</f>
        <v>-2267.43549925183</v>
      </c>
      <c r="AK377" s="8" t="n">
        <f aca="false">-(Case_OM+SUM(Opex_Per_MW))*$E$46*AK376*AK365</f>
        <v>-2324.12138673313</v>
      </c>
      <c r="AL377" s="8" t="n">
        <f aca="false">-(Case_OM+SUM(Opex_Per_MW))*$E$46*AL376*AL365</f>
        <v>-2382.22442140146</v>
      </c>
      <c r="AM377" s="8" t="n">
        <f aca="false">-(Case_OM+SUM(Opex_Per_MW))*$E$46*AM376*AM365</f>
        <v>-2441.78003193649</v>
      </c>
      <c r="AN377" s="8" t="n">
        <f aca="false">-(Case_OM+SUM(Opex_Per_MW))*$E$46*AN376*AN365</f>
        <v>-2502.82453273491</v>
      </c>
      <c r="AO377" s="8" t="n">
        <f aca="false">-(Case_OM+SUM(Opex_Per_MW))*$E$46*AO376*AO365</f>
        <v>-2565.39514605328</v>
      </c>
      <c r="AP377" s="8" t="n">
        <f aca="false">-(Case_OM+SUM(Opex_Per_MW))*$E$46*AP376*AP365</f>
        <v>-2629.53002470461</v>
      </c>
      <c r="AQ377" s="8" t="n">
        <f aca="false">-(Case_OM+SUM(Opex_Per_MW))*$E$46*AQ376*AQ365</f>
        <v>-2695.26827532222</v>
      </c>
      <c r="AR377" s="8" t="n">
        <f aca="false">-(Case_OM+SUM(Opex_Per_MW))*$E$46*AR376*AR365</f>
        <v>-2762.64998220528</v>
      </c>
      <c r="AS377" s="8" t="n">
        <f aca="false">-(Case_OM+SUM(Opex_Per_MW))*$E$46*AS376*AS365</f>
        <v>-1415.85811588021</v>
      </c>
    </row>
    <row r="378" customFormat="false" ht="14.25" hidden="false" customHeight="false" outlineLevel="0" collapsed="false">
      <c r="C378" s="6" t="s">
        <v>308</v>
      </c>
      <c r="D378" s="2" t="s">
        <v>85</v>
      </c>
      <c r="H378" s="8" t="n">
        <f aca="false">SUM(J378:AS378)</f>
        <v>-1666.93076073047</v>
      </c>
      <c r="J378" s="8" t="n">
        <f aca="false">-Opex_Admin*$E$6/Lump_Basis*J376*J365</f>
        <v>-0</v>
      </c>
      <c r="K378" s="8" t="n">
        <f aca="false">-Opex_Admin*$E$6/Lump_Basis*K376*K365</f>
        <v>-0</v>
      </c>
      <c r="L378" s="8" t="n">
        <f aca="false">-Opex_Admin*$E$6/Lump_Basis*L376*L365</f>
        <v>-0</v>
      </c>
      <c r="M378" s="8" t="n">
        <f aca="false">-Opex_Admin*$E$6/Lump_Basis*M376*M365</f>
        <v>-0</v>
      </c>
      <c r="N378" s="8" t="n">
        <f aca="false">-Opex_Admin*$E$6/Lump_Basis*N376*N365</f>
        <v>-0</v>
      </c>
      <c r="O378" s="8" t="n">
        <f aca="false">-Opex_Admin*$E$6/Lump_Basis*O376*O365</f>
        <v>-18.75</v>
      </c>
      <c r="P378" s="8" t="n">
        <f aca="false">-Opex_Admin*$E$6/Lump_Basis*P376*P365</f>
        <v>-38.4375</v>
      </c>
      <c r="Q378" s="8" t="n">
        <f aca="false">-Opex_Admin*$E$6/Lump_Basis*Q376*Q365</f>
        <v>-39.3984375</v>
      </c>
      <c r="R378" s="8" t="n">
        <f aca="false">-Opex_Admin*$E$6/Lump_Basis*R376*R365</f>
        <v>-40.3833984375</v>
      </c>
      <c r="S378" s="8" t="n">
        <f aca="false">-Opex_Admin*$E$6/Lump_Basis*S376*S365</f>
        <v>-41.3929833984375</v>
      </c>
      <c r="T378" s="8" t="n">
        <f aca="false">-Opex_Admin*$E$6/Lump_Basis*T376*T365</f>
        <v>-42.4278079833984</v>
      </c>
      <c r="U378" s="8" t="n">
        <f aca="false">-Opex_Admin*$E$6/Lump_Basis*U376*U365</f>
        <v>-43.4885031829834</v>
      </c>
      <c r="V378" s="8" t="n">
        <f aca="false">-Opex_Admin*$E$6/Lump_Basis*V376*V365</f>
        <v>-44.575715762558</v>
      </c>
      <c r="W378" s="8" t="n">
        <f aca="false">-Opex_Admin*$E$6/Lump_Basis*W376*W365</f>
        <v>-45.6901086566219</v>
      </c>
      <c r="X378" s="8" t="n">
        <f aca="false">-Opex_Admin*$E$6/Lump_Basis*X376*X365</f>
        <v>-46.8323613730374</v>
      </c>
      <c r="Y378" s="8" t="n">
        <f aca="false">-Opex_Admin*$E$6/Lump_Basis*Y376*Y365</f>
        <v>-48.0031704073634</v>
      </c>
      <c r="Z378" s="8" t="n">
        <f aca="false">-Opex_Admin*$E$6/Lump_Basis*Z376*Z365</f>
        <v>-49.2032496675475</v>
      </c>
      <c r="AA378" s="8" t="n">
        <f aca="false">-Opex_Admin*$E$6/Lump_Basis*AA376*AA365</f>
        <v>-50.4333309092361</v>
      </c>
      <c r="AB378" s="8" t="n">
        <f aca="false">-Opex_Admin*$E$6/Lump_Basis*AB376*AB365</f>
        <v>-51.694164181967</v>
      </c>
      <c r="AC378" s="8" t="n">
        <f aca="false">-Opex_Admin*$E$6/Lump_Basis*AC376*AC365</f>
        <v>-52.9865182865162</v>
      </c>
      <c r="AD378" s="8" t="n">
        <f aca="false">-Opex_Admin*$E$6/Lump_Basis*AD376*AD365</f>
        <v>-54.3111812436791</v>
      </c>
      <c r="AE378" s="8" t="n">
        <f aca="false">-Opex_Admin*$E$6/Lump_Basis*AE376*AE365</f>
        <v>-55.6689607747711</v>
      </c>
      <c r="AF378" s="8" t="n">
        <f aca="false">-Opex_Admin*$E$6/Lump_Basis*AF376*AF365</f>
        <v>-57.0606847941404</v>
      </c>
      <c r="AG378" s="8" t="n">
        <f aca="false">-Opex_Admin*$E$6/Lump_Basis*AG376*AG365</f>
        <v>-58.4872019139939</v>
      </c>
      <c r="AH378" s="8" t="n">
        <f aca="false">-Opex_Admin*$E$6/Lump_Basis*AH376*AH365</f>
        <v>-59.9493819618437</v>
      </c>
      <c r="AI378" s="8" t="n">
        <f aca="false">-Opex_Admin*$E$6/Lump_Basis*AI376*AI365</f>
        <v>-61.4481165108898</v>
      </c>
      <c r="AJ378" s="8" t="n">
        <f aca="false">-Opex_Admin*$E$6/Lump_Basis*AJ376*AJ365</f>
        <v>-62.984319423662</v>
      </c>
      <c r="AK378" s="8" t="n">
        <f aca="false">-Opex_Admin*$E$6/Lump_Basis*AK376*AK365</f>
        <v>-64.5589274092536</v>
      </c>
      <c r="AL378" s="8" t="n">
        <f aca="false">-Opex_Admin*$E$6/Lump_Basis*AL376*AL365</f>
        <v>-66.1729005944849</v>
      </c>
      <c r="AM378" s="8" t="n">
        <f aca="false">-Opex_Admin*$E$6/Lump_Basis*AM376*AM365</f>
        <v>-67.827223109347</v>
      </c>
      <c r="AN378" s="8" t="n">
        <f aca="false">-Opex_Admin*$E$6/Lump_Basis*AN376*AN365</f>
        <v>-69.5229036870807</v>
      </c>
      <c r="AO378" s="8" t="n">
        <f aca="false">-Opex_Admin*$E$6/Lump_Basis*AO376*AO365</f>
        <v>-71.2609762792577</v>
      </c>
      <c r="AP378" s="8" t="n">
        <f aca="false">-Opex_Admin*$E$6/Lump_Basis*AP376*AP365</f>
        <v>-73.0425006862391</v>
      </c>
      <c r="AQ378" s="8" t="n">
        <f aca="false">-Opex_Admin*$E$6/Lump_Basis*AQ376*AQ365</f>
        <v>-74.8685632033951</v>
      </c>
      <c r="AR378" s="8" t="n">
        <f aca="false">-Opex_Admin*$E$6/Lump_Basis*AR376*AR365</f>
        <v>-76.74027728348</v>
      </c>
      <c r="AS378" s="8" t="n">
        <f aca="false">-Opex_Admin*$E$6/Lump_Basis*AS376*AS365</f>
        <v>-39.3293921077835</v>
      </c>
    </row>
    <row r="379" customFormat="false" ht="14.25" hidden="false" customHeight="false" outlineLevel="0" collapsed="false">
      <c r="C379" s="6" t="s">
        <v>309</v>
      </c>
      <c r="D379" s="2" t="s">
        <v>85</v>
      </c>
      <c r="H379" s="8" t="n">
        <f aca="false">SUM(J379:AS379)</f>
        <v>-26924.5113148159</v>
      </c>
      <c r="J379" s="8" t="n">
        <f aca="false">-J373*(Balancing+Grid_Charges)*J376</f>
        <v>-0</v>
      </c>
      <c r="K379" s="8" t="n">
        <f aca="false">-K373*(Balancing+Grid_Charges)*K376</f>
        <v>-0</v>
      </c>
      <c r="L379" s="8" t="n">
        <f aca="false">-L373*(Balancing+Grid_Charges)*L376</f>
        <v>-0</v>
      </c>
      <c r="M379" s="8" t="n">
        <f aca="false">-M373*(Balancing+Grid_Charges)*M376</f>
        <v>-0</v>
      </c>
      <c r="N379" s="8" t="n">
        <f aca="false">-N373*(Balancing+Grid_Charges)*N376</f>
        <v>-0</v>
      </c>
      <c r="O379" s="8" t="n">
        <f aca="false">-O373*(Balancing+Grid_Charges)*O376</f>
        <v>-317.52</v>
      </c>
      <c r="P379" s="8" t="n">
        <f aca="false">-P373*(Balancing+Grid_Charges)*P376</f>
        <v>-650.916</v>
      </c>
      <c r="Q379" s="8" t="n">
        <f aca="false">-Q373*(Balancing+Grid_Charges)*Q376</f>
        <v>-665.1873333</v>
      </c>
      <c r="R379" s="8" t="n">
        <f aca="false">-R373*(Balancing+Grid_Charges)*R376</f>
        <v>-679.771565582602</v>
      </c>
      <c r="S379" s="8" t="n">
        <f aca="false">-S373*(Balancing+Grid_Charges)*S376</f>
        <v>-694.675557158001</v>
      </c>
      <c r="T379" s="8" t="n">
        <f aca="false">-T373*(Balancing+Grid_Charges)*T376</f>
        <v>-709.90631874869</v>
      </c>
      <c r="U379" s="8" t="n">
        <f aca="false">-U373*(Balancing+Grid_Charges)*U376</f>
        <v>-725.471014787255</v>
      </c>
      <c r="V379" s="8" t="n">
        <f aca="false">-V373*(Balancing+Grid_Charges)*V376</f>
        <v>-741.376966786466</v>
      </c>
      <c r="W379" s="8" t="n">
        <f aca="false">-W373*(Balancing+Grid_Charges)*W376</f>
        <v>-757.631656783258</v>
      </c>
      <c r="X379" s="8" t="n">
        <f aca="false">-X373*(Balancing+Grid_Charges)*X376</f>
        <v>-774.242730858232</v>
      </c>
      <c r="Y379" s="8" t="n">
        <f aca="false">-Y373*(Balancing+Grid_Charges)*Y376</f>
        <v>-791.218002732298</v>
      </c>
      <c r="Z379" s="8" t="n">
        <f aca="false">-Z373*(Balancing+Grid_Charges)*Z376</f>
        <v>-808.565457442204</v>
      </c>
      <c r="AA379" s="8" t="n">
        <f aca="false">-AA373*(Balancing+Grid_Charges)*AA376</f>
        <v>-826.293255096624</v>
      </c>
      <c r="AB379" s="8" t="n">
        <f aca="false">-AB373*(Balancing+Grid_Charges)*AB376</f>
        <v>-844.409734714617</v>
      </c>
      <c r="AC379" s="8" t="n">
        <f aca="false">-AC373*(Balancing+Grid_Charges)*AC376</f>
        <v>-862.923418148235</v>
      </c>
      <c r="AD379" s="8" t="n">
        <f aca="false">-AD373*(Balancing+Grid_Charges)*AD376</f>
        <v>-881.843014091135</v>
      </c>
      <c r="AE379" s="8" t="n">
        <f aca="false">-AE373*(Balancing+Grid_Charges)*AE376</f>
        <v>-901.177422175083</v>
      </c>
      <c r="AF379" s="8" t="n">
        <f aca="false">-AF373*(Balancing+Grid_Charges)*AF376</f>
        <v>-920.935737156272</v>
      </c>
      <c r="AG379" s="8" t="n">
        <f aca="false">-AG373*(Balancing+Grid_Charges)*AG376</f>
        <v>-941.127253193423</v>
      </c>
      <c r="AH379" s="8" t="n">
        <f aca="false">-AH373*(Balancing+Grid_Charges)*AH376</f>
        <v>-961.761468219689</v>
      </c>
      <c r="AI379" s="8" t="n">
        <f aca="false">-AI373*(Balancing+Grid_Charges)*AI376</f>
        <v>-982.848088410405</v>
      </c>
      <c r="AJ379" s="8" t="n">
        <f aca="false">-AJ373*(Balancing+Grid_Charges)*AJ376</f>
        <v>-1004.3970327488</v>
      </c>
      <c r="AK379" s="8" t="n">
        <f aca="false">-AK373*(Balancing+Grid_Charges)*AK376</f>
        <v>-1026.41843769182</v>
      </c>
      <c r="AL379" s="8" t="n">
        <f aca="false">-AL373*(Balancing+Grid_Charges)*AL376</f>
        <v>-1048.92266193821</v>
      </c>
      <c r="AM379" s="8" t="n">
        <f aca="false">-AM373*(Balancing+Grid_Charges)*AM376</f>
        <v>-1071.92029130121</v>
      </c>
      <c r="AN379" s="8" t="n">
        <f aca="false">-AN373*(Balancing+Grid_Charges)*AN376</f>
        <v>-1095.42214368799</v>
      </c>
      <c r="AO379" s="8" t="n">
        <f aca="false">-AO373*(Balancing+Grid_Charges)*AO376</f>
        <v>-1119.43927418835</v>
      </c>
      <c r="AP379" s="8" t="n">
        <f aca="false">-AP373*(Balancing+Grid_Charges)*AP376</f>
        <v>-1143.98298027493</v>
      </c>
      <c r="AQ379" s="8" t="n">
        <f aca="false">-AQ373*(Balancing+Grid_Charges)*AQ376</f>
        <v>-1169.06480711745</v>
      </c>
      <c r="AR379" s="8" t="n">
        <f aca="false">-AR373*(Balancing+Grid_Charges)*AR376</f>
        <v>-1194.6965530135</v>
      </c>
      <c r="AS379" s="8" t="n">
        <f aca="false">-AS373*(Balancing+Grid_Charges)*AS376</f>
        <v>-610.445137469163</v>
      </c>
    </row>
    <row r="380" customFormat="false" ht="14.25" hidden="false" customHeight="false" outlineLevel="0" collapsed="false">
      <c r="C380" s="6" t="s">
        <v>310</v>
      </c>
      <c r="D380" s="2" t="s">
        <v>85</v>
      </c>
      <c r="H380" s="8" t="n">
        <f aca="false">SUM(J380:AS380)</f>
        <v>-382.397730625247</v>
      </c>
      <c r="J380" s="8" t="n">
        <f aca="false">-J375*MEKH_Fee</f>
        <v>-0</v>
      </c>
      <c r="K380" s="8" t="n">
        <f aca="false">-K375*MEKH_Fee</f>
        <v>-0</v>
      </c>
      <c r="L380" s="8" t="n">
        <f aca="false">-L375*MEKH_Fee</f>
        <v>-0</v>
      </c>
      <c r="M380" s="8" t="n">
        <f aca="false">-M375*MEKH_Fee</f>
        <v>-0</v>
      </c>
      <c r="N380" s="8" t="n">
        <f aca="false">-N375*MEKH_Fee</f>
        <v>-0</v>
      </c>
      <c r="O380" s="8" t="n">
        <f aca="false">-O375*MEKH_Fee</f>
        <v>-5.71536</v>
      </c>
      <c r="P380" s="8" t="n">
        <f aca="false">-P375*MEKH_Fee</f>
        <v>-11.5450272</v>
      </c>
      <c r="Q380" s="8" t="n">
        <f aca="false">-Q375*MEKH_Fee</f>
        <v>-11.625496039584</v>
      </c>
      <c r="R380" s="8" t="n">
        <f aca="false">-R375*MEKH_Fee</f>
        <v>-11.7065257469799</v>
      </c>
      <c r="S380" s="8" t="n">
        <f aca="false">-S375*MEKH_Fee</f>
        <v>-11.7881202314363</v>
      </c>
      <c r="T380" s="8" t="n">
        <f aca="false">-T375*MEKH_Fee</f>
        <v>-11.8702834294495</v>
      </c>
      <c r="U380" s="8" t="n">
        <f aca="false">-U375*MEKH_Fee</f>
        <v>-11.9530193049527</v>
      </c>
      <c r="V380" s="8" t="n">
        <f aca="false">-V375*MEKH_Fee</f>
        <v>-12.0363318495082</v>
      </c>
      <c r="W380" s="8" t="n">
        <f aca="false">-W375*MEKH_Fee</f>
        <v>-12.1202250824993</v>
      </c>
      <c r="X380" s="8" t="n">
        <f aca="false">-X375*MEKH_Fee</f>
        <v>-12.2047030513243</v>
      </c>
      <c r="Y380" s="8" t="n">
        <f aca="false">-Y375*MEKH_Fee</f>
        <v>-12.2897698315921</v>
      </c>
      <c r="Z380" s="8" t="n">
        <f aca="false">-Z375*MEKH_Fee</f>
        <v>-12.3754295273183</v>
      </c>
      <c r="AA380" s="8" t="n">
        <f aca="false">-AA375*MEKH_Fee</f>
        <v>-12.4616862711237</v>
      </c>
      <c r="AB380" s="8" t="n">
        <f aca="false">-AB375*MEKH_Fee</f>
        <v>-12.5485442244334</v>
      </c>
      <c r="AC380" s="8" t="n">
        <f aca="false">-AC375*MEKH_Fee</f>
        <v>-12.6360075776777</v>
      </c>
      <c r="AD380" s="8" t="n">
        <f aca="false">-AD375*MEKH_Fee</f>
        <v>-12.7240805504941</v>
      </c>
      <c r="AE380" s="8" t="n">
        <f aca="false">-AE375*MEKH_Fee</f>
        <v>-12.8127673919311</v>
      </c>
      <c r="AF380" s="8" t="n">
        <f aca="false">-AF375*MEKH_Fee</f>
        <v>-12.9020723806528</v>
      </c>
      <c r="AG380" s="8" t="n">
        <f aca="false">-AG375*MEKH_Fee</f>
        <v>-12.991999825146</v>
      </c>
      <c r="AH380" s="8" t="n">
        <f aca="false">-AH375*MEKH_Fee</f>
        <v>-13.0825540639272</v>
      </c>
      <c r="AI380" s="8" t="n">
        <f aca="false">-AI375*MEKH_Fee</f>
        <v>-13.1737394657528</v>
      </c>
      <c r="AJ380" s="8" t="n">
        <f aca="false">-AJ375*MEKH_Fee</f>
        <v>-13.2655604298291</v>
      </c>
      <c r="AK380" s="8" t="n">
        <f aca="false">-AK375*MEKH_Fee</f>
        <v>-13.358021386025</v>
      </c>
      <c r="AL380" s="8" t="n">
        <f aca="false">-AL375*MEKH_Fee</f>
        <v>-13.4511267950856</v>
      </c>
      <c r="AM380" s="8" t="n">
        <f aca="false">-AM375*MEKH_Fee</f>
        <v>-13.5448811488474</v>
      </c>
      <c r="AN380" s="8" t="n">
        <f aca="false">-AN375*MEKH_Fee</f>
        <v>-13.6392889704548</v>
      </c>
      <c r="AO380" s="8" t="n">
        <f aca="false">-AO375*MEKH_Fee</f>
        <v>-13.7343548145789</v>
      </c>
      <c r="AP380" s="8" t="n">
        <f aca="false">-AP375*MEKH_Fee</f>
        <v>-13.8300832676365</v>
      </c>
      <c r="AQ380" s="8" t="n">
        <f aca="false">-AQ375*MEKH_Fee</f>
        <v>-13.9264789480119</v>
      </c>
      <c r="AR380" s="8" t="n">
        <f aca="false">-AR375*MEKH_Fee</f>
        <v>-14.0235465062796</v>
      </c>
      <c r="AS380" s="8" t="n">
        <f aca="false">-AS375*MEKH_Fee</f>
        <v>-7.06064531271418</v>
      </c>
    </row>
    <row r="381" customFormat="false" ht="14.25" hidden="false" customHeight="false" outlineLevel="0" collapsed="false">
      <c r="C381" s="6" t="s">
        <v>311</v>
      </c>
      <c r="D381" s="2" t="s">
        <v>85</v>
      </c>
      <c r="H381" s="8" t="n">
        <f aca="false">SUM(J381:AS381)</f>
        <v>-4449.16735962342</v>
      </c>
      <c r="J381" s="8" t="n">
        <f aca="false">SUM(J377:J380)*Opex_Cont</f>
        <v>0</v>
      </c>
      <c r="K381" s="8" t="n">
        <f aca="false">SUM(K377:K380)*Opex_Cont</f>
        <v>0</v>
      </c>
      <c r="L381" s="8" t="n">
        <f aca="false">SUM(L377:L380)*Opex_Cont</f>
        <v>0</v>
      </c>
      <c r="M381" s="8" t="n">
        <f aca="false">SUM(M377:M380)*Opex_Cont</f>
        <v>0</v>
      </c>
      <c r="N381" s="8" t="n">
        <f aca="false">SUM(N377:N380)*Opex_Cont</f>
        <v>0</v>
      </c>
      <c r="O381" s="8" t="n">
        <f aca="false">SUM(O377:O380)*Opex_Cont</f>
        <v>-50.849268</v>
      </c>
      <c r="P381" s="8" t="n">
        <f aca="false">SUM(P377:P380)*Opex_Cont</f>
        <v>-104.23242636</v>
      </c>
      <c r="Q381" s="8" t="n">
        <f aca="false">SUM(Q377:Q380)*Opex_Cont</f>
        <v>-106.727750841979</v>
      </c>
      <c r="R381" s="8" t="n">
        <f aca="false">SUM(R377:R380)*Opex_Cont</f>
        <v>-109.283191675854</v>
      </c>
      <c r="S381" s="8" t="n">
        <f aca="false">SUM(S377:S380)*Opex_Cont</f>
        <v>-111.900203156581</v>
      </c>
      <c r="T381" s="8" t="n">
        <f aca="false">SUM(T377:T380)*Opex_Cont</f>
        <v>-114.580274878194</v>
      </c>
      <c r="U381" s="8" t="n">
        <f aca="false">SUM(U377:U380)*Opex_Cont</f>
        <v>-117.32493259313</v>
      </c>
      <c r="V381" s="8" t="n">
        <f aca="false">SUM(V377:V380)*Opex_Cont</f>
        <v>-120.135739092531</v>
      </c>
      <c r="W381" s="8" t="n">
        <f aca="false">SUM(W377:W380)*Opex_Cont</f>
        <v>-123.014295108038</v>
      </c>
      <c r="X381" s="8" t="n">
        <f aca="false">SUM(X377:X380)*Opex_Cont</f>
        <v>-125.962240235597</v>
      </c>
      <c r="Y381" s="8" t="n">
        <f aca="false">SUM(Y377:Y380)*Opex_Cont</f>
        <v>-128.981253881817</v>
      </c>
      <c r="Z381" s="8" t="n">
        <f aca="false">SUM(Z377:Z380)*Opex_Cont</f>
        <v>-132.073056233439</v>
      </c>
      <c r="AA381" s="8" t="n">
        <f aca="false">SUM(AA377:AA380)*Opex_Cont</f>
        <v>-135.239409250474</v>
      </c>
      <c r="AB381" s="8" t="n">
        <f aca="false">SUM(AB377:AB380)*Opex_Cont</f>
        <v>-138.482117683592</v>
      </c>
      <c r="AC381" s="8" t="n">
        <f aca="false">SUM(AC377:AC380)*Opex_Cont</f>
        <v>-141.803030116351</v>
      </c>
      <c r="AD381" s="8" t="n">
        <f aca="false">SUM(AD377:AD380)*Opex_Cont</f>
        <v>-145.204040032888</v>
      </c>
      <c r="AE381" s="8" t="n">
        <f aca="false">SUM(AE377:AE380)*Opex_Cont</f>
        <v>-148.687086911677</v>
      </c>
      <c r="AF381" s="8" t="n">
        <f aca="false">SUM(AF377:AF380)*Opex_Cont</f>
        <v>-152.254157346006</v>
      </c>
      <c r="AG381" s="8" t="n">
        <f aca="false">SUM(AG377:AG380)*Opex_Cont</f>
        <v>-155.907286191817</v>
      </c>
      <c r="AH381" s="8" t="n">
        <f aca="false">SUM(AH377:AH380)*Opex_Cont</f>
        <v>-159.648557743592</v>
      </c>
      <c r="AI381" s="8" t="n">
        <f aca="false">SUM(AI377:AI380)*Opex_Cont</f>
        <v>-163.480106938954</v>
      </c>
      <c r="AJ381" s="8" t="n">
        <f aca="false">SUM(AJ377:AJ380)*Opex_Cont</f>
        <v>-167.404120592706</v>
      </c>
      <c r="AK381" s="8" t="n">
        <f aca="false">SUM(AK377:AK380)*Opex_Cont</f>
        <v>-171.422838661011</v>
      </c>
      <c r="AL381" s="8" t="n">
        <f aca="false">SUM(AL377:AL380)*Opex_Cont</f>
        <v>-175.538555536462</v>
      </c>
      <c r="AM381" s="8" t="n">
        <f aca="false">SUM(AM377:AM380)*Opex_Cont</f>
        <v>-179.753621374795</v>
      </c>
      <c r="AN381" s="8" t="n">
        <f aca="false">SUM(AN377:AN380)*Opex_Cont</f>
        <v>-184.070443454021</v>
      </c>
      <c r="AO381" s="8" t="n">
        <f aca="false">SUM(AO377:AO380)*Opex_Cont</f>
        <v>-188.491487566773</v>
      </c>
      <c r="AP381" s="8" t="n">
        <f aca="false">SUM(AP377:AP380)*Opex_Cont</f>
        <v>-193.019279446671</v>
      </c>
      <c r="AQ381" s="8" t="n">
        <f aca="false">SUM(AQ377:AQ380)*Opex_Cont</f>
        <v>-197.656406229554</v>
      </c>
      <c r="AR381" s="8" t="n">
        <f aca="false">SUM(AR377:AR380)*Opex_Cont</f>
        <v>-202.405517950427</v>
      </c>
      <c r="AS381" s="8" t="n">
        <f aca="false">SUM(AS377:AS380)*Opex_Cont</f>
        <v>-103.634664538493</v>
      </c>
    </row>
    <row r="382" customFormat="false" ht="14.25" hidden="false" customHeight="false" outlineLevel="0" collapsed="false">
      <c r="C382" s="6" t="s">
        <v>312</v>
      </c>
      <c r="D382" s="2" t="s">
        <v>85</v>
      </c>
      <c r="H382" s="8" t="n">
        <f aca="false">SUM(J382:AS382)</f>
        <v>0</v>
      </c>
      <c r="J382" s="8" t="n">
        <f aca="false">-J373*$E$12</f>
        <v>-0</v>
      </c>
      <c r="K382" s="8" t="n">
        <f aca="false">-K373*$E$12</f>
        <v>-0</v>
      </c>
      <c r="L382" s="8" t="n">
        <f aca="false">-L373*$E$12</f>
        <v>-0</v>
      </c>
      <c r="M382" s="8" t="n">
        <f aca="false">-M373*$E$12</f>
        <v>-0</v>
      </c>
      <c r="N382" s="8" t="n">
        <f aca="false">-N373*$E$12</f>
        <v>-0</v>
      </c>
      <c r="O382" s="8" t="n">
        <f aca="false">-O373*$E$12</f>
        <v>-0</v>
      </c>
      <c r="P382" s="8" t="n">
        <f aca="false">-P373*$E$12</f>
        <v>-0</v>
      </c>
      <c r="Q382" s="8" t="n">
        <f aca="false">-Q373*$E$12</f>
        <v>-0</v>
      </c>
      <c r="R382" s="8" t="n">
        <f aca="false">-R373*$E$12</f>
        <v>-0</v>
      </c>
      <c r="S382" s="8" t="n">
        <f aca="false">-S373*$E$12</f>
        <v>-0</v>
      </c>
      <c r="T382" s="8" t="n">
        <f aca="false">-T373*$E$12</f>
        <v>-0</v>
      </c>
      <c r="U382" s="8" t="n">
        <f aca="false">-U373*$E$12</f>
        <v>-0</v>
      </c>
      <c r="V382" s="8" t="n">
        <f aca="false">-V373*$E$12</f>
        <v>-0</v>
      </c>
      <c r="W382" s="8" t="n">
        <f aca="false">-W373*$E$12</f>
        <v>-0</v>
      </c>
      <c r="X382" s="8" t="n">
        <f aca="false">-X373*$E$12</f>
        <v>-0</v>
      </c>
      <c r="Y382" s="8" t="n">
        <f aca="false">-Y373*$E$12</f>
        <v>-0</v>
      </c>
      <c r="Z382" s="8" t="n">
        <f aca="false">-Z373*$E$12</f>
        <v>-0</v>
      </c>
      <c r="AA382" s="8" t="n">
        <f aca="false">-AA373*$E$12</f>
        <v>-0</v>
      </c>
      <c r="AB382" s="8" t="n">
        <f aca="false">-AB373*$E$12</f>
        <v>-0</v>
      </c>
      <c r="AC382" s="8" t="n">
        <f aca="false">-AC373*$E$12</f>
        <v>-0</v>
      </c>
      <c r="AD382" s="8" t="n">
        <f aca="false">-AD373*$E$12</f>
        <v>-0</v>
      </c>
      <c r="AE382" s="8" t="n">
        <f aca="false">-AE373*$E$12</f>
        <v>-0</v>
      </c>
      <c r="AF382" s="8" t="n">
        <f aca="false">-AF373*$E$12</f>
        <v>-0</v>
      </c>
      <c r="AG382" s="8" t="n">
        <f aca="false">-AG373*$E$12</f>
        <v>-0</v>
      </c>
      <c r="AH382" s="8" t="n">
        <f aca="false">-AH373*$E$12</f>
        <v>-0</v>
      </c>
      <c r="AI382" s="8" t="n">
        <f aca="false">-AI373*$E$12</f>
        <v>-0</v>
      </c>
      <c r="AJ382" s="8" t="n">
        <f aca="false">-AJ373*$E$12</f>
        <v>-0</v>
      </c>
      <c r="AK382" s="8" t="n">
        <f aca="false">-AK373*$E$12</f>
        <v>-0</v>
      </c>
      <c r="AL382" s="8" t="n">
        <f aca="false">-AL373*$E$12</f>
        <v>-0</v>
      </c>
      <c r="AM382" s="8" t="n">
        <f aca="false">-AM373*$E$12</f>
        <v>-0</v>
      </c>
      <c r="AN382" s="8" t="n">
        <f aca="false">-AN373*$E$12</f>
        <v>-0</v>
      </c>
      <c r="AO382" s="8" t="n">
        <f aca="false">-AO373*$E$12</f>
        <v>-0</v>
      </c>
      <c r="AP382" s="8" t="n">
        <f aca="false">-AP373*$E$12</f>
        <v>-0</v>
      </c>
      <c r="AQ382" s="8" t="n">
        <f aca="false">-AQ373*$E$12</f>
        <v>-0</v>
      </c>
      <c r="AR382" s="8" t="n">
        <f aca="false">-AR373*$E$12</f>
        <v>-0</v>
      </c>
      <c r="AS382" s="8" t="n">
        <f aca="false">-AS373*$E$12</f>
        <v>-0</v>
      </c>
    </row>
    <row r="383" customFormat="false" ht="14.25" hidden="false" customHeight="false" outlineLevel="0" collapsed="false">
      <c r="C383" s="6" t="s">
        <v>313</v>
      </c>
      <c r="D383" s="2" t="s">
        <v>85</v>
      </c>
      <c r="H383" s="8" t="n">
        <f aca="false">SUM(J383:AS383)</f>
        <v>-7647.95461250493</v>
      </c>
      <c r="J383" s="8" t="n">
        <f aca="false">-J375*HIPA_Rate</f>
        <v>-0</v>
      </c>
      <c r="K383" s="8" t="n">
        <f aca="false">-K375*HIPA_Rate</f>
        <v>-0</v>
      </c>
      <c r="L383" s="8" t="n">
        <f aca="false">-L375*HIPA_Rate</f>
        <v>-0</v>
      </c>
      <c r="M383" s="8" t="n">
        <f aca="false">-M375*HIPA_Rate</f>
        <v>-0</v>
      </c>
      <c r="N383" s="8" t="n">
        <f aca="false">-N375*HIPA_Rate</f>
        <v>-0</v>
      </c>
      <c r="O383" s="8" t="n">
        <f aca="false">-O375*HIPA_Rate</f>
        <v>-114.3072</v>
      </c>
      <c r="P383" s="8" t="n">
        <f aca="false">-P375*HIPA_Rate</f>
        <v>-230.900544</v>
      </c>
      <c r="Q383" s="8" t="n">
        <f aca="false">-Q375*HIPA_Rate</f>
        <v>-232.50992079168</v>
      </c>
      <c r="R383" s="8" t="n">
        <f aca="false">-R375*HIPA_Rate</f>
        <v>-234.130514939598</v>
      </c>
      <c r="S383" s="8" t="n">
        <f aca="false">-S375*HIPA_Rate</f>
        <v>-235.762404628727</v>
      </c>
      <c r="T383" s="8" t="n">
        <f aca="false">-T375*HIPA_Rate</f>
        <v>-237.405668588989</v>
      </c>
      <c r="U383" s="8" t="n">
        <f aca="false">-U375*HIPA_Rate</f>
        <v>-239.060386099055</v>
      </c>
      <c r="V383" s="8" t="n">
        <f aca="false">-V375*HIPA_Rate</f>
        <v>-240.726636990165</v>
      </c>
      <c r="W383" s="8" t="n">
        <f aca="false">-W375*HIPA_Rate</f>
        <v>-242.404501649986</v>
      </c>
      <c r="X383" s="8" t="n">
        <f aca="false">-X375*HIPA_Rate</f>
        <v>-244.094061026487</v>
      </c>
      <c r="Y383" s="8" t="n">
        <f aca="false">-Y375*HIPA_Rate</f>
        <v>-245.795396631841</v>
      </c>
      <c r="Z383" s="8" t="n">
        <f aca="false">-Z375*HIPA_Rate</f>
        <v>-247.508590546365</v>
      </c>
      <c r="AA383" s="8" t="n">
        <f aca="false">-AA375*HIPA_Rate</f>
        <v>-249.233725422473</v>
      </c>
      <c r="AB383" s="8" t="n">
        <f aca="false">-AB375*HIPA_Rate</f>
        <v>-250.970884488668</v>
      </c>
      <c r="AC383" s="8" t="n">
        <f aca="false">-AC375*HIPA_Rate</f>
        <v>-252.720151553554</v>
      </c>
      <c r="AD383" s="8" t="n">
        <f aca="false">-AD375*HIPA_Rate</f>
        <v>-254.481611009882</v>
      </c>
      <c r="AE383" s="8" t="n">
        <f aca="false">-AE375*HIPA_Rate</f>
        <v>-256.255347838621</v>
      </c>
      <c r="AF383" s="8" t="n">
        <f aca="false">-AF375*HIPA_Rate</f>
        <v>-258.041447613056</v>
      </c>
      <c r="AG383" s="8" t="n">
        <f aca="false">-AG375*HIPA_Rate</f>
        <v>-259.83999650292</v>
      </c>
      <c r="AH383" s="8" t="n">
        <f aca="false">-AH375*HIPA_Rate</f>
        <v>-261.651081278545</v>
      </c>
      <c r="AI383" s="8" t="n">
        <f aca="false">-AI375*HIPA_Rate</f>
        <v>-263.474789315056</v>
      </c>
      <c r="AJ383" s="8" t="n">
        <f aca="false">-AJ375*HIPA_Rate</f>
        <v>-265.311208596582</v>
      </c>
      <c r="AK383" s="8" t="n">
        <f aca="false">-AK375*HIPA_Rate</f>
        <v>-267.1604277205</v>
      </c>
      <c r="AL383" s="8" t="n">
        <f aca="false">-AL375*HIPA_Rate</f>
        <v>-269.022535901712</v>
      </c>
      <c r="AM383" s="8" t="n">
        <f aca="false">-AM375*HIPA_Rate</f>
        <v>-270.897622976947</v>
      </c>
      <c r="AN383" s="8" t="n">
        <f aca="false">-AN375*HIPA_Rate</f>
        <v>-272.785779409097</v>
      </c>
      <c r="AO383" s="8" t="n">
        <f aca="false">-AO375*HIPA_Rate</f>
        <v>-274.687096291578</v>
      </c>
      <c r="AP383" s="8" t="n">
        <f aca="false">-AP375*HIPA_Rate</f>
        <v>-276.60166535273</v>
      </c>
      <c r="AQ383" s="8" t="n">
        <f aca="false">-AQ375*HIPA_Rate</f>
        <v>-278.529578960239</v>
      </c>
      <c r="AR383" s="8" t="n">
        <f aca="false">-AR375*HIPA_Rate</f>
        <v>-280.470930125592</v>
      </c>
      <c r="AS383" s="8" t="n">
        <f aca="false">-AS375*HIPA_Rate</f>
        <v>-141.212906254284</v>
      </c>
    </row>
    <row r="384" customFormat="false" ht="14.25" hidden="false" customHeight="false" outlineLevel="0" collapsed="false">
      <c r="C384" s="1" t="s">
        <v>314</v>
      </c>
      <c r="D384" s="2" t="s">
        <v>85</v>
      </c>
      <c r="H384" s="32" t="n">
        <f aca="false">SUM(J384:AS384)</f>
        <v>-101080.469164597</v>
      </c>
      <c r="J384" s="32" t="n">
        <f aca="false">SUM(J377:J383)</f>
        <v>0</v>
      </c>
      <c r="K384" s="32" t="n">
        <f aca="false">SUM(K377:K383)</f>
        <v>0</v>
      </c>
      <c r="L384" s="32" t="n">
        <f aca="false">SUM(L377:L383)</f>
        <v>0</v>
      </c>
      <c r="M384" s="32" t="n">
        <f aca="false">SUM(M377:M383)</f>
        <v>0</v>
      </c>
      <c r="N384" s="32" t="n">
        <f aca="false">SUM(N377:N383)</f>
        <v>0</v>
      </c>
      <c r="O384" s="32" t="n">
        <f aca="false">SUM(O377:O383)</f>
        <v>-1182.141828</v>
      </c>
      <c r="P384" s="32" t="n">
        <f aca="false">SUM(P377:P383)</f>
        <v>-2419.78149756</v>
      </c>
      <c r="Q384" s="32" t="n">
        <f aca="false">SUM(Q377:Q383)</f>
        <v>-2473.79268847324</v>
      </c>
      <c r="R384" s="32" t="n">
        <f aca="false">SUM(R377:R383)</f>
        <v>-2529.07754013253</v>
      </c>
      <c r="S384" s="32" t="n">
        <f aca="false">SUM(S377:S383)</f>
        <v>-2585.66667091693</v>
      </c>
      <c r="T384" s="32" t="n">
        <f aca="false">SUM(T377:T383)</f>
        <v>-2643.59144103106</v>
      </c>
      <c r="U384" s="32" t="n">
        <f aca="false">SUM(U377:U383)</f>
        <v>-2702.88397055478</v>
      </c>
      <c r="V384" s="32" t="n">
        <f aca="false">SUM(V377:V383)</f>
        <v>-2763.57715793331</v>
      </c>
      <c r="W384" s="32" t="n">
        <f aca="false">SUM(W377:W383)</f>
        <v>-2825.70469891879</v>
      </c>
      <c r="X384" s="32" t="n">
        <f aca="false">SUM(X377:X383)</f>
        <v>-2889.30110597403</v>
      </c>
      <c r="Y384" s="32" t="n">
        <f aca="false">SUM(Y377:Y383)</f>
        <v>-2954.40172814999</v>
      </c>
      <c r="Z384" s="32" t="n">
        <f aca="false">SUM(Z377:Z383)</f>
        <v>-3021.04277144858</v>
      </c>
      <c r="AA384" s="32" t="n">
        <f aca="false">SUM(AA377:AA383)</f>
        <v>-3089.26131968243</v>
      </c>
      <c r="AB384" s="32" t="n">
        <f aca="false">SUM(AB377:AB383)</f>
        <v>-3159.09535584409</v>
      </c>
      <c r="AC384" s="32" t="n">
        <f aca="false">SUM(AC377:AC383)</f>
        <v>-3230.58378399692</v>
      </c>
      <c r="AD384" s="32" t="n">
        <f aca="false">SUM(AD377:AD383)</f>
        <v>-3303.76645170053</v>
      </c>
      <c r="AE384" s="32" t="n">
        <f aca="false">SUM(AE377:AE383)</f>
        <v>-3378.68417298384</v>
      </c>
      <c r="AF384" s="32" t="n">
        <f aca="false">SUM(AF377:AF383)</f>
        <v>-3455.37875187918</v>
      </c>
      <c r="AG384" s="32" t="n">
        <f aca="false">SUM(AG377:AG383)</f>
        <v>-3533.89300653108</v>
      </c>
      <c r="AH384" s="32" t="n">
        <f aca="false">SUM(AH377:AH383)</f>
        <v>-3614.27079389397</v>
      </c>
      <c r="AI384" s="32" t="n">
        <f aca="false">SUM(AI377:AI383)</f>
        <v>-3696.55703503309</v>
      </c>
      <c r="AJ384" s="32" t="n">
        <f aca="false">SUM(AJ377:AJ383)</f>
        <v>-3780.79774104342</v>
      </c>
      <c r="AK384" s="32" t="n">
        <f aca="false">SUM(AK377:AK383)</f>
        <v>-3867.04003960174</v>
      </c>
      <c r="AL384" s="32" t="n">
        <f aca="false">SUM(AL377:AL383)</f>
        <v>-3955.33220216742</v>
      </c>
      <c r="AM384" s="32" t="n">
        <f aca="false">SUM(AM377:AM383)</f>
        <v>-4045.72367184764</v>
      </c>
      <c r="AN384" s="32" t="n">
        <f aca="false">SUM(AN377:AN383)</f>
        <v>-4138.26509194355</v>
      </c>
      <c r="AO384" s="32" t="n">
        <f aca="false">SUM(AO377:AO383)</f>
        <v>-4233.00833519381</v>
      </c>
      <c r="AP384" s="32" t="n">
        <f aca="false">SUM(AP377:AP383)</f>
        <v>-4330.00653373281</v>
      </c>
      <c r="AQ384" s="32" t="n">
        <f aca="false">SUM(AQ377:AQ383)</f>
        <v>-4429.31410978088</v>
      </c>
      <c r="AR384" s="32" t="n">
        <f aca="false">SUM(AR377:AR383)</f>
        <v>-4530.98680708456</v>
      </c>
      <c r="AS384" s="32" t="n">
        <f aca="false">SUM(AS377:AS383)</f>
        <v>-2317.54086156264</v>
      </c>
    </row>
    <row r="385" customFormat="false" ht="14.25" hidden="false" customHeight="false" outlineLevel="0" collapsed="false">
      <c r="C385" s="1" t="s">
        <v>160</v>
      </c>
      <c r="D385" s="2" t="s">
        <v>85</v>
      </c>
      <c r="H385" s="15" t="n">
        <f aca="false">SUM(J385:AS385)</f>
        <v>281317.26146065</v>
      </c>
      <c r="J385" s="15" t="n">
        <f aca="false">J375+J384</f>
        <v>0</v>
      </c>
      <c r="K385" s="15" t="n">
        <f aca="false">K375+K384</f>
        <v>0</v>
      </c>
      <c r="L385" s="15" t="n">
        <f aca="false">L375+L384</f>
        <v>0</v>
      </c>
      <c r="M385" s="15" t="n">
        <f aca="false">M375+M384</f>
        <v>0</v>
      </c>
      <c r="N385" s="15" t="n">
        <f aca="false">N375+N384</f>
        <v>0</v>
      </c>
      <c r="O385" s="15" t="n">
        <f aca="false">O375+O384</f>
        <v>4533.218172</v>
      </c>
      <c r="P385" s="15" t="n">
        <f aca="false">P375+P384</f>
        <v>9125.24570244</v>
      </c>
      <c r="Q385" s="15" t="n">
        <f aca="false">Q375+Q384</f>
        <v>9151.70335111076</v>
      </c>
      <c r="R385" s="15" t="n">
        <f aca="false">R375+R384</f>
        <v>9177.44820684737</v>
      </c>
      <c r="S385" s="15" t="n">
        <f aca="false">S375+S384</f>
        <v>9202.45356051942</v>
      </c>
      <c r="T385" s="15" t="n">
        <f aca="false">T375+T384</f>
        <v>9226.6919884184</v>
      </c>
      <c r="U385" s="15" t="n">
        <f aca="false">U375+U384</f>
        <v>9250.13533439795</v>
      </c>
      <c r="V385" s="15" t="n">
        <f aca="false">V375+V384</f>
        <v>9272.75469157493</v>
      </c>
      <c r="W385" s="15" t="n">
        <f aca="false">W375+W384</f>
        <v>9294.52038358052</v>
      </c>
      <c r="X385" s="15" t="n">
        <f aca="false">X375+X384</f>
        <v>9315.40194535031</v>
      </c>
      <c r="Y385" s="15" t="n">
        <f aca="false">Y375+Y384</f>
        <v>9335.36810344208</v>
      </c>
      <c r="Z385" s="15" t="n">
        <f aca="false">Z375+Z384</f>
        <v>9354.38675586968</v>
      </c>
      <c r="AA385" s="15" t="n">
        <f aca="false">AA375+AA384</f>
        <v>9372.42495144124</v>
      </c>
      <c r="AB385" s="15" t="n">
        <f aca="false">AB375+AB384</f>
        <v>9389.44886858932</v>
      </c>
      <c r="AC385" s="15" t="n">
        <f aca="false">AC375+AC384</f>
        <v>9405.42379368079</v>
      </c>
      <c r="AD385" s="15" t="n">
        <f aca="false">AD375+AD384</f>
        <v>9420.31409879359</v>
      </c>
      <c r="AE385" s="15" t="n">
        <f aca="false">AE375+AE384</f>
        <v>9434.08321894722</v>
      </c>
      <c r="AF385" s="15" t="n">
        <f aca="false">AF375+AF384</f>
        <v>9446.69362877364</v>
      </c>
      <c r="AG385" s="15" t="n">
        <f aca="false">AG375+AG384</f>
        <v>9458.1068186149</v>
      </c>
      <c r="AH385" s="15" t="n">
        <f aca="false">AH375+AH384</f>
        <v>9468.28327003328</v>
      </c>
      <c r="AI385" s="15" t="n">
        <f aca="false">AI375+AI384</f>
        <v>9477.18243071973</v>
      </c>
      <c r="AJ385" s="15" t="n">
        <f aca="false">AJ375+AJ384</f>
        <v>9484.7626887857</v>
      </c>
      <c r="AK385" s="15" t="n">
        <f aca="false">AK375+AK384</f>
        <v>9490.98134642328</v>
      </c>
      <c r="AL385" s="15" t="n">
        <f aca="false">AL375+AL384</f>
        <v>9495.7945929182</v>
      </c>
      <c r="AM385" s="15" t="n">
        <f aca="false">AM375+AM384</f>
        <v>9499.15747699973</v>
      </c>
      <c r="AN385" s="15" t="n">
        <f aca="false">AN375+AN384</f>
        <v>9501.02387851128</v>
      </c>
      <c r="AO385" s="15" t="n">
        <f aca="false">AO375+AO384</f>
        <v>9501.34647938509</v>
      </c>
      <c r="AP385" s="15" t="n">
        <f aca="false">AP375+AP384</f>
        <v>9500.07673390371</v>
      </c>
      <c r="AQ385" s="15" t="n">
        <f aca="false">AQ375+AQ384</f>
        <v>9497.16483823106</v>
      </c>
      <c r="AR385" s="15" t="n">
        <f aca="false">AR375+AR384</f>
        <v>9492.55969919502</v>
      </c>
      <c r="AS385" s="15" t="n">
        <f aca="false">AS375+AS384</f>
        <v>4743.10445115153</v>
      </c>
    </row>
    <row r="386" customFormat="false" ht="14.25" hidden="false" customHeight="false" outlineLevel="0" collapsed="false">
      <c r="C386" s="1" t="s">
        <v>315</v>
      </c>
      <c r="D386" s="2" t="s">
        <v>85</v>
      </c>
      <c r="H386" s="32" t="n">
        <f aca="false">SUM(J386:AS386)</f>
        <v>209225.327688047</v>
      </c>
      <c r="J386" s="32" t="n">
        <f aca="false">J371+J385</f>
        <v>0</v>
      </c>
      <c r="K386" s="32" t="n">
        <f aca="false">K371+K385</f>
        <v>0</v>
      </c>
      <c r="L386" s="32" t="n">
        <f aca="false">L371+L385</f>
        <v>0</v>
      </c>
      <c r="M386" s="32" t="n">
        <f aca="false">M371+M385</f>
        <v>-33450.8995260274</v>
      </c>
      <c r="N386" s="32" t="n">
        <f aca="false">N371+N385</f>
        <v>-26389</v>
      </c>
      <c r="O386" s="32" t="n">
        <f aca="false">O371+O385</f>
        <v>-9661.281828</v>
      </c>
      <c r="P386" s="32" t="n">
        <f aca="false">P371+P385</f>
        <v>9125.24570244</v>
      </c>
      <c r="Q386" s="32" t="n">
        <f aca="false">Q371+Q385</f>
        <v>11094.1691045354</v>
      </c>
      <c r="R386" s="32" t="n">
        <f aca="false">R371+R385</f>
        <v>9177.44820684737</v>
      </c>
      <c r="S386" s="32" t="n">
        <f aca="false">S371+S385</f>
        <v>9202.45356051942</v>
      </c>
      <c r="T386" s="32" t="n">
        <f aca="false">T371+T385</f>
        <v>9226.6919884184</v>
      </c>
      <c r="U386" s="32" t="n">
        <f aca="false">U371+U385</f>
        <v>9250.13533439795</v>
      </c>
      <c r="V386" s="32" t="n">
        <f aca="false">V371+V385</f>
        <v>9272.75469157493</v>
      </c>
      <c r="W386" s="32" t="n">
        <f aca="false">W371+W385</f>
        <v>9294.52038358052</v>
      </c>
      <c r="X386" s="32" t="n">
        <f aca="false">X371+X385</f>
        <v>9315.40194535031</v>
      </c>
      <c r="Y386" s="32" t="n">
        <f aca="false">Y371+Y385</f>
        <v>9335.36810344208</v>
      </c>
      <c r="Z386" s="32" t="n">
        <f aca="false">Z371+Z385</f>
        <v>9354.38675586968</v>
      </c>
      <c r="AA386" s="32" t="n">
        <f aca="false">AA371+AA385</f>
        <v>9372.42495144124</v>
      </c>
      <c r="AB386" s="32" t="n">
        <f aca="false">AB371+AB385</f>
        <v>9389.44886858932</v>
      </c>
      <c r="AC386" s="32" t="n">
        <f aca="false">AC371+AC385</f>
        <v>9405.42379368079</v>
      </c>
      <c r="AD386" s="32" t="n">
        <f aca="false">AD371+AD385</f>
        <v>9420.31409879359</v>
      </c>
      <c r="AE386" s="32" t="n">
        <f aca="false">AE371+AE385</f>
        <v>9434.08321894722</v>
      </c>
      <c r="AF386" s="32" t="n">
        <f aca="false">AF371+AF385</f>
        <v>9446.69362877364</v>
      </c>
      <c r="AG386" s="32" t="n">
        <f aca="false">AG371+AG385</f>
        <v>9458.1068186149</v>
      </c>
      <c r="AH386" s="32" t="n">
        <f aca="false">AH371+AH385</f>
        <v>9468.28327003328</v>
      </c>
      <c r="AI386" s="32" t="n">
        <f aca="false">AI371+AI385</f>
        <v>9477.18243071973</v>
      </c>
      <c r="AJ386" s="32" t="n">
        <f aca="false">AJ371+AJ385</f>
        <v>9484.7626887857</v>
      </c>
      <c r="AK386" s="32" t="n">
        <f aca="false">AK371+AK385</f>
        <v>9490.98134642328</v>
      </c>
      <c r="AL386" s="32" t="n">
        <f aca="false">AL371+AL385</f>
        <v>9495.7945929182</v>
      </c>
      <c r="AM386" s="32" t="n">
        <f aca="false">AM371+AM385</f>
        <v>9499.15747699973</v>
      </c>
      <c r="AN386" s="32" t="n">
        <f aca="false">AN371+AN385</f>
        <v>9501.02387851128</v>
      </c>
      <c r="AO386" s="32" t="n">
        <f aca="false">AO371+AO385</f>
        <v>9501.34647938509</v>
      </c>
      <c r="AP386" s="32" t="n">
        <f aca="false">AP371+AP385</f>
        <v>9500.07673390371</v>
      </c>
      <c r="AQ386" s="32" t="n">
        <f aca="false">AQ371+AQ385</f>
        <v>9497.16483823106</v>
      </c>
      <c r="AR386" s="32" t="n">
        <f aca="false">AR371+AR385</f>
        <v>9492.55969919502</v>
      </c>
      <c r="AS386" s="32" t="n">
        <f aca="false">AS371+AS385</f>
        <v>4743.10445115153</v>
      </c>
    </row>
    <row r="387" customFormat="false" ht="14.25" hidden="false" customHeight="false" outlineLevel="0" collapsed="false">
      <c r="C387" s="6" t="s">
        <v>316</v>
      </c>
      <c r="D387" s="2" t="s">
        <v>85</v>
      </c>
      <c r="H387" s="8" t="n">
        <f aca="false">SUM(J387:AS387)</f>
        <v>-72091.9337726027</v>
      </c>
      <c r="J387" s="8" t="n">
        <f aca="false">-$E$99/Tax_Dep_Life*(J361&gt;=0)*(J361&lt;Tax_Dep_Life)</f>
        <v>-0</v>
      </c>
      <c r="K387" s="8" t="n">
        <f aca="false">-$E$99/Tax_Dep_Life*(K361&gt;=0)*(K361&lt;Tax_Dep_Life)</f>
        <v>-0</v>
      </c>
      <c r="L387" s="8" t="n">
        <f aca="false">-$E$99/Tax_Dep_Life*(L361&gt;=0)*(L361&lt;Tax_Dep_Life)</f>
        <v>-0</v>
      </c>
      <c r="M387" s="8" t="n">
        <f aca="false">-$E$99/Tax_Dep_Life*(M361&gt;=0)*(M361&lt;Tax_Dep_Life)</f>
        <v>-0</v>
      </c>
      <c r="N387" s="8" t="n">
        <f aca="false">-$E$99/Tax_Dep_Life*(N361&gt;=0)*(N361&lt;Tax_Dep_Life)</f>
        <v>-0</v>
      </c>
      <c r="O387" s="8" t="n">
        <f aca="false">-$E$99/Tax_Dep_Life*(O361&gt;=0)*(O361&lt;Tax_Dep_Life)</f>
        <v>-3604.59668863014</v>
      </c>
      <c r="P387" s="8" t="n">
        <f aca="false">-$E$99/Tax_Dep_Life*(P361&gt;=0)*(P361&lt;Tax_Dep_Life)</f>
        <v>-3604.59668863014</v>
      </c>
      <c r="Q387" s="8" t="n">
        <f aca="false">-$E$99/Tax_Dep_Life*(Q361&gt;=0)*(Q361&lt;Tax_Dep_Life)</f>
        <v>-3604.59668863014</v>
      </c>
      <c r="R387" s="8" t="n">
        <f aca="false">-$E$99/Tax_Dep_Life*(R361&gt;=0)*(R361&lt;Tax_Dep_Life)</f>
        <v>-3604.59668863014</v>
      </c>
      <c r="S387" s="8" t="n">
        <f aca="false">-$E$99/Tax_Dep_Life*(S361&gt;=0)*(S361&lt;Tax_Dep_Life)</f>
        <v>-3604.59668863014</v>
      </c>
      <c r="T387" s="8" t="n">
        <f aca="false">-$E$99/Tax_Dep_Life*(T361&gt;=0)*(T361&lt;Tax_Dep_Life)</f>
        <v>-3604.59668863014</v>
      </c>
      <c r="U387" s="8" t="n">
        <f aca="false">-$E$99/Tax_Dep_Life*(U361&gt;=0)*(U361&lt;Tax_Dep_Life)</f>
        <v>-3604.59668863014</v>
      </c>
      <c r="V387" s="8" t="n">
        <f aca="false">-$E$99/Tax_Dep_Life*(V361&gt;=0)*(V361&lt;Tax_Dep_Life)</f>
        <v>-3604.59668863014</v>
      </c>
      <c r="W387" s="8" t="n">
        <f aca="false">-$E$99/Tax_Dep_Life*(W361&gt;=0)*(W361&lt;Tax_Dep_Life)</f>
        <v>-3604.59668863014</v>
      </c>
      <c r="X387" s="8" t="n">
        <f aca="false">-$E$99/Tax_Dep_Life*(X361&gt;=0)*(X361&lt;Tax_Dep_Life)</f>
        <v>-3604.59668863014</v>
      </c>
      <c r="Y387" s="8" t="n">
        <f aca="false">-$E$99/Tax_Dep_Life*(Y361&gt;=0)*(Y361&lt;Tax_Dep_Life)</f>
        <v>-3604.59668863014</v>
      </c>
      <c r="Z387" s="8" t="n">
        <f aca="false">-$E$99/Tax_Dep_Life*(Z361&gt;=0)*(Z361&lt;Tax_Dep_Life)</f>
        <v>-3604.59668863014</v>
      </c>
      <c r="AA387" s="8" t="n">
        <f aca="false">-$E$99/Tax_Dep_Life*(AA361&gt;=0)*(AA361&lt;Tax_Dep_Life)</f>
        <v>-3604.59668863014</v>
      </c>
      <c r="AB387" s="8" t="n">
        <f aca="false">-$E$99/Tax_Dep_Life*(AB361&gt;=0)*(AB361&lt;Tax_Dep_Life)</f>
        <v>-3604.59668863014</v>
      </c>
      <c r="AC387" s="8" t="n">
        <f aca="false">-$E$99/Tax_Dep_Life*(AC361&gt;=0)*(AC361&lt;Tax_Dep_Life)</f>
        <v>-3604.59668863014</v>
      </c>
      <c r="AD387" s="8" t="n">
        <f aca="false">-$E$99/Tax_Dep_Life*(AD361&gt;=0)*(AD361&lt;Tax_Dep_Life)</f>
        <v>-3604.59668863014</v>
      </c>
      <c r="AE387" s="8" t="n">
        <f aca="false">-$E$99/Tax_Dep_Life*(AE361&gt;=0)*(AE361&lt;Tax_Dep_Life)</f>
        <v>-3604.59668863014</v>
      </c>
      <c r="AF387" s="8" t="n">
        <f aca="false">-$E$99/Tax_Dep_Life*(AF361&gt;=0)*(AF361&lt;Tax_Dep_Life)</f>
        <v>-3604.59668863014</v>
      </c>
      <c r="AG387" s="8" t="n">
        <f aca="false">-$E$99/Tax_Dep_Life*(AG361&gt;=0)*(AG361&lt;Tax_Dep_Life)</f>
        <v>-3604.59668863014</v>
      </c>
      <c r="AH387" s="8" t="n">
        <f aca="false">-$E$99/Tax_Dep_Life*(AH361&gt;=0)*(AH361&lt;Tax_Dep_Life)</f>
        <v>-3604.59668863014</v>
      </c>
      <c r="AI387" s="8" t="n">
        <f aca="false">-$E$99/Tax_Dep_Life*(AI361&gt;=0)*(AI361&lt;Tax_Dep_Life)</f>
        <v>-0</v>
      </c>
      <c r="AJ387" s="8" t="n">
        <f aca="false">-$E$99/Tax_Dep_Life*(AJ361&gt;=0)*(AJ361&lt;Tax_Dep_Life)</f>
        <v>-0</v>
      </c>
      <c r="AK387" s="8" t="n">
        <f aca="false">-$E$99/Tax_Dep_Life*(AK361&gt;=0)*(AK361&lt;Tax_Dep_Life)</f>
        <v>-0</v>
      </c>
      <c r="AL387" s="8" t="n">
        <f aca="false">-$E$99/Tax_Dep_Life*(AL361&gt;=0)*(AL361&lt;Tax_Dep_Life)</f>
        <v>-0</v>
      </c>
      <c r="AM387" s="8" t="n">
        <f aca="false">-$E$99/Tax_Dep_Life*(AM361&gt;=0)*(AM361&lt;Tax_Dep_Life)</f>
        <v>-0</v>
      </c>
      <c r="AN387" s="8" t="n">
        <f aca="false">-$E$99/Tax_Dep_Life*(AN361&gt;=0)*(AN361&lt;Tax_Dep_Life)</f>
        <v>-0</v>
      </c>
      <c r="AO387" s="8" t="n">
        <f aca="false">-$E$99/Tax_Dep_Life*(AO361&gt;=0)*(AO361&lt;Tax_Dep_Life)</f>
        <v>-0</v>
      </c>
      <c r="AP387" s="8" t="n">
        <f aca="false">-$E$99/Tax_Dep_Life*(AP361&gt;=0)*(AP361&lt;Tax_Dep_Life)</f>
        <v>-0</v>
      </c>
      <c r="AQ387" s="8" t="n">
        <f aca="false">-$E$99/Tax_Dep_Life*(AQ361&gt;=0)*(AQ361&lt;Tax_Dep_Life)</f>
        <v>-0</v>
      </c>
      <c r="AR387" s="8" t="n">
        <f aca="false">-$E$99/Tax_Dep_Life*(AR361&gt;=0)*(AR361&lt;Tax_Dep_Life)</f>
        <v>-0</v>
      </c>
      <c r="AS387" s="8" t="n">
        <f aca="false">-$E$99/Tax_Dep_Life*(AS361&gt;=0)*(AS361&lt;Tax_Dep_Life)</f>
        <v>-0</v>
      </c>
    </row>
    <row r="388" customFormat="false" ht="14.25" hidden="false" customHeight="false" outlineLevel="0" collapsed="false">
      <c r="C388" s="6" t="s">
        <v>317</v>
      </c>
      <c r="D388" s="2" t="s">
        <v>85</v>
      </c>
      <c r="H388" s="8" t="n">
        <f aca="false">SUM(J388:AS388)</f>
        <v>-31383.7991532071</v>
      </c>
      <c r="J388" s="8" t="n">
        <f aca="false">-MAX(0,J385+J387)*CIT_Rate*(J365&gt;0)</f>
        <v>-0</v>
      </c>
      <c r="K388" s="8" t="n">
        <f aca="false">-MAX(0,K385+K387)*CIT_Rate*(K365&gt;0)</f>
        <v>-0</v>
      </c>
      <c r="L388" s="8" t="n">
        <f aca="false">-MAX(0,L385+L387)*CIT_Rate*(L365&gt;0)</f>
        <v>-0</v>
      </c>
      <c r="M388" s="8" t="n">
        <f aca="false">-MAX(0,M385+M387)*CIT_Rate*(M365&gt;0)</f>
        <v>-0</v>
      </c>
      <c r="N388" s="8" t="n">
        <f aca="false">-MAX(0,N385+N387)*CIT_Rate*(N365&gt;0)</f>
        <v>-0</v>
      </c>
      <c r="O388" s="8" t="n">
        <f aca="false">-MAX(0,O385+O387)*CIT_Rate*(O365&gt;0)</f>
        <v>-139.293222505479</v>
      </c>
      <c r="P388" s="8" t="n">
        <f aca="false">-MAX(0,P385+P387)*CIT_Rate*(P365&gt;0)</f>
        <v>-828.09735207148</v>
      </c>
      <c r="Q388" s="8" t="n">
        <f aca="false">-MAX(0,Q385+Q387)*CIT_Rate*(Q365&gt;0)</f>
        <v>-832.065999372093</v>
      </c>
      <c r="R388" s="8" t="n">
        <f aca="false">-MAX(0,R385+R387)*CIT_Rate*(R365&gt;0)</f>
        <v>-835.927727732585</v>
      </c>
      <c r="S388" s="8" t="n">
        <f aca="false">-MAX(0,S385+S387)*CIT_Rate*(S365&gt;0)</f>
        <v>-839.678530783392</v>
      </c>
      <c r="T388" s="8" t="n">
        <f aca="false">-MAX(0,T385+T387)*CIT_Rate*(T365&gt;0)</f>
        <v>-843.314294968239</v>
      </c>
      <c r="U388" s="8" t="n">
        <f aca="false">-MAX(0,U385+U387)*CIT_Rate*(U365&gt;0)</f>
        <v>-846.830796865172</v>
      </c>
      <c r="V388" s="8" t="n">
        <f aca="false">-MAX(0,V385+V387)*CIT_Rate*(V365&gt;0)</f>
        <v>-850.223700441719</v>
      </c>
      <c r="W388" s="8" t="n">
        <f aca="false">-MAX(0,W385+W387)*CIT_Rate*(W365&gt;0)</f>
        <v>-853.488554242558</v>
      </c>
      <c r="X388" s="8" t="n">
        <f aca="false">-MAX(0,X385+X387)*CIT_Rate*(X365&gt;0)</f>
        <v>-856.620788508026</v>
      </c>
      <c r="Y388" s="8" t="n">
        <f aca="false">-MAX(0,Y385+Y387)*CIT_Rate*(Y365&gt;0)</f>
        <v>-859.615712221791</v>
      </c>
      <c r="Z388" s="8" t="n">
        <f aca="false">-MAX(0,Z385+Z387)*CIT_Rate*(Z365&gt;0)</f>
        <v>-862.468510085932</v>
      </c>
      <c r="AA388" s="8" t="n">
        <f aca="false">-MAX(0,AA385+AA387)*CIT_Rate*(AA365&gt;0)</f>
        <v>-865.174239421666</v>
      </c>
      <c r="AB388" s="8" t="n">
        <f aca="false">-MAX(0,AB385+AB387)*CIT_Rate*(AB365&gt;0)</f>
        <v>-867.727826993877</v>
      </c>
      <c r="AC388" s="8" t="n">
        <f aca="false">-MAX(0,AC385+AC387)*CIT_Rate*(AC365&gt;0)</f>
        <v>-870.124065757598</v>
      </c>
      <c r="AD388" s="8" t="n">
        <f aca="false">-MAX(0,AD385+AD387)*CIT_Rate*(AD365&gt;0)</f>
        <v>-872.357611524519</v>
      </c>
      <c r="AE388" s="8" t="n">
        <f aca="false">-MAX(0,AE385+AE387)*CIT_Rate*(AE365&gt;0)</f>
        <v>-874.422979547563</v>
      </c>
      <c r="AF388" s="8" t="n">
        <f aca="false">-MAX(0,AF385+AF387)*CIT_Rate*(AF365&gt;0)</f>
        <v>-876.314541021526</v>
      </c>
      <c r="AG388" s="8" t="n">
        <f aca="false">-MAX(0,AG385+AG387)*CIT_Rate*(AG365&gt;0)</f>
        <v>-878.026519497714</v>
      </c>
      <c r="AH388" s="8" t="n">
        <f aca="false">-MAX(0,AH385+AH387)*CIT_Rate*(AH365&gt;0)</f>
        <v>-879.552987210471</v>
      </c>
      <c r="AI388" s="8" t="n">
        <f aca="false">-MAX(0,AI385+AI387)*CIT_Rate*(AI365&gt;0)</f>
        <v>-1421.57736460796</v>
      </c>
      <c r="AJ388" s="8" t="n">
        <f aca="false">-MAX(0,AJ385+AJ387)*CIT_Rate*(AJ365&gt;0)</f>
        <v>-1422.71440331785</v>
      </c>
      <c r="AK388" s="8" t="n">
        <f aca="false">-MAX(0,AK385+AK387)*CIT_Rate*(AK365&gt;0)</f>
        <v>-1423.64720196349</v>
      </c>
      <c r="AL388" s="8" t="n">
        <f aca="false">-MAX(0,AL385+AL387)*CIT_Rate*(AL365&gt;0)</f>
        <v>-1424.36918893773</v>
      </c>
      <c r="AM388" s="8" t="n">
        <f aca="false">-MAX(0,AM385+AM387)*CIT_Rate*(AM365&gt;0)</f>
        <v>-1424.87362154996</v>
      </c>
      <c r="AN388" s="8" t="n">
        <f aca="false">-MAX(0,AN385+AN387)*CIT_Rate*(AN365&gt;0)</f>
        <v>-1425.15358177669</v>
      </c>
      <c r="AO388" s="8" t="n">
        <f aca="false">-MAX(0,AO385+AO387)*CIT_Rate*(AO365&gt;0)</f>
        <v>-1425.20197190776</v>
      </c>
      <c r="AP388" s="8" t="n">
        <f aca="false">-MAX(0,AP385+AP387)*CIT_Rate*(AP365&gt;0)</f>
        <v>-1425.01151008556</v>
      </c>
      <c r="AQ388" s="8" t="n">
        <f aca="false">-MAX(0,AQ385+AQ387)*CIT_Rate*(AQ365&gt;0)</f>
        <v>-1424.57472573466</v>
      </c>
      <c r="AR388" s="8" t="n">
        <f aca="false">-MAX(0,AR385+AR387)*CIT_Rate*(AR365&gt;0)</f>
        <v>-1423.88395487925</v>
      </c>
      <c r="AS388" s="8" t="n">
        <f aca="false">-MAX(0,AS385+AS387)*CIT_Rate*(AS365&gt;0)</f>
        <v>-711.46566767273</v>
      </c>
    </row>
    <row r="389" customFormat="false" ht="14.25" hidden="false" customHeight="false" outlineLevel="0" collapsed="false">
      <c r="C389" s="1" t="s">
        <v>318</v>
      </c>
      <c r="D389" s="2" t="s">
        <v>85</v>
      </c>
      <c r="H389" s="32" t="n">
        <f aca="false">SUM(J389:AS389)</f>
        <v>177841.52853484</v>
      </c>
      <c r="J389" s="32" t="n">
        <f aca="false">J386+J388</f>
        <v>0</v>
      </c>
      <c r="K389" s="32" t="n">
        <f aca="false">K386+K388</f>
        <v>0</v>
      </c>
      <c r="L389" s="32" t="n">
        <f aca="false">L386+L388</f>
        <v>0</v>
      </c>
      <c r="M389" s="32" t="n">
        <f aca="false">M386+M388</f>
        <v>-33450.8995260274</v>
      </c>
      <c r="N389" s="32" t="n">
        <f aca="false">N386+N388</f>
        <v>-26389</v>
      </c>
      <c r="O389" s="32" t="n">
        <f aca="false">O386+O388</f>
        <v>-9800.57505050548</v>
      </c>
      <c r="P389" s="32" t="n">
        <f aca="false">P386+P388</f>
        <v>8297.14835036852</v>
      </c>
      <c r="Q389" s="32" t="n">
        <f aca="false">Q386+Q388</f>
        <v>10262.1031051633</v>
      </c>
      <c r="R389" s="32" t="n">
        <f aca="false">R386+R388</f>
        <v>8341.52047911478</v>
      </c>
      <c r="S389" s="32" t="n">
        <f aca="false">S386+S388</f>
        <v>8362.77502973603</v>
      </c>
      <c r="T389" s="32" t="n">
        <f aca="false">T386+T388</f>
        <v>8383.37769345016</v>
      </c>
      <c r="U389" s="32" t="n">
        <f aca="false">U386+U388</f>
        <v>8403.30453753278</v>
      </c>
      <c r="V389" s="32" t="n">
        <f aca="false">V386+V388</f>
        <v>8422.53099113321</v>
      </c>
      <c r="W389" s="32" t="n">
        <f aca="false">W386+W388</f>
        <v>8441.03182933797</v>
      </c>
      <c r="X389" s="32" t="n">
        <f aca="false">X386+X388</f>
        <v>8458.78115684229</v>
      </c>
      <c r="Y389" s="32" t="n">
        <f aca="false">Y386+Y388</f>
        <v>8475.75239122029</v>
      </c>
      <c r="Z389" s="32" t="n">
        <f aca="false">Z386+Z388</f>
        <v>8491.91824578375</v>
      </c>
      <c r="AA389" s="32" t="n">
        <f aca="false">AA386+AA388</f>
        <v>8507.25071201958</v>
      </c>
      <c r="AB389" s="32" t="n">
        <f aca="false">AB386+AB388</f>
        <v>8521.72104159544</v>
      </c>
      <c r="AC389" s="32" t="n">
        <f aca="false">AC386+AC388</f>
        <v>8535.29972792319</v>
      </c>
      <c r="AD389" s="32" t="n">
        <f aca="false">AD386+AD388</f>
        <v>8547.95648726908</v>
      </c>
      <c r="AE389" s="32" t="n">
        <f aca="false">AE386+AE388</f>
        <v>8559.66023939966</v>
      </c>
      <c r="AF389" s="32" t="n">
        <f aca="false">AF386+AF388</f>
        <v>8570.37908775212</v>
      </c>
      <c r="AG389" s="32" t="n">
        <f aca="false">AG386+AG388</f>
        <v>8580.08029911718</v>
      </c>
      <c r="AH389" s="32" t="n">
        <f aca="false">AH386+AH388</f>
        <v>8588.7302828228</v>
      </c>
      <c r="AI389" s="32" t="n">
        <f aca="false">AI386+AI388</f>
        <v>8055.60506611177</v>
      </c>
      <c r="AJ389" s="32" t="n">
        <f aca="false">AJ386+AJ388</f>
        <v>8062.04828546784</v>
      </c>
      <c r="AK389" s="32" t="n">
        <f aca="false">AK386+AK388</f>
        <v>8067.33414445979</v>
      </c>
      <c r="AL389" s="32" t="n">
        <f aca="false">AL386+AL388</f>
        <v>8071.42540398047</v>
      </c>
      <c r="AM389" s="32" t="n">
        <f aca="false">AM386+AM388</f>
        <v>8074.28385544977</v>
      </c>
      <c r="AN389" s="32" t="n">
        <f aca="false">AN386+AN388</f>
        <v>8075.87029673459</v>
      </c>
      <c r="AO389" s="32" t="n">
        <f aca="false">AO386+AO388</f>
        <v>8076.14450747733</v>
      </c>
      <c r="AP389" s="32" t="n">
        <f aca="false">AP386+AP388</f>
        <v>8075.06522381815</v>
      </c>
      <c r="AQ389" s="32" t="n">
        <f aca="false">AQ386+AQ388</f>
        <v>8072.5901124964</v>
      </c>
      <c r="AR389" s="32" t="n">
        <f aca="false">AR386+AR388</f>
        <v>8068.67574431577</v>
      </c>
      <c r="AS389" s="32" t="n">
        <f aca="false">AS386+AS388</f>
        <v>4031.6387834788</v>
      </c>
    </row>
    <row r="390" customFormat="false" ht="14.25" hidden="false" customHeight="false" outlineLevel="0" collapsed="false">
      <c r="C390" s="6" t="s">
        <v>319</v>
      </c>
      <c r="D390" s="2" t="s">
        <v>85</v>
      </c>
      <c r="H390" s="8" t="n">
        <f aca="false">SUM(J390:AS390)</f>
        <v>43255.1602635616</v>
      </c>
      <c r="J390" s="8" t="n">
        <f aca="false">$E$99*Gearing*J366</f>
        <v>0</v>
      </c>
      <c r="K390" s="8" t="n">
        <f aca="false">$E$99*Gearing*K366</f>
        <v>0</v>
      </c>
      <c r="L390" s="8" t="n">
        <f aca="false">$E$99*Gearing*L366</f>
        <v>0</v>
      </c>
      <c r="M390" s="8" t="n">
        <f aca="false">$E$99*Gearing*M366</f>
        <v>0</v>
      </c>
      <c r="N390" s="8" t="n">
        <f aca="false">$E$99*Gearing*N366</f>
        <v>0</v>
      </c>
      <c r="O390" s="8" t="n">
        <f aca="false">$E$99*Gearing*O366</f>
        <v>43255.1602635616</v>
      </c>
      <c r="P390" s="8" t="n">
        <f aca="false">$E$99*Gearing*P366</f>
        <v>0</v>
      </c>
      <c r="Q390" s="8" t="n">
        <f aca="false">$E$99*Gearing*Q366</f>
        <v>0</v>
      </c>
      <c r="R390" s="8" t="n">
        <f aca="false">$E$99*Gearing*R366</f>
        <v>0</v>
      </c>
      <c r="S390" s="8" t="n">
        <f aca="false">$E$99*Gearing*S366</f>
        <v>0</v>
      </c>
      <c r="T390" s="8" t="n">
        <f aca="false">$E$99*Gearing*T366</f>
        <v>0</v>
      </c>
      <c r="U390" s="8" t="n">
        <f aca="false">$E$99*Gearing*U366</f>
        <v>0</v>
      </c>
      <c r="V390" s="8" t="n">
        <f aca="false">$E$99*Gearing*V366</f>
        <v>0</v>
      </c>
      <c r="W390" s="8" t="n">
        <f aca="false">$E$99*Gearing*W366</f>
        <v>0</v>
      </c>
      <c r="X390" s="8" t="n">
        <f aca="false">$E$99*Gearing*X366</f>
        <v>0</v>
      </c>
      <c r="Y390" s="8" t="n">
        <f aca="false">$E$99*Gearing*Y366</f>
        <v>0</v>
      </c>
      <c r="Z390" s="8" t="n">
        <f aca="false">$E$99*Gearing*Z366</f>
        <v>0</v>
      </c>
      <c r="AA390" s="8" t="n">
        <f aca="false">$E$99*Gearing*AA366</f>
        <v>0</v>
      </c>
      <c r="AB390" s="8" t="n">
        <f aca="false">$E$99*Gearing*AB366</f>
        <v>0</v>
      </c>
      <c r="AC390" s="8" t="n">
        <f aca="false">$E$99*Gearing*AC366</f>
        <v>0</v>
      </c>
      <c r="AD390" s="8" t="n">
        <f aca="false">$E$99*Gearing*AD366</f>
        <v>0</v>
      </c>
      <c r="AE390" s="8" t="n">
        <f aca="false">$E$99*Gearing*AE366</f>
        <v>0</v>
      </c>
      <c r="AF390" s="8" t="n">
        <f aca="false">$E$99*Gearing*AF366</f>
        <v>0</v>
      </c>
      <c r="AG390" s="8" t="n">
        <f aca="false">$E$99*Gearing*AG366</f>
        <v>0</v>
      </c>
      <c r="AH390" s="8" t="n">
        <f aca="false">$E$99*Gearing*AH366</f>
        <v>0</v>
      </c>
      <c r="AI390" s="8" t="n">
        <f aca="false">$E$99*Gearing*AI366</f>
        <v>0</v>
      </c>
      <c r="AJ390" s="8" t="n">
        <f aca="false">$E$99*Gearing*AJ366</f>
        <v>0</v>
      </c>
      <c r="AK390" s="8" t="n">
        <f aca="false">$E$99*Gearing*AK366</f>
        <v>0</v>
      </c>
      <c r="AL390" s="8" t="n">
        <f aca="false">$E$99*Gearing*AL366</f>
        <v>0</v>
      </c>
      <c r="AM390" s="8" t="n">
        <f aca="false">$E$99*Gearing*AM366</f>
        <v>0</v>
      </c>
      <c r="AN390" s="8" t="n">
        <f aca="false">$E$99*Gearing*AN366</f>
        <v>0</v>
      </c>
      <c r="AO390" s="8" t="n">
        <f aca="false">$E$99*Gearing*AO366</f>
        <v>0</v>
      </c>
      <c r="AP390" s="8" t="n">
        <f aca="false">$E$99*Gearing*AP366</f>
        <v>0</v>
      </c>
      <c r="AQ390" s="8" t="n">
        <f aca="false">$E$99*Gearing*AQ366</f>
        <v>0</v>
      </c>
      <c r="AR390" s="8" t="n">
        <f aca="false">$E$99*Gearing*AR366</f>
        <v>0</v>
      </c>
      <c r="AS390" s="8" t="n">
        <f aca="false">$E$99*Gearing*AS366</f>
        <v>0</v>
      </c>
    </row>
    <row r="391" customFormat="false" ht="14.25" hidden="false" customHeight="false" outlineLevel="0" collapsed="false">
      <c r="C391" s="6" t="s">
        <v>320</v>
      </c>
      <c r="D391" s="2" t="s">
        <v>85</v>
      </c>
      <c r="H391" s="8" t="n">
        <f aca="false">SUM(J391:AS391)</f>
        <v>62509.5163604402</v>
      </c>
      <c r="J391" s="8" t="n">
        <f aca="false">-PMT(Debt_Rate,Debt_Tenor,$E$99*Gearing)*(J361&gt;=1)*(J361&lt;=Debt_Tenor)</f>
        <v>0</v>
      </c>
      <c r="K391" s="8" t="n">
        <f aca="false">-PMT(Debt_Rate,Debt_Tenor,$E$99*Gearing)*(K361&gt;=1)*(K361&lt;=Debt_Tenor)</f>
        <v>0</v>
      </c>
      <c r="L391" s="8" t="n">
        <f aca="false">-PMT(Debt_Rate,Debt_Tenor,$E$99*Gearing)*(L361&gt;=1)*(L361&lt;=Debt_Tenor)</f>
        <v>0</v>
      </c>
      <c r="M391" s="8" t="n">
        <f aca="false">-PMT(Debt_Rate,Debt_Tenor,$E$99*Gearing)*(M361&gt;=1)*(M361&lt;=Debt_Tenor)</f>
        <v>0</v>
      </c>
      <c r="N391" s="8" t="n">
        <f aca="false">-PMT(Debt_Rate,Debt_Tenor,$E$99*Gearing)*(N361&gt;=1)*(N361&lt;=Debt_Tenor)</f>
        <v>0</v>
      </c>
      <c r="O391" s="8" t="n">
        <f aca="false">-PMT(Debt_Rate,Debt_Tenor,$E$99*Gearing)*(O361&gt;=1)*(O361&lt;=Debt_Tenor)</f>
        <v>0</v>
      </c>
      <c r="P391" s="8" t="n">
        <f aca="false">-PMT(Debt_Rate,Debt_Tenor,$E$99*Gearing)*(P361&gt;=1)*(P361&lt;=Debt_Tenor)</f>
        <v>4167.30109069602</v>
      </c>
      <c r="Q391" s="8" t="n">
        <f aca="false">-PMT(Debt_Rate,Debt_Tenor,$E$99*Gearing)*(Q361&gt;=1)*(Q361&lt;=Debt_Tenor)</f>
        <v>4167.30109069602</v>
      </c>
      <c r="R391" s="8" t="n">
        <f aca="false">-PMT(Debt_Rate,Debt_Tenor,$E$99*Gearing)*(R361&gt;=1)*(R361&lt;=Debt_Tenor)</f>
        <v>4167.30109069602</v>
      </c>
      <c r="S391" s="8" t="n">
        <f aca="false">-PMT(Debt_Rate,Debt_Tenor,$E$99*Gearing)*(S361&gt;=1)*(S361&lt;=Debt_Tenor)</f>
        <v>4167.30109069602</v>
      </c>
      <c r="T391" s="8" t="n">
        <f aca="false">-PMT(Debt_Rate,Debt_Tenor,$E$99*Gearing)*(T361&gt;=1)*(T361&lt;=Debt_Tenor)</f>
        <v>4167.30109069602</v>
      </c>
      <c r="U391" s="8" t="n">
        <f aca="false">-PMT(Debt_Rate,Debt_Tenor,$E$99*Gearing)*(U361&gt;=1)*(U361&lt;=Debt_Tenor)</f>
        <v>4167.30109069602</v>
      </c>
      <c r="V391" s="8" t="n">
        <f aca="false">-PMT(Debt_Rate,Debt_Tenor,$E$99*Gearing)*(V361&gt;=1)*(V361&lt;=Debt_Tenor)</f>
        <v>4167.30109069602</v>
      </c>
      <c r="W391" s="8" t="n">
        <f aca="false">-PMT(Debt_Rate,Debt_Tenor,$E$99*Gearing)*(W361&gt;=1)*(W361&lt;=Debt_Tenor)</f>
        <v>4167.30109069602</v>
      </c>
      <c r="X391" s="8" t="n">
        <f aca="false">-PMT(Debt_Rate,Debt_Tenor,$E$99*Gearing)*(X361&gt;=1)*(X361&lt;=Debt_Tenor)</f>
        <v>4167.30109069602</v>
      </c>
      <c r="Y391" s="8" t="n">
        <f aca="false">-PMT(Debt_Rate,Debt_Tenor,$E$99*Gearing)*(Y361&gt;=1)*(Y361&lt;=Debt_Tenor)</f>
        <v>4167.30109069602</v>
      </c>
      <c r="Z391" s="8" t="n">
        <f aca="false">-PMT(Debt_Rate,Debt_Tenor,$E$99*Gearing)*(Z361&gt;=1)*(Z361&lt;=Debt_Tenor)</f>
        <v>4167.30109069602</v>
      </c>
      <c r="AA391" s="8" t="n">
        <f aca="false">-PMT(Debt_Rate,Debt_Tenor,$E$99*Gearing)*(AA361&gt;=1)*(AA361&lt;=Debt_Tenor)</f>
        <v>4167.30109069602</v>
      </c>
      <c r="AB391" s="8" t="n">
        <f aca="false">-PMT(Debt_Rate,Debt_Tenor,$E$99*Gearing)*(AB361&gt;=1)*(AB361&lt;=Debt_Tenor)</f>
        <v>4167.30109069602</v>
      </c>
      <c r="AC391" s="8" t="n">
        <f aca="false">-PMT(Debt_Rate,Debt_Tenor,$E$99*Gearing)*(AC361&gt;=1)*(AC361&lt;=Debt_Tenor)</f>
        <v>4167.30109069602</v>
      </c>
      <c r="AD391" s="8" t="n">
        <f aca="false">-PMT(Debt_Rate,Debt_Tenor,$E$99*Gearing)*(AD361&gt;=1)*(AD361&lt;=Debt_Tenor)</f>
        <v>4167.30109069602</v>
      </c>
      <c r="AE391" s="8" t="n">
        <f aca="false">-PMT(Debt_Rate,Debt_Tenor,$E$99*Gearing)*(AE361&gt;=1)*(AE361&lt;=Debt_Tenor)</f>
        <v>0</v>
      </c>
      <c r="AF391" s="8" t="n">
        <f aca="false">-PMT(Debt_Rate,Debt_Tenor,$E$99*Gearing)*(AF361&gt;=1)*(AF361&lt;=Debt_Tenor)</f>
        <v>0</v>
      </c>
      <c r="AG391" s="8" t="n">
        <f aca="false">-PMT(Debt_Rate,Debt_Tenor,$E$99*Gearing)*(AG361&gt;=1)*(AG361&lt;=Debt_Tenor)</f>
        <v>0</v>
      </c>
      <c r="AH391" s="8" t="n">
        <f aca="false">-PMT(Debt_Rate,Debt_Tenor,$E$99*Gearing)*(AH361&gt;=1)*(AH361&lt;=Debt_Tenor)</f>
        <v>0</v>
      </c>
      <c r="AI391" s="8" t="n">
        <f aca="false">-PMT(Debt_Rate,Debt_Tenor,$E$99*Gearing)*(AI361&gt;=1)*(AI361&lt;=Debt_Tenor)</f>
        <v>0</v>
      </c>
      <c r="AJ391" s="8" t="n">
        <f aca="false">-PMT(Debt_Rate,Debt_Tenor,$E$99*Gearing)*(AJ361&gt;=1)*(AJ361&lt;=Debt_Tenor)</f>
        <v>0</v>
      </c>
      <c r="AK391" s="8" t="n">
        <f aca="false">-PMT(Debt_Rate,Debt_Tenor,$E$99*Gearing)*(AK361&gt;=1)*(AK361&lt;=Debt_Tenor)</f>
        <v>0</v>
      </c>
      <c r="AL391" s="8" t="n">
        <f aca="false">-PMT(Debt_Rate,Debt_Tenor,$E$99*Gearing)*(AL361&gt;=1)*(AL361&lt;=Debt_Tenor)</f>
        <v>0</v>
      </c>
      <c r="AM391" s="8" t="n">
        <f aca="false">-PMT(Debt_Rate,Debt_Tenor,$E$99*Gearing)*(AM361&gt;=1)*(AM361&lt;=Debt_Tenor)</f>
        <v>0</v>
      </c>
      <c r="AN391" s="8" t="n">
        <f aca="false">-PMT(Debt_Rate,Debt_Tenor,$E$99*Gearing)*(AN361&gt;=1)*(AN361&lt;=Debt_Tenor)</f>
        <v>0</v>
      </c>
      <c r="AO391" s="8" t="n">
        <f aca="false">-PMT(Debt_Rate,Debt_Tenor,$E$99*Gearing)*(AO361&gt;=1)*(AO361&lt;=Debt_Tenor)</f>
        <v>0</v>
      </c>
      <c r="AP391" s="8" t="n">
        <f aca="false">-PMT(Debt_Rate,Debt_Tenor,$E$99*Gearing)*(AP361&gt;=1)*(AP361&lt;=Debt_Tenor)</f>
        <v>0</v>
      </c>
      <c r="AQ391" s="8" t="n">
        <f aca="false">-PMT(Debt_Rate,Debt_Tenor,$E$99*Gearing)*(AQ361&gt;=1)*(AQ361&lt;=Debt_Tenor)</f>
        <v>0</v>
      </c>
      <c r="AR391" s="8" t="n">
        <f aca="false">-PMT(Debt_Rate,Debt_Tenor,$E$99*Gearing)*(AR361&gt;=1)*(AR361&lt;=Debt_Tenor)</f>
        <v>0</v>
      </c>
      <c r="AS391" s="8" t="n">
        <f aca="false">-PMT(Debt_Rate,Debt_Tenor,$E$99*Gearing)*(AS361&gt;=1)*(AS361&lt;=Debt_Tenor)</f>
        <v>0</v>
      </c>
    </row>
    <row r="392" customFormat="false" ht="14.25" hidden="false" customHeight="false" outlineLevel="0" collapsed="false">
      <c r="C392" s="6" t="s">
        <v>321</v>
      </c>
      <c r="D392" s="2" t="s">
        <v>85</v>
      </c>
      <c r="H392" s="8" t="n">
        <f aca="false">SUM(J392:AS392)</f>
        <v>19254.3560968785</v>
      </c>
      <c r="J392" s="8" t="n">
        <f aca="false">I394*Debt_Rate*(J361&gt;=1)</f>
        <v>0</v>
      </c>
      <c r="K392" s="8" t="n">
        <f aca="false">J394*Debt_Rate*(K361&gt;=1)</f>
        <v>0</v>
      </c>
      <c r="L392" s="8" t="n">
        <f aca="false">K394*Debt_Rate*(L361&gt;=1)</f>
        <v>0</v>
      </c>
      <c r="M392" s="8" t="n">
        <f aca="false">L394*Debt_Rate*(M361&gt;=1)</f>
        <v>0</v>
      </c>
      <c r="N392" s="8" t="n">
        <f aca="false">M394*Debt_Rate*(N361&gt;=1)</f>
        <v>0</v>
      </c>
      <c r="O392" s="8" t="n">
        <f aca="false">N394*Debt_Rate*(O361&gt;=1)</f>
        <v>0</v>
      </c>
      <c r="P392" s="8" t="n">
        <f aca="false">O394*Debt_Rate*(P361&gt;=1)</f>
        <v>2162.75801317808</v>
      </c>
      <c r="Q392" s="8" t="n">
        <f aca="false">P394*Debt_Rate*(Q361&gt;=1)</f>
        <v>2062.53085930219</v>
      </c>
      <c r="R392" s="8" t="n">
        <f aca="false">Q394*Debt_Rate*(R361&gt;=1)</f>
        <v>1957.29234773249</v>
      </c>
      <c r="S392" s="8" t="n">
        <f aca="false">R394*Debt_Rate*(S361&gt;=1)</f>
        <v>1846.79191058432</v>
      </c>
      <c r="T392" s="8" t="n">
        <f aca="false">S394*Debt_Rate*(T361&gt;=1)</f>
        <v>1730.76645157873</v>
      </c>
      <c r="U392" s="8" t="n">
        <f aca="false">T394*Debt_Rate*(U361&gt;=1)</f>
        <v>1608.93971962287</v>
      </c>
      <c r="V392" s="8" t="n">
        <f aca="false">U394*Debt_Rate*(V361&gt;=1)</f>
        <v>1481.02165106921</v>
      </c>
      <c r="W392" s="8" t="n">
        <f aca="false">V394*Debt_Rate*(W361&gt;=1)</f>
        <v>1346.70767908787</v>
      </c>
      <c r="X392" s="8" t="n">
        <f aca="false">W394*Debt_Rate*(X361&gt;=1)</f>
        <v>1205.67800850746</v>
      </c>
      <c r="Y392" s="8" t="n">
        <f aca="false">X394*Debt_Rate*(Y361&gt;=1)</f>
        <v>1057.59685439804</v>
      </c>
      <c r="Z392" s="8" t="n">
        <f aca="false">Y394*Debt_Rate*(Z361&gt;=1)</f>
        <v>902.111642583137</v>
      </c>
      <c r="AA392" s="8" t="n">
        <f aca="false">Z394*Debt_Rate*(AA361&gt;=1)</f>
        <v>738.852170177494</v>
      </c>
      <c r="AB392" s="8" t="n">
        <f aca="false">AA394*Debt_Rate*(AB361&gt;=1)</f>
        <v>567.429724151567</v>
      </c>
      <c r="AC392" s="8" t="n">
        <f aca="false">AB394*Debt_Rate*(AC361&gt;=1)</f>
        <v>387.436155824345</v>
      </c>
      <c r="AD392" s="8" t="n">
        <f aca="false">AC394*Debt_Rate*(AD361&gt;=1)</f>
        <v>198.442909080761</v>
      </c>
      <c r="AE392" s="8" t="n">
        <f aca="false">AD394*Debt_Rate*(AE361&gt;=1)</f>
        <v>-1.36424205265939E-012</v>
      </c>
      <c r="AF392" s="8" t="n">
        <f aca="false">AE394*Debt_Rate*(AF361&gt;=1)</f>
        <v>-1.43245415529236E-012</v>
      </c>
      <c r="AG392" s="8" t="n">
        <f aca="false">AF394*Debt_Rate*(AG361&gt;=1)</f>
        <v>-1.50407686305698E-012</v>
      </c>
      <c r="AH392" s="8" t="n">
        <f aca="false">AG394*Debt_Rate*(AH361&gt;=1)</f>
        <v>-1.57928070620983E-012</v>
      </c>
      <c r="AI392" s="8" t="n">
        <f aca="false">AH394*Debt_Rate*(AI361&gt;=1)</f>
        <v>-1.65824474152032E-012</v>
      </c>
      <c r="AJ392" s="8" t="n">
        <f aca="false">AI394*Debt_Rate*(AJ361&gt;=1)</f>
        <v>-1.74115697859634E-012</v>
      </c>
      <c r="AK392" s="8" t="n">
        <f aca="false">AJ394*Debt_Rate*(AK361&gt;=1)</f>
        <v>-1.82821482752615E-012</v>
      </c>
      <c r="AL392" s="8" t="n">
        <f aca="false">AK394*Debt_Rate*(AL361&gt;=1)</f>
        <v>-1.91962556890246E-012</v>
      </c>
      <c r="AM392" s="8" t="n">
        <f aca="false">AL394*Debt_Rate*(AM361&gt;=1)</f>
        <v>-2.01560684734758E-012</v>
      </c>
      <c r="AN392" s="8" t="n">
        <f aca="false">AM394*Debt_Rate*(AN361&gt;=1)</f>
        <v>-2.11638718971496E-012</v>
      </c>
      <c r="AO392" s="8" t="n">
        <f aca="false">AN394*Debt_Rate*(AO361&gt;=1)</f>
        <v>-2.22220654920071E-012</v>
      </c>
      <c r="AP392" s="8" t="n">
        <f aca="false">AO394*Debt_Rate*(AP361&gt;=1)</f>
        <v>-2.33331687666075E-012</v>
      </c>
      <c r="AQ392" s="8" t="n">
        <f aca="false">AP394*Debt_Rate*(AQ361&gt;=1)</f>
        <v>-2.44998272049379E-012</v>
      </c>
      <c r="AR392" s="8" t="n">
        <f aca="false">AQ394*Debt_Rate*(AR361&gt;=1)</f>
        <v>-2.57248185651847E-012</v>
      </c>
      <c r="AS392" s="8" t="n">
        <f aca="false">AR394*Debt_Rate*(AS361&gt;=1)</f>
        <v>-2.7011059493444E-012</v>
      </c>
    </row>
    <row r="393" customFormat="false" ht="14.25" hidden="false" customHeight="false" outlineLevel="0" collapsed="false">
      <c r="C393" s="6" t="s">
        <v>322</v>
      </c>
      <c r="D393" s="2" t="s">
        <v>85</v>
      </c>
      <c r="H393" s="8" t="n">
        <f aca="false">SUM(J393:AS393)</f>
        <v>43255.1602635617</v>
      </c>
      <c r="J393" s="8" t="n">
        <f aca="false">J391-J392</f>
        <v>0</v>
      </c>
      <c r="K393" s="8" t="n">
        <f aca="false">K391-K392</f>
        <v>0</v>
      </c>
      <c r="L393" s="8" t="n">
        <f aca="false">L391-L392</f>
        <v>0</v>
      </c>
      <c r="M393" s="8" t="n">
        <f aca="false">M391-M392</f>
        <v>0</v>
      </c>
      <c r="N393" s="8" t="n">
        <f aca="false">N391-N392</f>
        <v>0</v>
      </c>
      <c r="O393" s="8" t="n">
        <f aca="false">O391-O392</f>
        <v>0</v>
      </c>
      <c r="P393" s="8" t="n">
        <f aca="false">P391-P392</f>
        <v>2004.54307751793</v>
      </c>
      <c r="Q393" s="8" t="n">
        <f aca="false">Q391-Q392</f>
        <v>2104.77023139383</v>
      </c>
      <c r="R393" s="8" t="n">
        <f aca="false">R391-R392</f>
        <v>2210.00874296352</v>
      </c>
      <c r="S393" s="8" t="n">
        <f aca="false">S391-S392</f>
        <v>2320.5091801117</v>
      </c>
      <c r="T393" s="8" t="n">
        <f aca="false">T391-T392</f>
        <v>2436.53463911728</v>
      </c>
      <c r="U393" s="8" t="n">
        <f aca="false">U391-U392</f>
        <v>2558.36137107315</v>
      </c>
      <c r="V393" s="8" t="n">
        <f aca="false">V391-V392</f>
        <v>2686.2794396268</v>
      </c>
      <c r="W393" s="8" t="n">
        <f aca="false">W391-W392</f>
        <v>2820.59341160814</v>
      </c>
      <c r="X393" s="8" t="n">
        <f aca="false">X391-X392</f>
        <v>2961.62308218855</v>
      </c>
      <c r="Y393" s="8" t="n">
        <f aca="false">Y391-Y392</f>
        <v>3109.70423629798</v>
      </c>
      <c r="Z393" s="8" t="n">
        <f aca="false">Z391-Z392</f>
        <v>3265.18944811288</v>
      </c>
      <c r="AA393" s="8" t="n">
        <f aca="false">AA391-AA392</f>
        <v>3428.44892051852</v>
      </c>
      <c r="AB393" s="8" t="n">
        <f aca="false">AB391-AB392</f>
        <v>3599.87136654445</v>
      </c>
      <c r="AC393" s="8" t="n">
        <f aca="false">AC391-AC392</f>
        <v>3779.86493487167</v>
      </c>
      <c r="AD393" s="8" t="n">
        <f aca="false">AD391-AD392</f>
        <v>3968.85818161525</v>
      </c>
      <c r="AE393" s="8" t="n">
        <f aca="false">AE391-AE392</f>
        <v>1.36424205265939E-012</v>
      </c>
      <c r="AF393" s="8" t="n">
        <f aca="false">AF391-AF392</f>
        <v>1.43245415529236E-012</v>
      </c>
      <c r="AG393" s="8" t="n">
        <f aca="false">AG391-AG392</f>
        <v>1.50407686305698E-012</v>
      </c>
      <c r="AH393" s="8" t="n">
        <f aca="false">AH391-AH392</f>
        <v>1.57928070620983E-012</v>
      </c>
      <c r="AI393" s="8" t="n">
        <f aca="false">AI391-AI392</f>
        <v>1.65824474152032E-012</v>
      </c>
      <c r="AJ393" s="8" t="n">
        <f aca="false">AJ391-AJ392</f>
        <v>1.74115697859634E-012</v>
      </c>
      <c r="AK393" s="8" t="n">
        <f aca="false">AK391-AK392</f>
        <v>1.82821482752615E-012</v>
      </c>
      <c r="AL393" s="8" t="n">
        <f aca="false">AL391-AL392</f>
        <v>1.91962556890246E-012</v>
      </c>
      <c r="AM393" s="8" t="n">
        <f aca="false">AM391-AM392</f>
        <v>2.01560684734758E-012</v>
      </c>
      <c r="AN393" s="8" t="n">
        <f aca="false">AN391-AN392</f>
        <v>2.11638718971496E-012</v>
      </c>
      <c r="AO393" s="8" t="n">
        <f aca="false">AO391-AO392</f>
        <v>2.22220654920071E-012</v>
      </c>
      <c r="AP393" s="8" t="n">
        <f aca="false">AP391-AP392</f>
        <v>2.33331687666075E-012</v>
      </c>
      <c r="AQ393" s="8" t="n">
        <f aca="false">AQ391-AQ392</f>
        <v>2.44998272049379E-012</v>
      </c>
      <c r="AR393" s="8" t="n">
        <f aca="false">AR391-AR392</f>
        <v>2.57248185651847E-012</v>
      </c>
      <c r="AS393" s="8" t="n">
        <f aca="false">AS391-AS392</f>
        <v>2.7011059493444E-012</v>
      </c>
    </row>
    <row r="394" customFormat="false" ht="14.25" hidden="false" customHeight="false" outlineLevel="0" collapsed="false">
      <c r="C394" s="6" t="s">
        <v>323</v>
      </c>
      <c r="D394" s="2" t="s">
        <v>85</v>
      </c>
      <c r="H394" s="8"/>
      <c r="J394" s="8" t="n">
        <f aca="false">I394+J390-J393</f>
        <v>0</v>
      </c>
      <c r="K394" s="8" t="n">
        <f aca="false">J394+K390-K393</f>
        <v>0</v>
      </c>
      <c r="L394" s="8" t="n">
        <f aca="false">K394+L390-L393</f>
        <v>0</v>
      </c>
      <c r="M394" s="8" t="n">
        <f aca="false">L394+M390-M393</f>
        <v>0</v>
      </c>
      <c r="N394" s="8" t="n">
        <f aca="false">M394+N390-N393</f>
        <v>0</v>
      </c>
      <c r="O394" s="8" t="n">
        <f aca="false">N394+O390-O393</f>
        <v>43255.1602635616</v>
      </c>
      <c r="P394" s="8" t="n">
        <f aca="false">O394+P390-P393</f>
        <v>41250.6171860437</v>
      </c>
      <c r="Q394" s="8" t="n">
        <f aca="false">P394+Q390-Q393</f>
        <v>39145.8469546499</v>
      </c>
      <c r="R394" s="8" t="n">
        <f aca="false">Q394+R390-R393</f>
        <v>36935.8382116864</v>
      </c>
      <c r="S394" s="8" t="n">
        <f aca="false">R394+S390-S393</f>
        <v>34615.3290315747</v>
      </c>
      <c r="T394" s="8" t="n">
        <f aca="false">S394+T390-T393</f>
        <v>32178.7943924574</v>
      </c>
      <c r="U394" s="8" t="n">
        <f aca="false">T394+U390-U393</f>
        <v>29620.4330213842</v>
      </c>
      <c r="V394" s="8" t="n">
        <f aca="false">U394+V390-V393</f>
        <v>26934.1535817574</v>
      </c>
      <c r="W394" s="8" t="n">
        <f aca="false">V394+W390-W393</f>
        <v>24113.5601701493</v>
      </c>
      <c r="X394" s="8" t="n">
        <f aca="false">W394+X390-X393</f>
        <v>21151.9370879607</v>
      </c>
      <c r="Y394" s="8" t="n">
        <f aca="false">X394+Y390-Y393</f>
        <v>18042.2328516627</v>
      </c>
      <c r="Z394" s="8" t="n">
        <f aca="false">Y394+Z390-Z393</f>
        <v>14777.0434035499</v>
      </c>
      <c r="AA394" s="8" t="n">
        <f aca="false">Z394+AA390-AA393</f>
        <v>11348.5944830313</v>
      </c>
      <c r="AB394" s="8" t="n">
        <f aca="false">AA394+AB390-AB393</f>
        <v>7748.7231164869</v>
      </c>
      <c r="AC394" s="8" t="n">
        <f aca="false">AB394+AC390-AC393</f>
        <v>3968.85818161523</v>
      </c>
      <c r="AD394" s="8" t="n">
        <f aca="false">AC394+AD390-AD393</f>
        <v>-2.72848410531878E-011</v>
      </c>
      <c r="AE394" s="8" t="n">
        <f aca="false">AD394+AE390-AE393</f>
        <v>-2.86490831058472E-011</v>
      </c>
      <c r="AF394" s="8" t="n">
        <f aca="false">AE394+AF390-AF393</f>
        <v>-3.00815372611396E-011</v>
      </c>
      <c r="AG394" s="8" t="n">
        <f aca="false">AF394+AG390-AG393</f>
        <v>-3.15856141241966E-011</v>
      </c>
      <c r="AH394" s="8" t="n">
        <f aca="false">AG394+AH390-AH393</f>
        <v>-3.31648948304064E-011</v>
      </c>
      <c r="AI394" s="8" t="n">
        <f aca="false">AH394+AI390-AI393</f>
        <v>-3.48231395719267E-011</v>
      </c>
      <c r="AJ394" s="8" t="n">
        <f aca="false">AI394+AJ390-AJ393</f>
        <v>-3.65642965505231E-011</v>
      </c>
      <c r="AK394" s="8" t="n">
        <f aca="false">AJ394+AK390-AK393</f>
        <v>-3.83925113780492E-011</v>
      </c>
      <c r="AL394" s="8" t="n">
        <f aca="false">AK394+AL390-AL393</f>
        <v>-4.03121369469517E-011</v>
      </c>
      <c r="AM394" s="8" t="n">
        <f aca="false">AL394+AM390-AM393</f>
        <v>-4.23277437942993E-011</v>
      </c>
      <c r="AN394" s="8" t="n">
        <f aca="false">AM394+AN390-AN393</f>
        <v>-4.44441309840142E-011</v>
      </c>
      <c r="AO394" s="8" t="n">
        <f aca="false">AN394+AO390-AO393</f>
        <v>-4.6666337533215E-011</v>
      </c>
      <c r="AP394" s="8" t="n">
        <f aca="false">AO394+AP390-AP393</f>
        <v>-4.89996544098757E-011</v>
      </c>
      <c r="AQ394" s="8" t="n">
        <f aca="false">AP394+AQ390-AQ393</f>
        <v>-5.14496371303695E-011</v>
      </c>
      <c r="AR394" s="8" t="n">
        <f aca="false">AQ394+AR390-AR393</f>
        <v>-5.4022118986888E-011</v>
      </c>
      <c r="AS394" s="8" t="n">
        <f aca="false">AR394+AS390-AS393</f>
        <v>-5.67232249362324E-011</v>
      </c>
    </row>
    <row r="395" customFormat="false" ht="14.25" hidden="false" customHeight="false" outlineLevel="0" collapsed="false">
      <c r="C395" s="6" t="s">
        <v>324</v>
      </c>
      <c r="D395" s="2" t="s">
        <v>85</v>
      </c>
      <c r="H395" s="8" t="n">
        <f aca="false">SUM(J395:AS395)</f>
        <v>-28495.6457386753</v>
      </c>
      <c r="J395" s="8" t="n">
        <f aca="false">-MAX(0,J385+J387-J392)*CIT_Rate*(J365&gt;0)</f>
        <v>-0</v>
      </c>
      <c r="K395" s="8" t="n">
        <f aca="false">-MAX(0,K385+K387-K392)*CIT_Rate*(K365&gt;0)</f>
        <v>-0</v>
      </c>
      <c r="L395" s="8" t="n">
        <f aca="false">-MAX(0,L385+L387-L392)*CIT_Rate*(L365&gt;0)</f>
        <v>-0</v>
      </c>
      <c r="M395" s="8" t="n">
        <f aca="false">-MAX(0,M385+M387-M392)*CIT_Rate*(M365&gt;0)</f>
        <v>-0</v>
      </c>
      <c r="N395" s="8" t="n">
        <f aca="false">-MAX(0,N385+N387-N392)*CIT_Rate*(N365&gt;0)</f>
        <v>-0</v>
      </c>
      <c r="O395" s="8" t="n">
        <f aca="false">-MAX(0,O385+O387-O392)*CIT_Rate*(O365&gt;0)</f>
        <v>-139.293222505479</v>
      </c>
      <c r="P395" s="8" t="n">
        <f aca="false">-MAX(0,P385+P387-P392)*CIT_Rate*(P365&gt;0)</f>
        <v>-503.683650094767</v>
      </c>
      <c r="Q395" s="8" t="n">
        <f aca="false">-MAX(0,Q385+Q387-Q392)*CIT_Rate*(Q365&gt;0)</f>
        <v>-522.686370476765</v>
      </c>
      <c r="R395" s="8" t="n">
        <f aca="false">-MAX(0,R385+R387-R392)*CIT_Rate*(R365&gt;0)</f>
        <v>-542.333875572711</v>
      </c>
      <c r="S395" s="8" t="n">
        <f aca="false">-MAX(0,S385+S387-S392)*CIT_Rate*(S365&gt;0)</f>
        <v>-562.659744195745</v>
      </c>
      <c r="T395" s="8" t="n">
        <f aca="false">-MAX(0,T385+T387-T392)*CIT_Rate*(T365&gt;0)</f>
        <v>-583.699327231429</v>
      </c>
      <c r="U395" s="8" t="n">
        <f aca="false">-MAX(0,U385+U387-U392)*CIT_Rate*(U365&gt;0)</f>
        <v>-605.489838921742</v>
      </c>
      <c r="V395" s="8" t="n">
        <f aca="false">-MAX(0,V385+V387-V392)*CIT_Rate*(V365&gt;0)</f>
        <v>-628.070452781338</v>
      </c>
      <c r="W395" s="8" t="n">
        <f aca="false">-MAX(0,W385+W387-W392)*CIT_Rate*(W365&gt;0)</f>
        <v>-651.482402379378</v>
      </c>
      <c r="X395" s="8" t="n">
        <f aca="false">-MAX(0,X385+X387-X392)*CIT_Rate*(X365&gt;0)</f>
        <v>-675.769087231907</v>
      </c>
      <c r="Y395" s="8" t="n">
        <f aca="false">-MAX(0,Y385+Y387-Y392)*CIT_Rate*(Y365&gt;0)</f>
        <v>-700.976184062085</v>
      </c>
      <c r="Z395" s="8" t="n">
        <f aca="false">-MAX(0,Z385+Z387-Z392)*CIT_Rate*(Z365&gt;0)</f>
        <v>-727.151763698461</v>
      </c>
      <c r="AA395" s="8" t="n">
        <f aca="false">-MAX(0,AA385+AA387-AA392)*CIT_Rate*(AA365&gt;0)</f>
        <v>-754.346413895042</v>
      </c>
      <c r="AB395" s="8" t="n">
        <f aca="false">-MAX(0,AB385+AB387-AB392)*CIT_Rate*(AB365&gt;0)</f>
        <v>-782.613368371142</v>
      </c>
      <c r="AC395" s="8" t="n">
        <f aca="false">-MAX(0,AC385+AC387-AC392)*CIT_Rate*(AC365&gt;0)</f>
        <v>-812.008642383946</v>
      </c>
      <c r="AD395" s="8" t="n">
        <f aca="false">-MAX(0,AD385+AD387-AD392)*CIT_Rate*(AD365&gt;0)</f>
        <v>-842.591175162404</v>
      </c>
      <c r="AE395" s="8" t="n">
        <f aca="false">-MAX(0,AE385+AE387-AE392)*CIT_Rate*(AE365&gt;0)</f>
        <v>-874.422979547563</v>
      </c>
      <c r="AF395" s="8" t="n">
        <f aca="false">-MAX(0,AF385+AF387-AF392)*CIT_Rate*(AF365&gt;0)</f>
        <v>-876.314541021526</v>
      </c>
      <c r="AG395" s="8" t="n">
        <f aca="false">-MAX(0,AG385+AG387-AG392)*CIT_Rate*(AG365&gt;0)</f>
        <v>-878.026519497714</v>
      </c>
      <c r="AH395" s="8" t="n">
        <f aca="false">-MAX(0,AH385+AH387-AH392)*CIT_Rate*(AH365&gt;0)</f>
        <v>-879.552987210471</v>
      </c>
      <c r="AI395" s="8" t="n">
        <f aca="false">-MAX(0,AI385+AI387-AI392)*CIT_Rate*(AI365&gt;0)</f>
        <v>-1421.57736460796</v>
      </c>
      <c r="AJ395" s="8" t="n">
        <f aca="false">-MAX(0,AJ385+AJ387-AJ392)*CIT_Rate*(AJ365&gt;0)</f>
        <v>-1422.71440331785</v>
      </c>
      <c r="AK395" s="8" t="n">
        <f aca="false">-MAX(0,AK385+AK387-AK392)*CIT_Rate*(AK365&gt;0)</f>
        <v>-1423.64720196349</v>
      </c>
      <c r="AL395" s="8" t="n">
        <f aca="false">-MAX(0,AL385+AL387-AL392)*CIT_Rate*(AL365&gt;0)</f>
        <v>-1424.36918893773</v>
      </c>
      <c r="AM395" s="8" t="n">
        <f aca="false">-MAX(0,AM385+AM387-AM392)*CIT_Rate*(AM365&gt;0)</f>
        <v>-1424.87362154996</v>
      </c>
      <c r="AN395" s="8" t="n">
        <f aca="false">-MAX(0,AN385+AN387-AN392)*CIT_Rate*(AN365&gt;0)</f>
        <v>-1425.15358177669</v>
      </c>
      <c r="AO395" s="8" t="n">
        <f aca="false">-MAX(0,AO385+AO387-AO392)*CIT_Rate*(AO365&gt;0)</f>
        <v>-1425.20197190776</v>
      </c>
      <c r="AP395" s="8" t="n">
        <f aca="false">-MAX(0,AP385+AP387-AP392)*CIT_Rate*(AP365&gt;0)</f>
        <v>-1425.01151008556</v>
      </c>
      <c r="AQ395" s="8" t="n">
        <f aca="false">-MAX(0,AQ385+AQ387-AQ392)*CIT_Rate*(AQ365&gt;0)</f>
        <v>-1424.57472573466</v>
      </c>
      <c r="AR395" s="8" t="n">
        <f aca="false">-MAX(0,AR385+AR387-AR392)*CIT_Rate*(AR365&gt;0)</f>
        <v>-1423.88395487925</v>
      </c>
      <c r="AS395" s="8" t="n">
        <f aca="false">-MAX(0,AS385+AS387-AS392)*CIT_Rate*(AS365&gt;0)</f>
        <v>-711.46566767273</v>
      </c>
    </row>
    <row r="396" customFormat="false" ht="14.25" hidden="false" customHeight="false" outlineLevel="0" collapsed="false">
      <c r="C396" s="1" t="s">
        <v>163</v>
      </c>
      <c r="D396" s="2" t="s">
        <v>85</v>
      </c>
      <c r="H396" s="32" t="n">
        <f aca="false">SUM(J396:AS396)</f>
        <v>161475.325852493</v>
      </c>
      <c r="J396" s="32" t="n">
        <f aca="false">J386+J390-J391+J395</f>
        <v>0</v>
      </c>
      <c r="K396" s="32" t="n">
        <f aca="false">K386+K390-K391+K395</f>
        <v>0</v>
      </c>
      <c r="L396" s="32" t="n">
        <f aca="false">L386+L390-L391+L395</f>
        <v>0</v>
      </c>
      <c r="M396" s="32" t="n">
        <f aca="false">M386+M390-M391+M395</f>
        <v>-33450.8995260274</v>
      </c>
      <c r="N396" s="32" t="n">
        <f aca="false">N386+N390-N391+N395</f>
        <v>-26389</v>
      </c>
      <c r="O396" s="32" t="n">
        <f aca="false">O386+O390-O391+O395</f>
        <v>33454.5852130562</v>
      </c>
      <c r="P396" s="32" t="n">
        <f aca="false">P386+P390-P391+P395</f>
        <v>4454.26096164922</v>
      </c>
      <c r="Q396" s="32" t="n">
        <f aca="false">Q386+Q390-Q391+Q395</f>
        <v>6404.18164336263</v>
      </c>
      <c r="R396" s="32" t="n">
        <f aca="false">R386+R390-R391+R395</f>
        <v>4467.81324057864</v>
      </c>
      <c r="S396" s="32" t="n">
        <f aca="false">S386+S390-S391+S395</f>
        <v>4472.49272562766</v>
      </c>
      <c r="T396" s="32" t="n">
        <f aca="false">T386+T390-T391+T395</f>
        <v>4475.69157049095</v>
      </c>
      <c r="U396" s="32" t="n">
        <f aca="false">U386+U390-U391+U395</f>
        <v>4477.34440478019</v>
      </c>
      <c r="V396" s="32" t="n">
        <f aca="false">V386+V390-V391+V395</f>
        <v>4477.38314809758</v>
      </c>
      <c r="W396" s="32" t="n">
        <f aca="false">W386+W390-W391+W395</f>
        <v>4475.73689050513</v>
      </c>
      <c r="X396" s="32" t="n">
        <f aca="false">X386+X390-X391+X395</f>
        <v>4472.33176742239</v>
      </c>
      <c r="Y396" s="32" t="n">
        <f aca="false">Y386+Y390-Y391+Y395</f>
        <v>4467.09082868398</v>
      </c>
      <c r="Z396" s="32" t="n">
        <f aca="false">Z386+Z390-Z391+Z395</f>
        <v>4459.93390147521</v>
      </c>
      <c r="AA396" s="32" t="n">
        <f aca="false">AA386+AA390-AA391+AA395</f>
        <v>4450.77744685018</v>
      </c>
      <c r="AB396" s="32" t="n">
        <f aca="false">AB386+AB390-AB391+AB395</f>
        <v>4439.53440952216</v>
      </c>
      <c r="AC396" s="32" t="n">
        <f aca="false">AC386+AC390-AC391+AC395</f>
        <v>4426.11406060083</v>
      </c>
      <c r="AD396" s="32" t="n">
        <f aca="false">AD386+AD390-AD391+AD395</f>
        <v>4410.42183293517</v>
      </c>
      <c r="AE396" s="32" t="n">
        <f aca="false">AE386+AE390-AE391+AE395</f>
        <v>8559.66023939966</v>
      </c>
      <c r="AF396" s="32" t="n">
        <f aca="false">AF386+AF390-AF391+AF395</f>
        <v>8570.37908775212</v>
      </c>
      <c r="AG396" s="32" t="n">
        <f aca="false">AG386+AG390-AG391+AG395</f>
        <v>8580.08029911718</v>
      </c>
      <c r="AH396" s="32" t="n">
        <f aca="false">AH386+AH390-AH391+AH395</f>
        <v>8588.7302828228</v>
      </c>
      <c r="AI396" s="32" t="n">
        <f aca="false">AI386+AI390-AI391+AI395</f>
        <v>8055.60506611177</v>
      </c>
      <c r="AJ396" s="32" t="n">
        <f aca="false">AJ386+AJ390-AJ391+AJ395</f>
        <v>8062.04828546784</v>
      </c>
      <c r="AK396" s="32" t="n">
        <f aca="false">AK386+AK390-AK391+AK395</f>
        <v>8067.33414445979</v>
      </c>
      <c r="AL396" s="32" t="n">
        <f aca="false">AL386+AL390-AL391+AL395</f>
        <v>8071.42540398047</v>
      </c>
      <c r="AM396" s="32" t="n">
        <f aca="false">AM386+AM390-AM391+AM395</f>
        <v>8074.28385544977</v>
      </c>
      <c r="AN396" s="32" t="n">
        <f aca="false">AN386+AN390-AN391+AN395</f>
        <v>8075.87029673459</v>
      </c>
      <c r="AO396" s="32" t="n">
        <f aca="false">AO386+AO390-AO391+AO395</f>
        <v>8076.14450747733</v>
      </c>
      <c r="AP396" s="32" t="n">
        <f aca="false">AP386+AP390-AP391+AP395</f>
        <v>8075.06522381815</v>
      </c>
      <c r="AQ396" s="32" t="n">
        <f aca="false">AQ386+AQ390-AQ391+AQ395</f>
        <v>8072.5901124964</v>
      </c>
      <c r="AR396" s="32" t="n">
        <f aca="false">AR386+AR390-AR391+AR395</f>
        <v>8068.67574431577</v>
      </c>
      <c r="AS396" s="32" t="n">
        <f aca="false">AS386+AS390-AS391+AS395</f>
        <v>4031.6387834788</v>
      </c>
    </row>
    <row r="397" customFormat="false" ht="14.25" hidden="false" customHeight="false" outlineLevel="0" collapsed="false">
      <c r="C397" s="6" t="s">
        <v>325</v>
      </c>
      <c r="D397" s="2" t="s">
        <v>3</v>
      </c>
      <c r="H397" s="47" t="n">
        <f aca="false">MIN(J397:AS397)</f>
        <v>2.18972555710294</v>
      </c>
      <c r="J397" s="47" t="str">
        <f aca="false">IF(J391&gt;0,J385/J391,"")</f>
        <v/>
      </c>
      <c r="K397" s="47" t="str">
        <f aca="false">IF(K391&gt;0,K385/K391,"")</f>
        <v/>
      </c>
      <c r="L397" s="47" t="str">
        <f aca="false">IF(L391&gt;0,L385/L391,"")</f>
        <v/>
      </c>
      <c r="M397" s="47" t="str">
        <f aca="false">IF(M391&gt;0,M385/M391,"")</f>
        <v/>
      </c>
      <c r="N397" s="47" t="str">
        <f aca="false">IF(N391&gt;0,N385/N391,"")</f>
        <v/>
      </c>
      <c r="O397" s="47" t="str">
        <f aca="false">IF(O391&gt;0,O385/O391,"")</f>
        <v/>
      </c>
      <c r="P397" s="47" t="n">
        <f aca="false">IF(P391&gt;0,P385/P391,"")</f>
        <v>2.18972555710294</v>
      </c>
      <c r="Q397" s="47" t="n">
        <f aca="false">IF(Q391&gt;0,Q385/Q391,"")</f>
        <v>2.1960744260939</v>
      </c>
      <c r="R397" s="47" t="n">
        <f aca="false">IF(R391&gt;0,R385/R391,"")</f>
        <v>2.20225225082418</v>
      </c>
      <c r="S397" s="47" t="n">
        <f aca="false">IF(S391&gt;0,S385/S391,"")</f>
        <v>2.20825262207834</v>
      </c>
      <c r="T397" s="47" t="n">
        <f aca="false">IF(T391&gt;0,T385/T391,"")</f>
        <v>2.21406895916834</v>
      </c>
      <c r="U397" s="47" t="n">
        <f aca="false">IF(U391&gt;0,U385/U391,"")</f>
        <v>2.21969450564778</v>
      </c>
      <c r="V397" s="47" t="n">
        <f aca="false">IF(V391&gt;0,V385/V391,"")</f>
        <v>2.2251223249209</v>
      </c>
      <c r="W397" s="47" t="n">
        <f aca="false">IF(W391&gt;0,W385/W391,"")</f>
        <v>2.23034529574348</v>
      </c>
      <c r="X397" s="47" t="n">
        <f aca="false">IF(X391&gt;0,X385/X391,"")</f>
        <v>2.23535610761316</v>
      </c>
      <c r="Y397" s="47" t="n">
        <f aca="false">IF(Y391&gt;0,Y385/Y391,"")</f>
        <v>2.24014725604645</v>
      </c>
      <c r="Z397" s="47" t="n">
        <f aca="false">IF(Z391&gt;0,Z385/Z391,"")</f>
        <v>2.24471103773962</v>
      </c>
      <c r="AA397" s="47" t="n">
        <f aca="false">IF(AA391&gt;0,AA385/AA391,"")</f>
        <v>2.24903954561053</v>
      </c>
      <c r="AB397" s="47" t="n">
        <f aca="false">IF(AB391&gt;0,AB385/AB391,"")</f>
        <v>2.25312466371877</v>
      </c>
      <c r="AC397" s="47" t="n">
        <f aca="false">IF(AC391&gt;0,AC385/AC391,"")</f>
        <v>2.25695806206072</v>
      </c>
      <c r="AD397" s="47" t="n">
        <f aca="false">IF(AD391&gt;0,AD385/AD391,"")</f>
        <v>2.26053119123683</v>
      </c>
      <c r="AE397" s="47" t="str">
        <f aca="false">IF(AE391&gt;0,AE385/AE391,"")</f>
        <v/>
      </c>
      <c r="AF397" s="47" t="str">
        <f aca="false">IF(AF391&gt;0,AF385/AF391,"")</f>
        <v/>
      </c>
      <c r="AG397" s="47" t="str">
        <f aca="false">IF(AG391&gt;0,AG385/AG391,"")</f>
        <v/>
      </c>
      <c r="AH397" s="47" t="str">
        <f aca="false">IF(AH391&gt;0,AH385/AH391,"")</f>
        <v/>
      </c>
      <c r="AI397" s="47" t="str">
        <f aca="false">IF(AI391&gt;0,AI385/AI391,"")</f>
        <v/>
      </c>
      <c r="AJ397" s="47" t="str">
        <f aca="false">IF(AJ391&gt;0,AJ385/AJ391,"")</f>
        <v/>
      </c>
      <c r="AK397" s="47" t="str">
        <f aca="false">IF(AK391&gt;0,AK385/AK391,"")</f>
        <v/>
      </c>
      <c r="AL397" s="47" t="str">
        <f aca="false">IF(AL391&gt;0,AL385/AL391,"")</f>
        <v/>
      </c>
      <c r="AM397" s="47" t="str">
        <f aca="false">IF(AM391&gt;0,AM385/AM391,"")</f>
        <v/>
      </c>
      <c r="AN397" s="47" t="str">
        <f aca="false">IF(AN391&gt;0,AN385/AN391,"")</f>
        <v/>
      </c>
      <c r="AO397" s="47" t="str">
        <f aca="false">IF(AO391&gt;0,AO385/AO391,"")</f>
        <v/>
      </c>
      <c r="AP397" s="47" t="str">
        <f aca="false">IF(AP391&gt;0,AP385/AP391,"")</f>
        <v/>
      </c>
      <c r="AQ397" s="47" t="str">
        <f aca="false">IF(AQ391&gt;0,AQ385/AQ391,"")</f>
        <v/>
      </c>
      <c r="AR397" s="47" t="str">
        <f aca="false">IF(AR391&gt;0,AR385/AR391,"")</f>
        <v/>
      </c>
      <c r="AS397" s="47" t="str">
        <f aca="false">IF(AS391&gt;0,AS385/AS391,"")</f>
        <v/>
      </c>
    </row>
    <row r="398" customFormat="false" ht="14.25" hidden="false" customHeight="false" outlineLevel="0" collapsed="false">
      <c r="C398" s="6" t="s">
        <v>326</v>
      </c>
      <c r="D398" s="2" t="s">
        <v>3</v>
      </c>
      <c r="J398" s="76" t="n">
        <f aca="false">(1+Discount_Rate)^((Inputs!$E$26-J$358)/Days_In_Year)</f>
        <v>1.41371255107938</v>
      </c>
      <c r="K398" s="76" t="n">
        <f aca="false">(1+Discount_Rate)^((Inputs!$E$26-K$358)/Days_In_Year)</f>
        <v>1.30899310285128</v>
      </c>
      <c r="L398" s="76" t="n">
        <f aca="false">(1+Discount_Rate)^((Inputs!$E$26-L$358)/Days_In_Year)</f>
        <v>1.21177511843915</v>
      </c>
      <c r="M398" s="76" t="n">
        <f aca="false">(1+Discount_Rate)^((Inputs!$E$26-M$358)/Days_In_Year)</f>
        <v>1.12201399855477</v>
      </c>
      <c r="N398" s="76" t="n">
        <f aca="false">(1+Discount_Rate)^((Inputs!$E$26-N$358)/Days_In_Year)</f>
        <v>1.03890185051367</v>
      </c>
      <c r="O398" s="76" t="n">
        <f aca="false">(1+Discount_Rate)^((Inputs!$E$26-O$358)/Days_In_Year)</f>
        <v>0.961946157883031</v>
      </c>
      <c r="P398" s="76" t="n">
        <f aca="false">(1+Discount_Rate)^((Inputs!$E$26-P$358)/Days_In_Year)</f>
        <v>0.890503102622714</v>
      </c>
      <c r="Q398" s="76" t="n">
        <f aca="false">(1+Discount_Rate)^((Inputs!$E$26-Q$358)/Days_In_Year)</f>
        <v>0.824539909835846</v>
      </c>
      <c r="R398" s="76" t="n">
        <f aca="false">(1+Discount_Rate)^((Inputs!$E$26-R$358)/Days_In_Year)</f>
        <v>0.763462879477635</v>
      </c>
      <c r="S398" s="76" t="n">
        <f aca="false">(1+Discount_Rate)^((Inputs!$E$26-S$358)/Days_In_Year)</f>
        <v>0.706910073590403</v>
      </c>
      <c r="T398" s="76" t="n">
        <f aca="false">(1+Discount_Rate)^((Inputs!$E$26-T$358)/Days_In_Year)</f>
        <v>0.654408366464987</v>
      </c>
      <c r="U398" s="76" t="n">
        <f aca="false">(1+Discount_Rate)^((Inputs!$E$26-U$358)/Days_In_Year)</f>
        <v>0.605933672652766</v>
      </c>
      <c r="V398" s="76" t="n">
        <f aca="false">(1+Discount_Rate)^((Inputs!$E$26-V$358)/Days_In_Year)</f>
        <v>0.561049696900709</v>
      </c>
      <c r="W398" s="76" t="n">
        <f aca="false">(1+Discount_Rate)^((Inputs!$E$26-W$358)/Days_In_Year)</f>
        <v>0.519490460093249</v>
      </c>
      <c r="X398" s="76" t="n">
        <f aca="false">(1+Discount_Rate)^((Inputs!$E$26-X$358)/Days_In_Year)</f>
        <v>0.480908274028566</v>
      </c>
      <c r="Y398" s="76" t="n">
        <f aca="false">(1+Discount_Rate)^((Inputs!$E$26-Y$358)/Days_In_Year)</f>
        <v>0.445285438915339</v>
      </c>
      <c r="Z398" s="76" t="n">
        <f aca="false">(1+Discount_Rate)^((Inputs!$E$26-Z$358)/Days_In_Year)</f>
        <v>0.412301332329018</v>
      </c>
      <c r="AA398" s="76" t="n">
        <f aca="false">(1+Discount_Rate)^((Inputs!$E$26-AA$358)/Days_In_Year)</f>
        <v>0.381760492897239</v>
      </c>
      <c r="AB398" s="76" t="n">
        <f aca="false">(1+Discount_Rate)^((Inputs!$E$26-AB$358)/Days_In_Year)</f>
        <v>0.353407413292154</v>
      </c>
      <c r="AC398" s="76" t="n">
        <f aca="false">(1+Discount_Rate)^((Inputs!$E$26-AC$358)/Days_In_Year)</f>
        <v>0.327229086381624</v>
      </c>
      <c r="AD398" s="76" t="n">
        <f aca="false">(1+Discount_Rate)^((Inputs!$E$26-AD$358)/Days_In_Year)</f>
        <v>0.3029898947978</v>
      </c>
      <c r="AE398" s="76" t="n">
        <f aca="false">(1+Discount_Rate)^((Inputs!$E$26-AE$358)/Days_In_Year)</f>
        <v>0.280546198886852</v>
      </c>
      <c r="AF398" s="76" t="n">
        <f aca="false">(1+Discount_Rate)^((Inputs!$E$26-AF$358)/Days_In_Year)</f>
        <v>0.259710232730228</v>
      </c>
      <c r="AG398" s="76" t="n">
        <f aca="false">(1+Discount_Rate)^((Inputs!$E$26-AG$358)/Days_In_Year)</f>
        <v>0.240472437713174</v>
      </c>
      <c r="AH398" s="76" t="n">
        <f aca="false">(1+Discount_Rate)^((Inputs!$E$26-AH$358)/Days_In_Year)</f>
        <v>0.222659664549235</v>
      </c>
      <c r="AI398" s="76" t="n">
        <f aca="false">(1+Discount_Rate)^((Inputs!$E$26-AI$358)/Days_In_Year)</f>
        <v>0.206166356064106</v>
      </c>
      <c r="AJ398" s="76" t="n">
        <f aca="false">(1+Discount_Rate)^((Inputs!$E$26-AJ$358)/Days_In_Year)</f>
        <v>0.190854527799705</v>
      </c>
      <c r="AK398" s="76" t="n">
        <f aca="false">(1+Discount_Rate)^((Inputs!$E$26-AK$358)/Days_In_Year)</f>
        <v>0.176717155370097</v>
      </c>
      <c r="AL398" s="76" t="n">
        <f aca="false">(1+Discount_Rate)^((Inputs!$E$26-AL$358)/Days_In_Year)</f>
        <v>0.163626995713053</v>
      </c>
      <c r="AM398" s="76" t="n">
        <f aca="false">(1+Discount_Rate)^((Inputs!$E$26-AM$358)/Days_In_Year)</f>
        <v>0.151506477512086</v>
      </c>
      <c r="AN398" s="76" t="n">
        <f aca="false">(1+Discount_Rate)^((Inputs!$E$26-AN$358)/Days_In_Year)</f>
        <v>0.140254199454224</v>
      </c>
      <c r="AO398" s="76" t="n">
        <f aca="false">(1+Discount_Rate)^((Inputs!$E$26-AO$358)/Days_In_Year)</f>
        <v>0.129864999494652</v>
      </c>
      <c r="AP398" s="76" t="n">
        <f aca="false">(1+Discount_Rate)^((Inputs!$E$26-AP$358)/Days_In_Year)</f>
        <v>0.120245369902455</v>
      </c>
      <c r="AQ398" s="76" t="n">
        <f aca="false">(1+Discount_Rate)^((Inputs!$E$26-AQ$358)/Days_In_Year)</f>
        <v>0.111338305465236</v>
      </c>
      <c r="AR398" s="76" t="n">
        <f aca="false">(1+Discount_Rate)^((Inputs!$E$26-AR$358)/Days_In_Year)</f>
        <v>0.103069288904634</v>
      </c>
      <c r="AS398" s="76" t="n">
        <f aca="false">(1+Discount_Rate)^((Inputs!$E$26-AS$358)/Days_In_Year)</f>
        <v>0.0954345267635496</v>
      </c>
    </row>
    <row r="399" customFormat="false" ht="14.25" hidden="false" customHeight="false" outlineLevel="0" collapsed="false">
      <c r="C399" s="6" t="s">
        <v>327</v>
      </c>
      <c r="D399" s="2" t="s">
        <v>85</v>
      </c>
      <c r="H399" s="8" t="n">
        <f aca="false">SUM(J399:AS399)</f>
        <v>104654.654246613</v>
      </c>
      <c r="J399" s="8" t="n">
        <f aca="false">J385*J398</f>
        <v>0</v>
      </c>
      <c r="K399" s="8" t="n">
        <f aca="false">K385*K398</f>
        <v>0</v>
      </c>
      <c r="L399" s="8" t="n">
        <f aca="false">L385*L398</f>
        <v>0</v>
      </c>
      <c r="M399" s="8" t="n">
        <f aca="false">M385*M398</f>
        <v>0</v>
      </c>
      <c r="N399" s="8" t="n">
        <f aca="false">N385*N398</f>
        <v>0</v>
      </c>
      <c r="O399" s="8" t="n">
        <f aca="false">O385*O398</f>
        <v>4360.71180340094</v>
      </c>
      <c r="P399" s="8" t="n">
        <f aca="false">P385*P398</f>
        <v>8126.0596102174</v>
      </c>
      <c r="Q399" s="8" t="n">
        <f aca="false">Q385*Q398</f>
        <v>7545.94465596927</v>
      </c>
      <c r="R399" s="8" t="n">
        <f aca="false">R385*R398</f>
        <v>7006.64103425655</v>
      </c>
      <c r="S399" s="8" t="n">
        <f aca="false">S385*S398</f>
        <v>6505.30712367905</v>
      </c>
      <c r="T399" s="8" t="n">
        <f aca="false">T385*T398</f>
        <v>6038.02443201647</v>
      </c>
      <c r="U399" s="8" t="n">
        <f aca="false">U385*U398</f>
        <v>5604.96847570687</v>
      </c>
      <c r="V399" s="8" t="n">
        <f aca="false">V385*V398</f>
        <v>5202.47620914274</v>
      </c>
      <c r="W399" s="8" t="n">
        <f aca="false">W385*W398</f>
        <v>4828.41467041233</v>
      </c>
      <c r="X399" s="8" t="n">
        <f aca="false">X385*X398</f>
        <v>4479.85387142077</v>
      </c>
      <c r="Y399" s="8" t="n">
        <f aca="false">Y385*Y398</f>
        <v>4156.90348337746</v>
      </c>
      <c r="Z399" s="8" t="n">
        <f aca="false">Z385*Z398</f>
        <v>3856.82612256599</v>
      </c>
      <c r="AA399" s="8" t="n">
        <f aca="false">AA385*AA398</f>
        <v>3578.02156910459</v>
      </c>
      <c r="AB399" s="8" t="n">
        <f aca="false">AB385*AB398</f>
        <v>3318.30083688709</v>
      </c>
      <c r="AC399" s="8" t="n">
        <f aca="false">AC385*AC398</f>
        <v>3077.72823503815</v>
      </c>
      <c r="AD399" s="8" t="n">
        <f aca="false">AD385*AD398</f>
        <v>2854.2599777557</v>
      </c>
      <c r="AE399" s="8" t="n">
        <f aca="false">AE385*AE398</f>
        <v>2646.69618705788</v>
      </c>
      <c r="AF399" s="8" t="n">
        <f aca="false">AF385*AF398</f>
        <v>2453.40300085996</v>
      </c>
      <c r="AG399" s="8" t="n">
        <f aca="false">AG385*AG398</f>
        <v>2274.41400282392</v>
      </c>
      <c r="AH399" s="8" t="n">
        <f aca="false">AH385*AH398</f>
        <v>2108.20477676274</v>
      </c>
      <c r="AI399" s="8" t="n">
        <f aca="false">AI385*AI398</f>
        <v>1953.87616749626</v>
      </c>
      <c r="AJ399" s="8" t="n">
        <f aca="false">AJ385*AJ398</f>
        <v>1810.20990426045</v>
      </c>
      <c r="AK399" s="8" t="n">
        <f aca="false">AK385*AK398</f>
        <v>1677.21922521057</v>
      </c>
      <c r="AL399" s="8" t="n">
        <f aca="false">AL385*AL398</f>
        <v>1553.76834114745</v>
      </c>
      <c r="AM399" s="8" t="n">
        <f aca="false">AM385*AM398</f>
        <v>1439.18388867282</v>
      </c>
      <c r="AN399" s="8" t="n">
        <f aca="false">AN385*AN398</f>
        <v>1332.55849807606</v>
      </c>
      <c r="AO399" s="8" t="n">
        <f aca="false">AO385*AO398</f>
        <v>1233.89235574385</v>
      </c>
      <c r="AP399" s="8" t="n">
        <f aca="false">AP385*AP398</f>
        <v>1142.34024096996</v>
      </c>
      <c r="AQ399" s="8" t="n">
        <f aca="false">AQ385*AQ398</f>
        <v>1057.39823981267</v>
      </c>
      <c r="AR399" s="8" t="n">
        <f aca="false">AR385*AR398</f>
        <v>978.391378080813</v>
      </c>
      <c r="AS399" s="8" t="n">
        <f aca="false">AS385*AS398</f>
        <v>452.655928685732</v>
      </c>
    </row>
    <row r="400" customFormat="false" ht="14.25" hidden="false" customHeight="false" outlineLevel="0" collapsed="false">
      <c r="C400" s="6" t="s">
        <v>328</v>
      </c>
      <c r="D400" s="2" t="s">
        <v>85</v>
      </c>
      <c r="H400" s="8" t="n">
        <f aca="false">SUM(J400:AS400)</f>
        <v>0</v>
      </c>
      <c r="J400" s="8" t="n">
        <f aca="false">0</f>
        <v>0</v>
      </c>
      <c r="K400" s="8" t="n">
        <f aca="false">0</f>
        <v>0</v>
      </c>
      <c r="L400" s="8" t="n">
        <f aca="false">0</f>
        <v>0</v>
      </c>
      <c r="M400" s="8" t="n">
        <f aca="false">0</f>
        <v>0</v>
      </c>
      <c r="N400" s="8" t="n">
        <f aca="false">0</f>
        <v>0</v>
      </c>
      <c r="O400" s="8" t="n">
        <f aca="false">0</f>
        <v>0</v>
      </c>
      <c r="P400" s="8" t="n">
        <f aca="false">0</f>
        <v>0</v>
      </c>
      <c r="Q400" s="8" t="n">
        <f aca="false">0</f>
        <v>0</v>
      </c>
      <c r="R400" s="8" t="n">
        <f aca="false">0</f>
        <v>0</v>
      </c>
      <c r="S400" s="8" t="n">
        <f aca="false">0</f>
        <v>0</v>
      </c>
      <c r="T400" s="8" t="n">
        <f aca="false">0</f>
        <v>0</v>
      </c>
      <c r="U400" s="8" t="n">
        <f aca="false">0</f>
        <v>0</v>
      </c>
      <c r="V400" s="8" t="n">
        <f aca="false">0</f>
        <v>0</v>
      </c>
      <c r="W400" s="8" t="n">
        <f aca="false">0</f>
        <v>0</v>
      </c>
      <c r="X400" s="8" t="n">
        <f aca="false">0</f>
        <v>0</v>
      </c>
      <c r="Y400" s="8" t="n">
        <f aca="false">0</f>
        <v>0</v>
      </c>
      <c r="Z400" s="8" t="n">
        <f aca="false">0</f>
        <v>0</v>
      </c>
      <c r="AA400" s="8" t="n">
        <f aca="false">0</f>
        <v>0</v>
      </c>
      <c r="AB400" s="8" t="n">
        <f aca="false">0</f>
        <v>0</v>
      </c>
      <c r="AC400" s="8" t="n">
        <f aca="false">0</f>
        <v>0</v>
      </c>
      <c r="AD400" s="8" t="n">
        <f aca="false">0</f>
        <v>0</v>
      </c>
      <c r="AE400" s="8" t="n">
        <f aca="false">0</f>
        <v>0</v>
      </c>
      <c r="AF400" s="8" t="n">
        <f aca="false">0</f>
        <v>0</v>
      </c>
      <c r="AG400" s="8" t="n">
        <f aca="false">0</f>
        <v>0</v>
      </c>
      <c r="AH400" s="8" t="n">
        <f aca="false">0</f>
        <v>0</v>
      </c>
      <c r="AI400" s="8" t="n">
        <f aca="false">0</f>
        <v>0</v>
      </c>
      <c r="AJ400" s="8" t="n">
        <f aca="false">0</f>
        <v>0</v>
      </c>
      <c r="AK400" s="8" t="n">
        <f aca="false">0</f>
        <v>0</v>
      </c>
      <c r="AL400" s="8" t="n">
        <f aca="false">0</f>
        <v>0</v>
      </c>
      <c r="AM400" s="8" t="n">
        <f aca="false">0</f>
        <v>0</v>
      </c>
      <c r="AN400" s="8" t="n">
        <f aca="false">0</f>
        <v>0</v>
      </c>
      <c r="AO400" s="8" t="n">
        <f aca="false">0</f>
        <v>0</v>
      </c>
      <c r="AP400" s="8" t="n">
        <f aca="false">0</f>
        <v>0</v>
      </c>
      <c r="AQ400" s="8" t="n">
        <f aca="false">0</f>
        <v>0</v>
      </c>
      <c r="AR400" s="8" t="n">
        <f aca="false">0</f>
        <v>0</v>
      </c>
      <c r="AS400" s="8" t="n">
        <f aca="false">0</f>
        <v>0</v>
      </c>
    </row>
    <row r="401" customFormat="false" ht="14.25" hidden="false" customHeight="false" outlineLevel="0" collapsed="false">
      <c r="C401" s="1" t="s">
        <v>329</v>
      </c>
      <c r="D401" s="2" t="s">
        <v>85</v>
      </c>
      <c r="H401" s="32" t="n">
        <f aca="false">SUM(J401:AS401)</f>
        <v>32562.7204740098</v>
      </c>
      <c r="J401" s="32" t="n">
        <f aca="false">J371*(J361&lt;=0)+J366*($H399+$E$62+$E$63)+J400</f>
        <v>0</v>
      </c>
      <c r="K401" s="32" t="n">
        <f aca="false">K371*(K361&lt;=0)+K366*($H399+$E$62+$E$63)+K400</f>
        <v>0</v>
      </c>
      <c r="L401" s="32" t="n">
        <f aca="false">L371*(L361&lt;=0)+L366*($H399+$E$62+$E$63)+L400</f>
        <v>0</v>
      </c>
      <c r="M401" s="32" t="n">
        <f aca="false">M371*(M361&lt;=0)+M366*($H399+$E$62+$E$63)+M400</f>
        <v>-33450.8995260274</v>
      </c>
      <c r="N401" s="32" t="n">
        <f aca="false">N371*(N361&lt;=0)+N366*($H399+$E$62+$E$63)+N400</f>
        <v>-26389</v>
      </c>
      <c r="O401" s="32" t="n">
        <f aca="false">O371*(O361&lt;=0)+O366*($H399+$E$62+$E$63)+O400</f>
        <v>92402.6200000372</v>
      </c>
      <c r="P401" s="32" t="n">
        <f aca="false">P371*(P361&lt;=0)+P366*($H399+$E$62+$E$63)+P400</f>
        <v>0</v>
      </c>
      <c r="Q401" s="32" t="n">
        <f aca="false">Q371*(Q361&lt;=0)+Q366*($H399+$E$62+$E$63)+Q400</f>
        <v>0</v>
      </c>
      <c r="R401" s="32" t="n">
        <f aca="false">R371*(R361&lt;=0)+R366*($H399+$E$62+$E$63)+R400</f>
        <v>0</v>
      </c>
      <c r="S401" s="32" t="n">
        <f aca="false">S371*(S361&lt;=0)+S366*($H399+$E$62+$E$63)+S400</f>
        <v>0</v>
      </c>
      <c r="T401" s="32" t="n">
        <f aca="false">T371*(T361&lt;=0)+T366*($H399+$E$62+$E$63)+T400</f>
        <v>0</v>
      </c>
      <c r="U401" s="32" t="n">
        <f aca="false">U371*(U361&lt;=0)+U366*($H399+$E$62+$E$63)+U400</f>
        <v>0</v>
      </c>
      <c r="V401" s="32" t="n">
        <f aca="false">V371*(V361&lt;=0)+V366*($H399+$E$62+$E$63)+V400</f>
        <v>0</v>
      </c>
      <c r="W401" s="32" t="n">
        <f aca="false">W371*(W361&lt;=0)+W366*($H399+$E$62+$E$63)+W400</f>
        <v>0</v>
      </c>
      <c r="X401" s="32" t="n">
        <f aca="false">X371*(X361&lt;=0)+X366*($H399+$E$62+$E$63)+X400</f>
        <v>0</v>
      </c>
      <c r="Y401" s="32" t="n">
        <f aca="false">Y371*(Y361&lt;=0)+Y366*($H399+$E$62+$E$63)+Y400</f>
        <v>0</v>
      </c>
      <c r="Z401" s="32" t="n">
        <f aca="false">Z371*(Z361&lt;=0)+Z366*($H399+$E$62+$E$63)+Z400</f>
        <v>0</v>
      </c>
      <c r="AA401" s="32" t="n">
        <f aca="false">AA371*(AA361&lt;=0)+AA366*($H399+$E$62+$E$63)+AA400</f>
        <v>0</v>
      </c>
      <c r="AB401" s="32" t="n">
        <f aca="false">AB371*(AB361&lt;=0)+AB366*($H399+$E$62+$E$63)+AB400</f>
        <v>0</v>
      </c>
      <c r="AC401" s="32" t="n">
        <f aca="false">AC371*(AC361&lt;=0)+AC366*($H399+$E$62+$E$63)+AC400</f>
        <v>0</v>
      </c>
      <c r="AD401" s="32" t="n">
        <f aca="false">AD371*(AD361&lt;=0)+AD366*($H399+$E$62+$E$63)+AD400</f>
        <v>0</v>
      </c>
      <c r="AE401" s="32" t="n">
        <f aca="false">AE371*(AE361&lt;=0)+AE366*($H399+$E$62+$E$63)+AE400</f>
        <v>0</v>
      </c>
      <c r="AF401" s="32" t="n">
        <f aca="false">AF371*(AF361&lt;=0)+AF366*($H399+$E$62+$E$63)+AF400</f>
        <v>0</v>
      </c>
      <c r="AG401" s="32" t="n">
        <f aca="false">AG371*(AG361&lt;=0)+AG366*($H399+$E$62+$E$63)+AG400</f>
        <v>0</v>
      </c>
      <c r="AH401" s="32" t="n">
        <f aca="false">AH371*(AH361&lt;=0)+AH366*($H399+$E$62+$E$63)+AH400</f>
        <v>0</v>
      </c>
      <c r="AI401" s="32" t="n">
        <f aca="false">AI371*(AI361&lt;=0)+AI366*($H399+$E$62+$E$63)+AI400</f>
        <v>0</v>
      </c>
      <c r="AJ401" s="32" t="n">
        <f aca="false">AJ371*(AJ361&lt;=0)+AJ366*($H399+$E$62+$E$63)+AJ400</f>
        <v>0</v>
      </c>
      <c r="AK401" s="32" t="n">
        <f aca="false">AK371*(AK361&lt;=0)+AK366*($H399+$E$62+$E$63)+AK400</f>
        <v>0</v>
      </c>
      <c r="AL401" s="32" t="n">
        <f aca="false">AL371*(AL361&lt;=0)+AL366*($H399+$E$62+$E$63)+AL400</f>
        <v>0</v>
      </c>
      <c r="AM401" s="32" t="n">
        <f aca="false">AM371*(AM361&lt;=0)+AM366*($H399+$E$62+$E$63)+AM400</f>
        <v>0</v>
      </c>
      <c r="AN401" s="32" t="n">
        <f aca="false">AN371*(AN361&lt;=0)+AN366*($H399+$E$62+$E$63)+AN400</f>
        <v>0</v>
      </c>
      <c r="AO401" s="32" t="n">
        <f aca="false">AO371*(AO361&lt;=0)+AO366*($H399+$E$62+$E$63)+AO400</f>
        <v>0</v>
      </c>
      <c r="AP401" s="32" t="n">
        <f aca="false">AP371*(AP361&lt;=0)+AP366*($H399+$E$62+$E$63)+AP400</f>
        <v>0</v>
      </c>
      <c r="AQ401" s="32" t="n">
        <f aca="false">AQ371*(AQ361&lt;=0)+AQ366*($H399+$E$62+$E$63)+AQ400</f>
        <v>0</v>
      </c>
      <c r="AR401" s="32" t="n">
        <f aca="false">AR371*(AR361&lt;=0)+AR366*($H399+$E$62+$E$63)+AR400</f>
        <v>0</v>
      </c>
      <c r="AS401" s="32" t="n">
        <f aca="false">AS371*(AS361&lt;=0)+AS366*($H399+$E$62+$E$63)+AS400</f>
        <v>0</v>
      </c>
    </row>
    <row r="402" customFormat="false" ht="14.25" hidden="false" customHeight="false" outlineLevel="0" collapsed="false">
      <c r="C402" s="41" t="s">
        <v>330</v>
      </c>
      <c r="D402" s="42"/>
      <c r="E402" s="43"/>
      <c r="F402" s="43"/>
      <c r="G402" s="43"/>
      <c r="H402" s="43"/>
    </row>
    <row r="403" customFormat="false" ht="14.25" hidden="false" customHeight="false" outlineLevel="0" collapsed="false">
      <c r="C403" s="6" t="s">
        <v>331</v>
      </c>
      <c r="D403" s="2" t="s">
        <v>85</v>
      </c>
      <c r="H403" s="8"/>
      <c r="J403" s="8" t="n">
        <f aca="false">(I403*(1+Rate_Cash)+SUMPRODUCT(-$E340:$E345*$M340:$M345*(YEAR($J340:$J345)=J357)))*(J358&lt;$E190)</f>
        <v>404.929164946519</v>
      </c>
      <c r="K403" s="8" t="n">
        <f aca="false">(J403*(1+Rate_Cash)+SUMPRODUCT(-$E340:$E345*$M340:$M345*(YEAR($J340:$J345)=K357)))*(K358&lt;$E190)</f>
        <v>2874.39110197035</v>
      </c>
      <c r="L403" s="8" t="n">
        <f aca="false">(K403*(1+Rate_Cash)+SUMPRODUCT(-$E340:$E345*$M340:$M345*(YEAR($J340:$J345)=L357)))*(L358&lt;$E190)</f>
        <v>13614.1904191201</v>
      </c>
      <c r="M403" s="8" t="n">
        <f aca="false">(L403*(1+Rate_Cash)+SUMPRODUCT(-$E340:$E345*$M340:$M345*(YEAR($J340:$J345)=M357)))*(M358&lt;$E190)</f>
        <v>0</v>
      </c>
      <c r="N403" s="8" t="n">
        <f aca="false">(M403*(1+Rate_Cash)+SUMPRODUCT(-$E340:$E345*$M340:$M345*(YEAR($J340:$J345)=N357)))*(N358&lt;$E190)</f>
        <v>0</v>
      </c>
      <c r="O403" s="8" t="n">
        <f aca="false">(N403*(1+Rate_Cash)+SUMPRODUCT(-$E340:$E345*$M340:$M345*(YEAR($J340:$J345)=O357)))*(O358&lt;$E190)</f>
        <v>0</v>
      </c>
      <c r="P403" s="8" t="n">
        <f aca="false">(O403*(1+Rate_Cash)+SUMPRODUCT(-$E340:$E345*$M340:$M345*(YEAR($J340:$J345)=P357)))*(P358&lt;$E190)</f>
        <v>0</v>
      </c>
      <c r="Q403" s="8" t="n">
        <f aca="false">(P403*(1+Rate_Cash)+SUMPRODUCT(-$E340:$E345*$M340:$M345*(YEAR($J340:$J345)=Q357)))*(Q358&lt;$E190)</f>
        <v>0</v>
      </c>
      <c r="R403" s="8" t="n">
        <f aca="false">(Q403*(1+Rate_Cash)+SUMPRODUCT(-$E340:$E345*$M340:$M345*(YEAR($J340:$J345)=R357)))*(R358&lt;$E190)</f>
        <v>0</v>
      </c>
      <c r="S403" s="8" t="n">
        <f aca="false">(R403*(1+Rate_Cash)+SUMPRODUCT(-$E340:$E345*$M340:$M345*(YEAR($J340:$J345)=S357)))*(S358&lt;$E190)</f>
        <v>0</v>
      </c>
      <c r="T403" s="8" t="n">
        <f aca="false">(S403*(1+Rate_Cash)+SUMPRODUCT(-$E340:$E345*$M340:$M345*(YEAR($J340:$J345)=T357)))*(T358&lt;$E190)</f>
        <v>0</v>
      </c>
      <c r="U403" s="8" t="n">
        <f aca="false">(T403*(1+Rate_Cash)+SUMPRODUCT(-$E340:$E345*$M340:$M345*(YEAR($J340:$J345)=U357)))*(U358&lt;$E190)</f>
        <v>0</v>
      </c>
      <c r="V403" s="8" t="n">
        <f aca="false">(U403*(1+Rate_Cash)+SUMPRODUCT(-$E340:$E345*$M340:$M345*(YEAR($J340:$J345)=V357)))*(V358&lt;$E190)</f>
        <v>0</v>
      </c>
      <c r="W403" s="8" t="n">
        <f aca="false">(V403*(1+Rate_Cash)+SUMPRODUCT(-$E340:$E345*$M340:$M345*(YEAR($J340:$J345)=W357)))*(W358&lt;$E190)</f>
        <v>0</v>
      </c>
      <c r="X403" s="8" t="n">
        <f aca="false">(W403*(1+Rate_Cash)+SUMPRODUCT(-$E340:$E345*$M340:$M345*(YEAR($J340:$J345)=X357)))*(X358&lt;$E190)</f>
        <v>0</v>
      </c>
      <c r="Y403" s="8" t="n">
        <f aca="false">(X403*(1+Rate_Cash)+SUMPRODUCT(-$E340:$E345*$M340:$M345*(YEAR($J340:$J345)=Y357)))*(Y358&lt;$E190)</f>
        <v>0</v>
      </c>
      <c r="Z403" s="8" t="n">
        <f aca="false">(Y403*(1+Rate_Cash)+SUMPRODUCT(-$E340:$E345*$M340:$M345*(YEAR($J340:$J345)=Z357)))*(Z358&lt;$E190)</f>
        <v>0</v>
      </c>
      <c r="AA403" s="8" t="n">
        <f aca="false">(Z403*(1+Rate_Cash)+SUMPRODUCT(-$E340:$E345*$M340:$M345*(YEAR($J340:$J345)=AA357)))*(AA358&lt;$E190)</f>
        <v>0</v>
      </c>
      <c r="AB403" s="8" t="n">
        <f aca="false">(AA403*(1+Rate_Cash)+SUMPRODUCT(-$E340:$E345*$M340:$M345*(YEAR($J340:$J345)=AB357)))*(AB358&lt;$E190)</f>
        <v>0</v>
      </c>
      <c r="AC403" s="8" t="n">
        <f aca="false">(AB403*(1+Rate_Cash)+SUMPRODUCT(-$E340:$E345*$M340:$M345*(YEAR($J340:$J345)=AC357)))*(AC358&lt;$E190)</f>
        <v>0</v>
      </c>
      <c r="AD403" s="8" t="n">
        <f aca="false">(AC403*(1+Rate_Cash)+SUMPRODUCT(-$E340:$E345*$M340:$M345*(YEAR($J340:$J345)=AD357)))*(AD358&lt;$E190)</f>
        <v>0</v>
      </c>
      <c r="AE403" s="8" t="n">
        <f aca="false">(AD403*(1+Rate_Cash)+SUMPRODUCT(-$E340:$E345*$M340:$M345*(YEAR($J340:$J345)=AE357)))*(AE358&lt;$E190)</f>
        <v>0</v>
      </c>
      <c r="AF403" s="8" t="n">
        <f aca="false">(AE403*(1+Rate_Cash)+SUMPRODUCT(-$E340:$E345*$M340:$M345*(YEAR($J340:$J345)=AF357)))*(AF358&lt;$E190)</f>
        <v>0</v>
      </c>
      <c r="AG403" s="8" t="n">
        <f aca="false">(AF403*(1+Rate_Cash)+SUMPRODUCT(-$E340:$E345*$M340:$M345*(YEAR($J340:$J345)=AG357)))*(AG358&lt;$E190)</f>
        <v>0</v>
      </c>
      <c r="AH403" s="8" t="n">
        <f aca="false">(AG403*(1+Rate_Cash)+SUMPRODUCT(-$E340:$E345*$M340:$M345*(YEAR($J340:$J345)=AH357)))*(AH358&lt;$E190)</f>
        <v>0</v>
      </c>
      <c r="AI403" s="8" t="n">
        <f aca="false">(AH403*(1+Rate_Cash)+SUMPRODUCT(-$E340:$E345*$M340:$M345*(YEAR($J340:$J345)=AI357)))*(AI358&lt;$E190)</f>
        <v>0</v>
      </c>
      <c r="AJ403" s="8" t="n">
        <f aca="false">(AI403*(1+Rate_Cash)+SUMPRODUCT(-$E340:$E345*$M340:$M345*(YEAR($J340:$J345)=AJ357)))*(AJ358&lt;$E190)</f>
        <v>0</v>
      </c>
      <c r="AK403" s="8" t="n">
        <f aca="false">(AJ403*(1+Rate_Cash)+SUMPRODUCT(-$E340:$E345*$M340:$M345*(YEAR($J340:$J345)=AK357)))*(AK358&lt;$E190)</f>
        <v>0</v>
      </c>
      <c r="AL403" s="8" t="n">
        <f aca="false">(AK403*(1+Rate_Cash)+SUMPRODUCT(-$E340:$E345*$M340:$M345*(YEAR($J340:$J345)=AL357)))*(AL358&lt;$E190)</f>
        <v>0</v>
      </c>
      <c r="AM403" s="8" t="n">
        <f aca="false">(AL403*(1+Rate_Cash)+SUMPRODUCT(-$E340:$E345*$M340:$M345*(YEAR($J340:$J345)=AM357)))*(AM358&lt;$E190)</f>
        <v>0</v>
      </c>
      <c r="AN403" s="8" t="n">
        <f aca="false">(AM403*(1+Rate_Cash)+SUMPRODUCT(-$E340:$E345*$M340:$M345*(YEAR($J340:$J345)=AN357)))*(AN358&lt;$E190)</f>
        <v>0</v>
      </c>
      <c r="AO403" s="8" t="n">
        <f aca="false">(AN403*(1+Rate_Cash)+SUMPRODUCT(-$E340:$E345*$M340:$M345*(YEAR($J340:$J345)=AO357)))*(AO358&lt;$E190)</f>
        <v>0</v>
      </c>
      <c r="AP403" s="8" t="n">
        <f aca="false">(AO403*(1+Rate_Cash)+SUMPRODUCT(-$E340:$E345*$M340:$M345*(YEAR($J340:$J345)=AP357)))*(AP358&lt;$E190)</f>
        <v>0</v>
      </c>
      <c r="AQ403" s="8" t="n">
        <f aca="false">(AP403*(1+Rate_Cash)+SUMPRODUCT(-$E340:$E345*$M340:$M345*(YEAR($J340:$J345)=AQ357)))*(AQ358&lt;$E190)</f>
        <v>0</v>
      </c>
      <c r="AR403" s="8" t="n">
        <f aca="false">(AQ403*(1+Rate_Cash)+SUMPRODUCT(-$E340:$E345*$M340:$M345*(YEAR($J340:$J345)=AR357)))*(AR358&lt;$E190)</f>
        <v>0</v>
      </c>
      <c r="AS403" s="8" t="n">
        <f aca="false">(AR403*(1+Rate_Cash)+SUMPRODUCT(-$E340:$E345*$M340:$M345*(YEAR($J340:$J345)=AS357)))*(AS358&lt;$E190)</f>
        <v>0</v>
      </c>
    </row>
    <row r="404" customFormat="false" ht="14.25" hidden="false" customHeight="false" outlineLevel="0" collapsed="false">
      <c r="C404" s="6" t="s">
        <v>332</v>
      </c>
      <c r="D404" s="2" t="s">
        <v>85</v>
      </c>
      <c r="H404" s="8"/>
      <c r="J404" s="8" t="n">
        <f aca="false">(I404*(1+Rate_Devex)+SUMPRODUCT(-$E346:$E347*$M346:$M347*(YEAR($J346:$J347)=J357)))*(J358&lt;$E190)</f>
        <v>0</v>
      </c>
      <c r="K404" s="8" t="n">
        <f aca="false">(J404*(1+Rate_Devex)+SUMPRODUCT(-$E346:$E347*$M346:$M347*(YEAR($J346:$J347)=K357)))*(K358&lt;$E190)</f>
        <v>716.033459724017</v>
      </c>
      <c r="L404" s="8" t="n">
        <f aca="false">(K404*(1+Rate_Devex)+SUMPRODUCT(-$E346:$E347*$M346:$M347*(YEAR($J346:$J347)=L357)))*(L358&lt;$E190)</f>
        <v>981.326219036057</v>
      </c>
      <c r="M404" s="8" t="n">
        <f aca="false">(L404*(1+Rate_Devex)+SUMPRODUCT(-$E346:$E347*$M346:$M347*(YEAR($J346:$J347)=M357)))*(M358&lt;$E190)</f>
        <v>0</v>
      </c>
      <c r="N404" s="8" t="n">
        <f aca="false">(M404*(1+Rate_Devex)+SUMPRODUCT(-$E346:$E347*$M346:$M347*(YEAR($J346:$J347)=N357)))*(N358&lt;$E190)</f>
        <v>0</v>
      </c>
      <c r="O404" s="8" t="n">
        <f aca="false">(N404*(1+Rate_Devex)+SUMPRODUCT(-$E346:$E347*$M346:$M347*(YEAR($J346:$J347)=O357)))*(O358&lt;$E190)</f>
        <v>0</v>
      </c>
      <c r="P404" s="8" t="n">
        <f aca="false">(O404*(1+Rate_Devex)+SUMPRODUCT(-$E346:$E347*$M346:$M347*(YEAR($J346:$J347)=P357)))*(P358&lt;$E190)</f>
        <v>0</v>
      </c>
      <c r="Q404" s="8" t="n">
        <f aca="false">(P404*(1+Rate_Devex)+SUMPRODUCT(-$E346:$E347*$M346:$M347*(YEAR($J346:$J347)=Q357)))*(Q358&lt;$E190)</f>
        <v>0</v>
      </c>
      <c r="R404" s="8" t="n">
        <f aca="false">(Q404*(1+Rate_Devex)+SUMPRODUCT(-$E346:$E347*$M346:$M347*(YEAR($J346:$J347)=R357)))*(R358&lt;$E190)</f>
        <v>0</v>
      </c>
      <c r="S404" s="8" t="n">
        <f aca="false">(R404*(1+Rate_Devex)+SUMPRODUCT(-$E346:$E347*$M346:$M347*(YEAR($J346:$J347)=S357)))*(S358&lt;$E190)</f>
        <v>0</v>
      </c>
      <c r="T404" s="8" t="n">
        <f aca="false">(S404*(1+Rate_Devex)+SUMPRODUCT(-$E346:$E347*$M346:$M347*(YEAR($J346:$J347)=T357)))*(T358&lt;$E190)</f>
        <v>0</v>
      </c>
      <c r="U404" s="8" t="n">
        <f aca="false">(T404*(1+Rate_Devex)+SUMPRODUCT(-$E346:$E347*$M346:$M347*(YEAR($J346:$J347)=U357)))*(U358&lt;$E190)</f>
        <v>0</v>
      </c>
      <c r="V404" s="8" t="n">
        <f aca="false">(U404*(1+Rate_Devex)+SUMPRODUCT(-$E346:$E347*$M346:$M347*(YEAR($J346:$J347)=V357)))*(V358&lt;$E190)</f>
        <v>0</v>
      </c>
      <c r="W404" s="8" t="n">
        <f aca="false">(V404*(1+Rate_Devex)+SUMPRODUCT(-$E346:$E347*$M346:$M347*(YEAR($J346:$J347)=W357)))*(W358&lt;$E190)</f>
        <v>0</v>
      </c>
      <c r="X404" s="8" t="n">
        <f aca="false">(W404*(1+Rate_Devex)+SUMPRODUCT(-$E346:$E347*$M346:$M347*(YEAR($J346:$J347)=X357)))*(X358&lt;$E190)</f>
        <v>0</v>
      </c>
      <c r="Y404" s="8" t="n">
        <f aca="false">(X404*(1+Rate_Devex)+SUMPRODUCT(-$E346:$E347*$M346:$M347*(YEAR($J346:$J347)=Y357)))*(Y358&lt;$E190)</f>
        <v>0</v>
      </c>
      <c r="Z404" s="8" t="n">
        <f aca="false">(Y404*(1+Rate_Devex)+SUMPRODUCT(-$E346:$E347*$M346:$M347*(YEAR($J346:$J347)=Z357)))*(Z358&lt;$E190)</f>
        <v>0</v>
      </c>
      <c r="AA404" s="8" t="n">
        <f aca="false">(Z404*(1+Rate_Devex)+SUMPRODUCT(-$E346:$E347*$M346:$M347*(YEAR($J346:$J347)=AA357)))*(AA358&lt;$E190)</f>
        <v>0</v>
      </c>
      <c r="AB404" s="8" t="n">
        <f aca="false">(AA404*(1+Rate_Devex)+SUMPRODUCT(-$E346:$E347*$M346:$M347*(YEAR($J346:$J347)=AB357)))*(AB358&lt;$E190)</f>
        <v>0</v>
      </c>
      <c r="AC404" s="8" t="n">
        <f aca="false">(AB404*(1+Rate_Devex)+SUMPRODUCT(-$E346:$E347*$M346:$M347*(YEAR($J346:$J347)=AC357)))*(AC358&lt;$E190)</f>
        <v>0</v>
      </c>
      <c r="AD404" s="8" t="n">
        <f aca="false">(AC404*(1+Rate_Devex)+SUMPRODUCT(-$E346:$E347*$M346:$M347*(YEAR($J346:$J347)=AD357)))*(AD358&lt;$E190)</f>
        <v>0</v>
      </c>
      <c r="AE404" s="8" t="n">
        <f aca="false">(AD404*(1+Rate_Devex)+SUMPRODUCT(-$E346:$E347*$M346:$M347*(YEAR($J346:$J347)=AE357)))*(AE358&lt;$E190)</f>
        <v>0</v>
      </c>
      <c r="AF404" s="8" t="n">
        <f aca="false">(AE404*(1+Rate_Devex)+SUMPRODUCT(-$E346:$E347*$M346:$M347*(YEAR($J346:$J347)=AF357)))*(AF358&lt;$E190)</f>
        <v>0</v>
      </c>
      <c r="AG404" s="8" t="n">
        <f aca="false">(AF404*(1+Rate_Devex)+SUMPRODUCT(-$E346:$E347*$M346:$M347*(YEAR($J346:$J347)=AG357)))*(AG358&lt;$E190)</f>
        <v>0</v>
      </c>
      <c r="AH404" s="8" t="n">
        <f aca="false">(AG404*(1+Rate_Devex)+SUMPRODUCT(-$E346:$E347*$M346:$M347*(YEAR($J346:$J347)=AH357)))*(AH358&lt;$E190)</f>
        <v>0</v>
      </c>
      <c r="AI404" s="8" t="n">
        <f aca="false">(AH404*(1+Rate_Devex)+SUMPRODUCT(-$E346:$E347*$M346:$M347*(YEAR($J346:$J347)=AI357)))*(AI358&lt;$E190)</f>
        <v>0</v>
      </c>
      <c r="AJ404" s="8" t="n">
        <f aca="false">(AI404*(1+Rate_Devex)+SUMPRODUCT(-$E346:$E347*$M346:$M347*(YEAR($J346:$J347)=AJ357)))*(AJ358&lt;$E190)</f>
        <v>0</v>
      </c>
      <c r="AK404" s="8" t="n">
        <f aca="false">(AJ404*(1+Rate_Devex)+SUMPRODUCT(-$E346:$E347*$M346:$M347*(YEAR($J346:$J347)=AK357)))*(AK358&lt;$E190)</f>
        <v>0</v>
      </c>
      <c r="AL404" s="8" t="n">
        <f aca="false">(AK404*(1+Rate_Devex)+SUMPRODUCT(-$E346:$E347*$M346:$M347*(YEAR($J346:$J347)=AL357)))*(AL358&lt;$E190)</f>
        <v>0</v>
      </c>
      <c r="AM404" s="8" t="n">
        <f aca="false">(AL404*(1+Rate_Devex)+SUMPRODUCT(-$E346:$E347*$M346:$M347*(YEAR($J346:$J347)=AM357)))*(AM358&lt;$E190)</f>
        <v>0</v>
      </c>
      <c r="AN404" s="8" t="n">
        <f aca="false">(AM404*(1+Rate_Devex)+SUMPRODUCT(-$E346:$E347*$M346:$M347*(YEAR($J346:$J347)=AN357)))*(AN358&lt;$E190)</f>
        <v>0</v>
      </c>
      <c r="AO404" s="8" t="n">
        <f aca="false">(AN404*(1+Rate_Devex)+SUMPRODUCT(-$E346:$E347*$M346:$M347*(YEAR($J346:$J347)=AO357)))*(AO358&lt;$E190)</f>
        <v>0</v>
      </c>
      <c r="AP404" s="8" t="n">
        <f aca="false">(AO404*(1+Rate_Devex)+SUMPRODUCT(-$E346:$E347*$M346:$M347*(YEAR($J346:$J347)=AP357)))*(AP358&lt;$E190)</f>
        <v>0</v>
      </c>
      <c r="AQ404" s="8" t="n">
        <f aca="false">(AP404*(1+Rate_Devex)+SUMPRODUCT(-$E346:$E347*$M346:$M347*(YEAR($J346:$J347)=AQ357)))*(AQ358&lt;$E190)</f>
        <v>0</v>
      </c>
      <c r="AR404" s="8" t="n">
        <f aca="false">(AQ404*(1+Rate_Devex)+SUMPRODUCT(-$E346:$E347*$M346:$M347*(YEAR($J346:$J347)=AR357)))*(AR358&lt;$E190)</f>
        <v>0</v>
      </c>
      <c r="AS404" s="8" t="n">
        <f aca="false">(AR404*(1+Rate_Devex)+SUMPRODUCT(-$E346:$E347*$M346:$M347*(YEAR($J346:$J347)=AS357)))*(AS358&lt;$E190)</f>
        <v>0</v>
      </c>
    </row>
    <row r="405" customFormat="false" ht="14.25" hidden="false" customHeight="false" outlineLevel="0" collapsed="false">
      <c r="C405" s="6" t="s">
        <v>333</v>
      </c>
      <c r="D405" s="2" t="s">
        <v>85</v>
      </c>
      <c r="H405" s="8" t="n">
        <f aca="false">SUM(J405:AS405)</f>
        <v>13465.7175204585</v>
      </c>
      <c r="J405" s="8" t="n">
        <f aca="false">-SUMPRODUCT($E340:$E347*(YEAR($J340:$J347)=J357))*(J358&lt;$E190)</f>
        <v>396.712328767123</v>
      </c>
      <c r="K405" s="8" t="n">
        <f aca="false">-SUMPRODUCT($E340:$E347*(YEAR($J340:$J347)=K357))*(K358&lt;$E190)</f>
        <v>2871.50977525301</v>
      </c>
      <c r="L405" s="8" t="n">
        <f aca="false">-SUMPRODUCT($E340:$E347*(YEAR($J340:$J347)=L357))*(L358&lt;$E190)</f>
        <v>10197.4954164384</v>
      </c>
      <c r="M405" s="8" t="n">
        <f aca="false">-SUMPRODUCT($E340:$E347*(YEAR($J340:$J347)=M357))*(M358&lt;$E190)</f>
        <v>-0</v>
      </c>
      <c r="N405" s="8" t="n">
        <f aca="false">-SUMPRODUCT($E340:$E347*(YEAR($J340:$J347)=N357))*(N358&lt;$E190)</f>
        <v>-0</v>
      </c>
      <c r="O405" s="8" t="n">
        <f aca="false">-SUMPRODUCT($E340:$E347*(YEAR($J340:$J347)=O357))*(O358&lt;$E190)</f>
        <v>-0</v>
      </c>
      <c r="P405" s="8" t="n">
        <f aca="false">-SUMPRODUCT($E340:$E347*(YEAR($J340:$J347)=P357))*(P358&lt;$E190)</f>
        <v>-0</v>
      </c>
      <c r="Q405" s="8" t="n">
        <f aca="false">-SUMPRODUCT($E340:$E347*(YEAR($J340:$J347)=Q357))*(Q358&lt;$E190)</f>
        <v>-0</v>
      </c>
      <c r="R405" s="8" t="n">
        <f aca="false">-SUMPRODUCT($E340:$E347*(YEAR($J340:$J347)=R357))*(R358&lt;$E190)</f>
        <v>-0</v>
      </c>
      <c r="S405" s="8" t="n">
        <f aca="false">-SUMPRODUCT($E340:$E347*(YEAR($J340:$J347)=S357))*(S358&lt;$E190)</f>
        <v>-0</v>
      </c>
      <c r="T405" s="8" t="n">
        <f aca="false">-SUMPRODUCT($E340:$E347*(YEAR($J340:$J347)=T357))*(T358&lt;$E190)</f>
        <v>-0</v>
      </c>
      <c r="U405" s="8" t="n">
        <f aca="false">-SUMPRODUCT($E340:$E347*(YEAR($J340:$J347)=U357))*(U358&lt;$E190)</f>
        <v>-0</v>
      </c>
      <c r="V405" s="8" t="n">
        <f aca="false">-SUMPRODUCT($E340:$E347*(YEAR($J340:$J347)=V357))*(V358&lt;$E190)</f>
        <v>-0</v>
      </c>
      <c r="W405" s="8" t="n">
        <f aca="false">-SUMPRODUCT($E340:$E347*(YEAR($J340:$J347)=W357))*(W358&lt;$E190)</f>
        <v>-0</v>
      </c>
      <c r="X405" s="8" t="n">
        <f aca="false">-SUMPRODUCT($E340:$E347*(YEAR($J340:$J347)=X357))*(X358&lt;$E190)</f>
        <v>-0</v>
      </c>
      <c r="Y405" s="8" t="n">
        <f aca="false">-SUMPRODUCT($E340:$E347*(YEAR($J340:$J347)=Y357))*(Y358&lt;$E190)</f>
        <v>-0</v>
      </c>
      <c r="Z405" s="8" t="n">
        <f aca="false">-SUMPRODUCT($E340:$E347*(YEAR($J340:$J347)=Z357))*(Z358&lt;$E190)</f>
        <v>-0</v>
      </c>
      <c r="AA405" s="8" t="n">
        <f aca="false">-SUMPRODUCT($E340:$E347*(YEAR($J340:$J347)=AA357))*(AA358&lt;$E190)</f>
        <v>-0</v>
      </c>
      <c r="AB405" s="8" t="n">
        <f aca="false">-SUMPRODUCT($E340:$E347*(YEAR($J340:$J347)=AB357))*(AB358&lt;$E190)</f>
        <v>-0</v>
      </c>
      <c r="AC405" s="8" t="n">
        <f aca="false">-SUMPRODUCT($E340:$E347*(YEAR($J340:$J347)=AC357))*(AC358&lt;$E190)</f>
        <v>-0</v>
      </c>
      <c r="AD405" s="8" t="n">
        <f aca="false">-SUMPRODUCT($E340:$E347*(YEAR($J340:$J347)=AD357))*(AD358&lt;$E190)</f>
        <v>-0</v>
      </c>
      <c r="AE405" s="8" t="n">
        <f aca="false">-SUMPRODUCT($E340:$E347*(YEAR($J340:$J347)=AE357))*(AE358&lt;$E190)</f>
        <v>-0</v>
      </c>
      <c r="AF405" s="8" t="n">
        <f aca="false">-SUMPRODUCT($E340:$E347*(YEAR($J340:$J347)=AF357))*(AF358&lt;$E190)</f>
        <v>-0</v>
      </c>
      <c r="AG405" s="8" t="n">
        <f aca="false">-SUMPRODUCT($E340:$E347*(YEAR($J340:$J347)=AG357))*(AG358&lt;$E190)</f>
        <v>-0</v>
      </c>
      <c r="AH405" s="8" t="n">
        <f aca="false">-SUMPRODUCT($E340:$E347*(YEAR($J340:$J347)=AH357))*(AH358&lt;$E190)</f>
        <v>-0</v>
      </c>
      <c r="AI405" s="8" t="n">
        <f aca="false">-SUMPRODUCT($E340:$E347*(YEAR($J340:$J347)=AI357))*(AI358&lt;$E190)</f>
        <v>-0</v>
      </c>
      <c r="AJ405" s="8" t="n">
        <f aca="false">-SUMPRODUCT($E340:$E347*(YEAR($J340:$J347)=AJ357))*(AJ358&lt;$E190)</f>
        <v>-0</v>
      </c>
      <c r="AK405" s="8" t="n">
        <f aca="false">-SUMPRODUCT($E340:$E347*(YEAR($J340:$J347)=AK357))*(AK358&lt;$E190)</f>
        <v>-0</v>
      </c>
      <c r="AL405" s="8" t="n">
        <f aca="false">-SUMPRODUCT($E340:$E347*(YEAR($J340:$J347)=AL357))*(AL358&lt;$E190)</f>
        <v>-0</v>
      </c>
      <c r="AM405" s="8" t="n">
        <f aca="false">-SUMPRODUCT($E340:$E347*(YEAR($J340:$J347)=AM357))*(AM358&lt;$E190)</f>
        <v>-0</v>
      </c>
      <c r="AN405" s="8" t="n">
        <f aca="false">-SUMPRODUCT($E340:$E347*(YEAR($J340:$J347)=AN357))*(AN358&lt;$E190)</f>
        <v>-0</v>
      </c>
      <c r="AO405" s="8" t="n">
        <f aca="false">-SUMPRODUCT($E340:$E347*(YEAR($J340:$J347)=AO357))*(AO358&lt;$E190)</f>
        <v>-0</v>
      </c>
      <c r="AP405" s="8" t="n">
        <f aca="false">-SUMPRODUCT($E340:$E347*(YEAR($J340:$J347)=AP357))*(AP358&lt;$E190)</f>
        <v>-0</v>
      </c>
      <c r="AQ405" s="8" t="n">
        <f aca="false">-SUMPRODUCT($E340:$E347*(YEAR($J340:$J347)=AQ357))*(AQ358&lt;$E190)</f>
        <v>-0</v>
      </c>
      <c r="AR405" s="8" t="n">
        <f aca="false">-SUMPRODUCT($E340:$E347*(YEAR($J340:$J347)=AR357))*(AR358&lt;$E190)</f>
        <v>-0</v>
      </c>
      <c r="AS405" s="8" t="n">
        <f aca="false">-SUMPRODUCT($E340:$E347*(YEAR($J340:$J347)=AS357))*(AS358&lt;$E190)</f>
        <v>-0</v>
      </c>
    </row>
    <row r="406" customFormat="false" ht="14.25" hidden="false" customHeight="false" outlineLevel="0" collapsed="false">
      <c r="C406" s="6" t="s">
        <v>334</v>
      </c>
      <c r="D406" s="2" t="s">
        <v>85</v>
      </c>
      <c r="H406" s="8" t="n">
        <f aca="false">SUM(J406:AS406)</f>
        <v>1129.7991176977</v>
      </c>
      <c r="J406" s="8" t="n">
        <f aca="false">(J403+J404-I403-I404-J405)*(J358&lt;$E190)</f>
        <v>8.21683617939578</v>
      </c>
      <c r="K406" s="8" t="n">
        <f aca="false">(K403+K404-J403-J404-K405)*(K358&lt;$E190)</f>
        <v>313.985621494844</v>
      </c>
      <c r="L406" s="8" t="n">
        <f aca="false">(L403+L404-K403-K404-L405)*(L358&lt;$E190)</f>
        <v>807.596660023464</v>
      </c>
      <c r="M406" s="8" t="n">
        <f aca="false">(M403+M404-L403-L404-M405)*(M358&lt;$E190)</f>
        <v>-0</v>
      </c>
      <c r="N406" s="8" t="n">
        <f aca="false">(N403+N404-M403-M404-N405)*(N358&lt;$E190)</f>
        <v>0</v>
      </c>
      <c r="O406" s="8" t="n">
        <f aca="false">(O403+O404-N403-N404-O405)*(O358&lt;$E190)</f>
        <v>0</v>
      </c>
      <c r="P406" s="8" t="n">
        <f aca="false">(P403+P404-O403-O404-P405)*(P358&lt;$E190)</f>
        <v>0</v>
      </c>
      <c r="Q406" s="8" t="n">
        <f aca="false">(Q403+Q404-P403-P404-Q405)*(Q358&lt;$E190)</f>
        <v>0</v>
      </c>
      <c r="R406" s="8" t="n">
        <f aca="false">(R403+R404-Q403-Q404-R405)*(R358&lt;$E190)</f>
        <v>0</v>
      </c>
      <c r="S406" s="8" t="n">
        <f aca="false">(S403+S404-R403-R404-S405)*(S358&lt;$E190)</f>
        <v>0</v>
      </c>
      <c r="T406" s="8" t="n">
        <f aca="false">(T403+T404-S403-S404-T405)*(T358&lt;$E190)</f>
        <v>0</v>
      </c>
      <c r="U406" s="8" t="n">
        <f aca="false">(U403+U404-T403-T404-U405)*(U358&lt;$E190)</f>
        <v>0</v>
      </c>
      <c r="V406" s="8" t="n">
        <f aca="false">(V403+V404-U403-U404-V405)*(V358&lt;$E190)</f>
        <v>0</v>
      </c>
      <c r="W406" s="8" t="n">
        <f aca="false">(W403+W404-V403-V404-W405)*(W358&lt;$E190)</f>
        <v>0</v>
      </c>
      <c r="X406" s="8" t="n">
        <f aca="false">(X403+X404-W403-W404-X405)*(X358&lt;$E190)</f>
        <v>0</v>
      </c>
      <c r="Y406" s="8" t="n">
        <f aca="false">(Y403+Y404-X403-X404-Y405)*(Y358&lt;$E190)</f>
        <v>0</v>
      </c>
      <c r="Z406" s="8" t="n">
        <f aca="false">(Z403+Z404-Y403-Y404-Z405)*(Z358&lt;$E190)</f>
        <v>0</v>
      </c>
      <c r="AA406" s="8" t="n">
        <f aca="false">(AA403+AA404-Z403-Z404-AA405)*(AA358&lt;$E190)</f>
        <v>0</v>
      </c>
      <c r="AB406" s="8" t="n">
        <f aca="false">(AB403+AB404-AA403-AA404-AB405)*(AB358&lt;$E190)</f>
        <v>0</v>
      </c>
      <c r="AC406" s="8" t="n">
        <f aca="false">(AC403+AC404-AB403-AB404-AC405)*(AC358&lt;$E190)</f>
        <v>0</v>
      </c>
      <c r="AD406" s="8" t="n">
        <f aca="false">(AD403+AD404-AC403-AC404-AD405)*(AD358&lt;$E190)</f>
        <v>0</v>
      </c>
      <c r="AE406" s="8" t="n">
        <f aca="false">(AE403+AE404-AD403-AD404-AE405)*(AE358&lt;$E190)</f>
        <v>0</v>
      </c>
      <c r="AF406" s="8" t="n">
        <f aca="false">(AF403+AF404-AE403-AE404-AF405)*(AF358&lt;$E190)</f>
        <v>0</v>
      </c>
      <c r="AG406" s="8" t="n">
        <f aca="false">(AG403+AG404-AF403-AF404-AG405)*(AG358&lt;$E190)</f>
        <v>0</v>
      </c>
      <c r="AH406" s="8" t="n">
        <f aca="false">(AH403+AH404-AG403-AG404-AH405)*(AH358&lt;$E190)</f>
        <v>0</v>
      </c>
      <c r="AI406" s="8" t="n">
        <f aca="false">(AI403+AI404-AH403-AH404-AI405)*(AI358&lt;$E190)</f>
        <v>0</v>
      </c>
      <c r="AJ406" s="8" t="n">
        <f aca="false">(AJ403+AJ404-AI403-AI404-AJ405)*(AJ358&lt;$E190)</f>
        <v>0</v>
      </c>
      <c r="AK406" s="8" t="n">
        <f aca="false">(AK403+AK404-AJ403-AJ404-AK405)*(AK358&lt;$E190)</f>
        <v>0</v>
      </c>
      <c r="AL406" s="8" t="n">
        <f aca="false">(AL403+AL404-AK403-AK404-AL405)*(AL358&lt;$E190)</f>
        <v>0</v>
      </c>
      <c r="AM406" s="8" t="n">
        <f aca="false">(AM403+AM404-AL403-AL404-AM405)*(AM358&lt;$E190)</f>
        <v>0</v>
      </c>
      <c r="AN406" s="8" t="n">
        <f aca="false">(AN403+AN404-AM403-AM404-AN405)*(AN358&lt;$E190)</f>
        <v>0</v>
      </c>
      <c r="AO406" s="8" t="n">
        <f aca="false">(AO403+AO404-AN403-AN404-AO405)*(AO358&lt;$E190)</f>
        <v>0</v>
      </c>
      <c r="AP406" s="8" t="n">
        <f aca="false">(AP403+AP404-AO403-AO404-AP405)*(AP358&lt;$E190)</f>
        <v>0</v>
      </c>
      <c r="AQ406" s="8" t="n">
        <f aca="false">(AQ403+AQ404-AP403-AP404-AQ405)*(AQ358&lt;$E190)</f>
        <v>0</v>
      </c>
      <c r="AR406" s="8" t="n">
        <f aca="false">(AR403+AR404-AQ403-AQ404-AR405)*(AR358&lt;$E190)</f>
        <v>0</v>
      </c>
      <c r="AS406" s="8" t="n">
        <f aca="false">(AS403+AS404-AR403-AR404-AS405)*(AS358&lt;$E190)</f>
        <v>0</v>
      </c>
    </row>
    <row r="407" customFormat="false" ht="14.25" hidden="false" customHeight="false" outlineLevel="0" collapsed="false">
      <c r="C407" s="6" t="s">
        <v>335</v>
      </c>
      <c r="D407" s="2" t="s">
        <v>85</v>
      </c>
      <c r="H407" s="8"/>
      <c r="J407" s="8" t="n">
        <f aca="false">(I407*(1+Rate_Cash)+SUMPRODUCT(-$E288:$E291*$M288:$M291*(YEAR($J288:$J291)=J357)))*(J358&lt;$E225)</f>
        <v>404.929164946519</v>
      </c>
      <c r="K407" s="8" t="n">
        <f aca="false">(J407*(1+Rate_Cash)+SUMPRODUCT(-$E288:$E291*$M288:$M291*(YEAR($J288:$J291)=K357)))*(K358&lt;$E225)</f>
        <v>2874.39110197035</v>
      </c>
      <c r="L407" s="8" t="n">
        <f aca="false">(K407*(1+Rate_Cash)+SUMPRODUCT(-$E288:$E291*$M288:$M291*(YEAR($J288:$J291)=L357)))*(L358&lt;$E225)</f>
        <v>0</v>
      </c>
      <c r="M407" s="8" t="n">
        <f aca="false">(L407*(1+Rate_Cash)+SUMPRODUCT(-$E288:$E291*$M288:$M291*(YEAR($J288:$J291)=M357)))*(M358&lt;$E225)</f>
        <v>0</v>
      </c>
      <c r="N407" s="8" t="n">
        <f aca="false">(M407*(1+Rate_Cash)+SUMPRODUCT(-$E288:$E291*$M288:$M291*(YEAR($J288:$J291)=N357)))*(N358&lt;$E225)</f>
        <v>0</v>
      </c>
      <c r="O407" s="8" t="n">
        <f aca="false">(N407*(1+Rate_Cash)+SUMPRODUCT(-$E288:$E291*$M288:$M291*(YEAR($J288:$J291)=O357)))*(O358&lt;$E225)</f>
        <v>0</v>
      </c>
      <c r="P407" s="8" t="n">
        <f aca="false">(O407*(1+Rate_Cash)+SUMPRODUCT(-$E288:$E291*$M288:$M291*(YEAR($J288:$J291)=P357)))*(P358&lt;$E225)</f>
        <v>0</v>
      </c>
      <c r="Q407" s="8" t="n">
        <f aca="false">(P407*(1+Rate_Cash)+SUMPRODUCT(-$E288:$E291*$M288:$M291*(YEAR($J288:$J291)=Q357)))*(Q358&lt;$E225)</f>
        <v>0</v>
      </c>
      <c r="R407" s="8" t="n">
        <f aca="false">(Q407*(1+Rate_Cash)+SUMPRODUCT(-$E288:$E291*$M288:$M291*(YEAR($J288:$J291)=R357)))*(R358&lt;$E225)</f>
        <v>0</v>
      </c>
      <c r="S407" s="8" t="n">
        <f aca="false">(R407*(1+Rate_Cash)+SUMPRODUCT(-$E288:$E291*$M288:$M291*(YEAR($J288:$J291)=S357)))*(S358&lt;$E225)</f>
        <v>0</v>
      </c>
      <c r="T407" s="8" t="n">
        <f aca="false">(S407*(1+Rate_Cash)+SUMPRODUCT(-$E288:$E291*$M288:$M291*(YEAR($J288:$J291)=T357)))*(T358&lt;$E225)</f>
        <v>0</v>
      </c>
      <c r="U407" s="8" t="n">
        <f aca="false">(T407*(1+Rate_Cash)+SUMPRODUCT(-$E288:$E291*$M288:$M291*(YEAR($J288:$J291)=U357)))*(U358&lt;$E225)</f>
        <v>0</v>
      </c>
      <c r="V407" s="8" t="n">
        <f aca="false">(U407*(1+Rate_Cash)+SUMPRODUCT(-$E288:$E291*$M288:$M291*(YEAR($J288:$J291)=V357)))*(V358&lt;$E225)</f>
        <v>0</v>
      </c>
      <c r="W407" s="8" t="n">
        <f aca="false">(V407*(1+Rate_Cash)+SUMPRODUCT(-$E288:$E291*$M288:$M291*(YEAR($J288:$J291)=W357)))*(W358&lt;$E225)</f>
        <v>0</v>
      </c>
      <c r="X407" s="8" t="n">
        <f aca="false">(W407*(1+Rate_Cash)+SUMPRODUCT(-$E288:$E291*$M288:$M291*(YEAR($J288:$J291)=X357)))*(X358&lt;$E225)</f>
        <v>0</v>
      </c>
      <c r="Y407" s="8" t="n">
        <f aca="false">(X407*(1+Rate_Cash)+SUMPRODUCT(-$E288:$E291*$M288:$M291*(YEAR($J288:$J291)=Y357)))*(Y358&lt;$E225)</f>
        <v>0</v>
      </c>
      <c r="Z407" s="8" t="n">
        <f aca="false">(Y407*(1+Rate_Cash)+SUMPRODUCT(-$E288:$E291*$M288:$M291*(YEAR($J288:$J291)=Z357)))*(Z358&lt;$E225)</f>
        <v>0</v>
      </c>
      <c r="AA407" s="8" t="n">
        <f aca="false">(Z407*(1+Rate_Cash)+SUMPRODUCT(-$E288:$E291*$M288:$M291*(YEAR($J288:$J291)=AA357)))*(AA358&lt;$E225)</f>
        <v>0</v>
      </c>
      <c r="AB407" s="8" t="n">
        <f aca="false">(AA407*(1+Rate_Cash)+SUMPRODUCT(-$E288:$E291*$M288:$M291*(YEAR($J288:$J291)=AB357)))*(AB358&lt;$E225)</f>
        <v>0</v>
      </c>
      <c r="AC407" s="8" t="n">
        <f aca="false">(AB407*(1+Rate_Cash)+SUMPRODUCT(-$E288:$E291*$M288:$M291*(YEAR($J288:$J291)=AC357)))*(AC358&lt;$E225)</f>
        <v>0</v>
      </c>
      <c r="AD407" s="8" t="n">
        <f aca="false">(AC407*(1+Rate_Cash)+SUMPRODUCT(-$E288:$E291*$M288:$M291*(YEAR($J288:$J291)=AD357)))*(AD358&lt;$E225)</f>
        <v>0</v>
      </c>
      <c r="AE407" s="8" t="n">
        <f aca="false">(AD407*(1+Rate_Cash)+SUMPRODUCT(-$E288:$E291*$M288:$M291*(YEAR($J288:$J291)=AE357)))*(AE358&lt;$E225)</f>
        <v>0</v>
      </c>
      <c r="AF407" s="8" t="n">
        <f aca="false">(AE407*(1+Rate_Cash)+SUMPRODUCT(-$E288:$E291*$M288:$M291*(YEAR($J288:$J291)=AF357)))*(AF358&lt;$E225)</f>
        <v>0</v>
      </c>
      <c r="AG407" s="8" t="n">
        <f aca="false">(AF407*(1+Rate_Cash)+SUMPRODUCT(-$E288:$E291*$M288:$M291*(YEAR($J288:$J291)=AG357)))*(AG358&lt;$E225)</f>
        <v>0</v>
      </c>
      <c r="AH407" s="8" t="n">
        <f aca="false">(AG407*(1+Rate_Cash)+SUMPRODUCT(-$E288:$E291*$M288:$M291*(YEAR($J288:$J291)=AH357)))*(AH358&lt;$E225)</f>
        <v>0</v>
      </c>
      <c r="AI407" s="8" t="n">
        <f aca="false">(AH407*(1+Rate_Cash)+SUMPRODUCT(-$E288:$E291*$M288:$M291*(YEAR($J288:$J291)=AI357)))*(AI358&lt;$E225)</f>
        <v>0</v>
      </c>
      <c r="AJ407" s="8" t="n">
        <f aca="false">(AI407*(1+Rate_Cash)+SUMPRODUCT(-$E288:$E291*$M288:$M291*(YEAR($J288:$J291)=AJ357)))*(AJ358&lt;$E225)</f>
        <v>0</v>
      </c>
      <c r="AK407" s="8" t="n">
        <f aca="false">(AJ407*(1+Rate_Cash)+SUMPRODUCT(-$E288:$E291*$M288:$M291*(YEAR($J288:$J291)=AK357)))*(AK358&lt;$E225)</f>
        <v>0</v>
      </c>
      <c r="AL407" s="8" t="n">
        <f aca="false">(AK407*(1+Rate_Cash)+SUMPRODUCT(-$E288:$E291*$M288:$M291*(YEAR($J288:$J291)=AL357)))*(AL358&lt;$E225)</f>
        <v>0</v>
      </c>
      <c r="AM407" s="8" t="n">
        <f aca="false">(AL407*(1+Rate_Cash)+SUMPRODUCT(-$E288:$E291*$M288:$M291*(YEAR($J288:$J291)=AM357)))*(AM358&lt;$E225)</f>
        <v>0</v>
      </c>
      <c r="AN407" s="8" t="n">
        <f aca="false">(AM407*(1+Rate_Cash)+SUMPRODUCT(-$E288:$E291*$M288:$M291*(YEAR($J288:$J291)=AN357)))*(AN358&lt;$E225)</f>
        <v>0</v>
      </c>
      <c r="AO407" s="8" t="n">
        <f aca="false">(AN407*(1+Rate_Cash)+SUMPRODUCT(-$E288:$E291*$M288:$M291*(YEAR($J288:$J291)=AO357)))*(AO358&lt;$E225)</f>
        <v>0</v>
      </c>
      <c r="AP407" s="8" t="n">
        <f aca="false">(AO407*(1+Rate_Cash)+SUMPRODUCT(-$E288:$E291*$M288:$M291*(YEAR($J288:$J291)=AP357)))*(AP358&lt;$E225)</f>
        <v>0</v>
      </c>
      <c r="AQ407" s="8" t="n">
        <f aca="false">(AP407*(1+Rate_Cash)+SUMPRODUCT(-$E288:$E291*$M288:$M291*(YEAR($J288:$J291)=AQ357)))*(AQ358&lt;$E225)</f>
        <v>0</v>
      </c>
      <c r="AR407" s="8" t="n">
        <f aca="false">(AQ407*(1+Rate_Cash)+SUMPRODUCT(-$E288:$E291*$M288:$M291*(YEAR($J288:$J291)=AR357)))*(AR358&lt;$E225)</f>
        <v>0</v>
      </c>
      <c r="AS407" s="8" t="n">
        <f aca="false">(AR407*(1+Rate_Cash)+SUMPRODUCT(-$E288:$E291*$M288:$M291*(YEAR($J288:$J291)=AS357)))*(AS358&lt;$E225)</f>
        <v>0</v>
      </c>
    </row>
    <row r="408" customFormat="false" ht="14.25" hidden="false" customHeight="false" outlineLevel="0" collapsed="false">
      <c r="C408" s="6" t="s">
        <v>336</v>
      </c>
      <c r="D408" s="2" t="s">
        <v>85</v>
      </c>
      <c r="H408" s="8"/>
      <c r="J408" s="8" t="n">
        <f aca="false">(I408*(1+Rate_Devex)+SUMPRODUCT(-$E292:$E293*$M292:$M293*(YEAR($J292:$J293)=J357)))*(J358&lt;$E225)</f>
        <v>0</v>
      </c>
      <c r="K408" s="8" t="n">
        <f aca="false">(J408*(1+Rate_Devex)+SUMPRODUCT(-$E292:$E293*$M292:$M293*(YEAR($J292:$J293)=K357)))*(K358&lt;$E225)</f>
        <v>751.660032627003</v>
      </c>
      <c r="L408" s="8" t="n">
        <f aca="false">(K408*(1+Rate_Devex)+SUMPRODUCT(-$E292:$E293*$M292:$M293*(YEAR($J292:$J293)=L357)))*(L358&lt;$E225)</f>
        <v>0</v>
      </c>
      <c r="M408" s="8" t="n">
        <f aca="false">(L408*(1+Rate_Devex)+SUMPRODUCT(-$E292:$E293*$M292:$M293*(YEAR($J292:$J293)=M357)))*(M358&lt;$E225)</f>
        <v>0</v>
      </c>
      <c r="N408" s="8" t="n">
        <f aca="false">(M408*(1+Rate_Devex)+SUMPRODUCT(-$E292:$E293*$M292:$M293*(YEAR($J292:$J293)=N357)))*(N358&lt;$E225)</f>
        <v>0</v>
      </c>
      <c r="O408" s="8" t="n">
        <f aca="false">(N408*(1+Rate_Devex)+SUMPRODUCT(-$E292:$E293*$M292:$M293*(YEAR($J292:$J293)=O357)))*(O358&lt;$E225)</f>
        <v>0</v>
      </c>
      <c r="P408" s="8" t="n">
        <f aca="false">(O408*(1+Rate_Devex)+SUMPRODUCT(-$E292:$E293*$M292:$M293*(YEAR($J292:$J293)=P357)))*(P358&lt;$E225)</f>
        <v>0</v>
      </c>
      <c r="Q408" s="8" t="n">
        <f aca="false">(P408*(1+Rate_Devex)+SUMPRODUCT(-$E292:$E293*$M292:$M293*(YEAR($J292:$J293)=Q357)))*(Q358&lt;$E225)</f>
        <v>0</v>
      </c>
      <c r="R408" s="8" t="n">
        <f aca="false">(Q408*(1+Rate_Devex)+SUMPRODUCT(-$E292:$E293*$M292:$M293*(YEAR($J292:$J293)=R357)))*(R358&lt;$E225)</f>
        <v>0</v>
      </c>
      <c r="S408" s="8" t="n">
        <f aca="false">(R408*(1+Rate_Devex)+SUMPRODUCT(-$E292:$E293*$M292:$M293*(YEAR($J292:$J293)=S357)))*(S358&lt;$E225)</f>
        <v>0</v>
      </c>
      <c r="T408" s="8" t="n">
        <f aca="false">(S408*(1+Rate_Devex)+SUMPRODUCT(-$E292:$E293*$M292:$M293*(YEAR($J292:$J293)=T357)))*(T358&lt;$E225)</f>
        <v>0</v>
      </c>
      <c r="U408" s="8" t="n">
        <f aca="false">(T408*(1+Rate_Devex)+SUMPRODUCT(-$E292:$E293*$M292:$M293*(YEAR($J292:$J293)=U357)))*(U358&lt;$E225)</f>
        <v>0</v>
      </c>
      <c r="V408" s="8" t="n">
        <f aca="false">(U408*(1+Rate_Devex)+SUMPRODUCT(-$E292:$E293*$M292:$M293*(YEAR($J292:$J293)=V357)))*(V358&lt;$E225)</f>
        <v>0</v>
      </c>
      <c r="W408" s="8" t="n">
        <f aca="false">(V408*(1+Rate_Devex)+SUMPRODUCT(-$E292:$E293*$M292:$M293*(YEAR($J292:$J293)=W357)))*(W358&lt;$E225)</f>
        <v>0</v>
      </c>
      <c r="X408" s="8" t="n">
        <f aca="false">(W408*(1+Rate_Devex)+SUMPRODUCT(-$E292:$E293*$M292:$M293*(YEAR($J292:$J293)=X357)))*(X358&lt;$E225)</f>
        <v>0</v>
      </c>
      <c r="Y408" s="8" t="n">
        <f aca="false">(X408*(1+Rate_Devex)+SUMPRODUCT(-$E292:$E293*$M292:$M293*(YEAR($J292:$J293)=Y357)))*(Y358&lt;$E225)</f>
        <v>0</v>
      </c>
      <c r="Z408" s="8" t="n">
        <f aca="false">(Y408*(1+Rate_Devex)+SUMPRODUCT(-$E292:$E293*$M292:$M293*(YEAR($J292:$J293)=Z357)))*(Z358&lt;$E225)</f>
        <v>0</v>
      </c>
      <c r="AA408" s="8" t="n">
        <f aca="false">(Z408*(1+Rate_Devex)+SUMPRODUCT(-$E292:$E293*$M292:$M293*(YEAR($J292:$J293)=AA357)))*(AA358&lt;$E225)</f>
        <v>0</v>
      </c>
      <c r="AB408" s="8" t="n">
        <f aca="false">(AA408*(1+Rate_Devex)+SUMPRODUCT(-$E292:$E293*$M292:$M293*(YEAR($J292:$J293)=AB357)))*(AB358&lt;$E225)</f>
        <v>0</v>
      </c>
      <c r="AC408" s="8" t="n">
        <f aca="false">(AB408*(1+Rate_Devex)+SUMPRODUCT(-$E292:$E293*$M292:$M293*(YEAR($J292:$J293)=AC357)))*(AC358&lt;$E225)</f>
        <v>0</v>
      </c>
      <c r="AD408" s="8" t="n">
        <f aca="false">(AC408*(1+Rate_Devex)+SUMPRODUCT(-$E292:$E293*$M292:$M293*(YEAR($J292:$J293)=AD357)))*(AD358&lt;$E225)</f>
        <v>0</v>
      </c>
      <c r="AE408" s="8" t="n">
        <f aca="false">(AD408*(1+Rate_Devex)+SUMPRODUCT(-$E292:$E293*$M292:$M293*(YEAR($J292:$J293)=AE357)))*(AE358&lt;$E225)</f>
        <v>0</v>
      </c>
      <c r="AF408" s="8" t="n">
        <f aca="false">(AE408*(1+Rate_Devex)+SUMPRODUCT(-$E292:$E293*$M292:$M293*(YEAR($J292:$J293)=AF357)))*(AF358&lt;$E225)</f>
        <v>0</v>
      </c>
      <c r="AG408" s="8" t="n">
        <f aca="false">(AF408*(1+Rate_Devex)+SUMPRODUCT(-$E292:$E293*$M292:$M293*(YEAR($J292:$J293)=AG357)))*(AG358&lt;$E225)</f>
        <v>0</v>
      </c>
      <c r="AH408" s="8" t="n">
        <f aca="false">(AG408*(1+Rate_Devex)+SUMPRODUCT(-$E292:$E293*$M292:$M293*(YEAR($J292:$J293)=AH357)))*(AH358&lt;$E225)</f>
        <v>0</v>
      </c>
      <c r="AI408" s="8" t="n">
        <f aca="false">(AH408*(1+Rate_Devex)+SUMPRODUCT(-$E292:$E293*$M292:$M293*(YEAR($J292:$J293)=AI357)))*(AI358&lt;$E225)</f>
        <v>0</v>
      </c>
      <c r="AJ408" s="8" t="n">
        <f aca="false">(AI408*(1+Rate_Devex)+SUMPRODUCT(-$E292:$E293*$M292:$M293*(YEAR($J292:$J293)=AJ357)))*(AJ358&lt;$E225)</f>
        <v>0</v>
      </c>
      <c r="AK408" s="8" t="n">
        <f aca="false">(AJ408*(1+Rate_Devex)+SUMPRODUCT(-$E292:$E293*$M292:$M293*(YEAR($J292:$J293)=AK357)))*(AK358&lt;$E225)</f>
        <v>0</v>
      </c>
      <c r="AL408" s="8" t="n">
        <f aca="false">(AK408*(1+Rate_Devex)+SUMPRODUCT(-$E292:$E293*$M292:$M293*(YEAR($J292:$J293)=AL357)))*(AL358&lt;$E225)</f>
        <v>0</v>
      </c>
      <c r="AM408" s="8" t="n">
        <f aca="false">(AL408*(1+Rate_Devex)+SUMPRODUCT(-$E292:$E293*$M292:$M293*(YEAR($J292:$J293)=AM357)))*(AM358&lt;$E225)</f>
        <v>0</v>
      </c>
      <c r="AN408" s="8" t="n">
        <f aca="false">(AM408*(1+Rate_Devex)+SUMPRODUCT(-$E292:$E293*$M292:$M293*(YEAR($J292:$J293)=AN357)))*(AN358&lt;$E225)</f>
        <v>0</v>
      </c>
      <c r="AO408" s="8" t="n">
        <f aca="false">(AN408*(1+Rate_Devex)+SUMPRODUCT(-$E292:$E293*$M292:$M293*(YEAR($J292:$J293)=AO357)))*(AO358&lt;$E225)</f>
        <v>0</v>
      </c>
      <c r="AP408" s="8" t="n">
        <f aca="false">(AO408*(1+Rate_Devex)+SUMPRODUCT(-$E292:$E293*$M292:$M293*(YEAR($J292:$J293)=AP357)))*(AP358&lt;$E225)</f>
        <v>0</v>
      </c>
      <c r="AQ408" s="8" t="n">
        <f aca="false">(AP408*(1+Rate_Devex)+SUMPRODUCT(-$E292:$E293*$M292:$M293*(YEAR($J292:$J293)=AQ357)))*(AQ358&lt;$E225)</f>
        <v>0</v>
      </c>
      <c r="AR408" s="8" t="n">
        <f aca="false">(AQ408*(1+Rate_Devex)+SUMPRODUCT(-$E292:$E293*$M292:$M293*(YEAR($J292:$J293)=AR357)))*(AR358&lt;$E225)</f>
        <v>0</v>
      </c>
      <c r="AS408" s="8" t="n">
        <f aca="false">(AR408*(1+Rate_Devex)+SUMPRODUCT(-$E292:$E293*$M292:$M293*(YEAR($J292:$J293)=AS357)))*(AS358&lt;$E225)</f>
        <v>0</v>
      </c>
    </row>
    <row r="409" customFormat="false" ht="14.25" hidden="false" customHeight="false" outlineLevel="0" collapsed="false">
      <c r="C409" s="6" t="s">
        <v>337</v>
      </c>
      <c r="D409" s="2" t="s">
        <v>85</v>
      </c>
      <c r="H409" s="8" t="n">
        <f aca="false">SUM(J409:AS409)</f>
        <v>3291.64025470506</v>
      </c>
      <c r="J409" s="8" t="n">
        <f aca="false">-SUMPRODUCT($E288:$E293*(YEAR($J288:$J293)=J357))*(J358&lt;$E225)</f>
        <v>396.712328767123</v>
      </c>
      <c r="K409" s="8" t="n">
        <f aca="false">-SUMPRODUCT($E288:$E293*(YEAR($J288:$J293)=K357))*(K358&lt;$E225)</f>
        <v>2894.92792593794</v>
      </c>
      <c r="L409" s="8" t="n">
        <f aca="false">-SUMPRODUCT($E288:$E293*(YEAR($J288:$J293)=L357))*(L358&lt;$E225)</f>
        <v>-0</v>
      </c>
      <c r="M409" s="8" t="n">
        <f aca="false">-SUMPRODUCT($E288:$E293*(YEAR($J288:$J293)=M357))*(M358&lt;$E225)</f>
        <v>-0</v>
      </c>
      <c r="N409" s="8" t="n">
        <f aca="false">-SUMPRODUCT($E288:$E293*(YEAR($J288:$J293)=N357))*(N358&lt;$E225)</f>
        <v>-0</v>
      </c>
      <c r="O409" s="8" t="n">
        <f aca="false">-SUMPRODUCT($E288:$E293*(YEAR($J288:$J293)=O357))*(O358&lt;$E225)</f>
        <v>-0</v>
      </c>
      <c r="P409" s="8" t="n">
        <f aca="false">-SUMPRODUCT($E288:$E293*(YEAR($J288:$J293)=P357))*(P358&lt;$E225)</f>
        <v>-0</v>
      </c>
      <c r="Q409" s="8" t="n">
        <f aca="false">-SUMPRODUCT($E288:$E293*(YEAR($J288:$J293)=Q357))*(Q358&lt;$E225)</f>
        <v>-0</v>
      </c>
      <c r="R409" s="8" t="n">
        <f aca="false">-SUMPRODUCT($E288:$E293*(YEAR($J288:$J293)=R357))*(R358&lt;$E225)</f>
        <v>-0</v>
      </c>
      <c r="S409" s="8" t="n">
        <f aca="false">-SUMPRODUCT($E288:$E293*(YEAR($J288:$J293)=S357))*(S358&lt;$E225)</f>
        <v>-0</v>
      </c>
      <c r="T409" s="8" t="n">
        <f aca="false">-SUMPRODUCT($E288:$E293*(YEAR($J288:$J293)=T357))*(T358&lt;$E225)</f>
        <v>-0</v>
      </c>
      <c r="U409" s="8" t="n">
        <f aca="false">-SUMPRODUCT($E288:$E293*(YEAR($J288:$J293)=U357))*(U358&lt;$E225)</f>
        <v>-0</v>
      </c>
      <c r="V409" s="8" t="n">
        <f aca="false">-SUMPRODUCT($E288:$E293*(YEAR($J288:$J293)=V357))*(V358&lt;$E225)</f>
        <v>-0</v>
      </c>
      <c r="W409" s="8" t="n">
        <f aca="false">-SUMPRODUCT($E288:$E293*(YEAR($J288:$J293)=W357))*(W358&lt;$E225)</f>
        <v>-0</v>
      </c>
      <c r="X409" s="8" t="n">
        <f aca="false">-SUMPRODUCT($E288:$E293*(YEAR($J288:$J293)=X357))*(X358&lt;$E225)</f>
        <v>-0</v>
      </c>
      <c r="Y409" s="8" t="n">
        <f aca="false">-SUMPRODUCT($E288:$E293*(YEAR($J288:$J293)=Y357))*(Y358&lt;$E225)</f>
        <v>-0</v>
      </c>
      <c r="Z409" s="8" t="n">
        <f aca="false">-SUMPRODUCT($E288:$E293*(YEAR($J288:$J293)=Z357))*(Z358&lt;$E225)</f>
        <v>-0</v>
      </c>
      <c r="AA409" s="8" t="n">
        <f aca="false">-SUMPRODUCT($E288:$E293*(YEAR($J288:$J293)=AA357))*(AA358&lt;$E225)</f>
        <v>-0</v>
      </c>
      <c r="AB409" s="8" t="n">
        <f aca="false">-SUMPRODUCT($E288:$E293*(YEAR($J288:$J293)=AB357))*(AB358&lt;$E225)</f>
        <v>-0</v>
      </c>
      <c r="AC409" s="8" t="n">
        <f aca="false">-SUMPRODUCT($E288:$E293*(YEAR($J288:$J293)=AC357))*(AC358&lt;$E225)</f>
        <v>-0</v>
      </c>
      <c r="AD409" s="8" t="n">
        <f aca="false">-SUMPRODUCT($E288:$E293*(YEAR($J288:$J293)=AD357))*(AD358&lt;$E225)</f>
        <v>-0</v>
      </c>
      <c r="AE409" s="8" t="n">
        <f aca="false">-SUMPRODUCT($E288:$E293*(YEAR($J288:$J293)=AE357))*(AE358&lt;$E225)</f>
        <v>-0</v>
      </c>
      <c r="AF409" s="8" t="n">
        <f aca="false">-SUMPRODUCT($E288:$E293*(YEAR($J288:$J293)=AF357))*(AF358&lt;$E225)</f>
        <v>-0</v>
      </c>
      <c r="AG409" s="8" t="n">
        <f aca="false">-SUMPRODUCT($E288:$E293*(YEAR($J288:$J293)=AG357))*(AG358&lt;$E225)</f>
        <v>-0</v>
      </c>
      <c r="AH409" s="8" t="n">
        <f aca="false">-SUMPRODUCT($E288:$E293*(YEAR($J288:$J293)=AH357))*(AH358&lt;$E225)</f>
        <v>-0</v>
      </c>
      <c r="AI409" s="8" t="n">
        <f aca="false">-SUMPRODUCT($E288:$E293*(YEAR($J288:$J293)=AI357))*(AI358&lt;$E225)</f>
        <v>-0</v>
      </c>
      <c r="AJ409" s="8" t="n">
        <f aca="false">-SUMPRODUCT($E288:$E293*(YEAR($J288:$J293)=AJ357))*(AJ358&lt;$E225)</f>
        <v>-0</v>
      </c>
      <c r="AK409" s="8" t="n">
        <f aca="false">-SUMPRODUCT($E288:$E293*(YEAR($J288:$J293)=AK357))*(AK358&lt;$E225)</f>
        <v>-0</v>
      </c>
      <c r="AL409" s="8" t="n">
        <f aca="false">-SUMPRODUCT($E288:$E293*(YEAR($J288:$J293)=AL357))*(AL358&lt;$E225)</f>
        <v>-0</v>
      </c>
      <c r="AM409" s="8" t="n">
        <f aca="false">-SUMPRODUCT($E288:$E293*(YEAR($J288:$J293)=AM357))*(AM358&lt;$E225)</f>
        <v>-0</v>
      </c>
      <c r="AN409" s="8" t="n">
        <f aca="false">-SUMPRODUCT($E288:$E293*(YEAR($J288:$J293)=AN357))*(AN358&lt;$E225)</f>
        <v>-0</v>
      </c>
      <c r="AO409" s="8" t="n">
        <f aca="false">-SUMPRODUCT($E288:$E293*(YEAR($J288:$J293)=AO357))*(AO358&lt;$E225)</f>
        <v>-0</v>
      </c>
      <c r="AP409" s="8" t="n">
        <f aca="false">-SUMPRODUCT($E288:$E293*(YEAR($J288:$J293)=AP357))*(AP358&lt;$E225)</f>
        <v>-0</v>
      </c>
      <c r="AQ409" s="8" t="n">
        <f aca="false">-SUMPRODUCT($E288:$E293*(YEAR($J288:$J293)=AQ357))*(AQ358&lt;$E225)</f>
        <v>-0</v>
      </c>
      <c r="AR409" s="8" t="n">
        <f aca="false">-SUMPRODUCT($E288:$E293*(YEAR($J288:$J293)=AR357))*(AR358&lt;$E225)</f>
        <v>-0</v>
      </c>
      <c r="AS409" s="8" t="n">
        <f aca="false">-SUMPRODUCT($E288:$E293*(YEAR($J288:$J293)=AS357))*(AS358&lt;$E225)</f>
        <v>-0</v>
      </c>
    </row>
    <row r="410" customFormat="false" ht="14.25" hidden="false" customHeight="false" outlineLevel="0" collapsed="false">
      <c r="C410" s="6" t="s">
        <v>338</v>
      </c>
      <c r="D410" s="2" t="s">
        <v>85</v>
      </c>
      <c r="H410" s="8" t="n">
        <f aca="false">SUM(J410:AS410)</f>
        <v>334.410879892294</v>
      </c>
      <c r="J410" s="8" t="n">
        <f aca="false">(J407+J408-I407-I408-J409)*(J358&lt;$E225)</f>
        <v>8.21683617939578</v>
      </c>
      <c r="K410" s="8" t="n">
        <f aca="false">(K407+K408-J407-J408-K409)*(K358&lt;$E225)</f>
        <v>326.194043712898</v>
      </c>
      <c r="L410" s="8" t="n">
        <f aca="false">(L407+L408-K407-K408-L409)*(L358&lt;$E225)</f>
        <v>-0</v>
      </c>
      <c r="M410" s="8" t="n">
        <f aca="false">(M407+M408-L407-L408-M409)*(M358&lt;$E225)</f>
        <v>0</v>
      </c>
      <c r="N410" s="8" t="n">
        <f aca="false">(N407+N408-M407-M408-N409)*(N358&lt;$E225)</f>
        <v>0</v>
      </c>
      <c r="O410" s="8" t="n">
        <f aca="false">(O407+O408-N407-N408-O409)*(O358&lt;$E225)</f>
        <v>0</v>
      </c>
      <c r="P410" s="8" t="n">
        <f aca="false">(P407+P408-O407-O408-P409)*(P358&lt;$E225)</f>
        <v>0</v>
      </c>
      <c r="Q410" s="8" t="n">
        <f aca="false">(Q407+Q408-P407-P408-Q409)*(Q358&lt;$E225)</f>
        <v>0</v>
      </c>
      <c r="R410" s="8" t="n">
        <f aca="false">(R407+R408-Q407-Q408-R409)*(R358&lt;$E225)</f>
        <v>0</v>
      </c>
      <c r="S410" s="8" t="n">
        <f aca="false">(S407+S408-R407-R408-S409)*(S358&lt;$E225)</f>
        <v>0</v>
      </c>
      <c r="T410" s="8" t="n">
        <f aca="false">(T407+T408-S407-S408-T409)*(T358&lt;$E225)</f>
        <v>0</v>
      </c>
      <c r="U410" s="8" t="n">
        <f aca="false">(U407+U408-T407-T408-U409)*(U358&lt;$E225)</f>
        <v>0</v>
      </c>
      <c r="V410" s="8" t="n">
        <f aca="false">(V407+V408-U407-U408-V409)*(V358&lt;$E225)</f>
        <v>0</v>
      </c>
      <c r="W410" s="8" t="n">
        <f aca="false">(W407+W408-V407-V408-W409)*(W358&lt;$E225)</f>
        <v>0</v>
      </c>
      <c r="X410" s="8" t="n">
        <f aca="false">(X407+X408-W407-W408-X409)*(X358&lt;$E225)</f>
        <v>0</v>
      </c>
      <c r="Y410" s="8" t="n">
        <f aca="false">(Y407+Y408-X407-X408-Y409)*(Y358&lt;$E225)</f>
        <v>0</v>
      </c>
      <c r="Z410" s="8" t="n">
        <f aca="false">(Z407+Z408-Y407-Y408-Z409)*(Z358&lt;$E225)</f>
        <v>0</v>
      </c>
      <c r="AA410" s="8" t="n">
        <f aca="false">(AA407+AA408-Z407-Z408-AA409)*(AA358&lt;$E225)</f>
        <v>0</v>
      </c>
      <c r="AB410" s="8" t="n">
        <f aca="false">(AB407+AB408-AA407-AA408-AB409)*(AB358&lt;$E225)</f>
        <v>0</v>
      </c>
      <c r="AC410" s="8" t="n">
        <f aca="false">(AC407+AC408-AB407-AB408-AC409)*(AC358&lt;$E225)</f>
        <v>0</v>
      </c>
      <c r="AD410" s="8" t="n">
        <f aca="false">(AD407+AD408-AC407-AC408-AD409)*(AD358&lt;$E225)</f>
        <v>0</v>
      </c>
      <c r="AE410" s="8" t="n">
        <f aca="false">(AE407+AE408-AD407-AD408-AE409)*(AE358&lt;$E225)</f>
        <v>0</v>
      </c>
      <c r="AF410" s="8" t="n">
        <f aca="false">(AF407+AF408-AE407-AE408-AF409)*(AF358&lt;$E225)</f>
        <v>0</v>
      </c>
      <c r="AG410" s="8" t="n">
        <f aca="false">(AG407+AG408-AF407-AF408-AG409)*(AG358&lt;$E225)</f>
        <v>0</v>
      </c>
      <c r="AH410" s="8" t="n">
        <f aca="false">(AH407+AH408-AG407-AG408-AH409)*(AH358&lt;$E225)</f>
        <v>0</v>
      </c>
      <c r="AI410" s="8" t="n">
        <f aca="false">(AI407+AI408-AH407-AH408-AI409)*(AI358&lt;$E225)</f>
        <v>0</v>
      </c>
      <c r="AJ410" s="8" t="n">
        <f aca="false">(AJ407+AJ408-AI407-AI408-AJ409)*(AJ358&lt;$E225)</f>
        <v>0</v>
      </c>
      <c r="AK410" s="8" t="n">
        <f aca="false">(AK407+AK408-AJ407-AJ408-AK409)*(AK358&lt;$E225)</f>
        <v>0</v>
      </c>
      <c r="AL410" s="8" t="n">
        <f aca="false">(AL407+AL408-AK407-AK408-AL409)*(AL358&lt;$E225)</f>
        <v>0</v>
      </c>
      <c r="AM410" s="8" t="n">
        <f aca="false">(AM407+AM408-AL407-AL408-AM409)*(AM358&lt;$E225)</f>
        <v>0</v>
      </c>
      <c r="AN410" s="8" t="n">
        <f aca="false">(AN407+AN408-AM407-AM408-AN409)*(AN358&lt;$E225)</f>
        <v>0</v>
      </c>
      <c r="AO410" s="8" t="n">
        <f aca="false">(AO407+AO408-AN407-AN408-AO409)*(AO358&lt;$E225)</f>
        <v>0</v>
      </c>
      <c r="AP410" s="8" t="n">
        <f aca="false">(AP407+AP408-AO407-AO408-AP409)*(AP358&lt;$E225)</f>
        <v>0</v>
      </c>
      <c r="AQ410" s="8" t="n">
        <f aca="false">(AQ407+AQ408-AP407-AP408-AQ409)*(AQ358&lt;$E225)</f>
        <v>0</v>
      </c>
      <c r="AR410" s="8" t="n">
        <f aca="false">(AR407+AR408-AQ407-AQ408-AR409)*(AR358&lt;$E225)</f>
        <v>0</v>
      </c>
      <c r="AS410" s="8" t="n">
        <f aca="false">(AS407+AS408-AR407-AR408-AS409)*(AS358&lt;$E225)</f>
        <v>0</v>
      </c>
    </row>
    <row r="412" customFormat="false" ht="14.25" hidden="false" customHeight="false" outlineLevel="0" collapsed="false">
      <c r="B412" s="4" t="s">
        <v>3</v>
      </c>
      <c r="C412" s="4" t="s">
        <v>339</v>
      </c>
      <c r="D412" s="4"/>
      <c r="E412" s="5"/>
      <c r="F412" s="5" t="s">
        <v>288</v>
      </c>
      <c r="G412" s="5"/>
      <c r="H412" s="5" t="s">
        <v>8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</row>
    <row r="413" customFormat="false" ht="14.25" hidden="false" customHeight="false" outlineLevel="0" collapsed="false">
      <c r="C413" s="6" t="s">
        <v>289</v>
      </c>
      <c r="D413" s="2" t="s">
        <v>290</v>
      </c>
      <c r="J413" s="73" t="n">
        <f aca="false">J$357-YEAR(Inputs!$F$26)</f>
        <v>-5</v>
      </c>
      <c r="K413" s="73" t="n">
        <f aca="false">K$357-YEAR(Inputs!$F$26)</f>
        <v>-4</v>
      </c>
      <c r="L413" s="73" t="n">
        <f aca="false">L$357-YEAR(Inputs!$F$26)</f>
        <v>-3</v>
      </c>
      <c r="M413" s="73" t="n">
        <f aca="false">M$357-YEAR(Inputs!$F$26)</f>
        <v>-2</v>
      </c>
      <c r="N413" s="73" t="n">
        <f aca="false">N$357-YEAR(Inputs!$F$26)</f>
        <v>-1</v>
      </c>
      <c r="O413" s="73" t="n">
        <f aca="false">O$357-YEAR(Inputs!$F$26)</f>
        <v>0</v>
      </c>
      <c r="P413" s="73" t="n">
        <f aca="false">P$357-YEAR(Inputs!$F$26)</f>
        <v>1</v>
      </c>
      <c r="Q413" s="73" t="n">
        <f aca="false">Q$357-YEAR(Inputs!$F$26)</f>
        <v>2</v>
      </c>
      <c r="R413" s="73" t="n">
        <f aca="false">R$357-YEAR(Inputs!$F$26)</f>
        <v>3</v>
      </c>
      <c r="S413" s="73" t="n">
        <f aca="false">S$357-YEAR(Inputs!$F$26)</f>
        <v>4</v>
      </c>
      <c r="T413" s="73" t="n">
        <f aca="false">T$357-YEAR(Inputs!$F$26)</f>
        <v>5</v>
      </c>
      <c r="U413" s="73" t="n">
        <f aca="false">U$357-YEAR(Inputs!$F$26)</f>
        <v>6</v>
      </c>
      <c r="V413" s="73" t="n">
        <f aca="false">V$357-YEAR(Inputs!$F$26)</f>
        <v>7</v>
      </c>
      <c r="W413" s="73" t="n">
        <f aca="false">W$357-YEAR(Inputs!$F$26)</f>
        <v>8</v>
      </c>
      <c r="X413" s="73" t="n">
        <f aca="false">X$357-YEAR(Inputs!$F$26)</f>
        <v>9</v>
      </c>
      <c r="Y413" s="73" t="n">
        <f aca="false">Y$357-YEAR(Inputs!$F$26)</f>
        <v>10</v>
      </c>
      <c r="Z413" s="73" t="n">
        <f aca="false">Z$357-YEAR(Inputs!$F$26)</f>
        <v>11</v>
      </c>
      <c r="AA413" s="73" t="n">
        <f aca="false">AA$357-YEAR(Inputs!$F$26)</f>
        <v>12</v>
      </c>
      <c r="AB413" s="73" t="n">
        <f aca="false">AB$357-YEAR(Inputs!$F$26)</f>
        <v>13</v>
      </c>
      <c r="AC413" s="73" t="n">
        <f aca="false">AC$357-YEAR(Inputs!$F$26)</f>
        <v>14</v>
      </c>
      <c r="AD413" s="73" t="n">
        <f aca="false">AD$357-YEAR(Inputs!$F$26)</f>
        <v>15</v>
      </c>
      <c r="AE413" s="73" t="n">
        <f aca="false">AE$357-YEAR(Inputs!$F$26)</f>
        <v>16</v>
      </c>
      <c r="AF413" s="73" t="n">
        <f aca="false">AF$357-YEAR(Inputs!$F$26)</f>
        <v>17</v>
      </c>
      <c r="AG413" s="73" t="n">
        <f aca="false">AG$357-YEAR(Inputs!$F$26)</f>
        <v>18</v>
      </c>
      <c r="AH413" s="73" t="n">
        <f aca="false">AH$357-YEAR(Inputs!$F$26)</f>
        <v>19</v>
      </c>
      <c r="AI413" s="73" t="n">
        <f aca="false">AI$357-YEAR(Inputs!$F$26)</f>
        <v>20</v>
      </c>
      <c r="AJ413" s="73" t="n">
        <f aca="false">AJ$357-YEAR(Inputs!$F$26)</f>
        <v>21</v>
      </c>
      <c r="AK413" s="73" t="n">
        <f aca="false">AK$357-YEAR(Inputs!$F$26)</f>
        <v>22</v>
      </c>
      <c r="AL413" s="73" t="n">
        <f aca="false">AL$357-YEAR(Inputs!$F$26)</f>
        <v>23</v>
      </c>
      <c r="AM413" s="73" t="n">
        <f aca="false">AM$357-YEAR(Inputs!$F$26)</f>
        <v>24</v>
      </c>
      <c r="AN413" s="73" t="n">
        <f aca="false">AN$357-YEAR(Inputs!$F$26)</f>
        <v>25</v>
      </c>
      <c r="AO413" s="73" t="n">
        <f aca="false">AO$357-YEAR(Inputs!$F$26)</f>
        <v>26</v>
      </c>
      <c r="AP413" s="73" t="n">
        <f aca="false">AP$357-YEAR(Inputs!$F$26)</f>
        <v>27</v>
      </c>
      <c r="AQ413" s="73" t="n">
        <f aca="false">AQ$357-YEAR(Inputs!$F$26)</f>
        <v>28</v>
      </c>
      <c r="AR413" s="73" t="n">
        <f aca="false">AR$357-YEAR(Inputs!$F$26)</f>
        <v>29</v>
      </c>
      <c r="AS413" s="73" t="n">
        <f aca="false">AS$357-YEAR(Inputs!$F$26)</f>
        <v>30</v>
      </c>
    </row>
    <row r="414" customFormat="false" ht="14.25" hidden="false" customHeight="false" outlineLevel="0" collapsed="false">
      <c r="C414" s="6" t="s">
        <v>291</v>
      </c>
      <c r="D414" s="2" t="s">
        <v>292</v>
      </c>
      <c r="F414" s="73" t="n">
        <f aca="false">DATEDIF(Inputs!$F$25,Inputs!$F$26,"m")</f>
        <v>24</v>
      </c>
      <c r="J414" s="73" t="n">
        <f aca="false">(J$357+1-YEAR(Inputs!$F$25))*Months_In_Year-MONTH(Inputs!$F$25)</f>
        <v>-30</v>
      </c>
      <c r="K414" s="73" t="n">
        <f aca="false">(K$357+1-YEAR(Inputs!$F$25))*Months_In_Year-MONTH(Inputs!$F$25)</f>
        <v>-18</v>
      </c>
      <c r="L414" s="73" t="n">
        <f aca="false">(L$357+1-YEAR(Inputs!$F$25))*Months_In_Year-MONTH(Inputs!$F$25)</f>
        <v>-6</v>
      </c>
      <c r="M414" s="73" t="n">
        <f aca="false">(M$357+1-YEAR(Inputs!$F$25))*Months_In_Year-MONTH(Inputs!$F$25)</f>
        <v>6</v>
      </c>
      <c r="N414" s="73" t="n">
        <f aca="false">(N$357+1-YEAR(Inputs!$F$25))*Months_In_Year-MONTH(Inputs!$F$25)</f>
        <v>18</v>
      </c>
      <c r="O414" s="73" t="n">
        <f aca="false">(O$357+1-YEAR(Inputs!$F$25))*Months_In_Year-MONTH(Inputs!$F$25)</f>
        <v>30</v>
      </c>
      <c r="P414" s="73" t="n">
        <f aca="false">(P$357+1-YEAR(Inputs!$F$25))*Months_In_Year-MONTH(Inputs!$F$25)</f>
        <v>42</v>
      </c>
      <c r="Q414" s="73" t="n">
        <f aca="false">(Q$357+1-YEAR(Inputs!$F$25))*Months_In_Year-MONTH(Inputs!$F$25)</f>
        <v>54</v>
      </c>
      <c r="R414" s="73" t="n">
        <f aca="false">(R$357+1-YEAR(Inputs!$F$25))*Months_In_Year-MONTH(Inputs!$F$25)</f>
        <v>66</v>
      </c>
      <c r="S414" s="73" t="n">
        <f aca="false">(S$357+1-YEAR(Inputs!$F$25))*Months_In_Year-MONTH(Inputs!$F$25)</f>
        <v>78</v>
      </c>
      <c r="T414" s="73" t="n">
        <f aca="false">(T$357+1-YEAR(Inputs!$F$25))*Months_In_Year-MONTH(Inputs!$F$25)</f>
        <v>90</v>
      </c>
      <c r="U414" s="73" t="n">
        <f aca="false">(U$357+1-YEAR(Inputs!$F$25))*Months_In_Year-MONTH(Inputs!$F$25)</f>
        <v>102</v>
      </c>
      <c r="V414" s="73" t="n">
        <f aca="false">(V$357+1-YEAR(Inputs!$F$25))*Months_In_Year-MONTH(Inputs!$F$25)</f>
        <v>114</v>
      </c>
      <c r="W414" s="73" t="n">
        <f aca="false">(W$357+1-YEAR(Inputs!$F$25))*Months_In_Year-MONTH(Inputs!$F$25)</f>
        <v>126</v>
      </c>
      <c r="X414" s="73" t="n">
        <f aca="false">(X$357+1-YEAR(Inputs!$F$25))*Months_In_Year-MONTH(Inputs!$F$25)</f>
        <v>138</v>
      </c>
      <c r="Y414" s="73" t="n">
        <f aca="false">(Y$357+1-YEAR(Inputs!$F$25))*Months_In_Year-MONTH(Inputs!$F$25)</f>
        <v>150</v>
      </c>
      <c r="Z414" s="73" t="n">
        <f aca="false">(Z$357+1-YEAR(Inputs!$F$25))*Months_In_Year-MONTH(Inputs!$F$25)</f>
        <v>162</v>
      </c>
      <c r="AA414" s="73" t="n">
        <f aca="false">(AA$357+1-YEAR(Inputs!$F$25))*Months_In_Year-MONTH(Inputs!$F$25)</f>
        <v>174</v>
      </c>
      <c r="AB414" s="73" t="n">
        <f aca="false">(AB$357+1-YEAR(Inputs!$F$25))*Months_In_Year-MONTH(Inputs!$F$25)</f>
        <v>186</v>
      </c>
      <c r="AC414" s="73" t="n">
        <f aca="false">(AC$357+1-YEAR(Inputs!$F$25))*Months_In_Year-MONTH(Inputs!$F$25)</f>
        <v>198</v>
      </c>
      <c r="AD414" s="73" t="n">
        <f aca="false">(AD$357+1-YEAR(Inputs!$F$25))*Months_In_Year-MONTH(Inputs!$F$25)</f>
        <v>210</v>
      </c>
      <c r="AE414" s="73" t="n">
        <f aca="false">(AE$357+1-YEAR(Inputs!$F$25))*Months_In_Year-MONTH(Inputs!$F$25)</f>
        <v>222</v>
      </c>
      <c r="AF414" s="73" t="n">
        <f aca="false">(AF$357+1-YEAR(Inputs!$F$25))*Months_In_Year-MONTH(Inputs!$F$25)</f>
        <v>234</v>
      </c>
      <c r="AG414" s="73" t="n">
        <f aca="false">(AG$357+1-YEAR(Inputs!$F$25))*Months_In_Year-MONTH(Inputs!$F$25)</f>
        <v>246</v>
      </c>
      <c r="AH414" s="73" t="n">
        <f aca="false">(AH$357+1-YEAR(Inputs!$F$25))*Months_In_Year-MONTH(Inputs!$F$25)</f>
        <v>258</v>
      </c>
      <c r="AI414" s="73" t="n">
        <f aca="false">(AI$357+1-YEAR(Inputs!$F$25))*Months_In_Year-MONTH(Inputs!$F$25)</f>
        <v>270</v>
      </c>
      <c r="AJ414" s="73" t="n">
        <f aca="false">(AJ$357+1-YEAR(Inputs!$F$25))*Months_In_Year-MONTH(Inputs!$F$25)</f>
        <v>282</v>
      </c>
      <c r="AK414" s="73" t="n">
        <f aca="false">(AK$357+1-YEAR(Inputs!$F$25))*Months_In_Year-MONTH(Inputs!$F$25)</f>
        <v>294</v>
      </c>
      <c r="AL414" s="73" t="n">
        <f aca="false">(AL$357+1-YEAR(Inputs!$F$25))*Months_In_Year-MONTH(Inputs!$F$25)</f>
        <v>306</v>
      </c>
      <c r="AM414" s="73" t="n">
        <f aca="false">(AM$357+1-YEAR(Inputs!$F$25))*Months_In_Year-MONTH(Inputs!$F$25)</f>
        <v>318</v>
      </c>
      <c r="AN414" s="73" t="n">
        <f aca="false">(AN$357+1-YEAR(Inputs!$F$25))*Months_In_Year-MONTH(Inputs!$F$25)</f>
        <v>330</v>
      </c>
      <c r="AO414" s="73" t="n">
        <f aca="false">(AO$357+1-YEAR(Inputs!$F$25))*Months_In_Year-MONTH(Inputs!$F$25)</f>
        <v>342</v>
      </c>
      <c r="AP414" s="73" t="n">
        <f aca="false">(AP$357+1-YEAR(Inputs!$F$25))*Months_In_Year-MONTH(Inputs!$F$25)</f>
        <v>354</v>
      </c>
      <c r="AQ414" s="73" t="n">
        <f aca="false">(AQ$357+1-YEAR(Inputs!$F$25))*Months_In_Year-MONTH(Inputs!$F$25)</f>
        <v>366</v>
      </c>
      <c r="AR414" s="73" t="n">
        <f aca="false">(AR$357+1-YEAR(Inputs!$F$25))*Months_In_Year-MONTH(Inputs!$F$25)</f>
        <v>378</v>
      </c>
      <c r="AS414" s="73" t="n">
        <f aca="false">(AS$357+1-YEAR(Inputs!$F$25))*Months_In_Year-MONTH(Inputs!$F$25)</f>
        <v>390</v>
      </c>
    </row>
    <row r="415" customFormat="false" ht="14.25" hidden="false" customHeight="false" outlineLevel="0" collapsed="false">
      <c r="C415" s="6" t="s">
        <v>293</v>
      </c>
      <c r="D415" s="2" t="s">
        <v>12</v>
      </c>
      <c r="H415" s="74" t="n">
        <f aca="false">SUM(J415:AS415)</f>
        <v>1</v>
      </c>
      <c r="J415" s="48" t="n">
        <f aca="false">MAX(0,MIN(J414,$F414)-MAX(J414-Months_In_Year,0))/$F414</f>
        <v>0</v>
      </c>
      <c r="K415" s="48" t="n">
        <f aca="false">MAX(0,MIN(K414,$F414)-MAX(K414-Months_In_Year,0))/$F414</f>
        <v>0</v>
      </c>
      <c r="L415" s="48" t="n">
        <f aca="false">MAX(0,MIN(L414,$F414)-MAX(L414-Months_In_Year,0))/$F414</f>
        <v>0</v>
      </c>
      <c r="M415" s="48" t="n">
        <f aca="false">MAX(0,MIN(M414,$F414)-MAX(M414-Months_In_Year,0))/$F414</f>
        <v>0.25</v>
      </c>
      <c r="N415" s="48" t="n">
        <f aca="false">MAX(0,MIN(N414,$F414)-MAX(N414-Months_In_Year,0))/$F414</f>
        <v>0.5</v>
      </c>
      <c r="O415" s="48" t="n">
        <f aca="false">MAX(0,MIN(O414,$F414)-MAX(O414-Months_In_Year,0))/$F414</f>
        <v>0.25</v>
      </c>
      <c r="P415" s="48" t="n">
        <f aca="false">MAX(0,MIN(P414,$F414)-MAX(P414-Months_In_Year,0))/$F414</f>
        <v>0</v>
      </c>
      <c r="Q415" s="48" t="n">
        <f aca="false">MAX(0,MIN(Q414,$F414)-MAX(Q414-Months_In_Year,0))/$F414</f>
        <v>0</v>
      </c>
      <c r="R415" s="48" t="n">
        <f aca="false">MAX(0,MIN(R414,$F414)-MAX(R414-Months_In_Year,0))/$F414</f>
        <v>0</v>
      </c>
      <c r="S415" s="48" t="n">
        <f aca="false">MAX(0,MIN(S414,$F414)-MAX(S414-Months_In_Year,0))/$F414</f>
        <v>0</v>
      </c>
      <c r="T415" s="48" t="n">
        <f aca="false">MAX(0,MIN(T414,$F414)-MAX(T414-Months_In_Year,0))/$F414</f>
        <v>0</v>
      </c>
      <c r="U415" s="48" t="n">
        <f aca="false">MAX(0,MIN(U414,$F414)-MAX(U414-Months_In_Year,0))/$F414</f>
        <v>0</v>
      </c>
      <c r="V415" s="48" t="n">
        <f aca="false">MAX(0,MIN(V414,$F414)-MAX(V414-Months_In_Year,0))/$F414</f>
        <v>0</v>
      </c>
      <c r="W415" s="48" t="n">
        <f aca="false">MAX(0,MIN(W414,$F414)-MAX(W414-Months_In_Year,0))/$F414</f>
        <v>0</v>
      </c>
      <c r="X415" s="48" t="n">
        <f aca="false">MAX(0,MIN(X414,$F414)-MAX(X414-Months_In_Year,0))/$F414</f>
        <v>0</v>
      </c>
      <c r="Y415" s="48" t="n">
        <f aca="false">MAX(0,MIN(Y414,$F414)-MAX(Y414-Months_In_Year,0))/$F414</f>
        <v>0</v>
      </c>
      <c r="Z415" s="48" t="n">
        <f aca="false">MAX(0,MIN(Z414,$F414)-MAX(Z414-Months_In_Year,0))/$F414</f>
        <v>0</v>
      </c>
      <c r="AA415" s="48" t="n">
        <f aca="false">MAX(0,MIN(AA414,$F414)-MAX(AA414-Months_In_Year,0))/$F414</f>
        <v>0</v>
      </c>
      <c r="AB415" s="48" t="n">
        <f aca="false">MAX(0,MIN(AB414,$F414)-MAX(AB414-Months_In_Year,0))/$F414</f>
        <v>0</v>
      </c>
      <c r="AC415" s="48" t="n">
        <f aca="false">MAX(0,MIN(AC414,$F414)-MAX(AC414-Months_In_Year,0))/$F414</f>
        <v>0</v>
      </c>
      <c r="AD415" s="48" t="n">
        <f aca="false">MAX(0,MIN(AD414,$F414)-MAX(AD414-Months_In_Year,0))/$F414</f>
        <v>0</v>
      </c>
      <c r="AE415" s="48" t="n">
        <f aca="false">MAX(0,MIN(AE414,$F414)-MAX(AE414-Months_In_Year,0))/$F414</f>
        <v>0</v>
      </c>
      <c r="AF415" s="48" t="n">
        <f aca="false">MAX(0,MIN(AF414,$F414)-MAX(AF414-Months_In_Year,0))/$F414</f>
        <v>0</v>
      </c>
      <c r="AG415" s="48" t="n">
        <f aca="false">MAX(0,MIN(AG414,$F414)-MAX(AG414-Months_In_Year,0))/$F414</f>
        <v>0</v>
      </c>
      <c r="AH415" s="48" t="n">
        <f aca="false">MAX(0,MIN(AH414,$F414)-MAX(AH414-Months_In_Year,0))/$F414</f>
        <v>0</v>
      </c>
      <c r="AI415" s="48" t="n">
        <f aca="false">MAX(0,MIN(AI414,$F414)-MAX(AI414-Months_In_Year,0))/$F414</f>
        <v>0</v>
      </c>
      <c r="AJ415" s="48" t="n">
        <f aca="false">MAX(0,MIN(AJ414,$F414)-MAX(AJ414-Months_In_Year,0))/$F414</f>
        <v>0</v>
      </c>
      <c r="AK415" s="48" t="n">
        <f aca="false">MAX(0,MIN(AK414,$F414)-MAX(AK414-Months_In_Year,0))/$F414</f>
        <v>0</v>
      </c>
      <c r="AL415" s="48" t="n">
        <f aca="false">MAX(0,MIN(AL414,$F414)-MAX(AL414-Months_In_Year,0))/$F414</f>
        <v>0</v>
      </c>
      <c r="AM415" s="48" t="n">
        <f aca="false">MAX(0,MIN(AM414,$F414)-MAX(AM414-Months_In_Year,0))/$F414</f>
        <v>0</v>
      </c>
      <c r="AN415" s="48" t="n">
        <f aca="false">MAX(0,MIN(AN414,$F414)-MAX(AN414-Months_In_Year,0))/$F414</f>
        <v>0</v>
      </c>
      <c r="AO415" s="48" t="n">
        <f aca="false">MAX(0,MIN(AO414,$F414)-MAX(AO414-Months_In_Year,0))/$F414</f>
        <v>0</v>
      </c>
      <c r="AP415" s="48" t="n">
        <f aca="false">MAX(0,MIN(AP414,$F414)-MAX(AP414-Months_In_Year,0))/$F414</f>
        <v>0</v>
      </c>
      <c r="AQ415" s="48" t="n">
        <f aca="false">MAX(0,MIN(AQ414,$F414)-MAX(AQ414-Months_In_Year,0))/$F414</f>
        <v>0</v>
      </c>
      <c r="AR415" s="48" t="n">
        <f aca="false">MAX(0,MIN(AR414,$F414)-MAX(AR414-Months_In_Year,0))/$F414</f>
        <v>0</v>
      </c>
      <c r="AS415" s="48" t="n">
        <f aca="false">MAX(0,MIN(AS414,$F414)-MAX(AS414-Months_In_Year,0))/$F414</f>
        <v>0</v>
      </c>
    </row>
    <row r="416" customFormat="false" ht="14.25" hidden="false" customHeight="false" outlineLevel="0" collapsed="false">
      <c r="C416" s="6" t="s">
        <v>294</v>
      </c>
      <c r="D416" s="2" t="s">
        <v>292</v>
      </c>
      <c r="F416" s="73" t="n">
        <f aca="false">Life*Months_In_Year</f>
        <v>360</v>
      </c>
      <c r="J416" s="73" t="n">
        <f aca="false">(J$357+1-YEAR(Inputs!$F$26))*Months_In_Year-MONTH(Inputs!$F$26)</f>
        <v>-54</v>
      </c>
      <c r="K416" s="73" t="n">
        <f aca="false">(K$357+1-YEAR(Inputs!$F$26))*Months_In_Year-MONTH(Inputs!$F$26)</f>
        <v>-42</v>
      </c>
      <c r="L416" s="73" t="n">
        <f aca="false">(L$357+1-YEAR(Inputs!$F$26))*Months_In_Year-MONTH(Inputs!$F$26)</f>
        <v>-30</v>
      </c>
      <c r="M416" s="73" t="n">
        <f aca="false">(M$357+1-YEAR(Inputs!$F$26))*Months_In_Year-MONTH(Inputs!$F$26)</f>
        <v>-18</v>
      </c>
      <c r="N416" s="73" t="n">
        <f aca="false">(N$357+1-YEAR(Inputs!$F$26))*Months_In_Year-MONTH(Inputs!$F$26)</f>
        <v>-6</v>
      </c>
      <c r="O416" s="73" t="n">
        <f aca="false">(O$357+1-YEAR(Inputs!$F$26))*Months_In_Year-MONTH(Inputs!$F$26)</f>
        <v>6</v>
      </c>
      <c r="P416" s="73" t="n">
        <f aca="false">(P$357+1-YEAR(Inputs!$F$26))*Months_In_Year-MONTH(Inputs!$F$26)</f>
        <v>18</v>
      </c>
      <c r="Q416" s="73" t="n">
        <f aca="false">(Q$357+1-YEAR(Inputs!$F$26))*Months_In_Year-MONTH(Inputs!$F$26)</f>
        <v>30</v>
      </c>
      <c r="R416" s="73" t="n">
        <f aca="false">(R$357+1-YEAR(Inputs!$F$26))*Months_In_Year-MONTH(Inputs!$F$26)</f>
        <v>42</v>
      </c>
      <c r="S416" s="73" t="n">
        <f aca="false">(S$357+1-YEAR(Inputs!$F$26))*Months_In_Year-MONTH(Inputs!$F$26)</f>
        <v>54</v>
      </c>
      <c r="T416" s="73" t="n">
        <f aca="false">(T$357+1-YEAR(Inputs!$F$26))*Months_In_Year-MONTH(Inputs!$F$26)</f>
        <v>66</v>
      </c>
      <c r="U416" s="73" t="n">
        <f aca="false">(U$357+1-YEAR(Inputs!$F$26))*Months_In_Year-MONTH(Inputs!$F$26)</f>
        <v>78</v>
      </c>
      <c r="V416" s="73" t="n">
        <f aca="false">(V$357+1-YEAR(Inputs!$F$26))*Months_In_Year-MONTH(Inputs!$F$26)</f>
        <v>90</v>
      </c>
      <c r="W416" s="73" t="n">
        <f aca="false">(W$357+1-YEAR(Inputs!$F$26))*Months_In_Year-MONTH(Inputs!$F$26)</f>
        <v>102</v>
      </c>
      <c r="X416" s="73" t="n">
        <f aca="false">(X$357+1-YEAR(Inputs!$F$26))*Months_In_Year-MONTH(Inputs!$F$26)</f>
        <v>114</v>
      </c>
      <c r="Y416" s="73" t="n">
        <f aca="false">(Y$357+1-YEAR(Inputs!$F$26))*Months_In_Year-MONTH(Inputs!$F$26)</f>
        <v>126</v>
      </c>
      <c r="Z416" s="73" t="n">
        <f aca="false">(Z$357+1-YEAR(Inputs!$F$26))*Months_In_Year-MONTH(Inputs!$F$26)</f>
        <v>138</v>
      </c>
      <c r="AA416" s="73" t="n">
        <f aca="false">(AA$357+1-YEAR(Inputs!$F$26))*Months_In_Year-MONTH(Inputs!$F$26)</f>
        <v>150</v>
      </c>
      <c r="AB416" s="73" t="n">
        <f aca="false">(AB$357+1-YEAR(Inputs!$F$26))*Months_In_Year-MONTH(Inputs!$F$26)</f>
        <v>162</v>
      </c>
      <c r="AC416" s="73" t="n">
        <f aca="false">(AC$357+1-YEAR(Inputs!$F$26))*Months_In_Year-MONTH(Inputs!$F$26)</f>
        <v>174</v>
      </c>
      <c r="AD416" s="73" t="n">
        <f aca="false">(AD$357+1-YEAR(Inputs!$F$26))*Months_In_Year-MONTH(Inputs!$F$26)</f>
        <v>186</v>
      </c>
      <c r="AE416" s="73" t="n">
        <f aca="false">(AE$357+1-YEAR(Inputs!$F$26))*Months_In_Year-MONTH(Inputs!$F$26)</f>
        <v>198</v>
      </c>
      <c r="AF416" s="73" t="n">
        <f aca="false">(AF$357+1-YEAR(Inputs!$F$26))*Months_In_Year-MONTH(Inputs!$F$26)</f>
        <v>210</v>
      </c>
      <c r="AG416" s="73" t="n">
        <f aca="false">(AG$357+1-YEAR(Inputs!$F$26))*Months_In_Year-MONTH(Inputs!$F$26)</f>
        <v>222</v>
      </c>
      <c r="AH416" s="73" t="n">
        <f aca="false">(AH$357+1-YEAR(Inputs!$F$26))*Months_In_Year-MONTH(Inputs!$F$26)</f>
        <v>234</v>
      </c>
      <c r="AI416" s="73" t="n">
        <f aca="false">(AI$357+1-YEAR(Inputs!$F$26))*Months_In_Year-MONTH(Inputs!$F$26)</f>
        <v>246</v>
      </c>
      <c r="AJ416" s="73" t="n">
        <f aca="false">(AJ$357+1-YEAR(Inputs!$F$26))*Months_In_Year-MONTH(Inputs!$F$26)</f>
        <v>258</v>
      </c>
      <c r="AK416" s="73" t="n">
        <f aca="false">(AK$357+1-YEAR(Inputs!$F$26))*Months_In_Year-MONTH(Inputs!$F$26)</f>
        <v>270</v>
      </c>
      <c r="AL416" s="73" t="n">
        <f aca="false">(AL$357+1-YEAR(Inputs!$F$26))*Months_In_Year-MONTH(Inputs!$F$26)</f>
        <v>282</v>
      </c>
      <c r="AM416" s="73" t="n">
        <f aca="false">(AM$357+1-YEAR(Inputs!$F$26))*Months_In_Year-MONTH(Inputs!$F$26)</f>
        <v>294</v>
      </c>
      <c r="AN416" s="73" t="n">
        <f aca="false">(AN$357+1-YEAR(Inputs!$F$26))*Months_In_Year-MONTH(Inputs!$F$26)</f>
        <v>306</v>
      </c>
      <c r="AO416" s="73" t="n">
        <f aca="false">(AO$357+1-YEAR(Inputs!$F$26))*Months_In_Year-MONTH(Inputs!$F$26)</f>
        <v>318</v>
      </c>
      <c r="AP416" s="73" t="n">
        <f aca="false">(AP$357+1-YEAR(Inputs!$F$26))*Months_In_Year-MONTH(Inputs!$F$26)</f>
        <v>330</v>
      </c>
      <c r="AQ416" s="73" t="n">
        <f aca="false">(AQ$357+1-YEAR(Inputs!$F$26))*Months_In_Year-MONTH(Inputs!$F$26)</f>
        <v>342</v>
      </c>
      <c r="AR416" s="73" t="n">
        <f aca="false">(AR$357+1-YEAR(Inputs!$F$26))*Months_In_Year-MONTH(Inputs!$F$26)</f>
        <v>354</v>
      </c>
      <c r="AS416" s="73" t="n">
        <f aca="false">(AS$357+1-YEAR(Inputs!$F$26))*Months_In_Year-MONTH(Inputs!$F$26)</f>
        <v>366</v>
      </c>
    </row>
    <row r="417" customFormat="false" ht="14.25" hidden="false" customHeight="false" outlineLevel="0" collapsed="false">
      <c r="C417" s="6" t="s">
        <v>295</v>
      </c>
      <c r="D417" s="2" t="s">
        <v>12</v>
      </c>
      <c r="H417" s="74" t="n">
        <f aca="false">SUM(J417:AS417)</f>
        <v>30</v>
      </c>
      <c r="J417" s="48" t="n">
        <f aca="false">MAX(0,MIN(J416,$F416)-MAX(J416-Months_In_Year,0))/Months_In_Year</f>
        <v>0</v>
      </c>
      <c r="K417" s="48" t="n">
        <f aca="false">MAX(0,MIN(K416,$F416)-MAX(K416-Months_In_Year,0))/Months_In_Year</f>
        <v>0</v>
      </c>
      <c r="L417" s="48" t="n">
        <f aca="false">MAX(0,MIN(L416,$F416)-MAX(L416-Months_In_Year,0))/Months_In_Year</f>
        <v>0</v>
      </c>
      <c r="M417" s="48" t="n">
        <f aca="false">MAX(0,MIN(M416,$F416)-MAX(M416-Months_In_Year,0))/Months_In_Year</f>
        <v>0</v>
      </c>
      <c r="N417" s="48" t="n">
        <f aca="false">MAX(0,MIN(N416,$F416)-MAX(N416-Months_In_Year,0))/Months_In_Year</f>
        <v>0</v>
      </c>
      <c r="O417" s="48" t="n">
        <f aca="false">MAX(0,MIN(O416,$F416)-MAX(O416-Months_In_Year,0))/Months_In_Year</f>
        <v>0.5</v>
      </c>
      <c r="P417" s="48" t="n">
        <f aca="false">MAX(0,MIN(P416,$F416)-MAX(P416-Months_In_Year,0))/Months_In_Year</f>
        <v>1</v>
      </c>
      <c r="Q417" s="48" t="n">
        <f aca="false">MAX(0,MIN(Q416,$F416)-MAX(Q416-Months_In_Year,0))/Months_In_Year</f>
        <v>1</v>
      </c>
      <c r="R417" s="48" t="n">
        <f aca="false">MAX(0,MIN(R416,$F416)-MAX(R416-Months_In_Year,0))/Months_In_Year</f>
        <v>1</v>
      </c>
      <c r="S417" s="48" t="n">
        <f aca="false">MAX(0,MIN(S416,$F416)-MAX(S416-Months_In_Year,0))/Months_In_Year</f>
        <v>1</v>
      </c>
      <c r="T417" s="48" t="n">
        <f aca="false">MAX(0,MIN(T416,$F416)-MAX(T416-Months_In_Year,0))/Months_In_Year</f>
        <v>1</v>
      </c>
      <c r="U417" s="48" t="n">
        <f aca="false">MAX(0,MIN(U416,$F416)-MAX(U416-Months_In_Year,0))/Months_In_Year</f>
        <v>1</v>
      </c>
      <c r="V417" s="48" t="n">
        <f aca="false">MAX(0,MIN(V416,$F416)-MAX(V416-Months_In_Year,0))/Months_In_Year</f>
        <v>1</v>
      </c>
      <c r="W417" s="48" t="n">
        <f aca="false">MAX(0,MIN(W416,$F416)-MAX(W416-Months_In_Year,0))/Months_In_Year</f>
        <v>1</v>
      </c>
      <c r="X417" s="48" t="n">
        <f aca="false">MAX(0,MIN(X416,$F416)-MAX(X416-Months_In_Year,0))/Months_In_Year</f>
        <v>1</v>
      </c>
      <c r="Y417" s="48" t="n">
        <f aca="false">MAX(0,MIN(Y416,$F416)-MAX(Y416-Months_In_Year,0))/Months_In_Year</f>
        <v>1</v>
      </c>
      <c r="Z417" s="48" t="n">
        <f aca="false">MAX(0,MIN(Z416,$F416)-MAX(Z416-Months_In_Year,0))/Months_In_Year</f>
        <v>1</v>
      </c>
      <c r="AA417" s="48" t="n">
        <f aca="false">MAX(0,MIN(AA416,$F416)-MAX(AA416-Months_In_Year,0))/Months_In_Year</f>
        <v>1</v>
      </c>
      <c r="AB417" s="48" t="n">
        <f aca="false">MAX(0,MIN(AB416,$F416)-MAX(AB416-Months_In_Year,0))/Months_In_Year</f>
        <v>1</v>
      </c>
      <c r="AC417" s="48" t="n">
        <f aca="false">MAX(0,MIN(AC416,$F416)-MAX(AC416-Months_In_Year,0))/Months_In_Year</f>
        <v>1</v>
      </c>
      <c r="AD417" s="48" t="n">
        <f aca="false">MAX(0,MIN(AD416,$F416)-MAX(AD416-Months_In_Year,0))/Months_In_Year</f>
        <v>1</v>
      </c>
      <c r="AE417" s="48" t="n">
        <f aca="false">MAX(0,MIN(AE416,$F416)-MAX(AE416-Months_In_Year,0))/Months_In_Year</f>
        <v>1</v>
      </c>
      <c r="AF417" s="48" t="n">
        <f aca="false">MAX(0,MIN(AF416,$F416)-MAX(AF416-Months_In_Year,0))/Months_In_Year</f>
        <v>1</v>
      </c>
      <c r="AG417" s="48" t="n">
        <f aca="false">MAX(0,MIN(AG416,$F416)-MAX(AG416-Months_In_Year,0))/Months_In_Year</f>
        <v>1</v>
      </c>
      <c r="AH417" s="48" t="n">
        <f aca="false">MAX(0,MIN(AH416,$F416)-MAX(AH416-Months_In_Year,0))/Months_In_Year</f>
        <v>1</v>
      </c>
      <c r="AI417" s="48" t="n">
        <f aca="false">MAX(0,MIN(AI416,$F416)-MAX(AI416-Months_In_Year,0))/Months_In_Year</f>
        <v>1</v>
      </c>
      <c r="AJ417" s="48" t="n">
        <f aca="false">MAX(0,MIN(AJ416,$F416)-MAX(AJ416-Months_In_Year,0))/Months_In_Year</f>
        <v>1</v>
      </c>
      <c r="AK417" s="48" t="n">
        <f aca="false">MAX(0,MIN(AK416,$F416)-MAX(AK416-Months_In_Year,0))/Months_In_Year</f>
        <v>1</v>
      </c>
      <c r="AL417" s="48" t="n">
        <f aca="false">MAX(0,MIN(AL416,$F416)-MAX(AL416-Months_In_Year,0))/Months_In_Year</f>
        <v>1</v>
      </c>
      <c r="AM417" s="48" t="n">
        <f aca="false">MAX(0,MIN(AM416,$F416)-MAX(AM416-Months_In_Year,0))/Months_In_Year</f>
        <v>1</v>
      </c>
      <c r="AN417" s="48" t="n">
        <f aca="false">MAX(0,MIN(AN416,$F416)-MAX(AN416-Months_In_Year,0))/Months_In_Year</f>
        <v>1</v>
      </c>
      <c r="AO417" s="48" t="n">
        <f aca="false">MAX(0,MIN(AO416,$F416)-MAX(AO416-Months_In_Year,0))/Months_In_Year</f>
        <v>1</v>
      </c>
      <c r="AP417" s="48" t="n">
        <f aca="false">MAX(0,MIN(AP416,$F416)-MAX(AP416-Months_In_Year,0))/Months_In_Year</f>
        <v>1</v>
      </c>
      <c r="AQ417" s="48" t="n">
        <f aca="false">MAX(0,MIN(AQ416,$F416)-MAX(AQ416-Months_In_Year,0))/Months_In_Year</f>
        <v>1</v>
      </c>
      <c r="AR417" s="48" t="n">
        <f aca="false">MAX(0,MIN(AR416,$F416)-MAX(AR416-Months_In_Year,0))/Months_In_Year</f>
        <v>1</v>
      </c>
      <c r="AS417" s="48" t="n">
        <f aca="false">MAX(0,MIN(AS416,$F416)-MAX(AS416-Months_In_Year,0))/Months_In_Year</f>
        <v>0.5</v>
      </c>
    </row>
    <row r="418" customFormat="false" ht="14.25" hidden="false" customHeight="false" outlineLevel="0" collapsed="false">
      <c r="C418" s="6" t="s">
        <v>296</v>
      </c>
      <c r="D418" s="2" t="s">
        <v>2</v>
      </c>
      <c r="J418" s="75" t="n">
        <f aca="false">N(J413=0)</f>
        <v>0</v>
      </c>
      <c r="K418" s="75" t="n">
        <f aca="false">N(K413=0)</f>
        <v>0</v>
      </c>
      <c r="L418" s="75" t="n">
        <f aca="false">N(L413=0)</f>
        <v>0</v>
      </c>
      <c r="M418" s="75" t="n">
        <f aca="false">N(M413=0)</f>
        <v>0</v>
      </c>
      <c r="N418" s="75" t="n">
        <f aca="false">N(N413=0)</f>
        <v>0</v>
      </c>
      <c r="O418" s="75" t="n">
        <f aca="false">N(O413=0)</f>
        <v>1</v>
      </c>
      <c r="P418" s="75" t="n">
        <f aca="false">N(P413=0)</f>
        <v>0</v>
      </c>
      <c r="Q418" s="75" t="n">
        <f aca="false">N(Q413=0)</f>
        <v>0</v>
      </c>
      <c r="R418" s="75" t="n">
        <f aca="false">N(R413=0)</f>
        <v>0</v>
      </c>
      <c r="S418" s="75" t="n">
        <f aca="false">N(S413=0)</f>
        <v>0</v>
      </c>
      <c r="T418" s="75" t="n">
        <f aca="false">N(T413=0)</f>
        <v>0</v>
      </c>
      <c r="U418" s="75" t="n">
        <f aca="false">N(U413=0)</f>
        <v>0</v>
      </c>
      <c r="V418" s="75" t="n">
        <f aca="false">N(V413=0)</f>
        <v>0</v>
      </c>
      <c r="W418" s="75" t="n">
        <f aca="false">N(W413=0)</f>
        <v>0</v>
      </c>
      <c r="X418" s="75" t="n">
        <f aca="false">N(X413=0)</f>
        <v>0</v>
      </c>
      <c r="Y418" s="75" t="n">
        <f aca="false">N(Y413=0)</f>
        <v>0</v>
      </c>
      <c r="Z418" s="75" t="n">
        <f aca="false">N(Z413=0)</f>
        <v>0</v>
      </c>
      <c r="AA418" s="75" t="n">
        <f aca="false">N(AA413=0)</f>
        <v>0</v>
      </c>
      <c r="AB418" s="75" t="n">
        <f aca="false">N(AB413=0)</f>
        <v>0</v>
      </c>
      <c r="AC418" s="75" t="n">
        <f aca="false">N(AC413=0)</f>
        <v>0</v>
      </c>
      <c r="AD418" s="75" t="n">
        <f aca="false">N(AD413=0)</f>
        <v>0</v>
      </c>
      <c r="AE418" s="75" t="n">
        <f aca="false">N(AE413=0)</f>
        <v>0</v>
      </c>
      <c r="AF418" s="75" t="n">
        <f aca="false">N(AF413=0)</f>
        <v>0</v>
      </c>
      <c r="AG418" s="75" t="n">
        <f aca="false">N(AG413=0)</f>
        <v>0</v>
      </c>
      <c r="AH418" s="75" t="n">
        <f aca="false">N(AH413=0)</f>
        <v>0</v>
      </c>
      <c r="AI418" s="75" t="n">
        <f aca="false">N(AI413=0)</f>
        <v>0</v>
      </c>
      <c r="AJ418" s="75" t="n">
        <f aca="false">N(AJ413=0)</f>
        <v>0</v>
      </c>
      <c r="AK418" s="75" t="n">
        <f aca="false">N(AK413=0)</f>
        <v>0</v>
      </c>
      <c r="AL418" s="75" t="n">
        <f aca="false">N(AL413=0)</f>
        <v>0</v>
      </c>
      <c r="AM418" s="75" t="n">
        <f aca="false">N(AM413=0)</f>
        <v>0</v>
      </c>
      <c r="AN418" s="75" t="n">
        <f aca="false">N(AN413=0)</f>
        <v>0</v>
      </c>
      <c r="AO418" s="75" t="n">
        <f aca="false">N(AO413=0)</f>
        <v>0</v>
      </c>
      <c r="AP418" s="75" t="n">
        <f aca="false">N(AP413=0)</f>
        <v>0</v>
      </c>
      <c r="AQ418" s="75" t="n">
        <f aca="false">N(AQ413=0)</f>
        <v>0</v>
      </c>
      <c r="AR418" s="75" t="n">
        <f aca="false">N(AR413=0)</f>
        <v>0</v>
      </c>
      <c r="AS418" s="75" t="n">
        <f aca="false">N(AS413=0)</f>
        <v>0</v>
      </c>
    </row>
    <row r="419" customFormat="false" ht="14.25" hidden="false" customHeight="false" outlineLevel="0" collapsed="false">
      <c r="C419" s="6" t="s">
        <v>297</v>
      </c>
      <c r="D419" s="2" t="s">
        <v>85</v>
      </c>
      <c r="H419" s="8" t="n">
        <f aca="false">SUM(J419:AS419)</f>
        <v>-14078.5797945205</v>
      </c>
      <c r="J419" s="8" t="n">
        <f aca="false">-($F$98+$F$68+$F$62+$F$63+$F$92)*(J$357=YEAR(Sale_Date))</f>
        <v>-0</v>
      </c>
      <c r="K419" s="8" t="n">
        <f aca="false">-($F$98+$F$68+$F$62+$F$63+$F$92)*(K$357=YEAR(Sale_Date))</f>
        <v>-0</v>
      </c>
      <c r="L419" s="8" t="n">
        <f aca="false">-($F$98+$F$68+$F$62+$F$63+$F$92)*(L$357=YEAR(Sale_Date))</f>
        <v>-0</v>
      </c>
      <c r="M419" s="8" t="n">
        <f aca="false">-($F$98+$F$68+$F$62+$F$63+$F$92)*(M$357=YEAR(Sale_Date))</f>
        <v>-14078.5797945205</v>
      </c>
      <c r="N419" s="8" t="n">
        <f aca="false">-($F$98+$F$68+$F$62+$F$63+$F$92)*(N$357=YEAR(Sale_Date))</f>
        <v>-0</v>
      </c>
      <c r="O419" s="8" t="n">
        <f aca="false">-($F$98+$F$68+$F$62+$F$63+$F$92)*(O$357=YEAR(Sale_Date))</f>
        <v>-0</v>
      </c>
      <c r="P419" s="8" t="n">
        <f aca="false">-($F$98+$F$68+$F$62+$F$63+$F$92)*(P$357=YEAR(Sale_Date))</f>
        <v>-0</v>
      </c>
      <c r="Q419" s="8" t="n">
        <f aca="false">-($F$98+$F$68+$F$62+$F$63+$F$92)*(Q$357=YEAR(Sale_Date))</f>
        <v>-0</v>
      </c>
      <c r="R419" s="8" t="n">
        <f aca="false">-($F$98+$F$68+$F$62+$F$63+$F$92)*(R$357=YEAR(Sale_Date))</f>
        <v>-0</v>
      </c>
      <c r="S419" s="8" t="n">
        <f aca="false">-($F$98+$F$68+$F$62+$F$63+$F$92)*(S$357=YEAR(Sale_Date))</f>
        <v>-0</v>
      </c>
      <c r="T419" s="8" t="n">
        <f aca="false">-($F$98+$F$68+$F$62+$F$63+$F$92)*(T$357=YEAR(Sale_Date))</f>
        <v>-0</v>
      </c>
      <c r="U419" s="8" t="n">
        <f aca="false">-($F$98+$F$68+$F$62+$F$63+$F$92)*(U$357=YEAR(Sale_Date))</f>
        <v>-0</v>
      </c>
      <c r="V419" s="8" t="n">
        <f aca="false">-($F$98+$F$68+$F$62+$F$63+$F$92)*(V$357=YEAR(Sale_Date))</f>
        <v>-0</v>
      </c>
      <c r="W419" s="8" t="n">
        <f aca="false">-($F$98+$F$68+$F$62+$F$63+$F$92)*(W$357=YEAR(Sale_Date))</f>
        <v>-0</v>
      </c>
      <c r="X419" s="8" t="n">
        <f aca="false">-($F$98+$F$68+$F$62+$F$63+$F$92)*(X$357=YEAR(Sale_Date))</f>
        <v>-0</v>
      </c>
      <c r="Y419" s="8" t="n">
        <f aca="false">-($F$98+$F$68+$F$62+$F$63+$F$92)*(Y$357=YEAR(Sale_Date))</f>
        <v>-0</v>
      </c>
      <c r="Z419" s="8" t="n">
        <f aca="false">-($F$98+$F$68+$F$62+$F$63+$F$92)*(Z$357=YEAR(Sale_Date))</f>
        <v>-0</v>
      </c>
      <c r="AA419" s="8" t="n">
        <f aca="false">-($F$98+$F$68+$F$62+$F$63+$F$92)*(AA$357=YEAR(Sale_Date))</f>
        <v>-0</v>
      </c>
      <c r="AB419" s="8" t="n">
        <f aca="false">-($F$98+$F$68+$F$62+$F$63+$F$92)*(AB$357=YEAR(Sale_Date))</f>
        <v>-0</v>
      </c>
      <c r="AC419" s="8" t="n">
        <f aca="false">-($F$98+$F$68+$F$62+$F$63+$F$92)*(AC$357=YEAR(Sale_Date))</f>
        <v>-0</v>
      </c>
      <c r="AD419" s="8" t="n">
        <f aca="false">-($F$98+$F$68+$F$62+$F$63+$F$92)*(AD$357=YEAR(Sale_Date))</f>
        <v>-0</v>
      </c>
      <c r="AE419" s="8" t="n">
        <f aca="false">-($F$98+$F$68+$F$62+$F$63+$F$92)*(AE$357=YEAR(Sale_Date))</f>
        <v>-0</v>
      </c>
      <c r="AF419" s="8" t="n">
        <f aca="false">-($F$98+$F$68+$F$62+$F$63+$F$92)*(AF$357=YEAR(Sale_Date))</f>
        <v>-0</v>
      </c>
      <c r="AG419" s="8" t="n">
        <f aca="false">-($F$98+$F$68+$F$62+$F$63+$F$92)*(AG$357=YEAR(Sale_Date))</f>
        <v>-0</v>
      </c>
      <c r="AH419" s="8" t="n">
        <f aca="false">-($F$98+$F$68+$F$62+$F$63+$F$92)*(AH$357=YEAR(Sale_Date))</f>
        <v>-0</v>
      </c>
      <c r="AI419" s="8" t="n">
        <f aca="false">-($F$98+$F$68+$F$62+$F$63+$F$92)*(AI$357=YEAR(Sale_Date))</f>
        <v>-0</v>
      </c>
      <c r="AJ419" s="8" t="n">
        <f aca="false">-($F$98+$F$68+$F$62+$F$63+$F$92)*(AJ$357=YEAR(Sale_Date))</f>
        <v>-0</v>
      </c>
      <c r="AK419" s="8" t="n">
        <f aca="false">-($F$98+$F$68+$F$62+$F$63+$F$92)*(AK$357=YEAR(Sale_Date))</f>
        <v>-0</v>
      </c>
      <c r="AL419" s="8" t="n">
        <f aca="false">-($F$98+$F$68+$F$62+$F$63+$F$92)*(AL$357=YEAR(Sale_Date))</f>
        <v>-0</v>
      </c>
      <c r="AM419" s="8" t="n">
        <f aca="false">-($F$98+$F$68+$F$62+$F$63+$F$92)*(AM$357=YEAR(Sale_Date))</f>
        <v>-0</v>
      </c>
      <c r="AN419" s="8" t="n">
        <f aca="false">-($F$98+$F$68+$F$62+$F$63+$F$92)*(AN$357=YEAR(Sale_Date))</f>
        <v>-0</v>
      </c>
      <c r="AO419" s="8" t="n">
        <f aca="false">-($F$98+$F$68+$F$62+$F$63+$F$92)*(AO$357=YEAR(Sale_Date))</f>
        <v>-0</v>
      </c>
      <c r="AP419" s="8" t="n">
        <f aca="false">-($F$98+$F$68+$F$62+$F$63+$F$92)*(AP$357=YEAR(Sale_Date))</f>
        <v>-0</v>
      </c>
      <c r="AQ419" s="8" t="n">
        <f aca="false">-($F$98+$F$68+$F$62+$F$63+$F$92)*(AQ$357=YEAR(Sale_Date))</f>
        <v>-0</v>
      </c>
      <c r="AR419" s="8" t="n">
        <f aca="false">-($F$98+$F$68+$F$62+$F$63+$F$92)*(AR$357=YEAR(Sale_Date))</f>
        <v>-0</v>
      </c>
      <c r="AS419" s="8" t="n">
        <f aca="false">-($F$98+$F$68+$F$62+$F$63+$F$92)*(AS$357=YEAR(Sale_Date))</f>
        <v>-0</v>
      </c>
    </row>
    <row r="420" customFormat="false" ht="14.25" hidden="false" customHeight="false" outlineLevel="0" collapsed="false">
      <c r="C420" s="6" t="s">
        <v>298</v>
      </c>
      <c r="D420" s="2" t="s">
        <v>85</v>
      </c>
      <c r="H420" s="8" t="n">
        <f aca="false">SUM(J420:AS420)</f>
        <v>2494.52054794521</v>
      </c>
      <c r="J420" s="8" t="n">
        <f aca="false">($F$62+$F$63)*(J$357=YEAR(Inputs!$F$27))</f>
        <v>0</v>
      </c>
      <c r="K420" s="8" t="n">
        <f aca="false">($F$62+$F$63)*(K$357=YEAR(Inputs!$F$27))</f>
        <v>0</v>
      </c>
      <c r="L420" s="8" t="n">
        <f aca="false">($F$62+$F$63)*(L$357=YEAR(Inputs!$F$27))</f>
        <v>0</v>
      </c>
      <c r="M420" s="8" t="n">
        <f aca="false">($F$62+$F$63)*(M$357=YEAR(Inputs!$F$27))</f>
        <v>0</v>
      </c>
      <c r="N420" s="8" t="n">
        <f aca="false">($F$62+$F$63)*(N$357=YEAR(Inputs!$F$27))</f>
        <v>0</v>
      </c>
      <c r="O420" s="8" t="n">
        <f aca="false">($F$62+$F$63)*(O$357=YEAR(Inputs!$F$27))</f>
        <v>0</v>
      </c>
      <c r="P420" s="8" t="n">
        <f aca="false">($F$62+$F$63)*(P$357=YEAR(Inputs!$F$27))</f>
        <v>0</v>
      </c>
      <c r="Q420" s="8" t="n">
        <f aca="false">($F$62+$F$63)*(Q$357=YEAR(Inputs!$F$27))</f>
        <v>2494.52054794521</v>
      </c>
      <c r="R420" s="8" t="n">
        <f aca="false">($F$62+$F$63)*(R$357=YEAR(Inputs!$F$27))</f>
        <v>0</v>
      </c>
      <c r="S420" s="8" t="n">
        <f aca="false">($F$62+$F$63)*(S$357=YEAR(Inputs!$F$27))</f>
        <v>0</v>
      </c>
      <c r="T420" s="8" t="n">
        <f aca="false">($F$62+$F$63)*(T$357=YEAR(Inputs!$F$27))</f>
        <v>0</v>
      </c>
      <c r="U420" s="8" t="n">
        <f aca="false">($F$62+$F$63)*(U$357=YEAR(Inputs!$F$27))</f>
        <v>0</v>
      </c>
      <c r="V420" s="8" t="n">
        <f aca="false">($F$62+$F$63)*(V$357=YEAR(Inputs!$F$27))</f>
        <v>0</v>
      </c>
      <c r="W420" s="8" t="n">
        <f aca="false">($F$62+$F$63)*(W$357=YEAR(Inputs!$F$27))</f>
        <v>0</v>
      </c>
      <c r="X420" s="8" t="n">
        <f aca="false">($F$62+$F$63)*(X$357=YEAR(Inputs!$F$27))</f>
        <v>0</v>
      </c>
      <c r="Y420" s="8" t="n">
        <f aca="false">($F$62+$F$63)*(Y$357=YEAR(Inputs!$F$27))</f>
        <v>0</v>
      </c>
      <c r="Z420" s="8" t="n">
        <f aca="false">($F$62+$F$63)*(Z$357=YEAR(Inputs!$F$27))</f>
        <v>0</v>
      </c>
      <c r="AA420" s="8" t="n">
        <f aca="false">($F$62+$F$63)*(AA$357=YEAR(Inputs!$F$27))</f>
        <v>0</v>
      </c>
      <c r="AB420" s="8" t="n">
        <f aca="false">($F$62+$F$63)*(AB$357=YEAR(Inputs!$F$27))</f>
        <v>0</v>
      </c>
      <c r="AC420" s="8" t="n">
        <f aca="false">($F$62+$F$63)*(AC$357=YEAR(Inputs!$F$27))</f>
        <v>0</v>
      </c>
      <c r="AD420" s="8" t="n">
        <f aca="false">($F$62+$F$63)*(AD$357=YEAR(Inputs!$F$27))</f>
        <v>0</v>
      </c>
      <c r="AE420" s="8" t="n">
        <f aca="false">($F$62+$F$63)*(AE$357=YEAR(Inputs!$F$27))</f>
        <v>0</v>
      </c>
      <c r="AF420" s="8" t="n">
        <f aca="false">($F$62+$F$63)*(AF$357=YEAR(Inputs!$F$27))</f>
        <v>0</v>
      </c>
      <c r="AG420" s="8" t="n">
        <f aca="false">($F$62+$F$63)*(AG$357=YEAR(Inputs!$F$27))</f>
        <v>0</v>
      </c>
      <c r="AH420" s="8" t="n">
        <f aca="false">($F$62+$F$63)*(AH$357=YEAR(Inputs!$F$27))</f>
        <v>0</v>
      </c>
      <c r="AI420" s="8" t="n">
        <f aca="false">($F$62+$F$63)*(AI$357=YEAR(Inputs!$F$27))</f>
        <v>0</v>
      </c>
      <c r="AJ420" s="8" t="n">
        <f aca="false">($F$62+$F$63)*(AJ$357=YEAR(Inputs!$F$27))</f>
        <v>0</v>
      </c>
      <c r="AK420" s="8" t="n">
        <f aca="false">($F$62+$F$63)*(AK$357=YEAR(Inputs!$F$27))</f>
        <v>0</v>
      </c>
      <c r="AL420" s="8" t="n">
        <f aca="false">($F$62+$F$63)*(AL$357=YEAR(Inputs!$F$27))</f>
        <v>0</v>
      </c>
      <c r="AM420" s="8" t="n">
        <f aca="false">($F$62+$F$63)*(AM$357=YEAR(Inputs!$F$27))</f>
        <v>0</v>
      </c>
      <c r="AN420" s="8" t="n">
        <f aca="false">($F$62+$F$63)*(AN$357=YEAR(Inputs!$F$27))</f>
        <v>0</v>
      </c>
      <c r="AO420" s="8" t="n">
        <f aca="false">($F$62+$F$63)*(AO$357=YEAR(Inputs!$F$27))</f>
        <v>0</v>
      </c>
      <c r="AP420" s="8" t="n">
        <f aca="false">($F$62+$F$63)*(AP$357=YEAR(Inputs!$F$27))</f>
        <v>0</v>
      </c>
      <c r="AQ420" s="8" t="n">
        <f aca="false">($F$62+$F$63)*(AQ$357=YEAR(Inputs!$F$27))</f>
        <v>0</v>
      </c>
      <c r="AR420" s="8" t="n">
        <f aca="false">($F$62+$F$63)*(AR$357=YEAR(Inputs!$F$27))</f>
        <v>0</v>
      </c>
      <c r="AS420" s="8" t="n">
        <f aca="false">($F$62+$F$63)*(AS$357=YEAR(Inputs!$F$27))</f>
        <v>0</v>
      </c>
    </row>
    <row r="421" customFormat="false" ht="14.25" hidden="false" customHeight="false" outlineLevel="0" collapsed="false">
      <c r="C421" s="6" t="s">
        <v>299</v>
      </c>
      <c r="D421" s="2" t="s">
        <v>85</v>
      </c>
      <c r="H421" s="8" t="n">
        <f aca="false">SUM(J421:AS421)</f>
        <v>-62716</v>
      </c>
      <c r="J421" s="8" t="n">
        <f aca="false">-$F$91*J415</f>
        <v>-0</v>
      </c>
      <c r="K421" s="8" t="n">
        <f aca="false">-$F$91*K415</f>
        <v>-0</v>
      </c>
      <c r="L421" s="8" t="n">
        <f aca="false">-$F$91*L415</f>
        <v>-0</v>
      </c>
      <c r="M421" s="8" t="n">
        <f aca="false">-$F$91*M415</f>
        <v>-15679</v>
      </c>
      <c r="N421" s="8" t="n">
        <f aca="false">-$F$91*N415</f>
        <v>-31358</v>
      </c>
      <c r="O421" s="8" t="n">
        <f aca="false">-$F$91*O415</f>
        <v>-15679</v>
      </c>
      <c r="P421" s="8" t="n">
        <f aca="false">-$F$91*P415</f>
        <v>-0</v>
      </c>
      <c r="Q421" s="8" t="n">
        <f aca="false">-$F$91*Q415</f>
        <v>-0</v>
      </c>
      <c r="R421" s="8" t="n">
        <f aca="false">-$F$91*R415</f>
        <v>-0</v>
      </c>
      <c r="S421" s="8" t="n">
        <f aca="false">-$F$91*S415</f>
        <v>-0</v>
      </c>
      <c r="T421" s="8" t="n">
        <f aca="false">-$F$91*T415</f>
        <v>-0</v>
      </c>
      <c r="U421" s="8" t="n">
        <f aca="false">-$F$91*U415</f>
        <v>-0</v>
      </c>
      <c r="V421" s="8" t="n">
        <f aca="false">-$F$91*V415</f>
        <v>-0</v>
      </c>
      <c r="W421" s="8" t="n">
        <f aca="false">-$F$91*W415</f>
        <v>-0</v>
      </c>
      <c r="X421" s="8" t="n">
        <f aca="false">-$F$91*X415</f>
        <v>-0</v>
      </c>
      <c r="Y421" s="8" t="n">
        <f aca="false">-$F$91*Y415</f>
        <v>-0</v>
      </c>
      <c r="Z421" s="8" t="n">
        <f aca="false">-$F$91*Z415</f>
        <v>-0</v>
      </c>
      <c r="AA421" s="8" t="n">
        <f aca="false">-$F$91*AA415</f>
        <v>-0</v>
      </c>
      <c r="AB421" s="8" t="n">
        <f aca="false">-$F$91*AB415</f>
        <v>-0</v>
      </c>
      <c r="AC421" s="8" t="n">
        <f aca="false">-$F$91*AC415</f>
        <v>-0</v>
      </c>
      <c r="AD421" s="8" t="n">
        <f aca="false">-$F$91*AD415</f>
        <v>-0</v>
      </c>
      <c r="AE421" s="8" t="n">
        <f aca="false">-$F$91*AE415</f>
        <v>-0</v>
      </c>
      <c r="AF421" s="8" t="n">
        <f aca="false">-$F$91*AF415</f>
        <v>-0</v>
      </c>
      <c r="AG421" s="8" t="n">
        <f aca="false">-$F$91*AG415</f>
        <v>-0</v>
      </c>
      <c r="AH421" s="8" t="n">
        <f aca="false">-$F$91*AH415</f>
        <v>-0</v>
      </c>
      <c r="AI421" s="8" t="n">
        <f aca="false">-$F$91*AI415</f>
        <v>-0</v>
      </c>
      <c r="AJ421" s="8" t="n">
        <f aca="false">-$F$91*AJ415</f>
        <v>-0</v>
      </c>
      <c r="AK421" s="8" t="n">
        <f aca="false">-$F$91*AK415</f>
        <v>-0</v>
      </c>
      <c r="AL421" s="8" t="n">
        <f aca="false">-$F$91*AL415</f>
        <v>-0</v>
      </c>
      <c r="AM421" s="8" t="n">
        <f aca="false">-$F$91*AM415</f>
        <v>-0</v>
      </c>
      <c r="AN421" s="8" t="n">
        <f aca="false">-$F$91*AN415</f>
        <v>-0</v>
      </c>
      <c r="AO421" s="8" t="n">
        <f aca="false">-$F$91*AO415</f>
        <v>-0</v>
      </c>
      <c r="AP421" s="8" t="n">
        <f aca="false">-$F$91*AP415</f>
        <v>-0</v>
      </c>
      <c r="AQ421" s="8" t="n">
        <f aca="false">-$F$91*AQ415</f>
        <v>-0</v>
      </c>
      <c r="AR421" s="8" t="n">
        <f aca="false">-$F$91*AR415</f>
        <v>-0</v>
      </c>
      <c r="AS421" s="8" t="n">
        <f aca="false">-$F$91*AS415</f>
        <v>-0</v>
      </c>
    </row>
    <row r="422" customFormat="false" ht="14.25" hidden="false" customHeight="false" outlineLevel="0" collapsed="false">
      <c r="C422" s="6" t="s">
        <v>300</v>
      </c>
      <c r="D422" s="2" t="s">
        <v>85</v>
      </c>
      <c r="H422" s="8" t="n">
        <f aca="false">SUM(J422:AS422)</f>
        <v>-2500</v>
      </c>
      <c r="J422" s="8" t="n">
        <f aca="false">-$F$96*J418</f>
        <v>-0</v>
      </c>
      <c r="K422" s="8" t="n">
        <f aca="false">-$F$96*K418</f>
        <v>-0</v>
      </c>
      <c r="L422" s="8" t="n">
        <f aca="false">-$F$96*L418</f>
        <v>-0</v>
      </c>
      <c r="M422" s="8" t="n">
        <f aca="false">-$F$96*M418</f>
        <v>-0</v>
      </c>
      <c r="N422" s="8" t="n">
        <f aca="false">-$F$96*N418</f>
        <v>-0</v>
      </c>
      <c r="O422" s="8" t="n">
        <f aca="false">-$F$96*O418</f>
        <v>-2500</v>
      </c>
      <c r="P422" s="8" t="n">
        <f aca="false">-$F$96*P418</f>
        <v>-0</v>
      </c>
      <c r="Q422" s="8" t="n">
        <f aca="false">-$F$96*Q418</f>
        <v>-0</v>
      </c>
      <c r="R422" s="8" t="n">
        <f aca="false">-$F$96*R418</f>
        <v>-0</v>
      </c>
      <c r="S422" s="8" t="n">
        <f aca="false">-$F$96*S418</f>
        <v>-0</v>
      </c>
      <c r="T422" s="8" t="n">
        <f aca="false">-$F$96*T418</f>
        <v>-0</v>
      </c>
      <c r="U422" s="8" t="n">
        <f aca="false">-$F$96*U418</f>
        <v>-0</v>
      </c>
      <c r="V422" s="8" t="n">
        <f aca="false">-$F$96*V418</f>
        <v>-0</v>
      </c>
      <c r="W422" s="8" t="n">
        <f aca="false">-$F$96*W418</f>
        <v>-0</v>
      </c>
      <c r="X422" s="8" t="n">
        <f aca="false">-$F$96*X418</f>
        <v>-0</v>
      </c>
      <c r="Y422" s="8" t="n">
        <f aca="false">-$F$96*Y418</f>
        <v>-0</v>
      </c>
      <c r="Z422" s="8" t="n">
        <f aca="false">-$F$96*Z418</f>
        <v>-0</v>
      </c>
      <c r="AA422" s="8" t="n">
        <f aca="false">-$F$96*AA418</f>
        <v>-0</v>
      </c>
      <c r="AB422" s="8" t="n">
        <f aca="false">-$F$96*AB418</f>
        <v>-0</v>
      </c>
      <c r="AC422" s="8" t="n">
        <f aca="false">-$F$96*AC418</f>
        <v>-0</v>
      </c>
      <c r="AD422" s="8" t="n">
        <f aca="false">-$F$96*AD418</f>
        <v>-0</v>
      </c>
      <c r="AE422" s="8" t="n">
        <f aca="false">-$F$96*AE418</f>
        <v>-0</v>
      </c>
      <c r="AF422" s="8" t="n">
        <f aca="false">-$F$96*AF418</f>
        <v>-0</v>
      </c>
      <c r="AG422" s="8" t="n">
        <f aca="false">-$F$96*AG418</f>
        <v>-0</v>
      </c>
      <c r="AH422" s="8" t="n">
        <f aca="false">-$F$96*AH418</f>
        <v>-0</v>
      </c>
      <c r="AI422" s="8" t="n">
        <f aca="false">-$F$96*AI418</f>
        <v>-0</v>
      </c>
      <c r="AJ422" s="8" t="n">
        <f aca="false">-$F$96*AJ418</f>
        <v>-0</v>
      </c>
      <c r="AK422" s="8" t="n">
        <f aca="false">-$F$96*AK418</f>
        <v>-0</v>
      </c>
      <c r="AL422" s="8" t="n">
        <f aca="false">-$F$96*AL418</f>
        <v>-0</v>
      </c>
      <c r="AM422" s="8" t="n">
        <f aca="false">-$F$96*AM418</f>
        <v>-0</v>
      </c>
      <c r="AN422" s="8" t="n">
        <f aca="false">-$F$96*AN418</f>
        <v>-0</v>
      </c>
      <c r="AO422" s="8" t="n">
        <f aca="false">-$F$96*AO418</f>
        <v>-0</v>
      </c>
      <c r="AP422" s="8" t="n">
        <f aca="false">-$F$96*AP418</f>
        <v>-0</v>
      </c>
      <c r="AQ422" s="8" t="n">
        <f aca="false">-$F$96*AQ418</f>
        <v>-0</v>
      </c>
      <c r="AR422" s="8" t="n">
        <f aca="false">-$F$96*AR418</f>
        <v>-0</v>
      </c>
      <c r="AS422" s="8" t="n">
        <f aca="false">-$F$96*AS418</f>
        <v>-0</v>
      </c>
    </row>
    <row r="423" customFormat="false" ht="14.25" hidden="false" customHeight="false" outlineLevel="0" collapsed="false">
      <c r="C423" s="1" t="s">
        <v>301</v>
      </c>
      <c r="D423" s="2" t="s">
        <v>85</v>
      </c>
      <c r="H423" s="15" t="n">
        <f aca="false">SUM(J423:AS423)</f>
        <v>-76800.0592465753</v>
      </c>
      <c r="J423" s="15" t="n">
        <f aca="false">SUM(J419:J422)</f>
        <v>0</v>
      </c>
      <c r="K423" s="15" t="n">
        <f aca="false">SUM(K419:K422)</f>
        <v>0</v>
      </c>
      <c r="L423" s="15" t="n">
        <f aca="false">SUM(L419:L422)</f>
        <v>0</v>
      </c>
      <c r="M423" s="15" t="n">
        <f aca="false">SUM(M419:M422)</f>
        <v>-29757.5797945206</v>
      </c>
      <c r="N423" s="15" t="n">
        <f aca="false">SUM(N419:N422)</f>
        <v>-31358</v>
      </c>
      <c r="O423" s="15" t="n">
        <f aca="false">SUM(O419:O422)</f>
        <v>-18179</v>
      </c>
      <c r="P423" s="15" t="n">
        <f aca="false">SUM(P419:P422)</f>
        <v>0</v>
      </c>
      <c r="Q423" s="15" t="n">
        <f aca="false">SUM(Q419:Q422)</f>
        <v>2494.52054794521</v>
      </c>
      <c r="R423" s="15" t="n">
        <f aca="false">SUM(R419:R422)</f>
        <v>0</v>
      </c>
      <c r="S423" s="15" t="n">
        <f aca="false">SUM(S419:S422)</f>
        <v>0</v>
      </c>
      <c r="T423" s="15" t="n">
        <f aca="false">SUM(T419:T422)</f>
        <v>0</v>
      </c>
      <c r="U423" s="15" t="n">
        <f aca="false">SUM(U419:U422)</f>
        <v>0</v>
      </c>
      <c r="V423" s="15" t="n">
        <f aca="false">SUM(V419:V422)</f>
        <v>0</v>
      </c>
      <c r="W423" s="15" t="n">
        <f aca="false">SUM(W419:W422)</f>
        <v>0</v>
      </c>
      <c r="X423" s="15" t="n">
        <f aca="false">SUM(X419:X422)</f>
        <v>0</v>
      </c>
      <c r="Y423" s="15" t="n">
        <f aca="false">SUM(Y419:Y422)</f>
        <v>0</v>
      </c>
      <c r="Z423" s="15" t="n">
        <f aca="false">SUM(Z419:Z422)</f>
        <v>0</v>
      </c>
      <c r="AA423" s="15" t="n">
        <f aca="false">SUM(AA419:AA422)</f>
        <v>0</v>
      </c>
      <c r="AB423" s="15" t="n">
        <f aca="false">SUM(AB419:AB422)</f>
        <v>0</v>
      </c>
      <c r="AC423" s="15" t="n">
        <f aca="false">SUM(AC419:AC422)</f>
        <v>0</v>
      </c>
      <c r="AD423" s="15" t="n">
        <f aca="false">SUM(AD419:AD422)</f>
        <v>0</v>
      </c>
      <c r="AE423" s="15" t="n">
        <f aca="false">SUM(AE419:AE422)</f>
        <v>0</v>
      </c>
      <c r="AF423" s="15" t="n">
        <f aca="false">SUM(AF419:AF422)</f>
        <v>0</v>
      </c>
      <c r="AG423" s="15" t="n">
        <f aca="false">SUM(AG419:AG422)</f>
        <v>0</v>
      </c>
      <c r="AH423" s="15" t="n">
        <f aca="false">SUM(AH419:AH422)</f>
        <v>0</v>
      </c>
      <c r="AI423" s="15" t="n">
        <f aca="false">SUM(AI419:AI422)</f>
        <v>0</v>
      </c>
      <c r="AJ423" s="15" t="n">
        <f aca="false">SUM(AJ419:AJ422)</f>
        <v>0</v>
      </c>
      <c r="AK423" s="15" t="n">
        <f aca="false">SUM(AK419:AK422)</f>
        <v>0</v>
      </c>
      <c r="AL423" s="15" t="n">
        <f aca="false">SUM(AL419:AL422)</f>
        <v>0</v>
      </c>
      <c r="AM423" s="15" t="n">
        <f aca="false">SUM(AM419:AM422)</f>
        <v>0</v>
      </c>
      <c r="AN423" s="15" t="n">
        <f aca="false">SUM(AN419:AN422)</f>
        <v>0</v>
      </c>
      <c r="AO423" s="15" t="n">
        <f aca="false">SUM(AO419:AO422)</f>
        <v>0</v>
      </c>
      <c r="AP423" s="15" t="n">
        <f aca="false">SUM(AP419:AP422)</f>
        <v>0</v>
      </c>
      <c r="AQ423" s="15" t="n">
        <f aca="false">SUM(AQ419:AQ422)</f>
        <v>0</v>
      </c>
      <c r="AR423" s="15" t="n">
        <f aca="false">SUM(AR419:AR422)</f>
        <v>0</v>
      </c>
      <c r="AS423" s="15" t="n">
        <f aca="false">SUM(AS419:AS422)</f>
        <v>0</v>
      </c>
    </row>
    <row r="424" customFormat="false" ht="14.25" hidden="false" customHeight="false" outlineLevel="0" collapsed="false">
      <c r="C424" s="6" t="s">
        <v>302</v>
      </c>
      <c r="D424" s="2" t="s">
        <v>3</v>
      </c>
      <c r="J424" s="76" t="n">
        <f aca="false">(1-Degradation)^MAX(J413-1,0)</f>
        <v>1</v>
      </c>
      <c r="K424" s="76" t="n">
        <f aca="false">(1-Degradation)^MAX(K413-1,0)</f>
        <v>1</v>
      </c>
      <c r="L424" s="76" t="n">
        <f aca="false">(1-Degradation)^MAX(L413-1,0)</f>
        <v>1</v>
      </c>
      <c r="M424" s="76" t="n">
        <f aca="false">(1-Degradation)^MAX(M413-1,0)</f>
        <v>1</v>
      </c>
      <c r="N424" s="76" t="n">
        <f aca="false">(1-Degradation)^MAX(N413-1,0)</f>
        <v>1</v>
      </c>
      <c r="O424" s="76" t="n">
        <f aca="false">(1-Degradation)^MAX(O413-1,0)</f>
        <v>1</v>
      </c>
      <c r="P424" s="76" t="n">
        <f aca="false">(1-Degradation)^MAX(P413-1,0)</f>
        <v>1</v>
      </c>
      <c r="Q424" s="76" t="n">
        <f aca="false">(1-Degradation)^MAX(Q413-1,0)</f>
        <v>0.997</v>
      </c>
      <c r="R424" s="76" t="n">
        <f aca="false">(1-Degradation)^MAX(R413-1,0)</f>
        <v>0.994009</v>
      </c>
      <c r="S424" s="76" t="n">
        <f aca="false">(1-Degradation)^MAX(S413-1,0)</f>
        <v>0.991026973</v>
      </c>
      <c r="T424" s="76" t="n">
        <f aca="false">(1-Degradation)^MAX(T413-1,0)</f>
        <v>0.988053892081</v>
      </c>
      <c r="U424" s="76" t="n">
        <f aca="false">(1-Degradation)^MAX(U413-1,0)</f>
        <v>0.985089730404757</v>
      </c>
      <c r="V424" s="76" t="n">
        <f aca="false">(1-Degradation)^MAX(V413-1,0)</f>
        <v>0.982134461213543</v>
      </c>
      <c r="W424" s="76" t="n">
        <f aca="false">(1-Degradation)^MAX(W413-1,0)</f>
        <v>0.979188057829902</v>
      </c>
      <c r="X424" s="76" t="n">
        <f aca="false">(1-Degradation)^MAX(X413-1,0)</f>
        <v>0.976250493656412</v>
      </c>
      <c r="Y424" s="76" t="n">
        <f aca="false">(1-Degradation)^MAX(Y413-1,0)</f>
        <v>0.973321742175443</v>
      </c>
      <c r="Z424" s="76" t="n">
        <f aca="false">(1-Degradation)^MAX(Z413-1,0)</f>
        <v>0.970401776948917</v>
      </c>
      <c r="AA424" s="76" t="n">
        <f aca="false">(1-Degradation)^MAX(AA413-1,0)</f>
        <v>0.96749057161807</v>
      </c>
      <c r="AB424" s="76" t="n">
        <f aca="false">(1-Degradation)^MAX(AB413-1,0)</f>
        <v>0.964588099903216</v>
      </c>
      <c r="AC424" s="76" t="n">
        <f aca="false">(1-Degradation)^MAX(AC413-1,0)</f>
        <v>0.961694335603506</v>
      </c>
      <c r="AD424" s="76" t="n">
        <f aca="false">(1-Degradation)^MAX(AD413-1,0)</f>
        <v>0.958809252596696</v>
      </c>
      <c r="AE424" s="76" t="n">
        <f aca="false">(1-Degradation)^MAX(AE413-1,0)</f>
        <v>0.955932824838906</v>
      </c>
      <c r="AF424" s="76" t="n">
        <f aca="false">(1-Degradation)^MAX(AF413-1,0)</f>
        <v>0.953065026364389</v>
      </c>
      <c r="AG424" s="76" t="n">
        <f aca="false">(1-Degradation)^MAX(AG413-1,0)</f>
        <v>0.950205831285296</v>
      </c>
      <c r="AH424" s="76" t="n">
        <f aca="false">(1-Degradation)^MAX(AH413-1,0)</f>
        <v>0.94735521379144</v>
      </c>
      <c r="AI424" s="76" t="n">
        <f aca="false">(1-Degradation)^MAX(AI413-1,0)</f>
        <v>0.944513148150066</v>
      </c>
      <c r="AJ424" s="76" t="n">
        <f aca="false">(1-Degradation)^MAX(AJ413-1,0)</f>
        <v>0.941679608705615</v>
      </c>
      <c r="AK424" s="76" t="n">
        <f aca="false">(1-Degradation)^MAX(AK413-1,0)</f>
        <v>0.938854569879498</v>
      </c>
      <c r="AL424" s="76" t="n">
        <f aca="false">(1-Degradation)^MAX(AL413-1,0)</f>
        <v>0.93603800616986</v>
      </c>
      <c r="AM424" s="76" t="n">
        <f aca="false">(1-Degradation)^MAX(AM413-1,0)</f>
        <v>0.93322989215135</v>
      </c>
      <c r="AN424" s="76" t="n">
        <f aca="false">(1-Degradation)^MAX(AN413-1,0)</f>
        <v>0.930430202474896</v>
      </c>
      <c r="AO424" s="76" t="n">
        <f aca="false">(1-Degradation)^MAX(AO413-1,0)</f>
        <v>0.927638911867472</v>
      </c>
      <c r="AP424" s="76" t="n">
        <f aca="false">(1-Degradation)^MAX(AP413-1,0)</f>
        <v>0.924855995131869</v>
      </c>
      <c r="AQ424" s="76" t="n">
        <f aca="false">(1-Degradation)^MAX(AQ413-1,0)</f>
        <v>0.922081427146474</v>
      </c>
      <c r="AR424" s="76" t="n">
        <f aca="false">(1-Degradation)^MAX(AR413-1,0)</f>
        <v>0.919315182865034</v>
      </c>
      <c r="AS424" s="76" t="n">
        <f aca="false">(1-Degradation)^MAX(AS413-1,0)</f>
        <v>0.916557237316439</v>
      </c>
    </row>
    <row r="425" customFormat="false" ht="14.25" hidden="false" customHeight="false" outlineLevel="0" collapsed="false">
      <c r="C425" s="6" t="s">
        <v>303</v>
      </c>
      <c r="D425" s="2" t="s">
        <v>304</v>
      </c>
      <c r="H425" s="17" t="n">
        <f aca="false">SUM(J425:AS425)</f>
        <v>4263.39882706474</v>
      </c>
      <c r="J425" s="17" t="n">
        <f aca="false">$F$46*$F$22*(1-Curtailment)*(1-Clipping)*J417*J424/Thousand</f>
        <v>0</v>
      </c>
      <c r="K425" s="17" t="n">
        <f aca="false">$F$46*$F$22*(1-Curtailment)*(1-Clipping)*K417*K424/Thousand</f>
        <v>0</v>
      </c>
      <c r="L425" s="17" t="n">
        <f aca="false">$F$46*$F$22*(1-Curtailment)*(1-Clipping)*L417*L424/Thousand</f>
        <v>0</v>
      </c>
      <c r="M425" s="17" t="n">
        <f aca="false">$F$46*$F$22*(1-Curtailment)*(1-Clipping)*M417*M424/Thousand</f>
        <v>0</v>
      </c>
      <c r="N425" s="17" t="n">
        <f aca="false">$F$46*$F$22*(1-Curtailment)*(1-Clipping)*N417*N424/Thousand</f>
        <v>0</v>
      </c>
      <c r="O425" s="17" t="n">
        <f aca="false">$F$46*$F$22*(1-Curtailment)*(1-Clipping)*O417*O424/Thousand</f>
        <v>74.088</v>
      </c>
      <c r="P425" s="17" t="n">
        <f aca="false">$F$46*$F$22*(1-Curtailment)*(1-Clipping)*P417*P424/Thousand</f>
        <v>148.176</v>
      </c>
      <c r="Q425" s="17" t="n">
        <f aca="false">$F$46*$F$22*(1-Curtailment)*(1-Clipping)*Q417*Q424/Thousand</f>
        <v>147.731472</v>
      </c>
      <c r="R425" s="17" t="n">
        <f aca="false">$F$46*$F$22*(1-Curtailment)*(1-Clipping)*R417*R424/Thousand</f>
        <v>147.288277584</v>
      </c>
      <c r="S425" s="17" t="n">
        <f aca="false">$F$46*$F$22*(1-Curtailment)*(1-Clipping)*S417*S424/Thousand</f>
        <v>146.846412751248</v>
      </c>
      <c r="T425" s="17" t="n">
        <f aca="false">$F$46*$F$22*(1-Curtailment)*(1-Clipping)*T417*T424/Thousand</f>
        <v>146.405873512994</v>
      </c>
      <c r="U425" s="17" t="n">
        <f aca="false">$F$46*$F$22*(1-Curtailment)*(1-Clipping)*U417*U424/Thousand</f>
        <v>145.966655892455</v>
      </c>
      <c r="V425" s="17" t="n">
        <f aca="false">$F$46*$F$22*(1-Curtailment)*(1-Clipping)*V417*V424/Thousand</f>
        <v>145.528755924778</v>
      </c>
      <c r="W425" s="17" t="n">
        <f aca="false">$F$46*$F$22*(1-Curtailment)*(1-Clipping)*W417*W424/Thousand</f>
        <v>145.092169657004</v>
      </c>
      <c r="X425" s="17" t="n">
        <f aca="false">$F$46*$F$22*(1-Curtailment)*(1-Clipping)*X417*X424/Thousand</f>
        <v>144.656893148033</v>
      </c>
      <c r="Y425" s="17" t="n">
        <f aca="false">$F$46*$F$22*(1-Curtailment)*(1-Clipping)*Y417*Y424/Thousand</f>
        <v>144.222922468588</v>
      </c>
      <c r="Z425" s="17" t="n">
        <f aca="false">$F$46*$F$22*(1-Curtailment)*(1-Clipping)*Z417*Z424/Thousand</f>
        <v>143.790253701183</v>
      </c>
      <c r="AA425" s="17" t="n">
        <f aca="false">$F$46*$F$22*(1-Curtailment)*(1-Clipping)*AA417*AA424/Thousand</f>
        <v>143.358882940079</v>
      </c>
      <c r="AB425" s="17" t="n">
        <f aca="false">$F$46*$F$22*(1-Curtailment)*(1-Clipping)*AB417*AB424/Thousand</f>
        <v>142.928806291259</v>
      </c>
      <c r="AC425" s="17" t="n">
        <f aca="false">$F$46*$F$22*(1-Curtailment)*(1-Clipping)*AC417*AC424/Thousand</f>
        <v>142.500019872385</v>
      </c>
      <c r="AD425" s="17" t="n">
        <f aca="false">$F$46*$F$22*(1-Curtailment)*(1-Clipping)*AD417*AD424/Thousand</f>
        <v>142.072519812768</v>
      </c>
      <c r="AE425" s="17" t="n">
        <f aca="false">$F$46*$F$22*(1-Curtailment)*(1-Clipping)*AE417*AE424/Thousand</f>
        <v>141.64630225333</v>
      </c>
      <c r="AF425" s="17" t="n">
        <f aca="false">$F$46*$F$22*(1-Curtailment)*(1-Clipping)*AF417*AF424/Thousand</f>
        <v>141.22136334657</v>
      </c>
      <c r="AG425" s="17" t="n">
        <f aca="false">$F$46*$F$22*(1-Curtailment)*(1-Clipping)*AG417*AG424/Thousand</f>
        <v>140.79769925653</v>
      </c>
      <c r="AH425" s="17" t="n">
        <f aca="false">$F$46*$F$22*(1-Curtailment)*(1-Clipping)*AH417*AH424/Thousand</f>
        <v>140.37530615876</v>
      </c>
      <c r="AI425" s="17" t="n">
        <f aca="false">$F$46*$F$22*(1-Curtailment)*(1-Clipping)*AI417*AI424/Thousand</f>
        <v>139.954180240284</v>
      </c>
      <c r="AJ425" s="17" t="n">
        <f aca="false">$F$46*$F$22*(1-Curtailment)*(1-Clipping)*AJ417*AJ424/Thousand</f>
        <v>139.534317699563</v>
      </c>
      <c r="AK425" s="17" t="n">
        <f aca="false">$F$46*$F$22*(1-Curtailment)*(1-Clipping)*AK417*AK424/Thousand</f>
        <v>139.115714746465</v>
      </c>
      <c r="AL425" s="17" t="n">
        <f aca="false">$F$46*$F$22*(1-Curtailment)*(1-Clipping)*AL417*AL424/Thousand</f>
        <v>138.698367602225</v>
      </c>
      <c r="AM425" s="17" t="n">
        <f aca="false">$F$46*$F$22*(1-Curtailment)*(1-Clipping)*AM417*AM424/Thousand</f>
        <v>138.282272499419</v>
      </c>
      <c r="AN425" s="17" t="n">
        <f aca="false">$F$46*$F$22*(1-Curtailment)*(1-Clipping)*AN417*AN424/Thousand</f>
        <v>137.86742568192</v>
      </c>
      <c r="AO425" s="17" t="n">
        <f aca="false">$F$46*$F$22*(1-Curtailment)*(1-Clipping)*AO417*AO424/Thousand</f>
        <v>137.453823404874</v>
      </c>
      <c r="AP425" s="17" t="n">
        <f aca="false">$F$46*$F$22*(1-Curtailment)*(1-Clipping)*AP417*AP424/Thousand</f>
        <v>137.04146193466</v>
      </c>
      <c r="AQ425" s="17" t="n">
        <f aca="false">$F$46*$F$22*(1-Curtailment)*(1-Clipping)*AQ417*AQ424/Thousand</f>
        <v>136.630337548856</v>
      </c>
      <c r="AR425" s="17" t="n">
        <f aca="false">$F$46*$F$22*(1-Curtailment)*(1-Clipping)*AR417*AR424/Thousand</f>
        <v>136.220446536209</v>
      </c>
      <c r="AS425" s="17" t="n">
        <f aca="false">$F$46*$F$22*(1-Curtailment)*(1-Clipping)*AS417*AS424/Thousand</f>
        <v>67.9058925983003</v>
      </c>
    </row>
    <row r="426" customFormat="false" ht="14.25" hidden="false" customHeight="false" outlineLevel="0" collapsed="false">
      <c r="C426" s="6" t="s">
        <v>305</v>
      </c>
      <c r="D426" s="2" t="s">
        <v>20</v>
      </c>
      <c r="J426" s="17" t="n">
        <f aca="false">Case_PPA*(1+PPA_Esc)^J413*(J417&gt;0)</f>
        <v>0</v>
      </c>
      <c r="K426" s="17" t="n">
        <f aca="false">Case_PPA*(1+PPA_Esc)^K413*(K417&gt;0)</f>
        <v>0</v>
      </c>
      <c r="L426" s="17" t="n">
        <f aca="false">Case_PPA*(1+PPA_Esc)^L413*(L417&gt;0)</f>
        <v>0</v>
      </c>
      <c r="M426" s="17" t="n">
        <f aca="false">Case_PPA*(1+PPA_Esc)^M413*(M417&gt;0)</f>
        <v>0</v>
      </c>
      <c r="N426" s="17" t="n">
        <f aca="false">Case_PPA*(1+PPA_Esc)^N413*(N417&gt;0)</f>
        <v>0</v>
      </c>
      <c r="O426" s="17" t="n">
        <f aca="false">Case_PPA*(1+PPA_Esc)^O413*(O417&gt;0)</f>
        <v>90</v>
      </c>
      <c r="P426" s="17" t="n">
        <f aca="false">Case_PPA*(1+PPA_Esc)^P413*(P417&gt;0)</f>
        <v>90.9</v>
      </c>
      <c r="Q426" s="17" t="n">
        <f aca="false">Case_PPA*(1+PPA_Esc)^Q413*(Q417&gt;0)</f>
        <v>91.809</v>
      </c>
      <c r="R426" s="17" t="n">
        <f aca="false">Case_PPA*(1+PPA_Esc)^R413*(R417&gt;0)</f>
        <v>92.72709</v>
      </c>
      <c r="S426" s="17" t="n">
        <f aca="false">Case_PPA*(1+PPA_Esc)^S413*(S417&gt;0)</f>
        <v>93.6543609</v>
      </c>
      <c r="T426" s="17" t="n">
        <f aca="false">Case_PPA*(1+PPA_Esc)^T413*(T417&gt;0)</f>
        <v>94.590904509</v>
      </c>
      <c r="U426" s="17" t="n">
        <f aca="false">Case_PPA*(1+PPA_Esc)^U413*(U417&gt;0)</f>
        <v>95.53681355409</v>
      </c>
      <c r="V426" s="17" t="n">
        <f aca="false">Case_PPA*(1+PPA_Esc)^V413*(V417&gt;0)</f>
        <v>96.4921816896309</v>
      </c>
      <c r="W426" s="17" t="n">
        <f aca="false">Case_PPA*(1+PPA_Esc)^W413*(W417&gt;0)</f>
        <v>97.4571035065272</v>
      </c>
      <c r="X426" s="17" t="n">
        <f aca="false">Case_PPA*(1+PPA_Esc)^X413*(X417&gt;0)</f>
        <v>98.4316745415925</v>
      </c>
      <c r="Y426" s="17" t="n">
        <f aca="false">Case_PPA*(1+PPA_Esc)^Y413*(Y417&gt;0)</f>
        <v>99.4159912870084</v>
      </c>
      <c r="Z426" s="17" t="n">
        <f aca="false">Case_PPA*(1+PPA_Esc)^Z413*(Z417&gt;0)</f>
        <v>100.410151199878</v>
      </c>
      <c r="AA426" s="17" t="n">
        <f aca="false">Case_PPA*(1+PPA_Esc)^AA413*(AA417&gt;0)</f>
        <v>101.414252711877</v>
      </c>
      <c r="AB426" s="17" t="n">
        <f aca="false">Case_PPA*(1+PPA_Esc)^AB413*(AB417&gt;0)</f>
        <v>102.428395238996</v>
      </c>
      <c r="AC426" s="17" t="n">
        <f aca="false">Case_PPA*(1+PPA_Esc)^AC413*(AC417&gt;0)</f>
        <v>103.452679191386</v>
      </c>
      <c r="AD426" s="17" t="n">
        <f aca="false">Case_PPA*(1+PPA_Esc)^AD413*(AD417&gt;0)</f>
        <v>104.4872059833</v>
      </c>
      <c r="AE426" s="17" t="n">
        <f aca="false">Case_PPA*(1+PPA_Esc)^AE413*(AE417&gt;0)</f>
        <v>105.532078043133</v>
      </c>
      <c r="AF426" s="17" t="n">
        <f aca="false">Case_PPA*(1+PPA_Esc)^AF413*(AF417&gt;0)</f>
        <v>106.587398823564</v>
      </c>
      <c r="AG426" s="17" t="n">
        <f aca="false">Case_PPA*(1+PPA_Esc)^AG413*(AG417&gt;0)</f>
        <v>107.6532728118</v>
      </c>
      <c r="AH426" s="17" t="n">
        <f aca="false">Case_PPA*(1+PPA_Esc)^AH413*(AH417&gt;0)</f>
        <v>108.729805539918</v>
      </c>
      <c r="AI426" s="17" t="n">
        <f aca="false">Case_PPA*(1+PPA_Esc)^AI413*(AI417&gt;0)</f>
        <v>109.817103595317</v>
      </c>
      <c r="AJ426" s="17" t="n">
        <f aca="false">Case_PPA*(1+PPA_Esc)^AJ413*(AJ417&gt;0)</f>
        <v>110.91527463127</v>
      </c>
      <c r="AK426" s="17" t="n">
        <f aca="false">Case_PPA*(1+PPA_Esc)^AK413*(AK417&gt;0)</f>
        <v>112.024427377583</v>
      </c>
      <c r="AL426" s="17" t="n">
        <f aca="false">Case_PPA*(1+PPA_Esc)^AL413*(AL417&gt;0)</f>
        <v>113.144671651359</v>
      </c>
      <c r="AM426" s="17" t="n">
        <f aca="false">Case_PPA*(1+PPA_Esc)^AM413*(AM417&gt;0)</f>
        <v>114.276118367872</v>
      </c>
      <c r="AN426" s="17" t="n">
        <f aca="false">Case_PPA*(1+PPA_Esc)^AN413*(AN417&gt;0)</f>
        <v>115.418879551551</v>
      </c>
      <c r="AO426" s="17" t="n">
        <f aca="false">Case_PPA*(1+PPA_Esc)^AO413*(AO417&gt;0)</f>
        <v>116.573068347067</v>
      </c>
      <c r="AP426" s="17" t="n">
        <f aca="false">Case_PPA*(1+PPA_Esc)^AP413*(AP417&gt;0)</f>
        <v>117.738799030537</v>
      </c>
      <c r="AQ426" s="17" t="n">
        <f aca="false">Case_PPA*(1+PPA_Esc)^AQ413*(AQ417&gt;0)</f>
        <v>118.916187020843</v>
      </c>
      <c r="AR426" s="17" t="n">
        <f aca="false">Case_PPA*(1+PPA_Esc)^AR413*(AR417&gt;0)</f>
        <v>120.105348891051</v>
      </c>
      <c r="AS426" s="17" t="n">
        <f aca="false">Case_PPA*(1+PPA_Esc)^AS413*(AS417&gt;0)</f>
        <v>121.306402379962</v>
      </c>
    </row>
    <row r="427" customFormat="false" ht="14.25" hidden="false" customHeight="false" outlineLevel="0" collapsed="false">
      <c r="C427" s="1" t="s">
        <v>158</v>
      </c>
      <c r="D427" s="2" t="s">
        <v>85</v>
      </c>
      <c r="H427" s="32" t="n">
        <f aca="false">SUM(J427:AS427)</f>
        <v>446130.685729454</v>
      </c>
      <c r="J427" s="32" t="n">
        <f aca="false">J425*J426</f>
        <v>0</v>
      </c>
      <c r="K427" s="32" t="n">
        <f aca="false">K425*K426</f>
        <v>0</v>
      </c>
      <c r="L427" s="32" t="n">
        <f aca="false">L425*L426</f>
        <v>0</v>
      </c>
      <c r="M427" s="32" t="n">
        <f aca="false">M425*M426</f>
        <v>0</v>
      </c>
      <c r="N427" s="32" t="n">
        <f aca="false">N425*N426</f>
        <v>0</v>
      </c>
      <c r="O427" s="32" t="n">
        <f aca="false">O425*O426</f>
        <v>6667.92</v>
      </c>
      <c r="P427" s="32" t="n">
        <f aca="false">P425*P426</f>
        <v>13469.1984</v>
      </c>
      <c r="Q427" s="32" t="n">
        <f aca="false">Q425*Q426</f>
        <v>13563.078712848</v>
      </c>
      <c r="R427" s="32" t="n">
        <f aca="false">R425*R426</f>
        <v>13657.6133714766</v>
      </c>
      <c r="S427" s="32" t="n">
        <f aca="false">S425*S426</f>
        <v>13752.8069366757</v>
      </c>
      <c r="T427" s="32" t="n">
        <f aca="false">T425*T426</f>
        <v>13848.6640010244</v>
      </c>
      <c r="U427" s="32" t="n">
        <f aca="false">U425*U426</f>
        <v>13945.1891891115</v>
      </c>
      <c r="V427" s="32" t="n">
        <f aca="false">V425*V426</f>
        <v>14042.3871577596</v>
      </c>
      <c r="W427" s="32" t="n">
        <f aca="false">W425*W426</f>
        <v>14140.2625962492</v>
      </c>
      <c r="X427" s="32" t="n">
        <f aca="false">X425*X426</f>
        <v>14238.8202265451</v>
      </c>
      <c r="Y427" s="32" t="n">
        <f aca="false">Y425*Y426</f>
        <v>14338.0648035241</v>
      </c>
      <c r="Z427" s="32" t="n">
        <f aca="false">Z425*Z426</f>
        <v>14438.0011152046</v>
      </c>
      <c r="AA427" s="32" t="n">
        <f aca="false">AA425*AA426</f>
        <v>14538.6339829776</v>
      </c>
      <c r="AB427" s="32" t="n">
        <f aca="false">AB425*AB426</f>
        <v>14639.968261839</v>
      </c>
      <c r="AC427" s="32" t="n">
        <f aca="false">AC425*AC426</f>
        <v>14742.008840624</v>
      </c>
      <c r="AD427" s="32" t="n">
        <f aca="false">AD425*AD426</f>
        <v>14844.7606422431</v>
      </c>
      <c r="AE427" s="32" t="n">
        <f aca="false">AE425*AE426</f>
        <v>14948.2286239196</v>
      </c>
      <c r="AF427" s="32" t="n">
        <f aca="false">AF425*AF426</f>
        <v>15052.4177774283</v>
      </c>
      <c r="AG427" s="32" t="n">
        <f aca="false">AG425*AG426</f>
        <v>15157.333129337</v>
      </c>
      <c r="AH427" s="32" t="n">
        <f aca="false">AH425*AH426</f>
        <v>15262.9797412485</v>
      </c>
      <c r="AI427" s="32" t="n">
        <f aca="false">AI425*AI426</f>
        <v>15369.362710045</v>
      </c>
      <c r="AJ427" s="32" t="n">
        <f aca="false">AJ425*AJ426</f>
        <v>15476.487168134</v>
      </c>
      <c r="AK427" s="32" t="n">
        <f aca="false">AK425*AK426</f>
        <v>15584.3582836959</v>
      </c>
      <c r="AL427" s="32" t="n">
        <f aca="false">AL425*AL426</f>
        <v>15692.9812609332</v>
      </c>
      <c r="AM427" s="32" t="n">
        <f aca="false">AM425*AM426</f>
        <v>15802.3613403219</v>
      </c>
      <c r="AN427" s="32" t="n">
        <f aca="false">AN425*AN426</f>
        <v>15912.503798864</v>
      </c>
      <c r="AO427" s="32" t="n">
        <f aca="false">AO425*AO426</f>
        <v>16023.4139503421</v>
      </c>
      <c r="AP427" s="32" t="n">
        <f aca="false">AP425*AP426</f>
        <v>16135.0971455759</v>
      </c>
      <c r="AQ427" s="32" t="n">
        <f aca="false">AQ425*AQ426</f>
        <v>16247.5587726806</v>
      </c>
      <c r="AR427" s="32" t="n">
        <f aca="false">AR425*AR426</f>
        <v>16360.8042573262</v>
      </c>
      <c r="AS427" s="32" t="n">
        <f aca="false">AS425*AS426</f>
        <v>8237.41953149987</v>
      </c>
    </row>
    <row r="428" customFormat="false" ht="14.25" hidden="false" customHeight="false" outlineLevel="0" collapsed="false">
      <c r="C428" s="6" t="s">
        <v>306</v>
      </c>
      <c r="D428" s="2" t="s">
        <v>3</v>
      </c>
      <c r="J428" s="76" t="n">
        <f aca="false">(1+Opex_Esc)^J413</f>
        <v>0.883854287609517</v>
      </c>
      <c r="K428" s="76" t="n">
        <f aca="false">(1+Opex_Esc)^K413</f>
        <v>0.905950644799755</v>
      </c>
      <c r="L428" s="76" t="n">
        <f aca="false">(1+Opex_Esc)^L413</f>
        <v>0.928599410919749</v>
      </c>
      <c r="M428" s="76" t="n">
        <f aca="false">(1+Opex_Esc)^M413</f>
        <v>0.951814396192743</v>
      </c>
      <c r="N428" s="76" t="n">
        <f aca="false">(1+Opex_Esc)^N413</f>
        <v>0.975609756097561</v>
      </c>
      <c r="O428" s="76" t="n">
        <f aca="false">(1+Opex_Esc)^O413</f>
        <v>1</v>
      </c>
      <c r="P428" s="76" t="n">
        <f aca="false">(1+Opex_Esc)^P413</f>
        <v>1.025</v>
      </c>
      <c r="Q428" s="76" t="n">
        <f aca="false">(1+Opex_Esc)^Q413</f>
        <v>1.050625</v>
      </c>
      <c r="R428" s="76" t="n">
        <f aca="false">(1+Opex_Esc)^R413</f>
        <v>1.076890625</v>
      </c>
      <c r="S428" s="76" t="n">
        <f aca="false">(1+Opex_Esc)^S413</f>
        <v>1.103812890625</v>
      </c>
      <c r="T428" s="76" t="n">
        <f aca="false">(1+Opex_Esc)^T413</f>
        <v>1.13140821289062</v>
      </c>
      <c r="U428" s="76" t="n">
        <f aca="false">(1+Opex_Esc)^U413</f>
        <v>1.15969341821289</v>
      </c>
      <c r="V428" s="76" t="n">
        <f aca="false">(1+Opex_Esc)^V413</f>
        <v>1.18868575366821</v>
      </c>
      <c r="W428" s="76" t="n">
        <f aca="false">(1+Opex_Esc)^W413</f>
        <v>1.21840289750992</v>
      </c>
      <c r="X428" s="76" t="n">
        <f aca="false">(1+Opex_Esc)^X413</f>
        <v>1.24886296994767</v>
      </c>
      <c r="Y428" s="76" t="n">
        <f aca="false">(1+Opex_Esc)^Y413</f>
        <v>1.28008454419636</v>
      </c>
      <c r="Z428" s="76" t="n">
        <f aca="false">(1+Opex_Esc)^Z413</f>
        <v>1.31208665780127</v>
      </c>
      <c r="AA428" s="76" t="n">
        <f aca="false">(1+Opex_Esc)^AA413</f>
        <v>1.3448888242463</v>
      </c>
      <c r="AB428" s="76" t="n">
        <f aca="false">(1+Opex_Esc)^AB413</f>
        <v>1.37851104485245</v>
      </c>
      <c r="AC428" s="76" t="n">
        <f aca="false">(1+Opex_Esc)^AC413</f>
        <v>1.41297382097377</v>
      </c>
      <c r="AD428" s="76" t="n">
        <f aca="false">(1+Opex_Esc)^AD413</f>
        <v>1.44829816649811</v>
      </c>
      <c r="AE428" s="76" t="n">
        <f aca="false">(1+Opex_Esc)^AE413</f>
        <v>1.48450562066056</v>
      </c>
      <c r="AF428" s="76" t="n">
        <f aca="false">(1+Opex_Esc)^AF413</f>
        <v>1.52161826117708</v>
      </c>
      <c r="AG428" s="76" t="n">
        <f aca="false">(1+Opex_Esc)^AG413</f>
        <v>1.5596587177065</v>
      </c>
      <c r="AH428" s="76" t="n">
        <f aca="false">(1+Opex_Esc)^AH413</f>
        <v>1.59865018564917</v>
      </c>
      <c r="AI428" s="76" t="n">
        <f aca="false">(1+Opex_Esc)^AI413</f>
        <v>1.63861644029039</v>
      </c>
      <c r="AJ428" s="76" t="n">
        <f aca="false">(1+Opex_Esc)^AJ413</f>
        <v>1.67958185129765</v>
      </c>
      <c r="AK428" s="76" t="n">
        <f aca="false">(1+Opex_Esc)^AK413</f>
        <v>1.7215713975801</v>
      </c>
      <c r="AL428" s="76" t="n">
        <f aca="false">(1+Opex_Esc)^AL413</f>
        <v>1.7646106825196</v>
      </c>
      <c r="AM428" s="76" t="n">
        <f aca="false">(1+Opex_Esc)^AM413</f>
        <v>1.80872594958259</v>
      </c>
      <c r="AN428" s="76" t="n">
        <f aca="false">(1+Opex_Esc)^AN413</f>
        <v>1.85394409832215</v>
      </c>
      <c r="AO428" s="76" t="n">
        <f aca="false">(1+Opex_Esc)^AO413</f>
        <v>1.90029270078021</v>
      </c>
      <c r="AP428" s="76" t="n">
        <f aca="false">(1+Opex_Esc)^AP413</f>
        <v>1.94780001829971</v>
      </c>
      <c r="AQ428" s="76" t="n">
        <f aca="false">(1+Opex_Esc)^AQ413</f>
        <v>1.9964950187572</v>
      </c>
      <c r="AR428" s="76" t="n">
        <f aca="false">(1+Opex_Esc)^AR413</f>
        <v>2.04640739422613</v>
      </c>
      <c r="AS428" s="76" t="n">
        <f aca="false">(1+Opex_Esc)^AS413</f>
        <v>2.09756757908179</v>
      </c>
    </row>
    <row r="429" customFormat="false" ht="14.25" hidden="false" customHeight="false" outlineLevel="0" collapsed="false">
      <c r="C429" s="6" t="s">
        <v>307</v>
      </c>
      <c r="D429" s="2" t="s">
        <v>85</v>
      </c>
      <c r="H429" s="8" t="n">
        <f aca="false">SUM(J429:AS429)</f>
        <v>-70011.0919506797</v>
      </c>
      <c r="J429" s="8" t="n">
        <f aca="false">-(Case_OM+SUM(Opex_Per_MW))*$F$46*J428*J417</f>
        <v>-0</v>
      </c>
      <c r="K429" s="8" t="n">
        <f aca="false">-(Case_OM+SUM(Opex_Per_MW))*$F$46*K428*K417</f>
        <v>-0</v>
      </c>
      <c r="L429" s="8" t="n">
        <f aca="false">-(Case_OM+SUM(Opex_Per_MW))*$F$46*L428*L417</f>
        <v>-0</v>
      </c>
      <c r="M429" s="8" t="n">
        <f aca="false">-(Case_OM+SUM(Opex_Per_MW))*$F$46*M428*M417</f>
        <v>-0</v>
      </c>
      <c r="N429" s="8" t="n">
        <f aca="false">-(Case_OM+SUM(Opex_Per_MW))*$F$46*N428*N417</f>
        <v>-0</v>
      </c>
      <c r="O429" s="8" t="n">
        <f aca="false">-(Case_OM+SUM(Opex_Per_MW))*$F$46*O428*O417</f>
        <v>-787.5</v>
      </c>
      <c r="P429" s="8" t="n">
        <f aca="false">-(Case_OM+SUM(Opex_Per_MW))*$F$46*P428*P417</f>
        <v>-1614.375</v>
      </c>
      <c r="Q429" s="8" t="n">
        <f aca="false">-(Case_OM+SUM(Opex_Per_MW))*$F$46*Q428*Q417</f>
        <v>-1654.734375</v>
      </c>
      <c r="R429" s="8" t="n">
        <f aca="false">-(Case_OM+SUM(Opex_Per_MW))*$F$46*R428*R417</f>
        <v>-1696.102734375</v>
      </c>
      <c r="S429" s="8" t="n">
        <f aca="false">-(Case_OM+SUM(Opex_Per_MW))*$F$46*S428*S417</f>
        <v>-1738.50530273437</v>
      </c>
      <c r="T429" s="8" t="n">
        <f aca="false">-(Case_OM+SUM(Opex_Per_MW))*$F$46*T428*T417</f>
        <v>-1781.96793530273</v>
      </c>
      <c r="U429" s="8" t="n">
        <f aca="false">-(Case_OM+SUM(Opex_Per_MW))*$F$46*U428*U417</f>
        <v>-1826.5171336853</v>
      </c>
      <c r="V429" s="8" t="n">
        <f aca="false">-(Case_OM+SUM(Opex_Per_MW))*$F$46*V428*V417</f>
        <v>-1872.18006202743</v>
      </c>
      <c r="W429" s="8" t="n">
        <f aca="false">-(Case_OM+SUM(Opex_Per_MW))*$F$46*W428*W417</f>
        <v>-1918.98456357812</v>
      </c>
      <c r="X429" s="8" t="n">
        <f aca="false">-(Case_OM+SUM(Opex_Per_MW))*$F$46*X428*X417</f>
        <v>-1966.95917766757</v>
      </c>
      <c r="Y429" s="8" t="n">
        <f aca="false">-(Case_OM+SUM(Opex_Per_MW))*$F$46*Y428*Y417</f>
        <v>-2016.13315710926</v>
      </c>
      <c r="Z429" s="8" t="n">
        <f aca="false">-(Case_OM+SUM(Opex_Per_MW))*$F$46*Z428*Z417</f>
        <v>-2066.53648603699</v>
      </c>
      <c r="AA429" s="8" t="n">
        <f aca="false">-(Case_OM+SUM(Opex_Per_MW))*$F$46*AA428*AA417</f>
        <v>-2118.19989818792</v>
      </c>
      <c r="AB429" s="8" t="n">
        <f aca="false">-(Case_OM+SUM(Opex_Per_MW))*$F$46*AB428*AB417</f>
        <v>-2171.15489564262</v>
      </c>
      <c r="AC429" s="8" t="n">
        <f aca="false">-(Case_OM+SUM(Opex_Per_MW))*$F$46*AC428*AC417</f>
        <v>-2225.43376803368</v>
      </c>
      <c r="AD429" s="8" t="n">
        <f aca="false">-(Case_OM+SUM(Opex_Per_MW))*$F$46*AD428*AD417</f>
        <v>-2281.06961223452</v>
      </c>
      <c r="AE429" s="8" t="n">
        <f aca="false">-(Case_OM+SUM(Opex_Per_MW))*$F$46*AE428*AE417</f>
        <v>-2338.09635254039</v>
      </c>
      <c r="AF429" s="8" t="n">
        <f aca="false">-(Case_OM+SUM(Opex_Per_MW))*$F$46*AF428*AF417</f>
        <v>-2396.5487613539</v>
      </c>
      <c r="AG429" s="8" t="n">
        <f aca="false">-(Case_OM+SUM(Opex_Per_MW))*$F$46*AG428*AG417</f>
        <v>-2456.46248038774</v>
      </c>
      <c r="AH429" s="8" t="n">
        <f aca="false">-(Case_OM+SUM(Opex_Per_MW))*$F$46*AH428*AH417</f>
        <v>-2517.87404239744</v>
      </c>
      <c r="AI429" s="8" t="n">
        <f aca="false">-(Case_OM+SUM(Opex_Per_MW))*$F$46*AI428*AI417</f>
        <v>-2580.82089345737</v>
      </c>
      <c r="AJ429" s="8" t="n">
        <f aca="false">-(Case_OM+SUM(Opex_Per_MW))*$F$46*AJ428*AJ417</f>
        <v>-2645.34141579381</v>
      </c>
      <c r="AK429" s="8" t="n">
        <f aca="false">-(Case_OM+SUM(Opex_Per_MW))*$F$46*AK428*AK417</f>
        <v>-2711.47495118865</v>
      </c>
      <c r="AL429" s="8" t="n">
        <f aca="false">-(Case_OM+SUM(Opex_Per_MW))*$F$46*AL428*AL417</f>
        <v>-2779.26182496837</v>
      </c>
      <c r="AM429" s="8" t="n">
        <f aca="false">-(Case_OM+SUM(Opex_Per_MW))*$F$46*AM428*AM417</f>
        <v>-2848.74337059257</v>
      </c>
      <c r="AN429" s="8" t="n">
        <f aca="false">-(Case_OM+SUM(Opex_Per_MW))*$F$46*AN428*AN417</f>
        <v>-2919.96195485739</v>
      </c>
      <c r="AO429" s="8" t="n">
        <f aca="false">-(Case_OM+SUM(Opex_Per_MW))*$F$46*AO428*AO417</f>
        <v>-2992.96100372882</v>
      </c>
      <c r="AP429" s="8" t="n">
        <f aca="false">-(Case_OM+SUM(Opex_Per_MW))*$F$46*AP428*AP417</f>
        <v>-3067.78502882204</v>
      </c>
      <c r="AQ429" s="8" t="n">
        <f aca="false">-(Case_OM+SUM(Opex_Per_MW))*$F$46*AQ428*AQ417</f>
        <v>-3144.47965454259</v>
      </c>
      <c r="AR429" s="8" t="n">
        <f aca="false">-(Case_OM+SUM(Opex_Per_MW))*$F$46*AR428*AR417</f>
        <v>-3223.09164590616</v>
      </c>
      <c r="AS429" s="8" t="n">
        <f aca="false">-(Case_OM+SUM(Opex_Per_MW))*$F$46*AS428*AS417</f>
        <v>-1651.83446852691</v>
      </c>
    </row>
    <row r="430" customFormat="false" ht="14.25" hidden="false" customHeight="false" outlineLevel="0" collapsed="false">
      <c r="C430" s="6" t="s">
        <v>308</v>
      </c>
      <c r="D430" s="2" t="s">
        <v>85</v>
      </c>
      <c r="H430" s="8" t="n">
        <f aca="false">SUM(J430:AS430)</f>
        <v>-1666.93076073047</v>
      </c>
      <c r="J430" s="8" t="n">
        <f aca="false">-Opex_Admin*$F$6/Lump_Basis*J428*J417</f>
        <v>-0</v>
      </c>
      <c r="K430" s="8" t="n">
        <f aca="false">-Opex_Admin*$F$6/Lump_Basis*K428*K417</f>
        <v>-0</v>
      </c>
      <c r="L430" s="8" t="n">
        <f aca="false">-Opex_Admin*$F$6/Lump_Basis*L428*L417</f>
        <v>-0</v>
      </c>
      <c r="M430" s="8" t="n">
        <f aca="false">-Opex_Admin*$F$6/Lump_Basis*M428*M417</f>
        <v>-0</v>
      </c>
      <c r="N430" s="8" t="n">
        <f aca="false">-Opex_Admin*$F$6/Lump_Basis*N428*N417</f>
        <v>-0</v>
      </c>
      <c r="O430" s="8" t="n">
        <f aca="false">-Opex_Admin*$F$6/Lump_Basis*O428*O417</f>
        <v>-18.75</v>
      </c>
      <c r="P430" s="8" t="n">
        <f aca="false">-Opex_Admin*$F$6/Lump_Basis*P428*P417</f>
        <v>-38.4375</v>
      </c>
      <c r="Q430" s="8" t="n">
        <f aca="false">-Opex_Admin*$F$6/Lump_Basis*Q428*Q417</f>
        <v>-39.3984375</v>
      </c>
      <c r="R430" s="8" t="n">
        <f aca="false">-Opex_Admin*$F$6/Lump_Basis*R428*R417</f>
        <v>-40.3833984375</v>
      </c>
      <c r="S430" s="8" t="n">
        <f aca="false">-Opex_Admin*$F$6/Lump_Basis*S428*S417</f>
        <v>-41.3929833984375</v>
      </c>
      <c r="T430" s="8" t="n">
        <f aca="false">-Opex_Admin*$F$6/Lump_Basis*T428*T417</f>
        <v>-42.4278079833984</v>
      </c>
      <c r="U430" s="8" t="n">
        <f aca="false">-Opex_Admin*$F$6/Lump_Basis*U428*U417</f>
        <v>-43.4885031829834</v>
      </c>
      <c r="V430" s="8" t="n">
        <f aca="false">-Opex_Admin*$F$6/Lump_Basis*V428*V417</f>
        <v>-44.575715762558</v>
      </c>
      <c r="W430" s="8" t="n">
        <f aca="false">-Opex_Admin*$F$6/Lump_Basis*W428*W417</f>
        <v>-45.6901086566219</v>
      </c>
      <c r="X430" s="8" t="n">
        <f aca="false">-Opex_Admin*$F$6/Lump_Basis*X428*X417</f>
        <v>-46.8323613730374</v>
      </c>
      <c r="Y430" s="8" t="n">
        <f aca="false">-Opex_Admin*$F$6/Lump_Basis*Y428*Y417</f>
        <v>-48.0031704073634</v>
      </c>
      <c r="Z430" s="8" t="n">
        <f aca="false">-Opex_Admin*$F$6/Lump_Basis*Z428*Z417</f>
        <v>-49.2032496675475</v>
      </c>
      <c r="AA430" s="8" t="n">
        <f aca="false">-Opex_Admin*$F$6/Lump_Basis*AA428*AA417</f>
        <v>-50.4333309092361</v>
      </c>
      <c r="AB430" s="8" t="n">
        <f aca="false">-Opex_Admin*$F$6/Lump_Basis*AB428*AB417</f>
        <v>-51.694164181967</v>
      </c>
      <c r="AC430" s="8" t="n">
        <f aca="false">-Opex_Admin*$F$6/Lump_Basis*AC428*AC417</f>
        <v>-52.9865182865162</v>
      </c>
      <c r="AD430" s="8" t="n">
        <f aca="false">-Opex_Admin*$F$6/Lump_Basis*AD428*AD417</f>
        <v>-54.3111812436791</v>
      </c>
      <c r="AE430" s="8" t="n">
        <f aca="false">-Opex_Admin*$F$6/Lump_Basis*AE428*AE417</f>
        <v>-55.6689607747711</v>
      </c>
      <c r="AF430" s="8" t="n">
        <f aca="false">-Opex_Admin*$F$6/Lump_Basis*AF428*AF417</f>
        <v>-57.0606847941404</v>
      </c>
      <c r="AG430" s="8" t="n">
        <f aca="false">-Opex_Admin*$F$6/Lump_Basis*AG428*AG417</f>
        <v>-58.4872019139939</v>
      </c>
      <c r="AH430" s="8" t="n">
        <f aca="false">-Opex_Admin*$F$6/Lump_Basis*AH428*AH417</f>
        <v>-59.9493819618437</v>
      </c>
      <c r="AI430" s="8" t="n">
        <f aca="false">-Opex_Admin*$F$6/Lump_Basis*AI428*AI417</f>
        <v>-61.4481165108898</v>
      </c>
      <c r="AJ430" s="8" t="n">
        <f aca="false">-Opex_Admin*$F$6/Lump_Basis*AJ428*AJ417</f>
        <v>-62.984319423662</v>
      </c>
      <c r="AK430" s="8" t="n">
        <f aca="false">-Opex_Admin*$F$6/Lump_Basis*AK428*AK417</f>
        <v>-64.5589274092536</v>
      </c>
      <c r="AL430" s="8" t="n">
        <f aca="false">-Opex_Admin*$F$6/Lump_Basis*AL428*AL417</f>
        <v>-66.1729005944849</v>
      </c>
      <c r="AM430" s="8" t="n">
        <f aca="false">-Opex_Admin*$F$6/Lump_Basis*AM428*AM417</f>
        <v>-67.827223109347</v>
      </c>
      <c r="AN430" s="8" t="n">
        <f aca="false">-Opex_Admin*$F$6/Lump_Basis*AN428*AN417</f>
        <v>-69.5229036870807</v>
      </c>
      <c r="AO430" s="8" t="n">
        <f aca="false">-Opex_Admin*$F$6/Lump_Basis*AO428*AO417</f>
        <v>-71.2609762792577</v>
      </c>
      <c r="AP430" s="8" t="n">
        <f aca="false">-Opex_Admin*$F$6/Lump_Basis*AP428*AP417</f>
        <v>-73.0425006862391</v>
      </c>
      <c r="AQ430" s="8" t="n">
        <f aca="false">-Opex_Admin*$F$6/Lump_Basis*AQ428*AQ417</f>
        <v>-74.8685632033951</v>
      </c>
      <c r="AR430" s="8" t="n">
        <f aca="false">-Opex_Admin*$F$6/Lump_Basis*AR428*AR417</f>
        <v>-76.74027728348</v>
      </c>
      <c r="AS430" s="8" t="n">
        <f aca="false">-Opex_Admin*$F$6/Lump_Basis*AS428*AS417</f>
        <v>-39.3293921077835</v>
      </c>
    </row>
    <row r="431" customFormat="false" ht="14.25" hidden="false" customHeight="false" outlineLevel="0" collapsed="false">
      <c r="C431" s="6" t="s">
        <v>309</v>
      </c>
      <c r="D431" s="2" t="s">
        <v>85</v>
      </c>
      <c r="H431" s="8" t="n">
        <f aca="false">SUM(J431:AS431)</f>
        <v>-31411.9298672852</v>
      </c>
      <c r="J431" s="8" t="n">
        <f aca="false">-J425*(Balancing+Grid_Charges)*J428</f>
        <v>-0</v>
      </c>
      <c r="K431" s="8" t="n">
        <f aca="false">-K425*(Balancing+Grid_Charges)*K428</f>
        <v>-0</v>
      </c>
      <c r="L431" s="8" t="n">
        <f aca="false">-L425*(Balancing+Grid_Charges)*L428</f>
        <v>-0</v>
      </c>
      <c r="M431" s="8" t="n">
        <f aca="false">-M425*(Balancing+Grid_Charges)*M428</f>
        <v>-0</v>
      </c>
      <c r="N431" s="8" t="n">
        <f aca="false">-N425*(Balancing+Grid_Charges)*N428</f>
        <v>-0</v>
      </c>
      <c r="O431" s="8" t="n">
        <f aca="false">-O425*(Balancing+Grid_Charges)*O428</f>
        <v>-370.44</v>
      </c>
      <c r="P431" s="8" t="n">
        <f aca="false">-P425*(Balancing+Grid_Charges)*P428</f>
        <v>-759.402</v>
      </c>
      <c r="Q431" s="8" t="n">
        <f aca="false">-Q425*(Balancing+Grid_Charges)*Q428</f>
        <v>-776.05188885</v>
      </c>
      <c r="R431" s="8" t="n">
        <f aca="false">-R425*(Balancing+Grid_Charges)*R428</f>
        <v>-793.066826513036</v>
      </c>
      <c r="S431" s="8" t="n">
        <f aca="false">-S425*(Balancing+Grid_Charges)*S428</f>
        <v>-810.454816684334</v>
      </c>
      <c r="T431" s="8" t="n">
        <f aca="false">-T425*(Balancing+Grid_Charges)*T428</f>
        <v>-828.224038540138</v>
      </c>
      <c r="U431" s="8" t="n">
        <f aca="false">-U425*(Balancing+Grid_Charges)*U428</f>
        <v>-846.382850585131</v>
      </c>
      <c r="V431" s="8" t="n">
        <f aca="false">-V425*(Balancing+Grid_Charges)*V428</f>
        <v>-864.93979458421</v>
      </c>
      <c r="W431" s="8" t="n">
        <f aca="false">-W425*(Balancing+Grid_Charges)*W428</f>
        <v>-883.903599580468</v>
      </c>
      <c r="X431" s="8" t="n">
        <f aca="false">-X425*(Balancing+Grid_Charges)*X428</f>
        <v>-903.28318600127</v>
      </c>
      <c r="Y431" s="8" t="n">
        <f aca="false">-Y425*(Balancing+Grid_Charges)*Y428</f>
        <v>-923.087669854348</v>
      </c>
      <c r="Z431" s="8" t="n">
        <f aca="false">-Z425*(Balancing+Grid_Charges)*Z428</f>
        <v>-943.326367015904</v>
      </c>
      <c r="AA431" s="8" t="n">
        <f aca="false">-AA425*(Balancing+Grid_Charges)*AA428</f>
        <v>-964.008797612728</v>
      </c>
      <c r="AB431" s="8" t="n">
        <f aca="false">-AB425*(Balancing+Grid_Charges)*AB428</f>
        <v>-985.144690500387</v>
      </c>
      <c r="AC431" s="8" t="n">
        <f aca="false">-AC425*(Balancing+Grid_Charges)*AC428</f>
        <v>-1006.74398783961</v>
      </c>
      <c r="AD431" s="8" t="n">
        <f aca="false">-AD425*(Balancing+Grid_Charges)*AD428</f>
        <v>-1028.81684977299</v>
      </c>
      <c r="AE431" s="8" t="n">
        <f aca="false">-AE425*(Balancing+Grid_Charges)*AE428</f>
        <v>-1051.37365920426</v>
      </c>
      <c r="AF431" s="8" t="n">
        <f aca="false">-AF425*(Balancing+Grid_Charges)*AF428</f>
        <v>-1074.42502668232</v>
      </c>
      <c r="AG431" s="8" t="n">
        <f aca="false">-AG425*(Balancing+Grid_Charges)*AG428</f>
        <v>-1097.98179539233</v>
      </c>
      <c r="AH431" s="8" t="n">
        <f aca="false">-AH425*(Balancing+Grid_Charges)*AH428</f>
        <v>-1122.0550462563</v>
      </c>
      <c r="AI431" s="8" t="n">
        <f aca="false">-AI425*(Balancing+Grid_Charges)*AI428</f>
        <v>-1146.65610314547</v>
      </c>
      <c r="AJ431" s="8" t="n">
        <f aca="false">-AJ425*(Balancing+Grid_Charges)*AJ428</f>
        <v>-1171.79653820694</v>
      </c>
      <c r="AK431" s="8" t="n">
        <f aca="false">-AK425*(Balancing+Grid_Charges)*AK428</f>
        <v>-1197.48817730712</v>
      </c>
      <c r="AL431" s="8" t="n">
        <f aca="false">-AL425*(Balancing+Grid_Charges)*AL428</f>
        <v>-1223.74310559458</v>
      </c>
      <c r="AM431" s="8" t="n">
        <f aca="false">-AM425*(Balancing+Grid_Charges)*AM428</f>
        <v>-1250.57367318474</v>
      </c>
      <c r="AN431" s="8" t="n">
        <f aca="false">-AN425*(Balancing+Grid_Charges)*AN428</f>
        <v>-1277.99250096932</v>
      </c>
      <c r="AO431" s="8" t="n">
        <f aca="false">-AO425*(Balancing+Grid_Charges)*AO428</f>
        <v>-1306.01248655307</v>
      </c>
      <c r="AP431" s="8" t="n">
        <f aca="false">-AP425*(Balancing+Grid_Charges)*AP428</f>
        <v>-1334.64681032075</v>
      </c>
      <c r="AQ431" s="8" t="n">
        <f aca="false">-AQ425*(Balancing+Grid_Charges)*AQ428</f>
        <v>-1363.90894163703</v>
      </c>
      <c r="AR431" s="8" t="n">
        <f aca="false">-AR425*(Balancing+Grid_Charges)*AR428</f>
        <v>-1393.81264518242</v>
      </c>
      <c r="AS431" s="8" t="n">
        <f aca="false">-AS425*(Balancing+Grid_Charges)*AS428</f>
        <v>-712.185993714023</v>
      </c>
    </row>
    <row r="432" customFormat="false" ht="14.25" hidden="false" customHeight="false" outlineLevel="0" collapsed="false">
      <c r="C432" s="6" t="s">
        <v>310</v>
      </c>
      <c r="D432" s="2" t="s">
        <v>85</v>
      </c>
      <c r="H432" s="8" t="n">
        <f aca="false">SUM(J432:AS432)</f>
        <v>-446.130685729454</v>
      </c>
      <c r="J432" s="8" t="n">
        <f aca="false">-J427*MEKH_Fee</f>
        <v>-0</v>
      </c>
      <c r="K432" s="8" t="n">
        <f aca="false">-K427*MEKH_Fee</f>
        <v>-0</v>
      </c>
      <c r="L432" s="8" t="n">
        <f aca="false">-L427*MEKH_Fee</f>
        <v>-0</v>
      </c>
      <c r="M432" s="8" t="n">
        <f aca="false">-M427*MEKH_Fee</f>
        <v>-0</v>
      </c>
      <c r="N432" s="8" t="n">
        <f aca="false">-N427*MEKH_Fee</f>
        <v>-0</v>
      </c>
      <c r="O432" s="8" t="n">
        <f aca="false">-O427*MEKH_Fee</f>
        <v>-6.66792</v>
      </c>
      <c r="P432" s="8" t="n">
        <f aca="false">-P427*MEKH_Fee</f>
        <v>-13.4691984</v>
      </c>
      <c r="Q432" s="8" t="n">
        <f aca="false">-Q427*MEKH_Fee</f>
        <v>-13.563078712848</v>
      </c>
      <c r="R432" s="8" t="n">
        <f aca="false">-R427*MEKH_Fee</f>
        <v>-13.6576133714766</v>
      </c>
      <c r="S432" s="8" t="n">
        <f aca="false">-S427*MEKH_Fee</f>
        <v>-13.7528069366757</v>
      </c>
      <c r="T432" s="8" t="n">
        <f aca="false">-T427*MEKH_Fee</f>
        <v>-13.8486640010244</v>
      </c>
      <c r="U432" s="8" t="n">
        <f aca="false">-U427*MEKH_Fee</f>
        <v>-13.9451891891115</v>
      </c>
      <c r="V432" s="8" t="n">
        <f aca="false">-V427*MEKH_Fee</f>
        <v>-14.0423871577596</v>
      </c>
      <c r="W432" s="8" t="n">
        <f aca="false">-W427*MEKH_Fee</f>
        <v>-14.1402625962492</v>
      </c>
      <c r="X432" s="8" t="n">
        <f aca="false">-X427*MEKH_Fee</f>
        <v>-14.2388202265451</v>
      </c>
      <c r="Y432" s="8" t="n">
        <f aca="false">-Y427*MEKH_Fee</f>
        <v>-14.3380648035241</v>
      </c>
      <c r="Z432" s="8" t="n">
        <f aca="false">-Z427*MEKH_Fee</f>
        <v>-14.4380011152046</v>
      </c>
      <c r="AA432" s="8" t="n">
        <f aca="false">-AA427*MEKH_Fee</f>
        <v>-14.5386339829776</v>
      </c>
      <c r="AB432" s="8" t="n">
        <f aca="false">-AB427*MEKH_Fee</f>
        <v>-14.639968261839</v>
      </c>
      <c r="AC432" s="8" t="n">
        <f aca="false">-AC427*MEKH_Fee</f>
        <v>-14.742008840624</v>
      </c>
      <c r="AD432" s="8" t="n">
        <f aca="false">-AD427*MEKH_Fee</f>
        <v>-14.8447606422431</v>
      </c>
      <c r="AE432" s="8" t="n">
        <f aca="false">-AE427*MEKH_Fee</f>
        <v>-14.9482286239196</v>
      </c>
      <c r="AF432" s="8" t="n">
        <f aca="false">-AF427*MEKH_Fee</f>
        <v>-15.0524177774283</v>
      </c>
      <c r="AG432" s="8" t="n">
        <f aca="false">-AG427*MEKH_Fee</f>
        <v>-15.157333129337</v>
      </c>
      <c r="AH432" s="8" t="n">
        <f aca="false">-AH427*MEKH_Fee</f>
        <v>-15.2629797412485</v>
      </c>
      <c r="AI432" s="8" t="n">
        <f aca="false">-AI427*MEKH_Fee</f>
        <v>-15.369362710045</v>
      </c>
      <c r="AJ432" s="8" t="n">
        <f aca="false">-AJ427*MEKH_Fee</f>
        <v>-15.476487168134</v>
      </c>
      <c r="AK432" s="8" t="n">
        <f aca="false">-AK427*MEKH_Fee</f>
        <v>-15.5843582836959</v>
      </c>
      <c r="AL432" s="8" t="n">
        <f aca="false">-AL427*MEKH_Fee</f>
        <v>-15.6929812609332</v>
      </c>
      <c r="AM432" s="8" t="n">
        <f aca="false">-AM427*MEKH_Fee</f>
        <v>-15.8023613403219</v>
      </c>
      <c r="AN432" s="8" t="n">
        <f aca="false">-AN427*MEKH_Fee</f>
        <v>-15.912503798864</v>
      </c>
      <c r="AO432" s="8" t="n">
        <f aca="false">-AO427*MEKH_Fee</f>
        <v>-16.0234139503421</v>
      </c>
      <c r="AP432" s="8" t="n">
        <f aca="false">-AP427*MEKH_Fee</f>
        <v>-16.1350971455759</v>
      </c>
      <c r="AQ432" s="8" t="n">
        <f aca="false">-AQ427*MEKH_Fee</f>
        <v>-16.2475587726806</v>
      </c>
      <c r="AR432" s="8" t="n">
        <f aca="false">-AR427*MEKH_Fee</f>
        <v>-16.3608042573262</v>
      </c>
      <c r="AS432" s="8" t="n">
        <f aca="false">-AS427*MEKH_Fee</f>
        <v>-8.23741953149987</v>
      </c>
    </row>
    <row r="433" customFormat="false" ht="14.25" hidden="false" customHeight="false" outlineLevel="0" collapsed="false">
      <c r="C433" s="6" t="s">
        <v>311</v>
      </c>
      <c r="D433" s="2" t="s">
        <v>85</v>
      </c>
      <c r="H433" s="8" t="n">
        <f aca="false">SUM(J433:AS433)</f>
        <v>-5176.80416322124</v>
      </c>
      <c r="J433" s="8" t="n">
        <f aca="false">SUM(J429:J432)*Opex_Cont</f>
        <v>0</v>
      </c>
      <c r="K433" s="8" t="n">
        <f aca="false">SUM(K429:K432)*Opex_Cont</f>
        <v>0</v>
      </c>
      <c r="L433" s="8" t="n">
        <f aca="false">SUM(L429:L432)*Opex_Cont</f>
        <v>0</v>
      </c>
      <c r="M433" s="8" t="n">
        <f aca="false">SUM(M429:M432)*Opex_Cont</f>
        <v>0</v>
      </c>
      <c r="N433" s="8" t="n">
        <f aca="false">SUM(N429:N432)*Opex_Cont</f>
        <v>0</v>
      </c>
      <c r="O433" s="8" t="n">
        <f aca="false">SUM(O429:O432)*Opex_Cont</f>
        <v>-59.167896</v>
      </c>
      <c r="P433" s="8" t="n">
        <f aca="false">SUM(P429:P432)*Opex_Cont</f>
        <v>-121.28418492</v>
      </c>
      <c r="Q433" s="8" t="n">
        <f aca="false">SUM(Q429:Q432)*Opex_Cont</f>
        <v>-124.187389003142</v>
      </c>
      <c r="R433" s="8" t="n">
        <f aca="false">SUM(R429:R432)*Opex_Cont</f>
        <v>-127.160528634851</v>
      </c>
      <c r="S433" s="8" t="n">
        <f aca="false">SUM(S429:S432)*Opex_Cont</f>
        <v>-130.205295487691</v>
      </c>
      <c r="T433" s="8" t="n">
        <f aca="false">SUM(T429:T432)*Opex_Cont</f>
        <v>-133.323422291365</v>
      </c>
      <c r="U433" s="8" t="n">
        <f aca="false">SUM(U429:U432)*Opex_Cont</f>
        <v>-136.516683832126</v>
      </c>
      <c r="V433" s="8" t="n">
        <f aca="false">SUM(V429:V432)*Opex_Cont</f>
        <v>-139.786897976598</v>
      </c>
      <c r="W433" s="8" t="n">
        <f aca="false">SUM(W429:W432)*Opex_Cont</f>
        <v>-143.135926720573</v>
      </c>
      <c r="X433" s="8" t="n">
        <f aca="false">SUM(X429:X432)*Opex_Cont</f>
        <v>-146.565677263421</v>
      </c>
      <c r="Y433" s="8" t="n">
        <f aca="false">SUM(Y429:Y432)*Opex_Cont</f>
        <v>-150.078103108725</v>
      </c>
      <c r="Z433" s="8" t="n">
        <f aca="false">SUM(Z429:Z432)*Opex_Cont</f>
        <v>-153.675205191783</v>
      </c>
      <c r="AA433" s="8" t="n">
        <f aca="false">SUM(AA429:AA432)*Opex_Cont</f>
        <v>-157.359033034643</v>
      </c>
      <c r="AB433" s="8" t="n">
        <f aca="false">SUM(AB429:AB432)*Opex_Cont</f>
        <v>-161.13168592934</v>
      </c>
      <c r="AC433" s="8" t="n">
        <f aca="false">SUM(AC429:AC432)*Opex_Cont</f>
        <v>-164.995314150021</v>
      </c>
      <c r="AD433" s="8" t="n">
        <f aca="false">SUM(AD429:AD432)*Opex_Cont</f>
        <v>-168.952120194672</v>
      </c>
      <c r="AE433" s="8" t="n">
        <f aca="false">SUM(AE429:AE432)*Opex_Cont</f>
        <v>-173.004360057167</v>
      </c>
      <c r="AF433" s="8" t="n">
        <f aca="false">SUM(AF429:AF432)*Opex_Cont</f>
        <v>-177.154344530389</v>
      </c>
      <c r="AG433" s="8" t="n">
        <f aca="false">SUM(AG429:AG432)*Opex_Cont</f>
        <v>-181.40444054117</v>
      </c>
      <c r="AH433" s="8" t="n">
        <f aca="false">SUM(AH429:AH432)*Opex_Cont</f>
        <v>-185.757072517842</v>
      </c>
      <c r="AI433" s="8" t="n">
        <f aca="false">SUM(AI429:AI432)*Opex_Cont</f>
        <v>-190.214723791189</v>
      </c>
      <c r="AJ433" s="8" t="n">
        <f aca="false">SUM(AJ429:AJ432)*Opex_Cont</f>
        <v>-194.779938029627</v>
      </c>
      <c r="AK433" s="8" t="n">
        <f aca="false">SUM(AK429:AK432)*Opex_Cont</f>
        <v>-199.455320709436</v>
      </c>
      <c r="AL433" s="8" t="n">
        <f aca="false">SUM(AL429:AL432)*Opex_Cont</f>
        <v>-204.243540620918</v>
      </c>
      <c r="AM433" s="8" t="n">
        <f aca="false">SUM(AM429:AM432)*Opex_Cont</f>
        <v>-209.147331411349</v>
      </c>
      <c r="AN433" s="8" t="n">
        <f aca="false">SUM(AN429:AN432)*Opex_Cont</f>
        <v>-214.169493165633</v>
      </c>
      <c r="AO433" s="8" t="n">
        <f aca="false">SUM(AO429:AO432)*Opex_Cont</f>
        <v>-219.312894025575</v>
      </c>
      <c r="AP433" s="8" t="n">
        <f aca="false">SUM(AP429:AP432)*Opex_Cont</f>
        <v>-224.58047184873</v>
      </c>
      <c r="AQ433" s="8" t="n">
        <f aca="false">SUM(AQ429:AQ432)*Opex_Cont</f>
        <v>-229.975235907785</v>
      </c>
      <c r="AR433" s="8" t="n">
        <f aca="false">SUM(AR429:AR432)*Opex_Cont</f>
        <v>-235.500268631469</v>
      </c>
      <c r="AS433" s="8" t="n">
        <f aca="false">SUM(AS429:AS432)*Opex_Cont</f>
        <v>-120.579363694011</v>
      </c>
    </row>
    <row r="434" customFormat="false" ht="14.25" hidden="false" customHeight="false" outlineLevel="0" collapsed="false">
      <c r="C434" s="6" t="s">
        <v>312</v>
      </c>
      <c r="D434" s="2" t="s">
        <v>85</v>
      </c>
      <c r="H434" s="8" t="n">
        <f aca="false">SUM(J434:AS434)</f>
        <v>-12790.1964811942</v>
      </c>
      <c r="J434" s="8" t="n">
        <f aca="false">-J425*$F$12</f>
        <v>-0</v>
      </c>
      <c r="K434" s="8" t="n">
        <f aca="false">-K425*$F$12</f>
        <v>-0</v>
      </c>
      <c r="L434" s="8" t="n">
        <f aca="false">-L425*$F$12</f>
        <v>-0</v>
      </c>
      <c r="M434" s="8" t="n">
        <f aca="false">-M425*$F$12</f>
        <v>-0</v>
      </c>
      <c r="N434" s="8" t="n">
        <f aca="false">-N425*$F$12</f>
        <v>-0</v>
      </c>
      <c r="O434" s="8" t="n">
        <f aca="false">-O425*$F$12</f>
        <v>-222.264</v>
      </c>
      <c r="P434" s="8" t="n">
        <f aca="false">-P425*$F$12</f>
        <v>-444.528</v>
      </c>
      <c r="Q434" s="8" t="n">
        <f aca="false">-Q425*$F$12</f>
        <v>-443.194416</v>
      </c>
      <c r="R434" s="8" t="n">
        <f aca="false">-R425*$F$12</f>
        <v>-441.864832752</v>
      </c>
      <c r="S434" s="8" t="n">
        <f aca="false">-S425*$F$12</f>
        <v>-440.539238253744</v>
      </c>
      <c r="T434" s="8" t="n">
        <f aca="false">-T425*$F$12</f>
        <v>-439.217620538983</v>
      </c>
      <c r="U434" s="8" t="n">
        <f aca="false">-U425*$F$12</f>
        <v>-437.899967677366</v>
      </c>
      <c r="V434" s="8" t="n">
        <f aca="false">-V425*$F$12</f>
        <v>-436.586267774334</v>
      </c>
      <c r="W434" s="8" t="n">
        <f aca="false">-W425*$F$12</f>
        <v>-435.276508971011</v>
      </c>
      <c r="X434" s="8" t="n">
        <f aca="false">-X425*$F$12</f>
        <v>-433.970679444098</v>
      </c>
      <c r="Y434" s="8" t="n">
        <f aca="false">-Y425*$F$12</f>
        <v>-432.668767405765</v>
      </c>
      <c r="Z434" s="8" t="n">
        <f aca="false">-Z425*$F$12</f>
        <v>-431.370761103548</v>
      </c>
      <c r="AA434" s="8" t="n">
        <f aca="false">-AA425*$F$12</f>
        <v>-430.076648820237</v>
      </c>
      <c r="AB434" s="8" t="n">
        <f aca="false">-AB425*$F$12</f>
        <v>-428.786418873777</v>
      </c>
      <c r="AC434" s="8" t="n">
        <f aca="false">-AC425*$F$12</f>
        <v>-427.500059617155</v>
      </c>
      <c r="AD434" s="8" t="n">
        <f aca="false">-AD425*$F$12</f>
        <v>-426.217559438304</v>
      </c>
      <c r="AE434" s="8" t="n">
        <f aca="false">-AE425*$F$12</f>
        <v>-424.938906759989</v>
      </c>
      <c r="AF434" s="8" t="n">
        <f aca="false">-AF425*$F$12</f>
        <v>-423.664090039709</v>
      </c>
      <c r="AG434" s="8" t="n">
        <f aca="false">-AG425*$F$12</f>
        <v>-422.39309776959</v>
      </c>
      <c r="AH434" s="8" t="n">
        <f aca="false">-AH425*$F$12</f>
        <v>-421.125918476281</v>
      </c>
      <c r="AI434" s="8" t="n">
        <f aca="false">-AI425*$F$12</f>
        <v>-419.862540720852</v>
      </c>
      <c r="AJ434" s="8" t="n">
        <f aca="false">-AJ425*$F$12</f>
        <v>-418.60295309869</v>
      </c>
      <c r="AK434" s="8" t="n">
        <f aca="false">-AK425*$F$12</f>
        <v>-417.347144239394</v>
      </c>
      <c r="AL434" s="8" t="n">
        <f aca="false">-AL425*$F$12</f>
        <v>-416.095102806675</v>
      </c>
      <c r="AM434" s="8" t="n">
        <f aca="false">-AM425*$F$12</f>
        <v>-414.846817498256</v>
      </c>
      <c r="AN434" s="8" t="n">
        <f aca="false">-AN425*$F$12</f>
        <v>-413.602277045761</v>
      </c>
      <c r="AO434" s="8" t="n">
        <f aca="false">-AO425*$F$12</f>
        <v>-412.361470214623</v>
      </c>
      <c r="AP434" s="8" t="n">
        <f aca="false">-AP425*$F$12</f>
        <v>-411.12438580398</v>
      </c>
      <c r="AQ434" s="8" t="n">
        <f aca="false">-AQ425*$F$12</f>
        <v>-409.891012646568</v>
      </c>
      <c r="AR434" s="8" t="n">
        <f aca="false">-AR425*$F$12</f>
        <v>-408.661339608628</v>
      </c>
      <c r="AS434" s="8" t="n">
        <f aca="false">-AS425*$F$12</f>
        <v>-203.717677794901</v>
      </c>
    </row>
    <row r="435" customFormat="false" ht="14.25" hidden="false" customHeight="false" outlineLevel="0" collapsed="false">
      <c r="C435" s="6" t="s">
        <v>313</v>
      </c>
      <c r="D435" s="2" t="s">
        <v>85</v>
      </c>
      <c r="H435" s="8" t="n">
        <f aca="false">SUM(J435:AS435)</f>
        <v>-8922.61371458909</v>
      </c>
      <c r="J435" s="8" t="n">
        <f aca="false">-J427*HIPA_Rate</f>
        <v>-0</v>
      </c>
      <c r="K435" s="8" t="n">
        <f aca="false">-K427*HIPA_Rate</f>
        <v>-0</v>
      </c>
      <c r="L435" s="8" t="n">
        <f aca="false">-L427*HIPA_Rate</f>
        <v>-0</v>
      </c>
      <c r="M435" s="8" t="n">
        <f aca="false">-M427*HIPA_Rate</f>
        <v>-0</v>
      </c>
      <c r="N435" s="8" t="n">
        <f aca="false">-N427*HIPA_Rate</f>
        <v>-0</v>
      </c>
      <c r="O435" s="8" t="n">
        <f aca="false">-O427*HIPA_Rate</f>
        <v>-133.3584</v>
      </c>
      <c r="P435" s="8" t="n">
        <f aca="false">-P427*HIPA_Rate</f>
        <v>-269.383968</v>
      </c>
      <c r="Q435" s="8" t="n">
        <f aca="false">-Q427*HIPA_Rate</f>
        <v>-271.26157425696</v>
      </c>
      <c r="R435" s="8" t="n">
        <f aca="false">-R427*HIPA_Rate</f>
        <v>-273.152267429531</v>
      </c>
      <c r="S435" s="8" t="n">
        <f aca="false">-S427*HIPA_Rate</f>
        <v>-275.056138733515</v>
      </c>
      <c r="T435" s="8" t="n">
        <f aca="false">-T427*HIPA_Rate</f>
        <v>-276.973280020488</v>
      </c>
      <c r="U435" s="8" t="n">
        <f aca="false">-U427*HIPA_Rate</f>
        <v>-278.90378378223</v>
      </c>
      <c r="V435" s="8" t="n">
        <f aca="false">-V427*HIPA_Rate</f>
        <v>-280.847743155192</v>
      </c>
      <c r="W435" s="8" t="n">
        <f aca="false">-W427*HIPA_Rate</f>
        <v>-282.805251924984</v>
      </c>
      <c r="X435" s="8" t="n">
        <f aca="false">-X427*HIPA_Rate</f>
        <v>-284.776404530901</v>
      </c>
      <c r="Y435" s="8" t="n">
        <f aca="false">-Y427*HIPA_Rate</f>
        <v>-286.761296070482</v>
      </c>
      <c r="Z435" s="8" t="n">
        <f aca="false">-Z427*HIPA_Rate</f>
        <v>-288.760022304093</v>
      </c>
      <c r="AA435" s="8" t="n">
        <f aca="false">-AA427*HIPA_Rate</f>
        <v>-290.772679659552</v>
      </c>
      <c r="AB435" s="8" t="n">
        <f aca="false">-AB427*HIPA_Rate</f>
        <v>-292.799365236779</v>
      </c>
      <c r="AC435" s="8" t="n">
        <f aca="false">-AC427*HIPA_Rate</f>
        <v>-294.84017681248</v>
      </c>
      <c r="AD435" s="8" t="n">
        <f aca="false">-AD427*HIPA_Rate</f>
        <v>-296.895212844863</v>
      </c>
      <c r="AE435" s="8" t="n">
        <f aca="false">-AE427*HIPA_Rate</f>
        <v>-298.964572478392</v>
      </c>
      <c r="AF435" s="8" t="n">
        <f aca="false">-AF427*HIPA_Rate</f>
        <v>-301.048355548566</v>
      </c>
      <c r="AG435" s="8" t="n">
        <f aca="false">-AG427*HIPA_Rate</f>
        <v>-303.146662586739</v>
      </c>
      <c r="AH435" s="8" t="n">
        <f aca="false">-AH427*HIPA_Rate</f>
        <v>-305.259594824969</v>
      </c>
      <c r="AI435" s="8" t="n">
        <f aca="false">-AI427*HIPA_Rate</f>
        <v>-307.387254200899</v>
      </c>
      <c r="AJ435" s="8" t="n">
        <f aca="false">-AJ427*HIPA_Rate</f>
        <v>-309.529743362679</v>
      </c>
      <c r="AK435" s="8" t="n">
        <f aca="false">-AK427*HIPA_Rate</f>
        <v>-311.687165673917</v>
      </c>
      <c r="AL435" s="8" t="n">
        <f aca="false">-AL427*HIPA_Rate</f>
        <v>-313.859625218664</v>
      </c>
      <c r="AM435" s="8" t="n">
        <f aca="false">-AM427*HIPA_Rate</f>
        <v>-316.047226806439</v>
      </c>
      <c r="AN435" s="8" t="n">
        <f aca="false">-AN427*HIPA_Rate</f>
        <v>-318.250075977279</v>
      </c>
      <c r="AO435" s="8" t="n">
        <f aca="false">-AO427*HIPA_Rate</f>
        <v>-320.468279006841</v>
      </c>
      <c r="AP435" s="8" t="n">
        <f aca="false">-AP427*HIPA_Rate</f>
        <v>-322.701942911519</v>
      </c>
      <c r="AQ435" s="8" t="n">
        <f aca="false">-AQ427*HIPA_Rate</f>
        <v>-324.951175453612</v>
      </c>
      <c r="AR435" s="8" t="n">
        <f aca="false">-AR427*HIPA_Rate</f>
        <v>-327.216085146524</v>
      </c>
      <c r="AS435" s="8" t="n">
        <f aca="false">-AS427*HIPA_Rate</f>
        <v>-164.748390629997</v>
      </c>
    </row>
    <row r="436" customFormat="false" ht="14.25" hidden="false" customHeight="false" outlineLevel="0" collapsed="false">
      <c r="C436" s="1" t="s">
        <v>314</v>
      </c>
      <c r="D436" s="2" t="s">
        <v>85</v>
      </c>
      <c r="H436" s="32" t="n">
        <f aca="false">SUM(J436:AS436)</f>
        <v>-130425.697623429</v>
      </c>
      <c r="J436" s="32" t="n">
        <f aca="false">SUM(J429:J435)</f>
        <v>0</v>
      </c>
      <c r="K436" s="32" t="n">
        <f aca="false">SUM(K429:K435)</f>
        <v>0</v>
      </c>
      <c r="L436" s="32" t="n">
        <f aca="false">SUM(L429:L435)</f>
        <v>0</v>
      </c>
      <c r="M436" s="32" t="n">
        <f aca="false">SUM(M429:M435)</f>
        <v>0</v>
      </c>
      <c r="N436" s="32" t="n">
        <f aca="false">SUM(N429:N435)</f>
        <v>0</v>
      </c>
      <c r="O436" s="32" t="n">
        <f aca="false">SUM(O429:O435)</f>
        <v>-1598.148216</v>
      </c>
      <c r="P436" s="32" t="n">
        <f aca="false">SUM(P429:P435)</f>
        <v>-3260.87985132</v>
      </c>
      <c r="Q436" s="32" t="n">
        <f aca="false">SUM(Q429:Q435)</f>
        <v>-3322.39115932295</v>
      </c>
      <c r="R436" s="32" t="n">
        <f aca="false">SUM(R429:R435)</f>
        <v>-3385.38820151339</v>
      </c>
      <c r="S436" s="32" t="n">
        <f aca="false">SUM(S429:S435)</f>
        <v>-3449.90658222877</v>
      </c>
      <c r="T436" s="32" t="n">
        <f aca="false">SUM(T429:T435)</f>
        <v>-3515.98276867813</v>
      </c>
      <c r="U436" s="32" t="n">
        <f aca="false">SUM(U429:U435)</f>
        <v>-3583.65411193425</v>
      </c>
      <c r="V436" s="32" t="n">
        <f aca="false">SUM(V429:V435)</f>
        <v>-3652.95886843809</v>
      </c>
      <c r="W436" s="32" t="n">
        <f aca="false">SUM(W429:W435)</f>
        <v>-3723.93622202803</v>
      </c>
      <c r="X436" s="32" t="n">
        <f aca="false">SUM(X429:X435)</f>
        <v>-3796.62630650685</v>
      </c>
      <c r="Y436" s="32" t="n">
        <f aca="false">SUM(Y429:Y435)</f>
        <v>-3871.07022875947</v>
      </c>
      <c r="Z436" s="32" t="n">
        <f aca="false">SUM(Z429:Z435)</f>
        <v>-3947.31009243507</v>
      </c>
      <c r="AA436" s="32" t="n">
        <f aca="false">SUM(AA429:AA435)</f>
        <v>-4025.38902220729</v>
      </c>
      <c r="AB436" s="32" t="n">
        <f aca="false">SUM(AB429:AB435)</f>
        <v>-4105.3511886267</v>
      </c>
      <c r="AC436" s="32" t="n">
        <f aca="false">SUM(AC429:AC435)</f>
        <v>-4187.24183358009</v>
      </c>
      <c r="AD436" s="32" t="n">
        <f aca="false">SUM(AD429:AD435)</f>
        <v>-4271.10729637127</v>
      </c>
      <c r="AE436" s="32" t="n">
        <f aca="false">SUM(AE429:AE435)</f>
        <v>-4356.99504043889</v>
      </c>
      <c r="AF436" s="32" t="n">
        <f aca="false">SUM(AF429:AF435)</f>
        <v>-4444.95368072645</v>
      </c>
      <c r="AG436" s="32" t="n">
        <f aca="false">SUM(AG429:AG435)</f>
        <v>-4535.0330117209</v>
      </c>
      <c r="AH436" s="32" t="n">
        <f aca="false">SUM(AH429:AH435)</f>
        <v>-4627.28403617592</v>
      </c>
      <c r="AI436" s="32" t="n">
        <f aca="false">SUM(AI429:AI435)</f>
        <v>-4721.75899453672</v>
      </c>
      <c r="AJ436" s="32" t="n">
        <f aca="false">SUM(AJ429:AJ435)</f>
        <v>-4818.51139508354</v>
      </c>
      <c r="AK436" s="32" t="n">
        <f aca="false">SUM(AK429:AK435)</f>
        <v>-4917.59604481147</v>
      </c>
      <c r="AL436" s="32" t="n">
        <f aca="false">SUM(AL429:AL435)</f>
        <v>-5019.06908106463</v>
      </c>
      <c r="AM436" s="32" t="n">
        <f aca="false">SUM(AM429:AM435)</f>
        <v>-5122.98800394303</v>
      </c>
      <c r="AN436" s="32" t="n">
        <f aca="false">SUM(AN429:AN435)</f>
        <v>-5229.41170950133</v>
      </c>
      <c r="AO436" s="32" t="n">
        <f aca="false">SUM(AO429:AO435)</f>
        <v>-5338.40052375853</v>
      </c>
      <c r="AP436" s="32" t="n">
        <f aca="false">SUM(AP429:AP435)</f>
        <v>-5450.01623753884</v>
      </c>
      <c r="AQ436" s="32" t="n">
        <f aca="false">SUM(AQ429:AQ435)</f>
        <v>-5564.32214216366</v>
      </c>
      <c r="AR436" s="32" t="n">
        <f aca="false">SUM(AR429:AR435)</f>
        <v>-5681.38306601601</v>
      </c>
      <c r="AS436" s="32" t="n">
        <f aca="false">SUM(AS429:AS435)</f>
        <v>-2900.63270599912</v>
      </c>
    </row>
    <row r="437" customFormat="false" ht="14.25" hidden="false" customHeight="false" outlineLevel="0" collapsed="false">
      <c r="C437" s="1" t="s">
        <v>160</v>
      </c>
      <c r="D437" s="2" t="s">
        <v>85</v>
      </c>
      <c r="H437" s="15" t="n">
        <f aca="false">SUM(J437:AS437)</f>
        <v>315704.988106025</v>
      </c>
      <c r="J437" s="15" t="n">
        <f aca="false">J427+J436</f>
        <v>0</v>
      </c>
      <c r="K437" s="15" t="n">
        <f aca="false">K427+K436</f>
        <v>0</v>
      </c>
      <c r="L437" s="15" t="n">
        <f aca="false">L427+L436</f>
        <v>0</v>
      </c>
      <c r="M437" s="15" t="n">
        <f aca="false">M427+M436</f>
        <v>0</v>
      </c>
      <c r="N437" s="15" t="n">
        <f aca="false">N427+N436</f>
        <v>0</v>
      </c>
      <c r="O437" s="15" t="n">
        <f aca="false">O427+O436</f>
        <v>5069.771784</v>
      </c>
      <c r="P437" s="15" t="n">
        <f aca="false">P427+P436</f>
        <v>10208.31854868</v>
      </c>
      <c r="Q437" s="15" t="n">
        <f aca="false">Q427+Q436</f>
        <v>10240.6875535251</v>
      </c>
      <c r="R437" s="15" t="n">
        <f aca="false">R427+R436</f>
        <v>10272.2251699632</v>
      </c>
      <c r="S437" s="15" t="n">
        <f aca="false">S427+S436</f>
        <v>10302.900354447</v>
      </c>
      <c r="T437" s="15" t="n">
        <f aca="false">T427+T436</f>
        <v>10332.6812323462</v>
      </c>
      <c r="U437" s="15" t="n">
        <f aca="false">U427+U436</f>
        <v>10361.5350771773</v>
      </c>
      <c r="V437" s="15" t="n">
        <f aca="false">V427+V436</f>
        <v>10389.4282893215</v>
      </c>
      <c r="W437" s="15" t="n">
        <f aca="false">W427+W436</f>
        <v>10416.3263742212</v>
      </c>
      <c r="X437" s="15" t="n">
        <f aca="false">X427+X436</f>
        <v>10442.1939200382</v>
      </c>
      <c r="Y437" s="15" t="n">
        <f aca="false">Y427+Y436</f>
        <v>10466.9945747646</v>
      </c>
      <c r="Z437" s="15" t="n">
        <f aca="false">Z427+Z436</f>
        <v>10490.6910227696</v>
      </c>
      <c r="AA437" s="15" t="n">
        <f aca="false">AA427+AA436</f>
        <v>10513.2449607703</v>
      </c>
      <c r="AB437" s="15" t="n">
        <f aca="false">AB427+AB436</f>
        <v>10534.6170732123</v>
      </c>
      <c r="AC437" s="15" t="n">
        <f aca="false">AC427+AC436</f>
        <v>10554.7670070439</v>
      </c>
      <c r="AD437" s="15" t="n">
        <f aca="false">AD427+AD436</f>
        <v>10573.6533458719</v>
      </c>
      <c r="AE437" s="15" t="n">
        <f aca="false">AE427+AE436</f>
        <v>10591.2335834807</v>
      </c>
      <c r="AF437" s="15" t="n">
        <f aca="false">AF427+AF436</f>
        <v>10607.4640967019</v>
      </c>
      <c r="AG437" s="15" t="n">
        <f aca="false">AG427+AG436</f>
        <v>10622.3001176161</v>
      </c>
      <c r="AH437" s="15" t="n">
        <f aca="false">AH427+AH436</f>
        <v>10635.6957050725</v>
      </c>
      <c r="AI437" s="15" t="n">
        <f aca="false">AI427+AI436</f>
        <v>10647.6037155082</v>
      </c>
      <c r="AJ437" s="15" t="n">
        <f aca="false">AJ427+AJ436</f>
        <v>10657.9757730504</v>
      </c>
      <c r="AK437" s="15" t="n">
        <f aca="false">AK427+AK436</f>
        <v>10666.7622388844</v>
      </c>
      <c r="AL437" s="15" t="n">
        <f aca="false">AL427+AL436</f>
        <v>10673.9121798686</v>
      </c>
      <c r="AM437" s="15" t="n">
        <f aca="false">AM427+AM436</f>
        <v>10679.3733363789</v>
      </c>
      <c r="AN437" s="15" t="n">
        <f aca="false">AN427+AN436</f>
        <v>10683.0920893626</v>
      </c>
      <c r="AO437" s="15" t="n">
        <f aca="false">AO427+AO436</f>
        <v>10685.0134265835</v>
      </c>
      <c r="AP437" s="15" t="n">
        <f aca="false">AP427+AP436</f>
        <v>10685.0809080371</v>
      </c>
      <c r="AQ437" s="15" t="n">
        <f aca="false">AQ427+AQ436</f>
        <v>10683.2366305169</v>
      </c>
      <c r="AR437" s="15" t="n">
        <f aca="false">AR427+AR436</f>
        <v>10679.4211913102</v>
      </c>
      <c r="AS437" s="15" t="n">
        <f aca="false">AS427+AS436</f>
        <v>5336.78682550075</v>
      </c>
    </row>
    <row r="438" customFormat="false" ht="14.25" hidden="false" customHeight="false" outlineLevel="0" collapsed="false">
      <c r="C438" s="1" t="s">
        <v>315</v>
      </c>
      <c r="D438" s="2" t="s">
        <v>85</v>
      </c>
      <c r="H438" s="32" t="n">
        <f aca="false">SUM(J438:AS438)</f>
        <v>238904.92885945</v>
      </c>
      <c r="J438" s="32" t="n">
        <f aca="false">J423+J437</f>
        <v>0</v>
      </c>
      <c r="K438" s="32" t="n">
        <f aca="false">K423+K437</f>
        <v>0</v>
      </c>
      <c r="L438" s="32" t="n">
        <f aca="false">L423+L437</f>
        <v>0</v>
      </c>
      <c r="M438" s="32" t="n">
        <f aca="false">M423+M437</f>
        <v>-29757.5797945206</v>
      </c>
      <c r="N438" s="32" t="n">
        <f aca="false">N423+N437</f>
        <v>-31358</v>
      </c>
      <c r="O438" s="32" t="n">
        <f aca="false">O423+O437</f>
        <v>-13109.228216</v>
      </c>
      <c r="P438" s="32" t="n">
        <f aca="false">P423+P437</f>
        <v>10208.31854868</v>
      </c>
      <c r="Q438" s="32" t="n">
        <f aca="false">Q423+Q437</f>
        <v>12735.2081014703</v>
      </c>
      <c r="R438" s="32" t="n">
        <f aca="false">R423+R437</f>
        <v>10272.2251699632</v>
      </c>
      <c r="S438" s="32" t="n">
        <f aca="false">S423+S437</f>
        <v>10302.900354447</v>
      </c>
      <c r="T438" s="32" t="n">
        <f aca="false">T423+T437</f>
        <v>10332.6812323462</v>
      </c>
      <c r="U438" s="32" t="n">
        <f aca="false">U423+U437</f>
        <v>10361.5350771773</v>
      </c>
      <c r="V438" s="32" t="n">
        <f aca="false">V423+V437</f>
        <v>10389.4282893215</v>
      </c>
      <c r="W438" s="32" t="n">
        <f aca="false">W423+W437</f>
        <v>10416.3263742212</v>
      </c>
      <c r="X438" s="32" t="n">
        <f aca="false">X423+X437</f>
        <v>10442.1939200382</v>
      </c>
      <c r="Y438" s="32" t="n">
        <f aca="false">Y423+Y437</f>
        <v>10466.9945747646</v>
      </c>
      <c r="Z438" s="32" t="n">
        <f aca="false">Z423+Z437</f>
        <v>10490.6910227696</v>
      </c>
      <c r="AA438" s="32" t="n">
        <f aca="false">AA423+AA437</f>
        <v>10513.2449607703</v>
      </c>
      <c r="AB438" s="32" t="n">
        <f aca="false">AB423+AB437</f>
        <v>10534.6170732123</v>
      </c>
      <c r="AC438" s="32" t="n">
        <f aca="false">AC423+AC437</f>
        <v>10554.7670070439</v>
      </c>
      <c r="AD438" s="32" t="n">
        <f aca="false">AD423+AD437</f>
        <v>10573.6533458719</v>
      </c>
      <c r="AE438" s="32" t="n">
        <f aca="false">AE423+AE437</f>
        <v>10591.2335834807</v>
      </c>
      <c r="AF438" s="32" t="n">
        <f aca="false">AF423+AF437</f>
        <v>10607.4640967019</v>
      </c>
      <c r="AG438" s="32" t="n">
        <f aca="false">AG423+AG437</f>
        <v>10622.3001176161</v>
      </c>
      <c r="AH438" s="32" t="n">
        <f aca="false">AH423+AH437</f>
        <v>10635.6957050725</v>
      </c>
      <c r="AI438" s="32" t="n">
        <f aca="false">AI423+AI437</f>
        <v>10647.6037155082</v>
      </c>
      <c r="AJ438" s="32" t="n">
        <f aca="false">AJ423+AJ437</f>
        <v>10657.9757730504</v>
      </c>
      <c r="AK438" s="32" t="n">
        <f aca="false">AK423+AK437</f>
        <v>10666.7622388844</v>
      </c>
      <c r="AL438" s="32" t="n">
        <f aca="false">AL423+AL437</f>
        <v>10673.9121798686</v>
      </c>
      <c r="AM438" s="32" t="n">
        <f aca="false">AM423+AM437</f>
        <v>10679.3733363789</v>
      </c>
      <c r="AN438" s="32" t="n">
        <f aca="false">AN423+AN437</f>
        <v>10683.0920893626</v>
      </c>
      <c r="AO438" s="32" t="n">
        <f aca="false">AO423+AO437</f>
        <v>10685.0134265835</v>
      </c>
      <c r="AP438" s="32" t="n">
        <f aca="false">AP423+AP437</f>
        <v>10685.0809080371</v>
      </c>
      <c r="AQ438" s="32" t="n">
        <f aca="false">AQ423+AQ437</f>
        <v>10683.2366305169</v>
      </c>
      <c r="AR438" s="32" t="n">
        <f aca="false">AR423+AR437</f>
        <v>10679.4211913102</v>
      </c>
      <c r="AS438" s="32" t="n">
        <f aca="false">AS423+AS437</f>
        <v>5336.78682550075</v>
      </c>
    </row>
    <row r="439" customFormat="false" ht="14.25" hidden="false" customHeight="false" outlineLevel="0" collapsed="false">
      <c r="C439" s="6" t="s">
        <v>316</v>
      </c>
      <c r="D439" s="2" t="s">
        <v>85</v>
      </c>
      <c r="H439" s="8" t="n">
        <f aca="false">SUM(J439:AS439)</f>
        <v>-76800.0592465753</v>
      </c>
      <c r="J439" s="8" t="n">
        <f aca="false">-$F$99/Tax_Dep_Life*(J413&gt;=0)*(J413&lt;Tax_Dep_Life)</f>
        <v>-0</v>
      </c>
      <c r="K439" s="8" t="n">
        <f aca="false">-$F$99/Tax_Dep_Life*(K413&gt;=0)*(K413&lt;Tax_Dep_Life)</f>
        <v>-0</v>
      </c>
      <c r="L439" s="8" t="n">
        <f aca="false">-$F$99/Tax_Dep_Life*(L413&gt;=0)*(L413&lt;Tax_Dep_Life)</f>
        <v>-0</v>
      </c>
      <c r="M439" s="8" t="n">
        <f aca="false">-$F$99/Tax_Dep_Life*(M413&gt;=0)*(M413&lt;Tax_Dep_Life)</f>
        <v>-0</v>
      </c>
      <c r="N439" s="8" t="n">
        <f aca="false">-$F$99/Tax_Dep_Life*(N413&gt;=0)*(N413&lt;Tax_Dep_Life)</f>
        <v>-0</v>
      </c>
      <c r="O439" s="8" t="n">
        <f aca="false">-$F$99/Tax_Dep_Life*(O413&gt;=0)*(O413&lt;Tax_Dep_Life)</f>
        <v>-3840.00296232877</v>
      </c>
      <c r="P439" s="8" t="n">
        <f aca="false">-$F$99/Tax_Dep_Life*(P413&gt;=0)*(P413&lt;Tax_Dep_Life)</f>
        <v>-3840.00296232877</v>
      </c>
      <c r="Q439" s="8" t="n">
        <f aca="false">-$F$99/Tax_Dep_Life*(Q413&gt;=0)*(Q413&lt;Tax_Dep_Life)</f>
        <v>-3840.00296232877</v>
      </c>
      <c r="R439" s="8" t="n">
        <f aca="false">-$F$99/Tax_Dep_Life*(R413&gt;=0)*(R413&lt;Tax_Dep_Life)</f>
        <v>-3840.00296232877</v>
      </c>
      <c r="S439" s="8" t="n">
        <f aca="false">-$F$99/Tax_Dep_Life*(S413&gt;=0)*(S413&lt;Tax_Dep_Life)</f>
        <v>-3840.00296232877</v>
      </c>
      <c r="T439" s="8" t="n">
        <f aca="false">-$F$99/Tax_Dep_Life*(T413&gt;=0)*(T413&lt;Tax_Dep_Life)</f>
        <v>-3840.00296232877</v>
      </c>
      <c r="U439" s="8" t="n">
        <f aca="false">-$F$99/Tax_Dep_Life*(U413&gt;=0)*(U413&lt;Tax_Dep_Life)</f>
        <v>-3840.00296232877</v>
      </c>
      <c r="V439" s="8" t="n">
        <f aca="false">-$F$99/Tax_Dep_Life*(V413&gt;=0)*(V413&lt;Tax_Dep_Life)</f>
        <v>-3840.00296232877</v>
      </c>
      <c r="W439" s="8" t="n">
        <f aca="false">-$F$99/Tax_Dep_Life*(W413&gt;=0)*(W413&lt;Tax_Dep_Life)</f>
        <v>-3840.00296232877</v>
      </c>
      <c r="X439" s="8" t="n">
        <f aca="false">-$F$99/Tax_Dep_Life*(X413&gt;=0)*(X413&lt;Tax_Dep_Life)</f>
        <v>-3840.00296232877</v>
      </c>
      <c r="Y439" s="8" t="n">
        <f aca="false">-$F$99/Tax_Dep_Life*(Y413&gt;=0)*(Y413&lt;Tax_Dep_Life)</f>
        <v>-3840.00296232877</v>
      </c>
      <c r="Z439" s="8" t="n">
        <f aca="false">-$F$99/Tax_Dep_Life*(Z413&gt;=0)*(Z413&lt;Tax_Dep_Life)</f>
        <v>-3840.00296232877</v>
      </c>
      <c r="AA439" s="8" t="n">
        <f aca="false">-$F$99/Tax_Dep_Life*(AA413&gt;=0)*(AA413&lt;Tax_Dep_Life)</f>
        <v>-3840.00296232877</v>
      </c>
      <c r="AB439" s="8" t="n">
        <f aca="false">-$F$99/Tax_Dep_Life*(AB413&gt;=0)*(AB413&lt;Tax_Dep_Life)</f>
        <v>-3840.00296232877</v>
      </c>
      <c r="AC439" s="8" t="n">
        <f aca="false">-$F$99/Tax_Dep_Life*(AC413&gt;=0)*(AC413&lt;Tax_Dep_Life)</f>
        <v>-3840.00296232877</v>
      </c>
      <c r="AD439" s="8" t="n">
        <f aca="false">-$F$99/Tax_Dep_Life*(AD413&gt;=0)*(AD413&lt;Tax_Dep_Life)</f>
        <v>-3840.00296232877</v>
      </c>
      <c r="AE439" s="8" t="n">
        <f aca="false">-$F$99/Tax_Dep_Life*(AE413&gt;=0)*(AE413&lt;Tax_Dep_Life)</f>
        <v>-3840.00296232877</v>
      </c>
      <c r="AF439" s="8" t="n">
        <f aca="false">-$F$99/Tax_Dep_Life*(AF413&gt;=0)*(AF413&lt;Tax_Dep_Life)</f>
        <v>-3840.00296232877</v>
      </c>
      <c r="AG439" s="8" t="n">
        <f aca="false">-$F$99/Tax_Dep_Life*(AG413&gt;=0)*(AG413&lt;Tax_Dep_Life)</f>
        <v>-3840.00296232877</v>
      </c>
      <c r="AH439" s="8" t="n">
        <f aca="false">-$F$99/Tax_Dep_Life*(AH413&gt;=0)*(AH413&lt;Tax_Dep_Life)</f>
        <v>-3840.00296232877</v>
      </c>
      <c r="AI439" s="8" t="n">
        <f aca="false">-$F$99/Tax_Dep_Life*(AI413&gt;=0)*(AI413&lt;Tax_Dep_Life)</f>
        <v>-0</v>
      </c>
      <c r="AJ439" s="8" t="n">
        <f aca="false">-$F$99/Tax_Dep_Life*(AJ413&gt;=0)*(AJ413&lt;Tax_Dep_Life)</f>
        <v>-0</v>
      </c>
      <c r="AK439" s="8" t="n">
        <f aca="false">-$F$99/Tax_Dep_Life*(AK413&gt;=0)*(AK413&lt;Tax_Dep_Life)</f>
        <v>-0</v>
      </c>
      <c r="AL439" s="8" t="n">
        <f aca="false">-$F$99/Tax_Dep_Life*(AL413&gt;=0)*(AL413&lt;Tax_Dep_Life)</f>
        <v>-0</v>
      </c>
      <c r="AM439" s="8" t="n">
        <f aca="false">-$F$99/Tax_Dep_Life*(AM413&gt;=0)*(AM413&lt;Tax_Dep_Life)</f>
        <v>-0</v>
      </c>
      <c r="AN439" s="8" t="n">
        <f aca="false">-$F$99/Tax_Dep_Life*(AN413&gt;=0)*(AN413&lt;Tax_Dep_Life)</f>
        <v>-0</v>
      </c>
      <c r="AO439" s="8" t="n">
        <f aca="false">-$F$99/Tax_Dep_Life*(AO413&gt;=0)*(AO413&lt;Tax_Dep_Life)</f>
        <v>-0</v>
      </c>
      <c r="AP439" s="8" t="n">
        <f aca="false">-$F$99/Tax_Dep_Life*(AP413&gt;=0)*(AP413&lt;Tax_Dep_Life)</f>
        <v>-0</v>
      </c>
      <c r="AQ439" s="8" t="n">
        <f aca="false">-$F$99/Tax_Dep_Life*(AQ413&gt;=0)*(AQ413&lt;Tax_Dep_Life)</f>
        <v>-0</v>
      </c>
      <c r="AR439" s="8" t="n">
        <f aca="false">-$F$99/Tax_Dep_Life*(AR413&gt;=0)*(AR413&lt;Tax_Dep_Life)</f>
        <v>-0</v>
      </c>
      <c r="AS439" s="8" t="n">
        <f aca="false">-$F$99/Tax_Dep_Life*(AS413&gt;=0)*(AS413&lt;Tax_Dep_Life)</f>
        <v>-0</v>
      </c>
    </row>
    <row r="440" customFormat="false" ht="14.25" hidden="false" customHeight="false" outlineLevel="0" collapsed="false">
      <c r="C440" s="6" t="s">
        <v>317</v>
      </c>
      <c r="D440" s="2" t="s">
        <v>85</v>
      </c>
      <c r="H440" s="8" t="n">
        <f aca="false">SUM(J440:AS440)</f>
        <v>-35835.7393289174</v>
      </c>
      <c r="J440" s="8" t="n">
        <f aca="false">-MAX(0,J437+J439)*CIT_Rate*(J417&gt;0)</f>
        <v>-0</v>
      </c>
      <c r="K440" s="8" t="n">
        <f aca="false">-MAX(0,K437+K439)*CIT_Rate*(K417&gt;0)</f>
        <v>-0</v>
      </c>
      <c r="L440" s="8" t="n">
        <f aca="false">-MAX(0,L437+L439)*CIT_Rate*(L417&gt;0)</f>
        <v>-0</v>
      </c>
      <c r="M440" s="8" t="n">
        <f aca="false">-MAX(0,M437+M439)*CIT_Rate*(M417&gt;0)</f>
        <v>-0</v>
      </c>
      <c r="N440" s="8" t="n">
        <f aca="false">-MAX(0,N437+N439)*CIT_Rate*(N417&gt;0)</f>
        <v>-0</v>
      </c>
      <c r="O440" s="8" t="n">
        <f aca="false">-MAX(0,O437+O439)*CIT_Rate*(O417&gt;0)</f>
        <v>-184.465323250685</v>
      </c>
      <c r="P440" s="8" t="n">
        <f aca="false">-MAX(0,P437+P439)*CIT_Rate*(P417&gt;0)</f>
        <v>-955.247337952685</v>
      </c>
      <c r="Q440" s="8" t="n">
        <f aca="false">-MAX(0,Q437+Q439)*CIT_Rate*(Q417&gt;0)</f>
        <v>-960.102688679442</v>
      </c>
      <c r="R440" s="8" t="n">
        <f aca="false">-MAX(0,R437+R439)*CIT_Rate*(R417&gt;0)</f>
        <v>-964.833331145159</v>
      </c>
      <c r="S440" s="8" t="n">
        <f aca="false">-MAX(0,S437+S439)*CIT_Rate*(S417&gt;0)</f>
        <v>-969.434608817731</v>
      </c>
      <c r="T440" s="8" t="n">
        <f aca="false">-MAX(0,T437+T439)*CIT_Rate*(T417&gt;0)</f>
        <v>-973.901740502622</v>
      </c>
      <c r="U440" s="8" t="n">
        <f aca="false">-MAX(0,U437+U439)*CIT_Rate*(U417&gt;0)</f>
        <v>-978.229817227275</v>
      </c>
      <c r="V440" s="8" t="n">
        <f aca="false">-MAX(0,V437+V439)*CIT_Rate*(V417&gt;0)</f>
        <v>-982.413799048915</v>
      </c>
      <c r="W440" s="8" t="n">
        <f aca="false">-MAX(0,W437+W439)*CIT_Rate*(W417&gt;0)</f>
        <v>-986.448511783862</v>
      </c>
      <c r="X440" s="8" t="n">
        <f aca="false">-MAX(0,X437+X439)*CIT_Rate*(X417&gt;0)</f>
        <v>-990.328643656417</v>
      </c>
      <c r="Y440" s="8" t="n">
        <f aca="false">-MAX(0,Y437+Y439)*CIT_Rate*(Y417&gt;0)</f>
        <v>-994.048741865376</v>
      </c>
      <c r="Z440" s="8" t="n">
        <f aca="false">-MAX(0,Z437+Z439)*CIT_Rate*(Z417&gt;0)</f>
        <v>-997.60320906612</v>
      </c>
      <c r="AA440" s="8" t="n">
        <f aca="false">-MAX(0,AA437+AA439)*CIT_Rate*(AA417&gt;0)</f>
        <v>-1000.98629976623</v>
      </c>
      <c r="AB440" s="8" t="n">
        <f aca="false">-MAX(0,AB437+AB439)*CIT_Rate*(AB417&gt;0)</f>
        <v>-1004.19211663253</v>
      </c>
      <c r="AC440" s="8" t="n">
        <f aca="false">-MAX(0,AC437+AC439)*CIT_Rate*(AC417&gt;0)</f>
        <v>-1007.21460670727</v>
      </c>
      <c r="AD440" s="8" t="n">
        <f aca="false">-MAX(0,AD437+AD439)*CIT_Rate*(AD417&gt;0)</f>
        <v>-1010.04755753146</v>
      </c>
      <c r="AE440" s="8" t="n">
        <f aca="false">-MAX(0,AE437+AE439)*CIT_Rate*(AE417&gt;0)</f>
        <v>-1012.68459317279</v>
      </c>
      <c r="AF440" s="8" t="n">
        <f aca="false">-MAX(0,AF437+AF439)*CIT_Rate*(AF417&gt;0)</f>
        <v>-1015.11917015596</v>
      </c>
      <c r="AG440" s="8" t="n">
        <f aca="false">-MAX(0,AG437+AG439)*CIT_Rate*(AG417&gt;0)</f>
        <v>-1017.3445732931</v>
      </c>
      <c r="AH440" s="8" t="n">
        <f aca="false">-MAX(0,AH437+AH439)*CIT_Rate*(AH417&gt;0)</f>
        <v>-1019.35391141156</v>
      </c>
      <c r="AI440" s="8" t="n">
        <f aca="false">-MAX(0,AI437+AI439)*CIT_Rate*(AI417&gt;0)</f>
        <v>-1597.14055732624</v>
      </c>
      <c r="AJ440" s="8" t="n">
        <f aca="false">-MAX(0,AJ437+AJ439)*CIT_Rate*(AJ417&gt;0)</f>
        <v>-1598.69636595756</v>
      </c>
      <c r="AK440" s="8" t="n">
        <f aca="false">-MAX(0,AK437+AK439)*CIT_Rate*(AK417&gt;0)</f>
        <v>-1600.01433583266</v>
      </c>
      <c r="AL440" s="8" t="n">
        <f aca="false">-MAX(0,AL437+AL439)*CIT_Rate*(AL417&gt;0)</f>
        <v>-1601.08682698029</v>
      </c>
      <c r="AM440" s="8" t="n">
        <f aca="false">-MAX(0,AM437+AM439)*CIT_Rate*(AM417&gt;0)</f>
        <v>-1601.90600045683</v>
      </c>
      <c r="AN440" s="8" t="n">
        <f aca="false">-MAX(0,AN437+AN439)*CIT_Rate*(AN417&gt;0)</f>
        <v>-1602.4638134044</v>
      </c>
      <c r="AO440" s="8" t="n">
        <f aca="false">-MAX(0,AO437+AO439)*CIT_Rate*(AO417&gt;0)</f>
        <v>-1602.75201398753</v>
      </c>
      <c r="AP440" s="8" t="n">
        <f aca="false">-MAX(0,AP437+AP439)*CIT_Rate*(AP417&gt;0)</f>
        <v>-1602.76213620557</v>
      </c>
      <c r="AQ440" s="8" t="n">
        <f aca="false">-MAX(0,AQ437+AQ439)*CIT_Rate*(AQ417&gt;0)</f>
        <v>-1602.48549457754</v>
      </c>
      <c r="AR440" s="8" t="n">
        <f aca="false">-MAX(0,AR437+AR439)*CIT_Rate*(AR417&gt;0)</f>
        <v>-1601.91317869653</v>
      </c>
      <c r="AS440" s="8" t="n">
        <f aca="false">-MAX(0,AS437+AS439)*CIT_Rate*(AS417&gt;0)</f>
        <v>-800.518023825112</v>
      </c>
    </row>
    <row r="441" customFormat="false" ht="14.25" hidden="false" customHeight="false" outlineLevel="0" collapsed="false">
      <c r="C441" s="1" t="s">
        <v>318</v>
      </c>
      <c r="D441" s="2" t="s">
        <v>85</v>
      </c>
      <c r="H441" s="32" t="n">
        <f aca="false">SUM(J441:AS441)</f>
        <v>203069.189530532</v>
      </c>
      <c r="J441" s="32" t="n">
        <f aca="false">J438+J440</f>
        <v>0</v>
      </c>
      <c r="K441" s="32" t="n">
        <f aca="false">K438+K440</f>
        <v>0</v>
      </c>
      <c r="L441" s="32" t="n">
        <f aca="false">L438+L440</f>
        <v>0</v>
      </c>
      <c r="M441" s="32" t="n">
        <f aca="false">M438+M440</f>
        <v>-29757.5797945206</v>
      </c>
      <c r="N441" s="32" t="n">
        <f aca="false">N438+N440</f>
        <v>-31358</v>
      </c>
      <c r="O441" s="32" t="n">
        <f aca="false">O438+O440</f>
        <v>-13293.6935392507</v>
      </c>
      <c r="P441" s="32" t="n">
        <f aca="false">P438+P440</f>
        <v>9253.07121072731</v>
      </c>
      <c r="Q441" s="32" t="n">
        <f aca="false">Q438+Q440</f>
        <v>11775.1054127908</v>
      </c>
      <c r="R441" s="32" t="n">
        <f aca="false">R438+R440</f>
        <v>9307.391838818</v>
      </c>
      <c r="S441" s="32" t="n">
        <f aca="false">S438+S440</f>
        <v>9333.46574562924</v>
      </c>
      <c r="T441" s="32" t="n">
        <f aca="false">T438+T440</f>
        <v>9358.77949184362</v>
      </c>
      <c r="U441" s="32" t="n">
        <f aca="false">U438+U440</f>
        <v>9383.30525994999</v>
      </c>
      <c r="V441" s="32" t="n">
        <f aca="false">V438+V440</f>
        <v>9407.01449027262</v>
      </c>
      <c r="W441" s="32" t="n">
        <f aca="false">W438+W440</f>
        <v>9429.87786243732</v>
      </c>
      <c r="X441" s="32" t="n">
        <f aca="false">X438+X440</f>
        <v>9451.8652763818</v>
      </c>
      <c r="Y441" s="32" t="n">
        <f aca="false">Y438+Y440</f>
        <v>9472.94583289924</v>
      </c>
      <c r="Z441" s="32" t="n">
        <f aca="false">Z438+Z440</f>
        <v>9493.08781370345</v>
      </c>
      <c r="AA441" s="32" t="n">
        <f aca="false">AA438+AA440</f>
        <v>9512.25866100409</v>
      </c>
      <c r="AB441" s="32" t="n">
        <f aca="false">AB438+AB440</f>
        <v>9530.42495657974</v>
      </c>
      <c r="AC441" s="32" t="n">
        <f aca="false">AC438+AC440</f>
        <v>9547.55240033664</v>
      </c>
      <c r="AD441" s="32" t="n">
        <f aca="false">AD438+AD440</f>
        <v>9563.6057883404</v>
      </c>
      <c r="AE441" s="32" t="n">
        <f aca="false">AE438+AE440</f>
        <v>9578.5489903079</v>
      </c>
      <c r="AF441" s="32" t="n">
        <f aca="false">AF438+AF440</f>
        <v>9592.34492654589</v>
      </c>
      <c r="AG441" s="32" t="n">
        <f aca="false">AG438+AG440</f>
        <v>9604.95554432298</v>
      </c>
      <c r="AH441" s="32" t="n">
        <f aca="false">AH438+AH440</f>
        <v>9616.34179366096</v>
      </c>
      <c r="AI441" s="32" t="n">
        <f aca="false">AI438+AI440</f>
        <v>9050.463158182</v>
      </c>
      <c r="AJ441" s="32" t="n">
        <f aca="false">AJ438+AJ440</f>
        <v>9059.27940709287</v>
      </c>
      <c r="AK441" s="32" t="n">
        <f aca="false">AK438+AK440</f>
        <v>9066.74790305173</v>
      </c>
      <c r="AL441" s="32" t="n">
        <f aca="false">AL438+AL440</f>
        <v>9072.8253528883</v>
      </c>
      <c r="AM441" s="32" t="n">
        <f aca="false">AM438+AM440</f>
        <v>9077.46733592206</v>
      </c>
      <c r="AN441" s="32" t="n">
        <f aca="false">AN438+AN440</f>
        <v>9080.62827595824</v>
      </c>
      <c r="AO441" s="32" t="n">
        <f aca="false">AO438+AO440</f>
        <v>9082.26141259599</v>
      </c>
      <c r="AP441" s="32" t="n">
        <f aca="false">AP438+AP440</f>
        <v>9082.31877183154</v>
      </c>
      <c r="AQ441" s="32" t="n">
        <f aca="false">AQ438+AQ440</f>
        <v>9080.75113593939</v>
      </c>
      <c r="AR441" s="32" t="n">
        <f aca="false">AR438+AR440</f>
        <v>9077.50801261365</v>
      </c>
      <c r="AS441" s="32" t="n">
        <f aca="false">AS438+AS440</f>
        <v>4536.26880167564</v>
      </c>
    </row>
    <row r="442" customFormat="false" ht="14.25" hidden="false" customHeight="false" outlineLevel="0" collapsed="false">
      <c r="C442" s="6" t="s">
        <v>319</v>
      </c>
      <c r="D442" s="2" t="s">
        <v>85</v>
      </c>
      <c r="H442" s="8" t="n">
        <f aca="false">SUM(J442:AS442)</f>
        <v>46080.0355479452</v>
      </c>
      <c r="J442" s="8" t="n">
        <f aca="false">$F$99*Gearing*J418</f>
        <v>0</v>
      </c>
      <c r="K442" s="8" t="n">
        <f aca="false">$F$99*Gearing*K418</f>
        <v>0</v>
      </c>
      <c r="L442" s="8" t="n">
        <f aca="false">$F$99*Gearing*L418</f>
        <v>0</v>
      </c>
      <c r="M442" s="8" t="n">
        <f aca="false">$F$99*Gearing*M418</f>
        <v>0</v>
      </c>
      <c r="N442" s="8" t="n">
        <f aca="false">$F$99*Gearing*N418</f>
        <v>0</v>
      </c>
      <c r="O442" s="8" t="n">
        <f aca="false">$F$99*Gearing*O418</f>
        <v>46080.0355479452</v>
      </c>
      <c r="P442" s="8" t="n">
        <f aca="false">$F$99*Gearing*P418</f>
        <v>0</v>
      </c>
      <c r="Q442" s="8" t="n">
        <f aca="false">$F$99*Gearing*Q418</f>
        <v>0</v>
      </c>
      <c r="R442" s="8" t="n">
        <f aca="false">$F$99*Gearing*R418</f>
        <v>0</v>
      </c>
      <c r="S442" s="8" t="n">
        <f aca="false">$F$99*Gearing*S418</f>
        <v>0</v>
      </c>
      <c r="T442" s="8" t="n">
        <f aca="false">$F$99*Gearing*T418</f>
        <v>0</v>
      </c>
      <c r="U442" s="8" t="n">
        <f aca="false">$F$99*Gearing*U418</f>
        <v>0</v>
      </c>
      <c r="V442" s="8" t="n">
        <f aca="false">$F$99*Gearing*V418</f>
        <v>0</v>
      </c>
      <c r="W442" s="8" t="n">
        <f aca="false">$F$99*Gearing*W418</f>
        <v>0</v>
      </c>
      <c r="X442" s="8" t="n">
        <f aca="false">$F$99*Gearing*X418</f>
        <v>0</v>
      </c>
      <c r="Y442" s="8" t="n">
        <f aca="false">$F$99*Gearing*Y418</f>
        <v>0</v>
      </c>
      <c r="Z442" s="8" t="n">
        <f aca="false">$F$99*Gearing*Z418</f>
        <v>0</v>
      </c>
      <c r="AA442" s="8" t="n">
        <f aca="false">$F$99*Gearing*AA418</f>
        <v>0</v>
      </c>
      <c r="AB442" s="8" t="n">
        <f aca="false">$F$99*Gearing*AB418</f>
        <v>0</v>
      </c>
      <c r="AC442" s="8" t="n">
        <f aca="false">$F$99*Gearing*AC418</f>
        <v>0</v>
      </c>
      <c r="AD442" s="8" t="n">
        <f aca="false">$F$99*Gearing*AD418</f>
        <v>0</v>
      </c>
      <c r="AE442" s="8" t="n">
        <f aca="false">$F$99*Gearing*AE418</f>
        <v>0</v>
      </c>
      <c r="AF442" s="8" t="n">
        <f aca="false">$F$99*Gearing*AF418</f>
        <v>0</v>
      </c>
      <c r="AG442" s="8" t="n">
        <f aca="false">$F$99*Gearing*AG418</f>
        <v>0</v>
      </c>
      <c r="AH442" s="8" t="n">
        <f aca="false">$F$99*Gearing*AH418</f>
        <v>0</v>
      </c>
      <c r="AI442" s="8" t="n">
        <f aca="false">$F$99*Gearing*AI418</f>
        <v>0</v>
      </c>
      <c r="AJ442" s="8" t="n">
        <f aca="false">$F$99*Gearing*AJ418</f>
        <v>0</v>
      </c>
      <c r="AK442" s="8" t="n">
        <f aca="false">$F$99*Gearing*AK418</f>
        <v>0</v>
      </c>
      <c r="AL442" s="8" t="n">
        <f aca="false">$F$99*Gearing*AL418</f>
        <v>0</v>
      </c>
      <c r="AM442" s="8" t="n">
        <f aca="false">$F$99*Gearing*AM418</f>
        <v>0</v>
      </c>
      <c r="AN442" s="8" t="n">
        <f aca="false">$F$99*Gearing*AN418</f>
        <v>0</v>
      </c>
      <c r="AO442" s="8" t="n">
        <f aca="false">$F$99*Gearing*AO418</f>
        <v>0</v>
      </c>
      <c r="AP442" s="8" t="n">
        <f aca="false">$F$99*Gearing*AP418</f>
        <v>0</v>
      </c>
      <c r="AQ442" s="8" t="n">
        <f aca="false">$F$99*Gearing*AQ418</f>
        <v>0</v>
      </c>
      <c r="AR442" s="8" t="n">
        <f aca="false">$F$99*Gearing*AR418</f>
        <v>0</v>
      </c>
      <c r="AS442" s="8" t="n">
        <f aca="false">$F$99*Gearing*AS418</f>
        <v>0</v>
      </c>
    </row>
    <row r="443" customFormat="false" ht="14.25" hidden="false" customHeight="false" outlineLevel="0" collapsed="false">
      <c r="C443" s="6" t="s">
        <v>320</v>
      </c>
      <c r="D443" s="2" t="s">
        <v>85</v>
      </c>
      <c r="H443" s="8" t="n">
        <f aca="false">SUM(J443:AS443)</f>
        <v>66591.8405670651</v>
      </c>
      <c r="J443" s="8" t="n">
        <f aca="false">-PMT(Debt_Rate,Debt_Tenor,$F$99*Gearing)*(J413&gt;=1)*(J413&lt;=Debt_Tenor)</f>
        <v>0</v>
      </c>
      <c r="K443" s="8" t="n">
        <f aca="false">-PMT(Debt_Rate,Debt_Tenor,$F$99*Gearing)*(K413&gt;=1)*(K413&lt;=Debt_Tenor)</f>
        <v>0</v>
      </c>
      <c r="L443" s="8" t="n">
        <f aca="false">-PMT(Debt_Rate,Debt_Tenor,$F$99*Gearing)*(L413&gt;=1)*(L413&lt;=Debt_Tenor)</f>
        <v>0</v>
      </c>
      <c r="M443" s="8" t="n">
        <f aca="false">-PMT(Debt_Rate,Debt_Tenor,$F$99*Gearing)*(M413&gt;=1)*(M413&lt;=Debt_Tenor)</f>
        <v>0</v>
      </c>
      <c r="N443" s="8" t="n">
        <f aca="false">-PMT(Debt_Rate,Debt_Tenor,$F$99*Gearing)*(N413&gt;=1)*(N413&lt;=Debt_Tenor)</f>
        <v>0</v>
      </c>
      <c r="O443" s="8" t="n">
        <f aca="false">-PMT(Debt_Rate,Debt_Tenor,$F$99*Gearing)*(O413&gt;=1)*(O413&lt;=Debt_Tenor)</f>
        <v>0</v>
      </c>
      <c r="P443" s="8" t="n">
        <f aca="false">-PMT(Debt_Rate,Debt_Tenor,$F$99*Gearing)*(P413&gt;=1)*(P413&lt;=Debt_Tenor)</f>
        <v>4439.45603780434</v>
      </c>
      <c r="Q443" s="8" t="n">
        <f aca="false">-PMT(Debt_Rate,Debt_Tenor,$F$99*Gearing)*(Q413&gt;=1)*(Q413&lt;=Debt_Tenor)</f>
        <v>4439.45603780434</v>
      </c>
      <c r="R443" s="8" t="n">
        <f aca="false">-PMT(Debt_Rate,Debt_Tenor,$F$99*Gearing)*(R413&gt;=1)*(R413&lt;=Debt_Tenor)</f>
        <v>4439.45603780434</v>
      </c>
      <c r="S443" s="8" t="n">
        <f aca="false">-PMT(Debt_Rate,Debt_Tenor,$F$99*Gearing)*(S413&gt;=1)*(S413&lt;=Debt_Tenor)</f>
        <v>4439.45603780434</v>
      </c>
      <c r="T443" s="8" t="n">
        <f aca="false">-PMT(Debt_Rate,Debt_Tenor,$F$99*Gearing)*(T413&gt;=1)*(T413&lt;=Debt_Tenor)</f>
        <v>4439.45603780434</v>
      </c>
      <c r="U443" s="8" t="n">
        <f aca="false">-PMT(Debt_Rate,Debt_Tenor,$F$99*Gearing)*(U413&gt;=1)*(U413&lt;=Debt_Tenor)</f>
        <v>4439.45603780434</v>
      </c>
      <c r="V443" s="8" t="n">
        <f aca="false">-PMT(Debt_Rate,Debt_Tenor,$F$99*Gearing)*(V413&gt;=1)*(V413&lt;=Debt_Tenor)</f>
        <v>4439.45603780434</v>
      </c>
      <c r="W443" s="8" t="n">
        <f aca="false">-PMT(Debt_Rate,Debt_Tenor,$F$99*Gearing)*(W413&gt;=1)*(W413&lt;=Debt_Tenor)</f>
        <v>4439.45603780434</v>
      </c>
      <c r="X443" s="8" t="n">
        <f aca="false">-PMT(Debt_Rate,Debt_Tenor,$F$99*Gearing)*(X413&gt;=1)*(X413&lt;=Debt_Tenor)</f>
        <v>4439.45603780434</v>
      </c>
      <c r="Y443" s="8" t="n">
        <f aca="false">-PMT(Debt_Rate,Debt_Tenor,$F$99*Gearing)*(Y413&gt;=1)*(Y413&lt;=Debt_Tenor)</f>
        <v>4439.45603780434</v>
      </c>
      <c r="Z443" s="8" t="n">
        <f aca="false">-PMT(Debt_Rate,Debt_Tenor,$F$99*Gearing)*(Z413&gt;=1)*(Z413&lt;=Debt_Tenor)</f>
        <v>4439.45603780434</v>
      </c>
      <c r="AA443" s="8" t="n">
        <f aca="false">-PMT(Debt_Rate,Debt_Tenor,$F$99*Gearing)*(AA413&gt;=1)*(AA413&lt;=Debt_Tenor)</f>
        <v>4439.45603780434</v>
      </c>
      <c r="AB443" s="8" t="n">
        <f aca="false">-PMT(Debt_Rate,Debt_Tenor,$F$99*Gearing)*(AB413&gt;=1)*(AB413&lt;=Debt_Tenor)</f>
        <v>4439.45603780434</v>
      </c>
      <c r="AC443" s="8" t="n">
        <f aca="false">-PMT(Debt_Rate,Debt_Tenor,$F$99*Gearing)*(AC413&gt;=1)*(AC413&lt;=Debt_Tenor)</f>
        <v>4439.45603780434</v>
      </c>
      <c r="AD443" s="8" t="n">
        <f aca="false">-PMT(Debt_Rate,Debt_Tenor,$F$99*Gearing)*(AD413&gt;=1)*(AD413&lt;=Debt_Tenor)</f>
        <v>4439.45603780434</v>
      </c>
      <c r="AE443" s="8" t="n">
        <f aca="false">-PMT(Debt_Rate,Debt_Tenor,$F$99*Gearing)*(AE413&gt;=1)*(AE413&lt;=Debt_Tenor)</f>
        <v>0</v>
      </c>
      <c r="AF443" s="8" t="n">
        <f aca="false">-PMT(Debt_Rate,Debt_Tenor,$F$99*Gearing)*(AF413&gt;=1)*(AF413&lt;=Debt_Tenor)</f>
        <v>0</v>
      </c>
      <c r="AG443" s="8" t="n">
        <f aca="false">-PMT(Debt_Rate,Debt_Tenor,$F$99*Gearing)*(AG413&gt;=1)*(AG413&lt;=Debt_Tenor)</f>
        <v>0</v>
      </c>
      <c r="AH443" s="8" t="n">
        <f aca="false">-PMT(Debt_Rate,Debt_Tenor,$F$99*Gearing)*(AH413&gt;=1)*(AH413&lt;=Debt_Tenor)</f>
        <v>0</v>
      </c>
      <c r="AI443" s="8" t="n">
        <f aca="false">-PMT(Debt_Rate,Debt_Tenor,$F$99*Gearing)*(AI413&gt;=1)*(AI413&lt;=Debt_Tenor)</f>
        <v>0</v>
      </c>
      <c r="AJ443" s="8" t="n">
        <f aca="false">-PMT(Debt_Rate,Debt_Tenor,$F$99*Gearing)*(AJ413&gt;=1)*(AJ413&lt;=Debt_Tenor)</f>
        <v>0</v>
      </c>
      <c r="AK443" s="8" t="n">
        <f aca="false">-PMT(Debt_Rate,Debt_Tenor,$F$99*Gearing)*(AK413&gt;=1)*(AK413&lt;=Debt_Tenor)</f>
        <v>0</v>
      </c>
      <c r="AL443" s="8" t="n">
        <f aca="false">-PMT(Debt_Rate,Debt_Tenor,$F$99*Gearing)*(AL413&gt;=1)*(AL413&lt;=Debt_Tenor)</f>
        <v>0</v>
      </c>
      <c r="AM443" s="8" t="n">
        <f aca="false">-PMT(Debt_Rate,Debt_Tenor,$F$99*Gearing)*(AM413&gt;=1)*(AM413&lt;=Debt_Tenor)</f>
        <v>0</v>
      </c>
      <c r="AN443" s="8" t="n">
        <f aca="false">-PMT(Debt_Rate,Debt_Tenor,$F$99*Gearing)*(AN413&gt;=1)*(AN413&lt;=Debt_Tenor)</f>
        <v>0</v>
      </c>
      <c r="AO443" s="8" t="n">
        <f aca="false">-PMT(Debt_Rate,Debt_Tenor,$F$99*Gearing)*(AO413&gt;=1)*(AO413&lt;=Debt_Tenor)</f>
        <v>0</v>
      </c>
      <c r="AP443" s="8" t="n">
        <f aca="false">-PMT(Debt_Rate,Debt_Tenor,$F$99*Gearing)*(AP413&gt;=1)*(AP413&lt;=Debt_Tenor)</f>
        <v>0</v>
      </c>
      <c r="AQ443" s="8" t="n">
        <f aca="false">-PMT(Debt_Rate,Debt_Tenor,$F$99*Gearing)*(AQ413&gt;=1)*(AQ413&lt;=Debt_Tenor)</f>
        <v>0</v>
      </c>
      <c r="AR443" s="8" t="n">
        <f aca="false">-PMT(Debt_Rate,Debt_Tenor,$F$99*Gearing)*(AR413&gt;=1)*(AR413&lt;=Debt_Tenor)</f>
        <v>0</v>
      </c>
      <c r="AS443" s="8" t="n">
        <f aca="false">-PMT(Debt_Rate,Debt_Tenor,$F$99*Gearing)*(AS413&gt;=1)*(AS413&lt;=Debt_Tenor)</f>
        <v>0</v>
      </c>
    </row>
    <row r="444" customFormat="false" ht="14.25" hidden="false" customHeight="false" outlineLevel="0" collapsed="false">
      <c r="C444" s="6" t="s">
        <v>321</v>
      </c>
      <c r="D444" s="2" t="s">
        <v>85</v>
      </c>
      <c r="H444" s="8" t="n">
        <f aca="false">SUM(J444:AS444)</f>
        <v>20511.8050191199</v>
      </c>
      <c r="J444" s="8" t="n">
        <f aca="false">I446*Debt_Rate*(J413&gt;=1)</f>
        <v>0</v>
      </c>
      <c r="K444" s="8" t="n">
        <f aca="false">J446*Debt_Rate*(K413&gt;=1)</f>
        <v>0</v>
      </c>
      <c r="L444" s="8" t="n">
        <f aca="false">K446*Debt_Rate*(L413&gt;=1)</f>
        <v>0</v>
      </c>
      <c r="M444" s="8" t="n">
        <f aca="false">L446*Debt_Rate*(M413&gt;=1)</f>
        <v>0</v>
      </c>
      <c r="N444" s="8" t="n">
        <f aca="false">M446*Debt_Rate*(N413&gt;=1)</f>
        <v>0</v>
      </c>
      <c r="O444" s="8" t="n">
        <f aca="false">N446*Debt_Rate*(O413&gt;=1)</f>
        <v>0</v>
      </c>
      <c r="P444" s="8" t="n">
        <f aca="false">O446*Debt_Rate*(P413&gt;=1)</f>
        <v>2304.00177739726</v>
      </c>
      <c r="Q444" s="8" t="n">
        <f aca="false">P446*Debt_Rate*(Q413&gt;=1)</f>
        <v>2197.22906437691</v>
      </c>
      <c r="R444" s="8" t="n">
        <f aca="false">Q446*Debt_Rate*(R413&gt;=1)</f>
        <v>2085.11771570553</v>
      </c>
      <c r="S444" s="8" t="n">
        <f aca="false">R446*Debt_Rate*(S413&gt;=1)</f>
        <v>1967.40079960059</v>
      </c>
      <c r="T444" s="8" t="n">
        <f aca="false">S446*Debt_Rate*(T413&gt;=1)</f>
        <v>1843.79803769041</v>
      </c>
      <c r="U444" s="8" t="n">
        <f aca="false">T446*Debt_Rate*(U413&gt;=1)</f>
        <v>1714.01513768471</v>
      </c>
      <c r="V444" s="8" t="n">
        <f aca="false">U446*Debt_Rate*(V413&gt;=1)</f>
        <v>1577.74309267873</v>
      </c>
      <c r="W444" s="8" t="n">
        <f aca="false">V446*Debt_Rate*(W413&gt;=1)</f>
        <v>1434.65744542245</v>
      </c>
      <c r="X444" s="8" t="n">
        <f aca="false">W446*Debt_Rate*(X413&gt;=1)</f>
        <v>1284.41751580335</v>
      </c>
      <c r="Y444" s="8" t="n">
        <f aca="false">X446*Debt_Rate*(Y413&gt;=1)</f>
        <v>1126.6655897033</v>
      </c>
      <c r="Z444" s="8" t="n">
        <f aca="false">Y446*Debt_Rate*(Z413&gt;=1)</f>
        <v>961.026067298251</v>
      </c>
      <c r="AA444" s="8" t="n">
        <f aca="false">Z446*Debt_Rate*(AA413&gt;=1)</f>
        <v>787.104568772946</v>
      </c>
      <c r="AB444" s="8" t="n">
        <f aca="false">AA446*Debt_Rate*(AB413&gt;=1)</f>
        <v>604.486995321376</v>
      </c>
      <c r="AC444" s="8" t="n">
        <f aca="false">AB446*Debt_Rate*(AC413&gt;=1)</f>
        <v>412.738543197228</v>
      </c>
      <c r="AD444" s="8" t="n">
        <f aca="false">AC446*Debt_Rate*(AD413&gt;=1)</f>
        <v>211.402668466872</v>
      </c>
      <c r="AE444" s="8" t="n">
        <f aca="false">AD446*Debt_Rate*(AE413&gt;=1)</f>
        <v>-1.36424205265939E-012</v>
      </c>
      <c r="AF444" s="8" t="n">
        <f aca="false">AE446*Debt_Rate*(AF413&gt;=1)</f>
        <v>-1.43245415529236E-012</v>
      </c>
      <c r="AG444" s="8" t="n">
        <f aca="false">AF446*Debt_Rate*(AG413&gt;=1)</f>
        <v>-1.50407686305698E-012</v>
      </c>
      <c r="AH444" s="8" t="n">
        <f aca="false">AG446*Debt_Rate*(AH413&gt;=1)</f>
        <v>-1.57928070620983E-012</v>
      </c>
      <c r="AI444" s="8" t="n">
        <f aca="false">AH446*Debt_Rate*(AI413&gt;=1)</f>
        <v>-1.65824474152032E-012</v>
      </c>
      <c r="AJ444" s="8" t="n">
        <f aca="false">AI446*Debt_Rate*(AJ413&gt;=1)</f>
        <v>-1.74115697859634E-012</v>
      </c>
      <c r="AK444" s="8" t="n">
        <f aca="false">AJ446*Debt_Rate*(AK413&gt;=1)</f>
        <v>-1.82821482752615E-012</v>
      </c>
      <c r="AL444" s="8" t="n">
        <f aca="false">AK446*Debt_Rate*(AL413&gt;=1)</f>
        <v>-1.91962556890246E-012</v>
      </c>
      <c r="AM444" s="8" t="n">
        <f aca="false">AL446*Debt_Rate*(AM413&gt;=1)</f>
        <v>-2.01560684734758E-012</v>
      </c>
      <c r="AN444" s="8" t="n">
        <f aca="false">AM446*Debt_Rate*(AN413&gt;=1)</f>
        <v>-2.11638718971496E-012</v>
      </c>
      <c r="AO444" s="8" t="n">
        <f aca="false">AN446*Debt_Rate*(AO413&gt;=1)</f>
        <v>-2.22220654920071E-012</v>
      </c>
      <c r="AP444" s="8" t="n">
        <f aca="false">AO446*Debt_Rate*(AP413&gt;=1)</f>
        <v>-2.33331687666075E-012</v>
      </c>
      <c r="AQ444" s="8" t="n">
        <f aca="false">AP446*Debt_Rate*(AQ413&gt;=1)</f>
        <v>-2.44998272049379E-012</v>
      </c>
      <c r="AR444" s="8" t="n">
        <f aca="false">AQ446*Debt_Rate*(AR413&gt;=1)</f>
        <v>-2.57248185651847E-012</v>
      </c>
      <c r="AS444" s="8" t="n">
        <f aca="false">AR446*Debt_Rate*(AS413&gt;=1)</f>
        <v>-2.7011059493444E-012</v>
      </c>
    </row>
    <row r="445" customFormat="false" ht="14.25" hidden="false" customHeight="false" outlineLevel="0" collapsed="false">
      <c r="C445" s="6" t="s">
        <v>322</v>
      </c>
      <c r="D445" s="2" t="s">
        <v>85</v>
      </c>
      <c r="H445" s="8" t="n">
        <f aca="false">SUM(J445:AS445)</f>
        <v>46080.0355479453</v>
      </c>
      <c r="J445" s="8" t="n">
        <f aca="false">J443-J444</f>
        <v>0</v>
      </c>
      <c r="K445" s="8" t="n">
        <f aca="false">K443-K444</f>
        <v>0</v>
      </c>
      <c r="L445" s="8" t="n">
        <f aca="false">L443-L444</f>
        <v>0</v>
      </c>
      <c r="M445" s="8" t="n">
        <f aca="false">M443-M444</f>
        <v>0</v>
      </c>
      <c r="N445" s="8" t="n">
        <f aca="false">N443-N444</f>
        <v>0</v>
      </c>
      <c r="O445" s="8" t="n">
        <f aca="false">O443-O444</f>
        <v>0</v>
      </c>
      <c r="P445" s="8" t="n">
        <f aca="false">P443-P444</f>
        <v>2135.45426040708</v>
      </c>
      <c r="Q445" s="8" t="n">
        <f aca="false">Q443-Q444</f>
        <v>2242.22697342744</v>
      </c>
      <c r="R445" s="8" t="n">
        <f aca="false">R443-R444</f>
        <v>2354.33832209881</v>
      </c>
      <c r="S445" s="8" t="n">
        <f aca="false">S443-S444</f>
        <v>2472.05523820375</v>
      </c>
      <c r="T445" s="8" t="n">
        <f aca="false">T443-T444</f>
        <v>2595.65800011394</v>
      </c>
      <c r="U445" s="8" t="n">
        <f aca="false">U443-U444</f>
        <v>2725.44090011963</v>
      </c>
      <c r="V445" s="8" t="n">
        <f aca="false">V443-V444</f>
        <v>2861.71294512561</v>
      </c>
      <c r="W445" s="8" t="n">
        <f aca="false">W443-W444</f>
        <v>3004.7985923819</v>
      </c>
      <c r="X445" s="8" t="n">
        <f aca="false">X443-X444</f>
        <v>3155.03852200099</v>
      </c>
      <c r="Y445" s="8" t="n">
        <f aca="false">Y443-Y444</f>
        <v>3312.79044810104</v>
      </c>
      <c r="Z445" s="8" t="n">
        <f aca="false">Z443-Z444</f>
        <v>3478.42997050609</v>
      </c>
      <c r="AA445" s="8" t="n">
        <f aca="false">AA443-AA444</f>
        <v>3652.3514690314</v>
      </c>
      <c r="AB445" s="8" t="n">
        <f aca="false">AB443-AB444</f>
        <v>3834.96904248297</v>
      </c>
      <c r="AC445" s="8" t="n">
        <f aca="false">AC443-AC444</f>
        <v>4026.71749460711</v>
      </c>
      <c r="AD445" s="8" t="n">
        <f aca="false">AD443-AD444</f>
        <v>4228.05336933747</v>
      </c>
      <c r="AE445" s="8" t="n">
        <f aca="false">AE443-AE444</f>
        <v>1.36424205265939E-012</v>
      </c>
      <c r="AF445" s="8" t="n">
        <f aca="false">AF443-AF444</f>
        <v>1.43245415529236E-012</v>
      </c>
      <c r="AG445" s="8" t="n">
        <f aca="false">AG443-AG444</f>
        <v>1.50407686305698E-012</v>
      </c>
      <c r="AH445" s="8" t="n">
        <f aca="false">AH443-AH444</f>
        <v>1.57928070620983E-012</v>
      </c>
      <c r="AI445" s="8" t="n">
        <f aca="false">AI443-AI444</f>
        <v>1.65824474152032E-012</v>
      </c>
      <c r="AJ445" s="8" t="n">
        <f aca="false">AJ443-AJ444</f>
        <v>1.74115697859634E-012</v>
      </c>
      <c r="AK445" s="8" t="n">
        <f aca="false">AK443-AK444</f>
        <v>1.82821482752615E-012</v>
      </c>
      <c r="AL445" s="8" t="n">
        <f aca="false">AL443-AL444</f>
        <v>1.91962556890246E-012</v>
      </c>
      <c r="AM445" s="8" t="n">
        <f aca="false">AM443-AM444</f>
        <v>2.01560684734758E-012</v>
      </c>
      <c r="AN445" s="8" t="n">
        <f aca="false">AN443-AN444</f>
        <v>2.11638718971496E-012</v>
      </c>
      <c r="AO445" s="8" t="n">
        <f aca="false">AO443-AO444</f>
        <v>2.22220654920071E-012</v>
      </c>
      <c r="AP445" s="8" t="n">
        <f aca="false">AP443-AP444</f>
        <v>2.33331687666075E-012</v>
      </c>
      <c r="AQ445" s="8" t="n">
        <f aca="false">AQ443-AQ444</f>
        <v>2.44998272049379E-012</v>
      </c>
      <c r="AR445" s="8" t="n">
        <f aca="false">AR443-AR444</f>
        <v>2.57248185651847E-012</v>
      </c>
      <c r="AS445" s="8" t="n">
        <f aca="false">AS443-AS444</f>
        <v>2.7011059493444E-012</v>
      </c>
    </row>
    <row r="446" customFormat="false" ht="14.25" hidden="false" customHeight="false" outlineLevel="0" collapsed="false">
      <c r="C446" s="6" t="s">
        <v>323</v>
      </c>
      <c r="D446" s="2" t="s">
        <v>85</v>
      </c>
      <c r="H446" s="8"/>
      <c r="J446" s="8" t="n">
        <f aca="false">I446+J442-J445</f>
        <v>0</v>
      </c>
      <c r="K446" s="8" t="n">
        <f aca="false">J446+K442-K445</f>
        <v>0</v>
      </c>
      <c r="L446" s="8" t="n">
        <f aca="false">K446+L442-L445</f>
        <v>0</v>
      </c>
      <c r="M446" s="8" t="n">
        <f aca="false">L446+M442-M445</f>
        <v>0</v>
      </c>
      <c r="N446" s="8" t="n">
        <f aca="false">M446+N442-N445</f>
        <v>0</v>
      </c>
      <c r="O446" s="8" t="n">
        <f aca="false">N446+O442-O445</f>
        <v>46080.0355479452</v>
      </c>
      <c r="P446" s="8" t="n">
        <f aca="false">O446+P442-P445</f>
        <v>43944.5812875381</v>
      </c>
      <c r="Q446" s="8" t="n">
        <f aca="false">P446+Q442-Q445</f>
        <v>41702.3543141107</v>
      </c>
      <c r="R446" s="8" t="n">
        <f aca="false">Q446+R442-R445</f>
        <v>39348.0159920119</v>
      </c>
      <c r="S446" s="8" t="n">
        <f aca="false">R446+S442-S445</f>
        <v>36875.9607538081</v>
      </c>
      <c r="T446" s="8" t="n">
        <f aca="false">S446+T442-T445</f>
        <v>34280.3027536942</v>
      </c>
      <c r="U446" s="8" t="n">
        <f aca="false">T446+U442-U445</f>
        <v>31554.8618535746</v>
      </c>
      <c r="V446" s="8" t="n">
        <f aca="false">U446+V442-V445</f>
        <v>28693.1489084489</v>
      </c>
      <c r="W446" s="8" t="n">
        <f aca="false">V446+W442-W445</f>
        <v>25688.350316067</v>
      </c>
      <c r="X446" s="8" t="n">
        <f aca="false">W446+X442-X445</f>
        <v>22533.3117940661</v>
      </c>
      <c r="Y446" s="8" t="n">
        <f aca="false">X446+Y442-Y445</f>
        <v>19220.521345965</v>
      </c>
      <c r="Z446" s="8" t="n">
        <f aca="false">Y446+Z442-Z445</f>
        <v>15742.0913754589</v>
      </c>
      <c r="AA446" s="8" t="n">
        <f aca="false">Z446+AA442-AA445</f>
        <v>12089.7399064275</v>
      </c>
      <c r="AB446" s="8" t="n">
        <f aca="false">AA446+AB442-AB445</f>
        <v>8254.77086394456</v>
      </c>
      <c r="AC446" s="8" t="n">
        <f aca="false">AB446+AC442-AC445</f>
        <v>4228.05336933744</v>
      </c>
      <c r="AD446" s="8" t="n">
        <f aca="false">AC446+AD442-AD445</f>
        <v>-2.72848410531878E-011</v>
      </c>
      <c r="AE446" s="8" t="n">
        <f aca="false">AD446+AE442-AE445</f>
        <v>-2.86490831058472E-011</v>
      </c>
      <c r="AF446" s="8" t="n">
        <f aca="false">AE446+AF442-AF445</f>
        <v>-3.00815372611396E-011</v>
      </c>
      <c r="AG446" s="8" t="n">
        <f aca="false">AF446+AG442-AG445</f>
        <v>-3.15856141241966E-011</v>
      </c>
      <c r="AH446" s="8" t="n">
        <f aca="false">AG446+AH442-AH445</f>
        <v>-3.31648948304064E-011</v>
      </c>
      <c r="AI446" s="8" t="n">
        <f aca="false">AH446+AI442-AI445</f>
        <v>-3.48231395719267E-011</v>
      </c>
      <c r="AJ446" s="8" t="n">
        <f aca="false">AI446+AJ442-AJ445</f>
        <v>-3.65642965505231E-011</v>
      </c>
      <c r="AK446" s="8" t="n">
        <f aca="false">AJ446+AK442-AK445</f>
        <v>-3.83925113780492E-011</v>
      </c>
      <c r="AL446" s="8" t="n">
        <f aca="false">AK446+AL442-AL445</f>
        <v>-4.03121369469517E-011</v>
      </c>
      <c r="AM446" s="8" t="n">
        <f aca="false">AL446+AM442-AM445</f>
        <v>-4.23277437942993E-011</v>
      </c>
      <c r="AN446" s="8" t="n">
        <f aca="false">AM446+AN442-AN445</f>
        <v>-4.44441309840142E-011</v>
      </c>
      <c r="AO446" s="8" t="n">
        <f aca="false">AN446+AO442-AO445</f>
        <v>-4.6666337533215E-011</v>
      </c>
      <c r="AP446" s="8" t="n">
        <f aca="false">AO446+AP442-AP445</f>
        <v>-4.89996544098757E-011</v>
      </c>
      <c r="AQ446" s="8" t="n">
        <f aca="false">AP446+AQ442-AQ445</f>
        <v>-5.14496371303695E-011</v>
      </c>
      <c r="AR446" s="8" t="n">
        <f aca="false">AQ446+AR442-AR445</f>
        <v>-5.4022118986888E-011</v>
      </c>
      <c r="AS446" s="8" t="n">
        <f aca="false">AR446+AS442-AS445</f>
        <v>-5.67232249362324E-011</v>
      </c>
    </row>
    <row r="447" customFormat="false" ht="14.25" hidden="false" customHeight="false" outlineLevel="0" collapsed="false">
      <c r="C447" s="6" t="s">
        <v>324</v>
      </c>
      <c r="D447" s="2" t="s">
        <v>85</v>
      </c>
      <c r="H447" s="8" t="n">
        <f aca="false">SUM(J447:AS447)</f>
        <v>-32758.9685760495</v>
      </c>
      <c r="J447" s="8" t="n">
        <f aca="false">-MAX(0,J437+J439-J444)*CIT_Rate*(J417&gt;0)</f>
        <v>-0</v>
      </c>
      <c r="K447" s="8" t="n">
        <f aca="false">-MAX(0,K437+K439-K444)*CIT_Rate*(K417&gt;0)</f>
        <v>-0</v>
      </c>
      <c r="L447" s="8" t="n">
        <f aca="false">-MAX(0,L437+L439-L444)*CIT_Rate*(L417&gt;0)</f>
        <v>-0</v>
      </c>
      <c r="M447" s="8" t="n">
        <f aca="false">-MAX(0,M437+M439-M444)*CIT_Rate*(M417&gt;0)</f>
        <v>-0</v>
      </c>
      <c r="N447" s="8" t="n">
        <f aca="false">-MAX(0,N437+N439-N444)*CIT_Rate*(N417&gt;0)</f>
        <v>-0</v>
      </c>
      <c r="O447" s="8" t="n">
        <f aca="false">-MAX(0,O437+O439-O444)*CIT_Rate*(O417&gt;0)</f>
        <v>-184.465323250685</v>
      </c>
      <c r="P447" s="8" t="n">
        <f aca="false">-MAX(0,P437+P439-P444)*CIT_Rate*(P417&gt;0)</f>
        <v>-609.647071343096</v>
      </c>
      <c r="Q447" s="8" t="n">
        <f aca="false">-MAX(0,Q437+Q439-Q444)*CIT_Rate*(Q417&gt;0)</f>
        <v>-630.518329022906</v>
      </c>
      <c r="R447" s="8" t="n">
        <f aca="false">-MAX(0,R437+R439-R444)*CIT_Rate*(R417&gt;0)</f>
        <v>-652.065673789328</v>
      </c>
      <c r="S447" s="8" t="n">
        <f aca="false">-MAX(0,S437+S439-S444)*CIT_Rate*(S417&gt;0)</f>
        <v>-674.324488877641</v>
      </c>
      <c r="T447" s="8" t="n">
        <f aca="false">-MAX(0,T437+T439-T444)*CIT_Rate*(T417&gt;0)</f>
        <v>-697.332034849061</v>
      </c>
      <c r="U447" s="8" t="n">
        <f aca="false">-MAX(0,U437+U439-U444)*CIT_Rate*(U417&gt;0)</f>
        <v>-721.127546574568</v>
      </c>
      <c r="V447" s="8" t="n">
        <f aca="false">-MAX(0,V437+V439-V444)*CIT_Rate*(V417&gt;0)</f>
        <v>-745.752335147106</v>
      </c>
      <c r="W447" s="8" t="n">
        <f aca="false">-MAX(0,W437+W439-W444)*CIT_Rate*(W417&gt;0)</f>
        <v>-771.249894970495</v>
      </c>
      <c r="X447" s="8" t="n">
        <f aca="false">-MAX(0,X437+X439-X444)*CIT_Rate*(X417&gt;0)</f>
        <v>-797.666016285915</v>
      </c>
      <c r="Y447" s="8" t="n">
        <f aca="false">-MAX(0,Y437+Y439-Y444)*CIT_Rate*(Y417&gt;0)</f>
        <v>-825.048903409881</v>
      </c>
      <c r="Z447" s="8" t="n">
        <f aca="false">-MAX(0,Z437+Z439-Z444)*CIT_Rate*(Z417&gt;0)</f>
        <v>-853.449298971383</v>
      </c>
      <c r="AA447" s="8" t="n">
        <f aca="false">-MAX(0,AA437+AA439-AA444)*CIT_Rate*(AA417&gt;0)</f>
        <v>-882.920614450292</v>
      </c>
      <c r="AB447" s="8" t="n">
        <f aca="false">-MAX(0,AB437+AB439-AB444)*CIT_Rate*(AB417&gt;0)</f>
        <v>-913.519067334319</v>
      </c>
      <c r="AC447" s="8" t="n">
        <f aca="false">-MAX(0,AC437+AC439-AC444)*CIT_Rate*(AC417&gt;0)</f>
        <v>-945.303825227687</v>
      </c>
      <c r="AD447" s="8" t="n">
        <f aca="false">-MAX(0,AD437+AD439-AD444)*CIT_Rate*(AD417&gt;0)</f>
        <v>-978.337157261434</v>
      </c>
      <c r="AE447" s="8" t="n">
        <f aca="false">-MAX(0,AE437+AE439-AE444)*CIT_Rate*(AE417&gt;0)</f>
        <v>-1012.68459317279</v>
      </c>
      <c r="AF447" s="8" t="n">
        <f aca="false">-MAX(0,AF437+AF439-AF444)*CIT_Rate*(AF417&gt;0)</f>
        <v>-1015.11917015596</v>
      </c>
      <c r="AG447" s="8" t="n">
        <f aca="false">-MAX(0,AG437+AG439-AG444)*CIT_Rate*(AG417&gt;0)</f>
        <v>-1017.3445732931</v>
      </c>
      <c r="AH447" s="8" t="n">
        <f aca="false">-MAX(0,AH437+AH439-AH444)*CIT_Rate*(AH417&gt;0)</f>
        <v>-1019.35391141156</v>
      </c>
      <c r="AI447" s="8" t="n">
        <f aca="false">-MAX(0,AI437+AI439-AI444)*CIT_Rate*(AI417&gt;0)</f>
        <v>-1597.14055732624</v>
      </c>
      <c r="AJ447" s="8" t="n">
        <f aca="false">-MAX(0,AJ437+AJ439-AJ444)*CIT_Rate*(AJ417&gt;0)</f>
        <v>-1598.69636595756</v>
      </c>
      <c r="AK447" s="8" t="n">
        <f aca="false">-MAX(0,AK437+AK439-AK444)*CIT_Rate*(AK417&gt;0)</f>
        <v>-1600.01433583266</v>
      </c>
      <c r="AL447" s="8" t="n">
        <f aca="false">-MAX(0,AL437+AL439-AL444)*CIT_Rate*(AL417&gt;0)</f>
        <v>-1601.08682698029</v>
      </c>
      <c r="AM447" s="8" t="n">
        <f aca="false">-MAX(0,AM437+AM439-AM444)*CIT_Rate*(AM417&gt;0)</f>
        <v>-1601.90600045683</v>
      </c>
      <c r="AN447" s="8" t="n">
        <f aca="false">-MAX(0,AN437+AN439-AN444)*CIT_Rate*(AN417&gt;0)</f>
        <v>-1602.4638134044</v>
      </c>
      <c r="AO447" s="8" t="n">
        <f aca="false">-MAX(0,AO437+AO439-AO444)*CIT_Rate*(AO417&gt;0)</f>
        <v>-1602.75201398753</v>
      </c>
      <c r="AP447" s="8" t="n">
        <f aca="false">-MAX(0,AP437+AP439-AP444)*CIT_Rate*(AP417&gt;0)</f>
        <v>-1602.76213620557</v>
      </c>
      <c r="AQ447" s="8" t="n">
        <f aca="false">-MAX(0,AQ437+AQ439-AQ444)*CIT_Rate*(AQ417&gt;0)</f>
        <v>-1602.48549457754</v>
      </c>
      <c r="AR447" s="8" t="n">
        <f aca="false">-MAX(0,AR437+AR439-AR444)*CIT_Rate*(AR417&gt;0)</f>
        <v>-1601.91317869653</v>
      </c>
      <c r="AS447" s="8" t="n">
        <f aca="false">-MAX(0,AS437+AS439-AS444)*CIT_Rate*(AS417&gt;0)</f>
        <v>-800.518023825113</v>
      </c>
    </row>
    <row r="448" customFormat="false" ht="14.25" hidden="false" customHeight="false" outlineLevel="0" collapsed="false">
      <c r="C448" s="1" t="s">
        <v>163</v>
      </c>
      <c r="D448" s="2" t="s">
        <v>85</v>
      </c>
      <c r="H448" s="32" t="n">
        <f aca="false">SUM(J448:AS448)</f>
        <v>185634.15526428</v>
      </c>
      <c r="J448" s="32" t="n">
        <f aca="false">J438+J442-J443+J447</f>
        <v>0</v>
      </c>
      <c r="K448" s="32" t="n">
        <f aca="false">K438+K442-K443+K447</f>
        <v>0</v>
      </c>
      <c r="L448" s="32" t="n">
        <f aca="false">L438+L442-L443+L447</f>
        <v>0</v>
      </c>
      <c r="M448" s="32" t="n">
        <f aca="false">M438+M442-M443+M447</f>
        <v>-29757.5797945206</v>
      </c>
      <c r="N448" s="32" t="n">
        <f aca="false">N438+N442-N443+N447</f>
        <v>-31358</v>
      </c>
      <c r="O448" s="32" t="n">
        <f aca="false">O438+O442-O443+O447</f>
        <v>32786.3420086945</v>
      </c>
      <c r="P448" s="32" t="n">
        <f aca="false">P438+P442-P443+P447</f>
        <v>5159.21543953256</v>
      </c>
      <c r="Q448" s="32" t="n">
        <f aca="false">Q438+Q442-Q443+Q447</f>
        <v>7665.23373464301</v>
      </c>
      <c r="R448" s="32" t="n">
        <f aca="false">R438+R442-R443+R447</f>
        <v>5180.70345836949</v>
      </c>
      <c r="S448" s="32" t="n">
        <f aca="false">S438+S442-S443+S447</f>
        <v>5189.11982776499</v>
      </c>
      <c r="T448" s="32" t="n">
        <f aca="false">T438+T442-T443+T447</f>
        <v>5195.89315969284</v>
      </c>
      <c r="U448" s="32" t="n">
        <f aca="false">U438+U442-U443+U447</f>
        <v>5200.95149279836</v>
      </c>
      <c r="V448" s="32" t="n">
        <f aca="false">V438+V442-V443+V447</f>
        <v>5204.21991637009</v>
      </c>
      <c r="W448" s="32" t="n">
        <f aca="false">W438+W442-W443+W447</f>
        <v>5205.62044144634</v>
      </c>
      <c r="X448" s="32" t="n">
        <f aca="false">X438+X442-X443+X447</f>
        <v>5205.07186594796</v>
      </c>
      <c r="Y448" s="32" t="n">
        <f aca="false">Y438+Y442-Y443+Y447</f>
        <v>5202.48963355039</v>
      </c>
      <c r="Z448" s="32" t="n">
        <f aca="false">Z438+Z442-Z443+Z447</f>
        <v>5197.78568599385</v>
      </c>
      <c r="AA448" s="32" t="n">
        <f aca="false">AA438+AA442-AA443+AA447</f>
        <v>5190.86830851569</v>
      </c>
      <c r="AB448" s="32" t="n">
        <f aca="false">AB438+AB442-AB443+AB447</f>
        <v>5181.64196807361</v>
      </c>
      <c r="AC448" s="32" t="n">
        <f aca="false">AC438+AC442-AC443+AC447</f>
        <v>5170.00714401188</v>
      </c>
      <c r="AD448" s="32" t="n">
        <f aca="false">AD438+AD442-AD443+AD447</f>
        <v>5155.86015080609</v>
      </c>
      <c r="AE448" s="32" t="n">
        <f aca="false">AE438+AE442-AE443+AE447</f>
        <v>9578.5489903079</v>
      </c>
      <c r="AF448" s="32" t="n">
        <f aca="false">AF438+AF442-AF443+AF447</f>
        <v>9592.34492654589</v>
      </c>
      <c r="AG448" s="32" t="n">
        <f aca="false">AG438+AG442-AG443+AG447</f>
        <v>9604.95554432298</v>
      </c>
      <c r="AH448" s="32" t="n">
        <f aca="false">AH438+AH442-AH443+AH447</f>
        <v>9616.34179366096</v>
      </c>
      <c r="AI448" s="32" t="n">
        <f aca="false">AI438+AI442-AI443+AI447</f>
        <v>9050.463158182</v>
      </c>
      <c r="AJ448" s="32" t="n">
        <f aca="false">AJ438+AJ442-AJ443+AJ447</f>
        <v>9059.27940709287</v>
      </c>
      <c r="AK448" s="32" t="n">
        <f aca="false">AK438+AK442-AK443+AK447</f>
        <v>9066.74790305173</v>
      </c>
      <c r="AL448" s="32" t="n">
        <f aca="false">AL438+AL442-AL443+AL447</f>
        <v>9072.8253528883</v>
      </c>
      <c r="AM448" s="32" t="n">
        <f aca="false">AM438+AM442-AM443+AM447</f>
        <v>9077.46733592206</v>
      </c>
      <c r="AN448" s="32" t="n">
        <f aca="false">AN438+AN442-AN443+AN447</f>
        <v>9080.62827595824</v>
      </c>
      <c r="AO448" s="32" t="n">
        <f aca="false">AO438+AO442-AO443+AO447</f>
        <v>9082.26141259599</v>
      </c>
      <c r="AP448" s="32" t="n">
        <f aca="false">AP438+AP442-AP443+AP447</f>
        <v>9082.31877183154</v>
      </c>
      <c r="AQ448" s="32" t="n">
        <f aca="false">AQ438+AQ442-AQ443+AQ447</f>
        <v>9080.75113593939</v>
      </c>
      <c r="AR448" s="32" t="n">
        <f aca="false">AR438+AR442-AR443+AR447</f>
        <v>9077.50801261365</v>
      </c>
      <c r="AS448" s="32" t="n">
        <f aca="false">AS438+AS442-AS443+AS447</f>
        <v>4536.26880167564</v>
      </c>
    </row>
    <row r="449" customFormat="false" ht="14.25" hidden="false" customHeight="false" outlineLevel="0" collapsed="false">
      <c r="C449" s="6" t="s">
        <v>325</v>
      </c>
      <c r="D449" s="2" t="s">
        <v>3</v>
      </c>
      <c r="H449" s="47" t="n">
        <f aca="false">MIN(J449:AS449)</f>
        <v>2.29945255944663</v>
      </c>
      <c r="J449" s="47" t="str">
        <f aca="false">IF(J443&gt;0,J437/J443,"")</f>
        <v/>
      </c>
      <c r="K449" s="47" t="str">
        <f aca="false">IF(K443&gt;0,K437/K443,"")</f>
        <v/>
      </c>
      <c r="L449" s="47" t="str">
        <f aca="false">IF(L443&gt;0,L437/L443,"")</f>
        <v/>
      </c>
      <c r="M449" s="47" t="str">
        <f aca="false">IF(M443&gt;0,M437/M443,"")</f>
        <v/>
      </c>
      <c r="N449" s="47" t="str">
        <f aca="false">IF(N443&gt;0,N437/N443,"")</f>
        <v/>
      </c>
      <c r="O449" s="47" t="str">
        <f aca="false">IF(O443&gt;0,O437/O443,"")</f>
        <v/>
      </c>
      <c r="P449" s="47" t="n">
        <f aca="false">IF(P443&gt;0,P437/P443,"")</f>
        <v>2.29945255944663</v>
      </c>
      <c r="Q449" s="47" t="n">
        <f aca="false">IF(Q443&gt;0,Q437/Q443,"")</f>
        <v>2.3067437691285</v>
      </c>
      <c r="R449" s="47" t="n">
        <f aca="false">IF(R443&gt;0,R437/R443,"")</f>
        <v>2.31384770622564</v>
      </c>
      <c r="S449" s="47" t="n">
        <f aca="false">IF(S443&gt;0,S437/S443,"")</f>
        <v>2.32075737809143</v>
      </c>
      <c r="T449" s="47" t="n">
        <f aca="false">IF(T443&gt;0,T437/T443,"")</f>
        <v>2.32746560487545</v>
      </c>
      <c r="U449" s="47" t="n">
        <f aca="false">IF(U443&gt;0,U437/U443,"")</f>
        <v>2.33396501484489</v>
      </c>
      <c r="V449" s="47" t="n">
        <f aca="false">IF(V443&gt;0,V437/V443,"")</f>
        <v>2.34024803959089</v>
      </c>
      <c r="W449" s="47" t="n">
        <f aca="false">IF(W443&gt;0,W437/W443,"")</f>
        <v>2.34630690911693</v>
      </c>
      <c r="X449" s="47" t="n">
        <f aca="false">IF(X443&gt;0,X437/X443,"")</f>
        <v>2.35213364680658</v>
      </c>
      <c r="Y449" s="47" t="n">
        <f aca="false">IF(Y443&gt;0,Y437/Y443,"")</f>
        <v>2.35772006426746</v>
      </c>
      <c r="Z449" s="47" t="n">
        <f aca="false">IF(Z443&gt;0,Z437/Z443,"")</f>
        <v>2.36305775604843</v>
      </c>
      <c r="AA449" s="47" t="n">
        <f aca="false">IF(AA443&gt;0,AA437/AA443,"")</f>
        <v>2.36813809422696</v>
      </c>
      <c r="AB449" s="47" t="n">
        <f aca="false">IF(AB443&gt;0,AB437/AB443,"")</f>
        <v>2.37295222286343</v>
      </c>
      <c r="AC449" s="47" t="n">
        <f aca="false">IF(AC443&gt;0,AC437/AC443,"")</f>
        <v>2.37749105231912</v>
      </c>
      <c r="AD449" s="47" t="n">
        <f aca="false">IF(AD443&gt;0,AD437/AD443,"")</f>
        <v>2.38174525343455</v>
      </c>
      <c r="AE449" s="47" t="str">
        <f aca="false">IF(AE443&gt;0,AE437/AE443,"")</f>
        <v/>
      </c>
      <c r="AF449" s="47" t="str">
        <f aca="false">IF(AF443&gt;0,AF437/AF443,"")</f>
        <v/>
      </c>
      <c r="AG449" s="47" t="str">
        <f aca="false">IF(AG443&gt;0,AG437/AG443,"")</f>
        <v/>
      </c>
      <c r="AH449" s="47" t="str">
        <f aca="false">IF(AH443&gt;0,AH437/AH443,"")</f>
        <v/>
      </c>
      <c r="AI449" s="47" t="str">
        <f aca="false">IF(AI443&gt;0,AI437/AI443,"")</f>
        <v/>
      </c>
      <c r="AJ449" s="47" t="str">
        <f aca="false">IF(AJ443&gt;0,AJ437/AJ443,"")</f>
        <v/>
      </c>
      <c r="AK449" s="47" t="str">
        <f aca="false">IF(AK443&gt;0,AK437/AK443,"")</f>
        <v/>
      </c>
      <c r="AL449" s="47" t="str">
        <f aca="false">IF(AL443&gt;0,AL437/AL443,"")</f>
        <v/>
      </c>
      <c r="AM449" s="47" t="str">
        <f aca="false">IF(AM443&gt;0,AM437/AM443,"")</f>
        <v/>
      </c>
      <c r="AN449" s="47" t="str">
        <f aca="false">IF(AN443&gt;0,AN437/AN443,"")</f>
        <v/>
      </c>
      <c r="AO449" s="47" t="str">
        <f aca="false">IF(AO443&gt;0,AO437/AO443,"")</f>
        <v/>
      </c>
      <c r="AP449" s="47" t="str">
        <f aca="false">IF(AP443&gt;0,AP437/AP443,"")</f>
        <v/>
      </c>
      <c r="AQ449" s="47" t="str">
        <f aca="false">IF(AQ443&gt;0,AQ437/AQ443,"")</f>
        <v/>
      </c>
      <c r="AR449" s="47" t="str">
        <f aca="false">IF(AR443&gt;0,AR437/AR443,"")</f>
        <v/>
      </c>
      <c r="AS449" s="47" t="str">
        <f aca="false">IF(AS443&gt;0,AS437/AS443,"")</f>
        <v/>
      </c>
    </row>
    <row r="450" customFormat="false" ht="14.25" hidden="false" customHeight="false" outlineLevel="0" collapsed="false">
      <c r="C450" s="6" t="s">
        <v>326</v>
      </c>
      <c r="D450" s="2" t="s">
        <v>3</v>
      </c>
      <c r="J450" s="76" t="n">
        <f aca="false">(1+Discount_Rate)^((Inputs!$F$26-J$358)/Days_In_Year)</f>
        <v>1.41371255107938</v>
      </c>
      <c r="K450" s="76" t="n">
        <f aca="false">(1+Discount_Rate)^((Inputs!$F$26-K$358)/Days_In_Year)</f>
        <v>1.30899310285128</v>
      </c>
      <c r="L450" s="76" t="n">
        <f aca="false">(1+Discount_Rate)^((Inputs!$F$26-L$358)/Days_In_Year)</f>
        <v>1.21177511843915</v>
      </c>
      <c r="M450" s="76" t="n">
        <f aca="false">(1+Discount_Rate)^((Inputs!$F$26-M$358)/Days_In_Year)</f>
        <v>1.12201399855477</v>
      </c>
      <c r="N450" s="76" t="n">
        <f aca="false">(1+Discount_Rate)^((Inputs!$F$26-N$358)/Days_In_Year)</f>
        <v>1.03890185051367</v>
      </c>
      <c r="O450" s="76" t="n">
        <f aca="false">(1+Discount_Rate)^((Inputs!$F$26-O$358)/Days_In_Year)</f>
        <v>0.961946157883031</v>
      </c>
      <c r="P450" s="76" t="n">
        <f aca="false">(1+Discount_Rate)^((Inputs!$F$26-P$358)/Days_In_Year)</f>
        <v>0.890503102622714</v>
      </c>
      <c r="Q450" s="76" t="n">
        <f aca="false">(1+Discount_Rate)^((Inputs!$F$26-Q$358)/Days_In_Year)</f>
        <v>0.824539909835846</v>
      </c>
      <c r="R450" s="76" t="n">
        <f aca="false">(1+Discount_Rate)^((Inputs!$F$26-R$358)/Days_In_Year)</f>
        <v>0.763462879477635</v>
      </c>
      <c r="S450" s="76" t="n">
        <f aca="false">(1+Discount_Rate)^((Inputs!$F$26-S$358)/Days_In_Year)</f>
        <v>0.706910073590403</v>
      </c>
      <c r="T450" s="76" t="n">
        <f aca="false">(1+Discount_Rate)^((Inputs!$F$26-T$358)/Days_In_Year)</f>
        <v>0.654408366464987</v>
      </c>
      <c r="U450" s="76" t="n">
        <f aca="false">(1+Discount_Rate)^((Inputs!$F$26-U$358)/Days_In_Year)</f>
        <v>0.605933672652766</v>
      </c>
      <c r="V450" s="76" t="n">
        <f aca="false">(1+Discount_Rate)^((Inputs!$F$26-V$358)/Days_In_Year)</f>
        <v>0.561049696900709</v>
      </c>
      <c r="W450" s="76" t="n">
        <f aca="false">(1+Discount_Rate)^((Inputs!$F$26-W$358)/Days_In_Year)</f>
        <v>0.519490460093249</v>
      </c>
      <c r="X450" s="76" t="n">
        <f aca="false">(1+Discount_Rate)^((Inputs!$F$26-X$358)/Days_In_Year)</f>
        <v>0.480908274028566</v>
      </c>
      <c r="Y450" s="76" t="n">
        <f aca="false">(1+Discount_Rate)^((Inputs!$F$26-Y$358)/Days_In_Year)</f>
        <v>0.445285438915339</v>
      </c>
      <c r="Z450" s="76" t="n">
        <f aca="false">(1+Discount_Rate)^((Inputs!$F$26-Z$358)/Days_In_Year)</f>
        <v>0.412301332329018</v>
      </c>
      <c r="AA450" s="76" t="n">
        <f aca="false">(1+Discount_Rate)^((Inputs!$F$26-AA$358)/Days_In_Year)</f>
        <v>0.381760492897239</v>
      </c>
      <c r="AB450" s="76" t="n">
        <f aca="false">(1+Discount_Rate)^((Inputs!$F$26-AB$358)/Days_In_Year)</f>
        <v>0.353407413292154</v>
      </c>
      <c r="AC450" s="76" t="n">
        <f aca="false">(1+Discount_Rate)^((Inputs!$F$26-AC$358)/Days_In_Year)</f>
        <v>0.327229086381624</v>
      </c>
      <c r="AD450" s="76" t="n">
        <f aca="false">(1+Discount_Rate)^((Inputs!$F$26-AD$358)/Days_In_Year)</f>
        <v>0.3029898947978</v>
      </c>
      <c r="AE450" s="76" t="n">
        <f aca="false">(1+Discount_Rate)^((Inputs!$F$26-AE$358)/Days_In_Year)</f>
        <v>0.280546198886852</v>
      </c>
      <c r="AF450" s="76" t="n">
        <f aca="false">(1+Discount_Rate)^((Inputs!$F$26-AF$358)/Days_In_Year)</f>
        <v>0.259710232730228</v>
      </c>
      <c r="AG450" s="76" t="n">
        <f aca="false">(1+Discount_Rate)^((Inputs!$F$26-AG$358)/Days_In_Year)</f>
        <v>0.240472437713174</v>
      </c>
      <c r="AH450" s="76" t="n">
        <f aca="false">(1+Discount_Rate)^((Inputs!$F$26-AH$358)/Days_In_Year)</f>
        <v>0.222659664549235</v>
      </c>
      <c r="AI450" s="76" t="n">
        <f aca="false">(1+Discount_Rate)^((Inputs!$F$26-AI$358)/Days_In_Year)</f>
        <v>0.206166356064106</v>
      </c>
      <c r="AJ450" s="76" t="n">
        <f aca="false">(1+Discount_Rate)^((Inputs!$F$26-AJ$358)/Days_In_Year)</f>
        <v>0.190854527799705</v>
      </c>
      <c r="AK450" s="76" t="n">
        <f aca="false">(1+Discount_Rate)^((Inputs!$F$26-AK$358)/Days_In_Year)</f>
        <v>0.176717155370097</v>
      </c>
      <c r="AL450" s="76" t="n">
        <f aca="false">(1+Discount_Rate)^((Inputs!$F$26-AL$358)/Days_In_Year)</f>
        <v>0.163626995713053</v>
      </c>
      <c r="AM450" s="76" t="n">
        <f aca="false">(1+Discount_Rate)^((Inputs!$F$26-AM$358)/Days_In_Year)</f>
        <v>0.151506477512086</v>
      </c>
      <c r="AN450" s="76" t="n">
        <f aca="false">(1+Discount_Rate)^((Inputs!$F$26-AN$358)/Days_In_Year)</f>
        <v>0.140254199454224</v>
      </c>
      <c r="AO450" s="76" t="n">
        <f aca="false">(1+Discount_Rate)^((Inputs!$F$26-AO$358)/Days_In_Year)</f>
        <v>0.129864999494652</v>
      </c>
      <c r="AP450" s="76" t="n">
        <f aca="false">(1+Discount_Rate)^((Inputs!$F$26-AP$358)/Days_In_Year)</f>
        <v>0.120245369902455</v>
      </c>
      <c r="AQ450" s="76" t="n">
        <f aca="false">(1+Discount_Rate)^((Inputs!$F$26-AQ$358)/Days_In_Year)</f>
        <v>0.111338305465236</v>
      </c>
      <c r="AR450" s="76" t="n">
        <f aca="false">(1+Discount_Rate)^((Inputs!$F$26-AR$358)/Days_In_Year)</f>
        <v>0.103069288904634</v>
      </c>
      <c r="AS450" s="76" t="n">
        <f aca="false">(1+Discount_Rate)^((Inputs!$F$26-AS$358)/Days_In_Year)</f>
        <v>0.0954345267635496</v>
      </c>
    </row>
    <row r="451" customFormat="false" ht="14.25" hidden="false" customHeight="false" outlineLevel="0" collapsed="false">
      <c r="C451" s="6" t="s">
        <v>327</v>
      </c>
      <c r="D451" s="2" t="s">
        <v>85</v>
      </c>
      <c r="H451" s="8" t="n">
        <f aca="false">SUM(J451:AS451)</f>
        <v>117317.066600666</v>
      </c>
      <c r="J451" s="8" t="n">
        <f aca="false">J437*J450</f>
        <v>0</v>
      </c>
      <c r="K451" s="8" t="n">
        <f aca="false">K437*K450</f>
        <v>0</v>
      </c>
      <c r="L451" s="8" t="n">
        <f aca="false">L437*L450</f>
        <v>0</v>
      </c>
      <c r="M451" s="8" t="n">
        <f aca="false">M437*M450</f>
        <v>0</v>
      </c>
      <c r="N451" s="8" t="n">
        <f aca="false">N437*N450</f>
        <v>0</v>
      </c>
      <c r="O451" s="8" t="n">
        <f aca="false">O437*O450</f>
        <v>4876.8474889626</v>
      </c>
      <c r="P451" s="8" t="n">
        <f aca="false">P437*P450</f>
        <v>9090.53934016054</v>
      </c>
      <c r="Q451" s="8" t="n">
        <f aca="false">Q437*Q450</f>
        <v>8443.85559204061</v>
      </c>
      <c r="R451" s="8" t="n">
        <f aca="false">R437*R450</f>
        <v>7842.46260690271</v>
      </c>
      <c r="S451" s="8" t="n">
        <f aca="false">S437*S450</f>
        <v>7283.2240477567</v>
      </c>
      <c r="T451" s="8" t="n">
        <f aca="false">T437*T450</f>
        <v>6761.79304646313</v>
      </c>
      <c r="U451" s="8" t="n">
        <f aca="false">U437*U450</f>
        <v>6278.40300363448</v>
      </c>
      <c r="V451" s="8" t="n">
        <f aca="false">V437*V450</f>
        <v>5828.9855926955</v>
      </c>
      <c r="W451" s="8" t="n">
        <f aca="false">W437*W450</f>
        <v>5411.1821806256</v>
      </c>
      <c r="X451" s="8" t="n">
        <f aca="false">X437*X450</f>
        <v>5021.73745515717</v>
      </c>
      <c r="Y451" s="8" t="n">
        <f aca="false">Y437*Y450</f>
        <v>4660.80027334854</v>
      </c>
      <c r="Z451" s="8" t="n">
        <f aca="false">Z437*Z450</f>
        <v>4325.32588573996</v>
      </c>
      <c r="AA451" s="8" t="n">
        <f aca="false">AA437*AA450</f>
        <v>4013.54157817309</v>
      </c>
      <c r="AB451" s="8" t="n">
        <f aca="false">AB437*AB450</f>
        <v>3723.01176986731</v>
      </c>
      <c r="AC451" s="8" t="n">
        <f aca="false">AC437*AC450</f>
        <v>3453.82676468588</v>
      </c>
      <c r="AD451" s="8" t="n">
        <f aca="false">AD437*AD450</f>
        <v>3203.71011489412</v>
      </c>
      <c r="AE451" s="8" t="n">
        <f aca="false">AE437*AE450</f>
        <v>2971.33032336828</v>
      </c>
      <c r="AF451" s="8" t="n">
        <f aca="false">AF437*AF450</f>
        <v>2754.86696923197</v>
      </c>
      <c r="AG451" s="8" t="n">
        <f aca="false">AG437*AG450</f>
        <v>2554.37040340407</v>
      </c>
      <c r="AH451" s="8" t="n">
        <f aca="false">AH437*AH450</f>
        <v>2368.14043793919</v>
      </c>
      <c r="AI451" s="8" t="n">
        <f aca="false">AI437*AI450</f>
        <v>2195.17765884097</v>
      </c>
      <c r="AJ451" s="8" t="n">
        <f aca="false">AJ437*AJ450</f>
        <v>2034.12293346623</v>
      </c>
      <c r="AK451" s="8" t="n">
        <f aca="false">AK437*AK450</f>
        <v>1884.99987986481</v>
      </c>
      <c r="AL451" s="8" t="n">
        <f aca="false">AL437*AL450</f>
        <v>1746.54018249686</v>
      </c>
      <c r="AM451" s="8" t="n">
        <f aca="false">AM437*AM450</f>
        <v>1617.99423623126</v>
      </c>
      <c r="AN451" s="8" t="n">
        <f aca="false">AN437*AN450</f>
        <v>1498.34852868931</v>
      </c>
      <c r="AO451" s="8" t="n">
        <f aca="false">AO437*AO450</f>
        <v>1387.60926324361</v>
      </c>
      <c r="AP451" s="8" t="n">
        <f aca="false">AP437*AP450</f>
        <v>1284.83150622458</v>
      </c>
      <c r="AQ451" s="8" t="n">
        <f aca="false">AQ437*AQ450</f>
        <v>1189.4534633259</v>
      </c>
      <c r="AR451" s="8" t="n">
        <f aca="false">AR437*AR450</f>
        <v>1100.72034810141</v>
      </c>
      <c r="AS451" s="8" t="n">
        <f aca="false">AS437*AS450</f>
        <v>509.31372512961</v>
      </c>
    </row>
    <row r="452" customFormat="false" ht="14.25" hidden="false" customHeight="false" outlineLevel="0" collapsed="false">
      <c r="C452" s="6" t="s">
        <v>328</v>
      </c>
      <c r="D452" s="2" t="s">
        <v>85</v>
      </c>
      <c r="H452" s="8" t="n">
        <f aca="false">SUM(J452:AS452)</f>
        <v>0</v>
      </c>
      <c r="J452" s="8" t="n">
        <f aca="false">0</f>
        <v>0</v>
      </c>
      <c r="K452" s="8" t="n">
        <f aca="false">0</f>
        <v>0</v>
      </c>
      <c r="L452" s="8" t="n">
        <f aca="false">0</f>
        <v>0</v>
      </c>
      <c r="M452" s="8" t="n">
        <f aca="false">0</f>
        <v>0</v>
      </c>
      <c r="N452" s="8" t="n">
        <f aca="false">0</f>
        <v>0</v>
      </c>
      <c r="O452" s="8" t="n">
        <f aca="false">0</f>
        <v>0</v>
      </c>
      <c r="P452" s="8" t="n">
        <f aca="false">0</f>
        <v>0</v>
      </c>
      <c r="Q452" s="8" t="n">
        <f aca="false">0</f>
        <v>0</v>
      </c>
      <c r="R452" s="8" t="n">
        <f aca="false">0</f>
        <v>0</v>
      </c>
      <c r="S452" s="8" t="n">
        <f aca="false">0</f>
        <v>0</v>
      </c>
      <c r="T452" s="8" t="n">
        <f aca="false">0</f>
        <v>0</v>
      </c>
      <c r="U452" s="8" t="n">
        <f aca="false">0</f>
        <v>0</v>
      </c>
      <c r="V452" s="8" t="n">
        <f aca="false">0</f>
        <v>0</v>
      </c>
      <c r="W452" s="8" t="n">
        <f aca="false">0</f>
        <v>0</v>
      </c>
      <c r="X452" s="8" t="n">
        <f aca="false">0</f>
        <v>0</v>
      </c>
      <c r="Y452" s="8" t="n">
        <f aca="false">0</f>
        <v>0</v>
      </c>
      <c r="Z452" s="8" t="n">
        <f aca="false">0</f>
        <v>0</v>
      </c>
      <c r="AA452" s="8" t="n">
        <f aca="false">0</f>
        <v>0</v>
      </c>
      <c r="AB452" s="8" t="n">
        <f aca="false">0</f>
        <v>0</v>
      </c>
      <c r="AC452" s="8" t="n">
        <f aca="false">0</f>
        <v>0</v>
      </c>
      <c r="AD452" s="8" t="n">
        <f aca="false">0</f>
        <v>0</v>
      </c>
      <c r="AE452" s="8" t="n">
        <f aca="false">0</f>
        <v>0</v>
      </c>
      <c r="AF452" s="8" t="n">
        <f aca="false">0</f>
        <v>0</v>
      </c>
      <c r="AG452" s="8" t="n">
        <f aca="false">0</f>
        <v>0</v>
      </c>
      <c r="AH452" s="8" t="n">
        <f aca="false">0</f>
        <v>0</v>
      </c>
      <c r="AI452" s="8" t="n">
        <f aca="false">0</f>
        <v>0</v>
      </c>
      <c r="AJ452" s="8" t="n">
        <f aca="false">0</f>
        <v>0</v>
      </c>
      <c r="AK452" s="8" t="n">
        <f aca="false">0</f>
        <v>0</v>
      </c>
      <c r="AL452" s="8" t="n">
        <f aca="false">0</f>
        <v>0</v>
      </c>
      <c r="AM452" s="8" t="n">
        <f aca="false">0</f>
        <v>0</v>
      </c>
      <c r="AN452" s="8" t="n">
        <f aca="false">0</f>
        <v>0</v>
      </c>
      <c r="AO452" s="8" t="n">
        <f aca="false">0</f>
        <v>0</v>
      </c>
      <c r="AP452" s="8" t="n">
        <f aca="false">0</f>
        <v>0</v>
      </c>
      <c r="AQ452" s="8" t="n">
        <f aca="false">0</f>
        <v>0</v>
      </c>
      <c r="AR452" s="8" t="n">
        <f aca="false">0</f>
        <v>0</v>
      </c>
      <c r="AS452" s="8" t="n">
        <f aca="false">0</f>
        <v>0</v>
      </c>
    </row>
    <row r="453" customFormat="false" ht="14.25" hidden="false" customHeight="false" outlineLevel="0" collapsed="false">
      <c r="C453" s="1" t="s">
        <v>329</v>
      </c>
      <c r="D453" s="2" t="s">
        <v>85</v>
      </c>
      <c r="H453" s="32" t="n">
        <f aca="false">SUM(J453:AS453)</f>
        <v>40517.0073540907</v>
      </c>
      <c r="J453" s="32" t="n">
        <f aca="false">J423*(J413&lt;=0)+J418*($H451+$F$62+$F$63)+J452</f>
        <v>0</v>
      </c>
      <c r="K453" s="32" t="n">
        <f aca="false">K423*(K413&lt;=0)+K418*($H451+$F$62+$F$63)+K452</f>
        <v>0</v>
      </c>
      <c r="L453" s="32" t="n">
        <f aca="false">L423*(L413&lt;=0)+L418*($H451+$F$62+$F$63)+L452</f>
        <v>0</v>
      </c>
      <c r="M453" s="32" t="n">
        <f aca="false">M423*(M413&lt;=0)+M418*($H451+$F$62+$F$63)+M452</f>
        <v>-29757.5797945206</v>
      </c>
      <c r="N453" s="32" t="n">
        <f aca="false">N423*(N413&lt;=0)+N418*($H451+$F$62+$F$63)+N452</f>
        <v>-31358</v>
      </c>
      <c r="O453" s="32" t="n">
        <f aca="false">O423*(O413&lt;=0)+O418*($H451+$F$62+$F$63)+O452</f>
        <v>101632.587148611</v>
      </c>
      <c r="P453" s="32" t="n">
        <f aca="false">P423*(P413&lt;=0)+P418*($H451+$F$62+$F$63)+P452</f>
        <v>0</v>
      </c>
      <c r="Q453" s="32" t="n">
        <f aca="false">Q423*(Q413&lt;=0)+Q418*($H451+$F$62+$F$63)+Q452</f>
        <v>0</v>
      </c>
      <c r="R453" s="32" t="n">
        <f aca="false">R423*(R413&lt;=0)+R418*($H451+$F$62+$F$63)+R452</f>
        <v>0</v>
      </c>
      <c r="S453" s="32" t="n">
        <f aca="false">S423*(S413&lt;=0)+S418*($H451+$F$62+$F$63)+S452</f>
        <v>0</v>
      </c>
      <c r="T453" s="32" t="n">
        <f aca="false">T423*(T413&lt;=0)+T418*($H451+$F$62+$F$63)+T452</f>
        <v>0</v>
      </c>
      <c r="U453" s="32" t="n">
        <f aca="false">U423*(U413&lt;=0)+U418*($H451+$F$62+$F$63)+U452</f>
        <v>0</v>
      </c>
      <c r="V453" s="32" t="n">
        <f aca="false">V423*(V413&lt;=0)+V418*($H451+$F$62+$F$63)+V452</f>
        <v>0</v>
      </c>
      <c r="W453" s="32" t="n">
        <f aca="false">W423*(W413&lt;=0)+W418*($H451+$F$62+$F$63)+W452</f>
        <v>0</v>
      </c>
      <c r="X453" s="32" t="n">
        <f aca="false">X423*(X413&lt;=0)+X418*($H451+$F$62+$F$63)+X452</f>
        <v>0</v>
      </c>
      <c r="Y453" s="32" t="n">
        <f aca="false">Y423*(Y413&lt;=0)+Y418*($H451+$F$62+$F$63)+Y452</f>
        <v>0</v>
      </c>
      <c r="Z453" s="32" t="n">
        <f aca="false">Z423*(Z413&lt;=0)+Z418*($H451+$F$62+$F$63)+Z452</f>
        <v>0</v>
      </c>
      <c r="AA453" s="32" t="n">
        <f aca="false">AA423*(AA413&lt;=0)+AA418*($H451+$F$62+$F$63)+AA452</f>
        <v>0</v>
      </c>
      <c r="AB453" s="32" t="n">
        <f aca="false">AB423*(AB413&lt;=0)+AB418*($H451+$F$62+$F$63)+AB452</f>
        <v>0</v>
      </c>
      <c r="AC453" s="32" t="n">
        <f aca="false">AC423*(AC413&lt;=0)+AC418*($H451+$F$62+$F$63)+AC452</f>
        <v>0</v>
      </c>
      <c r="AD453" s="32" t="n">
        <f aca="false">AD423*(AD413&lt;=0)+AD418*($H451+$F$62+$F$63)+AD452</f>
        <v>0</v>
      </c>
      <c r="AE453" s="32" t="n">
        <f aca="false">AE423*(AE413&lt;=0)+AE418*($H451+$F$62+$F$63)+AE452</f>
        <v>0</v>
      </c>
      <c r="AF453" s="32" t="n">
        <f aca="false">AF423*(AF413&lt;=0)+AF418*($H451+$F$62+$F$63)+AF452</f>
        <v>0</v>
      </c>
      <c r="AG453" s="32" t="n">
        <f aca="false">AG423*(AG413&lt;=0)+AG418*($H451+$F$62+$F$63)+AG452</f>
        <v>0</v>
      </c>
      <c r="AH453" s="32" t="n">
        <f aca="false">AH423*(AH413&lt;=0)+AH418*($H451+$F$62+$F$63)+AH452</f>
        <v>0</v>
      </c>
      <c r="AI453" s="32" t="n">
        <f aca="false">AI423*(AI413&lt;=0)+AI418*($H451+$F$62+$F$63)+AI452</f>
        <v>0</v>
      </c>
      <c r="AJ453" s="32" t="n">
        <f aca="false">AJ423*(AJ413&lt;=0)+AJ418*($H451+$F$62+$F$63)+AJ452</f>
        <v>0</v>
      </c>
      <c r="AK453" s="32" t="n">
        <f aca="false">AK423*(AK413&lt;=0)+AK418*($H451+$F$62+$F$63)+AK452</f>
        <v>0</v>
      </c>
      <c r="AL453" s="32" t="n">
        <f aca="false">AL423*(AL413&lt;=0)+AL418*($H451+$F$62+$F$63)+AL452</f>
        <v>0</v>
      </c>
      <c r="AM453" s="32" t="n">
        <f aca="false">AM423*(AM413&lt;=0)+AM418*($H451+$F$62+$F$63)+AM452</f>
        <v>0</v>
      </c>
      <c r="AN453" s="32" t="n">
        <f aca="false">AN423*(AN413&lt;=0)+AN418*($H451+$F$62+$F$63)+AN452</f>
        <v>0</v>
      </c>
      <c r="AO453" s="32" t="n">
        <f aca="false">AO423*(AO413&lt;=0)+AO418*($H451+$F$62+$F$63)+AO452</f>
        <v>0</v>
      </c>
      <c r="AP453" s="32" t="n">
        <f aca="false">AP423*(AP413&lt;=0)+AP418*($H451+$F$62+$F$63)+AP452</f>
        <v>0</v>
      </c>
      <c r="AQ453" s="32" t="n">
        <f aca="false">AQ423*(AQ413&lt;=0)+AQ418*($H451+$F$62+$F$63)+AQ452</f>
        <v>0</v>
      </c>
      <c r="AR453" s="32" t="n">
        <f aca="false">AR423*(AR413&lt;=0)+AR418*($H451+$F$62+$F$63)+AR452</f>
        <v>0</v>
      </c>
      <c r="AS453" s="32" t="n">
        <f aca="false">AS423*(AS413&lt;=0)+AS418*($H451+$F$62+$F$63)+AS452</f>
        <v>0</v>
      </c>
    </row>
    <row r="454" customFormat="false" ht="14.25" hidden="false" customHeight="false" outlineLevel="0" collapsed="false">
      <c r="C454" s="41" t="s">
        <v>330</v>
      </c>
      <c r="D454" s="42"/>
      <c r="E454" s="43"/>
      <c r="F454" s="43"/>
      <c r="G454" s="43"/>
      <c r="H454" s="43"/>
    </row>
    <row r="455" customFormat="false" ht="14.25" hidden="false" customHeight="false" outlineLevel="0" collapsed="false">
      <c r="C455" s="6" t="s">
        <v>331</v>
      </c>
      <c r="D455" s="2" t="s">
        <v>85</v>
      </c>
      <c r="H455" s="8"/>
      <c r="J455" s="8" t="n">
        <f aca="false">(I455*(1+Rate_Cash)+SUMPRODUCT(-$F340:$F345*$N340:$N345*(YEAR($K340:$K345)=J357)))*(J358&lt;$F190)</f>
        <v>517.626991930944</v>
      </c>
      <c r="K455" s="8" t="n">
        <f aca="false">(J455*(1+Rate_Cash)+SUMPRODUCT(-$F340:$F345*$N340:$N345*(YEAR($K340:$K345)=K357)))*(K358&lt;$F190)</f>
        <v>3493.22099245637</v>
      </c>
      <c r="L455" s="8" t="n">
        <f aca="false">(K455*(1+Rate_Cash)+SUMPRODUCT(-$F340:$F345*$N340:$N345*(YEAR($K340:$K345)=L357)))*(L358&lt;$F190)</f>
        <v>7373.84971354025</v>
      </c>
      <c r="M455" s="8" t="n">
        <f aca="false">(L455*(1+Rate_Cash)+SUMPRODUCT(-$F340:$F345*$N340:$N345*(YEAR($K340:$K345)=M357)))*(M358&lt;$F190)</f>
        <v>0</v>
      </c>
      <c r="N455" s="8" t="n">
        <f aca="false">(M455*(1+Rate_Cash)+SUMPRODUCT(-$F340:$F345*$N340:$N345*(YEAR($K340:$K345)=N357)))*(N358&lt;$F190)</f>
        <v>0</v>
      </c>
      <c r="O455" s="8" t="n">
        <f aca="false">(N455*(1+Rate_Cash)+SUMPRODUCT(-$F340:$F345*$N340:$N345*(YEAR($K340:$K345)=O357)))*(O358&lt;$F190)</f>
        <v>0</v>
      </c>
      <c r="P455" s="8" t="n">
        <f aca="false">(O455*(1+Rate_Cash)+SUMPRODUCT(-$F340:$F345*$N340:$N345*(YEAR($K340:$K345)=P357)))*(P358&lt;$F190)</f>
        <v>0</v>
      </c>
      <c r="Q455" s="8" t="n">
        <f aca="false">(P455*(1+Rate_Cash)+SUMPRODUCT(-$F340:$F345*$N340:$N345*(YEAR($K340:$K345)=Q357)))*(Q358&lt;$F190)</f>
        <v>0</v>
      </c>
      <c r="R455" s="8" t="n">
        <f aca="false">(Q455*(1+Rate_Cash)+SUMPRODUCT(-$F340:$F345*$N340:$N345*(YEAR($K340:$K345)=R357)))*(R358&lt;$F190)</f>
        <v>0</v>
      </c>
      <c r="S455" s="8" t="n">
        <f aca="false">(R455*(1+Rate_Cash)+SUMPRODUCT(-$F340:$F345*$N340:$N345*(YEAR($K340:$K345)=S357)))*(S358&lt;$F190)</f>
        <v>0</v>
      </c>
      <c r="T455" s="8" t="n">
        <f aca="false">(S455*(1+Rate_Cash)+SUMPRODUCT(-$F340:$F345*$N340:$N345*(YEAR($K340:$K345)=T357)))*(T358&lt;$F190)</f>
        <v>0</v>
      </c>
      <c r="U455" s="8" t="n">
        <f aca="false">(T455*(1+Rate_Cash)+SUMPRODUCT(-$F340:$F345*$N340:$N345*(YEAR($K340:$K345)=U357)))*(U358&lt;$F190)</f>
        <v>0</v>
      </c>
      <c r="V455" s="8" t="n">
        <f aca="false">(U455*(1+Rate_Cash)+SUMPRODUCT(-$F340:$F345*$N340:$N345*(YEAR($K340:$K345)=V357)))*(V358&lt;$F190)</f>
        <v>0</v>
      </c>
      <c r="W455" s="8" t="n">
        <f aca="false">(V455*(1+Rate_Cash)+SUMPRODUCT(-$F340:$F345*$N340:$N345*(YEAR($K340:$K345)=W357)))*(W358&lt;$F190)</f>
        <v>0</v>
      </c>
      <c r="X455" s="8" t="n">
        <f aca="false">(W455*(1+Rate_Cash)+SUMPRODUCT(-$F340:$F345*$N340:$N345*(YEAR($K340:$K345)=X357)))*(X358&lt;$F190)</f>
        <v>0</v>
      </c>
      <c r="Y455" s="8" t="n">
        <f aca="false">(X455*(1+Rate_Cash)+SUMPRODUCT(-$F340:$F345*$N340:$N345*(YEAR($K340:$K345)=Y357)))*(Y358&lt;$F190)</f>
        <v>0</v>
      </c>
      <c r="Z455" s="8" t="n">
        <f aca="false">(Y455*(1+Rate_Cash)+SUMPRODUCT(-$F340:$F345*$N340:$N345*(YEAR($K340:$K345)=Z357)))*(Z358&lt;$F190)</f>
        <v>0</v>
      </c>
      <c r="AA455" s="8" t="n">
        <f aca="false">(Z455*(1+Rate_Cash)+SUMPRODUCT(-$F340:$F345*$N340:$N345*(YEAR($K340:$K345)=AA357)))*(AA358&lt;$F190)</f>
        <v>0</v>
      </c>
      <c r="AB455" s="8" t="n">
        <f aca="false">(AA455*(1+Rate_Cash)+SUMPRODUCT(-$F340:$F345*$N340:$N345*(YEAR($K340:$K345)=AB357)))*(AB358&lt;$F190)</f>
        <v>0</v>
      </c>
      <c r="AC455" s="8" t="n">
        <f aca="false">(AB455*(1+Rate_Cash)+SUMPRODUCT(-$F340:$F345*$N340:$N345*(YEAR($K340:$K345)=AC357)))*(AC358&lt;$F190)</f>
        <v>0</v>
      </c>
      <c r="AD455" s="8" t="n">
        <f aca="false">(AC455*(1+Rate_Cash)+SUMPRODUCT(-$F340:$F345*$N340:$N345*(YEAR($K340:$K345)=AD357)))*(AD358&lt;$F190)</f>
        <v>0</v>
      </c>
      <c r="AE455" s="8" t="n">
        <f aca="false">(AD455*(1+Rate_Cash)+SUMPRODUCT(-$F340:$F345*$N340:$N345*(YEAR($K340:$K345)=AE357)))*(AE358&lt;$F190)</f>
        <v>0</v>
      </c>
      <c r="AF455" s="8" t="n">
        <f aca="false">(AE455*(1+Rate_Cash)+SUMPRODUCT(-$F340:$F345*$N340:$N345*(YEAR($K340:$K345)=AF357)))*(AF358&lt;$F190)</f>
        <v>0</v>
      </c>
      <c r="AG455" s="8" t="n">
        <f aca="false">(AF455*(1+Rate_Cash)+SUMPRODUCT(-$F340:$F345*$N340:$N345*(YEAR($K340:$K345)=AG357)))*(AG358&lt;$F190)</f>
        <v>0</v>
      </c>
      <c r="AH455" s="8" t="n">
        <f aca="false">(AG455*(1+Rate_Cash)+SUMPRODUCT(-$F340:$F345*$N340:$N345*(YEAR($K340:$K345)=AH357)))*(AH358&lt;$F190)</f>
        <v>0</v>
      </c>
      <c r="AI455" s="8" t="n">
        <f aca="false">(AH455*(1+Rate_Cash)+SUMPRODUCT(-$F340:$F345*$N340:$N345*(YEAR($K340:$K345)=AI357)))*(AI358&lt;$F190)</f>
        <v>0</v>
      </c>
      <c r="AJ455" s="8" t="n">
        <f aca="false">(AI455*(1+Rate_Cash)+SUMPRODUCT(-$F340:$F345*$N340:$N345*(YEAR($K340:$K345)=AJ357)))*(AJ358&lt;$F190)</f>
        <v>0</v>
      </c>
      <c r="AK455" s="8" t="n">
        <f aca="false">(AJ455*(1+Rate_Cash)+SUMPRODUCT(-$F340:$F345*$N340:$N345*(YEAR($K340:$K345)=AK357)))*(AK358&lt;$F190)</f>
        <v>0</v>
      </c>
      <c r="AL455" s="8" t="n">
        <f aca="false">(AK455*(1+Rate_Cash)+SUMPRODUCT(-$F340:$F345*$N340:$N345*(YEAR($K340:$K345)=AL357)))*(AL358&lt;$F190)</f>
        <v>0</v>
      </c>
      <c r="AM455" s="8" t="n">
        <f aca="false">(AL455*(1+Rate_Cash)+SUMPRODUCT(-$F340:$F345*$N340:$N345*(YEAR($K340:$K345)=AM357)))*(AM358&lt;$F190)</f>
        <v>0</v>
      </c>
      <c r="AN455" s="8" t="n">
        <f aca="false">(AM455*(1+Rate_Cash)+SUMPRODUCT(-$F340:$F345*$N340:$N345*(YEAR($K340:$K345)=AN357)))*(AN358&lt;$F190)</f>
        <v>0</v>
      </c>
      <c r="AO455" s="8" t="n">
        <f aca="false">(AN455*(1+Rate_Cash)+SUMPRODUCT(-$F340:$F345*$N340:$N345*(YEAR($K340:$K345)=AO357)))*(AO358&lt;$F190)</f>
        <v>0</v>
      </c>
      <c r="AP455" s="8" t="n">
        <f aca="false">(AO455*(1+Rate_Cash)+SUMPRODUCT(-$F340:$F345*$N340:$N345*(YEAR($K340:$K345)=AP357)))*(AP358&lt;$F190)</f>
        <v>0</v>
      </c>
      <c r="AQ455" s="8" t="n">
        <f aca="false">(AP455*(1+Rate_Cash)+SUMPRODUCT(-$F340:$F345*$N340:$N345*(YEAR($K340:$K345)=AQ357)))*(AQ358&lt;$F190)</f>
        <v>0</v>
      </c>
      <c r="AR455" s="8" t="n">
        <f aca="false">(AQ455*(1+Rate_Cash)+SUMPRODUCT(-$F340:$F345*$N340:$N345*(YEAR($K340:$K345)=AR357)))*(AR358&lt;$F190)</f>
        <v>0</v>
      </c>
      <c r="AS455" s="8" t="n">
        <f aca="false">(AR455*(1+Rate_Cash)+SUMPRODUCT(-$F340:$F345*$N340:$N345*(YEAR($K340:$K345)=AS357)))*(AS358&lt;$F190)</f>
        <v>0</v>
      </c>
    </row>
    <row r="456" customFormat="false" ht="14.25" hidden="false" customHeight="false" outlineLevel="0" collapsed="false">
      <c r="C456" s="6" t="s">
        <v>332</v>
      </c>
      <c r="D456" s="2" t="s">
        <v>85</v>
      </c>
      <c r="H456" s="8"/>
      <c r="J456" s="8" t="n">
        <f aca="false">(I456*(1+Rate_Devex)+SUMPRODUCT(-$F346:$F347*$N346:$N347*(YEAR($K346:$K347)=J357)))*(J358&lt;$F190)</f>
        <v>0</v>
      </c>
      <c r="K456" s="8" t="n">
        <f aca="false">(J456*(1+Rate_Devex)+SUMPRODUCT(-$F346:$F347*$N346:$N347*(YEAR($K346:$K347)=K357)))*(K358&lt;$F190)</f>
        <v>716.033459724017</v>
      </c>
      <c r="L456" s="8" t="n">
        <f aca="false">(K456*(1+Rate_Devex)+SUMPRODUCT(-$F346:$F347*$N346:$N347*(YEAR($K346:$K347)=L357)))*(L358&lt;$F190)</f>
        <v>981.326219036057</v>
      </c>
      <c r="M456" s="8" t="n">
        <f aca="false">(L456*(1+Rate_Devex)+SUMPRODUCT(-$F346:$F347*$N346:$N347*(YEAR($K346:$K347)=M357)))*(M358&lt;$F190)</f>
        <v>0</v>
      </c>
      <c r="N456" s="8" t="n">
        <f aca="false">(M456*(1+Rate_Devex)+SUMPRODUCT(-$F346:$F347*$N346:$N347*(YEAR($K346:$K347)=N357)))*(N358&lt;$F190)</f>
        <v>0</v>
      </c>
      <c r="O456" s="8" t="n">
        <f aca="false">(N456*(1+Rate_Devex)+SUMPRODUCT(-$F346:$F347*$N346:$N347*(YEAR($K346:$K347)=O357)))*(O358&lt;$F190)</f>
        <v>0</v>
      </c>
      <c r="P456" s="8" t="n">
        <f aca="false">(O456*(1+Rate_Devex)+SUMPRODUCT(-$F346:$F347*$N346:$N347*(YEAR($K346:$K347)=P357)))*(P358&lt;$F190)</f>
        <v>0</v>
      </c>
      <c r="Q456" s="8" t="n">
        <f aca="false">(P456*(1+Rate_Devex)+SUMPRODUCT(-$F346:$F347*$N346:$N347*(YEAR($K346:$K347)=Q357)))*(Q358&lt;$F190)</f>
        <v>0</v>
      </c>
      <c r="R456" s="8" t="n">
        <f aca="false">(Q456*(1+Rate_Devex)+SUMPRODUCT(-$F346:$F347*$N346:$N347*(YEAR($K346:$K347)=R357)))*(R358&lt;$F190)</f>
        <v>0</v>
      </c>
      <c r="S456" s="8" t="n">
        <f aca="false">(R456*(1+Rate_Devex)+SUMPRODUCT(-$F346:$F347*$N346:$N347*(YEAR($K346:$K347)=S357)))*(S358&lt;$F190)</f>
        <v>0</v>
      </c>
      <c r="T456" s="8" t="n">
        <f aca="false">(S456*(1+Rate_Devex)+SUMPRODUCT(-$F346:$F347*$N346:$N347*(YEAR($K346:$K347)=T357)))*(T358&lt;$F190)</f>
        <v>0</v>
      </c>
      <c r="U456" s="8" t="n">
        <f aca="false">(T456*(1+Rate_Devex)+SUMPRODUCT(-$F346:$F347*$N346:$N347*(YEAR($K346:$K347)=U357)))*(U358&lt;$F190)</f>
        <v>0</v>
      </c>
      <c r="V456" s="8" t="n">
        <f aca="false">(U456*(1+Rate_Devex)+SUMPRODUCT(-$F346:$F347*$N346:$N347*(YEAR($K346:$K347)=V357)))*(V358&lt;$F190)</f>
        <v>0</v>
      </c>
      <c r="W456" s="8" t="n">
        <f aca="false">(V456*(1+Rate_Devex)+SUMPRODUCT(-$F346:$F347*$N346:$N347*(YEAR($K346:$K347)=W357)))*(W358&lt;$F190)</f>
        <v>0</v>
      </c>
      <c r="X456" s="8" t="n">
        <f aca="false">(W456*(1+Rate_Devex)+SUMPRODUCT(-$F346:$F347*$N346:$N347*(YEAR($K346:$K347)=X357)))*(X358&lt;$F190)</f>
        <v>0</v>
      </c>
      <c r="Y456" s="8" t="n">
        <f aca="false">(X456*(1+Rate_Devex)+SUMPRODUCT(-$F346:$F347*$N346:$N347*(YEAR($K346:$K347)=Y357)))*(Y358&lt;$F190)</f>
        <v>0</v>
      </c>
      <c r="Z456" s="8" t="n">
        <f aca="false">(Y456*(1+Rate_Devex)+SUMPRODUCT(-$F346:$F347*$N346:$N347*(YEAR($K346:$K347)=Z357)))*(Z358&lt;$F190)</f>
        <v>0</v>
      </c>
      <c r="AA456" s="8" t="n">
        <f aca="false">(Z456*(1+Rate_Devex)+SUMPRODUCT(-$F346:$F347*$N346:$N347*(YEAR($K346:$K347)=AA357)))*(AA358&lt;$F190)</f>
        <v>0</v>
      </c>
      <c r="AB456" s="8" t="n">
        <f aca="false">(AA456*(1+Rate_Devex)+SUMPRODUCT(-$F346:$F347*$N346:$N347*(YEAR($K346:$K347)=AB357)))*(AB358&lt;$F190)</f>
        <v>0</v>
      </c>
      <c r="AC456" s="8" t="n">
        <f aca="false">(AB456*(1+Rate_Devex)+SUMPRODUCT(-$F346:$F347*$N346:$N347*(YEAR($K346:$K347)=AC357)))*(AC358&lt;$F190)</f>
        <v>0</v>
      </c>
      <c r="AD456" s="8" t="n">
        <f aca="false">(AC456*(1+Rate_Devex)+SUMPRODUCT(-$F346:$F347*$N346:$N347*(YEAR($K346:$K347)=AD357)))*(AD358&lt;$F190)</f>
        <v>0</v>
      </c>
      <c r="AE456" s="8" t="n">
        <f aca="false">(AD456*(1+Rate_Devex)+SUMPRODUCT(-$F346:$F347*$N346:$N347*(YEAR($K346:$K347)=AE357)))*(AE358&lt;$F190)</f>
        <v>0</v>
      </c>
      <c r="AF456" s="8" t="n">
        <f aca="false">(AE456*(1+Rate_Devex)+SUMPRODUCT(-$F346:$F347*$N346:$N347*(YEAR($K346:$K347)=AF357)))*(AF358&lt;$F190)</f>
        <v>0</v>
      </c>
      <c r="AG456" s="8" t="n">
        <f aca="false">(AF456*(1+Rate_Devex)+SUMPRODUCT(-$F346:$F347*$N346:$N347*(YEAR($K346:$K347)=AG357)))*(AG358&lt;$F190)</f>
        <v>0</v>
      </c>
      <c r="AH456" s="8" t="n">
        <f aca="false">(AG456*(1+Rate_Devex)+SUMPRODUCT(-$F346:$F347*$N346:$N347*(YEAR($K346:$K347)=AH357)))*(AH358&lt;$F190)</f>
        <v>0</v>
      </c>
      <c r="AI456" s="8" t="n">
        <f aca="false">(AH456*(1+Rate_Devex)+SUMPRODUCT(-$F346:$F347*$N346:$N347*(YEAR($K346:$K347)=AI357)))*(AI358&lt;$F190)</f>
        <v>0</v>
      </c>
      <c r="AJ456" s="8" t="n">
        <f aca="false">(AI456*(1+Rate_Devex)+SUMPRODUCT(-$F346:$F347*$N346:$N347*(YEAR($K346:$K347)=AJ357)))*(AJ358&lt;$F190)</f>
        <v>0</v>
      </c>
      <c r="AK456" s="8" t="n">
        <f aca="false">(AJ456*(1+Rate_Devex)+SUMPRODUCT(-$F346:$F347*$N346:$N347*(YEAR($K346:$K347)=AK357)))*(AK358&lt;$F190)</f>
        <v>0</v>
      </c>
      <c r="AL456" s="8" t="n">
        <f aca="false">(AK456*(1+Rate_Devex)+SUMPRODUCT(-$F346:$F347*$N346:$N347*(YEAR($K346:$K347)=AL357)))*(AL358&lt;$F190)</f>
        <v>0</v>
      </c>
      <c r="AM456" s="8" t="n">
        <f aca="false">(AL456*(1+Rate_Devex)+SUMPRODUCT(-$F346:$F347*$N346:$N347*(YEAR($K346:$K347)=AM357)))*(AM358&lt;$F190)</f>
        <v>0</v>
      </c>
      <c r="AN456" s="8" t="n">
        <f aca="false">(AM456*(1+Rate_Devex)+SUMPRODUCT(-$F346:$F347*$N346:$N347*(YEAR($K346:$K347)=AN357)))*(AN358&lt;$F190)</f>
        <v>0</v>
      </c>
      <c r="AO456" s="8" t="n">
        <f aca="false">(AN456*(1+Rate_Devex)+SUMPRODUCT(-$F346:$F347*$N346:$N347*(YEAR($K346:$K347)=AO357)))*(AO358&lt;$F190)</f>
        <v>0</v>
      </c>
      <c r="AP456" s="8" t="n">
        <f aca="false">(AO456*(1+Rate_Devex)+SUMPRODUCT(-$F346:$F347*$N346:$N347*(YEAR($K346:$K347)=AP357)))*(AP358&lt;$F190)</f>
        <v>0</v>
      </c>
      <c r="AQ456" s="8" t="n">
        <f aca="false">(AP456*(1+Rate_Devex)+SUMPRODUCT(-$F346:$F347*$N346:$N347*(YEAR($K346:$K347)=AQ357)))*(AQ358&lt;$F190)</f>
        <v>0</v>
      </c>
      <c r="AR456" s="8" t="n">
        <f aca="false">(AQ456*(1+Rate_Devex)+SUMPRODUCT(-$F346:$F347*$N346:$N347*(YEAR($K346:$K347)=AR357)))*(AR358&lt;$F190)</f>
        <v>0</v>
      </c>
      <c r="AS456" s="8" t="n">
        <f aca="false">(AR456*(1+Rate_Devex)+SUMPRODUCT(-$F346:$F347*$N346:$N347*(YEAR($K346:$K347)=AS357)))*(AS358&lt;$F190)</f>
        <v>0</v>
      </c>
    </row>
    <row r="457" customFormat="false" ht="14.25" hidden="false" customHeight="false" outlineLevel="0" collapsed="false">
      <c r="C457" s="6" t="s">
        <v>333</v>
      </c>
      <c r="D457" s="2" t="s">
        <v>85</v>
      </c>
      <c r="H457" s="8" t="n">
        <f aca="false">SUM(J457:AS457)</f>
        <v>7287.89778895164</v>
      </c>
      <c r="J457" s="8" t="n">
        <f aca="false">-SUMPRODUCT($F340:$F347*(YEAR($K340:$K347)=J357))*(J358&lt;$F190)</f>
        <v>507.123287671233</v>
      </c>
      <c r="K457" s="8" t="n">
        <f aca="false">-SUMPRODUCT($F340:$F347*(YEAR($K340:$K347)=K357))*(K358&lt;$F190)</f>
        <v>3313.15361086944</v>
      </c>
      <c r="L457" s="8" t="n">
        <f aca="false">-SUMPRODUCT($F340:$F347*(YEAR($K340:$K347)=L357))*(L358&lt;$F190)</f>
        <v>3467.62089041096</v>
      </c>
      <c r="M457" s="8" t="n">
        <f aca="false">-SUMPRODUCT($F340:$F347*(YEAR($K340:$K347)=M357))*(M358&lt;$F190)</f>
        <v>-0</v>
      </c>
      <c r="N457" s="8" t="n">
        <f aca="false">-SUMPRODUCT($F340:$F347*(YEAR($K340:$K347)=N357))*(N358&lt;$F190)</f>
        <v>-0</v>
      </c>
      <c r="O457" s="8" t="n">
        <f aca="false">-SUMPRODUCT($F340:$F347*(YEAR($K340:$K347)=O357))*(O358&lt;$F190)</f>
        <v>-0</v>
      </c>
      <c r="P457" s="8" t="n">
        <f aca="false">-SUMPRODUCT($F340:$F347*(YEAR($K340:$K347)=P357))*(P358&lt;$F190)</f>
        <v>-0</v>
      </c>
      <c r="Q457" s="8" t="n">
        <f aca="false">-SUMPRODUCT($F340:$F347*(YEAR($K340:$K347)=Q357))*(Q358&lt;$F190)</f>
        <v>-0</v>
      </c>
      <c r="R457" s="8" t="n">
        <f aca="false">-SUMPRODUCT($F340:$F347*(YEAR($K340:$K347)=R357))*(R358&lt;$F190)</f>
        <v>-0</v>
      </c>
      <c r="S457" s="8" t="n">
        <f aca="false">-SUMPRODUCT($F340:$F347*(YEAR($K340:$K347)=S357))*(S358&lt;$F190)</f>
        <v>-0</v>
      </c>
      <c r="T457" s="8" t="n">
        <f aca="false">-SUMPRODUCT($F340:$F347*(YEAR($K340:$K347)=T357))*(T358&lt;$F190)</f>
        <v>-0</v>
      </c>
      <c r="U457" s="8" t="n">
        <f aca="false">-SUMPRODUCT($F340:$F347*(YEAR($K340:$K347)=U357))*(U358&lt;$F190)</f>
        <v>-0</v>
      </c>
      <c r="V457" s="8" t="n">
        <f aca="false">-SUMPRODUCT($F340:$F347*(YEAR($K340:$K347)=V357))*(V358&lt;$F190)</f>
        <v>-0</v>
      </c>
      <c r="W457" s="8" t="n">
        <f aca="false">-SUMPRODUCT($F340:$F347*(YEAR($K340:$K347)=W357))*(W358&lt;$F190)</f>
        <v>-0</v>
      </c>
      <c r="X457" s="8" t="n">
        <f aca="false">-SUMPRODUCT($F340:$F347*(YEAR($K340:$K347)=X357))*(X358&lt;$F190)</f>
        <v>-0</v>
      </c>
      <c r="Y457" s="8" t="n">
        <f aca="false">-SUMPRODUCT($F340:$F347*(YEAR($K340:$K347)=Y357))*(Y358&lt;$F190)</f>
        <v>-0</v>
      </c>
      <c r="Z457" s="8" t="n">
        <f aca="false">-SUMPRODUCT($F340:$F347*(YEAR($K340:$K347)=Z357))*(Z358&lt;$F190)</f>
        <v>-0</v>
      </c>
      <c r="AA457" s="8" t="n">
        <f aca="false">-SUMPRODUCT($F340:$F347*(YEAR($K340:$K347)=AA357))*(AA358&lt;$F190)</f>
        <v>-0</v>
      </c>
      <c r="AB457" s="8" t="n">
        <f aca="false">-SUMPRODUCT($F340:$F347*(YEAR($K340:$K347)=AB357))*(AB358&lt;$F190)</f>
        <v>-0</v>
      </c>
      <c r="AC457" s="8" t="n">
        <f aca="false">-SUMPRODUCT($F340:$F347*(YEAR($K340:$K347)=AC357))*(AC358&lt;$F190)</f>
        <v>-0</v>
      </c>
      <c r="AD457" s="8" t="n">
        <f aca="false">-SUMPRODUCT($F340:$F347*(YEAR($K340:$K347)=AD357))*(AD358&lt;$F190)</f>
        <v>-0</v>
      </c>
      <c r="AE457" s="8" t="n">
        <f aca="false">-SUMPRODUCT($F340:$F347*(YEAR($K340:$K347)=AE357))*(AE358&lt;$F190)</f>
        <v>-0</v>
      </c>
      <c r="AF457" s="8" t="n">
        <f aca="false">-SUMPRODUCT($F340:$F347*(YEAR($K340:$K347)=AF357))*(AF358&lt;$F190)</f>
        <v>-0</v>
      </c>
      <c r="AG457" s="8" t="n">
        <f aca="false">-SUMPRODUCT($F340:$F347*(YEAR($K340:$K347)=AG357))*(AG358&lt;$F190)</f>
        <v>-0</v>
      </c>
      <c r="AH457" s="8" t="n">
        <f aca="false">-SUMPRODUCT($F340:$F347*(YEAR($K340:$K347)=AH357))*(AH358&lt;$F190)</f>
        <v>-0</v>
      </c>
      <c r="AI457" s="8" t="n">
        <f aca="false">-SUMPRODUCT($F340:$F347*(YEAR($K340:$K347)=AI357))*(AI358&lt;$F190)</f>
        <v>-0</v>
      </c>
      <c r="AJ457" s="8" t="n">
        <f aca="false">-SUMPRODUCT($F340:$F347*(YEAR($K340:$K347)=AJ357))*(AJ358&lt;$F190)</f>
        <v>-0</v>
      </c>
      <c r="AK457" s="8" t="n">
        <f aca="false">-SUMPRODUCT($F340:$F347*(YEAR($K340:$K347)=AK357))*(AK358&lt;$F190)</f>
        <v>-0</v>
      </c>
      <c r="AL457" s="8" t="n">
        <f aca="false">-SUMPRODUCT($F340:$F347*(YEAR($K340:$K347)=AL357))*(AL358&lt;$F190)</f>
        <v>-0</v>
      </c>
      <c r="AM457" s="8" t="n">
        <f aca="false">-SUMPRODUCT($F340:$F347*(YEAR($K340:$K347)=AM357))*(AM358&lt;$F190)</f>
        <v>-0</v>
      </c>
      <c r="AN457" s="8" t="n">
        <f aca="false">-SUMPRODUCT($F340:$F347*(YEAR($K340:$K347)=AN357))*(AN358&lt;$F190)</f>
        <v>-0</v>
      </c>
      <c r="AO457" s="8" t="n">
        <f aca="false">-SUMPRODUCT($F340:$F347*(YEAR($K340:$K347)=AO357))*(AO358&lt;$F190)</f>
        <v>-0</v>
      </c>
      <c r="AP457" s="8" t="n">
        <f aca="false">-SUMPRODUCT($F340:$F347*(YEAR($K340:$K347)=AP357))*(AP358&lt;$F190)</f>
        <v>-0</v>
      </c>
      <c r="AQ457" s="8" t="n">
        <f aca="false">-SUMPRODUCT($F340:$F347*(YEAR($K340:$K347)=AQ357))*(AQ358&lt;$F190)</f>
        <v>-0</v>
      </c>
      <c r="AR457" s="8" t="n">
        <f aca="false">-SUMPRODUCT($F340:$F347*(YEAR($K340:$K347)=AR357))*(AR358&lt;$F190)</f>
        <v>-0</v>
      </c>
      <c r="AS457" s="8" t="n">
        <f aca="false">-SUMPRODUCT($F340:$F347*(YEAR($K340:$K347)=AS357))*(AS358&lt;$F190)</f>
        <v>-0</v>
      </c>
    </row>
    <row r="458" customFormat="false" ht="14.25" hidden="false" customHeight="false" outlineLevel="0" collapsed="false">
      <c r="C458" s="6" t="s">
        <v>334</v>
      </c>
      <c r="D458" s="2" t="s">
        <v>85</v>
      </c>
      <c r="H458" s="8" t="n">
        <f aca="false">SUM(J458:AS458)</f>
        <v>1067.27814362467</v>
      </c>
      <c r="J458" s="8" t="n">
        <f aca="false">(J455+J456-I455-I456-J457)*(J358&lt;$F190)</f>
        <v>10.5037042597111</v>
      </c>
      <c r="K458" s="8" t="n">
        <f aca="false">(K455+K456-J455-J456-K457)*(K358&lt;$F190)</f>
        <v>378.473849380001</v>
      </c>
      <c r="L458" s="8" t="n">
        <f aca="false">(L455+L456-K455-K456-L457)*(L358&lt;$F190)</f>
        <v>678.300589984963</v>
      </c>
      <c r="M458" s="8" t="n">
        <f aca="false">(M455+M456-L455-L456-M457)*(M358&lt;$F190)</f>
        <v>-0</v>
      </c>
      <c r="N458" s="8" t="n">
        <f aca="false">(N455+N456-M455-M456-N457)*(N358&lt;$F190)</f>
        <v>0</v>
      </c>
      <c r="O458" s="8" t="n">
        <f aca="false">(O455+O456-N455-N456-O457)*(O358&lt;$F190)</f>
        <v>0</v>
      </c>
      <c r="P458" s="8" t="n">
        <f aca="false">(P455+P456-O455-O456-P457)*(P358&lt;$F190)</f>
        <v>0</v>
      </c>
      <c r="Q458" s="8" t="n">
        <f aca="false">(Q455+Q456-P455-P456-Q457)*(Q358&lt;$F190)</f>
        <v>0</v>
      </c>
      <c r="R458" s="8" t="n">
        <f aca="false">(R455+R456-Q455-Q456-R457)*(R358&lt;$F190)</f>
        <v>0</v>
      </c>
      <c r="S458" s="8" t="n">
        <f aca="false">(S455+S456-R455-R456-S457)*(S358&lt;$F190)</f>
        <v>0</v>
      </c>
      <c r="T458" s="8" t="n">
        <f aca="false">(T455+T456-S455-S456-T457)*(T358&lt;$F190)</f>
        <v>0</v>
      </c>
      <c r="U458" s="8" t="n">
        <f aca="false">(U455+U456-T455-T456-U457)*(U358&lt;$F190)</f>
        <v>0</v>
      </c>
      <c r="V458" s="8" t="n">
        <f aca="false">(V455+V456-U455-U456-V457)*(V358&lt;$F190)</f>
        <v>0</v>
      </c>
      <c r="W458" s="8" t="n">
        <f aca="false">(W455+W456-V455-V456-W457)*(W358&lt;$F190)</f>
        <v>0</v>
      </c>
      <c r="X458" s="8" t="n">
        <f aca="false">(X455+X456-W455-W456-X457)*(X358&lt;$F190)</f>
        <v>0</v>
      </c>
      <c r="Y458" s="8" t="n">
        <f aca="false">(Y455+Y456-X455-X456-Y457)*(Y358&lt;$F190)</f>
        <v>0</v>
      </c>
      <c r="Z458" s="8" t="n">
        <f aca="false">(Z455+Z456-Y455-Y456-Z457)*(Z358&lt;$F190)</f>
        <v>0</v>
      </c>
      <c r="AA458" s="8" t="n">
        <f aca="false">(AA455+AA456-Z455-Z456-AA457)*(AA358&lt;$F190)</f>
        <v>0</v>
      </c>
      <c r="AB458" s="8" t="n">
        <f aca="false">(AB455+AB456-AA455-AA456-AB457)*(AB358&lt;$F190)</f>
        <v>0</v>
      </c>
      <c r="AC458" s="8" t="n">
        <f aca="false">(AC455+AC456-AB455-AB456-AC457)*(AC358&lt;$F190)</f>
        <v>0</v>
      </c>
      <c r="AD458" s="8" t="n">
        <f aca="false">(AD455+AD456-AC455-AC456-AD457)*(AD358&lt;$F190)</f>
        <v>0</v>
      </c>
      <c r="AE458" s="8" t="n">
        <f aca="false">(AE455+AE456-AD455-AD456-AE457)*(AE358&lt;$F190)</f>
        <v>0</v>
      </c>
      <c r="AF458" s="8" t="n">
        <f aca="false">(AF455+AF456-AE455-AE456-AF457)*(AF358&lt;$F190)</f>
        <v>0</v>
      </c>
      <c r="AG458" s="8" t="n">
        <f aca="false">(AG455+AG456-AF455-AF456-AG457)*(AG358&lt;$F190)</f>
        <v>0</v>
      </c>
      <c r="AH458" s="8" t="n">
        <f aca="false">(AH455+AH456-AG455-AG456-AH457)*(AH358&lt;$F190)</f>
        <v>0</v>
      </c>
      <c r="AI458" s="8" t="n">
        <f aca="false">(AI455+AI456-AH455-AH456-AI457)*(AI358&lt;$F190)</f>
        <v>0</v>
      </c>
      <c r="AJ458" s="8" t="n">
        <f aca="false">(AJ455+AJ456-AI455-AI456-AJ457)*(AJ358&lt;$F190)</f>
        <v>0</v>
      </c>
      <c r="AK458" s="8" t="n">
        <f aca="false">(AK455+AK456-AJ455-AJ456-AK457)*(AK358&lt;$F190)</f>
        <v>0</v>
      </c>
      <c r="AL458" s="8" t="n">
        <f aca="false">(AL455+AL456-AK455-AK456-AL457)*(AL358&lt;$F190)</f>
        <v>0</v>
      </c>
      <c r="AM458" s="8" t="n">
        <f aca="false">(AM455+AM456-AL455-AL456-AM457)*(AM358&lt;$F190)</f>
        <v>0</v>
      </c>
      <c r="AN458" s="8" t="n">
        <f aca="false">(AN455+AN456-AM455-AM456-AN457)*(AN358&lt;$F190)</f>
        <v>0</v>
      </c>
      <c r="AO458" s="8" t="n">
        <f aca="false">(AO455+AO456-AN455-AN456-AO457)*(AO358&lt;$F190)</f>
        <v>0</v>
      </c>
      <c r="AP458" s="8" t="n">
        <f aca="false">(AP455+AP456-AO455-AO456-AP457)*(AP358&lt;$F190)</f>
        <v>0</v>
      </c>
      <c r="AQ458" s="8" t="n">
        <f aca="false">(AQ455+AQ456-AP455-AP456-AQ457)*(AQ358&lt;$F190)</f>
        <v>0</v>
      </c>
      <c r="AR458" s="8" t="n">
        <f aca="false">(AR455+AR456-AQ455-AQ456-AR457)*(AR358&lt;$F190)</f>
        <v>0</v>
      </c>
      <c r="AS458" s="8" t="n">
        <f aca="false">(AS455+AS456-AR455-AR456-AS457)*(AS358&lt;$F190)</f>
        <v>0</v>
      </c>
    </row>
    <row r="459" customFormat="false" ht="14.25" hidden="false" customHeight="false" outlineLevel="0" collapsed="false">
      <c r="C459" s="6" t="s">
        <v>335</v>
      </c>
      <c r="D459" s="2" t="s">
        <v>85</v>
      </c>
      <c r="H459" s="8"/>
      <c r="J459" s="8" t="n">
        <f aca="false">(I459*(1+Rate_Cash)+SUMPRODUCT(-$F288:$F291*$N288:$N291*(YEAR($K288:$K291)=J357)))*(J358&lt;$F225)</f>
        <v>517.626991930944</v>
      </c>
      <c r="K459" s="8" t="n">
        <f aca="false">(J459*(1+Rate_Cash)+SUMPRODUCT(-$F288:$F291*$N288:$N291*(YEAR($K288:$K291)=K357)))*(K358&lt;$F225)</f>
        <v>3493.22099245637</v>
      </c>
      <c r="L459" s="8" t="n">
        <f aca="false">(K459*(1+Rate_Cash)+SUMPRODUCT(-$F288:$F291*$N288:$N291*(YEAR($K288:$K291)=L357)))*(L358&lt;$F225)</f>
        <v>0</v>
      </c>
      <c r="M459" s="8" t="n">
        <f aca="false">(L459*(1+Rate_Cash)+SUMPRODUCT(-$F288:$F291*$N288:$N291*(YEAR($K288:$K291)=M357)))*(M358&lt;$F225)</f>
        <v>0</v>
      </c>
      <c r="N459" s="8" t="n">
        <f aca="false">(M459*(1+Rate_Cash)+SUMPRODUCT(-$F288:$F291*$N288:$N291*(YEAR($K288:$K291)=N357)))*(N358&lt;$F225)</f>
        <v>0</v>
      </c>
      <c r="O459" s="8" t="n">
        <f aca="false">(N459*(1+Rate_Cash)+SUMPRODUCT(-$F288:$F291*$N288:$N291*(YEAR($K288:$K291)=O357)))*(O358&lt;$F225)</f>
        <v>0</v>
      </c>
      <c r="P459" s="8" t="n">
        <f aca="false">(O459*(1+Rate_Cash)+SUMPRODUCT(-$F288:$F291*$N288:$N291*(YEAR($K288:$K291)=P357)))*(P358&lt;$F225)</f>
        <v>0</v>
      </c>
      <c r="Q459" s="8" t="n">
        <f aca="false">(P459*(1+Rate_Cash)+SUMPRODUCT(-$F288:$F291*$N288:$N291*(YEAR($K288:$K291)=Q357)))*(Q358&lt;$F225)</f>
        <v>0</v>
      </c>
      <c r="R459" s="8" t="n">
        <f aca="false">(Q459*(1+Rate_Cash)+SUMPRODUCT(-$F288:$F291*$N288:$N291*(YEAR($K288:$K291)=R357)))*(R358&lt;$F225)</f>
        <v>0</v>
      </c>
      <c r="S459" s="8" t="n">
        <f aca="false">(R459*(1+Rate_Cash)+SUMPRODUCT(-$F288:$F291*$N288:$N291*(YEAR($K288:$K291)=S357)))*(S358&lt;$F225)</f>
        <v>0</v>
      </c>
      <c r="T459" s="8" t="n">
        <f aca="false">(S459*(1+Rate_Cash)+SUMPRODUCT(-$F288:$F291*$N288:$N291*(YEAR($K288:$K291)=T357)))*(T358&lt;$F225)</f>
        <v>0</v>
      </c>
      <c r="U459" s="8" t="n">
        <f aca="false">(T459*(1+Rate_Cash)+SUMPRODUCT(-$F288:$F291*$N288:$N291*(YEAR($K288:$K291)=U357)))*(U358&lt;$F225)</f>
        <v>0</v>
      </c>
      <c r="V459" s="8" t="n">
        <f aca="false">(U459*(1+Rate_Cash)+SUMPRODUCT(-$F288:$F291*$N288:$N291*(YEAR($K288:$K291)=V357)))*(V358&lt;$F225)</f>
        <v>0</v>
      </c>
      <c r="W459" s="8" t="n">
        <f aca="false">(V459*(1+Rate_Cash)+SUMPRODUCT(-$F288:$F291*$N288:$N291*(YEAR($K288:$K291)=W357)))*(W358&lt;$F225)</f>
        <v>0</v>
      </c>
      <c r="X459" s="8" t="n">
        <f aca="false">(W459*(1+Rate_Cash)+SUMPRODUCT(-$F288:$F291*$N288:$N291*(YEAR($K288:$K291)=X357)))*(X358&lt;$F225)</f>
        <v>0</v>
      </c>
      <c r="Y459" s="8" t="n">
        <f aca="false">(X459*(1+Rate_Cash)+SUMPRODUCT(-$F288:$F291*$N288:$N291*(YEAR($K288:$K291)=Y357)))*(Y358&lt;$F225)</f>
        <v>0</v>
      </c>
      <c r="Z459" s="8" t="n">
        <f aca="false">(Y459*(1+Rate_Cash)+SUMPRODUCT(-$F288:$F291*$N288:$N291*(YEAR($K288:$K291)=Z357)))*(Z358&lt;$F225)</f>
        <v>0</v>
      </c>
      <c r="AA459" s="8" t="n">
        <f aca="false">(Z459*(1+Rate_Cash)+SUMPRODUCT(-$F288:$F291*$N288:$N291*(YEAR($K288:$K291)=AA357)))*(AA358&lt;$F225)</f>
        <v>0</v>
      </c>
      <c r="AB459" s="8" t="n">
        <f aca="false">(AA459*(1+Rate_Cash)+SUMPRODUCT(-$F288:$F291*$N288:$N291*(YEAR($K288:$K291)=AB357)))*(AB358&lt;$F225)</f>
        <v>0</v>
      </c>
      <c r="AC459" s="8" t="n">
        <f aca="false">(AB459*(1+Rate_Cash)+SUMPRODUCT(-$F288:$F291*$N288:$N291*(YEAR($K288:$K291)=AC357)))*(AC358&lt;$F225)</f>
        <v>0</v>
      </c>
      <c r="AD459" s="8" t="n">
        <f aca="false">(AC459*(1+Rate_Cash)+SUMPRODUCT(-$F288:$F291*$N288:$N291*(YEAR($K288:$K291)=AD357)))*(AD358&lt;$F225)</f>
        <v>0</v>
      </c>
      <c r="AE459" s="8" t="n">
        <f aca="false">(AD459*(1+Rate_Cash)+SUMPRODUCT(-$F288:$F291*$N288:$N291*(YEAR($K288:$K291)=AE357)))*(AE358&lt;$F225)</f>
        <v>0</v>
      </c>
      <c r="AF459" s="8" t="n">
        <f aca="false">(AE459*(1+Rate_Cash)+SUMPRODUCT(-$F288:$F291*$N288:$N291*(YEAR($K288:$K291)=AF357)))*(AF358&lt;$F225)</f>
        <v>0</v>
      </c>
      <c r="AG459" s="8" t="n">
        <f aca="false">(AF459*(1+Rate_Cash)+SUMPRODUCT(-$F288:$F291*$N288:$N291*(YEAR($K288:$K291)=AG357)))*(AG358&lt;$F225)</f>
        <v>0</v>
      </c>
      <c r="AH459" s="8" t="n">
        <f aca="false">(AG459*(1+Rate_Cash)+SUMPRODUCT(-$F288:$F291*$N288:$N291*(YEAR($K288:$K291)=AH357)))*(AH358&lt;$F225)</f>
        <v>0</v>
      </c>
      <c r="AI459" s="8" t="n">
        <f aca="false">(AH459*(1+Rate_Cash)+SUMPRODUCT(-$F288:$F291*$N288:$N291*(YEAR($K288:$K291)=AI357)))*(AI358&lt;$F225)</f>
        <v>0</v>
      </c>
      <c r="AJ459" s="8" t="n">
        <f aca="false">(AI459*(1+Rate_Cash)+SUMPRODUCT(-$F288:$F291*$N288:$N291*(YEAR($K288:$K291)=AJ357)))*(AJ358&lt;$F225)</f>
        <v>0</v>
      </c>
      <c r="AK459" s="8" t="n">
        <f aca="false">(AJ459*(1+Rate_Cash)+SUMPRODUCT(-$F288:$F291*$N288:$N291*(YEAR($K288:$K291)=AK357)))*(AK358&lt;$F225)</f>
        <v>0</v>
      </c>
      <c r="AL459" s="8" t="n">
        <f aca="false">(AK459*(1+Rate_Cash)+SUMPRODUCT(-$F288:$F291*$N288:$N291*(YEAR($K288:$K291)=AL357)))*(AL358&lt;$F225)</f>
        <v>0</v>
      </c>
      <c r="AM459" s="8" t="n">
        <f aca="false">(AL459*(1+Rate_Cash)+SUMPRODUCT(-$F288:$F291*$N288:$N291*(YEAR($K288:$K291)=AM357)))*(AM358&lt;$F225)</f>
        <v>0</v>
      </c>
      <c r="AN459" s="8" t="n">
        <f aca="false">(AM459*(1+Rate_Cash)+SUMPRODUCT(-$F288:$F291*$N288:$N291*(YEAR($K288:$K291)=AN357)))*(AN358&lt;$F225)</f>
        <v>0</v>
      </c>
      <c r="AO459" s="8" t="n">
        <f aca="false">(AN459*(1+Rate_Cash)+SUMPRODUCT(-$F288:$F291*$N288:$N291*(YEAR($K288:$K291)=AO357)))*(AO358&lt;$F225)</f>
        <v>0</v>
      </c>
      <c r="AP459" s="8" t="n">
        <f aca="false">(AO459*(1+Rate_Cash)+SUMPRODUCT(-$F288:$F291*$N288:$N291*(YEAR($K288:$K291)=AP357)))*(AP358&lt;$F225)</f>
        <v>0</v>
      </c>
      <c r="AQ459" s="8" t="n">
        <f aca="false">(AP459*(1+Rate_Cash)+SUMPRODUCT(-$F288:$F291*$N288:$N291*(YEAR($K288:$K291)=AQ357)))*(AQ358&lt;$F225)</f>
        <v>0</v>
      </c>
      <c r="AR459" s="8" t="n">
        <f aca="false">(AQ459*(1+Rate_Cash)+SUMPRODUCT(-$F288:$F291*$N288:$N291*(YEAR($K288:$K291)=AR357)))*(AR358&lt;$F225)</f>
        <v>0</v>
      </c>
      <c r="AS459" s="8" t="n">
        <f aca="false">(AR459*(1+Rate_Cash)+SUMPRODUCT(-$F288:$F291*$N288:$N291*(YEAR($K288:$K291)=AS357)))*(AS358&lt;$F225)</f>
        <v>0</v>
      </c>
    </row>
    <row r="460" customFormat="false" ht="14.25" hidden="false" customHeight="false" outlineLevel="0" collapsed="false">
      <c r="C460" s="6" t="s">
        <v>336</v>
      </c>
      <c r="D460" s="2" t="s">
        <v>85</v>
      </c>
      <c r="H460" s="8"/>
      <c r="J460" s="8" t="n">
        <f aca="false">(I460*(1+Rate_Devex)+SUMPRODUCT(-$F292:$F293*$N292:$N293*(YEAR($K292:$K293)=J357)))*(J358&lt;$F225)</f>
        <v>0</v>
      </c>
      <c r="K460" s="8" t="n">
        <f aca="false">(J460*(1+Rate_Devex)+SUMPRODUCT(-$F292:$F293*$N292:$N293*(YEAR($K292:$K293)=K357)))*(K358&lt;$F225)</f>
        <v>751.660032627003</v>
      </c>
      <c r="L460" s="8" t="n">
        <f aca="false">(K460*(1+Rate_Devex)+SUMPRODUCT(-$F292:$F293*$N292:$N293*(YEAR($K292:$K293)=L357)))*(L358&lt;$F225)</f>
        <v>0</v>
      </c>
      <c r="M460" s="8" t="n">
        <f aca="false">(L460*(1+Rate_Devex)+SUMPRODUCT(-$F292:$F293*$N292:$N293*(YEAR($K292:$K293)=M357)))*(M358&lt;$F225)</f>
        <v>0</v>
      </c>
      <c r="N460" s="8" t="n">
        <f aca="false">(M460*(1+Rate_Devex)+SUMPRODUCT(-$F292:$F293*$N292:$N293*(YEAR($K292:$K293)=N357)))*(N358&lt;$F225)</f>
        <v>0</v>
      </c>
      <c r="O460" s="8" t="n">
        <f aca="false">(N460*(1+Rate_Devex)+SUMPRODUCT(-$F292:$F293*$N292:$N293*(YEAR($K292:$K293)=O357)))*(O358&lt;$F225)</f>
        <v>0</v>
      </c>
      <c r="P460" s="8" t="n">
        <f aca="false">(O460*(1+Rate_Devex)+SUMPRODUCT(-$F292:$F293*$N292:$N293*(YEAR($K292:$K293)=P357)))*(P358&lt;$F225)</f>
        <v>0</v>
      </c>
      <c r="Q460" s="8" t="n">
        <f aca="false">(P460*(1+Rate_Devex)+SUMPRODUCT(-$F292:$F293*$N292:$N293*(YEAR($K292:$K293)=Q357)))*(Q358&lt;$F225)</f>
        <v>0</v>
      </c>
      <c r="R460" s="8" t="n">
        <f aca="false">(Q460*(1+Rate_Devex)+SUMPRODUCT(-$F292:$F293*$N292:$N293*(YEAR($K292:$K293)=R357)))*(R358&lt;$F225)</f>
        <v>0</v>
      </c>
      <c r="S460" s="8" t="n">
        <f aca="false">(R460*(1+Rate_Devex)+SUMPRODUCT(-$F292:$F293*$N292:$N293*(YEAR($K292:$K293)=S357)))*(S358&lt;$F225)</f>
        <v>0</v>
      </c>
      <c r="T460" s="8" t="n">
        <f aca="false">(S460*(1+Rate_Devex)+SUMPRODUCT(-$F292:$F293*$N292:$N293*(YEAR($K292:$K293)=T357)))*(T358&lt;$F225)</f>
        <v>0</v>
      </c>
      <c r="U460" s="8" t="n">
        <f aca="false">(T460*(1+Rate_Devex)+SUMPRODUCT(-$F292:$F293*$N292:$N293*(YEAR($K292:$K293)=U357)))*(U358&lt;$F225)</f>
        <v>0</v>
      </c>
      <c r="V460" s="8" t="n">
        <f aca="false">(U460*(1+Rate_Devex)+SUMPRODUCT(-$F292:$F293*$N292:$N293*(YEAR($K292:$K293)=V357)))*(V358&lt;$F225)</f>
        <v>0</v>
      </c>
      <c r="W460" s="8" t="n">
        <f aca="false">(V460*(1+Rate_Devex)+SUMPRODUCT(-$F292:$F293*$N292:$N293*(YEAR($K292:$K293)=W357)))*(W358&lt;$F225)</f>
        <v>0</v>
      </c>
      <c r="X460" s="8" t="n">
        <f aca="false">(W460*(1+Rate_Devex)+SUMPRODUCT(-$F292:$F293*$N292:$N293*(YEAR($K292:$K293)=X357)))*(X358&lt;$F225)</f>
        <v>0</v>
      </c>
      <c r="Y460" s="8" t="n">
        <f aca="false">(X460*(1+Rate_Devex)+SUMPRODUCT(-$F292:$F293*$N292:$N293*(YEAR($K292:$K293)=Y357)))*(Y358&lt;$F225)</f>
        <v>0</v>
      </c>
      <c r="Z460" s="8" t="n">
        <f aca="false">(Y460*(1+Rate_Devex)+SUMPRODUCT(-$F292:$F293*$N292:$N293*(YEAR($K292:$K293)=Z357)))*(Z358&lt;$F225)</f>
        <v>0</v>
      </c>
      <c r="AA460" s="8" t="n">
        <f aca="false">(Z460*(1+Rate_Devex)+SUMPRODUCT(-$F292:$F293*$N292:$N293*(YEAR($K292:$K293)=AA357)))*(AA358&lt;$F225)</f>
        <v>0</v>
      </c>
      <c r="AB460" s="8" t="n">
        <f aca="false">(AA460*(1+Rate_Devex)+SUMPRODUCT(-$F292:$F293*$N292:$N293*(YEAR($K292:$K293)=AB357)))*(AB358&lt;$F225)</f>
        <v>0</v>
      </c>
      <c r="AC460" s="8" t="n">
        <f aca="false">(AB460*(1+Rate_Devex)+SUMPRODUCT(-$F292:$F293*$N292:$N293*(YEAR($K292:$K293)=AC357)))*(AC358&lt;$F225)</f>
        <v>0</v>
      </c>
      <c r="AD460" s="8" t="n">
        <f aca="false">(AC460*(1+Rate_Devex)+SUMPRODUCT(-$F292:$F293*$N292:$N293*(YEAR($K292:$K293)=AD357)))*(AD358&lt;$F225)</f>
        <v>0</v>
      </c>
      <c r="AE460" s="8" t="n">
        <f aca="false">(AD460*(1+Rate_Devex)+SUMPRODUCT(-$F292:$F293*$N292:$N293*(YEAR($K292:$K293)=AE357)))*(AE358&lt;$F225)</f>
        <v>0</v>
      </c>
      <c r="AF460" s="8" t="n">
        <f aca="false">(AE460*(1+Rate_Devex)+SUMPRODUCT(-$F292:$F293*$N292:$N293*(YEAR($K292:$K293)=AF357)))*(AF358&lt;$F225)</f>
        <v>0</v>
      </c>
      <c r="AG460" s="8" t="n">
        <f aca="false">(AF460*(1+Rate_Devex)+SUMPRODUCT(-$F292:$F293*$N292:$N293*(YEAR($K292:$K293)=AG357)))*(AG358&lt;$F225)</f>
        <v>0</v>
      </c>
      <c r="AH460" s="8" t="n">
        <f aca="false">(AG460*(1+Rate_Devex)+SUMPRODUCT(-$F292:$F293*$N292:$N293*(YEAR($K292:$K293)=AH357)))*(AH358&lt;$F225)</f>
        <v>0</v>
      </c>
      <c r="AI460" s="8" t="n">
        <f aca="false">(AH460*(1+Rate_Devex)+SUMPRODUCT(-$F292:$F293*$N292:$N293*(YEAR($K292:$K293)=AI357)))*(AI358&lt;$F225)</f>
        <v>0</v>
      </c>
      <c r="AJ460" s="8" t="n">
        <f aca="false">(AI460*(1+Rate_Devex)+SUMPRODUCT(-$F292:$F293*$N292:$N293*(YEAR($K292:$K293)=AJ357)))*(AJ358&lt;$F225)</f>
        <v>0</v>
      </c>
      <c r="AK460" s="8" t="n">
        <f aca="false">(AJ460*(1+Rate_Devex)+SUMPRODUCT(-$F292:$F293*$N292:$N293*(YEAR($K292:$K293)=AK357)))*(AK358&lt;$F225)</f>
        <v>0</v>
      </c>
      <c r="AL460" s="8" t="n">
        <f aca="false">(AK460*(1+Rate_Devex)+SUMPRODUCT(-$F292:$F293*$N292:$N293*(YEAR($K292:$K293)=AL357)))*(AL358&lt;$F225)</f>
        <v>0</v>
      </c>
      <c r="AM460" s="8" t="n">
        <f aca="false">(AL460*(1+Rate_Devex)+SUMPRODUCT(-$F292:$F293*$N292:$N293*(YEAR($K292:$K293)=AM357)))*(AM358&lt;$F225)</f>
        <v>0</v>
      </c>
      <c r="AN460" s="8" t="n">
        <f aca="false">(AM460*(1+Rate_Devex)+SUMPRODUCT(-$F292:$F293*$N292:$N293*(YEAR($K292:$K293)=AN357)))*(AN358&lt;$F225)</f>
        <v>0</v>
      </c>
      <c r="AO460" s="8" t="n">
        <f aca="false">(AN460*(1+Rate_Devex)+SUMPRODUCT(-$F292:$F293*$N292:$N293*(YEAR($K292:$K293)=AO357)))*(AO358&lt;$F225)</f>
        <v>0</v>
      </c>
      <c r="AP460" s="8" t="n">
        <f aca="false">(AO460*(1+Rate_Devex)+SUMPRODUCT(-$F292:$F293*$N292:$N293*(YEAR($K292:$K293)=AP357)))*(AP358&lt;$F225)</f>
        <v>0</v>
      </c>
      <c r="AQ460" s="8" t="n">
        <f aca="false">(AP460*(1+Rate_Devex)+SUMPRODUCT(-$F292:$F293*$N292:$N293*(YEAR($K292:$K293)=AQ357)))*(AQ358&lt;$F225)</f>
        <v>0</v>
      </c>
      <c r="AR460" s="8" t="n">
        <f aca="false">(AQ460*(1+Rate_Devex)+SUMPRODUCT(-$F292:$F293*$N292:$N293*(YEAR($K292:$K293)=AR357)))*(AR358&lt;$F225)</f>
        <v>0</v>
      </c>
      <c r="AS460" s="8" t="n">
        <f aca="false">(AR460*(1+Rate_Devex)+SUMPRODUCT(-$F292:$F293*$N292:$N293*(YEAR($K292:$K293)=AS357)))*(AS358&lt;$F225)</f>
        <v>0</v>
      </c>
    </row>
    <row r="461" customFormat="false" ht="14.25" hidden="false" customHeight="false" outlineLevel="0" collapsed="false">
      <c r="C461" s="6" t="s">
        <v>337</v>
      </c>
      <c r="D461" s="2" t="s">
        <v>85</v>
      </c>
      <c r="H461" s="8" t="n">
        <f aca="false">SUM(J461:AS461)</f>
        <v>3843.69504922561</v>
      </c>
      <c r="J461" s="8" t="n">
        <f aca="false">-SUMPRODUCT($F288:$F293*(YEAR($K288:$K293)=J357))*(J358&lt;$F225)</f>
        <v>507.123287671233</v>
      </c>
      <c r="K461" s="8" t="n">
        <f aca="false">-SUMPRODUCT($F288:$F293*(YEAR($K288:$K293)=K357))*(K358&lt;$F225)</f>
        <v>3336.57176155438</v>
      </c>
      <c r="L461" s="8" t="n">
        <f aca="false">-SUMPRODUCT($F288:$F293*(YEAR($K288:$K293)=L357))*(L358&lt;$F225)</f>
        <v>-0</v>
      </c>
      <c r="M461" s="8" t="n">
        <f aca="false">-SUMPRODUCT($F288:$F293*(YEAR($K288:$K293)=M357))*(M358&lt;$F225)</f>
        <v>-0</v>
      </c>
      <c r="N461" s="8" t="n">
        <f aca="false">-SUMPRODUCT($F288:$F293*(YEAR($K288:$K293)=N357))*(N358&lt;$F225)</f>
        <v>-0</v>
      </c>
      <c r="O461" s="8" t="n">
        <f aca="false">-SUMPRODUCT($F288:$F293*(YEAR($K288:$K293)=O357))*(O358&lt;$F225)</f>
        <v>-0</v>
      </c>
      <c r="P461" s="8" t="n">
        <f aca="false">-SUMPRODUCT($F288:$F293*(YEAR($K288:$K293)=P357))*(P358&lt;$F225)</f>
        <v>-0</v>
      </c>
      <c r="Q461" s="8" t="n">
        <f aca="false">-SUMPRODUCT($F288:$F293*(YEAR($K288:$K293)=Q357))*(Q358&lt;$F225)</f>
        <v>-0</v>
      </c>
      <c r="R461" s="8" t="n">
        <f aca="false">-SUMPRODUCT($F288:$F293*(YEAR($K288:$K293)=R357))*(R358&lt;$F225)</f>
        <v>-0</v>
      </c>
      <c r="S461" s="8" t="n">
        <f aca="false">-SUMPRODUCT($F288:$F293*(YEAR($K288:$K293)=S357))*(S358&lt;$F225)</f>
        <v>-0</v>
      </c>
      <c r="T461" s="8" t="n">
        <f aca="false">-SUMPRODUCT($F288:$F293*(YEAR($K288:$K293)=T357))*(T358&lt;$F225)</f>
        <v>-0</v>
      </c>
      <c r="U461" s="8" t="n">
        <f aca="false">-SUMPRODUCT($F288:$F293*(YEAR($K288:$K293)=U357))*(U358&lt;$F225)</f>
        <v>-0</v>
      </c>
      <c r="V461" s="8" t="n">
        <f aca="false">-SUMPRODUCT($F288:$F293*(YEAR($K288:$K293)=V357))*(V358&lt;$F225)</f>
        <v>-0</v>
      </c>
      <c r="W461" s="8" t="n">
        <f aca="false">-SUMPRODUCT($F288:$F293*(YEAR($K288:$K293)=W357))*(W358&lt;$F225)</f>
        <v>-0</v>
      </c>
      <c r="X461" s="8" t="n">
        <f aca="false">-SUMPRODUCT($F288:$F293*(YEAR($K288:$K293)=X357))*(X358&lt;$F225)</f>
        <v>-0</v>
      </c>
      <c r="Y461" s="8" t="n">
        <f aca="false">-SUMPRODUCT($F288:$F293*(YEAR($K288:$K293)=Y357))*(Y358&lt;$F225)</f>
        <v>-0</v>
      </c>
      <c r="Z461" s="8" t="n">
        <f aca="false">-SUMPRODUCT($F288:$F293*(YEAR($K288:$K293)=Z357))*(Z358&lt;$F225)</f>
        <v>-0</v>
      </c>
      <c r="AA461" s="8" t="n">
        <f aca="false">-SUMPRODUCT($F288:$F293*(YEAR($K288:$K293)=AA357))*(AA358&lt;$F225)</f>
        <v>-0</v>
      </c>
      <c r="AB461" s="8" t="n">
        <f aca="false">-SUMPRODUCT($F288:$F293*(YEAR($K288:$K293)=AB357))*(AB358&lt;$F225)</f>
        <v>-0</v>
      </c>
      <c r="AC461" s="8" t="n">
        <f aca="false">-SUMPRODUCT($F288:$F293*(YEAR($K288:$K293)=AC357))*(AC358&lt;$F225)</f>
        <v>-0</v>
      </c>
      <c r="AD461" s="8" t="n">
        <f aca="false">-SUMPRODUCT($F288:$F293*(YEAR($K288:$K293)=AD357))*(AD358&lt;$F225)</f>
        <v>-0</v>
      </c>
      <c r="AE461" s="8" t="n">
        <f aca="false">-SUMPRODUCT($F288:$F293*(YEAR($K288:$K293)=AE357))*(AE358&lt;$F225)</f>
        <v>-0</v>
      </c>
      <c r="AF461" s="8" t="n">
        <f aca="false">-SUMPRODUCT($F288:$F293*(YEAR($K288:$K293)=AF357))*(AF358&lt;$F225)</f>
        <v>-0</v>
      </c>
      <c r="AG461" s="8" t="n">
        <f aca="false">-SUMPRODUCT($F288:$F293*(YEAR($K288:$K293)=AG357))*(AG358&lt;$F225)</f>
        <v>-0</v>
      </c>
      <c r="AH461" s="8" t="n">
        <f aca="false">-SUMPRODUCT($F288:$F293*(YEAR($K288:$K293)=AH357))*(AH358&lt;$F225)</f>
        <v>-0</v>
      </c>
      <c r="AI461" s="8" t="n">
        <f aca="false">-SUMPRODUCT($F288:$F293*(YEAR($K288:$K293)=AI357))*(AI358&lt;$F225)</f>
        <v>-0</v>
      </c>
      <c r="AJ461" s="8" t="n">
        <f aca="false">-SUMPRODUCT($F288:$F293*(YEAR($K288:$K293)=AJ357))*(AJ358&lt;$F225)</f>
        <v>-0</v>
      </c>
      <c r="AK461" s="8" t="n">
        <f aca="false">-SUMPRODUCT($F288:$F293*(YEAR($K288:$K293)=AK357))*(AK358&lt;$F225)</f>
        <v>-0</v>
      </c>
      <c r="AL461" s="8" t="n">
        <f aca="false">-SUMPRODUCT($F288:$F293*(YEAR($K288:$K293)=AL357))*(AL358&lt;$F225)</f>
        <v>-0</v>
      </c>
      <c r="AM461" s="8" t="n">
        <f aca="false">-SUMPRODUCT($F288:$F293*(YEAR($K288:$K293)=AM357))*(AM358&lt;$F225)</f>
        <v>-0</v>
      </c>
      <c r="AN461" s="8" t="n">
        <f aca="false">-SUMPRODUCT($F288:$F293*(YEAR($K288:$K293)=AN357))*(AN358&lt;$F225)</f>
        <v>-0</v>
      </c>
      <c r="AO461" s="8" t="n">
        <f aca="false">-SUMPRODUCT($F288:$F293*(YEAR($K288:$K293)=AO357))*(AO358&lt;$F225)</f>
        <v>-0</v>
      </c>
      <c r="AP461" s="8" t="n">
        <f aca="false">-SUMPRODUCT($F288:$F293*(YEAR($K288:$K293)=AP357))*(AP358&lt;$F225)</f>
        <v>-0</v>
      </c>
      <c r="AQ461" s="8" t="n">
        <f aca="false">-SUMPRODUCT($F288:$F293*(YEAR($K288:$K293)=AQ357))*(AQ358&lt;$F225)</f>
        <v>-0</v>
      </c>
      <c r="AR461" s="8" t="n">
        <f aca="false">-SUMPRODUCT($F288:$F293*(YEAR($K288:$K293)=AR357))*(AR358&lt;$F225)</f>
        <v>-0</v>
      </c>
      <c r="AS461" s="8" t="n">
        <f aca="false">-SUMPRODUCT($F288:$F293*(YEAR($K288:$K293)=AS357))*(AS358&lt;$F225)</f>
        <v>-0</v>
      </c>
    </row>
    <row r="462" customFormat="false" ht="14.25" hidden="false" customHeight="false" outlineLevel="0" collapsed="false">
      <c r="C462" s="6" t="s">
        <v>338</v>
      </c>
      <c r="D462" s="2" t="s">
        <v>85</v>
      </c>
      <c r="H462" s="8" t="n">
        <f aca="false">SUM(J462:AS462)</f>
        <v>401.185975857765</v>
      </c>
      <c r="J462" s="8" t="n">
        <f aca="false">(J459+J460-I459-I460-J461)*(J358&lt;$F225)</f>
        <v>10.5037042597111</v>
      </c>
      <c r="K462" s="8" t="n">
        <f aca="false">(K459+K460-J459-J460-K461)*(K358&lt;$F225)</f>
        <v>390.682271598054</v>
      </c>
      <c r="L462" s="8" t="n">
        <f aca="false">(L459+L460-K459-K460-L461)*(L358&lt;$F225)</f>
        <v>-0</v>
      </c>
      <c r="M462" s="8" t="n">
        <f aca="false">(M459+M460-L459-L460-M461)*(M358&lt;$F225)</f>
        <v>0</v>
      </c>
      <c r="N462" s="8" t="n">
        <f aca="false">(N459+N460-M459-M460-N461)*(N358&lt;$F225)</f>
        <v>0</v>
      </c>
      <c r="O462" s="8" t="n">
        <f aca="false">(O459+O460-N459-N460-O461)*(O358&lt;$F225)</f>
        <v>0</v>
      </c>
      <c r="P462" s="8" t="n">
        <f aca="false">(P459+P460-O459-O460-P461)*(P358&lt;$F225)</f>
        <v>0</v>
      </c>
      <c r="Q462" s="8" t="n">
        <f aca="false">(Q459+Q460-P459-P460-Q461)*(Q358&lt;$F225)</f>
        <v>0</v>
      </c>
      <c r="R462" s="8" t="n">
        <f aca="false">(R459+R460-Q459-Q460-R461)*(R358&lt;$F225)</f>
        <v>0</v>
      </c>
      <c r="S462" s="8" t="n">
        <f aca="false">(S459+S460-R459-R460-S461)*(S358&lt;$F225)</f>
        <v>0</v>
      </c>
      <c r="T462" s="8" t="n">
        <f aca="false">(T459+T460-S459-S460-T461)*(T358&lt;$F225)</f>
        <v>0</v>
      </c>
      <c r="U462" s="8" t="n">
        <f aca="false">(U459+U460-T459-T460-U461)*(U358&lt;$F225)</f>
        <v>0</v>
      </c>
      <c r="V462" s="8" t="n">
        <f aca="false">(V459+V460-U459-U460-V461)*(V358&lt;$F225)</f>
        <v>0</v>
      </c>
      <c r="W462" s="8" t="n">
        <f aca="false">(W459+W460-V459-V460-W461)*(W358&lt;$F225)</f>
        <v>0</v>
      </c>
      <c r="X462" s="8" t="n">
        <f aca="false">(X459+X460-W459-W460-X461)*(X358&lt;$F225)</f>
        <v>0</v>
      </c>
      <c r="Y462" s="8" t="n">
        <f aca="false">(Y459+Y460-X459-X460-Y461)*(Y358&lt;$F225)</f>
        <v>0</v>
      </c>
      <c r="Z462" s="8" t="n">
        <f aca="false">(Z459+Z460-Y459-Y460-Z461)*(Z358&lt;$F225)</f>
        <v>0</v>
      </c>
      <c r="AA462" s="8" t="n">
        <f aca="false">(AA459+AA460-Z459-Z460-AA461)*(AA358&lt;$F225)</f>
        <v>0</v>
      </c>
      <c r="AB462" s="8" t="n">
        <f aca="false">(AB459+AB460-AA459-AA460-AB461)*(AB358&lt;$F225)</f>
        <v>0</v>
      </c>
      <c r="AC462" s="8" t="n">
        <f aca="false">(AC459+AC460-AB459-AB460-AC461)*(AC358&lt;$F225)</f>
        <v>0</v>
      </c>
      <c r="AD462" s="8" t="n">
        <f aca="false">(AD459+AD460-AC459-AC460-AD461)*(AD358&lt;$F225)</f>
        <v>0</v>
      </c>
      <c r="AE462" s="8" t="n">
        <f aca="false">(AE459+AE460-AD459-AD460-AE461)*(AE358&lt;$F225)</f>
        <v>0</v>
      </c>
      <c r="AF462" s="8" t="n">
        <f aca="false">(AF459+AF460-AE459-AE460-AF461)*(AF358&lt;$F225)</f>
        <v>0</v>
      </c>
      <c r="AG462" s="8" t="n">
        <f aca="false">(AG459+AG460-AF459-AF460-AG461)*(AG358&lt;$F225)</f>
        <v>0</v>
      </c>
      <c r="AH462" s="8" t="n">
        <f aca="false">(AH459+AH460-AG459-AG460-AH461)*(AH358&lt;$F225)</f>
        <v>0</v>
      </c>
      <c r="AI462" s="8" t="n">
        <f aca="false">(AI459+AI460-AH459-AH460-AI461)*(AI358&lt;$F225)</f>
        <v>0</v>
      </c>
      <c r="AJ462" s="8" t="n">
        <f aca="false">(AJ459+AJ460-AI459-AI460-AJ461)*(AJ358&lt;$F225)</f>
        <v>0</v>
      </c>
      <c r="AK462" s="8" t="n">
        <f aca="false">(AK459+AK460-AJ459-AJ460-AK461)*(AK358&lt;$F225)</f>
        <v>0</v>
      </c>
      <c r="AL462" s="8" t="n">
        <f aca="false">(AL459+AL460-AK459-AK460-AL461)*(AL358&lt;$F225)</f>
        <v>0</v>
      </c>
      <c r="AM462" s="8" t="n">
        <f aca="false">(AM459+AM460-AL459-AL460-AM461)*(AM358&lt;$F225)</f>
        <v>0</v>
      </c>
      <c r="AN462" s="8" t="n">
        <f aca="false">(AN459+AN460-AM459-AM460-AN461)*(AN358&lt;$F225)</f>
        <v>0</v>
      </c>
      <c r="AO462" s="8" t="n">
        <f aca="false">(AO459+AO460-AN459-AN460-AO461)*(AO358&lt;$F225)</f>
        <v>0</v>
      </c>
      <c r="AP462" s="8" t="n">
        <f aca="false">(AP459+AP460-AO459-AO460-AP461)*(AP358&lt;$F225)</f>
        <v>0</v>
      </c>
      <c r="AQ462" s="8" t="n">
        <f aca="false">(AQ459+AQ460-AP459-AP460-AQ461)*(AQ358&lt;$F225)</f>
        <v>0</v>
      </c>
      <c r="AR462" s="8" t="n">
        <f aca="false">(AR459+AR460-AQ459-AQ460-AR461)*(AR358&lt;$F225)</f>
        <v>0</v>
      </c>
      <c r="AS462" s="8" t="n">
        <f aca="false">(AS459+AS460-AR459-AR460-AS461)*(AS358&lt;$F225)</f>
        <v>0</v>
      </c>
    </row>
    <row r="464" customFormat="false" ht="14.25" hidden="false" customHeight="false" outlineLevel="0" collapsed="false">
      <c r="B464" s="4" t="s">
        <v>3</v>
      </c>
      <c r="C464" s="4" t="s">
        <v>340</v>
      </c>
      <c r="D464" s="4"/>
      <c r="E464" s="5"/>
      <c r="F464" s="5"/>
      <c r="G464" s="5" t="s">
        <v>288</v>
      </c>
      <c r="H464" s="5" t="s">
        <v>8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</row>
    <row r="465" customFormat="false" ht="14.25" hidden="false" customHeight="false" outlineLevel="0" collapsed="false">
      <c r="C465" s="6" t="s">
        <v>289</v>
      </c>
      <c r="D465" s="2" t="s">
        <v>290</v>
      </c>
      <c r="J465" s="73" t="n">
        <f aca="false">J$357-YEAR(Inputs!$G$26)</f>
        <v>-5</v>
      </c>
      <c r="K465" s="73" t="n">
        <f aca="false">K$357-YEAR(Inputs!$G$26)</f>
        <v>-4</v>
      </c>
      <c r="L465" s="73" t="n">
        <f aca="false">L$357-YEAR(Inputs!$G$26)</f>
        <v>-3</v>
      </c>
      <c r="M465" s="73" t="n">
        <f aca="false">M$357-YEAR(Inputs!$G$26)</f>
        <v>-2</v>
      </c>
      <c r="N465" s="73" t="n">
        <f aca="false">N$357-YEAR(Inputs!$G$26)</f>
        <v>-1</v>
      </c>
      <c r="O465" s="73" t="n">
        <f aca="false">O$357-YEAR(Inputs!$G$26)</f>
        <v>0</v>
      </c>
      <c r="P465" s="73" t="n">
        <f aca="false">P$357-YEAR(Inputs!$G$26)</f>
        <v>1</v>
      </c>
      <c r="Q465" s="73" t="n">
        <f aca="false">Q$357-YEAR(Inputs!$G$26)</f>
        <v>2</v>
      </c>
      <c r="R465" s="73" t="n">
        <f aca="false">R$357-YEAR(Inputs!$G$26)</f>
        <v>3</v>
      </c>
      <c r="S465" s="73" t="n">
        <f aca="false">S$357-YEAR(Inputs!$G$26)</f>
        <v>4</v>
      </c>
      <c r="T465" s="73" t="n">
        <f aca="false">T$357-YEAR(Inputs!$G$26)</f>
        <v>5</v>
      </c>
      <c r="U465" s="73" t="n">
        <f aca="false">U$357-YEAR(Inputs!$G$26)</f>
        <v>6</v>
      </c>
      <c r="V465" s="73" t="n">
        <f aca="false">V$357-YEAR(Inputs!$G$26)</f>
        <v>7</v>
      </c>
      <c r="W465" s="73" t="n">
        <f aca="false">W$357-YEAR(Inputs!$G$26)</f>
        <v>8</v>
      </c>
      <c r="X465" s="73" t="n">
        <f aca="false">X$357-YEAR(Inputs!$G$26)</f>
        <v>9</v>
      </c>
      <c r="Y465" s="73" t="n">
        <f aca="false">Y$357-YEAR(Inputs!$G$26)</f>
        <v>10</v>
      </c>
      <c r="Z465" s="73" t="n">
        <f aca="false">Z$357-YEAR(Inputs!$G$26)</f>
        <v>11</v>
      </c>
      <c r="AA465" s="73" t="n">
        <f aca="false">AA$357-YEAR(Inputs!$G$26)</f>
        <v>12</v>
      </c>
      <c r="AB465" s="73" t="n">
        <f aca="false">AB$357-YEAR(Inputs!$G$26)</f>
        <v>13</v>
      </c>
      <c r="AC465" s="73" t="n">
        <f aca="false">AC$357-YEAR(Inputs!$G$26)</f>
        <v>14</v>
      </c>
      <c r="AD465" s="73" t="n">
        <f aca="false">AD$357-YEAR(Inputs!$G$26)</f>
        <v>15</v>
      </c>
      <c r="AE465" s="73" t="n">
        <f aca="false">AE$357-YEAR(Inputs!$G$26)</f>
        <v>16</v>
      </c>
      <c r="AF465" s="73" t="n">
        <f aca="false">AF$357-YEAR(Inputs!$G$26)</f>
        <v>17</v>
      </c>
      <c r="AG465" s="73" t="n">
        <f aca="false">AG$357-YEAR(Inputs!$G$26)</f>
        <v>18</v>
      </c>
      <c r="AH465" s="73" t="n">
        <f aca="false">AH$357-YEAR(Inputs!$G$26)</f>
        <v>19</v>
      </c>
      <c r="AI465" s="73" t="n">
        <f aca="false">AI$357-YEAR(Inputs!$G$26)</f>
        <v>20</v>
      </c>
      <c r="AJ465" s="73" t="n">
        <f aca="false">AJ$357-YEAR(Inputs!$G$26)</f>
        <v>21</v>
      </c>
      <c r="AK465" s="73" t="n">
        <f aca="false">AK$357-YEAR(Inputs!$G$26)</f>
        <v>22</v>
      </c>
      <c r="AL465" s="73" t="n">
        <f aca="false">AL$357-YEAR(Inputs!$G$26)</f>
        <v>23</v>
      </c>
      <c r="AM465" s="73" t="n">
        <f aca="false">AM$357-YEAR(Inputs!$G$26)</f>
        <v>24</v>
      </c>
      <c r="AN465" s="73" t="n">
        <f aca="false">AN$357-YEAR(Inputs!$G$26)</f>
        <v>25</v>
      </c>
      <c r="AO465" s="73" t="n">
        <f aca="false">AO$357-YEAR(Inputs!$G$26)</f>
        <v>26</v>
      </c>
      <c r="AP465" s="73" t="n">
        <f aca="false">AP$357-YEAR(Inputs!$G$26)</f>
        <v>27</v>
      </c>
      <c r="AQ465" s="73" t="n">
        <f aca="false">AQ$357-YEAR(Inputs!$G$26)</f>
        <v>28</v>
      </c>
      <c r="AR465" s="73" t="n">
        <f aca="false">AR$357-YEAR(Inputs!$G$26)</f>
        <v>29</v>
      </c>
      <c r="AS465" s="73" t="n">
        <f aca="false">AS$357-YEAR(Inputs!$G$26)</f>
        <v>30</v>
      </c>
    </row>
    <row r="466" customFormat="false" ht="14.25" hidden="false" customHeight="false" outlineLevel="0" collapsed="false">
      <c r="C466" s="6" t="s">
        <v>291</v>
      </c>
      <c r="D466" s="2" t="s">
        <v>292</v>
      </c>
      <c r="G466" s="73" t="n">
        <f aca="false">DATEDIF(Inputs!$G$25,Inputs!$G$26,"m")</f>
        <v>24</v>
      </c>
      <c r="J466" s="73" t="n">
        <f aca="false">(J$357+1-YEAR(Inputs!$G$25))*Months_In_Year-MONTH(Inputs!$G$25)</f>
        <v>-30</v>
      </c>
      <c r="K466" s="73" t="n">
        <f aca="false">(K$357+1-YEAR(Inputs!$G$25))*Months_In_Year-MONTH(Inputs!$G$25)</f>
        <v>-18</v>
      </c>
      <c r="L466" s="73" t="n">
        <f aca="false">(L$357+1-YEAR(Inputs!$G$25))*Months_In_Year-MONTH(Inputs!$G$25)</f>
        <v>-6</v>
      </c>
      <c r="M466" s="73" t="n">
        <f aca="false">(M$357+1-YEAR(Inputs!$G$25))*Months_In_Year-MONTH(Inputs!$G$25)</f>
        <v>6</v>
      </c>
      <c r="N466" s="73" t="n">
        <f aca="false">(N$357+1-YEAR(Inputs!$G$25))*Months_In_Year-MONTH(Inputs!$G$25)</f>
        <v>18</v>
      </c>
      <c r="O466" s="73" t="n">
        <f aca="false">(O$357+1-YEAR(Inputs!$G$25))*Months_In_Year-MONTH(Inputs!$G$25)</f>
        <v>30</v>
      </c>
      <c r="P466" s="73" t="n">
        <f aca="false">(P$357+1-YEAR(Inputs!$G$25))*Months_In_Year-MONTH(Inputs!$G$25)</f>
        <v>42</v>
      </c>
      <c r="Q466" s="73" t="n">
        <f aca="false">(Q$357+1-YEAR(Inputs!$G$25))*Months_In_Year-MONTH(Inputs!$G$25)</f>
        <v>54</v>
      </c>
      <c r="R466" s="73" t="n">
        <f aca="false">(R$357+1-YEAR(Inputs!$G$25))*Months_In_Year-MONTH(Inputs!$G$25)</f>
        <v>66</v>
      </c>
      <c r="S466" s="73" t="n">
        <f aca="false">(S$357+1-YEAR(Inputs!$G$25))*Months_In_Year-MONTH(Inputs!$G$25)</f>
        <v>78</v>
      </c>
      <c r="T466" s="73" t="n">
        <f aca="false">(T$357+1-YEAR(Inputs!$G$25))*Months_In_Year-MONTH(Inputs!$G$25)</f>
        <v>90</v>
      </c>
      <c r="U466" s="73" t="n">
        <f aca="false">(U$357+1-YEAR(Inputs!$G$25))*Months_In_Year-MONTH(Inputs!$G$25)</f>
        <v>102</v>
      </c>
      <c r="V466" s="73" t="n">
        <f aca="false">(V$357+1-YEAR(Inputs!$G$25))*Months_In_Year-MONTH(Inputs!$G$25)</f>
        <v>114</v>
      </c>
      <c r="W466" s="73" t="n">
        <f aca="false">(W$357+1-YEAR(Inputs!$G$25))*Months_In_Year-MONTH(Inputs!$G$25)</f>
        <v>126</v>
      </c>
      <c r="X466" s="73" t="n">
        <f aca="false">(X$357+1-YEAR(Inputs!$G$25))*Months_In_Year-MONTH(Inputs!$G$25)</f>
        <v>138</v>
      </c>
      <c r="Y466" s="73" t="n">
        <f aca="false">(Y$357+1-YEAR(Inputs!$G$25))*Months_In_Year-MONTH(Inputs!$G$25)</f>
        <v>150</v>
      </c>
      <c r="Z466" s="73" t="n">
        <f aca="false">(Z$357+1-YEAR(Inputs!$G$25))*Months_In_Year-MONTH(Inputs!$G$25)</f>
        <v>162</v>
      </c>
      <c r="AA466" s="73" t="n">
        <f aca="false">(AA$357+1-YEAR(Inputs!$G$25))*Months_In_Year-MONTH(Inputs!$G$25)</f>
        <v>174</v>
      </c>
      <c r="AB466" s="73" t="n">
        <f aca="false">(AB$357+1-YEAR(Inputs!$G$25))*Months_In_Year-MONTH(Inputs!$G$25)</f>
        <v>186</v>
      </c>
      <c r="AC466" s="73" t="n">
        <f aca="false">(AC$357+1-YEAR(Inputs!$G$25))*Months_In_Year-MONTH(Inputs!$G$25)</f>
        <v>198</v>
      </c>
      <c r="AD466" s="73" t="n">
        <f aca="false">(AD$357+1-YEAR(Inputs!$G$25))*Months_In_Year-MONTH(Inputs!$G$25)</f>
        <v>210</v>
      </c>
      <c r="AE466" s="73" t="n">
        <f aca="false">(AE$357+1-YEAR(Inputs!$G$25))*Months_In_Year-MONTH(Inputs!$G$25)</f>
        <v>222</v>
      </c>
      <c r="AF466" s="73" t="n">
        <f aca="false">(AF$357+1-YEAR(Inputs!$G$25))*Months_In_Year-MONTH(Inputs!$G$25)</f>
        <v>234</v>
      </c>
      <c r="AG466" s="73" t="n">
        <f aca="false">(AG$357+1-YEAR(Inputs!$G$25))*Months_In_Year-MONTH(Inputs!$G$25)</f>
        <v>246</v>
      </c>
      <c r="AH466" s="73" t="n">
        <f aca="false">(AH$357+1-YEAR(Inputs!$G$25))*Months_In_Year-MONTH(Inputs!$G$25)</f>
        <v>258</v>
      </c>
      <c r="AI466" s="73" t="n">
        <f aca="false">(AI$357+1-YEAR(Inputs!$G$25))*Months_In_Year-MONTH(Inputs!$G$25)</f>
        <v>270</v>
      </c>
      <c r="AJ466" s="73" t="n">
        <f aca="false">(AJ$357+1-YEAR(Inputs!$G$25))*Months_In_Year-MONTH(Inputs!$G$25)</f>
        <v>282</v>
      </c>
      <c r="AK466" s="73" t="n">
        <f aca="false">(AK$357+1-YEAR(Inputs!$G$25))*Months_In_Year-MONTH(Inputs!$G$25)</f>
        <v>294</v>
      </c>
      <c r="AL466" s="73" t="n">
        <f aca="false">(AL$357+1-YEAR(Inputs!$G$25))*Months_In_Year-MONTH(Inputs!$G$25)</f>
        <v>306</v>
      </c>
      <c r="AM466" s="73" t="n">
        <f aca="false">(AM$357+1-YEAR(Inputs!$G$25))*Months_In_Year-MONTH(Inputs!$G$25)</f>
        <v>318</v>
      </c>
      <c r="AN466" s="73" t="n">
        <f aca="false">(AN$357+1-YEAR(Inputs!$G$25))*Months_In_Year-MONTH(Inputs!$G$25)</f>
        <v>330</v>
      </c>
      <c r="AO466" s="73" t="n">
        <f aca="false">(AO$357+1-YEAR(Inputs!$G$25))*Months_In_Year-MONTH(Inputs!$G$25)</f>
        <v>342</v>
      </c>
      <c r="AP466" s="73" t="n">
        <f aca="false">(AP$357+1-YEAR(Inputs!$G$25))*Months_In_Year-MONTH(Inputs!$G$25)</f>
        <v>354</v>
      </c>
      <c r="AQ466" s="73" t="n">
        <f aca="false">(AQ$357+1-YEAR(Inputs!$G$25))*Months_In_Year-MONTH(Inputs!$G$25)</f>
        <v>366</v>
      </c>
      <c r="AR466" s="73" t="n">
        <f aca="false">(AR$357+1-YEAR(Inputs!$G$25))*Months_In_Year-MONTH(Inputs!$G$25)</f>
        <v>378</v>
      </c>
      <c r="AS466" s="73" t="n">
        <f aca="false">(AS$357+1-YEAR(Inputs!$G$25))*Months_In_Year-MONTH(Inputs!$G$25)</f>
        <v>390</v>
      </c>
    </row>
    <row r="467" customFormat="false" ht="14.25" hidden="false" customHeight="false" outlineLevel="0" collapsed="false">
      <c r="C467" s="6" t="s">
        <v>293</v>
      </c>
      <c r="D467" s="2" t="s">
        <v>12</v>
      </c>
      <c r="H467" s="74" t="n">
        <f aca="false">SUM(J467:AS467)</f>
        <v>1</v>
      </c>
      <c r="J467" s="48" t="n">
        <f aca="false">MAX(0,MIN(J466,$G466)-MAX(J466-Months_In_Year,0))/$G466</f>
        <v>0</v>
      </c>
      <c r="K467" s="48" t="n">
        <f aca="false">MAX(0,MIN(K466,$G466)-MAX(K466-Months_In_Year,0))/$G466</f>
        <v>0</v>
      </c>
      <c r="L467" s="48" t="n">
        <f aca="false">MAX(0,MIN(L466,$G466)-MAX(L466-Months_In_Year,0))/$G466</f>
        <v>0</v>
      </c>
      <c r="M467" s="48" t="n">
        <f aca="false">MAX(0,MIN(M466,$G466)-MAX(M466-Months_In_Year,0))/$G466</f>
        <v>0.25</v>
      </c>
      <c r="N467" s="48" t="n">
        <f aca="false">MAX(0,MIN(N466,$G466)-MAX(N466-Months_In_Year,0))/$G466</f>
        <v>0.5</v>
      </c>
      <c r="O467" s="48" t="n">
        <f aca="false">MAX(0,MIN(O466,$G466)-MAX(O466-Months_In_Year,0))/$G466</f>
        <v>0.25</v>
      </c>
      <c r="P467" s="48" t="n">
        <f aca="false">MAX(0,MIN(P466,$G466)-MAX(P466-Months_In_Year,0))/$G466</f>
        <v>0</v>
      </c>
      <c r="Q467" s="48" t="n">
        <f aca="false">MAX(0,MIN(Q466,$G466)-MAX(Q466-Months_In_Year,0))/$G466</f>
        <v>0</v>
      </c>
      <c r="R467" s="48" t="n">
        <f aca="false">MAX(0,MIN(R466,$G466)-MAX(R466-Months_In_Year,0))/$G466</f>
        <v>0</v>
      </c>
      <c r="S467" s="48" t="n">
        <f aca="false">MAX(0,MIN(S466,$G466)-MAX(S466-Months_In_Year,0))/$G466</f>
        <v>0</v>
      </c>
      <c r="T467" s="48" t="n">
        <f aca="false">MAX(0,MIN(T466,$G466)-MAX(T466-Months_In_Year,0))/$G466</f>
        <v>0</v>
      </c>
      <c r="U467" s="48" t="n">
        <f aca="false">MAX(0,MIN(U466,$G466)-MAX(U466-Months_In_Year,0))/$G466</f>
        <v>0</v>
      </c>
      <c r="V467" s="48" t="n">
        <f aca="false">MAX(0,MIN(V466,$G466)-MAX(V466-Months_In_Year,0))/$G466</f>
        <v>0</v>
      </c>
      <c r="W467" s="48" t="n">
        <f aca="false">MAX(0,MIN(W466,$G466)-MAX(W466-Months_In_Year,0))/$G466</f>
        <v>0</v>
      </c>
      <c r="X467" s="48" t="n">
        <f aca="false">MAX(0,MIN(X466,$G466)-MAX(X466-Months_In_Year,0))/$G466</f>
        <v>0</v>
      </c>
      <c r="Y467" s="48" t="n">
        <f aca="false">MAX(0,MIN(Y466,$G466)-MAX(Y466-Months_In_Year,0))/$G466</f>
        <v>0</v>
      </c>
      <c r="Z467" s="48" t="n">
        <f aca="false">MAX(0,MIN(Z466,$G466)-MAX(Z466-Months_In_Year,0))/$G466</f>
        <v>0</v>
      </c>
      <c r="AA467" s="48" t="n">
        <f aca="false">MAX(0,MIN(AA466,$G466)-MAX(AA466-Months_In_Year,0))/$G466</f>
        <v>0</v>
      </c>
      <c r="AB467" s="48" t="n">
        <f aca="false">MAX(0,MIN(AB466,$G466)-MAX(AB466-Months_In_Year,0))/$G466</f>
        <v>0</v>
      </c>
      <c r="AC467" s="48" t="n">
        <f aca="false">MAX(0,MIN(AC466,$G466)-MAX(AC466-Months_In_Year,0))/$G466</f>
        <v>0</v>
      </c>
      <c r="AD467" s="48" t="n">
        <f aca="false">MAX(0,MIN(AD466,$G466)-MAX(AD466-Months_In_Year,0))/$G466</f>
        <v>0</v>
      </c>
      <c r="AE467" s="48" t="n">
        <f aca="false">MAX(0,MIN(AE466,$G466)-MAX(AE466-Months_In_Year,0))/$G466</f>
        <v>0</v>
      </c>
      <c r="AF467" s="48" t="n">
        <f aca="false">MAX(0,MIN(AF466,$G466)-MAX(AF466-Months_In_Year,0))/$G466</f>
        <v>0</v>
      </c>
      <c r="AG467" s="48" t="n">
        <f aca="false">MAX(0,MIN(AG466,$G466)-MAX(AG466-Months_In_Year,0))/$G466</f>
        <v>0</v>
      </c>
      <c r="AH467" s="48" t="n">
        <f aca="false">MAX(0,MIN(AH466,$G466)-MAX(AH466-Months_In_Year,0))/$G466</f>
        <v>0</v>
      </c>
      <c r="AI467" s="48" t="n">
        <f aca="false">MAX(0,MIN(AI466,$G466)-MAX(AI466-Months_In_Year,0))/$G466</f>
        <v>0</v>
      </c>
      <c r="AJ467" s="48" t="n">
        <f aca="false">MAX(0,MIN(AJ466,$G466)-MAX(AJ466-Months_In_Year,0))/$G466</f>
        <v>0</v>
      </c>
      <c r="AK467" s="48" t="n">
        <f aca="false">MAX(0,MIN(AK466,$G466)-MAX(AK466-Months_In_Year,0))/$G466</f>
        <v>0</v>
      </c>
      <c r="AL467" s="48" t="n">
        <f aca="false">MAX(0,MIN(AL466,$G466)-MAX(AL466-Months_In_Year,0))/$G466</f>
        <v>0</v>
      </c>
      <c r="AM467" s="48" t="n">
        <f aca="false">MAX(0,MIN(AM466,$G466)-MAX(AM466-Months_In_Year,0))/$G466</f>
        <v>0</v>
      </c>
      <c r="AN467" s="48" t="n">
        <f aca="false">MAX(0,MIN(AN466,$G466)-MAX(AN466-Months_In_Year,0))/$G466</f>
        <v>0</v>
      </c>
      <c r="AO467" s="48" t="n">
        <f aca="false">MAX(0,MIN(AO466,$G466)-MAX(AO466-Months_In_Year,0))/$G466</f>
        <v>0</v>
      </c>
      <c r="AP467" s="48" t="n">
        <f aca="false">MAX(0,MIN(AP466,$G466)-MAX(AP466-Months_In_Year,0))/$G466</f>
        <v>0</v>
      </c>
      <c r="AQ467" s="48" t="n">
        <f aca="false">MAX(0,MIN(AQ466,$G466)-MAX(AQ466-Months_In_Year,0))/$G466</f>
        <v>0</v>
      </c>
      <c r="AR467" s="48" t="n">
        <f aca="false">MAX(0,MIN(AR466,$G466)-MAX(AR466-Months_In_Year,0))/$G466</f>
        <v>0</v>
      </c>
      <c r="AS467" s="48" t="n">
        <f aca="false">MAX(0,MIN(AS466,$G466)-MAX(AS466-Months_In_Year,0))/$G466</f>
        <v>0</v>
      </c>
    </row>
    <row r="468" customFormat="false" ht="14.25" hidden="false" customHeight="false" outlineLevel="0" collapsed="false">
      <c r="C468" s="6" t="s">
        <v>294</v>
      </c>
      <c r="D468" s="2" t="s">
        <v>292</v>
      </c>
      <c r="G468" s="73" t="n">
        <f aca="false">Life*Months_In_Year</f>
        <v>360</v>
      </c>
      <c r="J468" s="73" t="n">
        <f aca="false">(J$357+1-YEAR(Inputs!$G$26))*Months_In_Year-MONTH(Inputs!$G$26)</f>
        <v>-54</v>
      </c>
      <c r="K468" s="73" t="n">
        <f aca="false">(K$357+1-YEAR(Inputs!$G$26))*Months_In_Year-MONTH(Inputs!$G$26)</f>
        <v>-42</v>
      </c>
      <c r="L468" s="73" t="n">
        <f aca="false">(L$357+1-YEAR(Inputs!$G$26))*Months_In_Year-MONTH(Inputs!$G$26)</f>
        <v>-30</v>
      </c>
      <c r="M468" s="73" t="n">
        <f aca="false">(M$357+1-YEAR(Inputs!$G$26))*Months_In_Year-MONTH(Inputs!$G$26)</f>
        <v>-18</v>
      </c>
      <c r="N468" s="73" t="n">
        <f aca="false">(N$357+1-YEAR(Inputs!$G$26))*Months_In_Year-MONTH(Inputs!$G$26)</f>
        <v>-6</v>
      </c>
      <c r="O468" s="73" t="n">
        <f aca="false">(O$357+1-YEAR(Inputs!$G$26))*Months_In_Year-MONTH(Inputs!$G$26)</f>
        <v>6</v>
      </c>
      <c r="P468" s="73" t="n">
        <f aca="false">(P$357+1-YEAR(Inputs!$G$26))*Months_In_Year-MONTH(Inputs!$G$26)</f>
        <v>18</v>
      </c>
      <c r="Q468" s="73" t="n">
        <f aca="false">(Q$357+1-YEAR(Inputs!$G$26))*Months_In_Year-MONTH(Inputs!$G$26)</f>
        <v>30</v>
      </c>
      <c r="R468" s="73" t="n">
        <f aca="false">(R$357+1-YEAR(Inputs!$G$26))*Months_In_Year-MONTH(Inputs!$G$26)</f>
        <v>42</v>
      </c>
      <c r="S468" s="73" t="n">
        <f aca="false">(S$357+1-YEAR(Inputs!$G$26))*Months_In_Year-MONTH(Inputs!$G$26)</f>
        <v>54</v>
      </c>
      <c r="T468" s="73" t="n">
        <f aca="false">(T$357+1-YEAR(Inputs!$G$26))*Months_In_Year-MONTH(Inputs!$G$26)</f>
        <v>66</v>
      </c>
      <c r="U468" s="73" t="n">
        <f aca="false">(U$357+1-YEAR(Inputs!$G$26))*Months_In_Year-MONTH(Inputs!$G$26)</f>
        <v>78</v>
      </c>
      <c r="V468" s="73" t="n">
        <f aca="false">(V$357+1-YEAR(Inputs!$G$26))*Months_In_Year-MONTH(Inputs!$G$26)</f>
        <v>90</v>
      </c>
      <c r="W468" s="73" t="n">
        <f aca="false">(W$357+1-YEAR(Inputs!$G$26))*Months_In_Year-MONTH(Inputs!$G$26)</f>
        <v>102</v>
      </c>
      <c r="X468" s="73" t="n">
        <f aca="false">(X$357+1-YEAR(Inputs!$G$26))*Months_In_Year-MONTH(Inputs!$G$26)</f>
        <v>114</v>
      </c>
      <c r="Y468" s="73" t="n">
        <f aca="false">(Y$357+1-YEAR(Inputs!$G$26))*Months_In_Year-MONTH(Inputs!$G$26)</f>
        <v>126</v>
      </c>
      <c r="Z468" s="73" t="n">
        <f aca="false">(Z$357+1-YEAR(Inputs!$G$26))*Months_In_Year-MONTH(Inputs!$G$26)</f>
        <v>138</v>
      </c>
      <c r="AA468" s="73" t="n">
        <f aca="false">(AA$357+1-YEAR(Inputs!$G$26))*Months_In_Year-MONTH(Inputs!$G$26)</f>
        <v>150</v>
      </c>
      <c r="AB468" s="73" t="n">
        <f aca="false">(AB$357+1-YEAR(Inputs!$G$26))*Months_In_Year-MONTH(Inputs!$G$26)</f>
        <v>162</v>
      </c>
      <c r="AC468" s="73" t="n">
        <f aca="false">(AC$357+1-YEAR(Inputs!$G$26))*Months_In_Year-MONTH(Inputs!$G$26)</f>
        <v>174</v>
      </c>
      <c r="AD468" s="73" t="n">
        <f aca="false">(AD$357+1-YEAR(Inputs!$G$26))*Months_In_Year-MONTH(Inputs!$G$26)</f>
        <v>186</v>
      </c>
      <c r="AE468" s="73" t="n">
        <f aca="false">(AE$357+1-YEAR(Inputs!$G$26))*Months_In_Year-MONTH(Inputs!$G$26)</f>
        <v>198</v>
      </c>
      <c r="AF468" s="73" t="n">
        <f aca="false">(AF$357+1-YEAR(Inputs!$G$26))*Months_In_Year-MONTH(Inputs!$G$26)</f>
        <v>210</v>
      </c>
      <c r="AG468" s="73" t="n">
        <f aca="false">(AG$357+1-YEAR(Inputs!$G$26))*Months_In_Year-MONTH(Inputs!$G$26)</f>
        <v>222</v>
      </c>
      <c r="AH468" s="73" t="n">
        <f aca="false">(AH$357+1-YEAR(Inputs!$G$26))*Months_In_Year-MONTH(Inputs!$G$26)</f>
        <v>234</v>
      </c>
      <c r="AI468" s="73" t="n">
        <f aca="false">(AI$357+1-YEAR(Inputs!$G$26))*Months_In_Year-MONTH(Inputs!$G$26)</f>
        <v>246</v>
      </c>
      <c r="AJ468" s="73" t="n">
        <f aca="false">(AJ$357+1-YEAR(Inputs!$G$26))*Months_In_Year-MONTH(Inputs!$G$26)</f>
        <v>258</v>
      </c>
      <c r="AK468" s="73" t="n">
        <f aca="false">(AK$357+1-YEAR(Inputs!$G$26))*Months_In_Year-MONTH(Inputs!$G$26)</f>
        <v>270</v>
      </c>
      <c r="AL468" s="73" t="n">
        <f aca="false">(AL$357+1-YEAR(Inputs!$G$26))*Months_In_Year-MONTH(Inputs!$G$26)</f>
        <v>282</v>
      </c>
      <c r="AM468" s="73" t="n">
        <f aca="false">(AM$357+1-YEAR(Inputs!$G$26))*Months_In_Year-MONTH(Inputs!$G$26)</f>
        <v>294</v>
      </c>
      <c r="AN468" s="73" t="n">
        <f aca="false">(AN$357+1-YEAR(Inputs!$G$26))*Months_In_Year-MONTH(Inputs!$G$26)</f>
        <v>306</v>
      </c>
      <c r="AO468" s="73" t="n">
        <f aca="false">(AO$357+1-YEAR(Inputs!$G$26))*Months_In_Year-MONTH(Inputs!$G$26)</f>
        <v>318</v>
      </c>
      <c r="AP468" s="73" t="n">
        <f aca="false">(AP$357+1-YEAR(Inputs!$G$26))*Months_In_Year-MONTH(Inputs!$G$26)</f>
        <v>330</v>
      </c>
      <c r="AQ468" s="73" t="n">
        <f aca="false">(AQ$357+1-YEAR(Inputs!$G$26))*Months_In_Year-MONTH(Inputs!$G$26)</f>
        <v>342</v>
      </c>
      <c r="AR468" s="73" t="n">
        <f aca="false">(AR$357+1-YEAR(Inputs!$G$26))*Months_In_Year-MONTH(Inputs!$G$26)</f>
        <v>354</v>
      </c>
      <c r="AS468" s="73" t="n">
        <f aca="false">(AS$357+1-YEAR(Inputs!$G$26))*Months_In_Year-MONTH(Inputs!$G$26)</f>
        <v>366</v>
      </c>
    </row>
    <row r="469" customFormat="false" ht="14.25" hidden="false" customHeight="false" outlineLevel="0" collapsed="false">
      <c r="C469" s="6" t="s">
        <v>295</v>
      </c>
      <c r="D469" s="2" t="s">
        <v>12</v>
      </c>
      <c r="H469" s="74" t="n">
        <f aca="false">SUM(J469:AS469)</f>
        <v>30</v>
      </c>
      <c r="J469" s="48" t="n">
        <f aca="false">MAX(0,MIN(J468,$G468)-MAX(J468-Months_In_Year,0))/Months_In_Year</f>
        <v>0</v>
      </c>
      <c r="K469" s="48" t="n">
        <f aca="false">MAX(0,MIN(K468,$G468)-MAX(K468-Months_In_Year,0))/Months_In_Year</f>
        <v>0</v>
      </c>
      <c r="L469" s="48" t="n">
        <f aca="false">MAX(0,MIN(L468,$G468)-MAX(L468-Months_In_Year,0))/Months_In_Year</f>
        <v>0</v>
      </c>
      <c r="M469" s="48" t="n">
        <f aca="false">MAX(0,MIN(M468,$G468)-MAX(M468-Months_In_Year,0))/Months_In_Year</f>
        <v>0</v>
      </c>
      <c r="N469" s="48" t="n">
        <f aca="false">MAX(0,MIN(N468,$G468)-MAX(N468-Months_In_Year,0))/Months_In_Year</f>
        <v>0</v>
      </c>
      <c r="O469" s="48" t="n">
        <f aca="false">MAX(0,MIN(O468,$G468)-MAX(O468-Months_In_Year,0))/Months_In_Year</f>
        <v>0.5</v>
      </c>
      <c r="P469" s="48" t="n">
        <f aca="false">MAX(0,MIN(P468,$G468)-MAX(P468-Months_In_Year,0))/Months_In_Year</f>
        <v>1</v>
      </c>
      <c r="Q469" s="48" t="n">
        <f aca="false">MAX(0,MIN(Q468,$G468)-MAX(Q468-Months_In_Year,0))/Months_In_Year</f>
        <v>1</v>
      </c>
      <c r="R469" s="48" t="n">
        <f aca="false">MAX(0,MIN(R468,$G468)-MAX(R468-Months_In_Year,0))/Months_In_Year</f>
        <v>1</v>
      </c>
      <c r="S469" s="48" t="n">
        <f aca="false">MAX(0,MIN(S468,$G468)-MAX(S468-Months_In_Year,0))/Months_In_Year</f>
        <v>1</v>
      </c>
      <c r="T469" s="48" t="n">
        <f aca="false">MAX(0,MIN(T468,$G468)-MAX(T468-Months_In_Year,0))/Months_In_Year</f>
        <v>1</v>
      </c>
      <c r="U469" s="48" t="n">
        <f aca="false">MAX(0,MIN(U468,$G468)-MAX(U468-Months_In_Year,0))/Months_In_Year</f>
        <v>1</v>
      </c>
      <c r="V469" s="48" t="n">
        <f aca="false">MAX(0,MIN(V468,$G468)-MAX(V468-Months_In_Year,0))/Months_In_Year</f>
        <v>1</v>
      </c>
      <c r="W469" s="48" t="n">
        <f aca="false">MAX(0,MIN(W468,$G468)-MAX(W468-Months_In_Year,0))/Months_In_Year</f>
        <v>1</v>
      </c>
      <c r="X469" s="48" t="n">
        <f aca="false">MAX(0,MIN(X468,$G468)-MAX(X468-Months_In_Year,0))/Months_In_Year</f>
        <v>1</v>
      </c>
      <c r="Y469" s="48" t="n">
        <f aca="false">MAX(0,MIN(Y468,$G468)-MAX(Y468-Months_In_Year,0))/Months_In_Year</f>
        <v>1</v>
      </c>
      <c r="Z469" s="48" t="n">
        <f aca="false">MAX(0,MIN(Z468,$G468)-MAX(Z468-Months_In_Year,0))/Months_In_Year</f>
        <v>1</v>
      </c>
      <c r="AA469" s="48" t="n">
        <f aca="false">MAX(0,MIN(AA468,$G468)-MAX(AA468-Months_In_Year,0))/Months_In_Year</f>
        <v>1</v>
      </c>
      <c r="AB469" s="48" t="n">
        <f aca="false">MAX(0,MIN(AB468,$G468)-MAX(AB468-Months_In_Year,0))/Months_In_Year</f>
        <v>1</v>
      </c>
      <c r="AC469" s="48" t="n">
        <f aca="false">MAX(0,MIN(AC468,$G468)-MAX(AC468-Months_In_Year,0))/Months_In_Year</f>
        <v>1</v>
      </c>
      <c r="AD469" s="48" t="n">
        <f aca="false">MAX(0,MIN(AD468,$G468)-MAX(AD468-Months_In_Year,0))/Months_In_Year</f>
        <v>1</v>
      </c>
      <c r="AE469" s="48" t="n">
        <f aca="false">MAX(0,MIN(AE468,$G468)-MAX(AE468-Months_In_Year,0))/Months_In_Year</f>
        <v>1</v>
      </c>
      <c r="AF469" s="48" t="n">
        <f aca="false">MAX(0,MIN(AF468,$G468)-MAX(AF468-Months_In_Year,0))/Months_In_Year</f>
        <v>1</v>
      </c>
      <c r="AG469" s="48" t="n">
        <f aca="false">MAX(0,MIN(AG468,$G468)-MAX(AG468-Months_In_Year,0))/Months_In_Year</f>
        <v>1</v>
      </c>
      <c r="AH469" s="48" t="n">
        <f aca="false">MAX(0,MIN(AH468,$G468)-MAX(AH468-Months_In_Year,0))/Months_In_Year</f>
        <v>1</v>
      </c>
      <c r="AI469" s="48" t="n">
        <f aca="false">MAX(0,MIN(AI468,$G468)-MAX(AI468-Months_In_Year,0))/Months_In_Year</f>
        <v>1</v>
      </c>
      <c r="AJ469" s="48" t="n">
        <f aca="false">MAX(0,MIN(AJ468,$G468)-MAX(AJ468-Months_In_Year,0))/Months_In_Year</f>
        <v>1</v>
      </c>
      <c r="AK469" s="48" t="n">
        <f aca="false">MAX(0,MIN(AK468,$G468)-MAX(AK468-Months_In_Year,0))/Months_In_Year</f>
        <v>1</v>
      </c>
      <c r="AL469" s="48" t="n">
        <f aca="false">MAX(0,MIN(AL468,$G468)-MAX(AL468-Months_In_Year,0))/Months_In_Year</f>
        <v>1</v>
      </c>
      <c r="AM469" s="48" t="n">
        <f aca="false">MAX(0,MIN(AM468,$G468)-MAX(AM468-Months_In_Year,0))/Months_In_Year</f>
        <v>1</v>
      </c>
      <c r="AN469" s="48" t="n">
        <f aca="false">MAX(0,MIN(AN468,$G468)-MAX(AN468-Months_In_Year,0))/Months_In_Year</f>
        <v>1</v>
      </c>
      <c r="AO469" s="48" t="n">
        <f aca="false">MAX(0,MIN(AO468,$G468)-MAX(AO468-Months_In_Year,0))/Months_In_Year</f>
        <v>1</v>
      </c>
      <c r="AP469" s="48" t="n">
        <f aca="false">MAX(0,MIN(AP468,$G468)-MAX(AP468-Months_In_Year,0))/Months_In_Year</f>
        <v>1</v>
      </c>
      <c r="AQ469" s="48" t="n">
        <f aca="false">MAX(0,MIN(AQ468,$G468)-MAX(AQ468-Months_In_Year,0))/Months_In_Year</f>
        <v>1</v>
      </c>
      <c r="AR469" s="48" t="n">
        <f aca="false">MAX(0,MIN(AR468,$G468)-MAX(AR468-Months_In_Year,0))/Months_In_Year</f>
        <v>1</v>
      </c>
      <c r="AS469" s="48" t="n">
        <f aca="false">MAX(0,MIN(AS468,$G468)-MAX(AS468-Months_In_Year,0))/Months_In_Year</f>
        <v>0.5</v>
      </c>
    </row>
    <row r="470" customFormat="false" ht="14.25" hidden="false" customHeight="false" outlineLevel="0" collapsed="false">
      <c r="C470" s="6" t="s">
        <v>296</v>
      </c>
      <c r="D470" s="2" t="s">
        <v>2</v>
      </c>
      <c r="J470" s="75" t="n">
        <f aca="false">N(J465=0)</f>
        <v>0</v>
      </c>
      <c r="K470" s="75" t="n">
        <f aca="false">N(K465=0)</f>
        <v>0</v>
      </c>
      <c r="L470" s="75" t="n">
        <f aca="false">N(L465=0)</f>
        <v>0</v>
      </c>
      <c r="M470" s="75" t="n">
        <f aca="false">N(M465=0)</f>
        <v>0</v>
      </c>
      <c r="N470" s="75" t="n">
        <f aca="false">N(N465=0)</f>
        <v>0</v>
      </c>
      <c r="O470" s="75" t="n">
        <f aca="false">N(O465=0)</f>
        <v>1</v>
      </c>
      <c r="P470" s="75" t="n">
        <f aca="false">N(P465=0)</f>
        <v>0</v>
      </c>
      <c r="Q470" s="75" t="n">
        <f aca="false">N(Q465=0)</f>
        <v>0</v>
      </c>
      <c r="R470" s="75" t="n">
        <f aca="false">N(R465=0)</f>
        <v>0</v>
      </c>
      <c r="S470" s="75" t="n">
        <f aca="false">N(S465=0)</f>
        <v>0</v>
      </c>
      <c r="T470" s="75" t="n">
        <f aca="false">N(T465=0)</f>
        <v>0</v>
      </c>
      <c r="U470" s="75" t="n">
        <f aca="false">N(U465=0)</f>
        <v>0</v>
      </c>
      <c r="V470" s="75" t="n">
        <f aca="false">N(V465=0)</f>
        <v>0</v>
      </c>
      <c r="W470" s="75" t="n">
        <f aca="false">N(W465=0)</f>
        <v>0</v>
      </c>
      <c r="X470" s="75" t="n">
        <f aca="false">N(X465=0)</f>
        <v>0</v>
      </c>
      <c r="Y470" s="75" t="n">
        <f aca="false">N(Y465=0)</f>
        <v>0</v>
      </c>
      <c r="Z470" s="75" t="n">
        <f aca="false">N(Z465=0)</f>
        <v>0</v>
      </c>
      <c r="AA470" s="75" t="n">
        <f aca="false">N(AA465=0)</f>
        <v>0</v>
      </c>
      <c r="AB470" s="75" t="n">
        <f aca="false">N(AB465=0)</f>
        <v>0</v>
      </c>
      <c r="AC470" s="75" t="n">
        <f aca="false">N(AC465=0)</f>
        <v>0</v>
      </c>
      <c r="AD470" s="75" t="n">
        <f aca="false">N(AD465=0)</f>
        <v>0</v>
      </c>
      <c r="AE470" s="75" t="n">
        <f aca="false">N(AE465=0)</f>
        <v>0</v>
      </c>
      <c r="AF470" s="75" t="n">
        <f aca="false">N(AF465=0)</f>
        <v>0</v>
      </c>
      <c r="AG470" s="75" t="n">
        <f aca="false">N(AG465=0)</f>
        <v>0</v>
      </c>
      <c r="AH470" s="75" t="n">
        <f aca="false">N(AH465=0)</f>
        <v>0</v>
      </c>
      <c r="AI470" s="75" t="n">
        <f aca="false">N(AI465=0)</f>
        <v>0</v>
      </c>
      <c r="AJ470" s="75" t="n">
        <f aca="false">N(AJ465=0)</f>
        <v>0</v>
      </c>
      <c r="AK470" s="75" t="n">
        <f aca="false">N(AK465=0)</f>
        <v>0</v>
      </c>
      <c r="AL470" s="75" t="n">
        <f aca="false">N(AL465=0)</f>
        <v>0</v>
      </c>
      <c r="AM470" s="75" t="n">
        <f aca="false">N(AM465=0)</f>
        <v>0</v>
      </c>
      <c r="AN470" s="75" t="n">
        <f aca="false">N(AN465=0)</f>
        <v>0</v>
      </c>
      <c r="AO470" s="75" t="n">
        <f aca="false">N(AO465=0)</f>
        <v>0</v>
      </c>
      <c r="AP470" s="75" t="n">
        <f aca="false">N(AP465=0)</f>
        <v>0</v>
      </c>
      <c r="AQ470" s="75" t="n">
        <f aca="false">N(AQ465=0)</f>
        <v>0</v>
      </c>
      <c r="AR470" s="75" t="n">
        <f aca="false">N(AR465=0)</f>
        <v>0</v>
      </c>
      <c r="AS470" s="75" t="n">
        <f aca="false">N(AS465=0)</f>
        <v>0</v>
      </c>
    </row>
    <row r="471" customFormat="false" ht="14.25" hidden="false" customHeight="false" outlineLevel="0" collapsed="false">
      <c r="C471" s="6" t="s">
        <v>297</v>
      </c>
      <c r="D471" s="2" t="s">
        <v>85</v>
      </c>
      <c r="H471" s="8" t="n">
        <f aca="false">SUM(J471:AS471)</f>
        <v>-14078.5797945205</v>
      </c>
      <c r="J471" s="8" t="n">
        <f aca="false">-($G$98+$G$68+$G$62+$G$63+$G$92)*(J$357=YEAR(Sale_Date))</f>
        <v>-0</v>
      </c>
      <c r="K471" s="8" t="n">
        <f aca="false">-($G$98+$G$68+$G$62+$G$63+$G$92)*(K$357=YEAR(Sale_Date))</f>
        <v>-0</v>
      </c>
      <c r="L471" s="8" t="n">
        <f aca="false">-($G$98+$G$68+$G$62+$G$63+$G$92)*(L$357=YEAR(Sale_Date))</f>
        <v>-0</v>
      </c>
      <c r="M471" s="8" t="n">
        <f aca="false">-($G$98+$G$68+$G$62+$G$63+$G$92)*(M$357=YEAR(Sale_Date))</f>
        <v>-14078.5797945205</v>
      </c>
      <c r="N471" s="8" t="n">
        <f aca="false">-($G$98+$G$68+$G$62+$G$63+$G$92)*(N$357=YEAR(Sale_Date))</f>
        <v>-0</v>
      </c>
      <c r="O471" s="8" t="n">
        <f aca="false">-($G$98+$G$68+$G$62+$G$63+$G$92)*(O$357=YEAR(Sale_Date))</f>
        <v>-0</v>
      </c>
      <c r="P471" s="8" t="n">
        <f aca="false">-($G$98+$G$68+$G$62+$G$63+$G$92)*(P$357=YEAR(Sale_Date))</f>
        <v>-0</v>
      </c>
      <c r="Q471" s="8" t="n">
        <f aca="false">-($G$98+$G$68+$G$62+$G$63+$G$92)*(Q$357=YEAR(Sale_Date))</f>
        <v>-0</v>
      </c>
      <c r="R471" s="8" t="n">
        <f aca="false">-($G$98+$G$68+$G$62+$G$63+$G$92)*(R$357=YEAR(Sale_Date))</f>
        <v>-0</v>
      </c>
      <c r="S471" s="8" t="n">
        <f aca="false">-($G$98+$G$68+$G$62+$G$63+$G$92)*(S$357=YEAR(Sale_Date))</f>
        <v>-0</v>
      </c>
      <c r="T471" s="8" t="n">
        <f aca="false">-($G$98+$G$68+$G$62+$G$63+$G$92)*(T$357=YEAR(Sale_Date))</f>
        <v>-0</v>
      </c>
      <c r="U471" s="8" t="n">
        <f aca="false">-($G$98+$G$68+$G$62+$G$63+$G$92)*(U$357=YEAR(Sale_Date))</f>
        <v>-0</v>
      </c>
      <c r="V471" s="8" t="n">
        <f aca="false">-($G$98+$G$68+$G$62+$G$63+$G$92)*(V$357=YEAR(Sale_Date))</f>
        <v>-0</v>
      </c>
      <c r="W471" s="8" t="n">
        <f aca="false">-($G$98+$G$68+$G$62+$G$63+$G$92)*(W$357=YEAR(Sale_Date))</f>
        <v>-0</v>
      </c>
      <c r="X471" s="8" t="n">
        <f aca="false">-($G$98+$G$68+$G$62+$G$63+$G$92)*(X$357=YEAR(Sale_Date))</f>
        <v>-0</v>
      </c>
      <c r="Y471" s="8" t="n">
        <f aca="false">-($G$98+$G$68+$G$62+$G$63+$G$92)*(Y$357=YEAR(Sale_Date))</f>
        <v>-0</v>
      </c>
      <c r="Z471" s="8" t="n">
        <f aca="false">-($G$98+$G$68+$G$62+$G$63+$G$92)*(Z$357=YEAR(Sale_Date))</f>
        <v>-0</v>
      </c>
      <c r="AA471" s="8" t="n">
        <f aca="false">-($G$98+$G$68+$G$62+$G$63+$G$92)*(AA$357=YEAR(Sale_Date))</f>
        <v>-0</v>
      </c>
      <c r="AB471" s="8" t="n">
        <f aca="false">-($G$98+$G$68+$G$62+$G$63+$G$92)*(AB$357=YEAR(Sale_Date))</f>
        <v>-0</v>
      </c>
      <c r="AC471" s="8" t="n">
        <f aca="false">-($G$98+$G$68+$G$62+$G$63+$G$92)*(AC$357=YEAR(Sale_Date))</f>
        <v>-0</v>
      </c>
      <c r="AD471" s="8" t="n">
        <f aca="false">-($G$98+$G$68+$G$62+$G$63+$G$92)*(AD$357=YEAR(Sale_Date))</f>
        <v>-0</v>
      </c>
      <c r="AE471" s="8" t="n">
        <f aca="false">-($G$98+$G$68+$G$62+$G$63+$G$92)*(AE$357=YEAR(Sale_Date))</f>
        <v>-0</v>
      </c>
      <c r="AF471" s="8" t="n">
        <f aca="false">-($G$98+$G$68+$G$62+$G$63+$G$92)*(AF$357=YEAR(Sale_Date))</f>
        <v>-0</v>
      </c>
      <c r="AG471" s="8" t="n">
        <f aca="false">-($G$98+$G$68+$G$62+$G$63+$G$92)*(AG$357=YEAR(Sale_Date))</f>
        <v>-0</v>
      </c>
      <c r="AH471" s="8" t="n">
        <f aca="false">-($G$98+$G$68+$G$62+$G$63+$G$92)*(AH$357=YEAR(Sale_Date))</f>
        <v>-0</v>
      </c>
      <c r="AI471" s="8" t="n">
        <f aca="false">-($G$98+$G$68+$G$62+$G$63+$G$92)*(AI$357=YEAR(Sale_Date))</f>
        <v>-0</v>
      </c>
      <c r="AJ471" s="8" t="n">
        <f aca="false">-($G$98+$G$68+$G$62+$G$63+$G$92)*(AJ$357=YEAR(Sale_Date))</f>
        <v>-0</v>
      </c>
      <c r="AK471" s="8" t="n">
        <f aca="false">-($G$98+$G$68+$G$62+$G$63+$G$92)*(AK$357=YEAR(Sale_Date))</f>
        <v>-0</v>
      </c>
      <c r="AL471" s="8" t="n">
        <f aca="false">-($G$98+$G$68+$G$62+$G$63+$G$92)*(AL$357=YEAR(Sale_Date))</f>
        <v>-0</v>
      </c>
      <c r="AM471" s="8" t="n">
        <f aca="false">-($G$98+$G$68+$G$62+$G$63+$G$92)*(AM$357=YEAR(Sale_Date))</f>
        <v>-0</v>
      </c>
      <c r="AN471" s="8" t="n">
        <f aca="false">-($G$98+$G$68+$G$62+$G$63+$G$92)*(AN$357=YEAR(Sale_Date))</f>
        <v>-0</v>
      </c>
      <c r="AO471" s="8" t="n">
        <f aca="false">-($G$98+$G$68+$G$62+$G$63+$G$92)*(AO$357=YEAR(Sale_Date))</f>
        <v>-0</v>
      </c>
      <c r="AP471" s="8" t="n">
        <f aca="false">-($G$98+$G$68+$G$62+$G$63+$G$92)*(AP$357=YEAR(Sale_Date))</f>
        <v>-0</v>
      </c>
      <c r="AQ471" s="8" t="n">
        <f aca="false">-($G$98+$G$68+$G$62+$G$63+$G$92)*(AQ$357=YEAR(Sale_Date))</f>
        <v>-0</v>
      </c>
      <c r="AR471" s="8" t="n">
        <f aca="false">-($G$98+$G$68+$G$62+$G$63+$G$92)*(AR$357=YEAR(Sale_Date))</f>
        <v>-0</v>
      </c>
      <c r="AS471" s="8" t="n">
        <f aca="false">-($G$98+$G$68+$G$62+$G$63+$G$92)*(AS$357=YEAR(Sale_Date))</f>
        <v>-0</v>
      </c>
    </row>
    <row r="472" customFormat="false" ht="14.25" hidden="false" customHeight="false" outlineLevel="0" collapsed="false">
      <c r="C472" s="6" t="s">
        <v>298</v>
      </c>
      <c r="D472" s="2" t="s">
        <v>85</v>
      </c>
      <c r="H472" s="8" t="n">
        <f aca="false">SUM(J472:AS472)</f>
        <v>2494.52054794521</v>
      </c>
      <c r="J472" s="8" t="n">
        <f aca="false">($G$62+$G$63)*(J$357=YEAR(Inputs!$G$27))</f>
        <v>0</v>
      </c>
      <c r="K472" s="8" t="n">
        <f aca="false">($G$62+$G$63)*(K$357=YEAR(Inputs!$G$27))</f>
        <v>0</v>
      </c>
      <c r="L472" s="8" t="n">
        <f aca="false">($G$62+$G$63)*(L$357=YEAR(Inputs!$G$27))</f>
        <v>0</v>
      </c>
      <c r="M472" s="8" t="n">
        <f aca="false">($G$62+$G$63)*(M$357=YEAR(Inputs!$G$27))</f>
        <v>0</v>
      </c>
      <c r="N472" s="8" t="n">
        <f aca="false">($G$62+$G$63)*(N$357=YEAR(Inputs!$G$27))</f>
        <v>0</v>
      </c>
      <c r="O472" s="8" t="n">
        <f aca="false">($G$62+$G$63)*(O$357=YEAR(Inputs!$G$27))</f>
        <v>0</v>
      </c>
      <c r="P472" s="8" t="n">
        <f aca="false">($G$62+$G$63)*(P$357=YEAR(Inputs!$G$27))</f>
        <v>0</v>
      </c>
      <c r="Q472" s="8" t="n">
        <f aca="false">($G$62+$G$63)*(Q$357=YEAR(Inputs!$G$27))</f>
        <v>2494.52054794521</v>
      </c>
      <c r="R472" s="8" t="n">
        <f aca="false">($G$62+$G$63)*(R$357=YEAR(Inputs!$G$27))</f>
        <v>0</v>
      </c>
      <c r="S472" s="8" t="n">
        <f aca="false">($G$62+$G$63)*(S$357=YEAR(Inputs!$G$27))</f>
        <v>0</v>
      </c>
      <c r="T472" s="8" t="n">
        <f aca="false">($G$62+$G$63)*(T$357=YEAR(Inputs!$G$27))</f>
        <v>0</v>
      </c>
      <c r="U472" s="8" t="n">
        <f aca="false">($G$62+$G$63)*(U$357=YEAR(Inputs!$G$27))</f>
        <v>0</v>
      </c>
      <c r="V472" s="8" t="n">
        <f aca="false">($G$62+$G$63)*(V$357=YEAR(Inputs!$G$27))</f>
        <v>0</v>
      </c>
      <c r="W472" s="8" t="n">
        <f aca="false">($G$62+$G$63)*(W$357=YEAR(Inputs!$G$27))</f>
        <v>0</v>
      </c>
      <c r="X472" s="8" t="n">
        <f aca="false">($G$62+$G$63)*(X$357=YEAR(Inputs!$G$27))</f>
        <v>0</v>
      </c>
      <c r="Y472" s="8" t="n">
        <f aca="false">($G$62+$G$63)*(Y$357=YEAR(Inputs!$G$27))</f>
        <v>0</v>
      </c>
      <c r="Z472" s="8" t="n">
        <f aca="false">($G$62+$G$63)*(Z$357=YEAR(Inputs!$G$27))</f>
        <v>0</v>
      </c>
      <c r="AA472" s="8" t="n">
        <f aca="false">($G$62+$G$63)*(AA$357=YEAR(Inputs!$G$27))</f>
        <v>0</v>
      </c>
      <c r="AB472" s="8" t="n">
        <f aca="false">($G$62+$G$63)*(AB$357=YEAR(Inputs!$G$27))</f>
        <v>0</v>
      </c>
      <c r="AC472" s="8" t="n">
        <f aca="false">($G$62+$G$63)*(AC$357=YEAR(Inputs!$G$27))</f>
        <v>0</v>
      </c>
      <c r="AD472" s="8" t="n">
        <f aca="false">($G$62+$G$63)*(AD$357=YEAR(Inputs!$G$27))</f>
        <v>0</v>
      </c>
      <c r="AE472" s="8" t="n">
        <f aca="false">($G$62+$G$63)*(AE$357=YEAR(Inputs!$G$27))</f>
        <v>0</v>
      </c>
      <c r="AF472" s="8" t="n">
        <f aca="false">($G$62+$G$63)*(AF$357=YEAR(Inputs!$G$27))</f>
        <v>0</v>
      </c>
      <c r="AG472" s="8" t="n">
        <f aca="false">($G$62+$G$63)*(AG$357=YEAR(Inputs!$G$27))</f>
        <v>0</v>
      </c>
      <c r="AH472" s="8" t="n">
        <f aca="false">($G$62+$G$63)*(AH$357=YEAR(Inputs!$G$27))</f>
        <v>0</v>
      </c>
      <c r="AI472" s="8" t="n">
        <f aca="false">($G$62+$G$63)*(AI$357=YEAR(Inputs!$G$27))</f>
        <v>0</v>
      </c>
      <c r="AJ472" s="8" t="n">
        <f aca="false">($G$62+$G$63)*(AJ$357=YEAR(Inputs!$G$27))</f>
        <v>0</v>
      </c>
      <c r="AK472" s="8" t="n">
        <f aca="false">($G$62+$G$63)*(AK$357=YEAR(Inputs!$G$27))</f>
        <v>0</v>
      </c>
      <c r="AL472" s="8" t="n">
        <f aca="false">($G$62+$G$63)*(AL$357=YEAR(Inputs!$G$27))</f>
        <v>0</v>
      </c>
      <c r="AM472" s="8" t="n">
        <f aca="false">($G$62+$G$63)*(AM$357=YEAR(Inputs!$G$27))</f>
        <v>0</v>
      </c>
      <c r="AN472" s="8" t="n">
        <f aca="false">($G$62+$G$63)*(AN$357=YEAR(Inputs!$G$27))</f>
        <v>0</v>
      </c>
      <c r="AO472" s="8" t="n">
        <f aca="false">($G$62+$G$63)*(AO$357=YEAR(Inputs!$G$27))</f>
        <v>0</v>
      </c>
      <c r="AP472" s="8" t="n">
        <f aca="false">($G$62+$G$63)*(AP$357=YEAR(Inputs!$G$27))</f>
        <v>0</v>
      </c>
      <c r="AQ472" s="8" t="n">
        <f aca="false">($G$62+$G$63)*(AQ$357=YEAR(Inputs!$G$27))</f>
        <v>0</v>
      </c>
      <c r="AR472" s="8" t="n">
        <f aca="false">($G$62+$G$63)*(AR$357=YEAR(Inputs!$G$27))</f>
        <v>0</v>
      </c>
      <c r="AS472" s="8" t="n">
        <f aca="false">($G$62+$G$63)*(AS$357=YEAR(Inputs!$G$27))</f>
        <v>0</v>
      </c>
    </row>
    <row r="473" customFormat="false" ht="14.25" hidden="false" customHeight="false" outlineLevel="0" collapsed="false">
      <c r="C473" s="6" t="s">
        <v>299</v>
      </c>
      <c r="D473" s="2" t="s">
        <v>85</v>
      </c>
      <c r="H473" s="8" t="n">
        <f aca="false">SUM(J473:AS473)</f>
        <v>-62716</v>
      </c>
      <c r="J473" s="8" t="n">
        <f aca="false">-$G$91*J467</f>
        <v>-0</v>
      </c>
      <c r="K473" s="8" t="n">
        <f aca="false">-$G$91*K467</f>
        <v>-0</v>
      </c>
      <c r="L473" s="8" t="n">
        <f aca="false">-$G$91*L467</f>
        <v>-0</v>
      </c>
      <c r="M473" s="8" t="n">
        <f aca="false">-$G$91*M467</f>
        <v>-15679</v>
      </c>
      <c r="N473" s="8" t="n">
        <f aca="false">-$G$91*N467</f>
        <v>-31358</v>
      </c>
      <c r="O473" s="8" t="n">
        <f aca="false">-$G$91*O467</f>
        <v>-15679</v>
      </c>
      <c r="P473" s="8" t="n">
        <f aca="false">-$G$91*P467</f>
        <v>-0</v>
      </c>
      <c r="Q473" s="8" t="n">
        <f aca="false">-$G$91*Q467</f>
        <v>-0</v>
      </c>
      <c r="R473" s="8" t="n">
        <f aca="false">-$G$91*R467</f>
        <v>-0</v>
      </c>
      <c r="S473" s="8" t="n">
        <f aca="false">-$G$91*S467</f>
        <v>-0</v>
      </c>
      <c r="T473" s="8" t="n">
        <f aca="false">-$G$91*T467</f>
        <v>-0</v>
      </c>
      <c r="U473" s="8" t="n">
        <f aca="false">-$G$91*U467</f>
        <v>-0</v>
      </c>
      <c r="V473" s="8" t="n">
        <f aca="false">-$G$91*V467</f>
        <v>-0</v>
      </c>
      <c r="W473" s="8" t="n">
        <f aca="false">-$G$91*W467</f>
        <v>-0</v>
      </c>
      <c r="X473" s="8" t="n">
        <f aca="false">-$G$91*X467</f>
        <v>-0</v>
      </c>
      <c r="Y473" s="8" t="n">
        <f aca="false">-$G$91*Y467</f>
        <v>-0</v>
      </c>
      <c r="Z473" s="8" t="n">
        <f aca="false">-$G$91*Z467</f>
        <v>-0</v>
      </c>
      <c r="AA473" s="8" t="n">
        <f aca="false">-$G$91*AA467</f>
        <v>-0</v>
      </c>
      <c r="AB473" s="8" t="n">
        <f aca="false">-$G$91*AB467</f>
        <v>-0</v>
      </c>
      <c r="AC473" s="8" t="n">
        <f aca="false">-$G$91*AC467</f>
        <v>-0</v>
      </c>
      <c r="AD473" s="8" t="n">
        <f aca="false">-$G$91*AD467</f>
        <v>-0</v>
      </c>
      <c r="AE473" s="8" t="n">
        <f aca="false">-$G$91*AE467</f>
        <v>-0</v>
      </c>
      <c r="AF473" s="8" t="n">
        <f aca="false">-$G$91*AF467</f>
        <v>-0</v>
      </c>
      <c r="AG473" s="8" t="n">
        <f aca="false">-$G$91*AG467</f>
        <v>-0</v>
      </c>
      <c r="AH473" s="8" t="n">
        <f aca="false">-$G$91*AH467</f>
        <v>-0</v>
      </c>
      <c r="AI473" s="8" t="n">
        <f aca="false">-$G$91*AI467</f>
        <v>-0</v>
      </c>
      <c r="AJ473" s="8" t="n">
        <f aca="false">-$G$91*AJ467</f>
        <v>-0</v>
      </c>
      <c r="AK473" s="8" t="n">
        <f aca="false">-$G$91*AK467</f>
        <v>-0</v>
      </c>
      <c r="AL473" s="8" t="n">
        <f aca="false">-$G$91*AL467</f>
        <v>-0</v>
      </c>
      <c r="AM473" s="8" t="n">
        <f aca="false">-$G$91*AM467</f>
        <v>-0</v>
      </c>
      <c r="AN473" s="8" t="n">
        <f aca="false">-$G$91*AN467</f>
        <v>-0</v>
      </c>
      <c r="AO473" s="8" t="n">
        <f aca="false">-$G$91*AO467</f>
        <v>-0</v>
      </c>
      <c r="AP473" s="8" t="n">
        <f aca="false">-$G$91*AP467</f>
        <v>-0</v>
      </c>
      <c r="AQ473" s="8" t="n">
        <f aca="false">-$G$91*AQ467</f>
        <v>-0</v>
      </c>
      <c r="AR473" s="8" t="n">
        <f aca="false">-$G$91*AR467</f>
        <v>-0</v>
      </c>
      <c r="AS473" s="8" t="n">
        <f aca="false">-$G$91*AS467</f>
        <v>-0</v>
      </c>
    </row>
    <row r="474" customFormat="false" ht="14.25" hidden="false" customHeight="false" outlineLevel="0" collapsed="false">
      <c r="C474" s="6" t="s">
        <v>300</v>
      </c>
      <c r="D474" s="2" t="s">
        <v>85</v>
      </c>
      <c r="H474" s="8" t="n">
        <f aca="false">SUM(J474:AS474)</f>
        <v>-2500</v>
      </c>
      <c r="J474" s="8" t="n">
        <f aca="false">-$G$96*J470</f>
        <v>-0</v>
      </c>
      <c r="K474" s="8" t="n">
        <f aca="false">-$G$96*K470</f>
        <v>-0</v>
      </c>
      <c r="L474" s="8" t="n">
        <f aca="false">-$G$96*L470</f>
        <v>-0</v>
      </c>
      <c r="M474" s="8" t="n">
        <f aca="false">-$G$96*M470</f>
        <v>-0</v>
      </c>
      <c r="N474" s="8" t="n">
        <f aca="false">-$G$96*N470</f>
        <v>-0</v>
      </c>
      <c r="O474" s="8" t="n">
        <f aca="false">-$G$96*O470</f>
        <v>-2500</v>
      </c>
      <c r="P474" s="8" t="n">
        <f aca="false">-$G$96*P470</f>
        <v>-0</v>
      </c>
      <c r="Q474" s="8" t="n">
        <f aca="false">-$G$96*Q470</f>
        <v>-0</v>
      </c>
      <c r="R474" s="8" t="n">
        <f aca="false">-$G$96*R470</f>
        <v>-0</v>
      </c>
      <c r="S474" s="8" t="n">
        <f aca="false">-$G$96*S470</f>
        <v>-0</v>
      </c>
      <c r="T474" s="8" t="n">
        <f aca="false">-$G$96*T470</f>
        <v>-0</v>
      </c>
      <c r="U474" s="8" t="n">
        <f aca="false">-$G$96*U470</f>
        <v>-0</v>
      </c>
      <c r="V474" s="8" t="n">
        <f aca="false">-$G$96*V470</f>
        <v>-0</v>
      </c>
      <c r="W474" s="8" t="n">
        <f aca="false">-$G$96*W470</f>
        <v>-0</v>
      </c>
      <c r="X474" s="8" t="n">
        <f aca="false">-$G$96*X470</f>
        <v>-0</v>
      </c>
      <c r="Y474" s="8" t="n">
        <f aca="false">-$G$96*Y470</f>
        <v>-0</v>
      </c>
      <c r="Z474" s="8" t="n">
        <f aca="false">-$G$96*Z470</f>
        <v>-0</v>
      </c>
      <c r="AA474" s="8" t="n">
        <f aca="false">-$G$96*AA470</f>
        <v>-0</v>
      </c>
      <c r="AB474" s="8" t="n">
        <f aca="false">-$G$96*AB470</f>
        <v>-0</v>
      </c>
      <c r="AC474" s="8" t="n">
        <f aca="false">-$G$96*AC470</f>
        <v>-0</v>
      </c>
      <c r="AD474" s="8" t="n">
        <f aca="false">-$G$96*AD470</f>
        <v>-0</v>
      </c>
      <c r="AE474" s="8" t="n">
        <f aca="false">-$G$96*AE470</f>
        <v>-0</v>
      </c>
      <c r="AF474" s="8" t="n">
        <f aca="false">-$G$96*AF470</f>
        <v>-0</v>
      </c>
      <c r="AG474" s="8" t="n">
        <f aca="false">-$G$96*AG470</f>
        <v>-0</v>
      </c>
      <c r="AH474" s="8" t="n">
        <f aca="false">-$G$96*AH470</f>
        <v>-0</v>
      </c>
      <c r="AI474" s="8" t="n">
        <f aca="false">-$G$96*AI470</f>
        <v>-0</v>
      </c>
      <c r="AJ474" s="8" t="n">
        <f aca="false">-$G$96*AJ470</f>
        <v>-0</v>
      </c>
      <c r="AK474" s="8" t="n">
        <f aca="false">-$G$96*AK470</f>
        <v>-0</v>
      </c>
      <c r="AL474" s="8" t="n">
        <f aca="false">-$G$96*AL470</f>
        <v>-0</v>
      </c>
      <c r="AM474" s="8" t="n">
        <f aca="false">-$G$96*AM470</f>
        <v>-0</v>
      </c>
      <c r="AN474" s="8" t="n">
        <f aca="false">-$G$96*AN470</f>
        <v>-0</v>
      </c>
      <c r="AO474" s="8" t="n">
        <f aca="false">-$G$96*AO470</f>
        <v>-0</v>
      </c>
      <c r="AP474" s="8" t="n">
        <f aca="false">-$G$96*AP470</f>
        <v>-0</v>
      </c>
      <c r="AQ474" s="8" t="n">
        <f aca="false">-$G$96*AQ470</f>
        <v>-0</v>
      </c>
      <c r="AR474" s="8" t="n">
        <f aca="false">-$G$96*AR470</f>
        <v>-0</v>
      </c>
      <c r="AS474" s="8" t="n">
        <f aca="false">-$G$96*AS470</f>
        <v>-0</v>
      </c>
    </row>
    <row r="475" customFormat="false" ht="14.25" hidden="false" customHeight="false" outlineLevel="0" collapsed="false">
      <c r="C475" s="1" t="s">
        <v>301</v>
      </c>
      <c r="D475" s="2" t="s">
        <v>85</v>
      </c>
      <c r="H475" s="15" t="n">
        <f aca="false">SUM(J475:AS475)</f>
        <v>-76800.0592465753</v>
      </c>
      <c r="J475" s="15" t="n">
        <f aca="false">SUM(J471:J474)</f>
        <v>0</v>
      </c>
      <c r="K475" s="15" t="n">
        <f aca="false">SUM(K471:K474)</f>
        <v>0</v>
      </c>
      <c r="L475" s="15" t="n">
        <f aca="false">SUM(L471:L474)</f>
        <v>0</v>
      </c>
      <c r="M475" s="15" t="n">
        <f aca="false">SUM(M471:M474)</f>
        <v>-29757.5797945206</v>
      </c>
      <c r="N475" s="15" t="n">
        <f aca="false">SUM(N471:N474)</f>
        <v>-31358</v>
      </c>
      <c r="O475" s="15" t="n">
        <f aca="false">SUM(O471:O474)</f>
        <v>-18179</v>
      </c>
      <c r="P475" s="15" t="n">
        <f aca="false">SUM(P471:P474)</f>
        <v>0</v>
      </c>
      <c r="Q475" s="15" t="n">
        <f aca="false">SUM(Q471:Q474)</f>
        <v>2494.52054794521</v>
      </c>
      <c r="R475" s="15" t="n">
        <f aca="false">SUM(R471:R474)</f>
        <v>0</v>
      </c>
      <c r="S475" s="15" t="n">
        <f aca="false">SUM(S471:S474)</f>
        <v>0</v>
      </c>
      <c r="T475" s="15" t="n">
        <f aca="false">SUM(T471:T474)</f>
        <v>0</v>
      </c>
      <c r="U475" s="15" t="n">
        <f aca="false">SUM(U471:U474)</f>
        <v>0</v>
      </c>
      <c r="V475" s="15" t="n">
        <f aca="false">SUM(V471:V474)</f>
        <v>0</v>
      </c>
      <c r="W475" s="15" t="n">
        <f aca="false">SUM(W471:W474)</f>
        <v>0</v>
      </c>
      <c r="X475" s="15" t="n">
        <f aca="false">SUM(X471:X474)</f>
        <v>0</v>
      </c>
      <c r="Y475" s="15" t="n">
        <f aca="false">SUM(Y471:Y474)</f>
        <v>0</v>
      </c>
      <c r="Z475" s="15" t="n">
        <f aca="false">SUM(Z471:Z474)</f>
        <v>0</v>
      </c>
      <c r="AA475" s="15" t="n">
        <f aca="false">SUM(AA471:AA474)</f>
        <v>0</v>
      </c>
      <c r="AB475" s="15" t="n">
        <f aca="false">SUM(AB471:AB474)</f>
        <v>0</v>
      </c>
      <c r="AC475" s="15" t="n">
        <f aca="false">SUM(AC471:AC474)</f>
        <v>0</v>
      </c>
      <c r="AD475" s="15" t="n">
        <f aca="false">SUM(AD471:AD474)</f>
        <v>0</v>
      </c>
      <c r="AE475" s="15" t="n">
        <f aca="false">SUM(AE471:AE474)</f>
        <v>0</v>
      </c>
      <c r="AF475" s="15" t="n">
        <f aca="false">SUM(AF471:AF474)</f>
        <v>0</v>
      </c>
      <c r="AG475" s="15" t="n">
        <f aca="false">SUM(AG471:AG474)</f>
        <v>0</v>
      </c>
      <c r="AH475" s="15" t="n">
        <f aca="false">SUM(AH471:AH474)</f>
        <v>0</v>
      </c>
      <c r="AI475" s="15" t="n">
        <f aca="false">SUM(AI471:AI474)</f>
        <v>0</v>
      </c>
      <c r="AJ475" s="15" t="n">
        <f aca="false">SUM(AJ471:AJ474)</f>
        <v>0</v>
      </c>
      <c r="AK475" s="15" t="n">
        <f aca="false">SUM(AK471:AK474)</f>
        <v>0</v>
      </c>
      <c r="AL475" s="15" t="n">
        <f aca="false">SUM(AL471:AL474)</f>
        <v>0</v>
      </c>
      <c r="AM475" s="15" t="n">
        <f aca="false">SUM(AM471:AM474)</f>
        <v>0</v>
      </c>
      <c r="AN475" s="15" t="n">
        <f aca="false">SUM(AN471:AN474)</f>
        <v>0</v>
      </c>
      <c r="AO475" s="15" t="n">
        <f aca="false">SUM(AO471:AO474)</f>
        <v>0</v>
      </c>
      <c r="AP475" s="15" t="n">
        <f aca="false">SUM(AP471:AP474)</f>
        <v>0</v>
      </c>
      <c r="AQ475" s="15" t="n">
        <f aca="false">SUM(AQ471:AQ474)</f>
        <v>0</v>
      </c>
      <c r="AR475" s="15" t="n">
        <f aca="false">SUM(AR471:AR474)</f>
        <v>0</v>
      </c>
      <c r="AS475" s="15" t="n">
        <f aca="false">SUM(AS471:AS474)</f>
        <v>0</v>
      </c>
    </row>
    <row r="476" customFormat="false" ht="14.25" hidden="false" customHeight="false" outlineLevel="0" collapsed="false">
      <c r="C476" s="6" t="s">
        <v>302</v>
      </c>
      <c r="D476" s="2" t="s">
        <v>3</v>
      </c>
      <c r="J476" s="76" t="n">
        <f aca="false">(1-Degradation)^MAX(J465-1,0)</f>
        <v>1</v>
      </c>
      <c r="K476" s="76" t="n">
        <f aca="false">(1-Degradation)^MAX(K465-1,0)</f>
        <v>1</v>
      </c>
      <c r="L476" s="76" t="n">
        <f aca="false">(1-Degradation)^MAX(L465-1,0)</f>
        <v>1</v>
      </c>
      <c r="M476" s="76" t="n">
        <f aca="false">(1-Degradation)^MAX(M465-1,0)</f>
        <v>1</v>
      </c>
      <c r="N476" s="76" t="n">
        <f aca="false">(1-Degradation)^MAX(N465-1,0)</f>
        <v>1</v>
      </c>
      <c r="O476" s="76" t="n">
        <f aca="false">(1-Degradation)^MAX(O465-1,0)</f>
        <v>1</v>
      </c>
      <c r="P476" s="76" t="n">
        <f aca="false">(1-Degradation)^MAX(P465-1,0)</f>
        <v>1</v>
      </c>
      <c r="Q476" s="76" t="n">
        <f aca="false">(1-Degradation)^MAX(Q465-1,0)</f>
        <v>0.997</v>
      </c>
      <c r="R476" s="76" t="n">
        <f aca="false">(1-Degradation)^MAX(R465-1,0)</f>
        <v>0.994009</v>
      </c>
      <c r="S476" s="76" t="n">
        <f aca="false">(1-Degradation)^MAX(S465-1,0)</f>
        <v>0.991026973</v>
      </c>
      <c r="T476" s="76" t="n">
        <f aca="false">(1-Degradation)^MAX(T465-1,0)</f>
        <v>0.988053892081</v>
      </c>
      <c r="U476" s="76" t="n">
        <f aca="false">(1-Degradation)^MAX(U465-1,0)</f>
        <v>0.985089730404757</v>
      </c>
      <c r="V476" s="76" t="n">
        <f aca="false">(1-Degradation)^MAX(V465-1,0)</f>
        <v>0.982134461213543</v>
      </c>
      <c r="W476" s="76" t="n">
        <f aca="false">(1-Degradation)^MAX(W465-1,0)</f>
        <v>0.979188057829902</v>
      </c>
      <c r="X476" s="76" t="n">
        <f aca="false">(1-Degradation)^MAX(X465-1,0)</f>
        <v>0.976250493656412</v>
      </c>
      <c r="Y476" s="76" t="n">
        <f aca="false">(1-Degradation)^MAX(Y465-1,0)</f>
        <v>0.973321742175443</v>
      </c>
      <c r="Z476" s="76" t="n">
        <f aca="false">(1-Degradation)^MAX(Z465-1,0)</f>
        <v>0.970401776948917</v>
      </c>
      <c r="AA476" s="76" t="n">
        <f aca="false">(1-Degradation)^MAX(AA465-1,0)</f>
        <v>0.96749057161807</v>
      </c>
      <c r="AB476" s="76" t="n">
        <f aca="false">(1-Degradation)^MAX(AB465-1,0)</f>
        <v>0.964588099903216</v>
      </c>
      <c r="AC476" s="76" t="n">
        <f aca="false">(1-Degradation)^MAX(AC465-1,0)</f>
        <v>0.961694335603506</v>
      </c>
      <c r="AD476" s="76" t="n">
        <f aca="false">(1-Degradation)^MAX(AD465-1,0)</f>
        <v>0.958809252596696</v>
      </c>
      <c r="AE476" s="76" t="n">
        <f aca="false">(1-Degradation)^MAX(AE465-1,0)</f>
        <v>0.955932824838906</v>
      </c>
      <c r="AF476" s="76" t="n">
        <f aca="false">(1-Degradation)^MAX(AF465-1,0)</f>
        <v>0.953065026364389</v>
      </c>
      <c r="AG476" s="76" t="n">
        <f aca="false">(1-Degradation)^MAX(AG465-1,0)</f>
        <v>0.950205831285296</v>
      </c>
      <c r="AH476" s="76" t="n">
        <f aca="false">(1-Degradation)^MAX(AH465-1,0)</f>
        <v>0.94735521379144</v>
      </c>
      <c r="AI476" s="76" t="n">
        <f aca="false">(1-Degradation)^MAX(AI465-1,0)</f>
        <v>0.944513148150066</v>
      </c>
      <c r="AJ476" s="76" t="n">
        <f aca="false">(1-Degradation)^MAX(AJ465-1,0)</f>
        <v>0.941679608705615</v>
      </c>
      <c r="AK476" s="76" t="n">
        <f aca="false">(1-Degradation)^MAX(AK465-1,0)</f>
        <v>0.938854569879498</v>
      </c>
      <c r="AL476" s="76" t="n">
        <f aca="false">(1-Degradation)^MAX(AL465-1,0)</f>
        <v>0.93603800616986</v>
      </c>
      <c r="AM476" s="76" t="n">
        <f aca="false">(1-Degradation)^MAX(AM465-1,0)</f>
        <v>0.93322989215135</v>
      </c>
      <c r="AN476" s="76" t="n">
        <f aca="false">(1-Degradation)^MAX(AN465-1,0)</f>
        <v>0.930430202474896</v>
      </c>
      <c r="AO476" s="76" t="n">
        <f aca="false">(1-Degradation)^MAX(AO465-1,0)</f>
        <v>0.927638911867472</v>
      </c>
      <c r="AP476" s="76" t="n">
        <f aca="false">(1-Degradation)^MAX(AP465-1,0)</f>
        <v>0.924855995131869</v>
      </c>
      <c r="AQ476" s="76" t="n">
        <f aca="false">(1-Degradation)^MAX(AQ465-1,0)</f>
        <v>0.922081427146474</v>
      </c>
      <c r="AR476" s="76" t="n">
        <f aca="false">(1-Degradation)^MAX(AR465-1,0)</f>
        <v>0.919315182865034</v>
      </c>
      <c r="AS476" s="76" t="n">
        <f aca="false">(1-Degradation)^MAX(AS465-1,0)</f>
        <v>0.916557237316439</v>
      </c>
    </row>
    <row r="477" customFormat="false" ht="14.25" hidden="false" customHeight="false" outlineLevel="0" collapsed="false">
      <c r="C477" s="6" t="s">
        <v>303</v>
      </c>
      <c r="D477" s="2" t="s">
        <v>304</v>
      </c>
      <c r="H477" s="17" t="n">
        <f aca="false">SUM(J477:AS477)</f>
        <v>4263.39882706474</v>
      </c>
      <c r="J477" s="17" t="n">
        <f aca="false">$G$46*$G$22*(1-Curtailment)*(1-Clipping)*J469*J476/Thousand</f>
        <v>0</v>
      </c>
      <c r="K477" s="17" t="n">
        <f aca="false">$G$46*$G$22*(1-Curtailment)*(1-Clipping)*K469*K476/Thousand</f>
        <v>0</v>
      </c>
      <c r="L477" s="17" t="n">
        <f aca="false">$G$46*$G$22*(1-Curtailment)*(1-Clipping)*L469*L476/Thousand</f>
        <v>0</v>
      </c>
      <c r="M477" s="17" t="n">
        <f aca="false">$G$46*$G$22*(1-Curtailment)*(1-Clipping)*M469*M476/Thousand</f>
        <v>0</v>
      </c>
      <c r="N477" s="17" t="n">
        <f aca="false">$G$46*$G$22*(1-Curtailment)*(1-Clipping)*N469*N476/Thousand</f>
        <v>0</v>
      </c>
      <c r="O477" s="17" t="n">
        <f aca="false">$G$46*$G$22*(1-Curtailment)*(1-Clipping)*O469*O476/Thousand</f>
        <v>74.088</v>
      </c>
      <c r="P477" s="17" t="n">
        <f aca="false">$G$46*$G$22*(1-Curtailment)*(1-Clipping)*P469*P476/Thousand</f>
        <v>148.176</v>
      </c>
      <c r="Q477" s="17" t="n">
        <f aca="false">$G$46*$G$22*(1-Curtailment)*(1-Clipping)*Q469*Q476/Thousand</f>
        <v>147.731472</v>
      </c>
      <c r="R477" s="17" t="n">
        <f aca="false">$G$46*$G$22*(1-Curtailment)*(1-Clipping)*R469*R476/Thousand</f>
        <v>147.288277584</v>
      </c>
      <c r="S477" s="17" t="n">
        <f aca="false">$G$46*$G$22*(1-Curtailment)*(1-Clipping)*S469*S476/Thousand</f>
        <v>146.846412751248</v>
      </c>
      <c r="T477" s="17" t="n">
        <f aca="false">$G$46*$G$22*(1-Curtailment)*(1-Clipping)*T469*T476/Thousand</f>
        <v>146.405873512994</v>
      </c>
      <c r="U477" s="17" t="n">
        <f aca="false">$G$46*$G$22*(1-Curtailment)*(1-Clipping)*U469*U476/Thousand</f>
        <v>145.966655892455</v>
      </c>
      <c r="V477" s="17" t="n">
        <f aca="false">$G$46*$G$22*(1-Curtailment)*(1-Clipping)*V469*V476/Thousand</f>
        <v>145.528755924778</v>
      </c>
      <c r="W477" s="17" t="n">
        <f aca="false">$G$46*$G$22*(1-Curtailment)*(1-Clipping)*W469*W476/Thousand</f>
        <v>145.092169657004</v>
      </c>
      <c r="X477" s="17" t="n">
        <f aca="false">$G$46*$G$22*(1-Curtailment)*(1-Clipping)*X469*X476/Thousand</f>
        <v>144.656893148033</v>
      </c>
      <c r="Y477" s="17" t="n">
        <f aca="false">$G$46*$G$22*(1-Curtailment)*(1-Clipping)*Y469*Y476/Thousand</f>
        <v>144.222922468588</v>
      </c>
      <c r="Z477" s="17" t="n">
        <f aca="false">$G$46*$G$22*(1-Curtailment)*(1-Clipping)*Z469*Z476/Thousand</f>
        <v>143.790253701183</v>
      </c>
      <c r="AA477" s="17" t="n">
        <f aca="false">$G$46*$G$22*(1-Curtailment)*(1-Clipping)*AA469*AA476/Thousand</f>
        <v>143.358882940079</v>
      </c>
      <c r="AB477" s="17" t="n">
        <f aca="false">$G$46*$G$22*(1-Curtailment)*(1-Clipping)*AB469*AB476/Thousand</f>
        <v>142.928806291259</v>
      </c>
      <c r="AC477" s="17" t="n">
        <f aca="false">$G$46*$G$22*(1-Curtailment)*(1-Clipping)*AC469*AC476/Thousand</f>
        <v>142.500019872385</v>
      </c>
      <c r="AD477" s="17" t="n">
        <f aca="false">$G$46*$G$22*(1-Curtailment)*(1-Clipping)*AD469*AD476/Thousand</f>
        <v>142.072519812768</v>
      </c>
      <c r="AE477" s="17" t="n">
        <f aca="false">$G$46*$G$22*(1-Curtailment)*(1-Clipping)*AE469*AE476/Thousand</f>
        <v>141.64630225333</v>
      </c>
      <c r="AF477" s="17" t="n">
        <f aca="false">$G$46*$G$22*(1-Curtailment)*(1-Clipping)*AF469*AF476/Thousand</f>
        <v>141.22136334657</v>
      </c>
      <c r="AG477" s="17" t="n">
        <f aca="false">$G$46*$G$22*(1-Curtailment)*(1-Clipping)*AG469*AG476/Thousand</f>
        <v>140.79769925653</v>
      </c>
      <c r="AH477" s="17" t="n">
        <f aca="false">$G$46*$G$22*(1-Curtailment)*(1-Clipping)*AH469*AH476/Thousand</f>
        <v>140.37530615876</v>
      </c>
      <c r="AI477" s="17" t="n">
        <f aca="false">$G$46*$G$22*(1-Curtailment)*(1-Clipping)*AI469*AI476/Thousand</f>
        <v>139.954180240284</v>
      </c>
      <c r="AJ477" s="17" t="n">
        <f aca="false">$G$46*$G$22*(1-Curtailment)*(1-Clipping)*AJ469*AJ476/Thousand</f>
        <v>139.534317699563</v>
      </c>
      <c r="AK477" s="17" t="n">
        <f aca="false">$G$46*$G$22*(1-Curtailment)*(1-Clipping)*AK469*AK476/Thousand</f>
        <v>139.115714746465</v>
      </c>
      <c r="AL477" s="17" t="n">
        <f aca="false">$G$46*$G$22*(1-Curtailment)*(1-Clipping)*AL469*AL476/Thousand</f>
        <v>138.698367602225</v>
      </c>
      <c r="AM477" s="17" t="n">
        <f aca="false">$G$46*$G$22*(1-Curtailment)*(1-Clipping)*AM469*AM476/Thousand</f>
        <v>138.282272499419</v>
      </c>
      <c r="AN477" s="17" t="n">
        <f aca="false">$G$46*$G$22*(1-Curtailment)*(1-Clipping)*AN469*AN476/Thousand</f>
        <v>137.86742568192</v>
      </c>
      <c r="AO477" s="17" t="n">
        <f aca="false">$G$46*$G$22*(1-Curtailment)*(1-Clipping)*AO469*AO476/Thousand</f>
        <v>137.453823404874</v>
      </c>
      <c r="AP477" s="17" t="n">
        <f aca="false">$G$46*$G$22*(1-Curtailment)*(1-Clipping)*AP469*AP476/Thousand</f>
        <v>137.04146193466</v>
      </c>
      <c r="AQ477" s="17" t="n">
        <f aca="false">$G$46*$G$22*(1-Curtailment)*(1-Clipping)*AQ469*AQ476/Thousand</f>
        <v>136.630337548856</v>
      </c>
      <c r="AR477" s="17" t="n">
        <f aca="false">$G$46*$G$22*(1-Curtailment)*(1-Clipping)*AR469*AR476/Thousand</f>
        <v>136.220446536209</v>
      </c>
      <c r="AS477" s="17" t="n">
        <f aca="false">$G$46*$G$22*(1-Curtailment)*(1-Clipping)*AS469*AS476/Thousand</f>
        <v>67.9058925983003</v>
      </c>
    </row>
    <row r="478" customFormat="false" ht="14.25" hidden="false" customHeight="false" outlineLevel="0" collapsed="false">
      <c r="C478" s="6" t="s">
        <v>305</v>
      </c>
      <c r="D478" s="2" t="s">
        <v>20</v>
      </c>
      <c r="J478" s="17" t="n">
        <f aca="false">Case_PPA*(1+PPA_Esc)^J465*(J469&gt;0)</f>
        <v>0</v>
      </c>
      <c r="K478" s="17" t="n">
        <f aca="false">Case_PPA*(1+PPA_Esc)^K465*(K469&gt;0)</f>
        <v>0</v>
      </c>
      <c r="L478" s="17" t="n">
        <f aca="false">Case_PPA*(1+PPA_Esc)^L465*(L469&gt;0)</f>
        <v>0</v>
      </c>
      <c r="M478" s="17" t="n">
        <f aca="false">Case_PPA*(1+PPA_Esc)^M465*(M469&gt;0)</f>
        <v>0</v>
      </c>
      <c r="N478" s="17" t="n">
        <f aca="false">Case_PPA*(1+PPA_Esc)^N465*(N469&gt;0)</f>
        <v>0</v>
      </c>
      <c r="O478" s="17" t="n">
        <f aca="false">Case_PPA*(1+PPA_Esc)^O465*(O469&gt;0)</f>
        <v>90</v>
      </c>
      <c r="P478" s="17" t="n">
        <f aca="false">Case_PPA*(1+PPA_Esc)^P465*(P469&gt;0)</f>
        <v>90.9</v>
      </c>
      <c r="Q478" s="17" t="n">
        <f aca="false">Case_PPA*(1+PPA_Esc)^Q465*(Q469&gt;0)</f>
        <v>91.809</v>
      </c>
      <c r="R478" s="17" t="n">
        <f aca="false">Case_PPA*(1+PPA_Esc)^R465*(R469&gt;0)</f>
        <v>92.72709</v>
      </c>
      <c r="S478" s="17" t="n">
        <f aca="false">Case_PPA*(1+PPA_Esc)^S465*(S469&gt;0)</f>
        <v>93.6543609</v>
      </c>
      <c r="T478" s="17" t="n">
        <f aca="false">Case_PPA*(1+PPA_Esc)^T465*(T469&gt;0)</f>
        <v>94.590904509</v>
      </c>
      <c r="U478" s="17" t="n">
        <f aca="false">Case_PPA*(1+PPA_Esc)^U465*(U469&gt;0)</f>
        <v>95.53681355409</v>
      </c>
      <c r="V478" s="17" t="n">
        <f aca="false">Case_PPA*(1+PPA_Esc)^V465*(V469&gt;0)</f>
        <v>96.4921816896309</v>
      </c>
      <c r="W478" s="17" t="n">
        <f aca="false">Case_PPA*(1+PPA_Esc)^W465*(W469&gt;0)</f>
        <v>97.4571035065272</v>
      </c>
      <c r="X478" s="17" t="n">
        <f aca="false">Case_PPA*(1+PPA_Esc)^X465*(X469&gt;0)</f>
        <v>98.4316745415925</v>
      </c>
      <c r="Y478" s="17" t="n">
        <f aca="false">Case_PPA*(1+PPA_Esc)^Y465*(Y469&gt;0)</f>
        <v>99.4159912870084</v>
      </c>
      <c r="Z478" s="17" t="n">
        <f aca="false">Case_PPA*(1+PPA_Esc)^Z465*(Z469&gt;0)</f>
        <v>100.410151199878</v>
      </c>
      <c r="AA478" s="17" t="n">
        <f aca="false">Case_PPA*(1+PPA_Esc)^AA465*(AA469&gt;0)</f>
        <v>101.414252711877</v>
      </c>
      <c r="AB478" s="17" t="n">
        <f aca="false">Case_PPA*(1+PPA_Esc)^AB465*(AB469&gt;0)</f>
        <v>102.428395238996</v>
      </c>
      <c r="AC478" s="17" t="n">
        <f aca="false">Case_PPA*(1+PPA_Esc)^AC465*(AC469&gt;0)</f>
        <v>103.452679191386</v>
      </c>
      <c r="AD478" s="17" t="n">
        <f aca="false">Case_PPA*(1+PPA_Esc)^AD465*(AD469&gt;0)</f>
        <v>104.4872059833</v>
      </c>
      <c r="AE478" s="17" t="n">
        <f aca="false">Case_PPA*(1+PPA_Esc)^AE465*(AE469&gt;0)</f>
        <v>105.532078043133</v>
      </c>
      <c r="AF478" s="17" t="n">
        <f aca="false">Case_PPA*(1+PPA_Esc)^AF465*(AF469&gt;0)</f>
        <v>106.587398823564</v>
      </c>
      <c r="AG478" s="17" t="n">
        <f aca="false">Case_PPA*(1+PPA_Esc)^AG465*(AG469&gt;0)</f>
        <v>107.6532728118</v>
      </c>
      <c r="AH478" s="17" t="n">
        <f aca="false">Case_PPA*(1+PPA_Esc)^AH465*(AH469&gt;0)</f>
        <v>108.729805539918</v>
      </c>
      <c r="AI478" s="17" t="n">
        <f aca="false">Case_PPA*(1+PPA_Esc)^AI465*(AI469&gt;0)</f>
        <v>109.817103595317</v>
      </c>
      <c r="AJ478" s="17" t="n">
        <f aca="false">Case_PPA*(1+PPA_Esc)^AJ465*(AJ469&gt;0)</f>
        <v>110.91527463127</v>
      </c>
      <c r="AK478" s="17" t="n">
        <f aca="false">Case_PPA*(1+PPA_Esc)^AK465*(AK469&gt;0)</f>
        <v>112.024427377583</v>
      </c>
      <c r="AL478" s="17" t="n">
        <f aca="false">Case_PPA*(1+PPA_Esc)^AL465*(AL469&gt;0)</f>
        <v>113.144671651359</v>
      </c>
      <c r="AM478" s="17" t="n">
        <f aca="false">Case_PPA*(1+PPA_Esc)^AM465*(AM469&gt;0)</f>
        <v>114.276118367872</v>
      </c>
      <c r="AN478" s="17" t="n">
        <f aca="false">Case_PPA*(1+PPA_Esc)^AN465*(AN469&gt;0)</f>
        <v>115.418879551551</v>
      </c>
      <c r="AO478" s="17" t="n">
        <f aca="false">Case_PPA*(1+PPA_Esc)^AO465*(AO469&gt;0)</f>
        <v>116.573068347067</v>
      </c>
      <c r="AP478" s="17" t="n">
        <f aca="false">Case_PPA*(1+PPA_Esc)^AP465*(AP469&gt;0)</f>
        <v>117.738799030537</v>
      </c>
      <c r="AQ478" s="17" t="n">
        <f aca="false">Case_PPA*(1+PPA_Esc)^AQ465*(AQ469&gt;0)</f>
        <v>118.916187020843</v>
      </c>
      <c r="AR478" s="17" t="n">
        <f aca="false">Case_PPA*(1+PPA_Esc)^AR465*(AR469&gt;0)</f>
        <v>120.105348891051</v>
      </c>
      <c r="AS478" s="17" t="n">
        <f aca="false">Case_PPA*(1+PPA_Esc)^AS465*(AS469&gt;0)</f>
        <v>121.306402379962</v>
      </c>
    </row>
    <row r="479" customFormat="false" ht="14.25" hidden="false" customHeight="false" outlineLevel="0" collapsed="false">
      <c r="C479" s="1" t="s">
        <v>158</v>
      </c>
      <c r="D479" s="2" t="s">
        <v>85</v>
      </c>
      <c r="H479" s="32" t="n">
        <f aca="false">SUM(J479:AS479)</f>
        <v>446130.685729454</v>
      </c>
      <c r="J479" s="32" t="n">
        <f aca="false">J477*J478</f>
        <v>0</v>
      </c>
      <c r="K479" s="32" t="n">
        <f aca="false">K477*K478</f>
        <v>0</v>
      </c>
      <c r="L479" s="32" t="n">
        <f aca="false">L477*L478</f>
        <v>0</v>
      </c>
      <c r="M479" s="32" t="n">
        <f aca="false">M477*M478</f>
        <v>0</v>
      </c>
      <c r="N479" s="32" t="n">
        <f aca="false">N477*N478</f>
        <v>0</v>
      </c>
      <c r="O479" s="32" t="n">
        <f aca="false">O477*O478</f>
        <v>6667.92</v>
      </c>
      <c r="P479" s="32" t="n">
        <f aca="false">P477*P478</f>
        <v>13469.1984</v>
      </c>
      <c r="Q479" s="32" t="n">
        <f aca="false">Q477*Q478</f>
        <v>13563.078712848</v>
      </c>
      <c r="R479" s="32" t="n">
        <f aca="false">R477*R478</f>
        <v>13657.6133714766</v>
      </c>
      <c r="S479" s="32" t="n">
        <f aca="false">S477*S478</f>
        <v>13752.8069366757</v>
      </c>
      <c r="T479" s="32" t="n">
        <f aca="false">T477*T478</f>
        <v>13848.6640010244</v>
      </c>
      <c r="U479" s="32" t="n">
        <f aca="false">U477*U478</f>
        <v>13945.1891891115</v>
      </c>
      <c r="V479" s="32" t="n">
        <f aca="false">V477*V478</f>
        <v>14042.3871577596</v>
      </c>
      <c r="W479" s="32" t="n">
        <f aca="false">W477*W478</f>
        <v>14140.2625962492</v>
      </c>
      <c r="X479" s="32" t="n">
        <f aca="false">X477*X478</f>
        <v>14238.8202265451</v>
      </c>
      <c r="Y479" s="32" t="n">
        <f aca="false">Y477*Y478</f>
        <v>14338.0648035241</v>
      </c>
      <c r="Z479" s="32" t="n">
        <f aca="false">Z477*Z478</f>
        <v>14438.0011152046</v>
      </c>
      <c r="AA479" s="32" t="n">
        <f aca="false">AA477*AA478</f>
        <v>14538.6339829776</v>
      </c>
      <c r="AB479" s="32" t="n">
        <f aca="false">AB477*AB478</f>
        <v>14639.968261839</v>
      </c>
      <c r="AC479" s="32" t="n">
        <f aca="false">AC477*AC478</f>
        <v>14742.008840624</v>
      </c>
      <c r="AD479" s="32" t="n">
        <f aca="false">AD477*AD478</f>
        <v>14844.7606422431</v>
      </c>
      <c r="AE479" s="32" t="n">
        <f aca="false">AE477*AE478</f>
        <v>14948.2286239196</v>
      </c>
      <c r="AF479" s="32" t="n">
        <f aca="false">AF477*AF478</f>
        <v>15052.4177774283</v>
      </c>
      <c r="AG479" s="32" t="n">
        <f aca="false">AG477*AG478</f>
        <v>15157.333129337</v>
      </c>
      <c r="AH479" s="32" t="n">
        <f aca="false">AH477*AH478</f>
        <v>15262.9797412485</v>
      </c>
      <c r="AI479" s="32" t="n">
        <f aca="false">AI477*AI478</f>
        <v>15369.362710045</v>
      </c>
      <c r="AJ479" s="32" t="n">
        <f aca="false">AJ477*AJ478</f>
        <v>15476.487168134</v>
      </c>
      <c r="AK479" s="32" t="n">
        <f aca="false">AK477*AK478</f>
        <v>15584.3582836959</v>
      </c>
      <c r="AL479" s="32" t="n">
        <f aca="false">AL477*AL478</f>
        <v>15692.9812609332</v>
      </c>
      <c r="AM479" s="32" t="n">
        <f aca="false">AM477*AM478</f>
        <v>15802.3613403219</v>
      </c>
      <c r="AN479" s="32" t="n">
        <f aca="false">AN477*AN478</f>
        <v>15912.503798864</v>
      </c>
      <c r="AO479" s="32" t="n">
        <f aca="false">AO477*AO478</f>
        <v>16023.4139503421</v>
      </c>
      <c r="AP479" s="32" t="n">
        <f aca="false">AP477*AP478</f>
        <v>16135.0971455759</v>
      </c>
      <c r="AQ479" s="32" t="n">
        <f aca="false">AQ477*AQ478</f>
        <v>16247.5587726806</v>
      </c>
      <c r="AR479" s="32" t="n">
        <f aca="false">AR477*AR478</f>
        <v>16360.8042573262</v>
      </c>
      <c r="AS479" s="32" t="n">
        <f aca="false">AS477*AS478</f>
        <v>8237.41953149987</v>
      </c>
    </row>
    <row r="480" customFormat="false" ht="14.25" hidden="false" customHeight="false" outlineLevel="0" collapsed="false">
      <c r="C480" s="6" t="s">
        <v>306</v>
      </c>
      <c r="D480" s="2" t="s">
        <v>3</v>
      </c>
      <c r="J480" s="76" t="n">
        <f aca="false">(1+Opex_Esc)^J465</f>
        <v>0.883854287609517</v>
      </c>
      <c r="K480" s="76" t="n">
        <f aca="false">(1+Opex_Esc)^K465</f>
        <v>0.905950644799755</v>
      </c>
      <c r="L480" s="76" t="n">
        <f aca="false">(1+Opex_Esc)^L465</f>
        <v>0.928599410919749</v>
      </c>
      <c r="M480" s="76" t="n">
        <f aca="false">(1+Opex_Esc)^M465</f>
        <v>0.951814396192743</v>
      </c>
      <c r="N480" s="76" t="n">
        <f aca="false">(1+Opex_Esc)^N465</f>
        <v>0.975609756097561</v>
      </c>
      <c r="O480" s="76" t="n">
        <f aca="false">(1+Opex_Esc)^O465</f>
        <v>1</v>
      </c>
      <c r="P480" s="76" t="n">
        <f aca="false">(1+Opex_Esc)^P465</f>
        <v>1.025</v>
      </c>
      <c r="Q480" s="76" t="n">
        <f aca="false">(1+Opex_Esc)^Q465</f>
        <v>1.050625</v>
      </c>
      <c r="R480" s="76" t="n">
        <f aca="false">(1+Opex_Esc)^R465</f>
        <v>1.076890625</v>
      </c>
      <c r="S480" s="76" t="n">
        <f aca="false">(1+Opex_Esc)^S465</f>
        <v>1.103812890625</v>
      </c>
      <c r="T480" s="76" t="n">
        <f aca="false">(1+Opex_Esc)^T465</f>
        <v>1.13140821289062</v>
      </c>
      <c r="U480" s="76" t="n">
        <f aca="false">(1+Opex_Esc)^U465</f>
        <v>1.15969341821289</v>
      </c>
      <c r="V480" s="76" t="n">
        <f aca="false">(1+Opex_Esc)^V465</f>
        <v>1.18868575366821</v>
      </c>
      <c r="W480" s="76" t="n">
        <f aca="false">(1+Opex_Esc)^W465</f>
        <v>1.21840289750992</v>
      </c>
      <c r="X480" s="76" t="n">
        <f aca="false">(1+Opex_Esc)^X465</f>
        <v>1.24886296994767</v>
      </c>
      <c r="Y480" s="76" t="n">
        <f aca="false">(1+Opex_Esc)^Y465</f>
        <v>1.28008454419636</v>
      </c>
      <c r="Z480" s="76" t="n">
        <f aca="false">(1+Opex_Esc)^Z465</f>
        <v>1.31208665780127</v>
      </c>
      <c r="AA480" s="76" t="n">
        <f aca="false">(1+Opex_Esc)^AA465</f>
        <v>1.3448888242463</v>
      </c>
      <c r="AB480" s="76" t="n">
        <f aca="false">(1+Opex_Esc)^AB465</f>
        <v>1.37851104485245</v>
      </c>
      <c r="AC480" s="76" t="n">
        <f aca="false">(1+Opex_Esc)^AC465</f>
        <v>1.41297382097377</v>
      </c>
      <c r="AD480" s="76" t="n">
        <f aca="false">(1+Opex_Esc)^AD465</f>
        <v>1.44829816649811</v>
      </c>
      <c r="AE480" s="76" t="n">
        <f aca="false">(1+Opex_Esc)^AE465</f>
        <v>1.48450562066056</v>
      </c>
      <c r="AF480" s="76" t="n">
        <f aca="false">(1+Opex_Esc)^AF465</f>
        <v>1.52161826117708</v>
      </c>
      <c r="AG480" s="76" t="n">
        <f aca="false">(1+Opex_Esc)^AG465</f>
        <v>1.5596587177065</v>
      </c>
      <c r="AH480" s="76" t="n">
        <f aca="false">(1+Opex_Esc)^AH465</f>
        <v>1.59865018564917</v>
      </c>
      <c r="AI480" s="76" t="n">
        <f aca="false">(1+Opex_Esc)^AI465</f>
        <v>1.63861644029039</v>
      </c>
      <c r="AJ480" s="76" t="n">
        <f aca="false">(1+Opex_Esc)^AJ465</f>
        <v>1.67958185129765</v>
      </c>
      <c r="AK480" s="76" t="n">
        <f aca="false">(1+Opex_Esc)^AK465</f>
        <v>1.7215713975801</v>
      </c>
      <c r="AL480" s="76" t="n">
        <f aca="false">(1+Opex_Esc)^AL465</f>
        <v>1.7646106825196</v>
      </c>
      <c r="AM480" s="76" t="n">
        <f aca="false">(1+Opex_Esc)^AM465</f>
        <v>1.80872594958259</v>
      </c>
      <c r="AN480" s="76" t="n">
        <f aca="false">(1+Opex_Esc)^AN465</f>
        <v>1.85394409832215</v>
      </c>
      <c r="AO480" s="76" t="n">
        <f aca="false">(1+Opex_Esc)^AO465</f>
        <v>1.90029270078021</v>
      </c>
      <c r="AP480" s="76" t="n">
        <f aca="false">(1+Opex_Esc)^AP465</f>
        <v>1.94780001829971</v>
      </c>
      <c r="AQ480" s="76" t="n">
        <f aca="false">(1+Opex_Esc)^AQ465</f>
        <v>1.9964950187572</v>
      </c>
      <c r="AR480" s="76" t="n">
        <f aca="false">(1+Opex_Esc)^AR465</f>
        <v>2.04640739422613</v>
      </c>
      <c r="AS480" s="76" t="n">
        <f aca="false">(1+Opex_Esc)^AS465</f>
        <v>2.09756757908179</v>
      </c>
    </row>
    <row r="481" customFormat="false" ht="14.25" hidden="false" customHeight="false" outlineLevel="0" collapsed="false">
      <c r="C481" s="6" t="s">
        <v>307</v>
      </c>
      <c r="D481" s="2" t="s">
        <v>85</v>
      </c>
      <c r="H481" s="8" t="n">
        <f aca="false">SUM(J481:AS481)</f>
        <v>-70011.0919506797</v>
      </c>
      <c r="J481" s="8" t="n">
        <f aca="false">-(Case_OM+SUM(Opex_Per_MW))*$G$46*J480*J469</f>
        <v>-0</v>
      </c>
      <c r="K481" s="8" t="n">
        <f aca="false">-(Case_OM+SUM(Opex_Per_MW))*$G$46*K480*K469</f>
        <v>-0</v>
      </c>
      <c r="L481" s="8" t="n">
        <f aca="false">-(Case_OM+SUM(Opex_Per_MW))*$G$46*L480*L469</f>
        <v>-0</v>
      </c>
      <c r="M481" s="8" t="n">
        <f aca="false">-(Case_OM+SUM(Opex_Per_MW))*$G$46*M480*M469</f>
        <v>-0</v>
      </c>
      <c r="N481" s="8" t="n">
        <f aca="false">-(Case_OM+SUM(Opex_Per_MW))*$G$46*N480*N469</f>
        <v>-0</v>
      </c>
      <c r="O481" s="8" t="n">
        <f aca="false">-(Case_OM+SUM(Opex_Per_MW))*$G$46*O480*O469</f>
        <v>-787.5</v>
      </c>
      <c r="P481" s="8" t="n">
        <f aca="false">-(Case_OM+SUM(Opex_Per_MW))*$G$46*P480*P469</f>
        <v>-1614.375</v>
      </c>
      <c r="Q481" s="8" t="n">
        <f aca="false">-(Case_OM+SUM(Opex_Per_MW))*$G$46*Q480*Q469</f>
        <v>-1654.734375</v>
      </c>
      <c r="R481" s="8" t="n">
        <f aca="false">-(Case_OM+SUM(Opex_Per_MW))*$G$46*R480*R469</f>
        <v>-1696.102734375</v>
      </c>
      <c r="S481" s="8" t="n">
        <f aca="false">-(Case_OM+SUM(Opex_Per_MW))*$G$46*S480*S469</f>
        <v>-1738.50530273437</v>
      </c>
      <c r="T481" s="8" t="n">
        <f aca="false">-(Case_OM+SUM(Opex_Per_MW))*$G$46*T480*T469</f>
        <v>-1781.96793530273</v>
      </c>
      <c r="U481" s="8" t="n">
        <f aca="false">-(Case_OM+SUM(Opex_Per_MW))*$G$46*U480*U469</f>
        <v>-1826.5171336853</v>
      </c>
      <c r="V481" s="8" t="n">
        <f aca="false">-(Case_OM+SUM(Opex_Per_MW))*$G$46*V480*V469</f>
        <v>-1872.18006202743</v>
      </c>
      <c r="W481" s="8" t="n">
        <f aca="false">-(Case_OM+SUM(Opex_Per_MW))*$G$46*W480*W469</f>
        <v>-1918.98456357812</v>
      </c>
      <c r="X481" s="8" t="n">
        <f aca="false">-(Case_OM+SUM(Opex_Per_MW))*$G$46*X480*X469</f>
        <v>-1966.95917766757</v>
      </c>
      <c r="Y481" s="8" t="n">
        <f aca="false">-(Case_OM+SUM(Opex_Per_MW))*$G$46*Y480*Y469</f>
        <v>-2016.13315710926</v>
      </c>
      <c r="Z481" s="8" t="n">
        <f aca="false">-(Case_OM+SUM(Opex_Per_MW))*$G$46*Z480*Z469</f>
        <v>-2066.53648603699</v>
      </c>
      <c r="AA481" s="8" t="n">
        <f aca="false">-(Case_OM+SUM(Opex_Per_MW))*$G$46*AA480*AA469</f>
        <v>-2118.19989818792</v>
      </c>
      <c r="AB481" s="8" t="n">
        <f aca="false">-(Case_OM+SUM(Opex_Per_MW))*$G$46*AB480*AB469</f>
        <v>-2171.15489564262</v>
      </c>
      <c r="AC481" s="8" t="n">
        <f aca="false">-(Case_OM+SUM(Opex_Per_MW))*$G$46*AC480*AC469</f>
        <v>-2225.43376803368</v>
      </c>
      <c r="AD481" s="8" t="n">
        <f aca="false">-(Case_OM+SUM(Opex_Per_MW))*$G$46*AD480*AD469</f>
        <v>-2281.06961223452</v>
      </c>
      <c r="AE481" s="8" t="n">
        <f aca="false">-(Case_OM+SUM(Opex_Per_MW))*$G$46*AE480*AE469</f>
        <v>-2338.09635254039</v>
      </c>
      <c r="AF481" s="8" t="n">
        <f aca="false">-(Case_OM+SUM(Opex_Per_MW))*$G$46*AF480*AF469</f>
        <v>-2396.5487613539</v>
      </c>
      <c r="AG481" s="8" t="n">
        <f aca="false">-(Case_OM+SUM(Opex_Per_MW))*$G$46*AG480*AG469</f>
        <v>-2456.46248038774</v>
      </c>
      <c r="AH481" s="8" t="n">
        <f aca="false">-(Case_OM+SUM(Opex_Per_MW))*$G$46*AH480*AH469</f>
        <v>-2517.87404239744</v>
      </c>
      <c r="AI481" s="8" t="n">
        <f aca="false">-(Case_OM+SUM(Opex_Per_MW))*$G$46*AI480*AI469</f>
        <v>-2580.82089345737</v>
      </c>
      <c r="AJ481" s="8" t="n">
        <f aca="false">-(Case_OM+SUM(Opex_Per_MW))*$G$46*AJ480*AJ469</f>
        <v>-2645.34141579381</v>
      </c>
      <c r="AK481" s="8" t="n">
        <f aca="false">-(Case_OM+SUM(Opex_Per_MW))*$G$46*AK480*AK469</f>
        <v>-2711.47495118865</v>
      </c>
      <c r="AL481" s="8" t="n">
        <f aca="false">-(Case_OM+SUM(Opex_Per_MW))*$G$46*AL480*AL469</f>
        <v>-2779.26182496837</v>
      </c>
      <c r="AM481" s="8" t="n">
        <f aca="false">-(Case_OM+SUM(Opex_Per_MW))*$G$46*AM480*AM469</f>
        <v>-2848.74337059257</v>
      </c>
      <c r="AN481" s="8" t="n">
        <f aca="false">-(Case_OM+SUM(Opex_Per_MW))*$G$46*AN480*AN469</f>
        <v>-2919.96195485739</v>
      </c>
      <c r="AO481" s="8" t="n">
        <f aca="false">-(Case_OM+SUM(Opex_Per_MW))*$G$46*AO480*AO469</f>
        <v>-2992.96100372882</v>
      </c>
      <c r="AP481" s="8" t="n">
        <f aca="false">-(Case_OM+SUM(Opex_Per_MW))*$G$46*AP480*AP469</f>
        <v>-3067.78502882204</v>
      </c>
      <c r="AQ481" s="8" t="n">
        <f aca="false">-(Case_OM+SUM(Opex_Per_MW))*$G$46*AQ480*AQ469</f>
        <v>-3144.47965454259</v>
      </c>
      <c r="AR481" s="8" t="n">
        <f aca="false">-(Case_OM+SUM(Opex_Per_MW))*$G$46*AR480*AR469</f>
        <v>-3223.09164590616</v>
      </c>
      <c r="AS481" s="8" t="n">
        <f aca="false">-(Case_OM+SUM(Opex_Per_MW))*$G$46*AS480*AS469</f>
        <v>-1651.83446852691</v>
      </c>
    </row>
    <row r="482" customFormat="false" ht="14.25" hidden="false" customHeight="false" outlineLevel="0" collapsed="false">
      <c r="C482" s="6" t="s">
        <v>308</v>
      </c>
      <c r="D482" s="2" t="s">
        <v>85</v>
      </c>
      <c r="H482" s="8" t="n">
        <f aca="false">SUM(J482:AS482)</f>
        <v>-1666.93076073047</v>
      </c>
      <c r="J482" s="8" t="n">
        <f aca="false">-Opex_Admin*$G$6/Lump_Basis*J480*J469</f>
        <v>-0</v>
      </c>
      <c r="K482" s="8" t="n">
        <f aca="false">-Opex_Admin*$G$6/Lump_Basis*K480*K469</f>
        <v>-0</v>
      </c>
      <c r="L482" s="8" t="n">
        <f aca="false">-Opex_Admin*$G$6/Lump_Basis*L480*L469</f>
        <v>-0</v>
      </c>
      <c r="M482" s="8" t="n">
        <f aca="false">-Opex_Admin*$G$6/Lump_Basis*M480*M469</f>
        <v>-0</v>
      </c>
      <c r="N482" s="8" t="n">
        <f aca="false">-Opex_Admin*$G$6/Lump_Basis*N480*N469</f>
        <v>-0</v>
      </c>
      <c r="O482" s="8" t="n">
        <f aca="false">-Opex_Admin*$G$6/Lump_Basis*O480*O469</f>
        <v>-18.75</v>
      </c>
      <c r="P482" s="8" t="n">
        <f aca="false">-Opex_Admin*$G$6/Lump_Basis*P480*P469</f>
        <v>-38.4375</v>
      </c>
      <c r="Q482" s="8" t="n">
        <f aca="false">-Opex_Admin*$G$6/Lump_Basis*Q480*Q469</f>
        <v>-39.3984375</v>
      </c>
      <c r="R482" s="8" t="n">
        <f aca="false">-Opex_Admin*$G$6/Lump_Basis*R480*R469</f>
        <v>-40.3833984375</v>
      </c>
      <c r="S482" s="8" t="n">
        <f aca="false">-Opex_Admin*$G$6/Lump_Basis*S480*S469</f>
        <v>-41.3929833984375</v>
      </c>
      <c r="T482" s="8" t="n">
        <f aca="false">-Opex_Admin*$G$6/Lump_Basis*T480*T469</f>
        <v>-42.4278079833984</v>
      </c>
      <c r="U482" s="8" t="n">
        <f aca="false">-Opex_Admin*$G$6/Lump_Basis*U480*U469</f>
        <v>-43.4885031829834</v>
      </c>
      <c r="V482" s="8" t="n">
        <f aca="false">-Opex_Admin*$G$6/Lump_Basis*V480*V469</f>
        <v>-44.575715762558</v>
      </c>
      <c r="W482" s="8" t="n">
        <f aca="false">-Opex_Admin*$G$6/Lump_Basis*W480*W469</f>
        <v>-45.6901086566219</v>
      </c>
      <c r="X482" s="8" t="n">
        <f aca="false">-Opex_Admin*$G$6/Lump_Basis*X480*X469</f>
        <v>-46.8323613730374</v>
      </c>
      <c r="Y482" s="8" t="n">
        <f aca="false">-Opex_Admin*$G$6/Lump_Basis*Y480*Y469</f>
        <v>-48.0031704073634</v>
      </c>
      <c r="Z482" s="8" t="n">
        <f aca="false">-Opex_Admin*$G$6/Lump_Basis*Z480*Z469</f>
        <v>-49.2032496675475</v>
      </c>
      <c r="AA482" s="8" t="n">
        <f aca="false">-Opex_Admin*$G$6/Lump_Basis*AA480*AA469</f>
        <v>-50.4333309092361</v>
      </c>
      <c r="AB482" s="8" t="n">
        <f aca="false">-Opex_Admin*$G$6/Lump_Basis*AB480*AB469</f>
        <v>-51.694164181967</v>
      </c>
      <c r="AC482" s="8" t="n">
        <f aca="false">-Opex_Admin*$G$6/Lump_Basis*AC480*AC469</f>
        <v>-52.9865182865162</v>
      </c>
      <c r="AD482" s="8" t="n">
        <f aca="false">-Opex_Admin*$G$6/Lump_Basis*AD480*AD469</f>
        <v>-54.3111812436791</v>
      </c>
      <c r="AE482" s="8" t="n">
        <f aca="false">-Opex_Admin*$G$6/Lump_Basis*AE480*AE469</f>
        <v>-55.6689607747711</v>
      </c>
      <c r="AF482" s="8" t="n">
        <f aca="false">-Opex_Admin*$G$6/Lump_Basis*AF480*AF469</f>
        <v>-57.0606847941404</v>
      </c>
      <c r="AG482" s="8" t="n">
        <f aca="false">-Opex_Admin*$G$6/Lump_Basis*AG480*AG469</f>
        <v>-58.4872019139939</v>
      </c>
      <c r="AH482" s="8" t="n">
        <f aca="false">-Opex_Admin*$G$6/Lump_Basis*AH480*AH469</f>
        <v>-59.9493819618437</v>
      </c>
      <c r="AI482" s="8" t="n">
        <f aca="false">-Opex_Admin*$G$6/Lump_Basis*AI480*AI469</f>
        <v>-61.4481165108898</v>
      </c>
      <c r="AJ482" s="8" t="n">
        <f aca="false">-Opex_Admin*$G$6/Lump_Basis*AJ480*AJ469</f>
        <v>-62.984319423662</v>
      </c>
      <c r="AK482" s="8" t="n">
        <f aca="false">-Opex_Admin*$G$6/Lump_Basis*AK480*AK469</f>
        <v>-64.5589274092536</v>
      </c>
      <c r="AL482" s="8" t="n">
        <f aca="false">-Opex_Admin*$G$6/Lump_Basis*AL480*AL469</f>
        <v>-66.1729005944849</v>
      </c>
      <c r="AM482" s="8" t="n">
        <f aca="false">-Opex_Admin*$G$6/Lump_Basis*AM480*AM469</f>
        <v>-67.827223109347</v>
      </c>
      <c r="AN482" s="8" t="n">
        <f aca="false">-Opex_Admin*$G$6/Lump_Basis*AN480*AN469</f>
        <v>-69.5229036870807</v>
      </c>
      <c r="AO482" s="8" t="n">
        <f aca="false">-Opex_Admin*$G$6/Lump_Basis*AO480*AO469</f>
        <v>-71.2609762792577</v>
      </c>
      <c r="AP482" s="8" t="n">
        <f aca="false">-Opex_Admin*$G$6/Lump_Basis*AP480*AP469</f>
        <v>-73.0425006862391</v>
      </c>
      <c r="AQ482" s="8" t="n">
        <f aca="false">-Opex_Admin*$G$6/Lump_Basis*AQ480*AQ469</f>
        <v>-74.8685632033951</v>
      </c>
      <c r="AR482" s="8" t="n">
        <f aca="false">-Opex_Admin*$G$6/Lump_Basis*AR480*AR469</f>
        <v>-76.74027728348</v>
      </c>
      <c r="AS482" s="8" t="n">
        <f aca="false">-Opex_Admin*$G$6/Lump_Basis*AS480*AS469</f>
        <v>-39.3293921077835</v>
      </c>
    </row>
    <row r="483" customFormat="false" ht="14.25" hidden="false" customHeight="false" outlineLevel="0" collapsed="false">
      <c r="C483" s="6" t="s">
        <v>309</v>
      </c>
      <c r="D483" s="2" t="s">
        <v>85</v>
      </c>
      <c r="H483" s="8" t="n">
        <f aca="false">SUM(J483:AS483)</f>
        <v>-31411.9298672852</v>
      </c>
      <c r="J483" s="8" t="n">
        <f aca="false">-J477*(Balancing+Grid_Charges)*J480</f>
        <v>-0</v>
      </c>
      <c r="K483" s="8" t="n">
        <f aca="false">-K477*(Balancing+Grid_Charges)*K480</f>
        <v>-0</v>
      </c>
      <c r="L483" s="8" t="n">
        <f aca="false">-L477*(Balancing+Grid_Charges)*L480</f>
        <v>-0</v>
      </c>
      <c r="M483" s="8" t="n">
        <f aca="false">-M477*(Balancing+Grid_Charges)*M480</f>
        <v>-0</v>
      </c>
      <c r="N483" s="8" t="n">
        <f aca="false">-N477*(Balancing+Grid_Charges)*N480</f>
        <v>-0</v>
      </c>
      <c r="O483" s="8" t="n">
        <f aca="false">-O477*(Balancing+Grid_Charges)*O480</f>
        <v>-370.44</v>
      </c>
      <c r="P483" s="8" t="n">
        <f aca="false">-P477*(Balancing+Grid_Charges)*P480</f>
        <v>-759.402</v>
      </c>
      <c r="Q483" s="8" t="n">
        <f aca="false">-Q477*(Balancing+Grid_Charges)*Q480</f>
        <v>-776.05188885</v>
      </c>
      <c r="R483" s="8" t="n">
        <f aca="false">-R477*(Balancing+Grid_Charges)*R480</f>
        <v>-793.066826513036</v>
      </c>
      <c r="S483" s="8" t="n">
        <f aca="false">-S477*(Balancing+Grid_Charges)*S480</f>
        <v>-810.454816684334</v>
      </c>
      <c r="T483" s="8" t="n">
        <f aca="false">-T477*(Balancing+Grid_Charges)*T480</f>
        <v>-828.224038540138</v>
      </c>
      <c r="U483" s="8" t="n">
        <f aca="false">-U477*(Balancing+Grid_Charges)*U480</f>
        <v>-846.382850585131</v>
      </c>
      <c r="V483" s="8" t="n">
        <f aca="false">-V477*(Balancing+Grid_Charges)*V480</f>
        <v>-864.93979458421</v>
      </c>
      <c r="W483" s="8" t="n">
        <f aca="false">-W477*(Balancing+Grid_Charges)*W480</f>
        <v>-883.903599580468</v>
      </c>
      <c r="X483" s="8" t="n">
        <f aca="false">-X477*(Balancing+Grid_Charges)*X480</f>
        <v>-903.28318600127</v>
      </c>
      <c r="Y483" s="8" t="n">
        <f aca="false">-Y477*(Balancing+Grid_Charges)*Y480</f>
        <v>-923.087669854348</v>
      </c>
      <c r="Z483" s="8" t="n">
        <f aca="false">-Z477*(Balancing+Grid_Charges)*Z480</f>
        <v>-943.326367015904</v>
      </c>
      <c r="AA483" s="8" t="n">
        <f aca="false">-AA477*(Balancing+Grid_Charges)*AA480</f>
        <v>-964.008797612728</v>
      </c>
      <c r="AB483" s="8" t="n">
        <f aca="false">-AB477*(Balancing+Grid_Charges)*AB480</f>
        <v>-985.144690500387</v>
      </c>
      <c r="AC483" s="8" t="n">
        <f aca="false">-AC477*(Balancing+Grid_Charges)*AC480</f>
        <v>-1006.74398783961</v>
      </c>
      <c r="AD483" s="8" t="n">
        <f aca="false">-AD477*(Balancing+Grid_Charges)*AD480</f>
        <v>-1028.81684977299</v>
      </c>
      <c r="AE483" s="8" t="n">
        <f aca="false">-AE477*(Balancing+Grid_Charges)*AE480</f>
        <v>-1051.37365920426</v>
      </c>
      <c r="AF483" s="8" t="n">
        <f aca="false">-AF477*(Balancing+Grid_Charges)*AF480</f>
        <v>-1074.42502668232</v>
      </c>
      <c r="AG483" s="8" t="n">
        <f aca="false">-AG477*(Balancing+Grid_Charges)*AG480</f>
        <v>-1097.98179539233</v>
      </c>
      <c r="AH483" s="8" t="n">
        <f aca="false">-AH477*(Balancing+Grid_Charges)*AH480</f>
        <v>-1122.0550462563</v>
      </c>
      <c r="AI483" s="8" t="n">
        <f aca="false">-AI477*(Balancing+Grid_Charges)*AI480</f>
        <v>-1146.65610314547</v>
      </c>
      <c r="AJ483" s="8" t="n">
        <f aca="false">-AJ477*(Balancing+Grid_Charges)*AJ480</f>
        <v>-1171.79653820694</v>
      </c>
      <c r="AK483" s="8" t="n">
        <f aca="false">-AK477*(Balancing+Grid_Charges)*AK480</f>
        <v>-1197.48817730712</v>
      </c>
      <c r="AL483" s="8" t="n">
        <f aca="false">-AL477*(Balancing+Grid_Charges)*AL480</f>
        <v>-1223.74310559458</v>
      </c>
      <c r="AM483" s="8" t="n">
        <f aca="false">-AM477*(Balancing+Grid_Charges)*AM480</f>
        <v>-1250.57367318474</v>
      </c>
      <c r="AN483" s="8" t="n">
        <f aca="false">-AN477*(Balancing+Grid_Charges)*AN480</f>
        <v>-1277.99250096932</v>
      </c>
      <c r="AO483" s="8" t="n">
        <f aca="false">-AO477*(Balancing+Grid_Charges)*AO480</f>
        <v>-1306.01248655307</v>
      </c>
      <c r="AP483" s="8" t="n">
        <f aca="false">-AP477*(Balancing+Grid_Charges)*AP480</f>
        <v>-1334.64681032075</v>
      </c>
      <c r="AQ483" s="8" t="n">
        <f aca="false">-AQ477*(Balancing+Grid_Charges)*AQ480</f>
        <v>-1363.90894163703</v>
      </c>
      <c r="AR483" s="8" t="n">
        <f aca="false">-AR477*(Balancing+Grid_Charges)*AR480</f>
        <v>-1393.81264518242</v>
      </c>
      <c r="AS483" s="8" t="n">
        <f aca="false">-AS477*(Balancing+Grid_Charges)*AS480</f>
        <v>-712.185993714023</v>
      </c>
    </row>
    <row r="484" customFormat="false" ht="14.25" hidden="false" customHeight="false" outlineLevel="0" collapsed="false">
      <c r="C484" s="6" t="s">
        <v>310</v>
      </c>
      <c r="D484" s="2" t="s">
        <v>85</v>
      </c>
      <c r="H484" s="8" t="n">
        <f aca="false">SUM(J484:AS484)</f>
        <v>-446.130685729454</v>
      </c>
      <c r="J484" s="8" t="n">
        <f aca="false">-J479*MEKH_Fee</f>
        <v>-0</v>
      </c>
      <c r="K484" s="8" t="n">
        <f aca="false">-K479*MEKH_Fee</f>
        <v>-0</v>
      </c>
      <c r="L484" s="8" t="n">
        <f aca="false">-L479*MEKH_Fee</f>
        <v>-0</v>
      </c>
      <c r="M484" s="8" t="n">
        <f aca="false">-M479*MEKH_Fee</f>
        <v>-0</v>
      </c>
      <c r="N484" s="8" t="n">
        <f aca="false">-N479*MEKH_Fee</f>
        <v>-0</v>
      </c>
      <c r="O484" s="8" t="n">
        <f aca="false">-O479*MEKH_Fee</f>
        <v>-6.66792</v>
      </c>
      <c r="P484" s="8" t="n">
        <f aca="false">-P479*MEKH_Fee</f>
        <v>-13.4691984</v>
      </c>
      <c r="Q484" s="8" t="n">
        <f aca="false">-Q479*MEKH_Fee</f>
        <v>-13.563078712848</v>
      </c>
      <c r="R484" s="8" t="n">
        <f aca="false">-R479*MEKH_Fee</f>
        <v>-13.6576133714766</v>
      </c>
      <c r="S484" s="8" t="n">
        <f aca="false">-S479*MEKH_Fee</f>
        <v>-13.7528069366757</v>
      </c>
      <c r="T484" s="8" t="n">
        <f aca="false">-T479*MEKH_Fee</f>
        <v>-13.8486640010244</v>
      </c>
      <c r="U484" s="8" t="n">
        <f aca="false">-U479*MEKH_Fee</f>
        <v>-13.9451891891115</v>
      </c>
      <c r="V484" s="8" t="n">
        <f aca="false">-V479*MEKH_Fee</f>
        <v>-14.0423871577596</v>
      </c>
      <c r="W484" s="8" t="n">
        <f aca="false">-W479*MEKH_Fee</f>
        <v>-14.1402625962492</v>
      </c>
      <c r="X484" s="8" t="n">
        <f aca="false">-X479*MEKH_Fee</f>
        <v>-14.2388202265451</v>
      </c>
      <c r="Y484" s="8" t="n">
        <f aca="false">-Y479*MEKH_Fee</f>
        <v>-14.3380648035241</v>
      </c>
      <c r="Z484" s="8" t="n">
        <f aca="false">-Z479*MEKH_Fee</f>
        <v>-14.4380011152046</v>
      </c>
      <c r="AA484" s="8" t="n">
        <f aca="false">-AA479*MEKH_Fee</f>
        <v>-14.5386339829776</v>
      </c>
      <c r="AB484" s="8" t="n">
        <f aca="false">-AB479*MEKH_Fee</f>
        <v>-14.639968261839</v>
      </c>
      <c r="AC484" s="8" t="n">
        <f aca="false">-AC479*MEKH_Fee</f>
        <v>-14.742008840624</v>
      </c>
      <c r="AD484" s="8" t="n">
        <f aca="false">-AD479*MEKH_Fee</f>
        <v>-14.8447606422431</v>
      </c>
      <c r="AE484" s="8" t="n">
        <f aca="false">-AE479*MEKH_Fee</f>
        <v>-14.9482286239196</v>
      </c>
      <c r="AF484" s="8" t="n">
        <f aca="false">-AF479*MEKH_Fee</f>
        <v>-15.0524177774283</v>
      </c>
      <c r="AG484" s="8" t="n">
        <f aca="false">-AG479*MEKH_Fee</f>
        <v>-15.157333129337</v>
      </c>
      <c r="AH484" s="8" t="n">
        <f aca="false">-AH479*MEKH_Fee</f>
        <v>-15.2629797412485</v>
      </c>
      <c r="AI484" s="8" t="n">
        <f aca="false">-AI479*MEKH_Fee</f>
        <v>-15.369362710045</v>
      </c>
      <c r="AJ484" s="8" t="n">
        <f aca="false">-AJ479*MEKH_Fee</f>
        <v>-15.476487168134</v>
      </c>
      <c r="AK484" s="8" t="n">
        <f aca="false">-AK479*MEKH_Fee</f>
        <v>-15.5843582836959</v>
      </c>
      <c r="AL484" s="8" t="n">
        <f aca="false">-AL479*MEKH_Fee</f>
        <v>-15.6929812609332</v>
      </c>
      <c r="AM484" s="8" t="n">
        <f aca="false">-AM479*MEKH_Fee</f>
        <v>-15.8023613403219</v>
      </c>
      <c r="AN484" s="8" t="n">
        <f aca="false">-AN479*MEKH_Fee</f>
        <v>-15.912503798864</v>
      </c>
      <c r="AO484" s="8" t="n">
        <f aca="false">-AO479*MEKH_Fee</f>
        <v>-16.0234139503421</v>
      </c>
      <c r="AP484" s="8" t="n">
        <f aca="false">-AP479*MEKH_Fee</f>
        <v>-16.1350971455759</v>
      </c>
      <c r="AQ484" s="8" t="n">
        <f aca="false">-AQ479*MEKH_Fee</f>
        <v>-16.2475587726806</v>
      </c>
      <c r="AR484" s="8" t="n">
        <f aca="false">-AR479*MEKH_Fee</f>
        <v>-16.3608042573262</v>
      </c>
      <c r="AS484" s="8" t="n">
        <f aca="false">-AS479*MEKH_Fee</f>
        <v>-8.23741953149987</v>
      </c>
    </row>
    <row r="485" customFormat="false" ht="14.25" hidden="false" customHeight="false" outlineLevel="0" collapsed="false">
      <c r="C485" s="6" t="s">
        <v>311</v>
      </c>
      <c r="D485" s="2" t="s">
        <v>85</v>
      </c>
      <c r="H485" s="8" t="n">
        <f aca="false">SUM(J485:AS485)</f>
        <v>-5176.80416322124</v>
      </c>
      <c r="J485" s="8" t="n">
        <f aca="false">SUM(J481:J484)*Opex_Cont</f>
        <v>0</v>
      </c>
      <c r="K485" s="8" t="n">
        <f aca="false">SUM(K481:K484)*Opex_Cont</f>
        <v>0</v>
      </c>
      <c r="L485" s="8" t="n">
        <f aca="false">SUM(L481:L484)*Opex_Cont</f>
        <v>0</v>
      </c>
      <c r="M485" s="8" t="n">
        <f aca="false">SUM(M481:M484)*Opex_Cont</f>
        <v>0</v>
      </c>
      <c r="N485" s="8" t="n">
        <f aca="false">SUM(N481:N484)*Opex_Cont</f>
        <v>0</v>
      </c>
      <c r="O485" s="8" t="n">
        <f aca="false">SUM(O481:O484)*Opex_Cont</f>
        <v>-59.167896</v>
      </c>
      <c r="P485" s="8" t="n">
        <f aca="false">SUM(P481:P484)*Opex_Cont</f>
        <v>-121.28418492</v>
      </c>
      <c r="Q485" s="8" t="n">
        <f aca="false">SUM(Q481:Q484)*Opex_Cont</f>
        <v>-124.187389003142</v>
      </c>
      <c r="R485" s="8" t="n">
        <f aca="false">SUM(R481:R484)*Opex_Cont</f>
        <v>-127.160528634851</v>
      </c>
      <c r="S485" s="8" t="n">
        <f aca="false">SUM(S481:S484)*Opex_Cont</f>
        <v>-130.205295487691</v>
      </c>
      <c r="T485" s="8" t="n">
        <f aca="false">SUM(T481:T484)*Opex_Cont</f>
        <v>-133.323422291365</v>
      </c>
      <c r="U485" s="8" t="n">
        <f aca="false">SUM(U481:U484)*Opex_Cont</f>
        <v>-136.516683832126</v>
      </c>
      <c r="V485" s="8" t="n">
        <f aca="false">SUM(V481:V484)*Opex_Cont</f>
        <v>-139.786897976598</v>
      </c>
      <c r="W485" s="8" t="n">
        <f aca="false">SUM(W481:W484)*Opex_Cont</f>
        <v>-143.135926720573</v>
      </c>
      <c r="X485" s="8" t="n">
        <f aca="false">SUM(X481:X484)*Opex_Cont</f>
        <v>-146.565677263421</v>
      </c>
      <c r="Y485" s="8" t="n">
        <f aca="false">SUM(Y481:Y484)*Opex_Cont</f>
        <v>-150.078103108725</v>
      </c>
      <c r="Z485" s="8" t="n">
        <f aca="false">SUM(Z481:Z484)*Opex_Cont</f>
        <v>-153.675205191783</v>
      </c>
      <c r="AA485" s="8" t="n">
        <f aca="false">SUM(AA481:AA484)*Opex_Cont</f>
        <v>-157.359033034643</v>
      </c>
      <c r="AB485" s="8" t="n">
        <f aca="false">SUM(AB481:AB484)*Opex_Cont</f>
        <v>-161.13168592934</v>
      </c>
      <c r="AC485" s="8" t="n">
        <f aca="false">SUM(AC481:AC484)*Opex_Cont</f>
        <v>-164.995314150021</v>
      </c>
      <c r="AD485" s="8" t="n">
        <f aca="false">SUM(AD481:AD484)*Opex_Cont</f>
        <v>-168.952120194672</v>
      </c>
      <c r="AE485" s="8" t="n">
        <f aca="false">SUM(AE481:AE484)*Opex_Cont</f>
        <v>-173.004360057167</v>
      </c>
      <c r="AF485" s="8" t="n">
        <f aca="false">SUM(AF481:AF484)*Opex_Cont</f>
        <v>-177.154344530389</v>
      </c>
      <c r="AG485" s="8" t="n">
        <f aca="false">SUM(AG481:AG484)*Opex_Cont</f>
        <v>-181.40444054117</v>
      </c>
      <c r="AH485" s="8" t="n">
        <f aca="false">SUM(AH481:AH484)*Opex_Cont</f>
        <v>-185.757072517842</v>
      </c>
      <c r="AI485" s="8" t="n">
        <f aca="false">SUM(AI481:AI484)*Opex_Cont</f>
        <v>-190.214723791189</v>
      </c>
      <c r="AJ485" s="8" t="n">
        <f aca="false">SUM(AJ481:AJ484)*Opex_Cont</f>
        <v>-194.779938029627</v>
      </c>
      <c r="AK485" s="8" t="n">
        <f aca="false">SUM(AK481:AK484)*Opex_Cont</f>
        <v>-199.455320709436</v>
      </c>
      <c r="AL485" s="8" t="n">
        <f aca="false">SUM(AL481:AL484)*Opex_Cont</f>
        <v>-204.243540620918</v>
      </c>
      <c r="AM485" s="8" t="n">
        <f aca="false">SUM(AM481:AM484)*Opex_Cont</f>
        <v>-209.147331411349</v>
      </c>
      <c r="AN485" s="8" t="n">
        <f aca="false">SUM(AN481:AN484)*Opex_Cont</f>
        <v>-214.169493165633</v>
      </c>
      <c r="AO485" s="8" t="n">
        <f aca="false">SUM(AO481:AO484)*Opex_Cont</f>
        <v>-219.312894025575</v>
      </c>
      <c r="AP485" s="8" t="n">
        <f aca="false">SUM(AP481:AP484)*Opex_Cont</f>
        <v>-224.58047184873</v>
      </c>
      <c r="AQ485" s="8" t="n">
        <f aca="false">SUM(AQ481:AQ484)*Opex_Cont</f>
        <v>-229.975235907785</v>
      </c>
      <c r="AR485" s="8" t="n">
        <f aca="false">SUM(AR481:AR484)*Opex_Cont</f>
        <v>-235.500268631469</v>
      </c>
      <c r="AS485" s="8" t="n">
        <f aca="false">SUM(AS481:AS484)*Opex_Cont</f>
        <v>-120.579363694011</v>
      </c>
    </row>
    <row r="486" customFormat="false" ht="14.25" hidden="false" customHeight="false" outlineLevel="0" collapsed="false">
      <c r="C486" s="6" t="s">
        <v>312</v>
      </c>
      <c r="D486" s="2" t="s">
        <v>85</v>
      </c>
      <c r="H486" s="8" t="n">
        <f aca="false">SUM(J486:AS486)</f>
        <v>-12790.1964811942</v>
      </c>
      <c r="J486" s="8" t="n">
        <f aca="false">-J477*$G$12</f>
        <v>-0</v>
      </c>
      <c r="K486" s="8" t="n">
        <f aca="false">-K477*$G$12</f>
        <v>-0</v>
      </c>
      <c r="L486" s="8" t="n">
        <f aca="false">-L477*$G$12</f>
        <v>-0</v>
      </c>
      <c r="M486" s="8" t="n">
        <f aca="false">-M477*$G$12</f>
        <v>-0</v>
      </c>
      <c r="N486" s="8" t="n">
        <f aca="false">-N477*$G$12</f>
        <v>-0</v>
      </c>
      <c r="O486" s="8" t="n">
        <f aca="false">-O477*$G$12</f>
        <v>-222.264</v>
      </c>
      <c r="P486" s="8" t="n">
        <f aca="false">-P477*$G$12</f>
        <v>-444.528</v>
      </c>
      <c r="Q486" s="8" t="n">
        <f aca="false">-Q477*$G$12</f>
        <v>-443.194416</v>
      </c>
      <c r="R486" s="8" t="n">
        <f aca="false">-R477*$G$12</f>
        <v>-441.864832752</v>
      </c>
      <c r="S486" s="8" t="n">
        <f aca="false">-S477*$G$12</f>
        <v>-440.539238253744</v>
      </c>
      <c r="T486" s="8" t="n">
        <f aca="false">-T477*$G$12</f>
        <v>-439.217620538983</v>
      </c>
      <c r="U486" s="8" t="n">
        <f aca="false">-U477*$G$12</f>
        <v>-437.899967677366</v>
      </c>
      <c r="V486" s="8" t="n">
        <f aca="false">-V477*$G$12</f>
        <v>-436.586267774334</v>
      </c>
      <c r="W486" s="8" t="n">
        <f aca="false">-W477*$G$12</f>
        <v>-435.276508971011</v>
      </c>
      <c r="X486" s="8" t="n">
        <f aca="false">-X477*$G$12</f>
        <v>-433.970679444098</v>
      </c>
      <c r="Y486" s="8" t="n">
        <f aca="false">-Y477*$G$12</f>
        <v>-432.668767405765</v>
      </c>
      <c r="Z486" s="8" t="n">
        <f aca="false">-Z477*$G$12</f>
        <v>-431.370761103548</v>
      </c>
      <c r="AA486" s="8" t="n">
        <f aca="false">-AA477*$G$12</f>
        <v>-430.076648820237</v>
      </c>
      <c r="AB486" s="8" t="n">
        <f aca="false">-AB477*$G$12</f>
        <v>-428.786418873777</v>
      </c>
      <c r="AC486" s="8" t="n">
        <f aca="false">-AC477*$G$12</f>
        <v>-427.500059617155</v>
      </c>
      <c r="AD486" s="8" t="n">
        <f aca="false">-AD477*$G$12</f>
        <v>-426.217559438304</v>
      </c>
      <c r="AE486" s="8" t="n">
        <f aca="false">-AE477*$G$12</f>
        <v>-424.938906759989</v>
      </c>
      <c r="AF486" s="8" t="n">
        <f aca="false">-AF477*$G$12</f>
        <v>-423.664090039709</v>
      </c>
      <c r="AG486" s="8" t="n">
        <f aca="false">-AG477*$G$12</f>
        <v>-422.39309776959</v>
      </c>
      <c r="AH486" s="8" t="n">
        <f aca="false">-AH477*$G$12</f>
        <v>-421.125918476281</v>
      </c>
      <c r="AI486" s="8" t="n">
        <f aca="false">-AI477*$G$12</f>
        <v>-419.862540720852</v>
      </c>
      <c r="AJ486" s="8" t="n">
        <f aca="false">-AJ477*$G$12</f>
        <v>-418.60295309869</v>
      </c>
      <c r="AK486" s="8" t="n">
        <f aca="false">-AK477*$G$12</f>
        <v>-417.347144239394</v>
      </c>
      <c r="AL486" s="8" t="n">
        <f aca="false">-AL477*$G$12</f>
        <v>-416.095102806675</v>
      </c>
      <c r="AM486" s="8" t="n">
        <f aca="false">-AM477*$G$12</f>
        <v>-414.846817498256</v>
      </c>
      <c r="AN486" s="8" t="n">
        <f aca="false">-AN477*$G$12</f>
        <v>-413.602277045761</v>
      </c>
      <c r="AO486" s="8" t="n">
        <f aca="false">-AO477*$G$12</f>
        <v>-412.361470214623</v>
      </c>
      <c r="AP486" s="8" t="n">
        <f aca="false">-AP477*$G$12</f>
        <v>-411.12438580398</v>
      </c>
      <c r="AQ486" s="8" t="n">
        <f aca="false">-AQ477*$G$12</f>
        <v>-409.891012646568</v>
      </c>
      <c r="AR486" s="8" t="n">
        <f aca="false">-AR477*$G$12</f>
        <v>-408.661339608628</v>
      </c>
      <c r="AS486" s="8" t="n">
        <f aca="false">-AS477*$G$12</f>
        <v>-203.717677794901</v>
      </c>
    </row>
    <row r="487" customFormat="false" ht="14.25" hidden="false" customHeight="false" outlineLevel="0" collapsed="false">
      <c r="C487" s="6" t="s">
        <v>313</v>
      </c>
      <c r="D487" s="2" t="s">
        <v>85</v>
      </c>
      <c r="H487" s="8" t="n">
        <f aca="false">SUM(J487:AS487)</f>
        <v>-8922.61371458909</v>
      </c>
      <c r="J487" s="8" t="n">
        <f aca="false">-J479*HIPA_Rate</f>
        <v>-0</v>
      </c>
      <c r="K487" s="8" t="n">
        <f aca="false">-K479*HIPA_Rate</f>
        <v>-0</v>
      </c>
      <c r="L487" s="8" t="n">
        <f aca="false">-L479*HIPA_Rate</f>
        <v>-0</v>
      </c>
      <c r="M487" s="8" t="n">
        <f aca="false">-M479*HIPA_Rate</f>
        <v>-0</v>
      </c>
      <c r="N487" s="8" t="n">
        <f aca="false">-N479*HIPA_Rate</f>
        <v>-0</v>
      </c>
      <c r="O487" s="8" t="n">
        <f aca="false">-O479*HIPA_Rate</f>
        <v>-133.3584</v>
      </c>
      <c r="P487" s="8" t="n">
        <f aca="false">-P479*HIPA_Rate</f>
        <v>-269.383968</v>
      </c>
      <c r="Q487" s="8" t="n">
        <f aca="false">-Q479*HIPA_Rate</f>
        <v>-271.26157425696</v>
      </c>
      <c r="R487" s="8" t="n">
        <f aca="false">-R479*HIPA_Rate</f>
        <v>-273.152267429531</v>
      </c>
      <c r="S487" s="8" t="n">
        <f aca="false">-S479*HIPA_Rate</f>
        <v>-275.056138733515</v>
      </c>
      <c r="T487" s="8" t="n">
        <f aca="false">-T479*HIPA_Rate</f>
        <v>-276.973280020488</v>
      </c>
      <c r="U487" s="8" t="n">
        <f aca="false">-U479*HIPA_Rate</f>
        <v>-278.90378378223</v>
      </c>
      <c r="V487" s="8" t="n">
        <f aca="false">-V479*HIPA_Rate</f>
        <v>-280.847743155192</v>
      </c>
      <c r="W487" s="8" t="n">
        <f aca="false">-W479*HIPA_Rate</f>
        <v>-282.805251924984</v>
      </c>
      <c r="X487" s="8" t="n">
        <f aca="false">-X479*HIPA_Rate</f>
        <v>-284.776404530901</v>
      </c>
      <c r="Y487" s="8" t="n">
        <f aca="false">-Y479*HIPA_Rate</f>
        <v>-286.761296070482</v>
      </c>
      <c r="Z487" s="8" t="n">
        <f aca="false">-Z479*HIPA_Rate</f>
        <v>-288.760022304093</v>
      </c>
      <c r="AA487" s="8" t="n">
        <f aca="false">-AA479*HIPA_Rate</f>
        <v>-290.772679659552</v>
      </c>
      <c r="AB487" s="8" t="n">
        <f aca="false">-AB479*HIPA_Rate</f>
        <v>-292.799365236779</v>
      </c>
      <c r="AC487" s="8" t="n">
        <f aca="false">-AC479*HIPA_Rate</f>
        <v>-294.84017681248</v>
      </c>
      <c r="AD487" s="8" t="n">
        <f aca="false">-AD479*HIPA_Rate</f>
        <v>-296.895212844863</v>
      </c>
      <c r="AE487" s="8" t="n">
        <f aca="false">-AE479*HIPA_Rate</f>
        <v>-298.964572478392</v>
      </c>
      <c r="AF487" s="8" t="n">
        <f aca="false">-AF479*HIPA_Rate</f>
        <v>-301.048355548566</v>
      </c>
      <c r="AG487" s="8" t="n">
        <f aca="false">-AG479*HIPA_Rate</f>
        <v>-303.146662586739</v>
      </c>
      <c r="AH487" s="8" t="n">
        <f aca="false">-AH479*HIPA_Rate</f>
        <v>-305.259594824969</v>
      </c>
      <c r="AI487" s="8" t="n">
        <f aca="false">-AI479*HIPA_Rate</f>
        <v>-307.387254200899</v>
      </c>
      <c r="AJ487" s="8" t="n">
        <f aca="false">-AJ479*HIPA_Rate</f>
        <v>-309.529743362679</v>
      </c>
      <c r="AK487" s="8" t="n">
        <f aca="false">-AK479*HIPA_Rate</f>
        <v>-311.687165673917</v>
      </c>
      <c r="AL487" s="8" t="n">
        <f aca="false">-AL479*HIPA_Rate</f>
        <v>-313.859625218664</v>
      </c>
      <c r="AM487" s="8" t="n">
        <f aca="false">-AM479*HIPA_Rate</f>
        <v>-316.047226806439</v>
      </c>
      <c r="AN487" s="8" t="n">
        <f aca="false">-AN479*HIPA_Rate</f>
        <v>-318.250075977279</v>
      </c>
      <c r="AO487" s="8" t="n">
        <f aca="false">-AO479*HIPA_Rate</f>
        <v>-320.468279006841</v>
      </c>
      <c r="AP487" s="8" t="n">
        <f aca="false">-AP479*HIPA_Rate</f>
        <v>-322.701942911519</v>
      </c>
      <c r="AQ487" s="8" t="n">
        <f aca="false">-AQ479*HIPA_Rate</f>
        <v>-324.951175453612</v>
      </c>
      <c r="AR487" s="8" t="n">
        <f aca="false">-AR479*HIPA_Rate</f>
        <v>-327.216085146524</v>
      </c>
      <c r="AS487" s="8" t="n">
        <f aca="false">-AS479*HIPA_Rate</f>
        <v>-164.748390629997</v>
      </c>
    </row>
    <row r="488" customFormat="false" ht="14.25" hidden="false" customHeight="false" outlineLevel="0" collapsed="false">
      <c r="C488" s="1" t="s">
        <v>314</v>
      </c>
      <c r="D488" s="2" t="s">
        <v>85</v>
      </c>
      <c r="H488" s="32" t="n">
        <f aca="false">SUM(J488:AS488)</f>
        <v>-130425.697623429</v>
      </c>
      <c r="J488" s="32" t="n">
        <f aca="false">SUM(J481:J487)</f>
        <v>0</v>
      </c>
      <c r="K488" s="32" t="n">
        <f aca="false">SUM(K481:K487)</f>
        <v>0</v>
      </c>
      <c r="L488" s="32" t="n">
        <f aca="false">SUM(L481:L487)</f>
        <v>0</v>
      </c>
      <c r="M488" s="32" t="n">
        <f aca="false">SUM(M481:M487)</f>
        <v>0</v>
      </c>
      <c r="N488" s="32" t="n">
        <f aca="false">SUM(N481:N487)</f>
        <v>0</v>
      </c>
      <c r="O488" s="32" t="n">
        <f aca="false">SUM(O481:O487)</f>
        <v>-1598.148216</v>
      </c>
      <c r="P488" s="32" t="n">
        <f aca="false">SUM(P481:P487)</f>
        <v>-3260.87985132</v>
      </c>
      <c r="Q488" s="32" t="n">
        <f aca="false">SUM(Q481:Q487)</f>
        <v>-3322.39115932295</v>
      </c>
      <c r="R488" s="32" t="n">
        <f aca="false">SUM(R481:R487)</f>
        <v>-3385.38820151339</v>
      </c>
      <c r="S488" s="32" t="n">
        <f aca="false">SUM(S481:S487)</f>
        <v>-3449.90658222877</v>
      </c>
      <c r="T488" s="32" t="n">
        <f aca="false">SUM(T481:T487)</f>
        <v>-3515.98276867813</v>
      </c>
      <c r="U488" s="32" t="n">
        <f aca="false">SUM(U481:U487)</f>
        <v>-3583.65411193425</v>
      </c>
      <c r="V488" s="32" t="n">
        <f aca="false">SUM(V481:V487)</f>
        <v>-3652.95886843809</v>
      </c>
      <c r="W488" s="32" t="n">
        <f aca="false">SUM(W481:W487)</f>
        <v>-3723.93622202803</v>
      </c>
      <c r="X488" s="32" t="n">
        <f aca="false">SUM(X481:X487)</f>
        <v>-3796.62630650685</v>
      </c>
      <c r="Y488" s="32" t="n">
        <f aca="false">SUM(Y481:Y487)</f>
        <v>-3871.07022875947</v>
      </c>
      <c r="Z488" s="32" t="n">
        <f aca="false">SUM(Z481:Z487)</f>
        <v>-3947.31009243507</v>
      </c>
      <c r="AA488" s="32" t="n">
        <f aca="false">SUM(AA481:AA487)</f>
        <v>-4025.38902220729</v>
      </c>
      <c r="AB488" s="32" t="n">
        <f aca="false">SUM(AB481:AB487)</f>
        <v>-4105.3511886267</v>
      </c>
      <c r="AC488" s="32" t="n">
        <f aca="false">SUM(AC481:AC487)</f>
        <v>-4187.24183358009</v>
      </c>
      <c r="AD488" s="32" t="n">
        <f aca="false">SUM(AD481:AD487)</f>
        <v>-4271.10729637127</v>
      </c>
      <c r="AE488" s="32" t="n">
        <f aca="false">SUM(AE481:AE487)</f>
        <v>-4356.99504043889</v>
      </c>
      <c r="AF488" s="32" t="n">
        <f aca="false">SUM(AF481:AF487)</f>
        <v>-4444.95368072645</v>
      </c>
      <c r="AG488" s="32" t="n">
        <f aca="false">SUM(AG481:AG487)</f>
        <v>-4535.0330117209</v>
      </c>
      <c r="AH488" s="32" t="n">
        <f aca="false">SUM(AH481:AH487)</f>
        <v>-4627.28403617592</v>
      </c>
      <c r="AI488" s="32" t="n">
        <f aca="false">SUM(AI481:AI487)</f>
        <v>-4721.75899453672</v>
      </c>
      <c r="AJ488" s="32" t="n">
        <f aca="false">SUM(AJ481:AJ487)</f>
        <v>-4818.51139508354</v>
      </c>
      <c r="AK488" s="32" t="n">
        <f aca="false">SUM(AK481:AK487)</f>
        <v>-4917.59604481147</v>
      </c>
      <c r="AL488" s="32" t="n">
        <f aca="false">SUM(AL481:AL487)</f>
        <v>-5019.06908106463</v>
      </c>
      <c r="AM488" s="32" t="n">
        <f aca="false">SUM(AM481:AM487)</f>
        <v>-5122.98800394303</v>
      </c>
      <c r="AN488" s="32" t="n">
        <f aca="false">SUM(AN481:AN487)</f>
        <v>-5229.41170950133</v>
      </c>
      <c r="AO488" s="32" t="n">
        <f aca="false">SUM(AO481:AO487)</f>
        <v>-5338.40052375853</v>
      </c>
      <c r="AP488" s="32" t="n">
        <f aca="false">SUM(AP481:AP487)</f>
        <v>-5450.01623753884</v>
      </c>
      <c r="AQ488" s="32" t="n">
        <f aca="false">SUM(AQ481:AQ487)</f>
        <v>-5564.32214216366</v>
      </c>
      <c r="AR488" s="32" t="n">
        <f aca="false">SUM(AR481:AR487)</f>
        <v>-5681.38306601601</v>
      </c>
      <c r="AS488" s="32" t="n">
        <f aca="false">SUM(AS481:AS487)</f>
        <v>-2900.63270599912</v>
      </c>
    </row>
    <row r="489" customFormat="false" ht="14.25" hidden="false" customHeight="false" outlineLevel="0" collapsed="false">
      <c r="C489" s="1" t="s">
        <v>160</v>
      </c>
      <c r="D489" s="2" t="s">
        <v>85</v>
      </c>
      <c r="H489" s="15" t="n">
        <f aca="false">SUM(J489:AS489)</f>
        <v>315704.988106025</v>
      </c>
      <c r="J489" s="15" t="n">
        <f aca="false">J479+J488</f>
        <v>0</v>
      </c>
      <c r="K489" s="15" t="n">
        <f aca="false">K479+K488</f>
        <v>0</v>
      </c>
      <c r="L489" s="15" t="n">
        <f aca="false">L479+L488</f>
        <v>0</v>
      </c>
      <c r="M489" s="15" t="n">
        <f aca="false">M479+M488</f>
        <v>0</v>
      </c>
      <c r="N489" s="15" t="n">
        <f aca="false">N479+N488</f>
        <v>0</v>
      </c>
      <c r="O489" s="15" t="n">
        <f aca="false">O479+O488</f>
        <v>5069.771784</v>
      </c>
      <c r="P489" s="15" t="n">
        <f aca="false">P479+P488</f>
        <v>10208.31854868</v>
      </c>
      <c r="Q489" s="15" t="n">
        <f aca="false">Q479+Q488</f>
        <v>10240.6875535251</v>
      </c>
      <c r="R489" s="15" t="n">
        <f aca="false">R479+R488</f>
        <v>10272.2251699632</v>
      </c>
      <c r="S489" s="15" t="n">
        <f aca="false">S479+S488</f>
        <v>10302.900354447</v>
      </c>
      <c r="T489" s="15" t="n">
        <f aca="false">T479+T488</f>
        <v>10332.6812323462</v>
      </c>
      <c r="U489" s="15" t="n">
        <f aca="false">U479+U488</f>
        <v>10361.5350771773</v>
      </c>
      <c r="V489" s="15" t="n">
        <f aca="false">V479+V488</f>
        <v>10389.4282893215</v>
      </c>
      <c r="W489" s="15" t="n">
        <f aca="false">W479+W488</f>
        <v>10416.3263742212</v>
      </c>
      <c r="X489" s="15" t="n">
        <f aca="false">X479+X488</f>
        <v>10442.1939200382</v>
      </c>
      <c r="Y489" s="15" t="n">
        <f aca="false">Y479+Y488</f>
        <v>10466.9945747646</v>
      </c>
      <c r="Z489" s="15" t="n">
        <f aca="false">Z479+Z488</f>
        <v>10490.6910227696</v>
      </c>
      <c r="AA489" s="15" t="n">
        <f aca="false">AA479+AA488</f>
        <v>10513.2449607703</v>
      </c>
      <c r="AB489" s="15" t="n">
        <f aca="false">AB479+AB488</f>
        <v>10534.6170732123</v>
      </c>
      <c r="AC489" s="15" t="n">
        <f aca="false">AC479+AC488</f>
        <v>10554.7670070439</v>
      </c>
      <c r="AD489" s="15" t="n">
        <f aca="false">AD479+AD488</f>
        <v>10573.6533458719</v>
      </c>
      <c r="AE489" s="15" t="n">
        <f aca="false">AE479+AE488</f>
        <v>10591.2335834807</v>
      </c>
      <c r="AF489" s="15" t="n">
        <f aca="false">AF479+AF488</f>
        <v>10607.4640967019</v>
      </c>
      <c r="AG489" s="15" t="n">
        <f aca="false">AG479+AG488</f>
        <v>10622.3001176161</v>
      </c>
      <c r="AH489" s="15" t="n">
        <f aca="false">AH479+AH488</f>
        <v>10635.6957050725</v>
      </c>
      <c r="AI489" s="15" t="n">
        <f aca="false">AI479+AI488</f>
        <v>10647.6037155082</v>
      </c>
      <c r="AJ489" s="15" t="n">
        <f aca="false">AJ479+AJ488</f>
        <v>10657.9757730504</v>
      </c>
      <c r="AK489" s="15" t="n">
        <f aca="false">AK479+AK488</f>
        <v>10666.7622388844</v>
      </c>
      <c r="AL489" s="15" t="n">
        <f aca="false">AL479+AL488</f>
        <v>10673.9121798686</v>
      </c>
      <c r="AM489" s="15" t="n">
        <f aca="false">AM479+AM488</f>
        <v>10679.3733363789</v>
      </c>
      <c r="AN489" s="15" t="n">
        <f aca="false">AN479+AN488</f>
        <v>10683.0920893626</v>
      </c>
      <c r="AO489" s="15" t="n">
        <f aca="false">AO479+AO488</f>
        <v>10685.0134265835</v>
      </c>
      <c r="AP489" s="15" t="n">
        <f aca="false">AP479+AP488</f>
        <v>10685.0809080371</v>
      </c>
      <c r="AQ489" s="15" t="n">
        <f aca="false">AQ479+AQ488</f>
        <v>10683.2366305169</v>
      </c>
      <c r="AR489" s="15" t="n">
        <f aca="false">AR479+AR488</f>
        <v>10679.4211913102</v>
      </c>
      <c r="AS489" s="15" t="n">
        <f aca="false">AS479+AS488</f>
        <v>5336.78682550075</v>
      </c>
    </row>
    <row r="490" customFormat="false" ht="14.25" hidden="false" customHeight="false" outlineLevel="0" collapsed="false">
      <c r="C490" s="1" t="s">
        <v>315</v>
      </c>
      <c r="D490" s="2" t="s">
        <v>85</v>
      </c>
      <c r="H490" s="32" t="n">
        <f aca="false">SUM(J490:AS490)</f>
        <v>238904.92885945</v>
      </c>
      <c r="J490" s="32" t="n">
        <f aca="false">J475+J489</f>
        <v>0</v>
      </c>
      <c r="K490" s="32" t="n">
        <f aca="false">K475+K489</f>
        <v>0</v>
      </c>
      <c r="L490" s="32" t="n">
        <f aca="false">L475+L489</f>
        <v>0</v>
      </c>
      <c r="M490" s="32" t="n">
        <f aca="false">M475+M489</f>
        <v>-29757.5797945206</v>
      </c>
      <c r="N490" s="32" t="n">
        <f aca="false">N475+N489</f>
        <v>-31358</v>
      </c>
      <c r="O490" s="32" t="n">
        <f aca="false">O475+O489</f>
        <v>-13109.228216</v>
      </c>
      <c r="P490" s="32" t="n">
        <f aca="false">P475+P489</f>
        <v>10208.31854868</v>
      </c>
      <c r="Q490" s="32" t="n">
        <f aca="false">Q475+Q489</f>
        <v>12735.2081014703</v>
      </c>
      <c r="R490" s="32" t="n">
        <f aca="false">R475+R489</f>
        <v>10272.2251699632</v>
      </c>
      <c r="S490" s="32" t="n">
        <f aca="false">S475+S489</f>
        <v>10302.900354447</v>
      </c>
      <c r="T490" s="32" t="n">
        <f aca="false">T475+T489</f>
        <v>10332.6812323462</v>
      </c>
      <c r="U490" s="32" t="n">
        <f aca="false">U475+U489</f>
        <v>10361.5350771773</v>
      </c>
      <c r="V490" s="32" t="n">
        <f aca="false">V475+V489</f>
        <v>10389.4282893215</v>
      </c>
      <c r="W490" s="32" t="n">
        <f aca="false">W475+W489</f>
        <v>10416.3263742212</v>
      </c>
      <c r="X490" s="32" t="n">
        <f aca="false">X475+X489</f>
        <v>10442.1939200382</v>
      </c>
      <c r="Y490" s="32" t="n">
        <f aca="false">Y475+Y489</f>
        <v>10466.9945747646</v>
      </c>
      <c r="Z490" s="32" t="n">
        <f aca="false">Z475+Z489</f>
        <v>10490.6910227696</v>
      </c>
      <c r="AA490" s="32" t="n">
        <f aca="false">AA475+AA489</f>
        <v>10513.2449607703</v>
      </c>
      <c r="AB490" s="32" t="n">
        <f aca="false">AB475+AB489</f>
        <v>10534.6170732123</v>
      </c>
      <c r="AC490" s="32" t="n">
        <f aca="false">AC475+AC489</f>
        <v>10554.7670070439</v>
      </c>
      <c r="AD490" s="32" t="n">
        <f aca="false">AD475+AD489</f>
        <v>10573.6533458719</v>
      </c>
      <c r="AE490" s="32" t="n">
        <f aca="false">AE475+AE489</f>
        <v>10591.2335834807</v>
      </c>
      <c r="AF490" s="32" t="n">
        <f aca="false">AF475+AF489</f>
        <v>10607.4640967019</v>
      </c>
      <c r="AG490" s="32" t="n">
        <f aca="false">AG475+AG489</f>
        <v>10622.3001176161</v>
      </c>
      <c r="AH490" s="32" t="n">
        <f aca="false">AH475+AH489</f>
        <v>10635.6957050725</v>
      </c>
      <c r="AI490" s="32" t="n">
        <f aca="false">AI475+AI489</f>
        <v>10647.6037155082</v>
      </c>
      <c r="AJ490" s="32" t="n">
        <f aca="false">AJ475+AJ489</f>
        <v>10657.9757730504</v>
      </c>
      <c r="AK490" s="32" t="n">
        <f aca="false">AK475+AK489</f>
        <v>10666.7622388844</v>
      </c>
      <c r="AL490" s="32" t="n">
        <f aca="false">AL475+AL489</f>
        <v>10673.9121798686</v>
      </c>
      <c r="AM490" s="32" t="n">
        <f aca="false">AM475+AM489</f>
        <v>10679.3733363789</v>
      </c>
      <c r="AN490" s="32" t="n">
        <f aca="false">AN475+AN489</f>
        <v>10683.0920893626</v>
      </c>
      <c r="AO490" s="32" t="n">
        <f aca="false">AO475+AO489</f>
        <v>10685.0134265835</v>
      </c>
      <c r="AP490" s="32" t="n">
        <f aca="false">AP475+AP489</f>
        <v>10685.0809080371</v>
      </c>
      <c r="AQ490" s="32" t="n">
        <f aca="false">AQ475+AQ489</f>
        <v>10683.2366305169</v>
      </c>
      <c r="AR490" s="32" t="n">
        <f aca="false">AR475+AR489</f>
        <v>10679.4211913102</v>
      </c>
      <c r="AS490" s="32" t="n">
        <f aca="false">AS475+AS489</f>
        <v>5336.78682550075</v>
      </c>
    </row>
    <row r="491" customFormat="false" ht="14.25" hidden="false" customHeight="false" outlineLevel="0" collapsed="false">
      <c r="C491" s="6" t="s">
        <v>316</v>
      </c>
      <c r="D491" s="2" t="s">
        <v>85</v>
      </c>
      <c r="H491" s="8" t="n">
        <f aca="false">SUM(J491:AS491)</f>
        <v>-76800.0592465753</v>
      </c>
      <c r="J491" s="8" t="n">
        <f aca="false">-$G$99/Tax_Dep_Life*(J465&gt;=0)*(J465&lt;Tax_Dep_Life)</f>
        <v>-0</v>
      </c>
      <c r="K491" s="8" t="n">
        <f aca="false">-$G$99/Tax_Dep_Life*(K465&gt;=0)*(K465&lt;Tax_Dep_Life)</f>
        <v>-0</v>
      </c>
      <c r="L491" s="8" t="n">
        <f aca="false">-$G$99/Tax_Dep_Life*(L465&gt;=0)*(L465&lt;Tax_Dep_Life)</f>
        <v>-0</v>
      </c>
      <c r="M491" s="8" t="n">
        <f aca="false">-$G$99/Tax_Dep_Life*(M465&gt;=0)*(M465&lt;Tax_Dep_Life)</f>
        <v>-0</v>
      </c>
      <c r="N491" s="8" t="n">
        <f aca="false">-$G$99/Tax_Dep_Life*(N465&gt;=0)*(N465&lt;Tax_Dep_Life)</f>
        <v>-0</v>
      </c>
      <c r="O491" s="8" t="n">
        <f aca="false">-$G$99/Tax_Dep_Life*(O465&gt;=0)*(O465&lt;Tax_Dep_Life)</f>
        <v>-3840.00296232877</v>
      </c>
      <c r="P491" s="8" t="n">
        <f aca="false">-$G$99/Tax_Dep_Life*(P465&gt;=0)*(P465&lt;Tax_Dep_Life)</f>
        <v>-3840.00296232877</v>
      </c>
      <c r="Q491" s="8" t="n">
        <f aca="false">-$G$99/Tax_Dep_Life*(Q465&gt;=0)*(Q465&lt;Tax_Dep_Life)</f>
        <v>-3840.00296232877</v>
      </c>
      <c r="R491" s="8" t="n">
        <f aca="false">-$G$99/Tax_Dep_Life*(R465&gt;=0)*(R465&lt;Tax_Dep_Life)</f>
        <v>-3840.00296232877</v>
      </c>
      <c r="S491" s="8" t="n">
        <f aca="false">-$G$99/Tax_Dep_Life*(S465&gt;=0)*(S465&lt;Tax_Dep_Life)</f>
        <v>-3840.00296232877</v>
      </c>
      <c r="T491" s="8" t="n">
        <f aca="false">-$G$99/Tax_Dep_Life*(T465&gt;=0)*(T465&lt;Tax_Dep_Life)</f>
        <v>-3840.00296232877</v>
      </c>
      <c r="U491" s="8" t="n">
        <f aca="false">-$G$99/Tax_Dep_Life*(U465&gt;=0)*(U465&lt;Tax_Dep_Life)</f>
        <v>-3840.00296232877</v>
      </c>
      <c r="V491" s="8" t="n">
        <f aca="false">-$G$99/Tax_Dep_Life*(V465&gt;=0)*(V465&lt;Tax_Dep_Life)</f>
        <v>-3840.00296232877</v>
      </c>
      <c r="W491" s="8" t="n">
        <f aca="false">-$G$99/Tax_Dep_Life*(W465&gt;=0)*(W465&lt;Tax_Dep_Life)</f>
        <v>-3840.00296232877</v>
      </c>
      <c r="X491" s="8" t="n">
        <f aca="false">-$G$99/Tax_Dep_Life*(X465&gt;=0)*(X465&lt;Tax_Dep_Life)</f>
        <v>-3840.00296232877</v>
      </c>
      <c r="Y491" s="8" t="n">
        <f aca="false">-$G$99/Tax_Dep_Life*(Y465&gt;=0)*(Y465&lt;Tax_Dep_Life)</f>
        <v>-3840.00296232877</v>
      </c>
      <c r="Z491" s="8" t="n">
        <f aca="false">-$G$99/Tax_Dep_Life*(Z465&gt;=0)*(Z465&lt;Tax_Dep_Life)</f>
        <v>-3840.00296232877</v>
      </c>
      <c r="AA491" s="8" t="n">
        <f aca="false">-$G$99/Tax_Dep_Life*(AA465&gt;=0)*(AA465&lt;Tax_Dep_Life)</f>
        <v>-3840.00296232877</v>
      </c>
      <c r="AB491" s="8" t="n">
        <f aca="false">-$G$99/Tax_Dep_Life*(AB465&gt;=0)*(AB465&lt;Tax_Dep_Life)</f>
        <v>-3840.00296232877</v>
      </c>
      <c r="AC491" s="8" t="n">
        <f aca="false">-$G$99/Tax_Dep_Life*(AC465&gt;=0)*(AC465&lt;Tax_Dep_Life)</f>
        <v>-3840.00296232877</v>
      </c>
      <c r="AD491" s="8" t="n">
        <f aca="false">-$G$99/Tax_Dep_Life*(AD465&gt;=0)*(AD465&lt;Tax_Dep_Life)</f>
        <v>-3840.00296232877</v>
      </c>
      <c r="AE491" s="8" t="n">
        <f aca="false">-$G$99/Tax_Dep_Life*(AE465&gt;=0)*(AE465&lt;Tax_Dep_Life)</f>
        <v>-3840.00296232877</v>
      </c>
      <c r="AF491" s="8" t="n">
        <f aca="false">-$G$99/Tax_Dep_Life*(AF465&gt;=0)*(AF465&lt;Tax_Dep_Life)</f>
        <v>-3840.00296232877</v>
      </c>
      <c r="AG491" s="8" t="n">
        <f aca="false">-$G$99/Tax_Dep_Life*(AG465&gt;=0)*(AG465&lt;Tax_Dep_Life)</f>
        <v>-3840.00296232877</v>
      </c>
      <c r="AH491" s="8" t="n">
        <f aca="false">-$G$99/Tax_Dep_Life*(AH465&gt;=0)*(AH465&lt;Tax_Dep_Life)</f>
        <v>-3840.00296232877</v>
      </c>
      <c r="AI491" s="8" t="n">
        <f aca="false">-$G$99/Tax_Dep_Life*(AI465&gt;=0)*(AI465&lt;Tax_Dep_Life)</f>
        <v>-0</v>
      </c>
      <c r="AJ491" s="8" t="n">
        <f aca="false">-$G$99/Tax_Dep_Life*(AJ465&gt;=0)*(AJ465&lt;Tax_Dep_Life)</f>
        <v>-0</v>
      </c>
      <c r="AK491" s="8" t="n">
        <f aca="false">-$G$99/Tax_Dep_Life*(AK465&gt;=0)*(AK465&lt;Tax_Dep_Life)</f>
        <v>-0</v>
      </c>
      <c r="AL491" s="8" t="n">
        <f aca="false">-$G$99/Tax_Dep_Life*(AL465&gt;=0)*(AL465&lt;Tax_Dep_Life)</f>
        <v>-0</v>
      </c>
      <c r="AM491" s="8" t="n">
        <f aca="false">-$G$99/Tax_Dep_Life*(AM465&gt;=0)*(AM465&lt;Tax_Dep_Life)</f>
        <v>-0</v>
      </c>
      <c r="AN491" s="8" t="n">
        <f aca="false">-$G$99/Tax_Dep_Life*(AN465&gt;=0)*(AN465&lt;Tax_Dep_Life)</f>
        <v>-0</v>
      </c>
      <c r="AO491" s="8" t="n">
        <f aca="false">-$G$99/Tax_Dep_Life*(AO465&gt;=0)*(AO465&lt;Tax_Dep_Life)</f>
        <v>-0</v>
      </c>
      <c r="AP491" s="8" t="n">
        <f aca="false">-$G$99/Tax_Dep_Life*(AP465&gt;=0)*(AP465&lt;Tax_Dep_Life)</f>
        <v>-0</v>
      </c>
      <c r="AQ491" s="8" t="n">
        <f aca="false">-$G$99/Tax_Dep_Life*(AQ465&gt;=0)*(AQ465&lt;Tax_Dep_Life)</f>
        <v>-0</v>
      </c>
      <c r="AR491" s="8" t="n">
        <f aca="false">-$G$99/Tax_Dep_Life*(AR465&gt;=0)*(AR465&lt;Tax_Dep_Life)</f>
        <v>-0</v>
      </c>
      <c r="AS491" s="8" t="n">
        <f aca="false">-$G$99/Tax_Dep_Life*(AS465&gt;=0)*(AS465&lt;Tax_Dep_Life)</f>
        <v>-0</v>
      </c>
    </row>
    <row r="492" customFormat="false" ht="14.25" hidden="false" customHeight="false" outlineLevel="0" collapsed="false">
      <c r="C492" s="6" t="s">
        <v>317</v>
      </c>
      <c r="D492" s="2" t="s">
        <v>85</v>
      </c>
      <c r="H492" s="8" t="n">
        <f aca="false">SUM(J492:AS492)</f>
        <v>-35835.7393289174</v>
      </c>
      <c r="J492" s="8" t="n">
        <f aca="false">-MAX(0,J489+J491)*CIT_Rate*(J469&gt;0)</f>
        <v>-0</v>
      </c>
      <c r="K492" s="8" t="n">
        <f aca="false">-MAX(0,K489+K491)*CIT_Rate*(K469&gt;0)</f>
        <v>-0</v>
      </c>
      <c r="L492" s="8" t="n">
        <f aca="false">-MAX(0,L489+L491)*CIT_Rate*(L469&gt;0)</f>
        <v>-0</v>
      </c>
      <c r="M492" s="8" t="n">
        <f aca="false">-MAX(0,M489+M491)*CIT_Rate*(M469&gt;0)</f>
        <v>-0</v>
      </c>
      <c r="N492" s="8" t="n">
        <f aca="false">-MAX(0,N489+N491)*CIT_Rate*(N469&gt;0)</f>
        <v>-0</v>
      </c>
      <c r="O492" s="8" t="n">
        <f aca="false">-MAX(0,O489+O491)*CIT_Rate*(O469&gt;0)</f>
        <v>-184.465323250685</v>
      </c>
      <c r="P492" s="8" t="n">
        <f aca="false">-MAX(0,P489+P491)*CIT_Rate*(P469&gt;0)</f>
        <v>-955.247337952685</v>
      </c>
      <c r="Q492" s="8" t="n">
        <f aca="false">-MAX(0,Q489+Q491)*CIT_Rate*(Q469&gt;0)</f>
        <v>-960.102688679442</v>
      </c>
      <c r="R492" s="8" t="n">
        <f aca="false">-MAX(0,R489+R491)*CIT_Rate*(R469&gt;0)</f>
        <v>-964.833331145159</v>
      </c>
      <c r="S492" s="8" t="n">
        <f aca="false">-MAX(0,S489+S491)*CIT_Rate*(S469&gt;0)</f>
        <v>-969.434608817731</v>
      </c>
      <c r="T492" s="8" t="n">
        <f aca="false">-MAX(0,T489+T491)*CIT_Rate*(T469&gt;0)</f>
        <v>-973.901740502622</v>
      </c>
      <c r="U492" s="8" t="n">
        <f aca="false">-MAX(0,U489+U491)*CIT_Rate*(U469&gt;0)</f>
        <v>-978.229817227275</v>
      </c>
      <c r="V492" s="8" t="n">
        <f aca="false">-MAX(0,V489+V491)*CIT_Rate*(V469&gt;0)</f>
        <v>-982.413799048915</v>
      </c>
      <c r="W492" s="8" t="n">
        <f aca="false">-MAX(0,W489+W491)*CIT_Rate*(W469&gt;0)</f>
        <v>-986.448511783862</v>
      </c>
      <c r="X492" s="8" t="n">
        <f aca="false">-MAX(0,X489+X491)*CIT_Rate*(X469&gt;0)</f>
        <v>-990.328643656417</v>
      </c>
      <c r="Y492" s="8" t="n">
        <f aca="false">-MAX(0,Y489+Y491)*CIT_Rate*(Y469&gt;0)</f>
        <v>-994.048741865376</v>
      </c>
      <c r="Z492" s="8" t="n">
        <f aca="false">-MAX(0,Z489+Z491)*CIT_Rate*(Z469&gt;0)</f>
        <v>-997.60320906612</v>
      </c>
      <c r="AA492" s="8" t="n">
        <f aca="false">-MAX(0,AA489+AA491)*CIT_Rate*(AA469&gt;0)</f>
        <v>-1000.98629976623</v>
      </c>
      <c r="AB492" s="8" t="n">
        <f aca="false">-MAX(0,AB489+AB491)*CIT_Rate*(AB469&gt;0)</f>
        <v>-1004.19211663253</v>
      </c>
      <c r="AC492" s="8" t="n">
        <f aca="false">-MAX(0,AC489+AC491)*CIT_Rate*(AC469&gt;0)</f>
        <v>-1007.21460670727</v>
      </c>
      <c r="AD492" s="8" t="n">
        <f aca="false">-MAX(0,AD489+AD491)*CIT_Rate*(AD469&gt;0)</f>
        <v>-1010.04755753146</v>
      </c>
      <c r="AE492" s="8" t="n">
        <f aca="false">-MAX(0,AE489+AE491)*CIT_Rate*(AE469&gt;0)</f>
        <v>-1012.68459317279</v>
      </c>
      <c r="AF492" s="8" t="n">
        <f aca="false">-MAX(0,AF489+AF491)*CIT_Rate*(AF469&gt;0)</f>
        <v>-1015.11917015596</v>
      </c>
      <c r="AG492" s="8" t="n">
        <f aca="false">-MAX(0,AG489+AG491)*CIT_Rate*(AG469&gt;0)</f>
        <v>-1017.3445732931</v>
      </c>
      <c r="AH492" s="8" t="n">
        <f aca="false">-MAX(0,AH489+AH491)*CIT_Rate*(AH469&gt;0)</f>
        <v>-1019.35391141156</v>
      </c>
      <c r="AI492" s="8" t="n">
        <f aca="false">-MAX(0,AI489+AI491)*CIT_Rate*(AI469&gt;0)</f>
        <v>-1597.14055732624</v>
      </c>
      <c r="AJ492" s="8" t="n">
        <f aca="false">-MAX(0,AJ489+AJ491)*CIT_Rate*(AJ469&gt;0)</f>
        <v>-1598.69636595756</v>
      </c>
      <c r="AK492" s="8" t="n">
        <f aca="false">-MAX(0,AK489+AK491)*CIT_Rate*(AK469&gt;0)</f>
        <v>-1600.01433583266</v>
      </c>
      <c r="AL492" s="8" t="n">
        <f aca="false">-MAX(0,AL489+AL491)*CIT_Rate*(AL469&gt;0)</f>
        <v>-1601.08682698029</v>
      </c>
      <c r="AM492" s="8" t="n">
        <f aca="false">-MAX(0,AM489+AM491)*CIT_Rate*(AM469&gt;0)</f>
        <v>-1601.90600045683</v>
      </c>
      <c r="AN492" s="8" t="n">
        <f aca="false">-MAX(0,AN489+AN491)*CIT_Rate*(AN469&gt;0)</f>
        <v>-1602.4638134044</v>
      </c>
      <c r="AO492" s="8" t="n">
        <f aca="false">-MAX(0,AO489+AO491)*CIT_Rate*(AO469&gt;0)</f>
        <v>-1602.75201398753</v>
      </c>
      <c r="AP492" s="8" t="n">
        <f aca="false">-MAX(0,AP489+AP491)*CIT_Rate*(AP469&gt;0)</f>
        <v>-1602.76213620557</v>
      </c>
      <c r="AQ492" s="8" t="n">
        <f aca="false">-MAX(0,AQ489+AQ491)*CIT_Rate*(AQ469&gt;0)</f>
        <v>-1602.48549457754</v>
      </c>
      <c r="AR492" s="8" t="n">
        <f aca="false">-MAX(0,AR489+AR491)*CIT_Rate*(AR469&gt;0)</f>
        <v>-1601.91317869653</v>
      </c>
      <c r="AS492" s="8" t="n">
        <f aca="false">-MAX(0,AS489+AS491)*CIT_Rate*(AS469&gt;0)</f>
        <v>-800.518023825112</v>
      </c>
    </row>
    <row r="493" customFormat="false" ht="14.25" hidden="false" customHeight="false" outlineLevel="0" collapsed="false">
      <c r="C493" s="1" t="s">
        <v>318</v>
      </c>
      <c r="D493" s="2" t="s">
        <v>85</v>
      </c>
      <c r="H493" s="32" t="n">
        <f aca="false">SUM(J493:AS493)</f>
        <v>203069.189530532</v>
      </c>
      <c r="J493" s="32" t="n">
        <f aca="false">J490+J492</f>
        <v>0</v>
      </c>
      <c r="K493" s="32" t="n">
        <f aca="false">K490+K492</f>
        <v>0</v>
      </c>
      <c r="L493" s="32" t="n">
        <f aca="false">L490+L492</f>
        <v>0</v>
      </c>
      <c r="M493" s="32" t="n">
        <f aca="false">M490+M492</f>
        <v>-29757.5797945206</v>
      </c>
      <c r="N493" s="32" t="n">
        <f aca="false">N490+N492</f>
        <v>-31358</v>
      </c>
      <c r="O493" s="32" t="n">
        <f aca="false">O490+O492</f>
        <v>-13293.6935392507</v>
      </c>
      <c r="P493" s="32" t="n">
        <f aca="false">P490+P492</f>
        <v>9253.07121072731</v>
      </c>
      <c r="Q493" s="32" t="n">
        <f aca="false">Q490+Q492</f>
        <v>11775.1054127908</v>
      </c>
      <c r="R493" s="32" t="n">
        <f aca="false">R490+R492</f>
        <v>9307.391838818</v>
      </c>
      <c r="S493" s="32" t="n">
        <f aca="false">S490+S492</f>
        <v>9333.46574562924</v>
      </c>
      <c r="T493" s="32" t="n">
        <f aca="false">T490+T492</f>
        <v>9358.77949184362</v>
      </c>
      <c r="U493" s="32" t="n">
        <f aca="false">U490+U492</f>
        <v>9383.30525994999</v>
      </c>
      <c r="V493" s="32" t="n">
        <f aca="false">V490+V492</f>
        <v>9407.01449027262</v>
      </c>
      <c r="W493" s="32" t="n">
        <f aca="false">W490+W492</f>
        <v>9429.87786243732</v>
      </c>
      <c r="X493" s="32" t="n">
        <f aca="false">X490+X492</f>
        <v>9451.8652763818</v>
      </c>
      <c r="Y493" s="32" t="n">
        <f aca="false">Y490+Y492</f>
        <v>9472.94583289924</v>
      </c>
      <c r="Z493" s="32" t="n">
        <f aca="false">Z490+Z492</f>
        <v>9493.08781370345</v>
      </c>
      <c r="AA493" s="32" t="n">
        <f aca="false">AA490+AA492</f>
        <v>9512.25866100409</v>
      </c>
      <c r="AB493" s="32" t="n">
        <f aca="false">AB490+AB492</f>
        <v>9530.42495657974</v>
      </c>
      <c r="AC493" s="32" t="n">
        <f aca="false">AC490+AC492</f>
        <v>9547.55240033664</v>
      </c>
      <c r="AD493" s="32" t="n">
        <f aca="false">AD490+AD492</f>
        <v>9563.6057883404</v>
      </c>
      <c r="AE493" s="32" t="n">
        <f aca="false">AE490+AE492</f>
        <v>9578.5489903079</v>
      </c>
      <c r="AF493" s="32" t="n">
        <f aca="false">AF490+AF492</f>
        <v>9592.34492654589</v>
      </c>
      <c r="AG493" s="32" t="n">
        <f aca="false">AG490+AG492</f>
        <v>9604.95554432298</v>
      </c>
      <c r="AH493" s="32" t="n">
        <f aca="false">AH490+AH492</f>
        <v>9616.34179366096</v>
      </c>
      <c r="AI493" s="32" t="n">
        <f aca="false">AI490+AI492</f>
        <v>9050.463158182</v>
      </c>
      <c r="AJ493" s="32" t="n">
        <f aca="false">AJ490+AJ492</f>
        <v>9059.27940709287</v>
      </c>
      <c r="AK493" s="32" t="n">
        <f aca="false">AK490+AK492</f>
        <v>9066.74790305173</v>
      </c>
      <c r="AL493" s="32" t="n">
        <f aca="false">AL490+AL492</f>
        <v>9072.8253528883</v>
      </c>
      <c r="AM493" s="32" t="n">
        <f aca="false">AM490+AM492</f>
        <v>9077.46733592206</v>
      </c>
      <c r="AN493" s="32" t="n">
        <f aca="false">AN490+AN492</f>
        <v>9080.62827595824</v>
      </c>
      <c r="AO493" s="32" t="n">
        <f aca="false">AO490+AO492</f>
        <v>9082.26141259599</v>
      </c>
      <c r="AP493" s="32" t="n">
        <f aca="false">AP490+AP492</f>
        <v>9082.31877183154</v>
      </c>
      <c r="AQ493" s="32" t="n">
        <f aca="false">AQ490+AQ492</f>
        <v>9080.75113593939</v>
      </c>
      <c r="AR493" s="32" t="n">
        <f aca="false">AR490+AR492</f>
        <v>9077.50801261365</v>
      </c>
      <c r="AS493" s="32" t="n">
        <f aca="false">AS490+AS492</f>
        <v>4536.26880167564</v>
      </c>
    </row>
    <row r="494" customFormat="false" ht="14.25" hidden="false" customHeight="false" outlineLevel="0" collapsed="false">
      <c r="C494" s="6" t="s">
        <v>319</v>
      </c>
      <c r="D494" s="2" t="s">
        <v>85</v>
      </c>
      <c r="H494" s="8" t="n">
        <f aca="false">SUM(J494:AS494)</f>
        <v>46080.0355479452</v>
      </c>
      <c r="J494" s="8" t="n">
        <f aca="false">$G$99*Gearing*J470</f>
        <v>0</v>
      </c>
      <c r="K494" s="8" t="n">
        <f aca="false">$G$99*Gearing*K470</f>
        <v>0</v>
      </c>
      <c r="L494" s="8" t="n">
        <f aca="false">$G$99*Gearing*L470</f>
        <v>0</v>
      </c>
      <c r="M494" s="8" t="n">
        <f aca="false">$G$99*Gearing*M470</f>
        <v>0</v>
      </c>
      <c r="N494" s="8" t="n">
        <f aca="false">$G$99*Gearing*N470</f>
        <v>0</v>
      </c>
      <c r="O494" s="8" t="n">
        <f aca="false">$G$99*Gearing*O470</f>
        <v>46080.0355479452</v>
      </c>
      <c r="P494" s="8" t="n">
        <f aca="false">$G$99*Gearing*P470</f>
        <v>0</v>
      </c>
      <c r="Q494" s="8" t="n">
        <f aca="false">$G$99*Gearing*Q470</f>
        <v>0</v>
      </c>
      <c r="R494" s="8" t="n">
        <f aca="false">$G$99*Gearing*R470</f>
        <v>0</v>
      </c>
      <c r="S494" s="8" t="n">
        <f aca="false">$G$99*Gearing*S470</f>
        <v>0</v>
      </c>
      <c r="T494" s="8" t="n">
        <f aca="false">$G$99*Gearing*T470</f>
        <v>0</v>
      </c>
      <c r="U494" s="8" t="n">
        <f aca="false">$G$99*Gearing*U470</f>
        <v>0</v>
      </c>
      <c r="V494" s="8" t="n">
        <f aca="false">$G$99*Gearing*V470</f>
        <v>0</v>
      </c>
      <c r="W494" s="8" t="n">
        <f aca="false">$G$99*Gearing*W470</f>
        <v>0</v>
      </c>
      <c r="X494" s="8" t="n">
        <f aca="false">$G$99*Gearing*X470</f>
        <v>0</v>
      </c>
      <c r="Y494" s="8" t="n">
        <f aca="false">$G$99*Gearing*Y470</f>
        <v>0</v>
      </c>
      <c r="Z494" s="8" t="n">
        <f aca="false">$G$99*Gearing*Z470</f>
        <v>0</v>
      </c>
      <c r="AA494" s="8" t="n">
        <f aca="false">$G$99*Gearing*AA470</f>
        <v>0</v>
      </c>
      <c r="AB494" s="8" t="n">
        <f aca="false">$G$99*Gearing*AB470</f>
        <v>0</v>
      </c>
      <c r="AC494" s="8" t="n">
        <f aca="false">$G$99*Gearing*AC470</f>
        <v>0</v>
      </c>
      <c r="AD494" s="8" t="n">
        <f aca="false">$G$99*Gearing*AD470</f>
        <v>0</v>
      </c>
      <c r="AE494" s="8" t="n">
        <f aca="false">$G$99*Gearing*AE470</f>
        <v>0</v>
      </c>
      <c r="AF494" s="8" t="n">
        <f aca="false">$G$99*Gearing*AF470</f>
        <v>0</v>
      </c>
      <c r="AG494" s="8" t="n">
        <f aca="false">$G$99*Gearing*AG470</f>
        <v>0</v>
      </c>
      <c r="AH494" s="8" t="n">
        <f aca="false">$G$99*Gearing*AH470</f>
        <v>0</v>
      </c>
      <c r="AI494" s="8" t="n">
        <f aca="false">$G$99*Gearing*AI470</f>
        <v>0</v>
      </c>
      <c r="AJ494" s="8" t="n">
        <f aca="false">$G$99*Gearing*AJ470</f>
        <v>0</v>
      </c>
      <c r="AK494" s="8" t="n">
        <f aca="false">$G$99*Gearing*AK470</f>
        <v>0</v>
      </c>
      <c r="AL494" s="8" t="n">
        <f aca="false">$G$99*Gearing*AL470</f>
        <v>0</v>
      </c>
      <c r="AM494" s="8" t="n">
        <f aca="false">$G$99*Gearing*AM470</f>
        <v>0</v>
      </c>
      <c r="AN494" s="8" t="n">
        <f aca="false">$G$99*Gearing*AN470</f>
        <v>0</v>
      </c>
      <c r="AO494" s="8" t="n">
        <f aca="false">$G$99*Gearing*AO470</f>
        <v>0</v>
      </c>
      <c r="AP494" s="8" t="n">
        <f aca="false">$G$99*Gearing*AP470</f>
        <v>0</v>
      </c>
      <c r="AQ494" s="8" t="n">
        <f aca="false">$G$99*Gearing*AQ470</f>
        <v>0</v>
      </c>
      <c r="AR494" s="8" t="n">
        <f aca="false">$G$99*Gearing*AR470</f>
        <v>0</v>
      </c>
      <c r="AS494" s="8" t="n">
        <f aca="false">$G$99*Gearing*AS470</f>
        <v>0</v>
      </c>
    </row>
    <row r="495" customFormat="false" ht="14.25" hidden="false" customHeight="false" outlineLevel="0" collapsed="false">
      <c r="C495" s="6" t="s">
        <v>320</v>
      </c>
      <c r="D495" s="2" t="s">
        <v>85</v>
      </c>
      <c r="H495" s="8" t="n">
        <f aca="false">SUM(J495:AS495)</f>
        <v>66591.8405670651</v>
      </c>
      <c r="J495" s="8" t="n">
        <f aca="false">-PMT(Debt_Rate,Debt_Tenor,$G$99*Gearing)*(J465&gt;=1)*(J465&lt;=Debt_Tenor)</f>
        <v>0</v>
      </c>
      <c r="K495" s="8" t="n">
        <f aca="false">-PMT(Debt_Rate,Debt_Tenor,$G$99*Gearing)*(K465&gt;=1)*(K465&lt;=Debt_Tenor)</f>
        <v>0</v>
      </c>
      <c r="L495" s="8" t="n">
        <f aca="false">-PMT(Debt_Rate,Debt_Tenor,$G$99*Gearing)*(L465&gt;=1)*(L465&lt;=Debt_Tenor)</f>
        <v>0</v>
      </c>
      <c r="M495" s="8" t="n">
        <f aca="false">-PMT(Debt_Rate,Debt_Tenor,$G$99*Gearing)*(M465&gt;=1)*(M465&lt;=Debt_Tenor)</f>
        <v>0</v>
      </c>
      <c r="N495" s="8" t="n">
        <f aca="false">-PMT(Debt_Rate,Debt_Tenor,$G$99*Gearing)*(N465&gt;=1)*(N465&lt;=Debt_Tenor)</f>
        <v>0</v>
      </c>
      <c r="O495" s="8" t="n">
        <f aca="false">-PMT(Debt_Rate,Debt_Tenor,$G$99*Gearing)*(O465&gt;=1)*(O465&lt;=Debt_Tenor)</f>
        <v>0</v>
      </c>
      <c r="P495" s="8" t="n">
        <f aca="false">-PMT(Debt_Rate,Debt_Tenor,$G$99*Gearing)*(P465&gt;=1)*(P465&lt;=Debt_Tenor)</f>
        <v>4439.45603780434</v>
      </c>
      <c r="Q495" s="8" t="n">
        <f aca="false">-PMT(Debt_Rate,Debt_Tenor,$G$99*Gearing)*(Q465&gt;=1)*(Q465&lt;=Debt_Tenor)</f>
        <v>4439.45603780434</v>
      </c>
      <c r="R495" s="8" t="n">
        <f aca="false">-PMT(Debt_Rate,Debt_Tenor,$G$99*Gearing)*(R465&gt;=1)*(R465&lt;=Debt_Tenor)</f>
        <v>4439.45603780434</v>
      </c>
      <c r="S495" s="8" t="n">
        <f aca="false">-PMT(Debt_Rate,Debt_Tenor,$G$99*Gearing)*(S465&gt;=1)*(S465&lt;=Debt_Tenor)</f>
        <v>4439.45603780434</v>
      </c>
      <c r="T495" s="8" t="n">
        <f aca="false">-PMT(Debt_Rate,Debt_Tenor,$G$99*Gearing)*(T465&gt;=1)*(T465&lt;=Debt_Tenor)</f>
        <v>4439.45603780434</v>
      </c>
      <c r="U495" s="8" t="n">
        <f aca="false">-PMT(Debt_Rate,Debt_Tenor,$G$99*Gearing)*(U465&gt;=1)*(U465&lt;=Debt_Tenor)</f>
        <v>4439.45603780434</v>
      </c>
      <c r="V495" s="8" t="n">
        <f aca="false">-PMT(Debt_Rate,Debt_Tenor,$G$99*Gearing)*(V465&gt;=1)*(V465&lt;=Debt_Tenor)</f>
        <v>4439.45603780434</v>
      </c>
      <c r="W495" s="8" t="n">
        <f aca="false">-PMT(Debt_Rate,Debt_Tenor,$G$99*Gearing)*(W465&gt;=1)*(W465&lt;=Debt_Tenor)</f>
        <v>4439.45603780434</v>
      </c>
      <c r="X495" s="8" t="n">
        <f aca="false">-PMT(Debt_Rate,Debt_Tenor,$G$99*Gearing)*(X465&gt;=1)*(X465&lt;=Debt_Tenor)</f>
        <v>4439.45603780434</v>
      </c>
      <c r="Y495" s="8" t="n">
        <f aca="false">-PMT(Debt_Rate,Debt_Tenor,$G$99*Gearing)*(Y465&gt;=1)*(Y465&lt;=Debt_Tenor)</f>
        <v>4439.45603780434</v>
      </c>
      <c r="Z495" s="8" t="n">
        <f aca="false">-PMT(Debt_Rate,Debt_Tenor,$G$99*Gearing)*(Z465&gt;=1)*(Z465&lt;=Debt_Tenor)</f>
        <v>4439.45603780434</v>
      </c>
      <c r="AA495" s="8" t="n">
        <f aca="false">-PMT(Debt_Rate,Debt_Tenor,$G$99*Gearing)*(AA465&gt;=1)*(AA465&lt;=Debt_Tenor)</f>
        <v>4439.45603780434</v>
      </c>
      <c r="AB495" s="8" t="n">
        <f aca="false">-PMT(Debt_Rate,Debt_Tenor,$G$99*Gearing)*(AB465&gt;=1)*(AB465&lt;=Debt_Tenor)</f>
        <v>4439.45603780434</v>
      </c>
      <c r="AC495" s="8" t="n">
        <f aca="false">-PMT(Debt_Rate,Debt_Tenor,$G$99*Gearing)*(AC465&gt;=1)*(AC465&lt;=Debt_Tenor)</f>
        <v>4439.45603780434</v>
      </c>
      <c r="AD495" s="8" t="n">
        <f aca="false">-PMT(Debt_Rate,Debt_Tenor,$G$99*Gearing)*(AD465&gt;=1)*(AD465&lt;=Debt_Tenor)</f>
        <v>4439.45603780434</v>
      </c>
      <c r="AE495" s="8" t="n">
        <f aca="false">-PMT(Debt_Rate,Debt_Tenor,$G$99*Gearing)*(AE465&gt;=1)*(AE465&lt;=Debt_Tenor)</f>
        <v>0</v>
      </c>
      <c r="AF495" s="8" t="n">
        <f aca="false">-PMT(Debt_Rate,Debt_Tenor,$G$99*Gearing)*(AF465&gt;=1)*(AF465&lt;=Debt_Tenor)</f>
        <v>0</v>
      </c>
      <c r="AG495" s="8" t="n">
        <f aca="false">-PMT(Debt_Rate,Debt_Tenor,$G$99*Gearing)*(AG465&gt;=1)*(AG465&lt;=Debt_Tenor)</f>
        <v>0</v>
      </c>
      <c r="AH495" s="8" t="n">
        <f aca="false">-PMT(Debt_Rate,Debt_Tenor,$G$99*Gearing)*(AH465&gt;=1)*(AH465&lt;=Debt_Tenor)</f>
        <v>0</v>
      </c>
      <c r="AI495" s="8" t="n">
        <f aca="false">-PMT(Debt_Rate,Debt_Tenor,$G$99*Gearing)*(AI465&gt;=1)*(AI465&lt;=Debt_Tenor)</f>
        <v>0</v>
      </c>
      <c r="AJ495" s="8" t="n">
        <f aca="false">-PMT(Debt_Rate,Debt_Tenor,$G$99*Gearing)*(AJ465&gt;=1)*(AJ465&lt;=Debt_Tenor)</f>
        <v>0</v>
      </c>
      <c r="AK495" s="8" t="n">
        <f aca="false">-PMT(Debt_Rate,Debt_Tenor,$G$99*Gearing)*(AK465&gt;=1)*(AK465&lt;=Debt_Tenor)</f>
        <v>0</v>
      </c>
      <c r="AL495" s="8" t="n">
        <f aca="false">-PMT(Debt_Rate,Debt_Tenor,$G$99*Gearing)*(AL465&gt;=1)*(AL465&lt;=Debt_Tenor)</f>
        <v>0</v>
      </c>
      <c r="AM495" s="8" t="n">
        <f aca="false">-PMT(Debt_Rate,Debt_Tenor,$G$99*Gearing)*(AM465&gt;=1)*(AM465&lt;=Debt_Tenor)</f>
        <v>0</v>
      </c>
      <c r="AN495" s="8" t="n">
        <f aca="false">-PMT(Debt_Rate,Debt_Tenor,$G$99*Gearing)*(AN465&gt;=1)*(AN465&lt;=Debt_Tenor)</f>
        <v>0</v>
      </c>
      <c r="AO495" s="8" t="n">
        <f aca="false">-PMT(Debt_Rate,Debt_Tenor,$G$99*Gearing)*(AO465&gt;=1)*(AO465&lt;=Debt_Tenor)</f>
        <v>0</v>
      </c>
      <c r="AP495" s="8" t="n">
        <f aca="false">-PMT(Debt_Rate,Debt_Tenor,$G$99*Gearing)*(AP465&gt;=1)*(AP465&lt;=Debt_Tenor)</f>
        <v>0</v>
      </c>
      <c r="AQ495" s="8" t="n">
        <f aca="false">-PMT(Debt_Rate,Debt_Tenor,$G$99*Gearing)*(AQ465&gt;=1)*(AQ465&lt;=Debt_Tenor)</f>
        <v>0</v>
      </c>
      <c r="AR495" s="8" t="n">
        <f aca="false">-PMT(Debt_Rate,Debt_Tenor,$G$99*Gearing)*(AR465&gt;=1)*(AR465&lt;=Debt_Tenor)</f>
        <v>0</v>
      </c>
      <c r="AS495" s="8" t="n">
        <f aca="false">-PMT(Debt_Rate,Debt_Tenor,$G$99*Gearing)*(AS465&gt;=1)*(AS465&lt;=Debt_Tenor)</f>
        <v>0</v>
      </c>
    </row>
    <row r="496" customFormat="false" ht="14.25" hidden="false" customHeight="false" outlineLevel="0" collapsed="false">
      <c r="C496" s="6" t="s">
        <v>321</v>
      </c>
      <c r="D496" s="2" t="s">
        <v>85</v>
      </c>
      <c r="H496" s="8" t="n">
        <f aca="false">SUM(J496:AS496)</f>
        <v>20511.8050191199</v>
      </c>
      <c r="J496" s="8" t="n">
        <f aca="false">I498*Debt_Rate*(J465&gt;=1)</f>
        <v>0</v>
      </c>
      <c r="K496" s="8" t="n">
        <f aca="false">J498*Debt_Rate*(K465&gt;=1)</f>
        <v>0</v>
      </c>
      <c r="L496" s="8" t="n">
        <f aca="false">K498*Debt_Rate*(L465&gt;=1)</f>
        <v>0</v>
      </c>
      <c r="M496" s="8" t="n">
        <f aca="false">L498*Debt_Rate*(M465&gt;=1)</f>
        <v>0</v>
      </c>
      <c r="N496" s="8" t="n">
        <f aca="false">M498*Debt_Rate*(N465&gt;=1)</f>
        <v>0</v>
      </c>
      <c r="O496" s="8" t="n">
        <f aca="false">N498*Debt_Rate*(O465&gt;=1)</f>
        <v>0</v>
      </c>
      <c r="P496" s="8" t="n">
        <f aca="false">O498*Debt_Rate*(P465&gt;=1)</f>
        <v>2304.00177739726</v>
      </c>
      <c r="Q496" s="8" t="n">
        <f aca="false">P498*Debt_Rate*(Q465&gt;=1)</f>
        <v>2197.22906437691</v>
      </c>
      <c r="R496" s="8" t="n">
        <f aca="false">Q498*Debt_Rate*(R465&gt;=1)</f>
        <v>2085.11771570553</v>
      </c>
      <c r="S496" s="8" t="n">
        <f aca="false">R498*Debt_Rate*(S465&gt;=1)</f>
        <v>1967.40079960059</v>
      </c>
      <c r="T496" s="8" t="n">
        <f aca="false">S498*Debt_Rate*(T465&gt;=1)</f>
        <v>1843.79803769041</v>
      </c>
      <c r="U496" s="8" t="n">
        <f aca="false">T498*Debt_Rate*(U465&gt;=1)</f>
        <v>1714.01513768471</v>
      </c>
      <c r="V496" s="8" t="n">
        <f aca="false">U498*Debt_Rate*(V465&gt;=1)</f>
        <v>1577.74309267873</v>
      </c>
      <c r="W496" s="8" t="n">
        <f aca="false">V498*Debt_Rate*(W465&gt;=1)</f>
        <v>1434.65744542245</v>
      </c>
      <c r="X496" s="8" t="n">
        <f aca="false">W498*Debt_Rate*(X465&gt;=1)</f>
        <v>1284.41751580335</v>
      </c>
      <c r="Y496" s="8" t="n">
        <f aca="false">X498*Debt_Rate*(Y465&gt;=1)</f>
        <v>1126.6655897033</v>
      </c>
      <c r="Z496" s="8" t="n">
        <f aca="false">Y498*Debt_Rate*(Z465&gt;=1)</f>
        <v>961.026067298251</v>
      </c>
      <c r="AA496" s="8" t="n">
        <f aca="false">Z498*Debt_Rate*(AA465&gt;=1)</f>
        <v>787.104568772946</v>
      </c>
      <c r="AB496" s="8" t="n">
        <f aca="false">AA498*Debt_Rate*(AB465&gt;=1)</f>
        <v>604.486995321376</v>
      </c>
      <c r="AC496" s="8" t="n">
        <f aca="false">AB498*Debt_Rate*(AC465&gt;=1)</f>
        <v>412.738543197228</v>
      </c>
      <c r="AD496" s="8" t="n">
        <f aca="false">AC498*Debt_Rate*(AD465&gt;=1)</f>
        <v>211.402668466872</v>
      </c>
      <c r="AE496" s="8" t="n">
        <f aca="false">AD498*Debt_Rate*(AE465&gt;=1)</f>
        <v>-1.36424205265939E-012</v>
      </c>
      <c r="AF496" s="8" t="n">
        <f aca="false">AE498*Debt_Rate*(AF465&gt;=1)</f>
        <v>-1.43245415529236E-012</v>
      </c>
      <c r="AG496" s="8" t="n">
        <f aca="false">AF498*Debt_Rate*(AG465&gt;=1)</f>
        <v>-1.50407686305698E-012</v>
      </c>
      <c r="AH496" s="8" t="n">
        <f aca="false">AG498*Debt_Rate*(AH465&gt;=1)</f>
        <v>-1.57928070620983E-012</v>
      </c>
      <c r="AI496" s="8" t="n">
        <f aca="false">AH498*Debt_Rate*(AI465&gt;=1)</f>
        <v>-1.65824474152032E-012</v>
      </c>
      <c r="AJ496" s="8" t="n">
        <f aca="false">AI498*Debt_Rate*(AJ465&gt;=1)</f>
        <v>-1.74115697859634E-012</v>
      </c>
      <c r="AK496" s="8" t="n">
        <f aca="false">AJ498*Debt_Rate*(AK465&gt;=1)</f>
        <v>-1.82821482752615E-012</v>
      </c>
      <c r="AL496" s="8" t="n">
        <f aca="false">AK498*Debt_Rate*(AL465&gt;=1)</f>
        <v>-1.91962556890246E-012</v>
      </c>
      <c r="AM496" s="8" t="n">
        <f aca="false">AL498*Debt_Rate*(AM465&gt;=1)</f>
        <v>-2.01560684734758E-012</v>
      </c>
      <c r="AN496" s="8" t="n">
        <f aca="false">AM498*Debt_Rate*(AN465&gt;=1)</f>
        <v>-2.11638718971496E-012</v>
      </c>
      <c r="AO496" s="8" t="n">
        <f aca="false">AN498*Debt_Rate*(AO465&gt;=1)</f>
        <v>-2.22220654920071E-012</v>
      </c>
      <c r="AP496" s="8" t="n">
        <f aca="false">AO498*Debt_Rate*(AP465&gt;=1)</f>
        <v>-2.33331687666075E-012</v>
      </c>
      <c r="AQ496" s="8" t="n">
        <f aca="false">AP498*Debt_Rate*(AQ465&gt;=1)</f>
        <v>-2.44998272049379E-012</v>
      </c>
      <c r="AR496" s="8" t="n">
        <f aca="false">AQ498*Debt_Rate*(AR465&gt;=1)</f>
        <v>-2.57248185651847E-012</v>
      </c>
      <c r="AS496" s="8" t="n">
        <f aca="false">AR498*Debt_Rate*(AS465&gt;=1)</f>
        <v>-2.7011059493444E-012</v>
      </c>
    </row>
    <row r="497" customFormat="false" ht="14.25" hidden="false" customHeight="false" outlineLevel="0" collapsed="false">
      <c r="C497" s="6" t="s">
        <v>322</v>
      </c>
      <c r="D497" s="2" t="s">
        <v>85</v>
      </c>
      <c r="H497" s="8" t="n">
        <f aca="false">SUM(J497:AS497)</f>
        <v>46080.0355479453</v>
      </c>
      <c r="J497" s="8" t="n">
        <f aca="false">J495-J496</f>
        <v>0</v>
      </c>
      <c r="K497" s="8" t="n">
        <f aca="false">K495-K496</f>
        <v>0</v>
      </c>
      <c r="L497" s="8" t="n">
        <f aca="false">L495-L496</f>
        <v>0</v>
      </c>
      <c r="M497" s="8" t="n">
        <f aca="false">M495-M496</f>
        <v>0</v>
      </c>
      <c r="N497" s="8" t="n">
        <f aca="false">N495-N496</f>
        <v>0</v>
      </c>
      <c r="O497" s="8" t="n">
        <f aca="false">O495-O496</f>
        <v>0</v>
      </c>
      <c r="P497" s="8" t="n">
        <f aca="false">P495-P496</f>
        <v>2135.45426040708</v>
      </c>
      <c r="Q497" s="8" t="n">
        <f aca="false">Q495-Q496</f>
        <v>2242.22697342744</v>
      </c>
      <c r="R497" s="8" t="n">
        <f aca="false">R495-R496</f>
        <v>2354.33832209881</v>
      </c>
      <c r="S497" s="8" t="n">
        <f aca="false">S495-S496</f>
        <v>2472.05523820375</v>
      </c>
      <c r="T497" s="8" t="n">
        <f aca="false">T495-T496</f>
        <v>2595.65800011394</v>
      </c>
      <c r="U497" s="8" t="n">
        <f aca="false">U495-U496</f>
        <v>2725.44090011963</v>
      </c>
      <c r="V497" s="8" t="n">
        <f aca="false">V495-V496</f>
        <v>2861.71294512561</v>
      </c>
      <c r="W497" s="8" t="n">
        <f aca="false">W495-W496</f>
        <v>3004.7985923819</v>
      </c>
      <c r="X497" s="8" t="n">
        <f aca="false">X495-X496</f>
        <v>3155.03852200099</v>
      </c>
      <c r="Y497" s="8" t="n">
        <f aca="false">Y495-Y496</f>
        <v>3312.79044810104</v>
      </c>
      <c r="Z497" s="8" t="n">
        <f aca="false">Z495-Z496</f>
        <v>3478.42997050609</v>
      </c>
      <c r="AA497" s="8" t="n">
        <f aca="false">AA495-AA496</f>
        <v>3652.3514690314</v>
      </c>
      <c r="AB497" s="8" t="n">
        <f aca="false">AB495-AB496</f>
        <v>3834.96904248297</v>
      </c>
      <c r="AC497" s="8" t="n">
        <f aca="false">AC495-AC496</f>
        <v>4026.71749460711</v>
      </c>
      <c r="AD497" s="8" t="n">
        <f aca="false">AD495-AD496</f>
        <v>4228.05336933747</v>
      </c>
      <c r="AE497" s="8" t="n">
        <f aca="false">AE495-AE496</f>
        <v>1.36424205265939E-012</v>
      </c>
      <c r="AF497" s="8" t="n">
        <f aca="false">AF495-AF496</f>
        <v>1.43245415529236E-012</v>
      </c>
      <c r="AG497" s="8" t="n">
        <f aca="false">AG495-AG496</f>
        <v>1.50407686305698E-012</v>
      </c>
      <c r="AH497" s="8" t="n">
        <f aca="false">AH495-AH496</f>
        <v>1.57928070620983E-012</v>
      </c>
      <c r="AI497" s="8" t="n">
        <f aca="false">AI495-AI496</f>
        <v>1.65824474152032E-012</v>
      </c>
      <c r="AJ497" s="8" t="n">
        <f aca="false">AJ495-AJ496</f>
        <v>1.74115697859634E-012</v>
      </c>
      <c r="AK497" s="8" t="n">
        <f aca="false">AK495-AK496</f>
        <v>1.82821482752615E-012</v>
      </c>
      <c r="AL497" s="8" t="n">
        <f aca="false">AL495-AL496</f>
        <v>1.91962556890246E-012</v>
      </c>
      <c r="AM497" s="8" t="n">
        <f aca="false">AM495-AM496</f>
        <v>2.01560684734758E-012</v>
      </c>
      <c r="AN497" s="8" t="n">
        <f aca="false">AN495-AN496</f>
        <v>2.11638718971496E-012</v>
      </c>
      <c r="AO497" s="8" t="n">
        <f aca="false">AO495-AO496</f>
        <v>2.22220654920071E-012</v>
      </c>
      <c r="AP497" s="8" t="n">
        <f aca="false">AP495-AP496</f>
        <v>2.33331687666075E-012</v>
      </c>
      <c r="AQ497" s="8" t="n">
        <f aca="false">AQ495-AQ496</f>
        <v>2.44998272049379E-012</v>
      </c>
      <c r="AR497" s="8" t="n">
        <f aca="false">AR495-AR496</f>
        <v>2.57248185651847E-012</v>
      </c>
      <c r="AS497" s="8" t="n">
        <f aca="false">AS495-AS496</f>
        <v>2.7011059493444E-012</v>
      </c>
    </row>
    <row r="498" customFormat="false" ht="14.25" hidden="false" customHeight="false" outlineLevel="0" collapsed="false">
      <c r="C498" s="6" t="s">
        <v>323</v>
      </c>
      <c r="D498" s="2" t="s">
        <v>85</v>
      </c>
      <c r="H498" s="8"/>
      <c r="J498" s="8" t="n">
        <f aca="false">I498+J494-J497</f>
        <v>0</v>
      </c>
      <c r="K498" s="8" t="n">
        <f aca="false">J498+K494-K497</f>
        <v>0</v>
      </c>
      <c r="L498" s="8" t="n">
        <f aca="false">K498+L494-L497</f>
        <v>0</v>
      </c>
      <c r="M498" s="8" t="n">
        <f aca="false">L498+M494-M497</f>
        <v>0</v>
      </c>
      <c r="N498" s="8" t="n">
        <f aca="false">M498+N494-N497</f>
        <v>0</v>
      </c>
      <c r="O498" s="8" t="n">
        <f aca="false">N498+O494-O497</f>
        <v>46080.0355479452</v>
      </c>
      <c r="P498" s="8" t="n">
        <f aca="false">O498+P494-P497</f>
        <v>43944.5812875381</v>
      </c>
      <c r="Q498" s="8" t="n">
        <f aca="false">P498+Q494-Q497</f>
        <v>41702.3543141107</v>
      </c>
      <c r="R498" s="8" t="n">
        <f aca="false">Q498+R494-R497</f>
        <v>39348.0159920119</v>
      </c>
      <c r="S498" s="8" t="n">
        <f aca="false">R498+S494-S497</f>
        <v>36875.9607538081</v>
      </c>
      <c r="T498" s="8" t="n">
        <f aca="false">S498+T494-T497</f>
        <v>34280.3027536942</v>
      </c>
      <c r="U498" s="8" t="n">
        <f aca="false">T498+U494-U497</f>
        <v>31554.8618535746</v>
      </c>
      <c r="V498" s="8" t="n">
        <f aca="false">U498+V494-V497</f>
        <v>28693.1489084489</v>
      </c>
      <c r="W498" s="8" t="n">
        <f aca="false">V498+W494-W497</f>
        <v>25688.350316067</v>
      </c>
      <c r="X498" s="8" t="n">
        <f aca="false">W498+X494-X497</f>
        <v>22533.3117940661</v>
      </c>
      <c r="Y498" s="8" t="n">
        <f aca="false">X498+Y494-Y497</f>
        <v>19220.521345965</v>
      </c>
      <c r="Z498" s="8" t="n">
        <f aca="false">Y498+Z494-Z497</f>
        <v>15742.0913754589</v>
      </c>
      <c r="AA498" s="8" t="n">
        <f aca="false">Z498+AA494-AA497</f>
        <v>12089.7399064275</v>
      </c>
      <c r="AB498" s="8" t="n">
        <f aca="false">AA498+AB494-AB497</f>
        <v>8254.77086394456</v>
      </c>
      <c r="AC498" s="8" t="n">
        <f aca="false">AB498+AC494-AC497</f>
        <v>4228.05336933744</v>
      </c>
      <c r="AD498" s="8" t="n">
        <f aca="false">AC498+AD494-AD497</f>
        <v>-2.72848410531878E-011</v>
      </c>
      <c r="AE498" s="8" t="n">
        <f aca="false">AD498+AE494-AE497</f>
        <v>-2.86490831058472E-011</v>
      </c>
      <c r="AF498" s="8" t="n">
        <f aca="false">AE498+AF494-AF497</f>
        <v>-3.00815372611396E-011</v>
      </c>
      <c r="AG498" s="8" t="n">
        <f aca="false">AF498+AG494-AG497</f>
        <v>-3.15856141241966E-011</v>
      </c>
      <c r="AH498" s="8" t="n">
        <f aca="false">AG498+AH494-AH497</f>
        <v>-3.31648948304064E-011</v>
      </c>
      <c r="AI498" s="8" t="n">
        <f aca="false">AH498+AI494-AI497</f>
        <v>-3.48231395719267E-011</v>
      </c>
      <c r="AJ498" s="8" t="n">
        <f aca="false">AI498+AJ494-AJ497</f>
        <v>-3.65642965505231E-011</v>
      </c>
      <c r="AK498" s="8" t="n">
        <f aca="false">AJ498+AK494-AK497</f>
        <v>-3.83925113780492E-011</v>
      </c>
      <c r="AL498" s="8" t="n">
        <f aca="false">AK498+AL494-AL497</f>
        <v>-4.03121369469517E-011</v>
      </c>
      <c r="AM498" s="8" t="n">
        <f aca="false">AL498+AM494-AM497</f>
        <v>-4.23277437942993E-011</v>
      </c>
      <c r="AN498" s="8" t="n">
        <f aca="false">AM498+AN494-AN497</f>
        <v>-4.44441309840142E-011</v>
      </c>
      <c r="AO498" s="8" t="n">
        <f aca="false">AN498+AO494-AO497</f>
        <v>-4.6666337533215E-011</v>
      </c>
      <c r="AP498" s="8" t="n">
        <f aca="false">AO498+AP494-AP497</f>
        <v>-4.89996544098757E-011</v>
      </c>
      <c r="AQ498" s="8" t="n">
        <f aca="false">AP498+AQ494-AQ497</f>
        <v>-5.14496371303695E-011</v>
      </c>
      <c r="AR498" s="8" t="n">
        <f aca="false">AQ498+AR494-AR497</f>
        <v>-5.4022118986888E-011</v>
      </c>
      <c r="AS498" s="8" t="n">
        <f aca="false">AR498+AS494-AS497</f>
        <v>-5.67232249362324E-011</v>
      </c>
    </row>
    <row r="499" customFormat="false" ht="14.25" hidden="false" customHeight="false" outlineLevel="0" collapsed="false">
      <c r="C499" s="6" t="s">
        <v>324</v>
      </c>
      <c r="D499" s="2" t="s">
        <v>85</v>
      </c>
      <c r="H499" s="8" t="n">
        <f aca="false">SUM(J499:AS499)</f>
        <v>-32758.9685760495</v>
      </c>
      <c r="J499" s="8" t="n">
        <f aca="false">-MAX(0,J489+J491-J496)*CIT_Rate*(J469&gt;0)</f>
        <v>-0</v>
      </c>
      <c r="K499" s="8" t="n">
        <f aca="false">-MAX(0,K489+K491-K496)*CIT_Rate*(K469&gt;0)</f>
        <v>-0</v>
      </c>
      <c r="L499" s="8" t="n">
        <f aca="false">-MAX(0,L489+L491-L496)*CIT_Rate*(L469&gt;0)</f>
        <v>-0</v>
      </c>
      <c r="M499" s="8" t="n">
        <f aca="false">-MAX(0,M489+M491-M496)*CIT_Rate*(M469&gt;0)</f>
        <v>-0</v>
      </c>
      <c r="N499" s="8" t="n">
        <f aca="false">-MAX(0,N489+N491-N496)*CIT_Rate*(N469&gt;0)</f>
        <v>-0</v>
      </c>
      <c r="O499" s="8" t="n">
        <f aca="false">-MAX(0,O489+O491-O496)*CIT_Rate*(O469&gt;0)</f>
        <v>-184.465323250685</v>
      </c>
      <c r="P499" s="8" t="n">
        <f aca="false">-MAX(0,P489+P491-P496)*CIT_Rate*(P469&gt;0)</f>
        <v>-609.647071343096</v>
      </c>
      <c r="Q499" s="8" t="n">
        <f aca="false">-MAX(0,Q489+Q491-Q496)*CIT_Rate*(Q469&gt;0)</f>
        <v>-630.518329022906</v>
      </c>
      <c r="R499" s="8" t="n">
        <f aca="false">-MAX(0,R489+R491-R496)*CIT_Rate*(R469&gt;0)</f>
        <v>-652.065673789328</v>
      </c>
      <c r="S499" s="8" t="n">
        <f aca="false">-MAX(0,S489+S491-S496)*CIT_Rate*(S469&gt;0)</f>
        <v>-674.324488877641</v>
      </c>
      <c r="T499" s="8" t="n">
        <f aca="false">-MAX(0,T489+T491-T496)*CIT_Rate*(T469&gt;0)</f>
        <v>-697.332034849061</v>
      </c>
      <c r="U499" s="8" t="n">
        <f aca="false">-MAX(0,U489+U491-U496)*CIT_Rate*(U469&gt;0)</f>
        <v>-721.127546574568</v>
      </c>
      <c r="V499" s="8" t="n">
        <f aca="false">-MAX(0,V489+V491-V496)*CIT_Rate*(V469&gt;0)</f>
        <v>-745.752335147106</v>
      </c>
      <c r="W499" s="8" t="n">
        <f aca="false">-MAX(0,W489+W491-W496)*CIT_Rate*(W469&gt;0)</f>
        <v>-771.249894970495</v>
      </c>
      <c r="X499" s="8" t="n">
        <f aca="false">-MAX(0,X489+X491-X496)*CIT_Rate*(X469&gt;0)</f>
        <v>-797.666016285915</v>
      </c>
      <c r="Y499" s="8" t="n">
        <f aca="false">-MAX(0,Y489+Y491-Y496)*CIT_Rate*(Y469&gt;0)</f>
        <v>-825.048903409881</v>
      </c>
      <c r="Z499" s="8" t="n">
        <f aca="false">-MAX(0,Z489+Z491-Z496)*CIT_Rate*(Z469&gt;0)</f>
        <v>-853.449298971383</v>
      </c>
      <c r="AA499" s="8" t="n">
        <f aca="false">-MAX(0,AA489+AA491-AA496)*CIT_Rate*(AA469&gt;0)</f>
        <v>-882.920614450292</v>
      </c>
      <c r="AB499" s="8" t="n">
        <f aca="false">-MAX(0,AB489+AB491-AB496)*CIT_Rate*(AB469&gt;0)</f>
        <v>-913.519067334319</v>
      </c>
      <c r="AC499" s="8" t="n">
        <f aca="false">-MAX(0,AC489+AC491-AC496)*CIT_Rate*(AC469&gt;0)</f>
        <v>-945.303825227687</v>
      </c>
      <c r="AD499" s="8" t="n">
        <f aca="false">-MAX(0,AD489+AD491-AD496)*CIT_Rate*(AD469&gt;0)</f>
        <v>-978.337157261434</v>
      </c>
      <c r="AE499" s="8" t="n">
        <f aca="false">-MAX(0,AE489+AE491-AE496)*CIT_Rate*(AE469&gt;0)</f>
        <v>-1012.68459317279</v>
      </c>
      <c r="AF499" s="8" t="n">
        <f aca="false">-MAX(0,AF489+AF491-AF496)*CIT_Rate*(AF469&gt;0)</f>
        <v>-1015.11917015596</v>
      </c>
      <c r="AG499" s="8" t="n">
        <f aca="false">-MAX(0,AG489+AG491-AG496)*CIT_Rate*(AG469&gt;0)</f>
        <v>-1017.3445732931</v>
      </c>
      <c r="AH499" s="8" t="n">
        <f aca="false">-MAX(0,AH489+AH491-AH496)*CIT_Rate*(AH469&gt;0)</f>
        <v>-1019.35391141156</v>
      </c>
      <c r="AI499" s="8" t="n">
        <f aca="false">-MAX(0,AI489+AI491-AI496)*CIT_Rate*(AI469&gt;0)</f>
        <v>-1597.14055732624</v>
      </c>
      <c r="AJ499" s="8" t="n">
        <f aca="false">-MAX(0,AJ489+AJ491-AJ496)*CIT_Rate*(AJ469&gt;0)</f>
        <v>-1598.69636595756</v>
      </c>
      <c r="AK499" s="8" t="n">
        <f aca="false">-MAX(0,AK489+AK491-AK496)*CIT_Rate*(AK469&gt;0)</f>
        <v>-1600.01433583266</v>
      </c>
      <c r="AL499" s="8" t="n">
        <f aca="false">-MAX(0,AL489+AL491-AL496)*CIT_Rate*(AL469&gt;0)</f>
        <v>-1601.08682698029</v>
      </c>
      <c r="AM499" s="8" t="n">
        <f aca="false">-MAX(0,AM489+AM491-AM496)*CIT_Rate*(AM469&gt;0)</f>
        <v>-1601.90600045683</v>
      </c>
      <c r="AN499" s="8" t="n">
        <f aca="false">-MAX(0,AN489+AN491-AN496)*CIT_Rate*(AN469&gt;0)</f>
        <v>-1602.4638134044</v>
      </c>
      <c r="AO499" s="8" t="n">
        <f aca="false">-MAX(0,AO489+AO491-AO496)*CIT_Rate*(AO469&gt;0)</f>
        <v>-1602.75201398753</v>
      </c>
      <c r="AP499" s="8" t="n">
        <f aca="false">-MAX(0,AP489+AP491-AP496)*CIT_Rate*(AP469&gt;0)</f>
        <v>-1602.76213620557</v>
      </c>
      <c r="AQ499" s="8" t="n">
        <f aca="false">-MAX(0,AQ489+AQ491-AQ496)*CIT_Rate*(AQ469&gt;0)</f>
        <v>-1602.48549457754</v>
      </c>
      <c r="AR499" s="8" t="n">
        <f aca="false">-MAX(0,AR489+AR491-AR496)*CIT_Rate*(AR469&gt;0)</f>
        <v>-1601.91317869653</v>
      </c>
      <c r="AS499" s="8" t="n">
        <f aca="false">-MAX(0,AS489+AS491-AS496)*CIT_Rate*(AS469&gt;0)</f>
        <v>-800.518023825113</v>
      </c>
    </row>
    <row r="500" customFormat="false" ht="14.25" hidden="false" customHeight="false" outlineLevel="0" collapsed="false">
      <c r="C500" s="1" t="s">
        <v>163</v>
      </c>
      <c r="D500" s="2" t="s">
        <v>85</v>
      </c>
      <c r="H500" s="32" t="n">
        <f aca="false">SUM(J500:AS500)</f>
        <v>185634.15526428</v>
      </c>
      <c r="J500" s="32" t="n">
        <f aca="false">J490+J494-J495+J499</f>
        <v>0</v>
      </c>
      <c r="K500" s="32" t="n">
        <f aca="false">K490+K494-K495+K499</f>
        <v>0</v>
      </c>
      <c r="L500" s="32" t="n">
        <f aca="false">L490+L494-L495+L499</f>
        <v>0</v>
      </c>
      <c r="M500" s="32" t="n">
        <f aca="false">M490+M494-M495+M499</f>
        <v>-29757.5797945206</v>
      </c>
      <c r="N500" s="32" t="n">
        <f aca="false">N490+N494-N495+N499</f>
        <v>-31358</v>
      </c>
      <c r="O500" s="32" t="n">
        <f aca="false">O490+O494-O495+O499</f>
        <v>32786.3420086945</v>
      </c>
      <c r="P500" s="32" t="n">
        <f aca="false">P490+P494-P495+P499</f>
        <v>5159.21543953256</v>
      </c>
      <c r="Q500" s="32" t="n">
        <f aca="false">Q490+Q494-Q495+Q499</f>
        <v>7665.23373464301</v>
      </c>
      <c r="R500" s="32" t="n">
        <f aca="false">R490+R494-R495+R499</f>
        <v>5180.70345836949</v>
      </c>
      <c r="S500" s="32" t="n">
        <f aca="false">S490+S494-S495+S499</f>
        <v>5189.11982776499</v>
      </c>
      <c r="T500" s="32" t="n">
        <f aca="false">T490+T494-T495+T499</f>
        <v>5195.89315969284</v>
      </c>
      <c r="U500" s="32" t="n">
        <f aca="false">U490+U494-U495+U499</f>
        <v>5200.95149279836</v>
      </c>
      <c r="V500" s="32" t="n">
        <f aca="false">V490+V494-V495+V499</f>
        <v>5204.21991637009</v>
      </c>
      <c r="W500" s="32" t="n">
        <f aca="false">W490+W494-W495+W499</f>
        <v>5205.62044144634</v>
      </c>
      <c r="X500" s="32" t="n">
        <f aca="false">X490+X494-X495+X499</f>
        <v>5205.07186594796</v>
      </c>
      <c r="Y500" s="32" t="n">
        <f aca="false">Y490+Y494-Y495+Y499</f>
        <v>5202.48963355039</v>
      </c>
      <c r="Z500" s="32" t="n">
        <f aca="false">Z490+Z494-Z495+Z499</f>
        <v>5197.78568599385</v>
      </c>
      <c r="AA500" s="32" t="n">
        <f aca="false">AA490+AA494-AA495+AA499</f>
        <v>5190.86830851569</v>
      </c>
      <c r="AB500" s="32" t="n">
        <f aca="false">AB490+AB494-AB495+AB499</f>
        <v>5181.64196807361</v>
      </c>
      <c r="AC500" s="32" t="n">
        <f aca="false">AC490+AC494-AC495+AC499</f>
        <v>5170.00714401188</v>
      </c>
      <c r="AD500" s="32" t="n">
        <f aca="false">AD490+AD494-AD495+AD499</f>
        <v>5155.86015080609</v>
      </c>
      <c r="AE500" s="32" t="n">
        <f aca="false">AE490+AE494-AE495+AE499</f>
        <v>9578.5489903079</v>
      </c>
      <c r="AF500" s="32" t="n">
        <f aca="false">AF490+AF494-AF495+AF499</f>
        <v>9592.34492654589</v>
      </c>
      <c r="AG500" s="32" t="n">
        <f aca="false">AG490+AG494-AG495+AG499</f>
        <v>9604.95554432298</v>
      </c>
      <c r="AH500" s="32" t="n">
        <f aca="false">AH490+AH494-AH495+AH499</f>
        <v>9616.34179366096</v>
      </c>
      <c r="AI500" s="32" t="n">
        <f aca="false">AI490+AI494-AI495+AI499</f>
        <v>9050.463158182</v>
      </c>
      <c r="AJ500" s="32" t="n">
        <f aca="false">AJ490+AJ494-AJ495+AJ499</f>
        <v>9059.27940709287</v>
      </c>
      <c r="AK500" s="32" t="n">
        <f aca="false">AK490+AK494-AK495+AK499</f>
        <v>9066.74790305173</v>
      </c>
      <c r="AL500" s="32" t="n">
        <f aca="false">AL490+AL494-AL495+AL499</f>
        <v>9072.8253528883</v>
      </c>
      <c r="AM500" s="32" t="n">
        <f aca="false">AM490+AM494-AM495+AM499</f>
        <v>9077.46733592206</v>
      </c>
      <c r="AN500" s="32" t="n">
        <f aca="false">AN490+AN494-AN495+AN499</f>
        <v>9080.62827595824</v>
      </c>
      <c r="AO500" s="32" t="n">
        <f aca="false">AO490+AO494-AO495+AO499</f>
        <v>9082.26141259599</v>
      </c>
      <c r="AP500" s="32" t="n">
        <f aca="false">AP490+AP494-AP495+AP499</f>
        <v>9082.31877183154</v>
      </c>
      <c r="AQ500" s="32" t="n">
        <f aca="false">AQ490+AQ494-AQ495+AQ499</f>
        <v>9080.75113593939</v>
      </c>
      <c r="AR500" s="32" t="n">
        <f aca="false">AR490+AR494-AR495+AR499</f>
        <v>9077.50801261365</v>
      </c>
      <c r="AS500" s="32" t="n">
        <f aca="false">AS490+AS494-AS495+AS499</f>
        <v>4536.26880167564</v>
      </c>
    </row>
    <row r="501" customFormat="false" ht="14.25" hidden="false" customHeight="false" outlineLevel="0" collapsed="false">
      <c r="C501" s="6" t="s">
        <v>325</v>
      </c>
      <c r="D501" s="2" t="s">
        <v>3</v>
      </c>
      <c r="H501" s="47" t="n">
        <f aca="false">MIN(J501:AS501)</f>
        <v>2.29945255944663</v>
      </c>
      <c r="J501" s="47" t="str">
        <f aca="false">IF(J495&gt;0,J489/J495,"")</f>
        <v/>
      </c>
      <c r="K501" s="47" t="str">
        <f aca="false">IF(K495&gt;0,K489/K495,"")</f>
        <v/>
      </c>
      <c r="L501" s="47" t="str">
        <f aca="false">IF(L495&gt;0,L489/L495,"")</f>
        <v/>
      </c>
      <c r="M501" s="47" t="str">
        <f aca="false">IF(M495&gt;0,M489/M495,"")</f>
        <v/>
      </c>
      <c r="N501" s="47" t="str">
        <f aca="false">IF(N495&gt;0,N489/N495,"")</f>
        <v/>
      </c>
      <c r="O501" s="47" t="str">
        <f aca="false">IF(O495&gt;0,O489/O495,"")</f>
        <v/>
      </c>
      <c r="P501" s="47" t="n">
        <f aca="false">IF(P495&gt;0,P489/P495,"")</f>
        <v>2.29945255944663</v>
      </c>
      <c r="Q501" s="47" t="n">
        <f aca="false">IF(Q495&gt;0,Q489/Q495,"")</f>
        <v>2.3067437691285</v>
      </c>
      <c r="R501" s="47" t="n">
        <f aca="false">IF(R495&gt;0,R489/R495,"")</f>
        <v>2.31384770622564</v>
      </c>
      <c r="S501" s="47" t="n">
        <f aca="false">IF(S495&gt;0,S489/S495,"")</f>
        <v>2.32075737809143</v>
      </c>
      <c r="T501" s="47" t="n">
        <f aca="false">IF(T495&gt;0,T489/T495,"")</f>
        <v>2.32746560487545</v>
      </c>
      <c r="U501" s="47" t="n">
        <f aca="false">IF(U495&gt;0,U489/U495,"")</f>
        <v>2.33396501484489</v>
      </c>
      <c r="V501" s="47" t="n">
        <f aca="false">IF(V495&gt;0,V489/V495,"")</f>
        <v>2.34024803959089</v>
      </c>
      <c r="W501" s="47" t="n">
        <f aca="false">IF(W495&gt;0,W489/W495,"")</f>
        <v>2.34630690911693</v>
      </c>
      <c r="X501" s="47" t="n">
        <f aca="false">IF(X495&gt;0,X489/X495,"")</f>
        <v>2.35213364680658</v>
      </c>
      <c r="Y501" s="47" t="n">
        <f aca="false">IF(Y495&gt;0,Y489/Y495,"")</f>
        <v>2.35772006426746</v>
      </c>
      <c r="Z501" s="47" t="n">
        <f aca="false">IF(Z495&gt;0,Z489/Z495,"")</f>
        <v>2.36305775604843</v>
      </c>
      <c r="AA501" s="47" t="n">
        <f aca="false">IF(AA495&gt;0,AA489/AA495,"")</f>
        <v>2.36813809422696</v>
      </c>
      <c r="AB501" s="47" t="n">
        <f aca="false">IF(AB495&gt;0,AB489/AB495,"")</f>
        <v>2.37295222286343</v>
      </c>
      <c r="AC501" s="47" t="n">
        <f aca="false">IF(AC495&gt;0,AC489/AC495,"")</f>
        <v>2.37749105231912</v>
      </c>
      <c r="AD501" s="47" t="n">
        <f aca="false">IF(AD495&gt;0,AD489/AD495,"")</f>
        <v>2.38174525343455</v>
      </c>
      <c r="AE501" s="47" t="str">
        <f aca="false">IF(AE495&gt;0,AE489/AE495,"")</f>
        <v/>
      </c>
      <c r="AF501" s="47" t="str">
        <f aca="false">IF(AF495&gt;0,AF489/AF495,"")</f>
        <v/>
      </c>
      <c r="AG501" s="47" t="str">
        <f aca="false">IF(AG495&gt;0,AG489/AG495,"")</f>
        <v/>
      </c>
      <c r="AH501" s="47" t="str">
        <f aca="false">IF(AH495&gt;0,AH489/AH495,"")</f>
        <v/>
      </c>
      <c r="AI501" s="47" t="str">
        <f aca="false">IF(AI495&gt;0,AI489/AI495,"")</f>
        <v/>
      </c>
      <c r="AJ501" s="47" t="str">
        <f aca="false">IF(AJ495&gt;0,AJ489/AJ495,"")</f>
        <v/>
      </c>
      <c r="AK501" s="47" t="str">
        <f aca="false">IF(AK495&gt;0,AK489/AK495,"")</f>
        <v/>
      </c>
      <c r="AL501" s="47" t="str">
        <f aca="false">IF(AL495&gt;0,AL489/AL495,"")</f>
        <v/>
      </c>
      <c r="AM501" s="47" t="str">
        <f aca="false">IF(AM495&gt;0,AM489/AM495,"")</f>
        <v/>
      </c>
      <c r="AN501" s="47" t="str">
        <f aca="false">IF(AN495&gt;0,AN489/AN495,"")</f>
        <v/>
      </c>
      <c r="AO501" s="47" t="str">
        <f aca="false">IF(AO495&gt;0,AO489/AO495,"")</f>
        <v/>
      </c>
      <c r="AP501" s="47" t="str">
        <f aca="false">IF(AP495&gt;0,AP489/AP495,"")</f>
        <v/>
      </c>
      <c r="AQ501" s="47" t="str">
        <f aca="false">IF(AQ495&gt;0,AQ489/AQ495,"")</f>
        <v/>
      </c>
      <c r="AR501" s="47" t="str">
        <f aca="false">IF(AR495&gt;0,AR489/AR495,"")</f>
        <v/>
      </c>
      <c r="AS501" s="47" t="str">
        <f aca="false">IF(AS495&gt;0,AS489/AS495,"")</f>
        <v/>
      </c>
    </row>
    <row r="502" customFormat="false" ht="14.25" hidden="false" customHeight="false" outlineLevel="0" collapsed="false">
      <c r="C502" s="6" t="s">
        <v>326</v>
      </c>
      <c r="D502" s="2" t="s">
        <v>3</v>
      </c>
      <c r="J502" s="76" t="n">
        <f aca="false">(1+Discount_Rate)^((Inputs!$G$26-J$358)/Days_In_Year)</f>
        <v>1.41371255107938</v>
      </c>
      <c r="K502" s="76" t="n">
        <f aca="false">(1+Discount_Rate)^((Inputs!$G$26-K$358)/Days_In_Year)</f>
        <v>1.30899310285128</v>
      </c>
      <c r="L502" s="76" t="n">
        <f aca="false">(1+Discount_Rate)^((Inputs!$G$26-L$358)/Days_In_Year)</f>
        <v>1.21177511843915</v>
      </c>
      <c r="M502" s="76" t="n">
        <f aca="false">(1+Discount_Rate)^((Inputs!$G$26-M$358)/Days_In_Year)</f>
        <v>1.12201399855477</v>
      </c>
      <c r="N502" s="76" t="n">
        <f aca="false">(1+Discount_Rate)^((Inputs!$G$26-N$358)/Days_In_Year)</f>
        <v>1.03890185051367</v>
      </c>
      <c r="O502" s="76" t="n">
        <f aca="false">(1+Discount_Rate)^((Inputs!$G$26-O$358)/Days_In_Year)</f>
        <v>0.961946157883031</v>
      </c>
      <c r="P502" s="76" t="n">
        <f aca="false">(1+Discount_Rate)^((Inputs!$G$26-P$358)/Days_In_Year)</f>
        <v>0.890503102622714</v>
      </c>
      <c r="Q502" s="76" t="n">
        <f aca="false">(1+Discount_Rate)^((Inputs!$G$26-Q$358)/Days_In_Year)</f>
        <v>0.824539909835846</v>
      </c>
      <c r="R502" s="76" t="n">
        <f aca="false">(1+Discount_Rate)^((Inputs!$G$26-R$358)/Days_In_Year)</f>
        <v>0.763462879477635</v>
      </c>
      <c r="S502" s="76" t="n">
        <f aca="false">(1+Discount_Rate)^((Inputs!$G$26-S$358)/Days_In_Year)</f>
        <v>0.706910073590403</v>
      </c>
      <c r="T502" s="76" t="n">
        <f aca="false">(1+Discount_Rate)^((Inputs!$G$26-T$358)/Days_In_Year)</f>
        <v>0.654408366464987</v>
      </c>
      <c r="U502" s="76" t="n">
        <f aca="false">(1+Discount_Rate)^((Inputs!$G$26-U$358)/Days_In_Year)</f>
        <v>0.605933672652766</v>
      </c>
      <c r="V502" s="76" t="n">
        <f aca="false">(1+Discount_Rate)^((Inputs!$G$26-V$358)/Days_In_Year)</f>
        <v>0.561049696900709</v>
      </c>
      <c r="W502" s="76" t="n">
        <f aca="false">(1+Discount_Rate)^((Inputs!$G$26-W$358)/Days_In_Year)</f>
        <v>0.519490460093249</v>
      </c>
      <c r="X502" s="76" t="n">
        <f aca="false">(1+Discount_Rate)^((Inputs!$G$26-X$358)/Days_In_Year)</f>
        <v>0.480908274028566</v>
      </c>
      <c r="Y502" s="76" t="n">
        <f aca="false">(1+Discount_Rate)^((Inputs!$G$26-Y$358)/Days_In_Year)</f>
        <v>0.445285438915339</v>
      </c>
      <c r="Z502" s="76" t="n">
        <f aca="false">(1+Discount_Rate)^((Inputs!$G$26-Z$358)/Days_In_Year)</f>
        <v>0.412301332329018</v>
      </c>
      <c r="AA502" s="76" t="n">
        <f aca="false">(1+Discount_Rate)^((Inputs!$G$26-AA$358)/Days_In_Year)</f>
        <v>0.381760492897239</v>
      </c>
      <c r="AB502" s="76" t="n">
        <f aca="false">(1+Discount_Rate)^((Inputs!$G$26-AB$358)/Days_In_Year)</f>
        <v>0.353407413292154</v>
      </c>
      <c r="AC502" s="76" t="n">
        <f aca="false">(1+Discount_Rate)^((Inputs!$G$26-AC$358)/Days_In_Year)</f>
        <v>0.327229086381624</v>
      </c>
      <c r="AD502" s="76" t="n">
        <f aca="false">(1+Discount_Rate)^((Inputs!$G$26-AD$358)/Days_In_Year)</f>
        <v>0.3029898947978</v>
      </c>
      <c r="AE502" s="76" t="n">
        <f aca="false">(1+Discount_Rate)^((Inputs!$G$26-AE$358)/Days_In_Year)</f>
        <v>0.280546198886852</v>
      </c>
      <c r="AF502" s="76" t="n">
        <f aca="false">(1+Discount_Rate)^((Inputs!$G$26-AF$358)/Days_In_Year)</f>
        <v>0.259710232730228</v>
      </c>
      <c r="AG502" s="76" t="n">
        <f aca="false">(1+Discount_Rate)^((Inputs!$G$26-AG$358)/Days_In_Year)</f>
        <v>0.240472437713174</v>
      </c>
      <c r="AH502" s="76" t="n">
        <f aca="false">(1+Discount_Rate)^((Inputs!$G$26-AH$358)/Days_In_Year)</f>
        <v>0.222659664549235</v>
      </c>
      <c r="AI502" s="76" t="n">
        <f aca="false">(1+Discount_Rate)^((Inputs!$G$26-AI$358)/Days_In_Year)</f>
        <v>0.206166356064106</v>
      </c>
      <c r="AJ502" s="76" t="n">
        <f aca="false">(1+Discount_Rate)^((Inputs!$G$26-AJ$358)/Days_In_Year)</f>
        <v>0.190854527799705</v>
      </c>
      <c r="AK502" s="76" t="n">
        <f aca="false">(1+Discount_Rate)^((Inputs!$G$26-AK$358)/Days_In_Year)</f>
        <v>0.176717155370097</v>
      </c>
      <c r="AL502" s="76" t="n">
        <f aca="false">(1+Discount_Rate)^((Inputs!$G$26-AL$358)/Days_In_Year)</f>
        <v>0.163626995713053</v>
      </c>
      <c r="AM502" s="76" t="n">
        <f aca="false">(1+Discount_Rate)^((Inputs!$G$26-AM$358)/Days_In_Year)</f>
        <v>0.151506477512086</v>
      </c>
      <c r="AN502" s="76" t="n">
        <f aca="false">(1+Discount_Rate)^((Inputs!$G$26-AN$358)/Days_In_Year)</f>
        <v>0.140254199454224</v>
      </c>
      <c r="AO502" s="76" t="n">
        <f aca="false">(1+Discount_Rate)^((Inputs!$G$26-AO$358)/Days_In_Year)</f>
        <v>0.129864999494652</v>
      </c>
      <c r="AP502" s="76" t="n">
        <f aca="false">(1+Discount_Rate)^((Inputs!$G$26-AP$358)/Days_In_Year)</f>
        <v>0.120245369902455</v>
      </c>
      <c r="AQ502" s="76" t="n">
        <f aca="false">(1+Discount_Rate)^((Inputs!$G$26-AQ$358)/Days_In_Year)</f>
        <v>0.111338305465236</v>
      </c>
      <c r="AR502" s="76" t="n">
        <f aca="false">(1+Discount_Rate)^((Inputs!$G$26-AR$358)/Days_In_Year)</f>
        <v>0.103069288904634</v>
      </c>
      <c r="AS502" s="76" t="n">
        <f aca="false">(1+Discount_Rate)^((Inputs!$G$26-AS$358)/Days_In_Year)</f>
        <v>0.0954345267635496</v>
      </c>
    </row>
    <row r="503" customFormat="false" ht="14.25" hidden="false" customHeight="false" outlineLevel="0" collapsed="false">
      <c r="C503" s="6" t="s">
        <v>327</v>
      </c>
      <c r="D503" s="2" t="s">
        <v>85</v>
      </c>
      <c r="H503" s="8" t="n">
        <f aca="false">SUM(J503:AS503)</f>
        <v>117317.066600666</v>
      </c>
      <c r="J503" s="8" t="n">
        <f aca="false">J489*J502</f>
        <v>0</v>
      </c>
      <c r="K503" s="8" t="n">
        <f aca="false">K489*K502</f>
        <v>0</v>
      </c>
      <c r="L503" s="8" t="n">
        <f aca="false">L489*L502</f>
        <v>0</v>
      </c>
      <c r="M503" s="8" t="n">
        <f aca="false">M489*M502</f>
        <v>0</v>
      </c>
      <c r="N503" s="8" t="n">
        <f aca="false">N489*N502</f>
        <v>0</v>
      </c>
      <c r="O503" s="8" t="n">
        <f aca="false">O489*O502</f>
        <v>4876.8474889626</v>
      </c>
      <c r="P503" s="8" t="n">
        <f aca="false">P489*P502</f>
        <v>9090.53934016054</v>
      </c>
      <c r="Q503" s="8" t="n">
        <f aca="false">Q489*Q502</f>
        <v>8443.85559204061</v>
      </c>
      <c r="R503" s="8" t="n">
        <f aca="false">R489*R502</f>
        <v>7842.46260690271</v>
      </c>
      <c r="S503" s="8" t="n">
        <f aca="false">S489*S502</f>
        <v>7283.2240477567</v>
      </c>
      <c r="T503" s="8" t="n">
        <f aca="false">T489*T502</f>
        <v>6761.79304646313</v>
      </c>
      <c r="U503" s="8" t="n">
        <f aca="false">U489*U502</f>
        <v>6278.40300363448</v>
      </c>
      <c r="V503" s="8" t="n">
        <f aca="false">V489*V502</f>
        <v>5828.9855926955</v>
      </c>
      <c r="W503" s="8" t="n">
        <f aca="false">W489*W502</f>
        <v>5411.1821806256</v>
      </c>
      <c r="X503" s="8" t="n">
        <f aca="false">X489*X502</f>
        <v>5021.73745515717</v>
      </c>
      <c r="Y503" s="8" t="n">
        <f aca="false">Y489*Y502</f>
        <v>4660.80027334854</v>
      </c>
      <c r="Z503" s="8" t="n">
        <f aca="false">Z489*Z502</f>
        <v>4325.32588573996</v>
      </c>
      <c r="AA503" s="8" t="n">
        <f aca="false">AA489*AA502</f>
        <v>4013.54157817309</v>
      </c>
      <c r="AB503" s="8" t="n">
        <f aca="false">AB489*AB502</f>
        <v>3723.01176986731</v>
      </c>
      <c r="AC503" s="8" t="n">
        <f aca="false">AC489*AC502</f>
        <v>3453.82676468588</v>
      </c>
      <c r="AD503" s="8" t="n">
        <f aca="false">AD489*AD502</f>
        <v>3203.71011489412</v>
      </c>
      <c r="AE503" s="8" t="n">
        <f aca="false">AE489*AE502</f>
        <v>2971.33032336828</v>
      </c>
      <c r="AF503" s="8" t="n">
        <f aca="false">AF489*AF502</f>
        <v>2754.86696923197</v>
      </c>
      <c r="AG503" s="8" t="n">
        <f aca="false">AG489*AG502</f>
        <v>2554.37040340407</v>
      </c>
      <c r="AH503" s="8" t="n">
        <f aca="false">AH489*AH502</f>
        <v>2368.14043793919</v>
      </c>
      <c r="AI503" s="8" t="n">
        <f aca="false">AI489*AI502</f>
        <v>2195.17765884097</v>
      </c>
      <c r="AJ503" s="8" t="n">
        <f aca="false">AJ489*AJ502</f>
        <v>2034.12293346623</v>
      </c>
      <c r="AK503" s="8" t="n">
        <f aca="false">AK489*AK502</f>
        <v>1884.99987986481</v>
      </c>
      <c r="AL503" s="8" t="n">
        <f aca="false">AL489*AL502</f>
        <v>1746.54018249686</v>
      </c>
      <c r="AM503" s="8" t="n">
        <f aca="false">AM489*AM502</f>
        <v>1617.99423623126</v>
      </c>
      <c r="AN503" s="8" t="n">
        <f aca="false">AN489*AN502</f>
        <v>1498.34852868931</v>
      </c>
      <c r="AO503" s="8" t="n">
        <f aca="false">AO489*AO502</f>
        <v>1387.60926324361</v>
      </c>
      <c r="AP503" s="8" t="n">
        <f aca="false">AP489*AP502</f>
        <v>1284.83150622458</v>
      </c>
      <c r="AQ503" s="8" t="n">
        <f aca="false">AQ489*AQ502</f>
        <v>1189.4534633259</v>
      </c>
      <c r="AR503" s="8" t="n">
        <f aca="false">AR489*AR502</f>
        <v>1100.72034810141</v>
      </c>
      <c r="AS503" s="8" t="n">
        <f aca="false">AS489*AS502</f>
        <v>509.31372512961</v>
      </c>
    </row>
    <row r="504" customFormat="false" ht="14.25" hidden="false" customHeight="false" outlineLevel="0" collapsed="false">
      <c r="C504" s="6" t="s">
        <v>328</v>
      </c>
      <c r="D504" s="2" t="s">
        <v>85</v>
      </c>
      <c r="H504" s="8" t="n">
        <f aca="false">SUM(J504:AS504)</f>
        <v>0</v>
      </c>
      <c r="J504" s="8" t="n">
        <f aca="false">0</f>
        <v>0</v>
      </c>
      <c r="K504" s="8" t="n">
        <f aca="false">0</f>
        <v>0</v>
      </c>
      <c r="L504" s="8" t="n">
        <f aca="false">0</f>
        <v>0</v>
      </c>
      <c r="M504" s="8" t="n">
        <f aca="false">0</f>
        <v>0</v>
      </c>
      <c r="N504" s="8" t="n">
        <f aca="false">0</f>
        <v>0</v>
      </c>
      <c r="O504" s="8" t="n">
        <f aca="false">0</f>
        <v>0</v>
      </c>
      <c r="P504" s="8" t="n">
        <f aca="false">0</f>
        <v>0</v>
      </c>
      <c r="Q504" s="8" t="n">
        <f aca="false">0</f>
        <v>0</v>
      </c>
      <c r="R504" s="8" t="n">
        <f aca="false">0</f>
        <v>0</v>
      </c>
      <c r="S504" s="8" t="n">
        <f aca="false">0</f>
        <v>0</v>
      </c>
      <c r="T504" s="8" t="n">
        <f aca="false">0</f>
        <v>0</v>
      </c>
      <c r="U504" s="8" t="n">
        <f aca="false">0</f>
        <v>0</v>
      </c>
      <c r="V504" s="8" t="n">
        <f aca="false">0</f>
        <v>0</v>
      </c>
      <c r="W504" s="8" t="n">
        <f aca="false">0</f>
        <v>0</v>
      </c>
      <c r="X504" s="8" t="n">
        <f aca="false">0</f>
        <v>0</v>
      </c>
      <c r="Y504" s="8" t="n">
        <f aca="false">0</f>
        <v>0</v>
      </c>
      <c r="Z504" s="8" t="n">
        <f aca="false">0</f>
        <v>0</v>
      </c>
      <c r="AA504" s="8" t="n">
        <f aca="false">0</f>
        <v>0</v>
      </c>
      <c r="AB504" s="8" t="n">
        <f aca="false">0</f>
        <v>0</v>
      </c>
      <c r="AC504" s="8" t="n">
        <f aca="false">0</f>
        <v>0</v>
      </c>
      <c r="AD504" s="8" t="n">
        <f aca="false">0</f>
        <v>0</v>
      </c>
      <c r="AE504" s="8" t="n">
        <f aca="false">0</f>
        <v>0</v>
      </c>
      <c r="AF504" s="8" t="n">
        <f aca="false">0</f>
        <v>0</v>
      </c>
      <c r="AG504" s="8" t="n">
        <f aca="false">0</f>
        <v>0</v>
      </c>
      <c r="AH504" s="8" t="n">
        <f aca="false">0</f>
        <v>0</v>
      </c>
      <c r="AI504" s="8" t="n">
        <f aca="false">0</f>
        <v>0</v>
      </c>
      <c r="AJ504" s="8" t="n">
        <f aca="false">0</f>
        <v>0</v>
      </c>
      <c r="AK504" s="8" t="n">
        <f aca="false">0</f>
        <v>0</v>
      </c>
      <c r="AL504" s="8" t="n">
        <f aca="false">0</f>
        <v>0</v>
      </c>
      <c r="AM504" s="8" t="n">
        <f aca="false">0</f>
        <v>0</v>
      </c>
      <c r="AN504" s="8" t="n">
        <f aca="false">0</f>
        <v>0</v>
      </c>
      <c r="AO504" s="8" t="n">
        <f aca="false">0</f>
        <v>0</v>
      </c>
      <c r="AP504" s="8" t="n">
        <f aca="false">0</f>
        <v>0</v>
      </c>
      <c r="AQ504" s="8" t="n">
        <f aca="false">0</f>
        <v>0</v>
      </c>
      <c r="AR504" s="8" t="n">
        <f aca="false">0</f>
        <v>0</v>
      </c>
      <c r="AS504" s="8" t="n">
        <f aca="false">0</f>
        <v>0</v>
      </c>
    </row>
    <row r="505" customFormat="false" ht="14.25" hidden="false" customHeight="false" outlineLevel="0" collapsed="false">
      <c r="C505" s="1" t="s">
        <v>329</v>
      </c>
      <c r="D505" s="2" t="s">
        <v>85</v>
      </c>
      <c r="H505" s="32" t="n">
        <f aca="false">SUM(J505:AS505)</f>
        <v>40517.0073540907</v>
      </c>
      <c r="J505" s="32" t="n">
        <f aca="false">J475*(J465&lt;=0)+J470*($H503+$G$62+$G$63)+J504</f>
        <v>0</v>
      </c>
      <c r="K505" s="32" t="n">
        <f aca="false">K475*(K465&lt;=0)+K470*($H503+$G$62+$G$63)+K504</f>
        <v>0</v>
      </c>
      <c r="L505" s="32" t="n">
        <f aca="false">L475*(L465&lt;=0)+L470*($H503+$G$62+$G$63)+L504</f>
        <v>0</v>
      </c>
      <c r="M505" s="32" t="n">
        <f aca="false">M475*(M465&lt;=0)+M470*($H503+$G$62+$G$63)+M504</f>
        <v>-29757.5797945206</v>
      </c>
      <c r="N505" s="32" t="n">
        <f aca="false">N475*(N465&lt;=0)+N470*($H503+$G$62+$G$63)+N504</f>
        <v>-31358</v>
      </c>
      <c r="O505" s="32" t="n">
        <f aca="false">O475*(O465&lt;=0)+O470*($H503+$G$62+$G$63)+O504</f>
        <v>101632.587148611</v>
      </c>
      <c r="P505" s="32" t="n">
        <f aca="false">P475*(P465&lt;=0)+P470*($H503+$G$62+$G$63)+P504</f>
        <v>0</v>
      </c>
      <c r="Q505" s="32" t="n">
        <f aca="false">Q475*(Q465&lt;=0)+Q470*($H503+$G$62+$G$63)+Q504</f>
        <v>0</v>
      </c>
      <c r="R505" s="32" t="n">
        <f aca="false">R475*(R465&lt;=0)+R470*($H503+$G$62+$G$63)+R504</f>
        <v>0</v>
      </c>
      <c r="S505" s="32" t="n">
        <f aca="false">S475*(S465&lt;=0)+S470*($H503+$G$62+$G$63)+S504</f>
        <v>0</v>
      </c>
      <c r="T505" s="32" t="n">
        <f aca="false">T475*(T465&lt;=0)+T470*($H503+$G$62+$G$63)+T504</f>
        <v>0</v>
      </c>
      <c r="U505" s="32" t="n">
        <f aca="false">U475*(U465&lt;=0)+U470*($H503+$G$62+$G$63)+U504</f>
        <v>0</v>
      </c>
      <c r="V505" s="32" t="n">
        <f aca="false">V475*(V465&lt;=0)+V470*($H503+$G$62+$G$63)+V504</f>
        <v>0</v>
      </c>
      <c r="W505" s="32" t="n">
        <f aca="false">W475*(W465&lt;=0)+W470*($H503+$G$62+$G$63)+W504</f>
        <v>0</v>
      </c>
      <c r="X505" s="32" t="n">
        <f aca="false">X475*(X465&lt;=0)+X470*($H503+$G$62+$G$63)+X504</f>
        <v>0</v>
      </c>
      <c r="Y505" s="32" t="n">
        <f aca="false">Y475*(Y465&lt;=0)+Y470*($H503+$G$62+$G$63)+Y504</f>
        <v>0</v>
      </c>
      <c r="Z505" s="32" t="n">
        <f aca="false">Z475*(Z465&lt;=0)+Z470*($H503+$G$62+$G$63)+Z504</f>
        <v>0</v>
      </c>
      <c r="AA505" s="32" t="n">
        <f aca="false">AA475*(AA465&lt;=0)+AA470*($H503+$G$62+$G$63)+AA504</f>
        <v>0</v>
      </c>
      <c r="AB505" s="32" t="n">
        <f aca="false">AB475*(AB465&lt;=0)+AB470*($H503+$G$62+$G$63)+AB504</f>
        <v>0</v>
      </c>
      <c r="AC505" s="32" t="n">
        <f aca="false">AC475*(AC465&lt;=0)+AC470*($H503+$G$62+$G$63)+AC504</f>
        <v>0</v>
      </c>
      <c r="AD505" s="32" t="n">
        <f aca="false">AD475*(AD465&lt;=0)+AD470*($H503+$G$62+$G$63)+AD504</f>
        <v>0</v>
      </c>
      <c r="AE505" s="32" t="n">
        <f aca="false">AE475*(AE465&lt;=0)+AE470*($H503+$G$62+$G$63)+AE504</f>
        <v>0</v>
      </c>
      <c r="AF505" s="32" t="n">
        <f aca="false">AF475*(AF465&lt;=0)+AF470*($H503+$G$62+$G$63)+AF504</f>
        <v>0</v>
      </c>
      <c r="AG505" s="32" t="n">
        <f aca="false">AG475*(AG465&lt;=0)+AG470*($H503+$G$62+$G$63)+AG504</f>
        <v>0</v>
      </c>
      <c r="AH505" s="32" t="n">
        <f aca="false">AH475*(AH465&lt;=0)+AH470*($H503+$G$62+$G$63)+AH504</f>
        <v>0</v>
      </c>
      <c r="AI505" s="32" t="n">
        <f aca="false">AI475*(AI465&lt;=0)+AI470*($H503+$G$62+$G$63)+AI504</f>
        <v>0</v>
      </c>
      <c r="AJ505" s="32" t="n">
        <f aca="false">AJ475*(AJ465&lt;=0)+AJ470*($H503+$G$62+$G$63)+AJ504</f>
        <v>0</v>
      </c>
      <c r="AK505" s="32" t="n">
        <f aca="false">AK475*(AK465&lt;=0)+AK470*($H503+$G$62+$G$63)+AK504</f>
        <v>0</v>
      </c>
      <c r="AL505" s="32" t="n">
        <f aca="false">AL475*(AL465&lt;=0)+AL470*($H503+$G$62+$G$63)+AL504</f>
        <v>0</v>
      </c>
      <c r="AM505" s="32" t="n">
        <f aca="false">AM475*(AM465&lt;=0)+AM470*($H503+$G$62+$G$63)+AM504</f>
        <v>0</v>
      </c>
      <c r="AN505" s="32" t="n">
        <f aca="false">AN475*(AN465&lt;=0)+AN470*($H503+$G$62+$G$63)+AN504</f>
        <v>0</v>
      </c>
      <c r="AO505" s="32" t="n">
        <f aca="false">AO475*(AO465&lt;=0)+AO470*($H503+$G$62+$G$63)+AO504</f>
        <v>0</v>
      </c>
      <c r="AP505" s="32" t="n">
        <f aca="false">AP475*(AP465&lt;=0)+AP470*($H503+$G$62+$G$63)+AP504</f>
        <v>0</v>
      </c>
      <c r="AQ505" s="32" t="n">
        <f aca="false">AQ475*(AQ465&lt;=0)+AQ470*($H503+$G$62+$G$63)+AQ504</f>
        <v>0</v>
      </c>
      <c r="AR505" s="32" t="n">
        <f aca="false">AR475*(AR465&lt;=0)+AR470*($H503+$G$62+$G$63)+AR504</f>
        <v>0</v>
      </c>
      <c r="AS505" s="32" t="n">
        <f aca="false">AS475*(AS465&lt;=0)+AS470*($H503+$G$62+$G$63)+AS504</f>
        <v>0</v>
      </c>
    </row>
    <row r="506" customFormat="false" ht="14.25" hidden="false" customHeight="false" outlineLevel="0" collapsed="false">
      <c r="C506" s="41" t="s">
        <v>330</v>
      </c>
      <c r="D506" s="42"/>
      <c r="E506" s="43"/>
      <c r="F506" s="43"/>
      <c r="G506" s="43"/>
      <c r="H506" s="43"/>
    </row>
    <row r="507" customFormat="false" ht="14.25" hidden="false" customHeight="false" outlineLevel="0" collapsed="false">
      <c r="C507" s="6" t="s">
        <v>331</v>
      </c>
      <c r="D507" s="2" t="s">
        <v>85</v>
      </c>
      <c r="H507" s="8"/>
      <c r="J507" s="8" t="n">
        <f aca="false">(I507*(1+Rate_Cash)+SUMPRODUCT(-$G340:$G345*$O340:$O345*(YEAR($L340:$L345)=J357)))*(J358&lt;$G190)</f>
        <v>517.626991930944</v>
      </c>
      <c r="K507" s="8" t="n">
        <f aca="false">(J507*(1+Rate_Cash)+SUMPRODUCT(-$G340:$G345*$O340:$O345*(YEAR($L340:$L345)=K357)))*(K358&lt;$G190)</f>
        <v>3493.22099245637</v>
      </c>
      <c r="L507" s="8" t="n">
        <f aca="false">(K507*(1+Rate_Cash)+SUMPRODUCT(-$G340:$G345*$O340:$O345*(YEAR($L340:$L345)=L357)))*(L358&lt;$G190)</f>
        <v>7373.84971354025</v>
      </c>
      <c r="M507" s="8" t="n">
        <f aca="false">(L507*(1+Rate_Cash)+SUMPRODUCT(-$G340:$G345*$O340:$O345*(YEAR($L340:$L345)=M357)))*(M358&lt;$G190)</f>
        <v>0</v>
      </c>
      <c r="N507" s="8" t="n">
        <f aca="false">(M507*(1+Rate_Cash)+SUMPRODUCT(-$G340:$G345*$O340:$O345*(YEAR($L340:$L345)=N357)))*(N358&lt;$G190)</f>
        <v>0</v>
      </c>
      <c r="O507" s="8" t="n">
        <f aca="false">(N507*(1+Rate_Cash)+SUMPRODUCT(-$G340:$G345*$O340:$O345*(YEAR($L340:$L345)=O357)))*(O358&lt;$G190)</f>
        <v>0</v>
      </c>
      <c r="P507" s="8" t="n">
        <f aca="false">(O507*(1+Rate_Cash)+SUMPRODUCT(-$G340:$G345*$O340:$O345*(YEAR($L340:$L345)=P357)))*(P358&lt;$G190)</f>
        <v>0</v>
      </c>
      <c r="Q507" s="8" t="n">
        <f aca="false">(P507*(1+Rate_Cash)+SUMPRODUCT(-$G340:$G345*$O340:$O345*(YEAR($L340:$L345)=Q357)))*(Q358&lt;$G190)</f>
        <v>0</v>
      </c>
      <c r="R507" s="8" t="n">
        <f aca="false">(Q507*(1+Rate_Cash)+SUMPRODUCT(-$G340:$G345*$O340:$O345*(YEAR($L340:$L345)=R357)))*(R358&lt;$G190)</f>
        <v>0</v>
      </c>
      <c r="S507" s="8" t="n">
        <f aca="false">(R507*(1+Rate_Cash)+SUMPRODUCT(-$G340:$G345*$O340:$O345*(YEAR($L340:$L345)=S357)))*(S358&lt;$G190)</f>
        <v>0</v>
      </c>
      <c r="T507" s="8" t="n">
        <f aca="false">(S507*(1+Rate_Cash)+SUMPRODUCT(-$G340:$G345*$O340:$O345*(YEAR($L340:$L345)=T357)))*(T358&lt;$G190)</f>
        <v>0</v>
      </c>
      <c r="U507" s="8" t="n">
        <f aca="false">(T507*(1+Rate_Cash)+SUMPRODUCT(-$G340:$G345*$O340:$O345*(YEAR($L340:$L345)=U357)))*(U358&lt;$G190)</f>
        <v>0</v>
      </c>
      <c r="V507" s="8" t="n">
        <f aca="false">(U507*(1+Rate_Cash)+SUMPRODUCT(-$G340:$G345*$O340:$O345*(YEAR($L340:$L345)=V357)))*(V358&lt;$G190)</f>
        <v>0</v>
      </c>
      <c r="W507" s="8" t="n">
        <f aca="false">(V507*(1+Rate_Cash)+SUMPRODUCT(-$G340:$G345*$O340:$O345*(YEAR($L340:$L345)=W357)))*(W358&lt;$G190)</f>
        <v>0</v>
      </c>
      <c r="X507" s="8" t="n">
        <f aca="false">(W507*(1+Rate_Cash)+SUMPRODUCT(-$G340:$G345*$O340:$O345*(YEAR($L340:$L345)=X357)))*(X358&lt;$G190)</f>
        <v>0</v>
      </c>
      <c r="Y507" s="8" t="n">
        <f aca="false">(X507*(1+Rate_Cash)+SUMPRODUCT(-$G340:$G345*$O340:$O345*(YEAR($L340:$L345)=Y357)))*(Y358&lt;$G190)</f>
        <v>0</v>
      </c>
      <c r="Z507" s="8" t="n">
        <f aca="false">(Y507*(1+Rate_Cash)+SUMPRODUCT(-$G340:$G345*$O340:$O345*(YEAR($L340:$L345)=Z357)))*(Z358&lt;$G190)</f>
        <v>0</v>
      </c>
      <c r="AA507" s="8" t="n">
        <f aca="false">(Z507*(1+Rate_Cash)+SUMPRODUCT(-$G340:$G345*$O340:$O345*(YEAR($L340:$L345)=AA357)))*(AA358&lt;$G190)</f>
        <v>0</v>
      </c>
      <c r="AB507" s="8" t="n">
        <f aca="false">(AA507*(1+Rate_Cash)+SUMPRODUCT(-$G340:$G345*$O340:$O345*(YEAR($L340:$L345)=AB357)))*(AB358&lt;$G190)</f>
        <v>0</v>
      </c>
      <c r="AC507" s="8" t="n">
        <f aca="false">(AB507*(1+Rate_Cash)+SUMPRODUCT(-$G340:$G345*$O340:$O345*(YEAR($L340:$L345)=AC357)))*(AC358&lt;$G190)</f>
        <v>0</v>
      </c>
      <c r="AD507" s="8" t="n">
        <f aca="false">(AC507*(1+Rate_Cash)+SUMPRODUCT(-$G340:$G345*$O340:$O345*(YEAR($L340:$L345)=AD357)))*(AD358&lt;$G190)</f>
        <v>0</v>
      </c>
      <c r="AE507" s="8" t="n">
        <f aca="false">(AD507*(1+Rate_Cash)+SUMPRODUCT(-$G340:$G345*$O340:$O345*(YEAR($L340:$L345)=AE357)))*(AE358&lt;$G190)</f>
        <v>0</v>
      </c>
      <c r="AF507" s="8" t="n">
        <f aca="false">(AE507*(1+Rate_Cash)+SUMPRODUCT(-$G340:$G345*$O340:$O345*(YEAR($L340:$L345)=AF357)))*(AF358&lt;$G190)</f>
        <v>0</v>
      </c>
      <c r="AG507" s="8" t="n">
        <f aca="false">(AF507*(1+Rate_Cash)+SUMPRODUCT(-$G340:$G345*$O340:$O345*(YEAR($L340:$L345)=AG357)))*(AG358&lt;$G190)</f>
        <v>0</v>
      </c>
      <c r="AH507" s="8" t="n">
        <f aca="false">(AG507*(1+Rate_Cash)+SUMPRODUCT(-$G340:$G345*$O340:$O345*(YEAR($L340:$L345)=AH357)))*(AH358&lt;$G190)</f>
        <v>0</v>
      </c>
      <c r="AI507" s="8" t="n">
        <f aca="false">(AH507*(1+Rate_Cash)+SUMPRODUCT(-$G340:$G345*$O340:$O345*(YEAR($L340:$L345)=AI357)))*(AI358&lt;$G190)</f>
        <v>0</v>
      </c>
      <c r="AJ507" s="8" t="n">
        <f aca="false">(AI507*(1+Rate_Cash)+SUMPRODUCT(-$G340:$G345*$O340:$O345*(YEAR($L340:$L345)=AJ357)))*(AJ358&lt;$G190)</f>
        <v>0</v>
      </c>
      <c r="AK507" s="8" t="n">
        <f aca="false">(AJ507*(1+Rate_Cash)+SUMPRODUCT(-$G340:$G345*$O340:$O345*(YEAR($L340:$L345)=AK357)))*(AK358&lt;$G190)</f>
        <v>0</v>
      </c>
      <c r="AL507" s="8" t="n">
        <f aca="false">(AK507*(1+Rate_Cash)+SUMPRODUCT(-$G340:$G345*$O340:$O345*(YEAR($L340:$L345)=AL357)))*(AL358&lt;$G190)</f>
        <v>0</v>
      </c>
      <c r="AM507" s="8" t="n">
        <f aca="false">(AL507*(1+Rate_Cash)+SUMPRODUCT(-$G340:$G345*$O340:$O345*(YEAR($L340:$L345)=AM357)))*(AM358&lt;$G190)</f>
        <v>0</v>
      </c>
      <c r="AN507" s="8" t="n">
        <f aca="false">(AM507*(1+Rate_Cash)+SUMPRODUCT(-$G340:$G345*$O340:$O345*(YEAR($L340:$L345)=AN357)))*(AN358&lt;$G190)</f>
        <v>0</v>
      </c>
      <c r="AO507" s="8" t="n">
        <f aca="false">(AN507*(1+Rate_Cash)+SUMPRODUCT(-$G340:$G345*$O340:$O345*(YEAR($L340:$L345)=AO357)))*(AO358&lt;$G190)</f>
        <v>0</v>
      </c>
      <c r="AP507" s="8" t="n">
        <f aca="false">(AO507*(1+Rate_Cash)+SUMPRODUCT(-$G340:$G345*$O340:$O345*(YEAR($L340:$L345)=AP357)))*(AP358&lt;$G190)</f>
        <v>0</v>
      </c>
      <c r="AQ507" s="8" t="n">
        <f aca="false">(AP507*(1+Rate_Cash)+SUMPRODUCT(-$G340:$G345*$O340:$O345*(YEAR($L340:$L345)=AQ357)))*(AQ358&lt;$G190)</f>
        <v>0</v>
      </c>
      <c r="AR507" s="8" t="n">
        <f aca="false">(AQ507*(1+Rate_Cash)+SUMPRODUCT(-$G340:$G345*$O340:$O345*(YEAR($L340:$L345)=AR357)))*(AR358&lt;$G190)</f>
        <v>0</v>
      </c>
      <c r="AS507" s="8" t="n">
        <f aca="false">(AR507*(1+Rate_Cash)+SUMPRODUCT(-$G340:$G345*$O340:$O345*(YEAR($L340:$L345)=AS357)))*(AS358&lt;$G190)</f>
        <v>0</v>
      </c>
    </row>
    <row r="508" customFormat="false" ht="14.25" hidden="false" customHeight="false" outlineLevel="0" collapsed="false">
      <c r="C508" s="6" t="s">
        <v>332</v>
      </c>
      <c r="D508" s="2" t="s">
        <v>85</v>
      </c>
      <c r="H508" s="8"/>
      <c r="J508" s="8" t="n">
        <f aca="false">(I508*(1+Rate_Devex)+SUMPRODUCT(-$G346:$G347*$O346:$O347*(YEAR($L346:$L347)=J357)))*(J358&lt;$G190)</f>
        <v>0</v>
      </c>
      <c r="K508" s="8" t="n">
        <f aca="false">(J508*(1+Rate_Devex)+SUMPRODUCT(-$G346:$G347*$O346:$O347*(YEAR($L346:$L347)=K357)))*(K358&lt;$G190)</f>
        <v>716.033459724017</v>
      </c>
      <c r="L508" s="8" t="n">
        <f aca="false">(K508*(1+Rate_Devex)+SUMPRODUCT(-$G346:$G347*$O346:$O347*(YEAR($L346:$L347)=L357)))*(L358&lt;$G190)</f>
        <v>981.326219036057</v>
      </c>
      <c r="M508" s="8" t="n">
        <f aca="false">(L508*(1+Rate_Devex)+SUMPRODUCT(-$G346:$G347*$O346:$O347*(YEAR($L346:$L347)=M357)))*(M358&lt;$G190)</f>
        <v>0</v>
      </c>
      <c r="N508" s="8" t="n">
        <f aca="false">(M508*(1+Rate_Devex)+SUMPRODUCT(-$G346:$G347*$O346:$O347*(YEAR($L346:$L347)=N357)))*(N358&lt;$G190)</f>
        <v>0</v>
      </c>
      <c r="O508" s="8" t="n">
        <f aca="false">(N508*(1+Rate_Devex)+SUMPRODUCT(-$G346:$G347*$O346:$O347*(YEAR($L346:$L347)=O357)))*(O358&lt;$G190)</f>
        <v>0</v>
      </c>
      <c r="P508" s="8" t="n">
        <f aca="false">(O508*(1+Rate_Devex)+SUMPRODUCT(-$G346:$G347*$O346:$O347*(YEAR($L346:$L347)=P357)))*(P358&lt;$G190)</f>
        <v>0</v>
      </c>
      <c r="Q508" s="8" t="n">
        <f aca="false">(P508*(1+Rate_Devex)+SUMPRODUCT(-$G346:$G347*$O346:$O347*(YEAR($L346:$L347)=Q357)))*(Q358&lt;$G190)</f>
        <v>0</v>
      </c>
      <c r="R508" s="8" t="n">
        <f aca="false">(Q508*(1+Rate_Devex)+SUMPRODUCT(-$G346:$G347*$O346:$O347*(YEAR($L346:$L347)=R357)))*(R358&lt;$G190)</f>
        <v>0</v>
      </c>
      <c r="S508" s="8" t="n">
        <f aca="false">(R508*(1+Rate_Devex)+SUMPRODUCT(-$G346:$G347*$O346:$O347*(YEAR($L346:$L347)=S357)))*(S358&lt;$G190)</f>
        <v>0</v>
      </c>
      <c r="T508" s="8" t="n">
        <f aca="false">(S508*(1+Rate_Devex)+SUMPRODUCT(-$G346:$G347*$O346:$O347*(YEAR($L346:$L347)=T357)))*(T358&lt;$G190)</f>
        <v>0</v>
      </c>
      <c r="U508" s="8" t="n">
        <f aca="false">(T508*(1+Rate_Devex)+SUMPRODUCT(-$G346:$G347*$O346:$O347*(YEAR($L346:$L347)=U357)))*(U358&lt;$G190)</f>
        <v>0</v>
      </c>
      <c r="V508" s="8" t="n">
        <f aca="false">(U508*(1+Rate_Devex)+SUMPRODUCT(-$G346:$G347*$O346:$O347*(YEAR($L346:$L347)=V357)))*(V358&lt;$G190)</f>
        <v>0</v>
      </c>
      <c r="W508" s="8" t="n">
        <f aca="false">(V508*(1+Rate_Devex)+SUMPRODUCT(-$G346:$G347*$O346:$O347*(YEAR($L346:$L347)=W357)))*(W358&lt;$G190)</f>
        <v>0</v>
      </c>
      <c r="X508" s="8" t="n">
        <f aca="false">(W508*(1+Rate_Devex)+SUMPRODUCT(-$G346:$G347*$O346:$O347*(YEAR($L346:$L347)=X357)))*(X358&lt;$G190)</f>
        <v>0</v>
      </c>
      <c r="Y508" s="8" t="n">
        <f aca="false">(X508*(1+Rate_Devex)+SUMPRODUCT(-$G346:$G347*$O346:$O347*(YEAR($L346:$L347)=Y357)))*(Y358&lt;$G190)</f>
        <v>0</v>
      </c>
      <c r="Z508" s="8" t="n">
        <f aca="false">(Y508*(1+Rate_Devex)+SUMPRODUCT(-$G346:$G347*$O346:$O347*(YEAR($L346:$L347)=Z357)))*(Z358&lt;$G190)</f>
        <v>0</v>
      </c>
      <c r="AA508" s="8" t="n">
        <f aca="false">(Z508*(1+Rate_Devex)+SUMPRODUCT(-$G346:$G347*$O346:$O347*(YEAR($L346:$L347)=AA357)))*(AA358&lt;$G190)</f>
        <v>0</v>
      </c>
      <c r="AB508" s="8" t="n">
        <f aca="false">(AA508*(1+Rate_Devex)+SUMPRODUCT(-$G346:$G347*$O346:$O347*(YEAR($L346:$L347)=AB357)))*(AB358&lt;$G190)</f>
        <v>0</v>
      </c>
      <c r="AC508" s="8" t="n">
        <f aca="false">(AB508*(1+Rate_Devex)+SUMPRODUCT(-$G346:$G347*$O346:$O347*(YEAR($L346:$L347)=AC357)))*(AC358&lt;$G190)</f>
        <v>0</v>
      </c>
      <c r="AD508" s="8" t="n">
        <f aca="false">(AC508*(1+Rate_Devex)+SUMPRODUCT(-$G346:$G347*$O346:$O347*(YEAR($L346:$L347)=AD357)))*(AD358&lt;$G190)</f>
        <v>0</v>
      </c>
      <c r="AE508" s="8" t="n">
        <f aca="false">(AD508*(1+Rate_Devex)+SUMPRODUCT(-$G346:$G347*$O346:$O347*(YEAR($L346:$L347)=AE357)))*(AE358&lt;$G190)</f>
        <v>0</v>
      </c>
      <c r="AF508" s="8" t="n">
        <f aca="false">(AE508*(1+Rate_Devex)+SUMPRODUCT(-$G346:$G347*$O346:$O347*(YEAR($L346:$L347)=AF357)))*(AF358&lt;$G190)</f>
        <v>0</v>
      </c>
      <c r="AG508" s="8" t="n">
        <f aca="false">(AF508*(1+Rate_Devex)+SUMPRODUCT(-$G346:$G347*$O346:$O347*(YEAR($L346:$L347)=AG357)))*(AG358&lt;$G190)</f>
        <v>0</v>
      </c>
      <c r="AH508" s="8" t="n">
        <f aca="false">(AG508*(1+Rate_Devex)+SUMPRODUCT(-$G346:$G347*$O346:$O347*(YEAR($L346:$L347)=AH357)))*(AH358&lt;$G190)</f>
        <v>0</v>
      </c>
      <c r="AI508" s="8" t="n">
        <f aca="false">(AH508*(1+Rate_Devex)+SUMPRODUCT(-$G346:$G347*$O346:$O347*(YEAR($L346:$L347)=AI357)))*(AI358&lt;$G190)</f>
        <v>0</v>
      </c>
      <c r="AJ508" s="8" t="n">
        <f aca="false">(AI508*(1+Rate_Devex)+SUMPRODUCT(-$G346:$G347*$O346:$O347*(YEAR($L346:$L347)=AJ357)))*(AJ358&lt;$G190)</f>
        <v>0</v>
      </c>
      <c r="AK508" s="8" t="n">
        <f aca="false">(AJ508*(1+Rate_Devex)+SUMPRODUCT(-$G346:$G347*$O346:$O347*(YEAR($L346:$L347)=AK357)))*(AK358&lt;$G190)</f>
        <v>0</v>
      </c>
      <c r="AL508" s="8" t="n">
        <f aca="false">(AK508*(1+Rate_Devex)+SUMPRODUCT(-$G346:$G347*$O346:$O347*(YEAR($L346:$L347)=AL357)))*(AL358&lt;$G190)</f>
        <v>0</v>
      </c>
      <c r="AM508" s="8" t="n">
        <f aca="false">(AL508*(1+Rate_Devex)+SUMPRODUCT(-$G346:$G347*$O346:$O347*(YEAR($L346:$L347)=AM357)))*(AM358&lt;$G190)</f>
        <v>0</v>
      </c>
      <c r="AN508" s="8" t="n">
        <f aca="false">(AM508*(1+Rate_Devex)+SUMPRODUCT(-$G346:$G347*$O346:$O347*(YEAR($L346:$L347)=AN357)))*(AN358&lt;$G190)</f>
        <v>0</v>
      </c>
      <c r="AO508" s="8" t="n">
        <f aca="false">(AN508*(1+Rate_Devex)+SUMPRODUCT(-$G346:$G347*$O346:$O347*(YEAR($L346:$L347)=AO357)))*(AO358&lt;$G190)</f>
        <v>0</v>
      </c>
      <c r="AP508" s="8" t="n">
        <f aca="false">(AO508*(1+Rate_Devex)+SUMPRODUCT(-$G346:$G347*$O346:$O347*(YEAR($L346:$L347)=AP357)))*(AP358&lt;$G190)</f>
        <v>0</v>
      </c>
      <c r="AQ508" s="8" t="n">
        <f aca="false">(AP508*(1+Rate_Devex)+SUMPRODUCT(-$G346:$G347*$O346:$O347*(YEAR($L346:$L347)=AQ357)))*(AQ358&lt;$G190)</f>
        <v>0</v>
      </c>
      <c r="AR508" s="8" t="n">
        <f aca="false">(AQ508*(1+Rate_Devex)+SUMPRODUCT(-$G346:$G347*$O346:$O347*(YEAR($L346:$L347)=AR357)))*(AR358&lt;$G190)</f>
        <v>0</v>
      </c>
      <c r="AS508" s="8" t="n">
        <f aca="false">(AR508*(1+Rate_Devex)+SUMPRODUCT(-$G346:$G347*$O346:$O347*(YEAR($L346:$L347)=AS357)))*(AS358&lt;$G190)</f>
        <v>0</v>
      </c>
    </row>
    <row r="509" customFormat="false" ht="14.25" hidden="false" customHeight="false" outlineLevel="0" collapsed="false">
      <c r="C509" s="6" t="s">
        <v>333</v>
      </c>
      <c r="D509" s="2" t="s">
        <v>85</v>
      </c>
      <c r="H509" s="8" t="n">
        <f aca="false">SUM(J509:AS509)</f>
        <v>7287.89778895164</v>
      </c>
      <c r="J509" s="8" t="n">
        <f aca="false">-SUMPRODUCT($G340:$G347*(YEAR($L340:$L347)=J357))*(J358&lt;$G190)</f>
        <v>507.123287671233</v>
      </c>
      <c r="K509" s="8" t="n">
        <f aca="false">-SUMPRODUCT($G340:$G347*(YEAR($L340:$L347)=K357))*(K358&lt;$G190)</f>
        <v>3313.15361086944</v>
      </c>
      <c r="L509" s="8" t="n">
        <f aca="false">-SUMPRODUCT($G340:$G347*(YEAR($L340:$L347)=L357))*(L358&lt;$G190)</f>
        <v>3467.62089041096</v>
      </c>
      <c r="M509" s="8" t="n">
        <f aca="false">-SUMPRODUCT($G340:$G347*(YEAR($L340:$L347)=M357))*(M358&lt;$G190)</f>
        <v>-0</v>
      </c>
      <c r="N509" s="8" t="n">
        <f aca="false">-SUMPRODUCT($G340:$G347*(YEAR($L340:$L347)=N357))*(N358&lt;$G190)</f>
        <v>-0</v>
      </c>
      <c r="O509" s="8" t="n">
        <f aca="false">-SUMPRODUCT($G340:$G347*(YEAR($L340:$L347)=O357))*(O358&lt;$G190)</f>
        <v>-0</v>
      </c>
      <c r="P509" s="8" t="n">
        <f aca="false">-SUMPRODUCT($G340:$G347*(YEAR($L340:$L347)=P357))*(P358&lt;$G190)</f>
        <v>-0</v>
      </c>
      <c r="Q509" s="8" t="n">
        <f aca="false">-SUMPRODUCT($G340:$G347*(YEAR($L340:$L347)=Q357))*(Q358&lt;$G190)</f>
        <v>-0</v>
      </c>
      <c r="R509" s="8" t="n">
        <f aca="false">-SUMPRODUCT($G340:$G347*(YEAR($L340:$L347)=R357))*(R358&lt;$G190)</f>
        <v>-0</v>
      </c>
      <c r="S509" s="8" t="n">
        <f aca="false">-SUMPRODUCT($G340:$G347*(YEAR($L340:$L347)=S357))*(S358&lt;$G190)</f>
        <v>-0</v>
      </c>
      <c r="T509" s="8" t="n">
        <f aca="false">-SUMPRODUCT($G340:$G347*(YEAR($L340:$L347)=T357))*(T358&lt;$G190)</f>
        <v>-0</v>
      </c>
      <c r="U509" s="8" t="n">
        <f aca="false">-SUMPRODUCT($G340:$G347*(YEAR($L340:$L347)=U357))*(U358&lt;$G190)</f>
        <v>-0</v>
      </c>
      <c r="V509" s="8" t="n">
        <f aca="false">-SUMPRODUCT($G340:$G347*(YEAR($L340:$L347)=V357))*(V358&lt;$G190)</f>
        <v>-0</v>
      </c>
      <c r="W509" s="8" t="n">
        <f aca="false">-SUMPRODUCT($G340:$G347*(YEAR($L340:$L347)=W357))*(W358&lt;$G190)</f>
        <v>-0</v>
      </c>
      <c r="X509" s="8" t="n">
        <f aca="false">-SUMPRODUCT($G340:$G347*(YEAR($L340:$L347)=X357))*(X358&lt;$G190)</f>
        <v>-0</v>
      </c>
      <c r="Y509" s="8" t="n">
        <f aca="false">-SUMPRODUCT($G340:$G347*(YEAR($L340:$L347)=Y357))*(Y358&lt;$G190)</f>
        <v>-0</v>
      </c>
      <c r="Z509" s="8" t="n">
        <f aca="false">-SUMPRODUCT($G340:$G347*(YEAR($L340:$L347)=Z357))*(Z358&lt;$G190)</f>
        <v>-0</v>
      </c>
      <c r="AA509" s="8" t="n">
        <f aca="false">-SUMPRODUCT($G340:$G347*(YEAR($L340:$L347)=AA357))*(AA358&lt;$G190)</f>
        <v>-0</v>
      </c>
      <c r="AB509" s="8" t="n">
        <f aca="false">-SUMPRODUCT($G340:$G347*(YEAR($L340:$L347)=AB357))*(AB358&lt;$G190)</f>
        <v>-0</v>
      </c>
      <c r="AC509" s="8" t="n">
        <f aca="false">-SUMPRODUCT($G340:$G347*(YEAR($L340:$L347)=AC357))*(AC358&lt;$G190)</f>
        <v>-0</v>
      </c>
      <c r="AD509" s="8" t="n">
        <f aca="false">-SUMPRODUCT($G340:$G347*(YEAR($L340:$L347)=AD357))*(AD358&lt;$G190)</f>
        <v>-0</v>
      </c>
      <c r="AE509" s="8" t="n">
        <f aca="false">-SUMPRODUCT($G340:$G347*(YEAR($L340:$L347)=AE357))*(AE358&lt;$G190)</f>
        <v>-0</v>
      </c>
      <c r="AF509" s="8" t="n">
        <f aca="false">-SUMPRODUCT($G340:$G347*(YEAR($L340:$L347)=AF357))*(AF358&lt;$G190)</f>
        <v>-0</v>
      </c>
      <c r="AG509" s="8" t="n">
        <f aca="false">-SUMPRODUCT($G340:$G347*(YEAR($L340:$L347)=AG357))*(AG358&lt;$G190)</f>
        <v>-0</v>
      </c>
      <c r="AH509" s="8" t="n">
        <f aca="false">-SUMPRODUCT($G340:$G347*(YEAR($L340:$L347)=AH357))*(AH358&lt;$G190)</f>
        <v>-0</v>
      </c>
      <c r="AI509" s="8" t="n">
        <f aca="false">-SUMPRODUCT($G340:$G347*(YEAR($L340:$L347)=AI357))*(AI358&lt;$G190)</f>
        <v>-0</v>
      </c>
      <c r="AJ509" s="8" t="n">
        <f aca="false">-SUMPRODUCT($G340:$G347*(YEAR($L340:$L347)=AJ357))*(AJ358&lt;$G190)</f>
        <v>-0</v>
      </c>
      <c r="AK509" s="8" t="n">
        <f aca="false">-SUMPRODUCT($G340:$G347*(YEAR($L340:$L347)=AK357))*(AK358&lt;$G190)</f>
        <v>-0</v>
      </c>
      <c r="AL509" s="8" t="n">
        <f aca="false">-SUMPRODUCT($G340:$G347*(YEAR($L340:$L347)=AL357))*(AL358&lt;$G190)</f>
        <v>-0</v>
      </c>
      <c r="AM509" s="8" t="n">
        <f aca="false">-SUMPRODUCT($G340:$G347*(YEAR($L340:$L347)=AM357))*(AM358&lt;$G190)</f>
        <v>-0</v>
      </c>
      <c r="AN509" s="8" t="n">
        <f aca="false">-SUMPRODUCT($G340:$G347*(YEAR($L340:$L347)=AN357))*(AN358&lt;$G190)</f>
        <v>-0</v>
      </c>
      <c r="AO509" s="8" t="n">
        <f aca="false">-SUMPRODUCT($G340:$G347*(YEAR($L340:$L347)=AO357))*(AO358&lt;$G190)</f>
        <v>-0</v>
      </c>
      <c r="AP509" s="8" t="n">
        <f aca="false">-SUMPRODUCT($G340:$G347*(YEAR($L340:$L347)=AP357))*(AP358&lt;$G190)</f>
        <v>-0</v>
      </c>
      <c r="AQ509" s="8" t="n">
        <f aca="false">-SUMPRODUCT($G340:$G347*(YEAR($L340:$L347)=AQ357))*(AQ358&lt;$G190)</f>
        <v>-0</v>
      </c>
      <c r="AR509" s="8" t="n">
        <f aca="false">-SUMPRODUCT($G340:$G347*(YEAR($L340:$L347)=AR357))*(AR358&lt;$G190)</f>
        <v>-0</v>
      </c>
      <c r="AS509" s="8" t="n">
        <f aca="false">-SUMPRODUCT($G340:$G347*(YEAR($L340:$L347)=AS357))*(AS358&lt;$G190)</f>
        <v>-0</v>
      </c>
    </row>
    <row r="510" customFormat="false" ht="14.25" hidden="false" customHeight="false" outlineLevel="0" collapsed="false">
      <c r="C510" s="6" t="s">
        <v>334</v>
      </c>
      <c r="D510" s="2" t="s">
        <v>85</v>
      </c>
      <c r="H510" s="8" t="n">
        <f aca="false">SUM(J510:AS510)</f>
        <v>1067.27814362467</v>
      </c>
      <c r="J510" s="8" t="n">
        <f aca="false">(J507+J508-I507-I508-J509)*(J358&lt;$G190)</f>
        <v>10.5037042597111</v>
      </c>
      <c r="K510" s="8" t="n">
        <f aca="false">(K507+K508-J507-J508-K509)*(K358&lt;$G190)</f>
        <v>378.473849380001</v>
      </c>
      <c r="L510" s="8" t="n">
        <f aca="false">(L507+L508-K507-K508-L509)*(L358&lt;$G190)</f>
        <v>678.300589984963</v>
      </c>
      <c r="M510" s="8" t="n">
        <f aca="false">(M507+M508-L507-L508-M509)*(M358&lt;$G190)</f>
        <v>-0</v>
      </c>
      <c r="N510" s="8" t="n">
        <f aca="false">(N507+N508-M507-M508-N509)*(N358&lt;$G190)</f>
        <v>0</v>
      </c>
      <c r="O510" s="8" t="n">
        <f aca="false">(O507+O508-N507-N508-O509)*(O358&lt;$G190)</f>
        <v>0</v>
      </c>
      <c r="P510" s="8" t="n">
        <f aca="false">(P507+P508-O507-O508-P509)*(P358&lt;$G190)</f>
        <v>0</v>
      </c>
      <c r="Q510" s="8" t="n">
        <f aca="false">(Q507+Q508-P507-P508-Q509)*(Q358&lt;$G190)</f>
        <v>0</v>
      </c>
      <c r="R510" s="8" t="n">
        <f aca="false">(R507+R508-Q507-Q508-R509)*(R358&lt;$G190)</f>
        <v>0</v>
      </c>
      <c r="S510" s="8" t="n">
        <f aca="false">(S507+S508-R507-R508-S509)*(S358&lt;$G190)</f>
        <v>0</v>
      </c>
      <c r="T510" s="8" t="n">
        <f aca="false">(T507+T508-S507-S508-T509)*(T358&lt;$G190)</f>
        <v>0</v>
      </c>
      <c r="U510" s="8" t="n">
        <f aca="false">(U507+U508-T507-T508-U509)*(U358&lt;$G190)</f>
        <v>0</v>
      </c>
      <c r="V510" s="8" t="n">
        <f aca="false">(V507+V508-U507-U508-V509)*(V358&lt;$G190)</f>
        <v>0</v>
      </c>
      <c r="W510" s="8" t="n">
        <f aca="false">(W507+W508-V507-V508-W509)*(W358&lt;$G190)</f>
        <v>0</v>
      </c>
      <c r="X510" s="8" t="n">
        <f aca="false">(X507+X508-W507-W508-X509)*(X358&lt;$G190)</f>
        <v>0</v>
      </c>
      <c r="Y510" s="8" t="n">
        <f aca="false">(Y507+Y508-X507-X508-Y509)*(Y358&lt;$G190)</f>
        <v>0</v>
      </c>
      <c r="Z510" s="8" t="n">
        <f aca="false">(Z507+Z508-Y507-Y508-Z509)*(Z358&lt;$G190)</f>
        <v>0</v>
      </c>
      <c r="AA510" s="8" t="n">
        <f aca="false">(AA507+AA508-Z507-Z508-AA509)*(AA358&lt;$G190)</f>
        <v>0</v>
      </c>
      <c r="AB510" s="8" t="n">
        <f aca="false">(AB507+AB508-AA507-AA508-AB509)*(AB358&lt;$G190)</f>
        <v>0</v>
      </c>
      <c r="AC510" s="8" t="n">
        <f aca="false">(AC507+AC508-AB507-AB508-AC509)*(AC358&lt;$G190)</f>
        <v>0</v>
      </c>
      <c r="AD510" s="8" t="n">
        <f aca="false">(AD507+AD508-AC507-AC508-AD509)*(AD358&lt;$G190)</f>
        <v>0</v>
      </c>
      <c r="AE510" s="8" t="n">
        <f aca="false">(AE507+AE508-AD507-AD508-AE509)*(AE358&lt;$G190)</f>
        <v>0</v>
      </c>
      <c r="AF510" s="8" t="n">
        <f aca="false">(AF507+AF508-AE507-AE508-AF509)*(AF358&lt;$G190)</f>
        <v>0</v>
      </c>
      <c r="AG510" s="8" t="n">
        <f aca="false">(AG507+AG508-AF507-AF508-AG509)*(AG358&lt;$G190)</f>
        <v>0</v>
      </c>
      <c r="AH510" s="8" t="n">
        <f aca="false">(AH507+AH508-AG507-AG508-AH509)*(AH358&lt;$G190)</f>
        <v>0</v>
      </c>
      <c r="AI510" s="8" t="n">
        <f aca="false">(AI507+AI508-AH507-AH508-AI509)*(AI358&lt;$G190)</f>
        <v>0</v>
      </c>
      <c r="AJ510" s="8" t="n">
        <f aca="false">(AJ507+AJ508-AI507-AI508-AJ509)*(AJ358&lt;$G190)</f>
        <v>0</v>
      </c>
      <c r="AK510" s="8" t="n">
        <f aca="false">(AK507+AK508-AJ507-AJ508-AK509)*(AK358&lt;$G190)</f>
        <v>0</v>
      </c>
      <c r="AL510" s="8" t="n">
        <f aca="false">(AL507+AL508-AK507-AK508-AL509)*(AL358&lt;$G190)</f>
        <v>0</v>
      </c>
      <c r="AM510" s="8" t="n">
        <f aca="false">(AM507+AM508-AL507-AL508-AM509)*(AM358&lt;$G190)</f>
        <v>0</v>
      </c>
      <c r="AN510" s="8" t="n">
        <f aca="false">(AN507+AN508-AM507-AM508-AN509)*(AN358&lt;$G190)</f>
        <v>0</v>
      </c>
      <c r="AO510" s="8" t="n">
        <f aca="false">(AO507+AO508-AN507-AN508-AO509)*(AO358&lt;$G190)</f>
        <v>0</v>
      </c>
      <c r="AP510" s="8" t="n">
        <f aca="false">(AP507+AP508-AO507-AO508-AP509)*(AP358&lt;$G190)</f>
        <v>0</v>
      </c>
      <c r="AQ510" s="8" t="n">
        <f aca="false">(AQ507+AQ508-AP507-AP508-AQ509)*(AQ358&lt;$G190)</f>
        <v>0</v>
      </c>
      <c r="AR510" s="8" t="n">
        <f aca="false">(AR507+AR508-AQ507-AQ508-AR509)*(AR358&lt;$G190)</f>
        <v>0</v>
      </c>
      <c r="AS510" s="8" t="n">
        <f aca="false">(AS507+AS508-AR507-AR508-AS509)*(AS358&lt;$G190)</f>
        <v>0</v>
      </c>
    </row>
    <row r="511" customFormat="false" ht="14.25" hidden="false" customHeight="false" outlineLevel="0" collapsed="false">
      <c r="C511" s="6" t="s">
        <v>335</v>
      </c>
      <c r="D511" s="2" t="s">
        <v>85</v>
      </c>
      <c r="H511" s="8"/>
      <c r="J511" s="8" t="n">
        <f aca="false">(I511*(1+Rate_Cash)+SUMPRODUCT(-$G288:$G291*$O288:$O291*(YEAR($L288:$L291)=J357)))*(J358&lt;$G225)</f>
        <v>517.626991930944</v>
      </c>
      <c r="K511" s="8" t="n">
        <f aca="false">(J511*(1+Rate_Cash)+SUMPRODUCT(-$G288:$G291*$O288:$O291*(YEAR($L288:$L291)=K357)))*(K358&lt;$G225)</f>
        <v>3493.22099245637</v>
      </c>
      <c r="L511" s="8" t="n">
        <f aca="false">(K511*(1+Rate_Cash)+SUMPRODUCT(-$G288:$G291*$O288:$O291*(YEAR($L288:$L291)=L357)))*(L358&lt;$G225)</f>
        <v>0</v>
      </c>
      <c r="M511" s="8" t="n">
        <f aca="false">(L511*(1+Rate_Cash)+SUMPRODUCT(-$G288:$G291*$O288:$O291*(YEAR($L288:$L291)=M357)))*(M358&lt;$G225)</f>
        <v>0</v>
      </c>
      <c r="N511" s="8" t="n">
        <f aca="false">(M511*(1+Rate_Cash)+SUMPRODUCT(-$G288:$G291*$O288:$O291*(YEAR($L288:$L291)=N357)))*(N358&lt;$G225)</f>
        <v>0</v>
      </c>
      <c r="O511" s="8" t="n">
        <f aca="false">(N511*(1+Rate_Cash)+SUMPRODUCT(-$G288:$G291*$O288:$O291*(YEAR($L288:$L291)=O357)))*(O358&lt;$G225)</f>
        <v>0</v>
      </c>
      <c r="P511" s="8" t="n">
        <f aca="false">(O511*(1+Rate_Cash)+SUMPRODUCT(-$G288:$G291*$O288:$O291*(YEAR($L288:$L291)=P357)))*(P358&lt;$G225)</f>
        <v>0</v>
      </c>
      <c r="Q511" s="8" t="n">
        <f aca="false">(P511*(1+Rate_Cash)+SUMPRODUCT(-$G288:$G291*$O288:$O291*(YEAR($L288:$L291)=Q357)))*(Q358&lt;$G225)</f>
        <v>0</v>
      </c>
      <c r="R511" s="8" t="n">
        <f aca="false">(Q511*(1+Rate_Cash)+SUMPRODUCT(-$G288:$G291*$O288:$O291*(YEAR($L288:$L291)=R357)))*(R358&lt;$G225)</f>
        <v>0</v>
      </c>
      <c r="S511" s="8" t="n">
        <f aca="false">(R511*(1+Rate_Cash)+SUMPRODUCT(-$G288:$G291*$O288:$O291*(YEAR($L288:$L291)=S357)))*(S358&lt;$G225)</f>
        <v>0</v>
      </c>
      <c r="T511" s="8" t="n">
        <f aca="false">(S511*(1+Rate_Cash)+SUMPRODUCT(-$G288:$G291*$O288:$O291*(YEAR($L288:$L291)=T357)))*(T358&lt;$G225)</f>
        <v>0</v>
      </c>
      <c r="U511" s="8" t="n">
        <f aca="false">(T511*(1+Rate_Cash)+SUMPRODUCT(-$G288:$G291*$O288:$O291*(YEAR($L288:$L291)=U357)))*(U358&lt;$G225)</f>
        <v>0</v>
      </c>
      <c r="V511" s="8" t="n">
        <f aca="false">(U511*(1+Rate_Cash)+SUMPRODUCT(-$G288:$G291*$O288:$O291*(YEAR($L288:$L291)=V357)))*(V358&lt;$G225)</f>
        <v>0</v>
      </c>
      <c r="W511" s="8" t="n">
        <f aca="false">(V511*(1+Rate_Cash)+SUMPRODUCT(-$G288:$G291*$O288:$O291*(YEAR($L288:$L291)=W357)))*(W358&lt;$G225)</f>
        <v>0</v>
      </c>
      <c r="X511" s="8" t="n">
        <f aca="false">(W511*(1+Rate_Cash)+SUMPRODUCT(-$G288:$G291*$O288:$O291*(YEAR($L288:$L291)=X357)))*(X358&lt;$G225)</f>
        <v>0</v>
      </c>
      <c r="Y511" s="8" t="n">
        <f aca="false">(X511*(1+Rate_Cash)+SUMPRODUCT(-$G288:$G291*$O288:$O291*(YEAR($L288:$L291)=Y357)))*(Y358&lt;$G225)</f>
        <v>0</v>
      </c>
      <c r="Z511" s="8" t="n">
        <f aca="false">(Y511*(1+Rate_Cash)+SUMPRODUCT(-$G288:$G291*$O288:$O291*(YEAR($L288:$L291)=Z357)))*(Z358&lt;$G225)</f>
        <v>0</v>
      </c>
      <c r="AA511" s="8" t="n">
        <f aca="false">(Z511*(1+Rate_Cash)+SUMPRODUCT(-$G288:$G291*$O288:$O291*(YEAR($L288:$L291)=AA357)))*(AA358&lt;$G225)</f>
        <v>0</v>
      </c>
      <c r="AB511" s="8" t="n">
        <f aca="false">(AA511*(1+Rate_Cash)+SUMPRODUCT(-$G288:$G291*$O288:$O291*(YEAR($L288:$L291)=AB357)))*(AB358&lt;$G225)</f>
        <v>0</v>
      </c>
      <c r="AC511" s="8" t="n">
        <f aca="false">(AB511*(1+Rate_Cash)+SUMPRODUCT(-$G288:$G291*$O288:$O291*(YEAR($L288:$L291)=AC357)))*(AC358&lt;$G225)</f>
        <v>0</v>
      </c>
      <c r="AD511" s="8" t="n">
        <f aca="false">(AC511*(1+Rate_Cash)+SUMPRODUCT(-$G288:$G291*$O288:$O291*(YEAR($L288:$L291)=AD357)))*(AD358&lt;$G225)</f>
        <v>0</v>
      </c>
      <c r="AE511" s="8" t="n">
        <f aca="false">(AD511*(1+Rate_Cash)+SUMPRODUCT(-$G288:$G291*$O288:$O291*(YEAR($L288:$L291)=AE357)))*(AE358&lt;$G225)</f>
        <v>0</v>
      </c>
      <c r="AF511" s="8" t="n">
        <f aca="false">(AE511*(1+Rate_Cash)+SUMPRODUCT(-$G288:$G291*$O288:$O291*(YEAR($L288:$L291)=AF357)))*(AF358&lt;$G225)</f>
        <v>0</v>
      </c>
      <c r="AG511" s="8" t="n">
        <f aca="false">(AF511*(1+Rate_Cash)+SUMPRODUCT(-$G288:$G291*$O288:$O291*(YEAR($L288:$L291)=AG357)))*(AG358&lt;$G225)</f>
        <v>0</v>
      </c>
      <c r="AH511" s="8" t="n">
        <f aca="false">(AG511*(1+Rate_Cash)+SUMPRODUCT(-$G288:$G291*$O288:$O291*(YEAR($L288:$L291)=AH357)))*(AH358&lt;$G225)</f>
        <v>0</v>
      </c>
      <c r="AI511" s="8" t="n">
        <f aca="false">(AH511*(1+Rate_Cash)+SUMPRODUCT(-$G288:$G291*$O288:$O291*(YEAR($L288:$L291)=AI357)))*(AI358&lt;$G225)</f>
        <v>0</v>
      </c>
      <c r="AJ511" s="8" t="n">
        <f aca="false">(AI511*(1+Rate_Cash)+SUMPRODUCT(-$G288:$G291*$O288:$O291*(YEAR($L288:$L291)=AJ357)))*(AJ358&lt;$G225)</f>
        <v>0</v>
      </c>
      <c r="AK511" s="8" t="n">
        <f aca="false">(AJ511*(1+Rate_Cash)+SUMPRODUCT(-$G288:$G291*$O288:$O291*(YEAR($L288:$L291)=AK357)))*(AK358&lt;$G225)</f>
        <v>0</v>
      </c>
      <c r="AL511" s="8" t="n">
        <f aca="false">(AK511*(1+Rate_Cash)+SUMPRODUCT(-$G288:$G291*$O288:$O291*(YEAR($L288:$L291)=AL357)))*(AL358&lt;$G225)</f>
        <v>0</v>
      </c>
      <c r="AM511" s="8" t="n">
        <f aca="false">(AL511*(1+Rate_Cash)+SUMPRODUCT(-$G288:$G291*$O288:$O291*(YEAR($L288:$L291)=AM357)))*(AM358&lt;$G225)</f>
        <v>0</v>
      </c>
      <c r="AN511" s="8" t="n">
        <f aca="false">(AM511*(1+Rate_Cash)+SUMPRODUCT(-$G288:$G291*$O288:$O291*(YEAR($L288:$L291)=AN357)))*(AN358&lt;$G225)</f>
        <v>0</v>
      </c>
      <c r="AO511" s="8" t="n">
        <f aca="false">(AN511*(1+Rate_Cash)+SUMPRODUCT(-$G288:$G291*$O288:$O291*(YEAR($L288:$L291)=AO357)))*(AO358&lt;$G225)</f>
        <v>0</v>
      </c>
      <c r="AP511" s="8" t="n">
        <f aca="false">(AO511*(1+Rate_Cash)+SUMPRODUCT(-$G288:$G291*$O288:$O291*(YEAR($L288:$L291)=AP357)))*(AP358&lt;$G225)</f>
        <v>0</v>
      </c>
      <c r="AQ511" s="8" t="n">
        <f aca="false">(AP511*(1+Rate_Cash)+SUMPRODUCT(-$G288:$G291*$O288:$O291*(YEAR($L288:$L291)=AQ357)))*(AQ358&lt;$G225)</f>
        <v>0</v>
      </c>
      <c r="AR511" s="8" t="n">
        <f aca="false">(AQ511*(1+Rate_Cash)+SUMPRODUCT(-$G288:$G291*$O288:$O291*(YEAR($L288:$L291)=AR357)))*(AR358&lt;$G225)</f>
        <v>0</v>
      </c>
      <c r="AS511" s="8" t="n">
        <f aca="false">(AR511*(1+Rate_Cash)+SUMPRODUCT(-$G288:$G291*$O288:$O291*(YEAR($L288:$L291)=AS357)))*(AS358&lt;$G225)</f>
        <v>0</v>
      </c>
    </row>
    <row r="512" customFormat="false" ht="14.25" hidden="false" customHeight="false" outlineLevel="0" collapsed="false">
      <c r="C512" s="6" t="s">
        <v>336</v>
      </c>
      <c r="D512" s="2" t="s">
        <v>85</v>
      </c>
      <c r="H512" s="8"/>
      <c r="J512" s="8" t="n">
        <f aca="false">(I512*(1+Rate_Devex)+SUMPRODUCT(-$G292:$G293*$O292:$O293*(YEAR($L292:$L293)=J357)))*(J358&lt;$G225)</f>
        <v>0</v>
      </c>
      <c r="K512" s="8" t="n">
        <f aca="false">(J512*(1+Rate_Devex)+SUMPRODUCT(-$G292:$G293*$O292:$O293*(YEAR($L292:$L293)=K357)))*(K358&lt;$G225)</f>
        <v>751.660032627003</v>
      </c>
      <c r="L512" s="8" t="n">
        <f aca="false">(K512*(1+Rate_Devex)+SUMPRODUCT(-$G292:$G293*$O292:$O293*(YEAR($L292:$L293)=L357)))*(L358&lt;$G225)</f>
        <v>0</v>
      </c>
      <c r="M512" s="8" t="n">
        <f aca="false">(L512*(1+Rate_Devex)+SUMPRODUCT(-$G292:$G293*$O292:$O293*(YEAR($L292:$L293)=M357)))*(M358&lt;$G225)</f>
        <v>0</v>
      </c>
      <c r="N512" s="8" t="n">
        <f aca="false">(M512*(1+Rate_Devex)+SUMPRODUCT(-$G292:$G293*$O292:$O293*(YEAR($L292:$L293)=N357)))*(N358&lt;$G225)</f>
        <v>0</v>
      </c>
      <c r="O512" s="8" t="n">
        <f aca="false">(N512*(1+Rate_Devex)+SUMPRODUCT(-$G292:$G293*$O292:$O293*(YEAR($L292:$L293)=O357)))*(O358&lt;$G225)</f>
        <v>0</v>
      </c>
      <c r="P512" s="8" t="n">
        <f aca="false">(O512*(1+Rate_Devex)+SUMPRODUCT(-$G292:$G293*$O292:$O293*(YEAR($L292:$L293)=P357)))*(P358&lt;$G225)</f>
        <v>0</v>
      </c>
      <c r="Q512" s="8" t="n">
        <f aca="false">(P512*(1+Rate_Devex)+SUMPRODUCT(-$G292:$G293*$O292:$O293*(YEAR($L292:$L293)=Q357)))*(Q358&lt;$G225)</f>
        <v>0</v>
      </c>
      <c r="R512" s="8" t="n">
        <f aca="false">(Q512*(1+Rate_Devex)+SUMPRODUCT(-$G292:$G293*$O292:$O293*(YEAR($L292:$L293)=R357)))*(R358&lt;$G225)</f>
        <v>0</v>
      </c>
      <c r="S512" s="8" t="n">
        <f aca="false">(R512*(1+Rate_Devex)+SUMPRODUCT(-$G292:$G293*$O292:$O293*(YEAR($L292:$L293)=S357)))*(S358&lt;$G225)</f>
        <v>0</v>
      </c>
      <c r="T512" s="8" t="n">
        <f aca="false">(S512*(1+Rate_Devex)+SUMPRODUCT(-$G292:$G293*$O292:$O293*(YEAR($L292:$L293)=T357)))*(T358&lt;$G225)</f>
        <v>0</v>
      </c>
      <c r="U512" s="8" t="n">
        <f aca="false">(T512*(1+Rate_Devex)+SUMPRODUCT(-$G292:$G293*$O292:$O293*(YEAR($L292:$L293)=U357)))*(U358&lt;$G225)</f>
        <v>0</v>
      </c>
      <c r="V512" s="8" t="n">
        <f aca="false">(U512*(1+Rate_Devex)+SUMPRODUCT(-$G292:$G293*$O292:$O293*(YEAR($L292:$L293)=V357)))*(V358&lt;$G225)</f>
        <v>0</v>
      </c>
      <c r="W512" s="8" t="n">
        <f aca="false">(V512*(1+Rate_Devex)+SUMPRODUCT(-$G292:$G293*$O292:$O293*(YEAR($L292:$L293)=W357)))*(W358&lt;$G225)</f>
        <v>0</v>
      </c>
      <c r="X512" s="8" t="n">
        <f aca="false">(W512*(1+Rate_Devex)+SUMPRODUCT(-$G292:$G293*$O292:$O293*(YEAR($L292:$L293)=X357)))*(X358&lt;$G225)</f>
        <v>0</v>
      </c>
      <c r="Y512" s="8" t="n">
        <f aca="false">(X512*(1+Rate_Devex)+SUMPRODUCT(-$G292:$G293*$O292:$O293*(YEAR($L292:$L293)=Y357)))*(Y358&lt;$G225)</f>
        <v>0</v>
      </c>
      <c r="Z512" s="8" t="n">
        <f aca="false">(Y512*(1+Rate_Devex)+SUMPRODUCT(-$G292:$G293*$O292:$O293*(YEAR($L292:$L293)=Z357)))*(Z358&lt;$G225)</f>
        <v>0</v>
      </c>
      <c r="AA512" s="8" t="n">
        <f aca="false">(Z512*(1+Rate_Devex)+SUMPRODUCT(-$G292:$G293*$O292:$O293*(YEAR($L292:$L293)=AA357)))*(AA358&lt;$G225)</f>
        <v>0</v>
      </c>
      <c r="AB512" s="8" t="n">
        <f aca="false">(AA512*(1+Rate_Devex)+SUMPRODUCT(-$G292:$G293*$O292:$O293*(YEAR($L292:$L293)=AB357)))*(AB358&lt;$G225)</f>
        <v>0</v>
      </c>
      <c r="AC512" s="8" t="n">
        <f aca="false">(AB512*(1+Rate_Devex)+SUMPRODUCT(-$G292:$G293*$O292:$O293*(YEAR($L292:$L293)=AC357)))*(AC358&lt;$G225)</f>
        <v>0</v>
      </c>
      <c r="AD512" s="8" t="n">
        <f aca="false">(AC512*(1+Rate_Devex)+SUMPRODUCT(-$G292:$G293*$O292:$O293*(YEAR($L292:$L293)=AD357)))*(AD358&lt;$G225)</f>
        <v>0</v>
      </c>
      <c r="AE512" s="8" t="n">
        <f aca="false">(AD512*(1+Rate_Devex)+SUMPRODUCT(-$G292:$G293*$O292:$O293*(YEAR($L292:$L293)=AE357)))*(AE358&lt;$G225)</f>
        <v>0</v>
      </c>
      <c r="AF512" s="8" t="n">
        <f aca="false">(AE512*(1+Rate_Devex)+SUMPRODUCT(-$G292:$G293*$O292:$O293*(YEAR($L292:$L293)=AF357)))*(AF358&lt;$G225)</f>
        <v>0</v>
      </c>
      <c r="AG512" s="8" t="n">
        <f aca="false">(AF512*(1+Rate_Devex)+SUMPRODUCT(-$G292:$G293*$O292:$O293*(YEAR($L292:$L293)=AG357)))*(AG358&lt;$G225)</f>
        <v>0</v>
      </c>
      <c r="AH512" s="8" t="n">
        <f aca="false">(AG512*(1+Rate_Devex)+SUMPRODUCT(-$G292:$G293*$O292:$O293*(YEAR($L292:$L293)=AH357)))*(AH358&lt;$G225)</f>
        <v>0</v>
      </c>
      <c r="AI512" s="8" t="n">
        <f aca="false">(AH512*(1+Rate_Devex)+SUMPRODUCT(-$G292:$G293*$O292:$O293*(YEAR($L292:$L293)=AI357)))*(AI358&lt;$G225)</f>
        <v>0</v>
      </c>
      <c r="AJ512" s="8" t="n">
        <f aca="false">(AI512*(1+Rate_Devex)+SUMPRODUCT(-$G292:$G293*$O292:$O293*(YEAR($L292:$L293)=AJ357)))*(AJ358&lt;$G225)</f>
        <v>0</v>
      </c>
      <c r="AK512" s="8" t="n">
        <f aca="false">(AJ512*(1+Rate_Devex)+SUMPRODUCT(-$G292:$G293*$O292:$O293*(YEAR($L292:$L293)=AK357)))*(AK358&lt;$G225)</f>
        <v>0</v>
      </c>
      <c r="AL512" s="8" t="n">
        <f aca="false">(AK512*(1+Rate_Devex)+SUMPRODUCT(-$G292:$G293*$O292:$O293*(YEAR($L292:$L293)=AL357)))*(AL358&lt;$G225)</f>
        <v>0</v>
      </c>
      <c r="AM512" s="8" t="n">
        <f aca="false">(AL512*(1+Rate_Devex)+SUMPRODUCT(-$G292:$G293*$O292:$O293*(YEAR($L292:$L293)=AM357)))*(AM358&lt;$G225)</f>
        <v>0</v>
      </c>
      <c r="AN512" s="8" t="n">
        <f aca="false">(AM512*(1+Rate_Devex)+SUMPRODUCT(-$G292:$G293*$O292:$O293*(YEAR($L292:$L293)=AN357)))*(AN358&lt;$G225)</f>
        <v>0</v>
      </c>
      <c r="AO512" s="8" t="n">
        <f aca="false">(AN512*(1+Rate_Devex)+SUMPRODUCT(-$G292:$G293*$O292:$O293*(YEAR($L292:$L293)=AO357)))*(AO358&lt;$G225)</f>
        <v>0</v>
      </c>
      <c r="AP512" s="8" t="n">
        <f aca="false">(AO512*(1+Rate_Devex)+SUMPRODUCT(-$G292:$G293*$O292:$O293*(YEAR($L292:$L293)=AP357)))*(AP358&lt;$G225)</f>
        <v>0</v>
      </c>
      <c r="AQ512" s="8" t="n">
        <f aca="false">(AP512*(1+Rate_Devex)+SUMPRODUCT(-$G292:$G293*$O292:$O293*(YEAR($L292:$L293)=AQ357)))*(AQ358&lt;$G225)</f>
        <v>0</v>
      </c>
      <c r="AR512" s="8" t="n">
        <f aca="false">(AQ512*(1+Rate_Devex)+SUMPRODUCT(-$G292:$G293*$O292:$O293*(YEAR($L292:$L293)=AR357)))*(AR358&lt;$G225)</f>
        <v>0</v>
      </c>
      <c r="AS512" s="8" t="n">
        <f aca="false">(AR512*(1+Rate_Devex)+SUMPRODUCT(-$G292:$G293*$O292:$O293*(YEAR($L292:$L293)=AS357)))*(AS358&lt;$G225)</f>
        <v>0</v>
      </c>
    </row>
    <row r="513" customFormat="false" ht="14.25" hidden="false" customHeight="false" outlineLevel="0" collapsed="false">
      <c r="C513" s="6" t="s">
        <v>337</v>
      </c>
      <c r="D513" s="2" t="s">
        <v>85</v>
      </c>
      <c r="H513" s="8" t="n">
        <f aca="false">SUM(J513:AS513)</f>
        <v>3843.69504922561</v>
      </c>
      <c r="J513" s="8" t="n">
        <f aca="false">-SUMPRODUCT($G288:$G293*(YEAR($L288:$L293)=J357))*(J358&lt;$G225)</f>
        <v>507.123287671233</v>
      </c>
      <c r="K513" s="8" t="n">
        <f aca="false">-SUMPRODUCT($G288:$G293*(YEAR($L288:$L293)=K357))*(K358&lt;$G225)</f>
        <v>3336.57176155438</v>
      </c>
      <c r="L513" s="8" t="n">
        <f aca="false">-SUMPRODUCT($G288:$G293*(YEAR($L288:$L293)=L357))*(L358&lt;$G225)</f>
        <v>-0</v>
      </c>
      <c r="M513" s="8" t="n">
        <f aca="false">-SUMPRODUCT($G288:$G293*(YEAR($L288:$L293)=M357))*(M358&lt;$G225)</f>
        <v>-0</v>
      </c>
      <c r="N513" s="8" t="n">
        <f aca="false">-SUMPRODUCT($G288:$G293*(YEAR($L288:$L293)=N357))*(N358&lt;$G225)</f>
        <v>-0</v>
      </c>
      <c r="O513" s="8" t="n">
        <f aca="false">-SUMPRODUCT($G288:$G293*(YEAR($L288:$L293)=O357))*(O358&lt;$G225)</f>
        <v>-0</v>
      </c>
      <c r="P513" s="8" t="n">
        <f aca="false">-SUMPRODUCT($G288:$G293*(YEAR($L288:$L293)=P357))*(P358&lt;$G225)</f>
        <v>-0</v>
      </c>
      <c r="Q513" s="8" t="n">
        <f aca="false">-SUMPRODUCT($G288:$G293*(YEAR($L288:$L293)=Q357))*(Q358&lt;$G225)</f>
        <v>-0</v>
      </c>
      <c r="R513" s="8" t="n">
        <f aca="false">-SUMPRODUCT($G288:$G293*(YEAR($L288:$L293)=R357))*(R358&lt;$G225)</f>
        <v>-0</v>
      </c>
      <c r="S513" s="8" t="n">
        <f aca="false">-SUMPRODUCT($G288:$G293*(YEAR($L288:$L293)=S357))*(S358&lt;$G225)</f>
        <v>-0</v>
      </c>
      <c r="T513" s="8" t="n">
        <f aca="false">-SUMPRODUCT($G288:$G293*(YEAR($L288:$L293)=T357))*(T358&lt;$G225)</f>
        <v>-0</v>
      </c>
      <c r="U513" s="8" t="n">
        <f aca="false">-SUMPRODUCT($G288:$G293*(YEAR($L288:$L293)=U357))*(U358&lt;$G225)</f>
        <v>-0</v>
      </c>
      <c r="V513" s="8" t="n">
        <f aca="false">-SUMPRODUCT($G288:$G293*(YEAR($L288:$L293)=V357))*(V358&lt;$G225)</f>
        <v>-0</v>
      </c>
      <c r="W513" s="8" t="n">
        <f aca="false">-SUMPRODUCT($G288:$G293*(YEAR($L288:$L293)=W357))*(W358&lt;$G225)</f>
        <v>-0</v>
      </c>
      <c r="X513" s="8" t="n">
        <f aca="false">-SUMPRODUCT($G288:$G293*(YEAR($L288:$L293)=X357))*(X358&lt;$G225)</f>
        <v>-0</v>
      </c>
      <c r="Y513" s="8" t="n">
        <f aca="false">-SUMPRODUCT($G288:$G293*(YEAR($L288:$L293)=Y357))*(Y358&lt;$G225)</f>
        <v>-0</v>
      </c>
      <c r="Z513" s="8" t="n">
        <f aca="false">-SUMPRODUCT($G288:$G293*(YEAR($L288:$L293)=Z357))*(Z358&lt;$G225)</f>
        <v>-0</v>
      </c>
      <c r="AA513" s="8" t="n">
        <f aca="false">-SUMPRODUCT($G288:$G293*(YEAR($L288:$L293)=AA357))*(AA358&lt;$G225)</f>
        <v>-0</v>
      </c>
      <c r="AB513" s="8" t="n">
        <f aca="false">-SUMPRODUCT($G288:$G293*(YEAR($L288:$L293)=AB357))*(AB358&lt;$G225)</f>
        <v>-0</v>
      </c>
      <c r="AC513" s="8" t="n">
        <f aca="false">-SUMPRODUCT($G288:$G293*(YEAR($L288:$L293)=AC357))*(AC358&lt;$G225)</f>
        <v>-0</v>
      </c>
      <c r="AD513" s="8" t="n">
        <f aca="false">-SUMPRODUCT($G288:$G293*(YEAR($L288:$L293)=AD357))*(AD358&lt;$G225)</f>
        <v>-0</v>
      </c>
      <c r="AE513" s="8" t="n">
        <f aca="false">-SUMPRODUCT($G288:$G293*(YEAR($L288:$L293)=AE357))*(AE358&lt;$G225)</f>
        <v>-0</v>
      </c>
      <c r="AF513" s="8" t="n">
        <f aca="false">-SUMPRODUCT($G288:$G293*(YEAR($L288:$L293)=AF357))*(AF358&lt;$G225)</f>
        <v>-0</v>
      </c>
      <c r="AG513" s="8" t="n">
        <f aca="false">-SUMPRODUCT($G288:$G293*(YEAR($L288:$L293)=AG357))*(AG358&lt;$G225)</f>
        <v>-0</v>
      </c>
      <c r="AH513" s="8" t="n">
        <f aca="false">-SUMPRODUCT($G288:$G293*(YEAR($L288:$L293)=AH357))*(AH358&lt;$G225)</f>
        <v>-0</v>
      </c>
      <c r="AI513" s="8" t="n">
        <f aca="false">-SUMPRODUCT($G288:$G293*(YEAR($L288:$L293)=AI357))*(AI358&lt;$G225)</f>
        <v>-0</v>
      </c>
      <c r="AJ513" s="8" t="n">
        <f aca="false">-SUMPRODUCT($G288:$G293*(YEAR($L288:$L293)=AJ357))*(AJ358&lt;$G225)</f>
        <v>-0</v>
      </c>
      <c r="AK513" s="8" t="n">
        <f aca="false">-SUMPRODUCT($G288:$G293*(YEAR($L288:$L293)=AK357))*(AK358&lt;$G225)</f>
        <v>-0</v>
      </c>
      <c r="AL513" s="8" t="n">
        <f aca="false">-SUMPRODUCT($G288:$G293*(YEAR($L288:$L293)=AL357))*(AL358&lt;$G225)</f>
        <v>-0</v>
      </c>
      <c r="AM513" s="8" t="n">
        <f aca="false">-SUMPRODUCT($G288:$G293*(YEAR($L288:$L293)=AM357))*(AM358&lt;$G225)</f>
        <v>-0</v>
      </c>
      <c r="AN513" s="8" t="n">
        <f aca="false">-SUMPRODUCT($G288:$G293*(YEAR($L288:$L293)=AN357))*(AN358&lt;$G225)</f>
        <v>-0</v>
      </c>
      <c r="AO513" s="8" t="n">
        <f aca="false">-SUMPRODUCT($G288:$G293*(YEAR($L288:$L293)=AO357))*(AO358&lt;$G225)</f>
        <v>-0</v>
      </c>
      <c r="AP513" s="8" t="n">
        <f aca="false">-SUMPRODUCT($G288:$G293*(YEAR($L288:$L293)=AP357))*(AP358&lt;$G225)</f>
        <v>-0</v>
      </c>
      <c r="AQ513" s="8" t="n">
        <f aca="false">-SUMPRODUCT($G288:$G293*(YEAR($L288:$L293)=AQ357))*(AQ358&lt;$G225)</f>
        <v>-0</v>
      </c>
      <c r="AR513" s="8" t="n">
        <f aca="false">-SUMPRODUCT($G288:$G293*(YEAR($L288:$L293)=AR357))*(AR358&lt;$G225)</f>
        <v>-0</v>
      </c>
      <c r="AS513" s="8" t="n">
        <f aca="false">-SUMPRODUCT($G288:$G293*(YEAR($L288:$L293)=AS357))*(AS358&lt;$G225)</f>
        <v>-0</v>
      </c>
    </row>
    <row r="514" customFormat="false" ht="14.25" hidden="false" customHeight="false" outlineLevel="0" collapsed="false">
      <c r="C514" s="6" t="s">
        <v>338</v>
      </c>
      <c r="D514" s="2" t="s">
        <v>85</v>
      </c>
      <c r="H514" s="8" t="n">
        <f aca="false">SUM(J514:AS514)</f>
        <v>401.185975857765</v>
      </c>
      <c r="J514" s="8" t="n">
        <f aca="false">(J511+J512-I511-I512-J513)*(J358&lt;$G225)</f>
        <v>10.5037042597111</v>
      </c>
      <c r="K514" s="8" t="n">
        <f aca="false">(K511+K512-J511-J512-K513)*(K358&lt;$G225)</f>
        <v>390.682271598054</v>
      </c>
      <c r="L514" s="8" t="n">
        <f aca="false">(L511+L512-K511-K512-L513)*(L358&lt;$G225)</f>
        <v>-0</v>
      </c>
      <c r="M514" s="8" t="n">
        <f aca="false">(M511+M512-L511-L512-M513)*(M358&lt;$G225)</f>
        <v>0</v>
      </c>
      <c r="N514" s="8" t="n">
        <f aca="false">(N511+N512-M511-M512-N513)*(N358&lt;$G225)</f>
        <v>0</v>
      </c>
      <c r="O514" s="8" t="n">
        <f aca="false">(O511+O512-N511-N512-O513)*(O358&lt;$G225)</f>
        <v>0</v>
      </c>
      <c r="P514" s="8" t="n">
        <f aca="false">(P511+P512-O511-O512-P513)*(P358&lt;$G225)</f>
        <v>0</v>
      </c>
      <c r="Q514" s="8" t="n">
        <f aca="false">(Q511+Q512-P511-P512-Q513)*(Q358&lt;$G225)</f>
        <v>0</v>
      </c>
      <c r="R514" s="8" t="n">
        <f aca="false">(R511+R512-Q511-Q512-R513)*(R358&lt;$G225)</f>
        <v>0</v>
      </c>
      <c r="S514" s="8" t="n">
        <f aca="false">(S511+S512-R511-R512-S513)*(S358&lt;$G225)</f>
        <v>0</v>
      </c>
      <c r="T514" s="8" t="n">
        <f aca="false">(T511+T512-S511-S512-T513)*(T358&lt;$G225)</f>
        <v>0</v>
      </c>
      <c r="U514" s="8" t="n">
        <f aca="false">(U511+U512-T511-T512-U513)*(U358&lt;$G225)</f>
        <v>0</v>
      </c>
      <c r="V514" s="8" t="n">
        <f aca="false">(V511+V512-U511-U512-V513)*(V358&lt;$G225)</f>
        <v>0</v>
      </c>
      <c r="W514" s="8" t="n">
        <f aca="false">(W511+W512-V511-V512-W513)*(W358&lt;$G225)</f>
        <v>0</v>
      </c>
      <c r="X514" s="8" t="n">
        <f aca="false">(X511+X512-W511-W512-X513)*(X358&lt;$G225)</f>
        <v>0</v>
      </c>
      <c r="Y514" s="8" t="n">
        <f aca="false">(Y511+Y512-X511-X512-Y513)*(Y358&lt;$G225)</f>
        <v>0</v>
      </c>
      <c r="Z514" s="8" t="n">
        <f aca="false">(Z511+Z512-Y511-Y512-Z513)*(Z358&lt;$G225)</f>
        <v>0</v>
      </c>
      <c r="AA514" s="8" t="n">
        <f aca="false">(AA511+AA512-Z511-Z512-AA513)*(AA358&lt;$G225)</f>
        <v>0</v>
      </c>
      <c r="AB514" s="8" t="n">
        <f aca="false">(AB511+AB512-AA511-AA512-AB513)*(AB358&lt;$G225)</f>
        <v>0</v>
      </c>
      <c r="AC514" s="8" t="n">
        <f aca="false">(AC511+AC512-AB511-AB512-AC513)*(AC358&lt;$G225)</f>
        <v>0</v>
      </c>
      <c r="AD514" s="8" t="n">
        <f aca="false">(AD511+AD512-AC511-AC512-AD513)*(AD358&lt;$G225)</f>
        <v>0</v>
      </c>
      <c r="AE514" s="8" t="n">
        <f aca="false">(AE511+AE512-AD511-AD512-AE513)*(AE358&lt;$G225)</f>
        <v>0</v>
      </c>
      <c r="AF514" s="8" t="n">
        <f aca="false">(AF511+AF512-AE511-AE512-AF513)*(AF358&lt;$G225)</f>
        <v>0</v>
      </c>
      <c r="AG514" s="8" t="n">
        <f aca="false">(AG511+AG512-AF511-AF512-AG513)*(AG358&lt;$G225)</f>
        <v>0</v>
      </c>
      <c r="AH514" s="8" t="n">
        <f aca="false">(AH511+AH512-AG511-AG512-AH513)*(AH358&lt;$G225)</f>
        <v>0</v>
      </c>
      <c r="AI514" s="8" t="n">
        <f aca="false">(AI511+AI512-AH511-AH512-AI513)*(AI358&lt;$G225)</f>
        <v>0</v>
      </c>
      <c r="AJ514" s="8" t="n">
        <f aca="false">(AJ511+AJ512-AI511-AI512-AJ513)*(AJ358&lt;$G225)</f>
        <v>0</v>
      </c>
      <c r="AK514" s="8" t="n">
        <f aca="false">(AK511+AK512-AJ511-AJ512-AK513)*(AK358&lt;$G225)</f>
        <v>0</v>
      </c>
      <c r="AL514" s="8" t="n">
        <f aca="false">(AL511+AL512-AK511-AK512-AL513)*(AL358&lt;$G225)</f>
        <v>0</v>
      </c>
      <c r="AM514" s="8" t="n">
        <f aca="false">(AM511+AM512-AL511-AL512-AM513)*(AM358&lt;$G225)</f>
        <v>0</v>
      </c>
      <c r="AN514" s="8" t="n">
        <f aca="false">(AN511+AN512-AM511-AM512-AN513)*(AN358&lt;$G225)</f>
        <v>0</v>
      </c>
      <c r="AO514" s="8" t="n">
        <f aca="false">(AO511+AO512-AN511-AN512-AO513)*(AO358&lt;$G225)</f>
        <v>0</v>
      </c>
      <c r="AP514" s="8" t="n">
        <f aca="false">(AP511+AP512-AO511-AO512-AP513)*(AP358&lt;$G225)</f>
        <v>0</v>
      </c>
      <c r="AQ514" s="8" t="n">
        <f aca="false">(AQ511+AQ512-AP511-AP512-AQ513)*(AQ358&lt;$G225)</f>
        <v>0</v>
      </c>
      <c r="AR514" s="8" t="n">
        <f aca="false">(AR511+AR512-AQ511-AQ512-AR513)*(AR358&lt;$G225)</f>
        <v>0</v>
      </c>
      <c r="AS514" s="8" t="n">
        <f aca="false">(AS511+AS512-AR511-AR512-AS513)*(AS358&lt;$G225)</f>
        <v>0</v>
      </c>
    </row>
    <row r="516" customFormat="false" ht="14.25" hidden="false" customHeight="false" outlineLevel="0" collapsed="false">
      <c r="B516" s="4" t="s">
        <v>3</v>
      </c>
      <c r="C516" s="4" t="s">
        <v>341</v>
      </c>
      <c r="D516" s="4" t="s">
        <v>85</v>
      </c>
      <c r="E516" s="5" t="s">
        <v>5</v>
      </c>
      <c r="F516" s="5" t="s">
        <v>6</v>
      </c>
      <c r="G516" s="5" t="s">
        <v>7</v>
      </c>
      <c r="H516" s="5" t="s">
        <v>8</v>
      </c>
    </row>
    <row r="517" customFormat="false" ht="14.25" hidden="false" customHeight="false" outlineLevel="0" collapsed="false">
      <c r="C517" s="6" t="s">
        <v>258</v>
      </c>
      <c r="D517" s="2" t="s">
        <v>85</v>
      </c>
      <c r="E517" s="8" t="n">
        <f aca="false">-MAX(0,$H$401)*CIT_Rate*(1-Share_Exempt)</f>
        <v>-0</v>
      </c>
      <c r="F517" s="8" t="n">
        <f aca="false">-MAX(0,$H$453)*CIT_Rate*(1-Share_Exempt)</f>
        <v>-0</v>
      </c>
      <c r="G517" s="8" t="n">
        <f aca="false">-MAX(0,$H$505)*CIT_Rate*(1-Share_Exempt)</f>
        <v>-0</v>
      </c>
      <c r="H517" s="8" t="n">
        <f aca="false">SUM(E517:G517)</f>
        <v>0</v>
      </c>
    </row>
    <row r="518" customFormat="false" ht="14.25" hidden="false" customHeight="false" outlineLevel="0" collapsed="false">
      <c r="C518" s="1" t="s">
        <v>342</v>
      </c>
      <c r="D518" s="2" t="s">
        <v>85</v>
      </c>
      <c r="E518" s="15" t="n">
        <f aca="false">$H$401+E517</f>
        <v>32562.7204740098</v>
      </c>
      <c r="F518" s="15" t="n">
        <f aca="false">$H$453+F517</f>
        <v>40517.0073540907</v>
      </c>
      <c r="G518" s="15" t="n">
        <f aca="false">$H$505+G517</f>
        <v>40517.0073540907</v>
      </c>
      <c r="H518" s="15" t="n">
        <f aca="false">SUM(E518:G518)</f>
        <v>113596.735182191</v>
      </c>
    </row>
    <row r="520" customFormat="false" ht="14.25" hidden="false" customHeight="false" outlineLevel="0" collapsed="false">
      <c r="B520" s="4" t="s">
        <v>3</v>
      </c>
      <c r="C520" s="4" t="s">
        <v>343</v>
      </c>
      <c r="D520" s="4"/>
      <c r="E520" s="5" t="s">
        <v>5</v>
      </c>
      <c r="F520" s="5" t="s">
        <v>6</v>
      </c>
      <c r="G520" s="5" t="s">
        <v>7</v>
      </c>
      <c r="H520" s="5" t="s">
        <v>8</v>
      </c>
    </row>
    <row r="521" customFormat="false" ht="14.25" hidden="false" customHeight="false" outlineLevel="0" collapsed="false">
      <c r="C521" s="6" t="s">
        <v>344</v>
      </c>
      <c r="D521" s="2" t="s">
        <v>2</v>
      </c>
      <c r="E521" s="75" t="n">
        <f aca="false">N(ABS(E306+E307+E312-E315-E348)&gt;Tolerance)</f>
        <v>0</v>
      </c>
      <c r="F521" s="75" t="n">
        <f aca="false">N(ABS(F306+F307+F312-F315-F348)&gt;Tolerance)</f>
        <v>0</v>
      </c>
      <c r="G521" s="75" t="n">
        <f aca="false">N(ABS(G306+G307+G312-G315-G348)&gt;Tolerance)</f>
        <v>0</v>
      </c>
      <c r="H521" s="75" t="n">
        <f aca="false">SUM(E521:G521)</f>
        <v>0</v>
      </c>
    </row>
    <row r="522" customFormat="false" ht="14.25" hidden="false" customHeight="false" outlineLevel="0" collapsed="false">
      <c r="C522" s="6" t="s">
        <v>345</v>
      </c>
      <c r="D522" s="2" t="s">
        <v>2</v>
      </c>
      <c r="E522" s="75" t="n">
        <f aca="false">N(MAX(YEAR(Inputs!E$21),YEAR(Inputs!E$22),YEAR(Inputs!E$23),YEAR(Inputs!E$24),YEAR($J$55),YEAR($J$56))&gt;=YEAR(E190))</f>
        <v>0</v>
      </c>
      <c r="F522" s="75" t="n">
        <f aca="false">N(MAX(YEAR(Inputs!F$21),YEAR(Inputs!F$22),YEAR(Inputs!F$23),YEAR(Inputs!F$24),YEAR($J$55),YEAR($J$56))&gt;=YEAR(F190))</f>
        <v>0</v>
      </c>
      <c r="G522" s="75" t="n">
        <f aca="false">N(MAX(YEAR(Inputs!G$21),YEAR(Inputs!G$22),YEAR(Inputs!G$23),YEAR(Inputs!G$24),YEAR($J$55),YEAR($J$56))&gt;=YEAR(G190))</f>
        <v>0</v>
      </c>
      <c r="H522" s="75" t="n">
        <f aca="false">SUM(E522:G522)</f>
        <v>0</v>
      </c>
    </row>
    <row r="523" customFormat="false" ht="14.25" hidden="false" customHeight="false" outlineLevel="0" collapsed="false">
      <c r="C523" s="6" t="s">
        <v>346</v>
      </c>
      <c r="D523" s="2" t="s">
        <v>2</v>
      </c>
      <c r="E523" s="75" t="n">
        <f aca="false">N(AND(E17&lt;&gt;"EU",E17&lt;&gt;"CN"))</f>
        <v>0</v>
      </c>
      <c r="F523" s="75" t="n">
        <f aca="false">N(AND(F17&lt;&gt;"EU",F17&lt;&gt;"CN"))</f>
        <v>0</v>
      </c>
      <c r="G523" s="75" t="n">
        <f aca="false">N(AND(G17&lt;&gt;"EU",G17&lt;&gt;"CN"))</f>
        <v>0</v>
      </c>
      <c r="H523" s="75" t="n">
        <f aca="false">SUM(E523:G523)</f>
        <v>0</v>
      </c>
    </row>
    <row r="524" customFormat="false" ht="14.25" hidden="false" customHeight="false" outlineLevel="0" collapsed="false">
      <c r="C524" s="6" t="s">
        <v>347</v>
      </c>
      <c r="D524" s="2" t="s">
        <v>2</v>
      </c>
      <c r="E524" s="75" t="n">
        <f aca="false">(ABS(SUM(Devex_HUF)/FX/Thousand*Inputs!E$18-E68-E67)&gt;Tolerance)*1</f>
        <v>0</v>
      </c>
      <c r="F524" s="75" t="n">
        <f aca="false">(ABS(SUM(Devex_HUF)/FX/Thousand*Inputs!F$18-F68-F67)&gt;Tolerance)*1</f>
        <v>0</v>
      </c>
      <c r="G524" s="75" t="n">
        <f aca="false">(ABS(SUM(Devex_HUF)/FX/Thousand*Inputs!G$18-G68-G67)&gt;Tolerance)*1</f>
        <v>0</v>
      </c>
      <c r="H524" s="75" t="n">
        <f aca="false">SUM(E524:G524)</f>
        <v>0</v>
      </c>
    </row>
    <row r="525" customFormat="false" ht="14.25" hidden="false" customHeight="false" outlineLevel="0" collapsed="false">
      <c r="C525" s="6" t="s">
        <v>348</v>
      </c>
      <c r="D525" s="2" t="s">
        <v>2</v>
      </c>
      <c r="E525" s="75" t="n">
        <f aca="false">N(ABS(E91+$H$369)&gt;Tolerance)</f>
        <v>0</v>
      </c>
      <c r="F525" s="75" t="n">
        <f aca="false">N(ABS(F91+$H$421)&gt;Tolerance)</f>
        <v>0</v>
      </c>
      <c r="G525" s="75" t="n">
        <f aca="false">N(ABS(G91+$H$473)&gt;Tolerance)</f>
        <v>0</v>
      </c>
      <c r="H525" s="75" t="n">
        <f aca="false">SUM(E525:G525)</f>
        <v>0</v>
      </c>
    </row>
    <row r="526" customFormat="false" ht="14.25" hidden="false" customHeight="false" outlineLevel="0" collapsed="false">
      <c r="C526" s="6" t="s">
        <v>349</v>
      </c>
      <c r="D526" s="2" t="s">
        <v>2</v>
      </c>
      <c r="E526" s="75" t="n">
        <f aca="false">N(ABS(E99+$H$371)&gt;Tolerance)</f>
        <v>0</v>
      </c>
      <c r="F526" s="75" t="n">
        <f aca="false">N(ABS(F99+$H$423)&gt;Tolerance)</f>
        <v>0</v>
      </c>
      <c r="G526" s="75" t="n">
        <f aca="false">N(ABS(G99+$H$475)&gt;Tolerance)</f>
        <v>0</v>
      </c>
      <c r="H526" s="75" t="n">
        <f aca="false">SUM(E526:G526)</f>
        <v>0</v>
      </c>
    </row>
    <row r="527" customFormat="false" ht="14.25" hidden="false" customHeight="false" outlineLevel="0" collapsed="false">
      <c r="C527" s="6" t="s">
        <v>350</v>
      </c>
      <c r="D527" s="2" t="s">
        <v>2</v>
      </c>
      <c r="E527" s="75" t="n">
        <f aca="false">N(ABS($H$365-Life)&gt;Tolerance)</f>
        <v>0</v>
      </c>
      <c r="F527" s="75" t="n">
        <f aca="false">N(ABS($H$417-Life)&gt;Tolerance)</f>
        <v>0</v>
      </c>
      <c r="G527" s="75" t="n">
        <f aca="false">N(ABS($H$469-Life)&gt;Tolerance)</f>
        <v>0</v>
      </c>
      <c r="H527" s="75" t="n">
        <f aca="false">SUM(E527:G527)</f>
        <v>0</v>
      </c>
    </row>
    <row r="528" customFormat="false" ht="14.25" hidden="false" customHeight="false" outlineLevel="0" collapsed="false">
      <c r="C528" s="6" t="s">
        <v>351</v>
      </c>
      <c r="D528" s="2" t="s">
        <v>2</v>
      </c>
      <c r="E528" s="75" t="n">
        <f aca="false">N(Sale_Date_A&gt;=Inputs!E$24)</f>
        <v>0</v>
      </c>
      <c r="F528" s="75" t="n">
        <f aca="false">N(Sale_Date_A&gt;=Inputs!F$24)</f>
        <v>0</v>
      </c>
      <c r="G528" s="75" t="n">
        <f aca="false">N(Sale_Date_A&gt;=Inputs!G$24)</f>
        <v>0</v>
      </c>
      <c r="H528" s="75" t="n">
        <f aca="false">SUM(E528:G528)</f>
        <v>0</v>
      </c>
    </row>
    <row r="529" customFormat="false" ht="14.25" hidden="false" customHeight="false" outlineLevel="0" collapsed="false">
      <c r="C529" s="6" t="s">
        <v>352</v>
      </c>
      <c r="D529" s="2" t="s">
        <v>2</v>
      </c>
      <c r="E529" s="75" t="n">
        <f aca="false">N(ABS(E133+$H$371+$H$400)&gt;Tolerance)</f>
        <v>0</v>
      </c>
      <c r="F529" s="75" t="n">
        <f aca="false">N(ABS(F133+$H$423+$H$452)&gt;Tolerance)</f>
        <v>0</v>
      </c>
      <c r="G529" s="75" t="n">
        <f aca="false">N(ABS(G133+$H$475+$H$504)&gt;Tolerance)</f>
        <v>0</v>
      </c>
      <c r="H529" s="75" t="n">
        <f aca="false">SUM(E529:G529)</f>
        <v>0</v>
      </c>
    </row>
    <row r="530" customFormat="false" ht="14.25" hidden="false" customHeight="false" outlineLevel="0" collapsed="false">
      <c r="C530" s="6" t="s">
        <v>353</v>
      </c>
      <c r="D530" s="2" t="s">
        <v>2</v>
      </c>
      <c r="E530" s="75" t="n">
        <f aca="false">N(ABS(E254+E255+E260-E263-E294)&gt;Tolerance)</f>
        <v>0</v>
      </c>
      <c r="F530" s="75" t="n">
        <f aca="false">N(ABS(F254+F255+F260-F263-F294)&gt;Tolerance)</f>
        <v>0</v>
      </c>
      <c r="G530" s="75" t="n">
        <f aca="false">N(ABS(G254+G255+G260-G263-G294)&gt;Tolerance)</f>
        <v>0</v>
      </c>
      <c r="H530" s="75" t="n">
        <f aca="false">SUM(E530:G530)</f>
        <v>0</v>
      </c>
    </row>
    <row r="531" customFormat="false" ht="14.25" hidden="false" customHeight="false" outlineLevel="0" collapsed="false">
      <c r="C531" s="6" t="s">
        <v>354</v>
      </c>
      <c r="D531" s="2" t="s">
        <v>2</v>
      </c>
      <c r="E531" s="75" t="n">
        <f aca="false">N(ABS($AS$394)&gt;Tolerance)</f>
        <v>0</v>
      </c>
      <c r="F531" s="75" t="n">
        <f aca="false">N(ABS($AS$446)&gt;Tolerance)</f>
        <v>0</v>
      </c>
      <c r="G531" s="75" t="n">
        <f aca="false">N(ABS($AS$498)&gt;Tolerance)</f>
        <v>0</v>
      </c>
      <c r="H531" s="75" t="n">
        <f aca="false">SUM(E531:G531)</f>
        <v>0</v>
      </c>
    </row>
    <row r="532" customFormat="false" ht="14.25" hidden="false" customHeight="false" outlineLevel="0" collapsed="false">
      <c r="C532" s="6" t="s">
        <v>355</v>
      </c>
      <c r="D532" s="2" t="s">
        <v>2</v>
      </c>
      <c r="E532" s="75" t="n">
        <f aca="false">N(E352&gt;Tolerance)+N(E298&gt;Tolerance)</f>
        <v>0</v>
      </c>
      <c r="F532" s="75" t="n">
        <f aca="false">N(F352&gt;Tolerance)+N(F298&gt;Tolerance)</f>
        <v>0</v>
      </c>
      <c r="G532" s="75" t="n">
        <f aca="false">N(G352&gt;Tolerance)+N(G298&gt;Tolerance)</f>
        <v>0</v>
      </c>
      <c r="H532" s="75" t="n">
        <f aca="false">SUM(E532:G532)</f>
        <v>0</v>
      </c>
    </row>
    <row r="533" customFormat="false" ht="14.25" hidden="false" customHeight="false" outlineLevel="0" collapsed="false">
      <c r="C533" s="1" t="s">
        <v>356</v>
      </c>
      <c r="D533" s="2" t="s">
        <v>2</v>
      </c>
      <c r="H533" s="77" t="n">
        <f aca="false">SUM(H521:H532)</f>
        <v>0</v>
      </c>
    </row>
    <row r="535" customFormat="false" ht="14.25" hidden="false" customHeight="false" outlineLevel="0" collapsed="false">
      <c r="C535" s="78" t="s">
        <v>357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533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5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111" activePane="bottomRight" state="frozen"/>
      <selection pane="topLeft" activeCell="A1" activeCellId="0" sqref="A1"/>
      <selection pane="topRight" activeCell="E1" activeCellId="0" sqref="E1"/>
      <selection pane="bottomLeft" activeCell="A111" activeCellId="0" sqref="A111"/>
      <selection pane="bottomRight" activeCell="C124" activeCellId="0" sqref="C124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358</v>
      </c>
    </row>
    <row r="4" customFormat="false" ht="14.25" hidden="false" customHeight="false" outlineLevel="0" collapsed="false">
      <c r="B4" s="4" t="s">
        <v>3</v>
      </c>
      <c r="C4" s="4" t="s">
        <v>359</v>
      </c>
      <c r="D4" s="4"/>
      <c r="E4" s="5" t="s">
        <v>5</v>
      </c>
      <c r="F4" s="5" t="s">
        <v>6</v>
      </c>
      <c r="G4" s="5" t="s">
        <v>7</v>
      </c>
      <c r="H4" s="4" t="s">
        <v>360</v>
      </c>
    </row>
    <row r="5" customFormat="false" ht="14.25" hidden="false" customHeight="false" outlineLevel="0" collapsed="false">
      <c r="C5" s="42" t="s">
        <v>361</v>
      </c>
      <c r="D5" s="42"/>
      <c r="E5" s="43"/>
      <c r="F5" s="43"/>
      <c r="G5" s="43"/>
      <c r="H5" s="43"/>
    </row>
    <row r="6" customFormat="false" ht="14.25" hidden="false" customHeight="false" outlineLevel="0" collapsed="false">
      <c r="C6" s="6" t="s">
        <v>362</v>
      </c>
      <c r="D6" s="2" t="s">
        <v>363</v>
      </c>
      <c r="E6" s="7" t="n">
        <v>365</v>
      </c>
      <c r="H6" s="2" t="s">
        <v>364</v>
      </c>
    </row>
    <row r="7" customFormat="false" ht="14.25" hidden="false" customHeight="false" outlineLevel="0" collapsed="false">
      <c r="C7" s="6" t="s">
        <v>365</v>
      </c>
      <c r="D7" s="2" t="s">
        <v>366</v>
      </c>
      <c r="E7" s="7" t="n">
        <v>406000000</v>
      </c>
      <c r="H7" s="2" t="s">
        <v>367</v>
      </c>
    </row>
    <row r="8" customFormat="false" ht="14.25" hidden="false" customHeight="false" outlineLevel="0" collapsed="false">
      <c r="C8" s="6" t="s">
        <v>368</v>
      </c>
      <c r="D8" s="2" t="s">
        <v>369</v>
      </c>
      <c r="E8" s="7" t="n">
        <v>200000000</v>
      </c>
      <c r="H8" s="2" t="s">
        <v>370</v>
      </c>
    </row>
    <row r="9" customFormat="false" ht="14.25" hidden="false" customHeight="false" outlineLevel="0" collapsed="false">
      <c r="C9" s="6" t="s">
        <v>371</v>
      </c>
      <c r="D9" s="2" t="s">
        <v>12</v>
      </c>
      <c r="E9" s="9" t="n">
        <v>0.005</v>
      </c>
      <c r="H9" s="2" t="s">
        <v>372</v>
      </c>
    </row>
    <row r="10" customFormat="false" ht="14.25" hidden="false" customHeight="false" outlineLevel="0" collapsed="false">
      <c r="C10" s="6" t="s">
        <v>373</v>
      </c>
      <c r="D10" s="2" t="s">
        <v>12</v>
      </c>
      <c r="E10" s="9" t="n">
        <v>0.025</v>
      </c>
      <c r="H10" s="2" t="s">
        <v>374</v>
      </c>
    </row>
    <row r="11" customFormat="false" ht="14.25" hidden="false" customHeight="false" outlineLevel="0" collapsed="false">
      <c r="C11" s="6" t="s">
        <v>375</v>
      </c>
      <c r="D11" s="2" t="s">
        <v>74</v>
      </c>
      <c r="E11" s="7" t="n">
        <v>3000000</v>
      </c>
      <c r="H11" s="2" t="s">
        <v>376</v>
      </c>
    </row>
    <row r="12" customFormat="false" ht="14.25" hidden="false" customHeight="false" outlineLevel="0" collapsed="false">
      <c r="C12" s="6" t="s">
        <v>77</v>
      </c>
      <c r="D12" s="2" t="s">
        <v>377</v>
      </c>
      <c r="E12" s="7" t="n">
        <v>4500000</v>
      </c>
      <c r="H12" s="2" t="s">
        <v>378</v>
      </c>
    </row>
    <row r="13" customFormat="false" ht="14.25" hidden="false" customHeight="false" outlineLevel="0" collapsed="false">
      <c r="C13" s="42" t="s">
        <v>379</v>
      </c>
      <c r="D13" s="42"/>
      <c r="E13" s="43"/>
      <c r="F13" s="43"/>
      <c r="G13" s="43"/>
      <c r="H13" s="43"/>
    </row>
    <row r="14" customFormat="false" ht="14.25" hidden="false" customHeight="false" outlineLevel="0" collapsed="false">
      <c r="C14" s="6" t="s">
        <v>380</v>
      </c>
      <c r="D14" s="2" t="s">
        <v>377</v>
      </c>
      <c r="E14" s="7" t="n">
        <v>73071306</v>
      </c>
      <c r="F14" s="7" t="n">
        <v>19826680</v>
      </c>
      <c r="G14" s="7" t="n">
        <v>19826680</v>
      </c>
      <c r="H14" s="2" t="s">
        <v>381</v>
      </c>
    </row>
    <row r="15" customFormat="false" ht="14.25" hidden="false" customHeight="false" outlineLevel="0" collapsed="false">
      <c r="C15" s="6" t="s">
        <v>382</v>
      </c>
      <c r="D15" s="2" t="s">
        <v>74</v>
      </c>
      <c r="E15" s="7" t="n">
        <v>508345804</v>
      </c>
      <c r="F15" s="7" t="n">
        <v>460000000</v>
      </c>
      <c r="G15" s="7" t="n">
        <v>460000000</v>
      </c>
      <c r="H15" s="2" t="s">
        <v>383</v>
      </c>
    </row>
    <row r="16" customFormat="false" ht="14.25" hidden="false" customHeight="false" outlineLevel="0" collapsed="false">
      <c r="C16" s="6" t="s">
        <v>384</v>
      </c>
      <c r="D16" s="2" t="s">
        <v>385</v>
      </c>
      <c r="E16" s="11" t="n">
        <v>2</v>
      </c>
      <c r="F16" s="11" t="n">
        <v>1</v>
      </c>
      <c r="G16" s="11" t="n">
        <v>1</v>
      </c>
      <c r="H16" s="2" t="s">
        <v>386</v>
      </c>
    </row>
    <row r="17" customFormat="false" ht="14.25" hidden="false" customHeight="false" outlineLevel="0" collapsed="false">
      <c r="C17" s="6" t="s">
        <v>82</v>
      </c>
      <c r="D17" s="2" t="s">
        <v>85</v>
      </c>
      <c r="E17" s="7" t="n">
        <v>100</v>
      </c>
      <c r="F17" s="7" t="n">
        <v>150</v>
      </c>
      <c r="G17" s="7" t="n">
        <v>150</v>
      </c>
      <c r="H17" s="2" t="s">
        <v>387</v>
      </c>
    </row>
    <row r="18" customFormat="false" ht="14.25" hidden="false" customHeight="false" outlineLevel="0" collapsed="false">
      <c r="C18" s="6" t="s">
        <v>388</v>
      </c>
      <c r="D18" s="2" t="s">
        <v>3</v>
      </c>
      <c r="E18" s="12" t="n">
        <v>0.25</v>
      </c>
      <c r="F18" s="12" t="n">
        <v>0.25</v>
      </c>
      <c r="G18" s="12" t="n">
        <v>0.25</v>
      </c>
      <c r="H18" s="2" t="s">
        <v>389</v>
      </c>
    </row>
    <row r="19" customFormat="false" ht="14.25" hidden="false" customHeight="false" outlineLevel="0" collapsed="false">
      <c r="C19" s="6" t="s">
        <v>390</v>
      </c>
      <c r="D19" s="2" t="s">
        <v>2</v>
      </c>
      <c r="E19" s="11" t="n">
        <v>0</v>
      </c>
      <c r="F19" s="11" t="n">
        <v>0</v>
      </c>
      <c r="G19" s="11" t="n">
        <v>0</v>
      </c>
      <c r="H19" s="2" t="s">
        <v>391</v>
      </c>
    </row>
    <row r="20" customFormat="false" ht="14.25" hidden="false" customHeight="false" outlineLevel="0" collapsed="false">
      <c r="C20" s="6" t="s">
        <v>392</v>
      </c>
      <c r="D20" s="2" t="s">
        <v>169</v>
      </c>
      <c r="E20" s="79" t="n">
        <v>46234</v>
      </c>
      <c r="F20" s="79" t="n">
        <v>46234</v>
      </c>
      <c r="G20" s="79" t="n">
        <v>46234</v>
      </c>
      <c r="H20" s="2" t="s">
        <v>393</v>
      </c>
    </row>
    <row r="21" customFormat="false" ht="14.25" hidden="false" customHeight="false" outlineLevel="0" collapsed="false">
      <c r="C21" s="6" t="s">
        <v>394</v>
      </c>
      <c r="D21" s="2" t="s">
        <v>169</v>
      </c>
      <c r="E21" s="79" t="n">
        <v>46325</v>
      </c>
      <c r="F21" s="79" t="n">
        <v>46325</v>
      </c>
      <c r="G21" s="79" t="n">
        <v>46325</v>
      </c>
      <c r="H21" s="2" t="s">
        <v>395</v>
      </c>
    </row>
    <row r="22" customFormat="false" ht="14.25" hidden="false" customHeight="false" outlineLevel="0" collapsed="false">
      <c r="C22" s="6" t="s">
        <v>396</v>
      </c>
      <c r="D22" s="2" t="s">
        <v>169</v>
      </c>
      <c r="E22" s="79" t="n">
        <v>46402</v>
      </c>
      <c r="F22" s="79" t="n">
        <v>46402</v>
      </c>
      <c r="G22" s="79" t="n">
        <v>46402</v>
      </c>
      <c r="H22" s="2" t="s">
        <v>397</v>
      </c>
    </row>
    <row r="23" customFormat="false" ht="14.25" hidden="false" customHeight="false" outlineLevel="0" collapsed="false">
      <c r="C23" s="6" t="s">
        <v>398</v>
      </c>
      <c r="D23" s="2" t="s">
        <v>169</v>
      </c>
      <c r="E23" s="79" t="n">
        <v>46402</v>
      </c>
      <c r="F23" s="79" t="n">
        <v>46402</v>
      </c>
      <c r="G23" s="79" t="n">
        <v>46402</v>
      </c>
      <c r="H23" s="2" t="s">
        <v>399</v>
      </c>
    </row>
    <row r="24" customFormat="false" ht="14.25" hidden="false" customHeight="false" outlineLevel="0" collapsed="false">
      <c r="C24" s="6" t="s">
        <v>400</v>
      </c>
      <c r="D24" s="2" t="s">
        <v>169</v>
      </c>
      <c r="E24" s="79" t="n">
        <v>47027</v>
      </c>
      <c r="F24" s="79" t="n">
        <v>47027</v>
      </c>
      <c r="G24" s="79" t="n">
        <v>47027</v>
      </c>
      <c r="H24" s="2" t="s">
        <v>401</v>
      </c>
    </row>
    <row r="25" customFormat="false" ht="14.25" hidden="false" customHeight="false" outlineLevel="0" collapsed="false">
      <c r="C25" s="6" t="s">
        <v>402</v>
      </c>
      <c r="D25" s="2" t="s">
        <v>169</v>
      </c>
      <c r="E25" s="79" t="n">
        <v>47299</v>
      </c>
      <c r="F25" s="79" t="n">
        <v>47299</v>
      </c>
      <c r="G25" s="79" t="n">
        <v>47299</v>
      </c>
      <c r="H25" s="2" t="s">
        <v>403</v>
      </c>
    </row>
    <row r="26" customFormat="false" ht="14.25" hidden="false" customHeight="false" outlineLevel="0" collapsed="false">
      <c r="C26" s="6" t="s">
        <v>404</v>
      </c>
      <c r="D26" s="2" t="s">
        <v>169</v>
      </c>
      <c r="E26" s="79" t="n">
        <v>48029</v>
      </c>
      <c r="F26" s="79" t="n">
        <v>48029</v>
      </c>
      <c r="G26" s="79" t="n">
        <v>48029</v>
      </c>
      <c r="H26" s="2" t="s">
        <v>405</v>
      </c>
    </row>
    <row r="27" customFormat="false" ht="14.25" hidden="false" customHeight="false" outlineLevel="0" collapsed="false">
      <c r="C27" s="6" t="s">
        <v>406</v>
      </c>
      <c r="D27" s="2" t="s">
        <v>169</v>
      </c>
      <c r="E27" s="79" t="n">
        <v>48669</v>
      </c>
      <c r="F27" s="79" t="n">
        <v>48669</v>
      </c>
      <c r="G27" s="79" t="n">
        <v>48669</v>
      </c>
      <c r="H27" s="2" t="s">
        <v>407</v>
      </c>
    </row>
    <row r="28" customFormat="false" ht="14.25" hidden="false" customHeight="false" outlineLevel="0" collapsed="false">
      <c r="C28" s="6" t="s">
        <v>408</v>
      </c>
      <c r="D28" s="2" t="s">
        <v>169</v>
      </c>
      <c r="E28" s="79" t="n">
        <v>46325</v>
      </c>
      <c r="F28" s="79" t="n">
        <v>46325</v>
      </c>
      <c r="G28" s="79" t="n">
        <v>46325</v>
      </c>
      <c r="H28" s="2" t="s">
        <v>409</v>
      </c>
    </row>
    <row r="29" customFormat="false" ht="14.25" hidden="false" customHeight="false" outlineLevel="0" collapsed="false">
      <c r="C29" s="42" t="s">
        <v>410</v>
      </c>
      <c r="D29" s="42"/>
      <c r="E29" s="43"/>
      <c r="F29" s="43"/>
      <c r="G29" s="43"/>
      <c r="H29" s="43"/>
    </row>
    <row r="30" customFormat="false" ht="14.25" hidden="false" customHeight="false" outlineLevel="0" collapsed="false">
      <c r="C30" s="6" t="s">
        <v>411</v>
      </c>
      <c r="D30" s="2" t="s">
        <v>12</v>
      </c>
      <c r="E30" s="9" t="n">
        <v>0.12</v>
      </c>
      <c r="H30" s="2" t="s">
        <v>412</v>
      </c>
    </row>
    <row r="31" customFormat="false" ht="14.25" hidden="false" customHeight="false" outlineLevel="0" collapsed="false">
      <c r="C31" s="6" t="s">
        <v>413</v>
      </c>
      <c r="D31" s="2" t="s">
        <v>12</v>
      </c>
      <c r="E31" s="9" t="n">
        <v>0.2</v>
      </c>
      <c r="H31" s="2" t="s">
        <v>414</v>
      </c>
    </row>
    <row r="32" customFormat="false" ht="14.25" hidden="false" customHeight="false" outlineLevel="0" collapsed="false">
      <c r="C32" s="6" t="s">
        <v>415</v>
      </c>
      <c r="D32" s="2" t="s">
        <v>3</v>
      </c>
      <c r="E32" s="12" t="n">
        <v>2</v>
      </c>
      <c r="H32" s="2" t="s">
        <v>416</v>
      </c>
    </row>
    <row r="33" customFormat="false" ht="14.25" hidden="false" customHeight="false" outlineLevel="0" collapsed="false">
      <c r="C33" s="6" t="s">
        <v>417</v>
      </c>
      <c r="D33" s="2" t="s">
        <v>169</v>
      </c>
      <c r="E33" s="79" t="n">
        <v>47299</v>
      </c>
      <c r="H33" s="2" t="s">
        <v>418</v>
      </c>
    </row>
    <row r="34" customFormat="false" ht="14.25" hidden="false" customHeight="false" outlineLevel="0" collapsed="false">
      <c r="C34" s="6" t="s">
        <v>419</v>
      </c>
      <c r="D34" s="2" t="s">
        <v>169</v>
      </c>
      <c r="E34" s="79" t="n">
        <v>47391</v>
      </c>
      <c r="H34" s="2" t="s">
        <v>420</v>
      </c>
    </row>
    <row r="35" customFormat="false" ht="14.25" hidden="false" customHeight="false" outlineLevel="0" collapsed="false">
      <c r="C35" s="6" t="s">
        <v>421</v>
      </c>
      <c r="D35" s="2" t="s">
        <v>169</v>
      </c>
      <c r="E35" s="79" t="n">
        <v>47026</v>
      </c>
      <c r="H35" s="2" t="s">
        <v>422</v>
      </c>
    </row>
    <row r="36" customFormat="false" ht="14.25" hidden="false" customHeight="false" outlineLevel="0" collapsed="false">
      <c r="C36" s="6" t="s">
        <v>423</v>
      </c>
      <c r="D36" s="2" t="s">
        <v>85</v>
      </c>
      <c r="E36" s="7" t="n">
        <v>250</v>
      </c>
      <c r="H36" s="2" t="s">
        <v>424</v>
      </c>
    </row>
    <row r="37" customFormat="false" ht="14.25" hidden="false" customHeight="false" outlineLevel="0" collapsed="false">
      <c r="C37" s="6" t="s">
        <v>425</v>
      </c>
      <c r="D37" s="2" t="s">
        <v>51</v>
      </c>
      <c r="E37" s="10" t="n">
        <v>2.5</v>
      </c>
      <c r="H37" s="2" t="s">
        <v>426</v>
      </c>
    </row>
    <row r="38" customFormat="false" ht="14.25" hidden="false" customHeight="false" outlineLevel="0" collapsed="false">
      <c r="C38" s="6" t="s">
        <v>427</v>
      </c>
      <c r="D38" s="2" t="s">
        <v>42</v>
      </c>
      <c r="E38" s="10" t="n">
        <v>10</v>
      </c>
      <c r="H38" s="2" t="s">
        <v>428</v>
      </c>
    </row>
    <row r="39" customFormat="false" ht="14.25" hidden="false" customHeight="false" outlineLevel="0" collapsed="false">
      <c r="C39" s="6" t="s">
        <v>429</v>
      </c>
      <c r="D39" s="2" t="s">
        <v>12</v>
      </c>
      <c r="E39" s="9" t="n">
        <v>0.15</v>
      </c>
      <c r="H39" s="2" t="s">
        <v>430</v>
      </c>
    </row>
    <row r="40" customFormat="false" ht="14.25" hidden="false" customHeight="false" outlineLevel="0" collapsed="false">
      <c r="C40" s="6" t="s">
        <v>431</v>
      </c>
      <c r="D40" s="2" t="s">
        <v>2</v>
      </c>
      <c r="E40" s="11" t="n">
        <v>1</v>
      </c>
      <c r="H40" s="2"/>
    </row>
    <row r="41" customFormat="false" ht="14.25" hidden="false" customHeight="false" outlineLevel="0" collapsed="false">
      <c r="C41" s="42" t="s">
        <v>432</v>
      </c>
      <c r="D41" s="42"/>
      <c r="E41" s="43"/>
      <c r="F41" s="43"/>
      <c r="G41" s="43"/>
      <c r="H41" s="43"/>
    </row>
    <row r="42" customFormat="false" ht="14.25" hidden="false" customHeight="false" outlineLevel="0" collapsed="false">
      <c r="C42" s="6" t="s">
        <v>433</v>
      </c>
      <c r="D42" s="2" t="s">
        <v>290</v>
      </c>
      <c r="E42" s="11" t="n">
        <v>20</v>
      </c>
      <c r="H42" s="2" t="s">
        <v>434</v>
      </c>
    </row>
    <row r="43" customFormat="false" ht="14.25" hidden="false" customHeight="false" outlineLevel="0" collapsed="false">
      <c r="C43" s="6" t="s">
        <v>435</v>
      </c>
      <c r="D43" s="2" t="s">
        <v>12</v>
      </c>
      <c r="E43" s="9" t="n">
        <v>0.6</v>
      </c>
      <c r="H43" s="2" t="s">
        <v>436</v>
      </c>
    </row>
    <row r="44" customFormat="false" ht="14.25" hidden="false" customHeight="false" outlineLevel="0" collapsed="false">
      <c r="C44" s="6" t="s">
        <v>437</v>
      </c>
      <c r="D44" s="2" t="s">
        <v>12</v>
      </c>
      <c r="E44" s="9" t="n">
        <v>0.05</v>
      </c>
      <c r="H44" s="2" t="s">
        <v>438</v>
      </c>
    </row>
    <row r="45" customFormat="false" ht="14.25" hidden="false" customHeight="false" outlineLevel="0" collapsed="false">
      <c r="C45" s="6" t="s">
        <v>439</v>
      </c>
      <c r="D45" s="2" t="s">
        <v>290</v>
      </c>
      <c r="E45" s="11" t="n">
        <v>15</v>
      </c>
      <c r="H45" s="2" t="s">
        <v>440</v>
      </c>
    </row>
    <row r="46" customFormat="false" ht="14.25" hidden="false" customHeight="false" outlineLevel="0" collapsed="false">
      <c r="C46" s="42" t="s">
        <v>441</v>
      </c>
      <c r="D46" s="42"/>
      <c r="E46" s="43"/>
      <c r="F46" s="43"/>
      <c r="G46" s="43"/>
      <c r="H46" s="43"/>
    </row>
    <row r="47" customFormat="false" ht="14.25" hidden="false" customHeight="false" outlineLevel="0" collapsed="false">
      <c r="C47" s="6" t="s">
        <v>442</v>
      </c>
      <c r="D47" s="2" t="s">
        <v>42</v>
      </c>
      <c r="E47" s="7" t="n">
        <v>80</v>
      </c>
      <c r="H47" s="2" t="s">
        <v>443</v>
      </c>
    </row>
    <row r="48" customFormat="false" ht="14.25" hidden="false" customHeight="false" outlineLevel="0" collapsed="false">
      <c r="C48" s="6" t="s">
        <v>102</v>
      </c>
      <c r="D48" s="2" t="s">
        <v>42</v>
      </c>
      <c r="E48" s="7" t="n">
        <v>90</v>
      </c>
      <c r="H48" s="2" t="s">
        <v>444</v>
      </c>
    </row>
    <row r="49" customFormat="false" ht="14.25" hidden="false" customHeight="false" outlineLevel="0" collapsed="false">
      <c r="C49" s="6" t="s">
        <v>103</v>
      </c>
      <c r="D49" s="2" t="s">
        <v>42</v>
      </c>
      <c r="E49" s="7" t="n">
        <v>70</v>
      </c>
      <c r="H49" s="2" t="s">
        <v>445</v>
      </c>
    </row>
    <row r="50" customFormat="false" ht="14.25" hidden="false" customHeight="false" outlineLevel="0" collapsed="false">
      <c r="C50" s="6" t="s">
        <v>104</v>
      </c>
      <c r="D50" s="2" t="s">
        <v>42</v>
      </c>
      <c r="E50" s="7" t="n">
        <v>60</v>
      </c>
      <c r="H50" s="2" t="s">
        <v>446</v>
      </c>
    </row>
    <row r="51" customFormat="false" ht="14.25" hidden="false" customHeight="false" outlineLevel="0" collapsed="false">
      <c r="C51" s="6" t="s">
        <v>105</v>
      </c>
      <c r="D51" s="2" t="s">
        <v>42</v>
      </c>
      <c r="E51" s="7" t="n">
        <v>40</v>
      </c>
      <c r="H51" s="2" t="s">
        <v>447</v>
      </c>
    </row>
    <row r="52" customFormat="false" ht="14.25" hidden="false" customHeight="false" outlineLevel="0" collapsed="false">
      <c r="C52" s="6" t="s">
        <v>106</v>
      </c>
      <c r="D52" s="2" t="s">
        <v>42</v>
      </c>
      <c r="E52" s="7" t="n">
        <v>0</v>
      </c>
      <c r="H52" s="2" t="s">
        <v>448</v>
      </c>
    </row>
    <row r="53" customFormat="false" ht="14.25" hidden="false" customHeight="false" outlineLevel="0" collapsed="false">
      <c r="C53" s="6" t="s">
        <v>449</v>
      </c>
      <c r="D53" s="2" t="s">
        <v>85</v>
      </c>
      <c r="E53" s="7" t="n">
        <v>12000</v>
      </c>
      <c r="H53" s="2" t="s">
        <v>450</v>
      </c>
    </row>
    <row r="54" customFormat="false" ht="14.25" hidden="false" customHeight="false" outlineLevel="0" collapsed="false">
      <c r="C54" s="6" t="s">
        <v>451</v>
      </c>
      <c r="D54" s="2" t="s">
        <v>10</v>
      </c>
      <c r="E54" s="7" t="n">
        <v>200</v>
      </c>
      <c r="H54" s="2" t="s">
        <v>452</v>
      </c>
    </row>
    <row r="55" customFormat="false" ht="14.25" hidden="false" customHeight="false" outlineLevel="0" collapsed="false">
      <c r="C55" s="6" t="s">
        <v>453</v>
      </c>
      <c r="D55" s="2" t="s">
        <v>12</v>
      </c>
      <c r="E55" s="9" t="n">
        <v>0.05</v>
      </c>
      <c r="H55" s="2" t="s">
        <v>454</v>
      </c>
    </row>
    <row r="56" customFormat="false" ht="14.25" hidden="false" customHeight="false" outlineLevel="0" collapsed="false">
      <c r="C56" s="6" t="s">
        <v>455</v>
      </c>
      <c r="D56" s="2" t="s">
        <v>456</v>
      </c>
      <c r="E56" s="7" t="n">
        <v>100</v>
      </c>
      <c r="H56" s="2" t="s">
        <v>457</v>
      </c>
    </row>
    <row r="57" customFormat="false" ht="14.25" hidden="false" customHeight="false" outlineLevel="0" collapsed="false">
      <c r="C57" s="42" t="s">
        <v>458</v>
      </c>
      <c r="D57" s="42"/>
      <c r="E57" s="43"/>
      <c r="F57" s="43"/>
      <c r="G57" s="43"/>
      <c r="H57" s="43"/>
    </row>
    <row r="58" customFormat="false" ht="14.25" hidden="false" customHeight="false" outlineLevel="0" collapsed="false">
      <c r="C58" s="6" t="s">
        <v>459</v>
      </c>
      <c r="D58" s="2" t="s">
        <v>12</v>
      </c>
      <c r="E58" s="9" t="n">
        <v>0.02</v>
      </c>
      <c r="H58" s="2" t="s">
        <v>460</v>
      </c>
    </row>
    <row r="59" customFormat="false" ht="14.25" hidden="false" customHeight="false" outlineLevel="0" collapsed="false">
      <c r="C59" s="6" t="s">
        <v>461</v>
      </c>
      <c r="D59" s="2" t="s">
        <v>12</v>
      </c>
      <c r="E59" s="9" t="n">
        <v>0.04</v>
      </c>
      <c r="H59" s="2" t="s">
        <v>462</v>
      </c>
    </row>
    <row r="60" customFormat="false" ht="14.25" hidden="false" customHeight="false" outlineLevel="0" collapsed="false">
      <c r="C60" s="6" t="s">
        <v>463</v>
      </c>
      <c r="D60" s="2" t="s">
        <v>464</v>
      </c>
      <c r="E60" s="9" t="n">
        <v>0.003</v>
      </c>
      <c r="H60" s="2" t="s">
        <v>465</v>
      </c>
    </row>
    <row r="61" customFormat="false" ht="14.25" hidden="false" customHeight="false" outlineLevel="0" collapsed="false">
      <c r="C61" s="6" t="s">
        <v>466</v>
      </c>
      <c r="D61" s="2" t="s">
        <v>464</v>
      </c>
      <c r="E61" s="9" t="n">
        <v>0.01</v>
      </c>
      <c r="H61" s="2" t="s">
        <v>467</v>
      </c>
    </row>
    <row r="62" customFormat="false" ht="14.25" hidden="false" customHeight="false" outlineLevel="0" collapsed="false">
      <c r="C62" s="42" t="s">
        <v>468</v>
      </c>
      <c r="D62" s="42"/>
      <c r="E62" s="43"/>
      <c r="F62" s="43"/>
      <c r="G62" s="43"/>
      <c r="H62" s="43"/>
    </row>
    <row r="63" customFormat="false" ht="14.25" hidden="false" customHeight="false" outlineLevel="0" collapsed="false">
      <c r="C63" s="6" t="s">
        <v>469</v>
      </c>
      <c r="D63" s="2" t="s">
        <v>51</v>
      </c>
      <c r="E63" s="10" t="n">
        <v>3</v>
      </c>
      <c r="H63" s="2" t="s">
        <v>470</v>
      </c>
    </row>
    <row r="64" customFormat="false" ht="14.25" hidden="false" customHeight="false" outlineLevel="0" collapsed="false">
      <c r="C64" s="6" t="s">
        <v>471</v>
      </c>
      <c r="D64" s="2" t="s">
        <v>51</v>
      </c>
      <c r="E64" s="10" t="n">
        <v>3</v>
      </c>
      <c r="H64" s="2" t="s">
        <v>472</v>
      </c>
    </row>
    <row r="65" customFormat="false" ht="14.25" hidden="false" customHeight="false" outlineLevel="0" collapsed="false">
      <c r="C65" s="6" t="s">
        <v>473</v>
      </c>
      <c r="D65" s="2" t="s">
        <v>51</v>
      </c>
      <c r="E65" s="10" t="n">
        <v>2.5</v>
      </c>
      <c r="H65" s="2" t="s">
        <v>474</v>
      </c>
    </row>
    <row r="66" customFormat="false" ht="14.25" hidden="false" customHeight="false" outlineLevel="0" collapsed="false">
      <c r="C66" s="6" t="s">
        <v>475</v>
      </c>
      <c r="D66" s="2" t="s">
        <v>51</v>
      </c>
      <c r="E66" s="10" t="n">
        <v>1.5</v>
      </c>
      <c r="H66" s="2" t="s">
        <v>476</v>
      </c>
    </row>
    <row r="67" customFormat="false" ht="14.25" hidden="false" customHeight="false" outlineLevel="0" collapsed="false">
      <c r="C67" s="6" t="s">
        <v>477</v>
      </c>
      <c r="D67" s="2" t="s">
        <v>51</v>
      </c>
      <c r="E67" s="10" t="n">
        <v>3</v>
      </c>
      <c r="H67" s="2" t="s">
        <v>478</v>
      </c>
    </row>
    <row r="68" customFormat="false" ht="14.25" hidden="false" customHeight="false" outlineLevel="0" collapsed="false">
      <c r="C68" s="6" t="s">
        <v>479</v>
      </c>
      <c r="D68" s="2" t="s">
        <v>480</v>
      </c>
      <c r="E68" s="7" t="n">
        <v>150</v>
      </c>
      <c r="H68" s="2" t="s">
        <v>481</v>
      </c>
    </row>
    <row r="69" customFormat="false" ht="14.25" hidden="false" customHeight="false" outlineLevel="0" collapsed="false">
      <c r="C69" s="6" t="s">
        <v>482</v>
      </c>
      <c r="D69" s="2" t="s">
        <v>20</v>
      </c>
      <c r="E69" s="10" t="n">
        <v>4</v>
      </c>
      <c r="H69" s="2" t="s">
        <v>483</v>
      </c>
    </row>
    <row r="70" customFormat="false" ht="14.25" hidden="false" customHeight="false" outlineLevel="0" collapsed="false">
      <c r="C70" s="6" t="s">
        <v>484</v>
      </c>
      <c r="D70" s="2" t="s">
        <v>20</v>
      </c>
      <c r="E70" s="10" t="n">
        <v>1</v>
      </c>
      <c r="H70" s="2" t="s">
        <v>485</v>
      </c>
    </row>
    <row r="71" customFormat="false" ht="14.25" hidden="false" customHeight="false" outlineLevel="0" collapsed="false">
      <c r="C71" s="6" t="s">
        <v>310</v>
      </c>
      <c r="D71" s="2" t="s">
        <v>486</v>
      </c>
      <c r="E71" s="9" t="n">
        <v>0.001</v>
      </c>
      <c r="H71" s="2" t="s">
        <v>487</v>
      </c>
    </row>
    <row r="72" customFormat="false" ht="14.25" hidden="false" customHeight="false" outlineLevel="0" collapsed="false">
      <c r="C72" s="6" t="s">
        <v>313</v>
      </c>
      <c r="D72" s="2" t="s">
        <v>486</v>
      </c>
      <c r="E72" s="9" t="n">
        <v>0.02</v>
      </c>
      <c r="H72" s="2" t="s">
        <v>488</v>
      </c>
    </row>
    <row r="73" customFormat="false" ht="14.25" hidden="false" customHeight="false" outlineLevel="0" collapsed="false">
      <c r="C73" s="6" t="s">
        <v>489</v>
      </c>
      <c r="D73" s="2" t="s">
        <v>12</v>
      </c>
      <c r="E73" s="9" t="n">
        <v>0.05</v>
      </c>
      <c r="H73" s="2" t="s">
        <v>490</v>
      </c>
    </row>
    <row r="74" customFormat="false" ht="14.25" hidden="false" customHeight="false" outlineLevel="0" collapsed="false">
      <c r="C74" s="6" t="s">
        <v>491</v>
      </c>
      <c r="D74" s="2" t="s">
        <v>464</v>
      </c>
      <c r="E74" s="9" t="n">
        <v>0.025</v>
      </c>
      <c r="H74" s="2" t="s">
        <v>492</v>
      </c>
    </row>
    <row r="75" customFormat="false" ht="14.25" hidden="false" customHeight="false" outlineLevel="0" collapsed="false">
      <c r="C75" s="42" t="s">
        <v>493</v>
      </c>
      <c r="D75" s="42"/>
      <c r="E75" s="43"/>
      <c r="F75" s="43"/>
      <c r="G75" s="43"/>
      <c r="H75" s="43"/>
    </row>
    <row r="76" customFormat="false" ht="14.25" hidden="false" customHeight="false" outlineLevel="0" collapsed="false">
      <c r="C76" s="6" t="s">
        <v>494</v>
      </c>
      <c r="D76" s="2" t="s">
        <v>290</v>
      </c>
      <c r="E76" s="11" t="n">
        <v>30</v>
      </c>
      <c r="H76" s="2" t="s">
        <v>495</v>
      </c>
    </row>
    <row r="77" customFormat="false" ht="14.25" hidden="false" customHeight="false" outlineLevel="0" collapsed="false">
      <c r="C77" s="6" t="s">
        <v>496</v>
      </c>
      <c r="D77" s="2" t="s">
        <v>12</v>
      </c>
      <c r="E77" s="9" t="n">
        <v>0.08</v>
      </c>
      <c r="H77" s="2" t="s">
        <v>497</v>
      </c>
    </row>
    <row r="78" customFormat="false" ht="14.25" hidden="false" customHeight="false" outlineLevel="0" collapsed="false">
      <c r="C78" s="6" t="s">
        <v>498</v>
      </c>
      <c r="D78" s="2" t="s">
        <v>156</v>
      </c>
      <c r="E78" s="11" t="n">
        <v>2026</v>
      </c>
      <c r="H78" s="2" t="s">
        <v>499</v>
      </c>
    </row>
    <row r="79" customFormat="false" ht="14.25" hidden="false" customHeight="false" outlineLevel="0" collapsed="false">
      <c r="C79" s="6" t="s">
        <v>500</v>
      </c>
      <c r="D79" s="2" t="s">
        <v>3</v>
      </c>
      <c r="E79" s="7" t="n">
        <v>1000</v>
      </c>
      <c r="H79" s="2" t="s">
        <v>501</v>
      </c>
    </row>
    <row r="80" customFormat="false" ht="14.25" hidden="false" customHeight="false" outlineLevel="0" collapsed="false">
      <c r="C80" s="6" t="s">
        <v>502</v>
      </c>
      <c r="D80" s="2" t="s">
        <v>173</v>
      </c>
      <c r="E80" s="11" t="n">
        <v>365</v>
      </c>
      <c r="H80" s="2" t="s">
        <v>501</v>
      </c>
    </row>
    <row r="81" customFormat="false" ht="14.25" hidden="false" customHeight="false" outlineLevel="0" collapsed="false">
      <c r="C81" s="6" t="s">
        <v>503</v>
      </c>
      <c r="D81" s="2" t="s">
        <v>292</v>
      </c>
      <c r="E81" s="11" t="n">
        <v>12</v>
      </c>
      <c r="H81" s="2" t="s">
        <v>501</v>
      </c>
    </row>
    <row r="82" customFormat="false" ht="14.25" hidden="false" customHeight="false" outlineLevel="0" collapsed="false">
      <c r="C82" s="6" t="s">
        <v>504</v>
      </c>
      <c r="D82" s="2" t="s">
        <v>85</v>
      </c>
      <c r="E82" s="80" t="n">
        <v>0.001</v>
      </c>
      <c r="H82" s="2" t="s">
        <v>501</v>
      </c>
    </row>
    <row r="84" customFormat="false" ht="14.25" hidden="false" customHeight="false" outlineLevel="0" collapsed="false">
      <c r="C84" s="42" t="s">
        <v>505</v>
      </c>
      <c r="D84" s="42"/>
      <c r="E84" s="43"/>
      <c r="F84" s="43"/>
      <c r="G84" s="43"/>
      <c r="H84" s="43"/>
    </row>
    <row r="85" customFormat="false" ht="14.25" hidden="false" customHeight="false" outlineLevel="0" collapsed="false">
      <c r="C85" s="6" t="s">
        <v>506</v>
      </c>
      <c r="D85" s="2" t="s">
        <v>74</v>
      </c>
      <c r="E85" s="7" t="n">
        <v>20590500</v>
      </c>
      <c r="F85" s="79" t="n">
        <v>46431</v>
      </c>
      <c r="G85" s="13" t="s">
        <v>116</v>
      </c>
      <c r="H85" s="2" t="s">
        <v>507</v>
      </c>
    </row>
    <row r="86" customFormat="false" ht="14.25" hidden="false" customHeight="false" outlineLevel="0" collapsed="false">
      <c r="C86" s="6" t="s">
        <v>508</v>
      </c>
      <c r="D86" s="2" t="s">
        <v>74</v>
      </c>
      <c r="E86" s="7" t="n">
        <v>45600000</v>
      </c>
      <c r="F86" s="79" t="n">
        <v>46431</v>
      </c>
      <c r="G86" s="13" t="s">
        <v>116</v>
      </c>
      <c r="H86" s="2" t="s">
        <v>509</v>
      </c>
    </row>
    <row r="87" customFormat="false" ht="14.25" hidden="false" customHeight="false" outlineLevel="0" collapsed="false">
      <c r="C87" s="6" t="s">
        <v>510</v>
      </c>
      <c r="D87" s="2" t="s">
        <v>74</v>
      </c>
      <c r="E87" s="7" t="n">
        <v>59142857.1428571</v>
      </c>
      <c r="F87" s="79" t="n">
        <v>46976</v>
      </c>
      <c r="G87" s="13" t="s">
        <v>511</v>
      </c>
      <c r="H87" s="2" t="s">
        <v>512</v>
      </c>
    </row>
    <row r="88" customFormat="false" ht="14.25" hidden="false" customHeight="false" outlineLevel="0" collapsed="false">
      <c r="C88" s="6" t="s">
        <v>513</v>
      </c>
      <c r="D88" s="2" t="s">
        <v>74</v>
      </c>
      <c r="E88" s="7" t="n">
        <v>750544</v>
      </c>
      <c r="F88" s="79" t="n">
        <v>46976</v>
      </c>
      <c r="G88" s="13" t="s">
        <v>511</v>
      </c>
      <c r="H88" s="2" t="s">
        <v>514</v>
      </c>
    </row>
    <row r="89" customFormat="false" ht="14.25" hidden="false" customHeight="false" outlineLevel="0" collapsed="false">
      <c r="C89" s="6" t="s">
        <v>515</v>
      </c>
      <c r="D89" s="2" t="s">
        <v>74</v>
      </c>
      <c r="E89" s="7" t="n">
        <v>65580000</v>
      </c>
      <c r="F89" s="79" t="n">
        <v>46296</v>
      </c>
      <c r="G89" s="13" t="s">
        <v>511</v>
      </c>
      <c r="H89" s="2" t="s">
        <v>516</v>
      </c>
    </row>
    <row r="90" customFormat="false" ht="14.25" hidden="false" customHeight="false" outlineLevel="0" collapsed="false">
      <c r="C90" s="6" t="s">
        <v>517</v>
      </c>
      <c r="D90" s="2" t="s">
        <v>74</v>
      </c>
      <c r="E90" s="7" t="n">
        <v>147260000</v>
      </c>
      <c r="F90" s="79" t="n">
        <v>46447</v>
      </c>
      <c r="G90" s="13" t="s">
        <v>511</v>
      </c>
      <c r="H90" s="2" t="s">
        <v>518</v>
      </c>
    </row>
    <row r="91" customFormat="false" ht="14.25" hidden="false" customHeight="false" outlineLevel="0" collapsed="false">
      <c r="C91" s="6" t="s">
        <v>519</v>
      </c>
      <c r="D91" s="2" t="s">
        <v>74</v>
      </c>
      <c r="E91" s="7" t="n">
        <v>3600000</v>
      </c>
      <c r="F91" s="79" t="n">
        <v>46388</v>
      </c>
      <c r="G91" s="13" t="s">
        <v>511</v>
      </c>
      <c r="H91" s="2" t="s">
        <v>520</v>
      </c>
    </row>
    <row r="92" customFormat="false" ht="14.25" hidden="false" customHeight="false" outlineLevel="0" collapsed="false">
      <c r="C92" s="6" t="s">
        <v>521</v>
      </c>
      <c r="D92" s="2" t="s">
        <v>74</v>
      </c>
      <c r="E92" s="7" t="n">
        <v>1665000</v>
      </c>
      <c r="F92" s="79" t="n">
        <v>46932</v>
      </c>
      <c r="G92" s="13" t="s">
        <v>511</v>
      </c>
      <c r="H92" s="2" t="s">
        <v>522</v>
      </c>
    </row>
    <row r="93" customFormat="false" ht="14.25" hidden="false" customHeight="false" outlineLevel="0" collapsed="false">
      <c r="C93" s="6" t="s">
        <v>523</v>
      </c>
      <c r="D93" s="2" t="s">
        <v>74</v>
      </c>
      <c r="E93" s="7" t="n">
        <v>960000</v>
      </c>
      <c r="F93" s="79" t="n">
        <v>46746</v>
      </c>
      <c r="G93" s="13" t="s">
        <v>511</v>
      </c>
      <c r="H93" s="2" t="s">
        <v>524</v>
      </c>
    </row>
    <row r="94" customFormat="false" ht="14.25" hidden="false" customHeight="false" outlineLevel="0" collapsed="false">
      <c r="C94" s="6" t="s">
        <v>525</v>
      </c>
      <c r="D94" s="2" t="s">
        <v>74</v>
      </c>
      <c r="E94" s="7" t="n">
        <v>8000000</v>
      </c>
      <c r="F94" s="79" t="n">
        <v>46596</v>
      </c>
      <c r="G94" s="13" t="s">
        <v>511</v>
      </c>
      <c r="H94" s="2" t="s">
        <v>526</v>
      </c>
    </row>
    <row r="95" customFormat="false" ht="14.25" hidden="false" customHeight="false" outlineLevel="0" collapsed="false">
      <c r="C95" s="6" t="s">
        <v>527</v>
      </c>
      <c r="D95" s="2" t="s">
        <v>74</v>
      </c>
      <c r="E95" s="7" t="n">
        <v>50000000</v>
      </c>
      <c r="F95" s="79" t="n">
        <v>46806</v>
      </c>
      <c r="G95" s="13" t="s">
        <v>511</v>
      </c>
      <c r="H95" s="2" t="s">
        <v>528</v>
      </c>
    </row>
    <row r="96" customFormat="false" ht="14.25" hidden="false" customHeight="false" outlineLevel="0" collapsed="false">
      <c r="C96" s="6" t="s">
        <v>529</v>
      </c>
      <c r="D96" s="2" t="s">
        <v>74</v>
      </c>
      <c r="E96" s="7" t="n">
        <v>35000000</v>
      </c>
      <c r="F96" s="79" t="n">
        <v>46806</v>
      </c>
      <c r="G96" s="13" t="s">
        <v>511</v>
      </c>
      <c r="H96" s="2" t="s">
        <v>530</v>
      </c>
    </row>
    <row r="97" customFormat="false" ht="14.25" hidden="false" customHeight="false" outlineLevel="0" collapsed="false">
      <c r="C97" s="6" t="s">
        <v>531</v>
      </c>
      <c r="D97" s="2" t="s">
        <v>74</v>
      </c>
      <c r="E97" s="7" t="n">
        <v>14832000</v>
      </c>
      <c r="F97" s="79" t="n">
        <v>46751</v>
      </c>
      <c r="G97" s="13" t="s">
        <v>511</v>
      </c>
      <c r="H97" s="2" t="s">
        <v>532</v>
      </c>
    </row>
    <row r="98" customFormat="false" ht="14.25" hidden="false" customHeight="false" outlineLevel="0" collapsed="false">
      <c r="C98" s="6" t="s">
        <v>533</v>
      </c>
      <c r="D98" s="2" t="s">
        <v>74</v>
      </c>
      <c r="E98" s="7" t="n">
        <v>40000</v>
      </c>
      <c r="F98" s="79" t="n">
        <v>46871</v>
      </c>
      <c r="G98" s="13" t="s">
        <v>511</v>
      </c>
      <c r="H98" s="2" t="s">
        <v>534</v>
      </c>
    </row>
    <row r="99" customFormat="false" ht="14.25" hidden="false" customHeight="false" outlineLevel="0" collapsed="false">
      <c r="C99" s="6" t="s">
        <v>535</v>
      </c>
      <c r="D99" s="2" t="s">
        <v>74</v>
      </c>
      <c r="E99" s="7" t="n">
        <v>32610000</v>
      </c>
      <c r="F99" s="79" t="n">
        <v>46841</v>
      </c>
      <c r="G99" s="13" t="s">
        <v>511</v>
      </c>
      <c r="H99" s="2" t="s">
        <v>536</v>
      </c>
    </row>
    <row r="100" customFormat="false" ht="14.25" hidden="false" customHeight="false" outlineLevel="0" collapsed="false">
      <c r="C100" s="6" t="s">
        <v>537</v>
      </c>
      <c r="D100" s="2" t="s">
        <v>74</v>
      </c>
      <c r="E100" s="7" t="n">
        <v>8000000</v>
      </c>
      <c r="F100" s="79" t="n">
        <v>46596</v>
      </c>
      <c r="G100" s="13" t="s">
        <v>511</v>
      </c>
      <c r="H100" s="2" t="s">
        <v>538</v>
      </c>
    </row>
    <row r="101" customFormat="false" ht="14.25" hidden="false" customHeight="false" outlineLevel="0" collapsed="false">
      <c r="C101" s="6" t="s">
        <v>539</v>
      </c>
      <c r="D101" s="2" t="s">
        <v>74</v>
      </c>
      <c r="E101" s="7" t="n">
        <v>8000000</v>
      </c>
      <c r="F101" s="79" t="n">
        <v>46566</v>
      </c>
      <c r="G101" s="13" t="s">
        <v>511</v>
      </c>
      <c r="H101" s="2" t="s">
        <v>540</v>
      </c>
    </row>
    <row r="102" customFormat="false" ht="14.25" hidden="false" customHeight="false" outlineLevel="0" collapsed="false">
      <c r="C102" s="6" t="s">
        <v>541</v>
      </c>
      <c r="D102" s="2" t="s">
        <v>74</v>
      </c>
      <c r="E102" s="7" t="n">
        <v>8000000</v>
      </c>
      <c r="F102" s="79" t="n">
        <v>46566</v>
      </c>
      <c r="G102" s="13" t="s">
        <v>511</v>
      </c>
      <c r="H102" s="2" t="s">
        <v>542</v>
      </c>
    </row>
    <row r="103" customFormat="false" ht="14.25" hidden="false" customHeight="false" outlineLevel="0" collapsed="false">
      <c r="C103" s="6" t="s">
        <v>543</v>
      </c>
      <c r="D103" s="2" t="s">
        <v>74</v>
      </c>
      <c r="E103" s="7" t="n">
        <v>4590000</v>
      </c>
      <c r="F103" s="79" t="n">
        <v>46780</v>
      </c>
      <c r="G103" s="13" t="s">
        <v>511</v>
      </c>
      <c r="H103" s="2" t="s">
        <v>544</v>
      </c>
    </row>
    <row r="104" customFormat="false" ht="14.25" hidden="false" customHeight="false" outlineLevel="0" collapsed="false">
      <c r="C104" s="6" t="s">
        <v>545</v>
      </c>
      <c r="D104" s="2" t="s">
        <v>74</v>
      </c>
      <c r="E104" s="7" t="n">
        <v>138000000</v>
      </c>
      <c r="F104" s="79" t="n">
        <v>46780</v>
      </c>
      <c r="G104" s="13" t="s">
        <v>511</v>
      </c>
      <c r="H104" s="2" t="s">
        <v>546</v>
      </c>
    </row>
    <row r="105" customFormat="false" ht="14.25" hidden="false" customHeight="false" outlineLevel="0" collapsed="false">
      <c r="C105" s="6" t="s">
        <v>547</v>
      </c>
      <c r="D105" s="2" t="s">
        <v>74</v>
      </c>
      <c r="E105" s="7" t="n">
        <v>45000000</v>
      </c>
      <c r="F105" s="79" t="n">
        <v>46780</v>
      </c>
      <c r="G105" s="13" t="s">
        <v>511</v>
      </c>
      <c r="H105" s="2" t="s">
        <v>548</v>
      </c>
    </row>
    <row r="106" customFormat="false" ht="14.25" hidden="false" customHeight="false" outlineLevel="0" collapsed="false">
      <c r="C106" s="6" t="s">
        <v>549</v>
      </c>
      <c r="D106" s="2" t="s">
        <v>74</v>
      </c>
      <c r="E106" s="7" t="n">
        <v>74896683.6734694</v>
      </c>
      <c r="F106" s="79" t="n">
        <v>46780</v>
      </c>
      <c r="G106" s="13" t="s">
        <v>511</v>
      </c>
      <c r="H106" s="2" t="s">
        <v>550</v>
      </c>
    </row>
    <row r="107" customFormat="false" ht="14.25" hidden="false" customHeight="false" outlineLevel="0" collapsed="false">
      <c r="C107" s="6" t="s">
        <v>551</v>
      </c>
      <c r="D107" s="2" t="s">
        <v>74</v>
      </c>
      <c r="E107" s="7" t="n">
        <v>15000000</v>
      </c>
      <c r="F107" s="79" t="n">
        <v>46720</v>
      </c>
      <c r="G107" s="13" t="s">
        <v>511</v>
      </c>
      <c r="H107" s="2" t="s">
        <v>552</v>
      </c>
    </row>
    <row r="108" customFormat="false" ht="14.25" hidden="false" customHeight="false" outlineLevel="0" collapsed="false">
      <c r="C108" s="6" t="s">
        <v>553</v>
      </c>
      <c r="D108" s="2" t="s">
        <v>74</v>
      </c>
      <c r="E108" s="7" t="n">
        <v>6000000</v>
      </c>
      <c r="F108" s="79" t="n">
        <v>46780</v>
      </c>
      <c r="G108" s="13" t="s">
        <v>511</v>
      </c>
      <c r="H108" s="2" t="s">
        <v>554</v>
      </c>
    </row>
    <row r="109" customFormat="false" ht="14.25" hidden="false" customHeight="false" outlineLevel="0" collapsed="false">
      <c r="C109" s="6" t="s">
        <v>555</v>
      </c>
      <c r="D109" s="2" t="s">
        <v>74</v>
      </c>
      <c r="E109" s="7" t="n">
        <v>45178571.4285714</v>
      </c>
      <c r="F109" s="79" t="n">
        <v>46780</v>
      </c>
      <c r="G109" s="13" t="s">
        <v>511</v>
      </c>
      <c r="H109" s="2" t="s">
        <v>556</v>
      </c>
    </row>
    <row r="110" customFormat="false" ht="14.25" hidden="false" customHeight="false" outlineLevel="0" collapsed="false">
      <c r="C110" s="6" t="s">
        <v>557</v>
      </c>
      <c r="D110" s="2" t="s">
        <v>74</v>
      </c>
      <c r="E110" s="7" t="n">
        <v>4590000</v>
      </c>
      <c r="F110" s="79" t="n">
        <v>46780</v>
      </c>
      <c r="G110" s="13" t="s">
        <v>511</v>
      </c>
      <c r="H110" s="2" t="s">
        <v>558</v>
      </c>
    </row>
    <row r="111" customFormat="false" ht="14.25" hidden="false" customHeight="false" outlineLevel="0" collapsed="false">
      <c r="C111" s="6" t="s">
        <v>559</v>
      </c>
      <c r="D111" s="2" t="s">
        <v>74</v>
      </c>
      <c r="E111" s="7" t="n">
        <v>70000000</v>
      </c>
      <c r="F111" s="79" t="n">
        <v>46780</v>
      </c>
      <c r="G111" s="13" t="s">
        <v>511</v>
      </c>
      <c r="H111" s="2" t="s">
        <v>560</v>
      </c>
    </row>
    <row r="112" customFormat="false" ht="14.25" hidden="false" customHeight="false" outlineLevel="0" collapsed="false">
      <c r="C112" s="6" t="s">
        <v>561</v>
      </c>
      <c r="D112" s="2" t="s">
        <v>74</v>
      </c>
      <c r="E112" s="7" t="n">
        <v>20000000</v>
      </c>
      <c r="F112" s="79" t="n">
        <v>47126</v>
      </c>
      <c r="G112" s="13" t="s">
        <v>511</v>
      </c>
      <c r="H112" s="2" t="s">
        <v>562</v>
      </c>
    </row>
    <row r="113" customFormat="false" ht="14.25" hidden="false" customHeight="false" outlineLevel="0" collapsed="false">
      <c r="C113" s="6" t="s">
        <v>563</v>
      </c>
      <c r="D113" s="2" t="s">
        <v>74</v>
      </c>
      <c r="E113" s="7" t="n">
        <v>12000000</v>
      </c>
      <c r="F113" s="79" t="n">
        <v>47066</v>
      </c>
      <c r="G113" s="13" t="s">
        <v>511</v>
      </c>
      <c r="H113" s="2" t="s">
        <v>564</v>
      </c>
    </row>
    <row r="114" customFormat="false" ht="14.25" hidden="false" customHeight="false" outlineLevel="0" collapsed="false">
      <c r="C114" s="6" t="s">
        <v>565</v>
      </c>
      <c r="D114" s="2" t="s">
        <v>74</v>
      </c>
      <c r="E114" s="7" t="n">
        <v>7400000</v>
      </c>
      <c r="F114" s="79" t="n">
        <v>46752</v>
      </c>
      <c r="G114" s="13" t="s">
        <v>511</v>
      </c>
      <c r="H114" s="2" t="s">
        <v>566</v>
      </c>
    </row>
    <row r="115" customFormat="false" ht="14.25" hidden="false" customHeight="false" outlineLevel="0" collapsed="false">
      <c r="C115" s="6" t="s">
        <v>567</v>
      </c>
      <c r="D115" s="2" t="s">
        <v>74</v>
      </c>
      <c r="E115" s="7" t="n">
        <v>29600000</v>
      </c>
      <c r="F115" s="79" t="n">
        <v>46752</v>
      </c>
      <c r="G115" s="13" t="s">
        <v>511</v>
      </c>
      <c r="H115" s="2" t="s">
        <v>568</v>
      </c>
    </row>
    <row r="116" customFormat="false" ht="14.25" hidden="false" customHeight="false" outlineLevel="0" collapsed="false">
      <c r="C116" s="6" t="s">
        <v>569</v>
      </c>
      <c r="D116" s="2" t="s">
        <v>74</v>
      </c>
      <c r="E116" s="7" t="n">
        <v>91200000</v>
      </c>
      <c r="F116" s="79" t="n">
        <v>47201</v>
      </c>
      <c r="G116" s="13" t="s">
        <v>116</v>
      </c>
      <c r="H116" s="2" t="s">
        <v>570</v>
      </c>
    </row>
    <row r="117" customFormat="false" ht="14.25" hidden="false" customHeight="false" outlineLevel="0" collapsed="false">
      <c r="C117" s="6" t="s">
        <v>571</v>
      </c>
      <c r="D117" s="2" t="s">
        <v>74</v>
      </c>
      <c r="E117" s="7" t="n">
        <v>107908615.62449</v>
      </c>
      <c r="F117" s="79" t="n">
        <v>46752</v>
      </c>
      <c r="G117" s="13" t="s">
        <v>511</v>
      </c>
      <c r="H117" s="2" t="s">
        <v>572</v>
      </c>
    </row>
    <row r="119" customFormat="false" ht="14.25" hidden="false" customHeight="false" outlineLevel="0" collapsed="false">
      <c r="B119" s="4" t="s">
        <v>3</v>
      </c>
      <c r="C119" s="4" t="s">
        <v>573</v>
      </c>
      <c r="D119" s="4"/>
      <c r="E119" s="5" t="s">
        <v>574</v>
      </c>
      <c r="F119" s="5"/>
      <c r="G119" s="5"/>
      <c r="H119" s="5"/>
    </row>
    <row r="120" customFormat="false" ht="14.25" hidden="false" customHeight="false" outlineLevel="0" collapsed="false">
      <c r="C120" s="6" t="s">
        <v>575</v>
      </c>
      <c r="E120" s="13" t="n">
        <v>10</v>
      </c>
      <c r="F120" s="13" t="n">
        <v>15</v>
      </c>
      <c r="G120" s="13" t="n">
        <v>20</v>
      </c>
      <c r="H120" s="13" t="n">
        <v>25</v>
      </c>
      <c r="I120" s="13" t="n">
        <v>30</v>
      </c>
      <c r="J120" s="13" t="n">
        <v>35</v>
      </c>
      <c r="K120" s="13" t="n">
        <v>40</v>
      </c>
      <c r="L120" s="13" t="n">
        <v>45</v>
      </c>
      <c r="M120" s="13" t="n">
        <v>50</v>
      </c>
    </row>
    <row r="121" customFormat="false" ht="14.25" hidden="false" customHeight="false" outlineLevel="0" collapsed="false">
      <c r="C121" s="6" t="s">
        <v>576</v>
      </c>
      <c r="E121" s="13" t="n">
        <v>0</v>
      </c>
      <c r="F121" s="13" t="n">
        <v>0</v>
      </c>
      <c r="G121" s="13" t="n">
        <v>0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0</v>
      </c>
      <c r="M121" s="13" t="n">
        <v>1</v>
      </c>
    </row>
    <row r="122" customFormat="false" ht="14.25" hidden="false" customHeight="false" outlineLevel="0" collapsed="false">
      <c r="C122" s="6" t="s">
        <v>577</v>
      </c>
      <c r="E122" s="13" t="n">
        <v>0</v>
      </c>
      <c r="F122" s="13" t="n">
        <v>10</v>
      </c>
      <c r="G122" s="13" t="n">
        <v>20</v>
      </c>
      <c r="H122" s="13" t="n">
        <v>30</v>
      </c>
      <c r="I122" s="13" t="n">
        <v>40</v>
      </c>
      <c r="J122" s="13" t="n">
        <v>55</v>
      </c>
      <c r="K122" s="13" t="n">
        <v>70</v>
      </c>
      <c r="L122" s="13" t="n">
        <v>80</v>
      </c>
      <c r="M122" s="13" t="n">
        <v>90</v>
      </c>
      <c r="N122" s="13" t="n">
        <v>100</v>
      </c>
    </row>
    <row r="123" customFormat="false" ht="14.25" hidden="false" customHeight="false" outlineLevel="0" collapsed="false">
      <c r="C123" s="6" t="s">
        <v>578</v>
      </c>
      <c r="E123" s="13" t="n">
        <v>2</v>
      </c>
      <c r="F123" s="13" t="n">
        <v>2.1</v>
      </c>
      <c r="G123" s="13" t="n">
        <v>2.2</v>
      </c>
      <c r="H123" s="13" t="n">
        <v>2.3</v>
      </c>
      <c r="I123" s="13" t="n">
        <v>2.4</v>
      </c>
      <c r="J123" s="13" t="n">
        <v>2.5</v>
      </c>
      <c r="K123" s="13" t="n">
        <v>2.6</v>
      </c>
      <c r="L123" s="13" t="n">
        <v>2.7</v>
      </c>
      <c r="M123" s="13" t="n">
        <v>2.8</v>
      </c>
      <c r="N123" s="13" t="n">
        <v>2.9</v>
      </c>
      <c r="O123" s="13" t="n">
        <v>3</v>
      </c>
    </row>
    <row r="124" customFormat="false" ht="14.25" hidden="false" customHeight="false" outlineLevel="0" collapsed="false">
      <c r="C124" s="6" t="s">
        <v>579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1</v>
      </c>
    </row>
    <row r="125" customFormat="false" ht="14.25" hidden="false" customHeight="false" outlineLevel="0" collapsed="false">
      <c r="C125" s="6" t="s">
        <v>580</v>
      </c>
      <c r="E125" s="13" t="n">
        <v>0</v>
      </c>
      <c r="F125" s="13" t="n">
        <v>5</v>
      </c>
      <c r="G125" s="13" t="n">
        <v>10</v>
      </c>
      <c r="H125" s="13" t="n">
        <v>20</v>
      </c>
      <c r="I125" s="13" t="n">
        <v>30</v>
      </c>
      <c r="J125" s="13" t="n">
        <v>40</v>
      </c>
      <c r="K125" s="13" t="n">
        <v>50</v>
      </c>
      <c r="L125" s="13" t="n">
        <v>60</v>
      </c>
      <c r="M125" s="13" t="n">
        <v>70</v>
      </c>
      <c r="N125" s="13" t="n">
        <v>80</v>
      </c>
      <c r="O125" s="13" t="n">
        <v>90</v>
      </c>
      <c r="P125" s="13" t="n">
        <v>100</v>
      </c>
    </row>
    <row r="126" customFormat="false" ht="14.25" hidden="false" customHeight="false" outlineLevel="0" collapsed="false">
      <c r="C126" s="6" t="s">
        <v>581</v>
      </c>
      <c r="E126" s="13" t="n">
        <v>0.02</v>
      </c>
      <c r="F126" s="13" t="n">
        <v>0.05</v>
      </c>
      <c r="G126" s="13" t="n">
        <v>0.1</v>
      </c>
      <c r="H126" s="13" t="n">
        <v>0.15</v>
      </c>
      <c r="I126" s="13" t="n">
        <v>0.2</v>
      </c>
      <c r="J126" s="13" t="n">
        <v>0.25</v>
      </c>
      <c r="K126" s="13" t="n">
        <v>0.3</v>
      </c>
      <c r="L126" s="13" t="n">
        <v>0.35</v>
      </c>
      <c r="M126" s="13" t="n">
        <v>0.4</v>
      </c>
      <c r="N126" s="13" t="n">
        <v>0.5</v>
      </c>
    </row>
    <row r="127" customFormat="false" ht="14.25" hidden="false" customHeight="false" outlineLevel="0" collapsed="false">
      <c r="C127" s="6" t="s">
        <v>582</v>
      </c>
      <c r="E127" s="13" t="n">
        <v>0</v>
      </c>
      <c r="F127" s="13" t="n">
        <v>1</v>
      </c>
      <c r="G127" s="13" t="n">
        <v>1</v>
      </c>
      <c r="H127" s="13" t="n">
        <v>1</v>
      </c>
      <c r="I127" s="13" t="n">
        <v>1</v>
      </c>
      <c r="J127" s="13" t="n">
        <v>1</v>
      </c>
      <c r="K127" s="13" t="n">
        <v>1</v>
      </c>
      <c r="L127" s="13" t="n">
        <v>1</v>
      </c>
      <c r="M127" s="13" t="n">
        <v>1</v>
      </c>
      <c r="N127" s="13" t="n">
        <v>0</v>
      </c>
    </row>
    <row r="128" customFormat="false" ht="14.25" hidden="false" customHeight="false" outlineLevel="0" collapsed="false">
      <c r="C128" s="6" t="s">
        <v>583</v>
      </c>
      <c r="E128" s="13" t="n">
        <v>0</v>
      </c>
      <c r="F128" s="13" t="n">
        <v>10</v>
      </c>
      <c r="G128" s="13" t="n">
        <v>20</v>
      </c>
      <c r="H128" s="13" t="n">
        <v>30</v>
      </c>
      <c r="I128" s="13" t="n">
        <v>40</v>
      </c>
      <c r="J128" s="13" t="n">
        <v>50</v>
      </c>
      <c r="K128" s="13" t="n">
        <v>60</v>
      </c>
      <c r="L128" s="13" t="n">
        <v>70</v>
      </c>
      <c r="M128" s="13" t="n">
        <v>80</v>
      </c>
      <c r="N128" s="13" t="n">
        <v>90</v>
      </c>
      <c r="O128" s="13" t="n">
        <v>100</v>
      </c>
    </row>
    <row r="129" customFormat="false" ht="14.25" hidden="false" customHeight="false" outlineLevel="0" collapsed="false">
      <c r="B129" s="0" t="s">
        <v>584</v>
      </c>
      <c r="C129" s="6"/>
      <c r="E129" s="13" t="n">
        <v>0.02</v>
      </c>
      <c r="F129" s="13" t="n">
        <v>0.05</v>
      </c>
      <c r="G129" s="13" t="n">
        <v>0.1</v>
      </c>
      <c r="H129" s="13" t="n">
        <v>0.15</v>
      </c>
      <c r="I129" s="13" t="n">
        <v>0.2</v>
      </c>
      <c r="J129" s="13" t="n">
        <v>0.25</v>
      </c>
      <c r="K129" s="13" t="n">
        <v>0.3</v>
      </c>
      <c r="L129" s="13" t="n">
        <v>0.35</v>
      </c>
      <c r="M129" s="13" t="n">
        <v>0.4</v>
      </c>
      <c r="N129" s="13" t="n">
        <v>0.5</v>
      </c>
    </row>
    <row r="130" customFormat="false" ht="14.25" hidden="false" customHeight="false" outlineLevel="0" collapsed="false">
      <c r="B130" s="0" t="s">
        <v>585</v>
      </c>
      <c r="C130" s="6"/>
      <c r="E130" s="13" t="n">
        <v>0</v>
      </c>
      <c r="F130" s="13" t="n">
        <v>1</v>
      </c>
      <c r="G130" s="13" t="n">
        <v>1</v>
      </c>
      <c r="H130" s="13" t="n">
        <v>1</v>
      </c>
      <c r="I130" s="13" t="n">
        <v>1</v>
      </c>
      <c r="J130" s="13" t="n">
        <v>1</v>
      </c>
      <c r="K130" s="13" t="n">
        <v>1</v>
      </c>
      <c r="L130" s="13" t="n">
        <v>1</v>
      </c>
      <c r="M130" s="13" t="n">
        <v>1</v>
      </c>
      <c r="N130" s="13" t="n">
        <v>0</v>
      </c>
    </row>
    <row r="131" customFormat="false" ht="14.25" hidden="false" customHeight="false" outlineLevel="0" collapsed="false">
      <c r="B131" s="0" t="s">
        <v>586</v>
      </c>
      <c r="C131" s="6"/>
      <c r="E131" s="13" t="n">
        <v>0</v>
      </c>
      <c r="F131" s="13" t="n">
        <v>10</v>
      </c>
      <c r="G131" s="13" t="n">
        <v>20</v>
      </c>
      <c r="H131" s="13" t="n">
        <v>30</v>
      </c>
      <c r="I131" s="13" t="n">
        <v>40</v>
      </c>
      <c r="J131" s="13" t="n">
        <v>50</v>
      </c>
      <c r="K131" s="13" t="n">
        <v>60</v>
      </c>
      <c r="L131" s="13" t="n">
        <v>70</v>
      </c>
      <c r="M131" s="13" t="n">
        <v>80</v>
      </c>
      <c r="N131" s="13" t="n">
        <v>90</v>
      </c>
      <c r="O131" s="13" t="n">
        <v>100</v>
      </c>
      <c r="P131" s="81" t="s">
        <v>587</v>
      </c>
    </row>
    <row r="132" customFormat="false" ht="14.25" hidden="false" customHeight="false" outlineLevel="0" collapsed="false">
      <c r="C132" s="6" t="s">
        <v>588</v>
      </c>
      <c r="E132" s="13" t="n">
        <v>1</v>
      </c>
      <c r="F132" s="13" t="n">
        <v>1.2</v>
      </c>
      <c r="G132" s="13" t="n">
        <v>1.3</v>
      </c>
      <c r="H132" s="13" t="n">
        <v>1.4</v>
      </c>
      <c r="I132" s="13" t="n">
        <v>1.5</v>
      </c>
      <c r="J132" s="13" t="n">
        <v>1.6</v>
      </c>
      <c r="K132" s="13" t="n">
        <v>1.7</v>
      </c>
      <c r="L132" s="13" t="n">
        <v>1.8</v>
      </c>
      <c r="M132" s="13" t="n">
        <v>1.9</v>
      </c>
      <c r="N132" s="13" t="n">
        <v>2</v>
      </c>
    </row>
    <row r="133" customFormat="false" ht="14.25" hidden="false" customHeight="false" outlineLevel="0" collapsed="false">
      <c r="C133" s="6" t="s">
        <v>589</v>
      </c>
      <c r="E133" s="13" t="n">
        <v>0</v>
      </c>
      <c r="F133" s="13" t="n">
        <v>1</v>
      </c>
      <c r="G133" s="13" t="n">
        <v>1</v>
      </c>
      <c r="H133" s="13" t="n">
        <v>1</v>
      </c>
      <c r="I133" s="13" t="n">
        <v>1</v>
      </c>
      <c r="J133" s="13" t="n">
        <v>1</v>
      </c>
      <c r="K133" s="13" t="n">
        <v>1</v>
      </c>
      <c r="L133" s="13" t="n">
        <v>1</v>
      </c>
      <c r="M133" s="13" t="n">
        <v>1</v>
      </c>
      <c r="N133" s="13" t="n">
        <v>0</v>
      </c>
      <c r="P133" s="81" t="s">
        <v>590</v>
      </c>
    </row>
    <row r="134" customFormat="false" ht="14.25" hidden="false" customHeight="false" outlineLevel="0" collapsed="false">
      <c r="C134" s="6" t="s">
        <v>591</v>
      </c>
      <c r="E134" s="13" t="n">
        <v>0</v>
      </c>
      <c r="F134" s="13" t="n">
        <v>10</v>
      </c>
      <c r="G134" s="13" t="n">
        <v>20</v>
      </c>
      <c r="H134" s="13" t="n">
        <v>30</v>
      </c>
      <c r="I134" s="13" t="n">
        <v>40</v>
      </c>
      <c r="J134" s="13" t="n">
        <v>50</v>
      </c>
      <c r="K134" s="13" t="n">
        <v>60</v>
      </c>
      <c r="L134" s="13" t="n">
        <v>70</v>
      </c>
      <c r="M134" s="13" t="n">
        <v>80</v>
      </c>
      <c r="N134" s="13" t="n">
        <v>90</v>
      </c>
      <c r="O134" s="13" t="n">
        <v>100</v>
      </c>
    </row>
    <row r="135" customFormat="false" ht="14.25" hidden="false" customHeight="false" outlineLevel="0" collapsed="false">
      <c r="C135" s="6" t="s">
        <v>592</v>
      </c>
      <c r="E135" s="13" t="n">
        <v>100</v>
      </c>
    </row>
    <row r="136" customFormat="false" ht="14.25" hidden="false" customHeight="false" outlineLevel="0" collapsed="false">
      <c r="C136" s="6" t="s">
        <v>593</v>
      </c>
      <c r="E136" s="13" t="n">
        <v>100</v>
      </c>
    </row>
    <row r="137" customFormat="false" ht="14.25" hidden="false" customHeight="false" outlineLevel="0" collapsed="false">
      <c r="C137" s="6" t="s">
        <v>594</v>
      </c>
      <c r="E137" s="13" t="n">
        <v>100</v>
      </c>
    </row>
    <row r="138" customFormat="false" ht="14.25" hidden="false" customHeight="false" outlineLevel="0" collapsed="false">
      <c r="C138" s="6" t="s">
        <v>595</v>
      </c>
      <c r="E138" s="13" t="n">
        <v>80</v>
      </c>
    </row>
    <row r="139" customFormat="false" ht="14.25" hidden="false" customHeight="false" outlineLevel="0" collapsed="false">
      <c r="C139" s="6" t="s">
        <v>596</v>
      </c>
      <c r="E139" s="13" t="n">
        <v>20</v>
      </c>
    </row>
    <row r="140" customFormat="false" ht="14.25" hidden="false" customHeight="false" outlineLevel="0" collapsed="false">
      <c r="C140" s="6" t="s">
        <v>597</v>
      </c>
      <c r="E140" s="13" t="n">
        <v>0.2</v>
      </c>
    </row>
    <row r="141" customFormat="false" ht="14.25" hidden="false" customHeight="false" outlineLevel="0" collapsed="false">
      <c r="C141" s="6" t="s">
        <v>598</v>
      </c>
      <c r="E141" s="13" t="n">
        <v>0.15</v>
      </c>
    </row>
    <row r="142" customFormat="false" ht="14.25" hidden="false" customHeight="false" outlineLevel="0" collapsed="false">
      <c r="C142" s="6" t="s">
        <v>599</v>
      </c>
      <c r="E142" s="13" t="n">
        <v>0.1</v>
      </c>
    </row>
    <row r="143" customFormat="false" ht="14.25" hidden="false" customHeight="false" outlineLevel="0" collapsed="false">
      <c r="C143" s="6" t="s">
        <v>600</v>
      </c>
      <c r="E143" s="13" t="n">
        <v>0.15</v>
      </c>
    </row>
    <row r="144" customFormat="false" ht="14.25" hidden="false" customHeight="false" outlineLevel="0" collapsed="false">
      <c r="C144" s="6" t="s">
        <v>601</v>
      </c>
      <c r="E144" s="13" t="n">
        <v>0.05</v>
      </c>
    </row>
    <row r="145" customFormat="false" ht="14.25" hidden="false" customHeight="false" outlineLevel="0" collapsed="false">
      <c r="C145" s="6" t="s">
        <v>602</v>
      </c>
      <c r="E145" s="13" t="n">
        <v>0.05</v>
      </c>
    </row>
    <row r="146" customFormat="false" ht="14.25" hidden="false" customHeight="false" outlineLevel="0" collapsed="false">
      <c r="C146" s="6" t="s">
        <v>603</v>
      </c>
      <c r="E146" s="13" t="n">
        <v>0.1</v>
      </c>
    </row>
    <row r="147" customFormat="false" ht="14.25" hidden="false" customHeight="false" outlineLevel="0" collapsed="false">
      <c r="C147" s="6" t="s">
        <v>604</v>
      </c>
      <c r="E147" s="13" t="n">
        <v>0.05</v>
      </c>
    </row>
    <row r="148" customFormat="false" ht="14.25" hidden="false" customHeight="false" outlineLevel="0" collapsed="false">
      <c r="C148" s="6" t="s">
        <v>605</v>
      </c>
      <c r="E148" s="13" t="n">
        <v>0.15</v>
      </c>
    </row>
    <row r="150" customFormat="false" ht="14.25" hidden="false" customHeight="false" outlineLevel="0" collapsed="false">
      <c r="C150" s="78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2026-10-28T23:12:58Z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0x010100CB25C80BA76C054AAAC0D3CDDFCEC309</vt:lpwstr>
  </property>
  <property fmtid="{D5CDD505-2E9C-101B-9397-08002B2CF9AE}" pid="3" name="MediaServiceImageTags">
    <vt:lpwstr/>
  </property>
</Properties>
</file>