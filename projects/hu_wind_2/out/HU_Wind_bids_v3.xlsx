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ebextensions/taskpanes.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</sheets>
  <definedNames>
    <definedName function="false" hidden="false" name="Balancing" vbProcedure="false">Inputs!$E$69</definedName>
    <definedName function="false" hidden="false" name="Bench_BESS" vbProcedure="false">Inputs!$E$8</definedName>
    <definedName function="false" hidden="false" name="Bench_Wind" vbProcedure="false">Inputs!$E$7</definedName>
    <definedName function="false" hidden="false" name="BESS_Capex" vbProcedure="false">Inputs!$E$56</definedName>
    <definedName function="false" hidden="false" name="Bid_Sec_Rate" vbProcedure="false">Inputs!$E$9</definedName>
    <definedName function="false" hidden="false" name="Capex_Civil" vbProcedure="false">Inputs!$E$49</definedName>
    <definedName function="false" hidden="false" name="Capex_Cont" vbProcedure="false">Inputs!$E$55</definedName>
    <definedName function="false" hidden="false" name="Capex_Elec" vbProcedure="false">Inputs!$E$50</definedName>
    <definedName function="false" hidden="false" name="Capex_Fdn" vbProcedure="false">Inputs!$E$48</definedName>
    <definedName function="false" hidden="false" name="Capex_Install" vbProcedure="false">Inputs!$E$47</definedName>
    <definedName function="false" hidden="false" name="Capex_Land" vbProcedure="false">Inputs!$E$52</definedName>
    <definedName function="false" hidden="false" name="Capex_Owner" vbProcedure="false">Inputs!$E$51</definedName>
    <definedName function="false" hidden="false" name="Case_CN" vbProcedure="false">Dashboard!$H$27</definedName>
    <definedName function="false" hidden="false" name="Case_EU" vbProcedure="false">Dashboard!$H$26</definedName>
    <definedName function="false" hidden="false" name="Case_OM" vbProcedure="false">Dashboard!$H$30</definedName>
    <definedName function="false" hidden="false" name="Case_P50" vbProcedure="false">Dashboard!$H$29</definedName>
    <definedName function="false" hidden="false" name="Case_PPA" vbProcedure="false">Dashboard!$H$28</definedName>
    <definedName function="false" hidden="false" name="CIT_Rate" vbProcedure="false">Inputs!$E$39</definedName>
    <definedName function="false" hidden="false" name="Clipping" vbProcedure="false">Inputs!$E$59</definedName>
    <definedName function="false" hidden="false" name="Curtailment" vbProcedure="false">Inputs!$E$58</definedName>
    <definedName function="false" hidden="false" name="Dash_BESS_Share" vbProcedure="false">Dashboard!$E$8:$G$8</definedName>
    <definedName function="false" hidden="false" name="Dash_Brownfield" vbProcedure="false">Dashboard!$E$15:$G$15</definedName>
    <definedName function="false" hidden="false" name="Dash_Case" vbProcedure="false">Dashboard!$H$25</definedName>
    <definedName function="false" hidden="false" name="Dash_Case_CN" vbProcedure="false">Dashboard!$E$27:$G$27</definedName>
    <definedName function="false" hidden="false" name="Dash_Case_EU" vbProcedure="false">Dashboard!$E$26:$G$26</definedName>
    <definedName function="false" hidden="false" name="Dash_Case_OM" vbProcedure="false">Dashboard!$E$30:$G$30</definedName>
    <definedName function="false" hidden="false" name="Dash_Case_P50" vbProcedure="false">Dashboard!$E$29:$G$29</definedName>
    <definedName function="false" hidden="false" name="Dash_Case_PPA" vbProcedure="false">Dashboard!$E$28:$G$28</definedName>
    <definedName function="false" hidden="false" name="Dash_Community" vbProcedure="false">Dashboard!$E$12:$G$12</definedName>
    <definedName function="false" hidden="false" name="Dash_DSA" vbProcedure="false">Dashboard!$E$20:$G$20</definedName>
    <definedName function="false" hidden="false" name="Dash_FEP_Share" vbProcedure="false">Dashboard!$E$19:$G$19</definedName>
    <definedName function="false" hidden="false" name="Dash_Hours" vbProcedure="false">Dashboard!$E$9:$G$9</definedName>
    <definedName function="false" hidden="false" name="Dash_JV" vbProcedure="false">Dashboard!$E$21:$G$21</definedName>
    <definedName function="false" hidden="false" name="Dash_Municipal" vbProcedure="false">Dashboard!$E$11:$G$11</definedName>
    <definedName function="false" hidden="false" name="Dash_MVA" vbProcedure="false">Dashboard!$E$6:$G$6</definedName>
    <definedName function="false" hidden="false" name="Dash_Overbuild" vbProcedure="false">Dashboard!$E$7:$G$7</definedName>
    <definedName function="false" hidden="false" name="Dash_P50" vbProcedure="false">Dashboard!$E$22:$G$22</definedName>
    <definedName function="false" hidden="false" name="Dash_Partial" vbProcedure="false">Dashboard!$E$13:$G$13</definedName>
    <definedName function="false" hidden="false" name="Dash_PB_Mult" vbProcedure="false">Dashboard!$E$14:$G$14</definedName>
    <definedName function="false" hidden="false" name="Dash_Premium" vbProcedure="false">Dashboard!$E$18:$G$18</definedName>
    <definedName function="false" hidden="false" name="Dash_Shared" vbProcedure="false">Dashboard!$E$16:$G$16</definedName>
    <definedName function="false" hidden="false" name="Dash_Shortfall" vbProcedure="false">Dashboard!$E$10:$G$10</definedName>
    <definedName function="false" hidden="false" name="Dash_Turbine" vbProcedure="false">Dashboard!$E$17:$G$17</definedName>
    <definedName function="false" hidden="false" name="Days_In_Year" vbProcedure="false">Inputs!$E$80</definedName>
    <definedName function="false" hidden="false" name="Debt_Rate" vbProcedure="false">Inputs!$E$44</definedName>
    <definedName function="false" hidden="false" name="Debt_Tenor" vbProcedure="false">Inputs!$E$45</definedName>
    <definedName function="false" hidden="false" name="Degradation" vbProcedure="false">Inputs!$E$60</definedName>
    <definedName function="false" hidden="false" name="Devex_Class" vbProcedure="false">Inputs!$G$85:$G$117</definedName>
    <definedName function="false" hidden="false" name="Devex_Date" vbProcedure="false">Inputs!$F$85:$F$117</definedName>
    <definedName function="false" hidden="false" name="Devex_Floor" vbProcedure="false">Inputs!$E$32</definedName>
    <definedName function="false" hidden="false" name="Devex_HUF" vbProcedure="false">Inputs!$E$85:$E$117</definedName>
    <definedName function="false" hidden="false" name="Discount_Rate" vbProcedure="false">Inputs!$E$77</definedName>
    <definedName function="false" hidden="false" name="DSA_Cap" vbProcedure="false">Inputs!$E$38</definedName>
    <definedName function="false" hidden="false" name="DSA_Rate" vbProcedure="false">Inputs!$E$37</definedName>
    <definedName function="false" hidden="false" name="First_Year" vbProcedure="false">Inputs!$E$78</definedName>
    <definedName function="false" hidden="false" name="Freeze_Date" vbProcedure="false">Inputs!$E$33</definedName>
    <definedName function="false" hidden="false" name="FX" vbProcedure="false">Inputs!$E$6</definedName>
    <definedName function="false" hidden="false" name="Gearing" vbProcedure="false">Inputs!$E$43</definedName>
    <definedName function="false" hidden="false" name="Grid_Charges" vbProcedure="false">Inputs!$E$70</definedName>
    <definedName function="false" hidden="false" name="HIPA_Rate" vbProcedure="false">Inputs!$E$72</definedName>
    <definedName function="false" hidden="false" name="Life" vbProcedure="false">Inputs!$E$76</definedName>
    <definedName function="false" hidden="false" name="Lump_Basis" vbProcedure="false">Inputs!$E$54</definedName>
    <definedName function="false" hidden="false" name="Master_Check" vbProcedure="false">Dashboard!$H$535</definedName>
    <definedName function="false" hidden="false" name="MEKH_Fee" vbProcedure="false">Inputs!$E$71</definedName>
    <definedName function="false" hidden="false" name="Months_In_Year" vbProcedure="false">Inputs!$E$81</definedName>
    <definedName function="false" hidden="false" name="Opex_Admin" vbProcedure="false">Inputs!$E$68</definedName>
    <definedName function="false" hidden="false" name="Opex_Cont" vbProcedure="false">Inputs!$E$73</definedName>
    <definedName function="false" hidden="false" name="Opex_Esc" vbProcedure="false">Inputs!$E$74</definedName>
    <definedName function="false" hidden="false" name="Opex_Per_MW" vbProcedure="false">Inputs!$E$63:$E$67</definedName>
    <definedName function="false" hidden="false" name="Osz1_Incl" vbProcedure="false">Inputs!$E$121:$M$121</definedName>
    <definedName function="false" hidden="false" name="Osz1_LB" vbProcedure="false">Inputs!$E$120:$M$120</definedName>
    <definedName function="false" hidden="false" name="Osz1_Pts" vbProcedure="false">Inputs!$E$122:$N$122</definedName>
    <definedName function="false" hidden="false" name="Osz1_W" vbProcedure="false">Inputs!$E$140</definedName>
    <definedName function="false" hidden="false" name="Osz2_Incl" vbProcedure="false">Inputs!$E$124:$O$124</definedName>
    <definedName function="false" hidden="false" name="Osz2_LB" vbProcedure="false">Inputs!$E$123:$O$123</definedName>
    <definedName function="false" hidden="false" name="Osz2_Pts" vbProcedure="false">Inputs!$E$125:$P$125</definedName>
    <definedName function="false" hidden="false" name="Osz2_W" vbProcedure="false">Inputs!$E$141</definedName>
    <definedName function="false" hidden="false" name="Osz3_Incl" vbProcedure="false">Inputs!$E$127:$N$127</definedName>
    <definedName function="false" hidden="false" name="Osz3_LB" vbProcedure="false">Inputs!$E$126:$N$126</definedName>
    <definedName function="false" hidden="false" name="Osz3_Pts" vbProcedure="false">Inputs!$E$128:$O$128</definedName>
    <definedName function="false" hidden="false" name="Osz3_W" vbProcedure="false">Inputs!$E$142</definedName>
    <definedName function="false" hidden="false" name="Osz4_Incl" vbProcedure="false">Inputs!$E$130:$N$130</definedName>
    <definedName function="false" hidden="false" name="Osz4_LB" vbProcedure="false">Inputs!$E$129:$N$129</definedName>
    <definedName function="false" hidden="false" name="Osz4_Pts" vbProcedure="false">Inputs!$E$131:$O$131</definedName>
    <definedName function="false" hidden="false" name="Osz4_W" vbProcedure="false">Inputs!$E$143</definedName>
    <definedName function="false" hidden="false" name="Osz5_Pts" vbProcedure="false">Inputs!$E$135</definedName>
    <definedName function="false" hidden="false" name="Osz5_W" vbProcedure="false">Inputs!$E$144</definedName>
    <definedName function="false" hidden="false" name="Osz6_Incl" vbProcedure="false">Inputs!$E$133:$N$133</definedName>
    <definedName function="false" hidden="false" name="Osz6_LB" vbProcedure="false">Inputs!$E$132:$N$132</definedName>
    <definedName function="false" hidden="false" name="Osz6_Pts" vbProcedure="false">Inputs!$E$134:$O$134</definedName>
    <definedName function="false" hidden="false" name="Osz6_W" vbProcedure="false">Inputs!$E$145</definedName>
    <definedName function="false" hidden="false" name="Osz7_Pts" vbProcedure="false">Inputs!$E$136</definedName>
    <definedName function="false" hidden="false" name="Osz7_W" vbProcedure="false">Inputs!$E$146</definedName>
    <definedName function="false" hidden="false" name="Osz8_Pts" vbProcedure="false">Inputs!$E$137</definedName>
    <definedName function="false" hidden="false" name="Osz8_W" vbProcedure="false">Inputs!$E$147</definedName>
    <definedName function="false" hidden="false" name="Osz9a_Pts" vbProcedure="false">Inputs!$E$138</definedName>
    <definedName function="false" hidden="false" name="Osz9b_Pts" vbProcedure="false">Inputs!$E$139</definedName>
    <definedName function="false" hidden="false" name="Osz9_W" vbProcedure="false">Inputs!$E$148</definedName>
    <definedName function="false" hidden="false" name="Part_Fee" vbProcedure="false">Inputs!$E$11</definedName>
    <definedName function="false" hidden="false" name="PB_Rate" vbProcedure="false">Inputs!$E$10</definedName>
    <definedName function="false" hidden="false" name="PPA_Esc" vbProcedure="false">Inputs!$E$61</definedName>
    <definedName function="false" hidden="false" name="Rate_Cash" vbProcedure="false">Inputs!$E$30</definedName>
    <definedName function="false" hidden="false" name="Rate_Devex" vbProcedure="false">Inputs!$E$31</definedName>
    <definedName function="false" hidden="false" name="Sale_Costs" vbProcedure="false">Inputs!$E$36</definedName>
    <definedName function="false" hidden="false" name="Sale_Date" vbProcedure="false">Inputs!$E$34</definedName>
    <definedName function="false" hidden="false" name="Sale_Date_A" vbProcedure="false">Inputs!$E$35</definedName>
    <definedName function="false" hidden="false" name="Share_Exempt" vbProcedure="false">Inputs!$E$40</definedName>
    <definedName function="false" hidden="false" name="Subs_Lump" vbProcedure="false">Inputs!$E$53</definedName>
    <definedName function="false" hidden="false" name="Tax_Dep_Life" vbProcedure="false">Inputs!$E$42</definedName>
    <definedName function="false" hidden="false" name="Thousand" vbProcedure="false">Inputs!$E$79</definedName>
    <definedName function="false" hidden="false" name="Tolerance" vbProcedure="false">Inputs!$E$82</definedName>
    <definedName function="false" hidden="false" name="TSO_Rate" vbProcedure="false">Inputs!$E$12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<sst xmlns="http://schemas.openxmlformats.org/spreadsheetml/2006/main" count="1501" uniqueCount="608">
  <si>
    <t xml:space="preserve">HU wind projects</t>
  </si>
  <si>
    <t xml:space="preserve">Master check (0 = OK; checks at the end of the detail)</t>
  </si>
  <si>
    <t xml:space="preserve">flag</t>
  </si>
  <si>
    <t xml:space="preserve">x</t>
  </si>
  <si>
    <t xml:space="preserve">Key inputs: the bids</t>
  </si>
  <si>
    <t xml:space="preserve">Bora</t>
  </si>
  <si>
    <t xml:space="preserve">Iváncsa</t>
  </si>
  <si>
    <t xml:space="preserve">Dunaújváros</t>
  </si>
  <si>
    <t xml:space="preserve">Total</t>
  </si>
  <si>
    <t xml:space="preserve">Net connection capacity</t>
  </si>
  <si>
    <t xml:space="preserve">MVA</t>
  </si>
  <si>
    <t xml:space="preserve">Overbuild (ÖSZ-3)</t>
  </si>
  <si>
    <t xml:space="preserve">%</t>
  </si>
  <si>
    <t xml:space="preserve">BESS power, share of MVA (ÖSZ-4)</t>
  </si>
  <si>
    <t xml:space="preserve">BESS duration</t>
  </si>
  <si>
    <t xml:space="preserve">h</t>
  </si>
  <si>
    <t xml:space="preserve">Wind built below the bid</t>
  </si>
  <si>
    <t xml:space="preserve">Municipal one-off (ÖSZ-1), at COD</t>
  </si>
  <si>
    <t xml:space="preserve">EUR k/MVA</t>
  </si>
  <si>
    <t xml:space="preserve">Community contribution (ÖSZ-2)</t>
  </si>
  <si>
    <t xml:space="preserve">EUR/MWh</t>
  </si>
  <si>
    <t xml:space="preserve">Partial award accepted (ÖSZ-5)</t>
  </si>
  <si>
    <t xml:space="preserve">Performance security multiple (ÖSZ-6)</t>
  </si>
  <si>
    <t xml:space="preserve">Brownfield site (ÖSZ-7)</t>
  </si>
  <si>
    <t xml:space="preserve">Shared connection (ÖSZ-8)</t>
  </si>
  <si>
    <t xml:space="preserve">Turbine route (EU or CN; EU scores ÖSZ-9)</t>
  </si>
  <si>
    <t xml:space="preserve">text</t>
  </si>
  <si>
    <t xml:space="preserve">CN</t>
  </si>
  <si>
    <t xml:space="preserve">RtB premium</t>
  </si>
  <si>
    <t xml:space="preserve">FEP share of distributable proceeds</t>
  </si>
  <si>
    <t xml:space="preserve">Developer success fee (DSA) on</t>
  </si>
  <si>
    <t xml:space="preserve">JV with a developer (1 = yes; shareholder-loan claims apply)</t>
  </si>
  <si>
    <t xml:space="preserve">Net P50 hours (project wind study)</t>
  </si>
  <si>
    <t xml:space="preserve">h/yr</t>
  </si>
  <si>
    <t xml:space="preserve">Case: turbine price, PPA, O&amp;M</t>
  </si>
  <si>
    <t xml:space="preserve">Base</t>
  </si>
  <si>
    <t xml:space="preserve">Low</t>
  </si>
  <si>
    <t xml:space="preserve">High</t>
  </si>
  <si>
    <t xml:space="preserve">Live</t>
  </si>
  <si>
    <t xml:space="preserve">Case selected (Base, Low or High)</t>
  </si>
  <si>
    <t xml:space="preserve">case</t>
  </si>
  <si>
    <t xml:space="preserve">Turbine supply incl. transport, EU route</t>
  </si>
  <si>
    <t xml:space="preserve">EUR k/MW</t>
  </si>
  <si>
    <t xml:space="preserve">Bora Dashboard H8 / Inputs G162</t>
  </si>
  <si>
    <t xml:space="preserve">Turbine supply incl. transport, CN route</t>
  </si>
  <si>
    <t xml:space="preserve">Bora Inputs H162</t>
  </si>
  <si>
    <t xml:space="preserve">PPA price in the COD year</t>
  </si>
  <si>
    <t xml:space="preserve">Bora Dashboard H9</t>
  </si>
  <si>
    <t xml:space="preserve">Net P50 hours (not used: project P50 in row 22)</t>
  </si>
  <si>
    <t xml:space="preserve">Bora Dashboard H10</t>
  </si>
  <si>
    <t xml:space="preserve">O&amp;M full-service contract</t>
  </si>
  <si>
    <t xml:space="preserve">EUR k/MW/yr</t>
  </si>
  <si>
    <t xml:space="preserve">Bora Dashboard H11</t>
  </si>
  <si>
    <t xml:space="preserve">Bid points and capacity</t>
  </si>
  <si>
    <t xml:space="preserve">Points – municipal one-off</t>
  </si>
  <si>
    <t xml:space="preserve">points</t>
  </si>
  <si>
    <t xml:space="preserve">Points – community contribution</t>
  </si>
  <si>
    <t xml:space="preserve">Points – overbuild</t>
  </si>
  <si>
    <t xml:space="preserve">Points – BESS</t>
  </si>
  <si>
    <t xml:space="preserve">Points – partial award</t>
  </si>
  <si>
    <t xml:space="preserve">Points – performance security</t>
  </si>
  <si>
    <t xml:space="preserve">Points – brownfield</t>
  </si>
  <si>
    <t xml:space="preserve">Points – shared connection</t>
  </si>
  <si>
    <t xml:space="preserve">Points – EU turbines</t>
  </si>
  <si>
    <t xml:space="preserve">Points – EU transformers</t>
  </si>
  <si>
    <t xml:space="preserve">Points total</t>
  </si>
  <si>
    <t xml:space="preserve">Wind committed in the bid</t>
  </si>
  <si>
    <t xml:space="preserve">MW</t>
  </si>
  <si>
    <t xml:space="preserve">BESS energy</t>
  </si>
  <si>
    <t xml:space="preserve">MWh</t>
  </si>
  <si>
    <t xml:space="preserve">Wind built (committed less the build shortfall)</t>
  </si>
  <si>
    <t xml:space="preserve">Guarantees, securities and connection fees, DEVEX (HUF)</t>
  </si>
  <si>
    <t xml:space="preserve">Date</t>
  </si>
  <si>
    <t xml:space="preserve">Participation fee</t>
  </si>
  <si>
    <t xml:space="preserve">HUF</t>
  </si>
  <si>
    <t xml:space="preserve">Bid security</t>
  </si>
  <si>
    <t xml:space="preserve">Performance security payable (bid security deducted)</t>
  </si>
  <si>
    <t xml:space="preserve">TSO connection-request security</t>
  </si>
  <si>
    <t xml:space="preserve">Direct connection fee (per point ÷ bids sharing it)</t>
  </si>
  <si>
    <t xml:space="preserve">Indirect connection fee, payable (TSO security deducted)</t>
  </si>
  <si>
    <t xml:space="preserve">DEVEX – development (devex items excl. land)</t>
  </si>
  <si>
    <t xml:space="preserve">DEVEX – land (reservation and purchase)</t>
  </si>
  <si>
    <t xml:space="preserve">Signing fee and DD</t>
  </si>
  <si>
    <t xml:space="preserve">Total cash to RtB (incl. signing and DD)</t>
  </si>
  <si>
    <t xml:space="preserve">Guarantees, securities and connection fees, DEVEX (EUR k)</t>
  </si>
  <si>
    <t xml:space="preserve">EUR k</t>
  </si>
  <si>
    <t xml:space="preserve">Cash to RtB by nature: sunk, returned, or borne by the buyer (EUR k)</t>
  </si>
  <si>
    <t xml:space="preserve">Who bears it</t>
  </si>
  <si>
    <t xml:space="preserve">Sunk fees and devex (signing and DD, participation fee, development devex)</t>
  </si>
  <si>
    <t xml:space="preserve">FEP – sunk; recovered only via the claims at the sale</t>
  </si>
  <si>
    <t xml:space="preserve">Securities and land, returned or reimbursed at cost (bid, performance, TSO; land)</t>
  </si>
  <si>
    <t xml:space="preserve">FEP – cash out, returned or reimbursed at the sale</t>
  </si>
  <si>
    <t xml:space="preserve">Grid connection fees (direct + indirect, payable at HCSSZ)</t>
  </si>
  <si>
    <t xml:space="preserve">Buyer at RtB; FEP pays only if no buyer is found</t>
  </si>
  <si>
    <t xml:space="preserve">Total cash to RtB (= total above)</t>
  </si>
  <si>
    <t xml:space="preserve">Case B: FEP pre-funds everything</t>
  </si>
  <si>
    <t xml:space="preserve">Grid connection fees, share of the total</t>
  </si>
  <si>
    <t xml:space="preserve">FEP exposure if the buyer pays the grid connection fees</t>
  </si>
  <si>
    <t xml:space="preserve">Case A: FEP funds sunk fees, devex and securities only; the Case A detail counts the devex paid by sale A</t>
  </si>
  <si>
    <t xml:space="preserve">Capex breakdown to COD</t>
  </si>
  <si>
    <t xml:space="preserve">Turbines (route price, live case)</t>
  </si>
  <si>
    <t xml:space="preserve">Installation and erection</t>
  </si>
  <si>
    <t xml:space="preserve">Foundations</t>
  </si>
  <si>
    <t xml:space="preserve">Balance of plant – civil</t>
  </si>
  <si>
    <t xml:space="preserve">Balance of plant – electrical</t>
  </si>
  <si>
    <t xml:space="preserve">Owner's costs, engineering, PM, construction insurance</t>
  </si>
  <si>
    <t xml:space="preserve">Land purchase and easements</t>
  </si>
  <si>
    <t xml:space="preserve">Substation and 132 kV bay (scaled by MVA)</t>
  </si>
  <si>
    <t xml:space="preserve">Contingency (not on BESS)</t>
  </si>
  <si>
    <t xml:space="preserve">BESS (on BESS energy; points only, no BESS revenue or opex modelled)</t>
  </si>
  <si>
    <t xml:space="preserve">Construction capex</t>
  </si>
  <si>
    <t xml:space="preserve">Connection fees (TSO security, direct, indirect)</t>
  </si>
  <si>
    <t xml:space="preserve">TSO connection-request security (returned)</t>
  </si>
  <si>
    <t xml:space="preserve">Bid security (returned)</t>
  </si>
  <si>
    <t xml:space="preserve">Performance security: 0 (returned)</t>
  </si>
  <si>
    <t xml:space="preserve">Municipal one-off</t>
  </si>
  <si>
    <t xml:space="preserve">Land</t>
  </si>
  <si>
    <t xml:space="preserve">Developer premium paid for the RtB project (150 k€/MVA × MVA; replaces FEP's devex, which the buyer does not bear)</t>
  </si>
  <si>
    <t xml:space="preserve">All-in cost to COD for a buyer (securities excluded: returned)</t>
  </si>
  <si>
    <t xml:space="preserve">All-in cost per MW built</t>
  </si>
  <si>
    <t xml:space="preserve">All-in cost per MVA</t>
  </si>
  <si>
    <t xml:space="preserve">Devex breakdown (BORA_Devex 02-Oct-26 items × the scale; tender fee and securities above)</t>
  </si>
  <si>
    <t xml:space="preserve">Development devex (incl. contingency)</t>
  </si>
  <si>
    <t xml:space="preserve">Devex total (= DEVEX lines above; devex items × scale)</t>
  </si>
  <si>
    <t xml:space="preserve">Returns RTB COD HTM</t>
  </si>
  <si>
    <t xml:space="preserve">RTB exit, Case A: buyer pays the grid connection fees (FEP does not pre-fund)</t>
  </si>
  <si>
    <t xml:space="preserve">Grid connection fees paid by the buyer (not FEP cash)</t>
  </si>
  <si>
    <t xml:space="preserve">Total FEP cash out to RtB (peak exposure)</t>
  </si>
  <si>
    <t xml:space="preserve">Total proceeds to FEP at the sale</t>
  </si>
  <si>
    <t xml:space="preserve">FEP profit, post-tax</t>
  </si>
  <si>
    <t xml:space="preserve">MOIC, pre-tax</t>
  </si>
  <si>
    <t xml:space="preserve">IRR, pre-tax</t>
  </si>
  <si>
    <t xml:space="preserve">MOIC, post-tax</t>
  </si>
  <si>
    <t xml:space="preserve">IRR, post-tax</t>
  </si>
  <si>
    <t xml:space="preserve">RTB exit, Case B: FEP pre-funds the grid connection fees, buyer reimburses them at the sale</t>
  </si>
  <si>
    <t xml:space="preserve">COD exit (as the RtB buyer: pays the RtB price, securities and fees at the Case B sale, builds, sells at COD)</t>
  </si>
  <si>
    <t xml:space="preserve">Connection fees (direct, indirect; the TSO security is credited against the indirect fee)</t>
  </si>
  <si>
    <t xml:space="preserve">Development devex: 0 (FEP's cost, replaced by the RtB premium paid at the sale)</t>
  </si>
  <si>
    <t xml:space="preserve">RtB premium paid to FEP at the sale (150 k€/MVA × MVA)</t>
  </si>
  <si>
    <t xml:space="preserve">Total costs to COD (= all-in cost to COD for a buyer)</t>
  </si>
  <si>
    <t xml:space="preserve">Sale price at COD</t>
  </si>
  <si>
    <t xml:space="preserve">Buyer profit (sale price at COD less the costs above)</t>
  </si>
  <si>
    <t xml:space="preserve">Hold to maturity (as the RtB buyer; EBITDA, CIT, optional debt)</t>
  </si>
  <si>
    <t xml:space="preserve">Total capex and costs to COD (= all-in cost to COD for a buyer)</t>
  </si>
  <si>
    <t xml:space="preserve">Total revenue over the life</t>
  </si>
  <si>
    <t xml:space="preserve">Total opex over the life</t>
  </si>
  <si>
    <t xml:space="preserve">Total EBITDA over the life</t>
  </si>
  <si>
    <t xml:space="preserve">Project IRR, pre-tax</t>
  </si>
  <si>
    <t xml:space="preserve">NPV at the discount rate, at the first year end</t>
  </si>
  <si>
    <t xml:space="preserve">CIT over the life, unlevered</t>
  </si>
  <si>
    <t xml:space="preserve">Project IRR, post-tax</t>
  </si>
  <si>
    <t xml:space="preserve">Debt drawn at COD (gearing × all-in cost)</t>
  </si>
  <si>
    <t xml:space="preserve">Equity IRR, post-tax (geared)</t>
  </si>
  <si>
    <t xml:space="preserve">Minimum DSCR</t>
  </si>
  <si>
    <t xml:space="preserve">Annual cash flow per project (EUR k)</t>
  </si>
  <si>
    <t xml:space="preserve">Year</t>
  </si>
  <si>
    <t xml:space="preserve">year</t>
  </si>
  <si>
    <t xml:space="preserve">Spending (RtB purchase, capex, fees, securities), net</t>
  </si>
  <si>
    <t xml:space="preserve">Revenue</t>
  </si>
  <si>
    <t xml:space="preserve">Opex</t>
  </si>
  <si>
    <t xml:space="preserve">EBITDA</t>
  </si>
  <si>
    <t xml:space="preserve">Net cash flow</t>
  </si>
  <si>
    <t xml:space="preserve">Net cash flow, post-tax</t>
  </si>
  <si>
    <t xml:space="preserve">Equity cash flow, post-tax (geared)</t>
  </si>
  <si>
    <t xml:space="preserve">Cumulative net cash flow</t>
  </si>
  <si>
    <t xml:space="preserve">Detailed calculations: claims, waterfall, dated flows, timelines, checks – expand the group</t>
  </si>
  <si>
    <t xml:space="preserve">RtB exit, Case B: FEP claims at the sale (interest to the freeze, act/365, capitalised 31-Dec)</t>
  </si>
  <si>
    <t xml:space="preserve">Interest accrual end (earlier of freeze and sale)</t>
  </si>
  <si>
    <t xml:space="preserve">date</t>
  </si>
  <si>
    <t xml:space="preserve">Accrual factor in the end year, cash rate</t>
  </si>
  <si>
    <t xml:space="preserve">Accrual factor in the end year, devex rate</t>
  </si>
  <si>
    <t xml:space="preserve">Days to the first 31-Dec from bid submission</t>
  </si>
  <si>
    <t xml:space="preserve">days</t>
  </si>
  <si>
    <t xml:space="preserve">Accrual factor from bid submission</t>
  </si>
  <si>
    <t xml:space="preserve">Days to the first 31-Dec from performance security posting</t>
  </si>
  <si>
    <t xml:space="preserve">Accrual factor from performance security posting</t>
  </si>
  <si>
    <t xml:space="preserve">Days to the first 31-Dec from TSO security payment</t>
  </si>
  <si>
    <t xml:space="preserve">Accrual factor from TSO security payment</t>
  </si>
  <si>
    <t xml:space="preserve">Days to the first 31-Dec from connection agreement (HCSSZ)</t>
  </si>
  <si>
    <t xml:space="preserve">Accrual factor from connection agreement (HCSSZ)</t>
  </si>
  <si>
    <t xml:space="preserve">Days to the first 31-Dec from land payment (amount-weighted)</t>
  </si>
  <si>
    <t xml:space="preserve">Accrual factor from land payment (amount-weighted)</t>
  </si>
  <si>
    <t xml:space="preserve">Days to the first 31-Dec from development devex payment (amount-weighted)</t>
  </si>
  <si>
    <t xml:space="preserve">Accrual factor from development devex payment (amount-weighted)</t>
  </si>
  <si>
    <t xml:space="preserve">Claim on FEP's shareholder loan (JV only): participation fee (not reimbursed)</t>
  </si>
  <si>
    <t xml:space="preserve">Claim on FEP's shareholder loan (JV only): bid security (cash)</t>
  </si>
  <si>
    <t xml:space="preserve">Claim on FEP's shareholder loan (JV only): performance security payable (cash)</t>
  </si>
  <si>
    <t xml:space="preserve">Claim on FEP's shareholder loan (JV only): TSO connection-request security</t>
  </si>
  <si>
    <t xml:space="preserve">Claim on FEP's shareholder loan (JV only): direct connection fee</t>
  </si>
  <si>
    <t xml:space="preserve">Claim on FEP's shareholder loan (JV only): indirect connection fee, payable</t>
  </si>
  <si>
    <t xml:space="preserve">Claim on FEP's shareholder loan (JV only): land, MAX(20 % accrued, 1× principal)</t>
  </si>
  <si>
    <t xml:space="preserve">Claim on FEP's shareholder loan (JV only): development devex, MAX(20 % accrued, 1× principal)</t>
  </si>
  <si>
    <t xml:space="preserve">Total FEP claims on its shareholder loans (JV only)</t>
  </si>
  <si>
    <t xml:space="preserve">Developer success fee due (DSA, capped)</t>
  </si>
  <si>
    <t xml:space="preserve">RtB exit, Case A: buyer pays the grid connection fees directly (FEP does not pre-fund them)</t>
  </si>
  <si>
    <t xml:space="preserve">Grid connection fees paid by the buyer at HCSSZ (direct + indirect, payable)</t>
  </si>
  <si>
    <t xml:space="preserve">Case A devex – land: items paid by sale A (devex file, unscaled)</t>
  </si>
  <si>
    <t xml:space="preserve">Case A devex – land: amount-weighted payment date</t>
  </si>
  <si>
    <t xml:space="preserve">Case A devex – land (× scale)</t>
  </si>
  <si>
    <t xml:space="preserve">Case A devex – development: items paid by sale A (devex file, unscaled)</t>
  </si>
  <si>
    <t xml:space="preserve">Case A devex – development: amount-weighted payment date</t>
  </si>
  <si>
    <t xml:space="preserve">Case A devex – development (× scale)</t>
  </si>
  <si>
    <t xml:space="preserve">FEP cash out to RtB, Case A (peak exposure)</t>
  </si>
  <si>
    <t xml:space="preserve">Case A: interest accrual end (earlier of freeze and sale A)</t>
  </si>
  <si>
    <t xml:space="preserve">Case A: start of the accrual end year</t>
  </si>
  <si>
    <t xml:space="preserve">Case A, from bid submission: factor in the payment year (if before the end year)</t>
  </si>
  <si>
    <t xml:space="preserve">Case A, from bid submission: factor in the end year (to the accrual end)</t>
  </si>
  <si>
    <t xml:space="preserve">Case A, from bid submission: accrual factor</t>
  </si>
  <si>
    <t xml:space="preserve">Case A, from performance security posting: factor in the payment year (if before the end year)</t>
  </si>
  <si>
    <t xml:space="preserve">Case A, from performance security posting: factor in the end year (to the accrual end)</t>
  </si>
  <si>
    <t xml:space="preserve">Case A, from performance security posting: accrual factor</t>
  </si>
  <si>
    <t xml:space="preserve">Case A, from TSO security payment: factor in the payment year (if before the end year)</t>
  </si>
  <si>
    <t xml:space="preserve">Case A, from TSO security payment: factor in the end year (to the accrual end)</t>
  </si>
  <si>
    <t xml:space="preserve">Case A, from TSO security payment: accrual factor</t>
  </si>
  <si>
    <t xml:space="preserve">Case A, from land payment (amount-weighted): factor in the payment year (if before the end year)</t>
  </si>
  <si>
    <t xml:space="preserve">Case A, from land payment (amount-weighted): factor in the end year (to the accrual end)</t>
  </si>
  <si>
    <t xml:space="preserve">Case A, from land payment (amount-weighted): accrual factor</t>
  </si>
  <si>
    <t xml:space="preserve">Case A, from development devex payment (amount-weighted): factor in the payment year (if before the end year)</t>
  </si>
  <si>
    <t xml:space="preserve">Case A, from development devex payment (amount-weighted): factor in the end year (to the accrual end)</t>
  </si>
  <si>
    <t xml:space="preserve">Case A, from development devex payment (amount-weighted): accrual factor</t>
  </si>
  <si>
    <t xml:space="preserve">Case A: claim on FEP's shareholder loan (JV only): participation fee (not reimbursed)</t>
  </si>
  <si>
    <t xml:space="preserve">Case A: claim on FEP's shareholder loan (JV only): bid security (cash)</t>
  </si>
  <si>
    <t xml:space="preserve">Case A: claim on FEP's shareholder loan (JV only): performance security payable (cash)</t>
  </si>
  <si>
    <t xml:space="preserve">Case A: claim on FEP's shareholder loan (JV only): TSO connection-request security</t>
  </si>
  <si>
    <t xml:space="preserve">Case A: claim on FEP's shareholder loan (JV only): land, MAX(20 % accrued, 1× principal)</t>
  </si>
  <si>
    <t xml:space="preserve">Case A: claim on FEP's shareholder loan (JV only): development devex, MAX(20 % accrued, 1× principal)</t>
  </si>
  <si>
    <t xml:space="preserve">Total FEP claims on its shareholder loans, Case A (JV only; no connection-fee claims)</t>
  </si>
  <si>
    <t xml:space="preserve">Case A: developer success fee due (DSA to sale A, capped)</t>
  </si>
  <si>
    <t xml:space="preserve">Waterfall at the sale, Case A</t>
  </si>
  <si>
    <t xml:space="preserve">Buyer reimburses securities at cost (no connection fees to reimburse)</t>
  </si>
  <si>
    <t xml:space="preserve">Buyer pays the land at cost (on top of the premium)</t>
  </si>
  <si>
    <t xml:space="preserve">Total proceeds</t>
  </si>
  <si>
    <t xml:space="preserve">Less sale costs</t>
  </si>
  <si>
    <t xml:space="preserve">Less securities repaid to FEP</t>
  </si>
  <si>
    <t xml:space="preserve">Less land repaid to FEP at cost</t>
  </si>
  <si>
    <t xml:space="preserve">Less development devex repaid to FEP (loan principal, JV only)</t>
  </si>
  <si>
    <t xml:space="preserve">Less FEP claims at 12 % on FEP's shareholder loan (JV only)</t>
  </si>
  <si>
    <t xml:space="preserve">Less FEP land and devex return on FEP's shareholder loan (JV only)</t>
  </si>
  <si>
    <t xml:space="preserve">Less developer success fee (DSA)</t>
  </si>
  <si>
    <t xml:space="preserve">Distributable proceeds</t>
  </si>
  <si>
    <t xml:space="preserve">FEP share of distributable</t>
  </si>
  <si>
    <t xml:space="preserve">Developer share of distributable</t>
  </si>
  <si>
    <t xml:space="preserve">FEP profit, Case A (at sale A): what the buyer pays, less deductions</t>
  </si>
  <si>
    <t xml:space="preserve">Date: Bora</t>
  </si>
  <si>
    <t xml:space="preserve">RtB premium paid by the buyer (150 k EUR/MVA × MVA)</t>
  </si>
  <si>
    <t xml:space="preserve">Land: 0 (bought by the RtB buyer at cost; FEP's land outlay is repaid, not deducted)</t>
  </si>
  <si>
    <t xml:space="preserve">Bid security: 0 (paid back to FEP at the sale)</t>
  </si>
  <si>
    <t xml:space="preserve">Performance security: 0 (paid back to FEP at the sale)</t>
  </si>
  <si>
    <t xml:space="preserve">Less: sale costs</t>
  </si>
  <si>
    <t xml:space="preserve">Less: developer success fee (DSA)</t>
  </si>
  <si>
    <t xml:space="preserve">Less: developer share of distributable proceeds</t>
  </si>
  <si>
    <t xml:space="preserve">Development devex repaid to FEP (loan principal, JV only)</t>
  </si>
  <si>
    <t xml:space="preserve">FEP claims at 12 % on FEP's shareholder loan (interest, JV only)</t>
  </si>
  <si>
    <t xml:space="preserve">FEP land and devex return on FEP's shareholder loan (JV only)</t>
  </si>
  <si>
    <t xml:space="preserve">FEP receipts at sale A (devex repaid + claims + return + FEP share)</t>
  </si>
  <si>
    <t xml:space="preserve">Less: signing fee and DD, Exit fees</t>
  </si>
  <si>
    <t xml:space="preserve">Less: participation fee (not reimbursed)</t>
  </si>
  <si>
    <t xml:space="preserve">Less: development devex</t>
  </si>
  <si>
    <t xml:space="preserve">FEP profit, pre-tax</t>
  </si>
  <si>
    <t xml:space="preserve">CIT on the exit gain (0 while the participation exemption flag is on)</t>
  </si>
  <si>
    <t xml:space="preserve">CIT on the interest of FEP's shareholder loans (JV only; paid yearly as capitalised)</t>
  </si>
  <si>
    <t xml:space="preserve">MOIC, pre-tax (dated cash flows below)</t>
  </si>
  <si>
    <t xml:space="preserve">IRR, pre-tax (dated cash flows below)</t>
  </si>
  <si>
    <t xml:space="preserve">Memo: pre-tax profit vs Case B (connection-fee claims no longer earned, FEP share)</t>
  </si>
  <si>
    <t xml:space="preserve">Memo: FEP dated cash flows, Case A, for MOIC and IRR (securities are paid and repaid at cost: net zero, excluded from the profit above)</t>
  </si>
  <si>
    <t xml:space="preserve">Factor to the first 31-Dec: Bora</t>
  </si>
  <si>
    <t xml:space="preserve">Factor to the first 31-Dec: Iváncsa</t>
  </si>
  <si>
    <t xml:space="preserve">Factor to the first 31-Dec: Dunaújváros</t>
  </si>
  <si>
    <t xml:space="preserve">Performance security payable</t>
  </si>
  <si>
    <t xml:space="preserve">Development devex</t>
  </si>
  <si>
    <t xml:space="preserve">FEP receipts at sale A (receipts above + securities and land repaid)</t>
  </si>
  <si>
    <t xml:space="preserve">CIT on the interest capitalised at 31-Dec-2026</t>
  </si>
  <si>
    <t xml:space="preserve">CIT on the interest capitalised at 31-Dec-2027</t>
  </si>
  <si>
    <t xml:space="preserve">CIT on the interest capitalised at 31-Dec-2028</t>
  </si>
  <si>
    <t xml:space="preserve">CIT on the rest at the sale (stub to the accrual end, devex floor top-up)</t>
  </si>
  <si>
    <t xml:space="preserve">MOIC, post-tax (dated cash flows incl. the CIT rows)</t>
  </si>
  <si>
    <t xml:space="preserve">IRR, post-tax (dated cash flows incl. the CIT rows)</t>
  </si>
  <si>
    <t xml:space="preserve">RtB exit, Case B: waterfall at the sale</t>
  </si>
  <si>
    <t xml:space="preserve">Buyer reimburses securities and connection fees at cost</t>
  </si>
  <si>
    <t xml:space="preserve">Less securities and fees repaid to FEP</t>
  </si>
  <si>
    <t xml:space="preserve">FEP profit, Case B (at the sale): what the buyer pays, less deductions</t>
  </si>
  <si>
    <t xml:space="preserve">FEP receipts at the sale (devex repaid + claims + return + FEP share)</t>
  </si>
  <si>
    <t xml:space="preserve">Memo: FEP dated cash flows, Case B, for MOIC and IRR (securities and connection fees are paid and repaid at cost: net zero, excluded from the profit above)</t>
  </si>
  <si>
    <t xml:space="preserve">Direct connection fee</t>
  </si>
  <si>
    <t xml:space="preserve">Indirect connection fee, payable</t>
  </si>
  <si>
    <t xml:space="preserve">FEP receipts at the sale (receipts above + securities, fees and land repaid)</t>
  </si>
  <si>
    <t xml:space="preserve">Annual timeline</t>
  </si>
  <si>
    <t xml:space="preserve">Year end</t>
  </si>
  <si>
    <t xml:space="preserve">Bora: annual cash flow (EUR k)</t>
  </si>
  <si>
    <t xml:space="preserve">Value</t>
  </si>
  <si>
    <t xml:space="preserve">Years from the COD year</t>
  </si>
  <si>
    <t xml:space="preserve">years</t>
  </si>
  <si>
    <t xml:space="preserve">Construction months by year end (value: construction period)</t>
  </si>
  <si>
    <t xml:space="preserve">months</t>
  </si>
  <si>
    <t xml:space="preserve">Construction share of the year (NTP to COD)</t>
  </si>
  <si>
    <t xml:space="preserve">Months operated by year end (value: operating life)</t>
  </si>
  <si>
    <t xml:space="preserve">Operating share of the year (COD to end of life)</t>
  </si>
  <si>
    <t xml:space="preserve">COD year flag</t>
  </si>
  <si>
    <t xml:space="preserve">Buyer pays at the Case B sale: RtB premium, land at cost, securities and connection fees reimbursed to FEP</t>
  </si>
  <si>
    <t xml:space="preserve">Performance security released (bid security included)</t>
  </si>
  <si>
    <t xml:space="preserve">Construction capex (straight-line NTP to COD)</t>
  </si>
  <si>
    <t xml:space="preserve">Municipal one-off at COD</t>
  </si>
  <si>
    <t xml:space="preserve">Investment cash flow</t>
  </si>
  <si>
    <t xml:space="preserve">Degradation factor (from the first full year)</t>
  </si>
  <si>
    <t xml:space="preserve">Net generation</t>
  </si>
  <si>
    <t xml:space="preserve">GWh</t>
  </si>
  <si>
    <t xml:space="preserve">PPA price</t>
  </si>
  <si>
    <t xml:space="preserve">Opex index (COD year = 1)</t>
  </si>
  <si>
    <t xml:space="preserve">O&amp;M, BoP, lease, insurance, management, property tax</t>
  </si>
  <si>
    <t xml:space="preserve">Administration, audit, compliance</t>
  </si>
  <si>
    <t xml:space="preserve">Balancing and grid charges</t>
  </si>
  <si>
    <t xml:space="preserve">MEKH supervisory fee</t>
  </si>
  <si>
    <t xml:space="preserve">Opex contingency</t>
  </si>
  <si>
    <t xml:space="preserve">Community contribution</t>
  </si>
  <si>
    <t xml:space="preserve">HIPA local business tax</t>
  </si>
  <si>
    <t xml:space="preserve">Total opex</t>
  </si>
  <si>
    <t xml:space="preserve">Unlevered pre-tax cash flow</t>
  </si>
  <si>
    <t xml:space="preserve">Tax depreciation (straight line on the all-in cost from the COD year)</t>
  </si>
  <si>
    <t xml:space="preserve">CIT, unlevered (no loss carry-forward)</t>
  </si>
  <si>
    <t xml:space="preserve">Unlevered post-tax cash flow</t>
  </si>
  <si>
    <t xml:space="preserve">Debt drawn at COD (gearing × all-in cost; no interest during construction)</t>
  </si>
  <si>
    <t xml:space="preserve">Debt service, annuity (interest + principal)</t>
  </si>
  <si>
    <t xml:space="preserve">Interest (on the opening balance)</t>
  </si>
  <si>
    <t xml:space="preserve">Principal repaid (annuity − interest)</t>
  </si>
  <si>
    <t xml:space="preserve">Debt balance, closing</t>
  </si>
  <si>
    <t xml:space="preserve">CIT, levered (interest deductible; no loss carry-forward)</t>
  </si>
  <si>
    <t xml:space="preserve">DSCR (EBITDA ÷ debt service)</t>
  </si>
  <si>
    <t xml:space="preserve">Discount factor to COD (buyer's rate)</t>
  </si>
  <si>
    <t xml:space="preserve">EBITDA valued at COD (total = COD price)</t>
  </si>
  <si>
    <t xml:space="preserve">COD exit: buyer's cash flow (to COD, price and securities at COD)</t>
  </si>
  <si>
    <t xml:space="preserve">FEP shareholder loans to the JV (RtB cases): balance at 31-Dec and interest capitalised, taxed yearly</t>
  </si>
  <si>
    <t xml:space="preserve">Case B: loan balance at 31-Dec, cash lines</t>
  </si>
  <si>
    <t xml:space="preserve">Case B: loan balance at 31-Dec, land and devex</t>
  </si>
  <si>
    <t xml:space="preserve">Case B: loans drawn in the year</t>
  </si>
  <si>
    <t xml:space="preserve">Case B: interest capitalised in the year (taxable at FEP)</t>
  </si>
  <si>
    <t xml:space="preserve">Case A: loan balance at 31-Dec, cash lines</t>
  </si>
  <si>
    <t xml:space="preserve">Case A: loan balance at 31-Dec, land and devex</t>
  </si>
  <si>
    <t xml:space="preserve">Case A: loans drawn in the year</t>
  </si>
  <si>
    <t xml:space="preserve">Case A: interest capitalised in the year (taxable at FEP)</t>
  </si>
  <si>
    <t xml:space="preserve">Iváncsa: annual cash flow (EUR k)</t>
  </si>
  <si>
    <t xml:space="preserve">Dunaújváros: annual cash flow (EUR k)</t>
  </si>
  <si>
    <t xml:space="preserve">COD exit: tax on the gain (price and profit: totals of the cash-flow blocks above)</t>
  </si>
  <si>
    <t xml:space="preserve">Buyer profit, post-tax</t>
  </si>
  <si>
    <t xml:space="preserve">Checks (0 = OK)</t>
  </si>
  <si>
    <t xml:space="preserve">Case B dated cash flows tie to the post-tax profit</t>
  </si>
  <si>
    <t xml:space="preserve">Claim lines paid before the accrual end year</t>
  </si>
  <si>
    <t xml:space="preserve">Turbine route is EU or CN</t>
  </si>
  <si>
    <t xml:space="preserve">Devex items × scale = project devex (land + development)</t>
  </si>
  <si>
    <t xml:space="preserve">Construction capex spread in full (timeline = capex)</t>
  </si>
  <si>
    <t xml:space="preserve">Investment cash flows = all-in cost to COD for a buyer (RtB price, capex, fees, municipal, land)</t>
  </si>
  <si>
    <t xml:space="preserve">Operating life inside the timeline</t>
  </si>
  <si>
    <t xml:space="preserve">Sale date A before the HCSSZ date (Case A exits before the connection fees)</t>
  </si>
  <si>
    <t xml:space="preserve">COD cost stack = timeline investment flows</t>
  </si>
  <si>
    <t xml:space="preserve">Case A dated cash flows tie to the post-tax profit</t>
  </si>
  <si>
    <t xml:space="preserve">Debt repaid by the end of the tenor (closing balance in the last timeline year = 0)</t>
  </si>
  <si>
    <t xml:space="preserve">RtB loan CIT: the rest taxed at the sale is ≤ 0 (yearly schedule does not over-accrue), Case B + Case A</t>
  </si>
  <si>
    <t xml:space="preserve">No errors in the summary block</t>
  </si>
  <si>
    <t xml:space="preserve">Master check</t>
  </si>
  <si>
    <t xml:space="preserve">***END***</t>
  </si>
  <si>
    <t xml:space="preserve">HU wind bids – other inputs (blue) with sources</t>
  </si>
  <si>
    <t xml:space="preserve">Inputs</t>
  </si>
  <si>
    <t xml:space="preserve">Source</t>
  </si>
  <si>
    <t xml:space="preserve">Tender and grid (all projects; value in column E)</t>
  </si>
  <si>
    <t xml:space="preserve">FX rate</t>
  </si>
  <si>
    <t xml:space="preserve">HUF/EUR</t>
  </si>
  <si>
    <t xml:space="preserve">Bora Inputs E11; Bid_Cash E45</t>
  </si>
  <si>
    <t xml:space="preserve">Security base: benchmark investment, wind</t>
  </si>
  <si>
    <t xml:space="preserve">HUF/MW</t>
  </si>
  <si>
    <t xml:space="preserve">Bora Inputs E75; Bid_Cash E46</t>
  </si>
  <si>
    <t xml:space="preserve">Security base: benchmark investment, BESS</t>
  </si>
  <si>
    <t xml:space="preserve">HUF/MWh</t>
  </si>
  <si>
    <t xml:space="preserve">Bora Inputs E89; Bid_Cash E47</t>
  </si>
  <si>
    <t xml:space="preserve">Bid security, share of base</t>
  </si>
  <si>
    <t xml:space="preserve">Bora Inputs E76; Bid_Cash E49</t>
  </si>
  <si>
    <t xml:space="preserve">Performance security, minimum share of base</t>
  </si>
  <si>
    <t xml:space="preserve">Bora Inputs E77; Bid_Cash E50</t>
  </si>
  <si>
    <t xml:space="preserve">Participation fee per bid</t>
  </si>
  <si>
    <t xml:space="preserve">Bora Inputs E81; Bid_Cash E48</t>
  </si>
  <si>
    <t xml:space="preserve">HUF/MVA</t>
  </si>
  <si>
    <t xml:space="preserve">Bora Inputs E83; Bid_Cash E51</t>
  </si>
  <si>
    <t xml:space="preserve">Per project: fees, devex, dates</t>
  </si>
  <si>
    <t xml:space="preserve">Indirect connection fee</t>
  </si>
  <si>
    <t xml:space="preserve">Bora Inputs G290; Bid_Cash E52</t>
  </si>
  <si>
    <t xml:space="preserve">Direct connection fee per connection point</t>
  </si>
  <si>
    <t xml:space="preserve">Bora Inputs G291; Bid_Cash E53</t>
  </si>
  <si>
    <t xml:space="preserve">Bids sharing the connection point</t>
  </si>
  <si>
    <t xml:space="preserve">count</t>
  </si>
  <si>
    <t xml:space="preserve">Bora: 2 bids per point (SPEC §22.2)</t>
  </si>
  <si>
    <t xml:space="preserve">Bora E24+E25: 400 × 50/200; Bid_Cash E55</t>
  </si>
  <si>
    <t xml:space="preserve">Devex scale (bid MVA ÷ 200 MVA of the devex file)</t>
  </si>
  <si>
    <t xml:space="preserve">SPEC §26.2: 50/200; 1 = the full devex file</t>
  </si>
  <si>
    <t xml:space="preserve">EU transformers ≥ 80 % (ÖSZ-9)</t>
  </si>
  <si>
    <t xml:space="preserve">Bid_Cash E16; SPEC §23.1</t>
  </si>
  <si>
    <t xml:space="preserve">Signing fee and DD paid</t>
  </si>
  <si>
    <t xml:space="preserve">Bora Inputs E27; Bid_Cash E34</t>
  </si>
  <si>
    <t xml:space="preserve">Bid submission: fee paid, bid security posted</t>
  </si>
  <si>
    <t xml:space="preserve">Bora Inputs E95; Bid_Cash E35</t>
  </si>
  <si>
    <t xml:space="preserve">Performance security posted</t>
  </si>
  <si>
    <t xml:space="preserve">Bora Deposits K10 (E96 + 17 d); Bid_Cash E36</t>
  </si>
  <si>
    <t xml:space="preserve">TSO security paid</t>
  </si>
  <si>
    <t xml:space="preserve">Bora Inputs E97; Bid_Cash E37</t>
  </si>
  <si>
    <t xml:space="preserve">Connection agreement (HCSSZ): fees paid</t>
  </si>
  <si>
    <t xml:space="preserve">Bora Inputs E99; Bid_Cash E39</t>
  </si>
  <si>
    <t xml:space="preserve">Notice to proceed</t>
  </si>
  <si>
    <t xml:space="preserve">Bora Inputs E154; Bid_Cash E40</t>
  </si>
  <si>
    <t xml:space="preserve">COD</t>
  </si>
  <si>
    <t xml:space="preserve">Bora Inputs E155; Bid_Cash E41</t>
  </si>
  <si>
    <t xml:space="preserve">Performance security released</t>
  </si>
  <si>
    <t xml:space="preserve">Bid_Cash E42 (Kiírás XII.13, estimate)</t>
  </si>
  <si>
    <t xml:space="preserve">DSA accrual start</t>
  </si>
  <si>
    <t xml:space="preserve">Bora Inputs E70; others: signing (DSA off)</t>
  </si>
  <si>
    <t xml:space="preserve">RtB exit terms (all projects; value in column E)</t>
  </si>
  <si>
    <t xml:space="preserve">Claim rate, cash lines (incl. cash-posted securities)</t>
  </si>
  <si>
    <t xml:space="preserve">Devex file V18; SPEC §21.1</t>
  </si>
  <si>
    <t xml:space="preserve">Claim rate, devex</t>
  </si>
  <si>
    <t xml:space="preserve">Devex file V19</t>
  </si>
  <si>
    <t xml:space="preserve">Devex minimum return multiple</t>
  </si>
  <si>
    <t xml:space="preserve">Devex file V20</t>
  </si>
  <si>
    <t xml:space="preserve">Interest freeze date</t>
  </si>
  <si>
    <t xml:space="preserve">Devex file V24</t>
  </si>
  <si>
    <t xml:space="preserve">Sale date, Case B (RtB exit after HCSSZ)</t>
  </si>
  <si>
    <t xml:space="preserve">Bora Inputs E58; SPEC §21.1</t>
  </si>
  <si>
    <t xml:space="preserve">Sale date, Case A (before HCSSZ)</t>
  </si>
  <si>
    <t xml:space="preserve">SPEC §25.2 (user, 28-Oct-2026)</t>
  </si>
  <si>
    <t xml:space="preserve">Sale costs per project</t>
  </si>
  <si>
    <t xml:space="preserve">SPEC §21.1</t>
  </si>
  <si>
    <t xml:space="preserve">Developer success fee (on committed MW, 30/360)</t>
  </si>
  <si>
    <t xml:space="preserve">Bora Inputs E36</t>
  </si>
  <si>
    <t xml:space="preserve">Developer success fee cap</t>
  </si>
  <si>
    <t xml:space="preserve">Bora Inputs E37</t>
  </si>
  <si>
    <t xml:space="preserve">Corporate income tax (operating profit; exit gains)</t>
  </si>
  <si>
    <t xml:space="preserve">SPEC §27 (exits exempt by the flag below)</t>
  </si>
  <si>
    <t xml:space="preserve">Share deal, participation exemption on the share gain (1 = on); claims taxed as interest</t>
  </si>
  <si>
    <t xml:space="preserve">user, 27-Oct-2026 (share deal)</t>
  </si>
  <si>
    <t xml:space="preserve">Tax and debt (hold case)</t>
  </si>
  <si>
    <t xml:space="preserve">Tax depreciation life (straight line on the all-in cost to COD, from the COD year)</t>
  </si>
  <si>
    <t xml:space="preserve">HU CIT Act Annex 2, 5 % p.a. power plants – to confirm</t>
  </si>
  <si>
    <t xml:space="preserve">Gearing (debt ÷ all-in cost to COD)</t>
  </si>
  <si>
    <t xml:space="preserve">user, 27-Oct-2026</t>
  </si>
  <si>
    <t xml:space="preserve">Debt interest rate</t>
  </si>
  <si>
    <t xml:space="preserve">Bora model Inputs G220</t>
  </si>
  <si>
    <t xml:space="preserve">Debt tenor (annuity from the first full operating year)</t>
  </si>
  <si>
    <t xml:space="preserve">Bora model Inputs G222</t>
  </si>
  <si>
    <t xml:space="preserve">Capex (per MW of wind built unless stated; turbines: case table on the Dashboard)</t>
  </si>
  <si>
    <t xml:space="preserve">Turbine installation and erection</t>
  </si>
  <si>
    <t xml:space="preserve">Bora Inputs G163</t>
  </si>
  <si>
    <t xml:space="preserve">Bora Inputs G164</t>
  </si>
  <si>
    <t xml:space="preserve">Bora Inputs G165</t>
  </si>
  <si>
    <t xml:space="preserve">Bora Inputs G166</t>
  </si>
  <si>
    <t xml:space="preserve">Bora Inputs G169</t>
  </si>
  <si>
    <t xml:space="preserve">Land is in the devex (Inputs rows 85, 86, 116) and bought by the RtB buyer at cost</t>
  </si>
  <si>
    <t xml:space="preserve">On-site substation and 132 kV bay (lump sum)</t>
  </si>
  <si>
    <t xml:space="preserve">Bora Inputs G167</t>
  </si>
  <si>
    <t xml:space="preserve">Source basis of the lump sums</t>
  </si>
  <si>
    <t xml:space="preserve">Bora Inputs E305</t>
  </si>
  <si>
    <t xml:space="preserve">Capex contingency (not on BESS)</t>
  </si>
  <si>
    <t xml:space="preserve">Bora Inputs G173</t>
  </si>
  <si>
    <t xml:space="preserve">BESS capex</t>
  </si>
  <si>
    <t xml:space="preserve">EUR k/MWh</t>
  </si>
  <si>
    <t xml:space="preserve">CLAUDE.md standing assumption, 15-Oct-26</t>
  </si>
  <si>
    <t xml:space="preserve">Generation (hours and PPA price: case table on the Dashboard)</t>
  </si>
  <si>
    <t xml:space="preserve">Curtailment</t>
  </si>
  <si>
    <t xml:space="preserve">Bora Inputs G183</t>
  </si>
  <si>
    <t xml:space="preserve">Clipping</t>
  </si>
  <si>
    <t xml:space="preserve">Bora Dash_Clip_Override (user, 26-Oct-26)</t>
  </si>
  <si>
    <t xml:space="preserve">Degradation</t>
  </si>
  <si>
    <t xml:space="preserve">% p.a.</t>
  </si>
  <si>
    <t xml:space="preserve">Bora Inputs G184</t>
  </si>
  <si>
    <t xml:space="preserve">PPA escalation</t>
  </si>
  <si>
    <t xml:space="preserve">Bora Inputs G194</t>
  </si>
  <si>
    <t xml:space="preserve">Opex (COD-year prices; O&amp;M contract: case table on the Dashboard)</t>
  </si>
  <si>
    <t xml:space="preserve">Balance of plant maintenance</t>
  </si>
  <si>
    <t xml:space="preserve">Bora Inputs G204</t>
  </si>
  <si>
    <t xml:space="preserve">Land lease</t>
  </si>
  <si>
    <t xml:space="preserve">Bora Inputs G205</t>
  </si>
  <si>
    <t xml:space="preserve">Operational insurance</t>
  </si>
  <si>
    <t xml:space="preserve">Bora Inputs G206</t>
  </si>
  <si>
    <t xml:space="preserve">Asset and commercial management</t>
  </si>
  <si>
    <t xml:space="preserve">Bora Inputs G207</t>
  </si>
  <si>
    <t xml:space="preserve">Property tax</t>
  </si>
  <si>
    <t xml:space="preserve">Bora Inputs G208</t>
  </si>
  <si>
    <t xml:space="preserve">Administration, audit, compliance (at the source basis)</t>
  </si>
  <si>
    <t xml:space="preserve">EUR k/yr</t>
  </si>
  <si>
    <t xml:space="preserve">Bora Inputs G209</t>
  </si>
  <si>
    <t xml:space="preserve">Balancing cost</t>
  </si>
  <si>
    <t xml:space="preserve">Bora Inputs G196</t>
  </si>
  <si>
    <t xml:space="preserve">Grid use-of-system charges</t>
  </si>
  <si>
    <t xml:space="preserve">Bora Inputs G197</t>
  </si>
  <si>
    <t xml:space="preserve">% of rev.</t>
  </si>
  <si>
    <t xml:space="preserve">Bora Inputs G198</t>
  </si>
  <si>
    <t xml:space="preserve">Bora Inputs G212</t>
  </si>
  <si>
    <t xml:space="preserve">Opex contingency (not on community, HIPA)</t>
  </si>
  <si>
    <t xml:space="preserve">Bora Inputs G210</t>
  </si>
  <si>
    <t xml:space="preserve">Opex escalation</t>
  </si>
  <si>
    <t xml:space="preserve">Bora Inputs G211</t>
  </si>
  <si>
    <t xml:space="preserve">Valuation, timeline and constants</t>
  </si>
  <si>
    <t xml:space="preserve">Operating life from COD</t>
  </si>
  <si>
    <t xml:space="preserve">Bora Inputs G157</t>
  </si>
  <si>
    <t xml:space="preserve">Discount rate (buyer's pre-tax return at COD)</t>
  </si>
  <si>
    <t xml:space="preserve">Bora Inputs G226</t>
  </si>
  <si>
    <t xml:space="preserve">First year of the annual timeline</t>
  </si>
  <si>
    <t xml:space="preserve">Year of the first signing</t>
  </si>
  <si>
    <t xml:space="preserve">Thousand</t>
  </si>
  <si>
    <t xml:space="preserve">Constant</t>
  </si>
  <si>
    <t xml:space="preserve">Days in a year (act/365)</t>
  </si>
  <si>
    <t xml:space="preserve">Months in a year</t>
  </si>
  <si>
    <t xml:space="preserve">Check tolerance</t>
  </si>
  <si>
    <t xml:space="preserve">Devex items (BORA_Devex 02-Oct-26; all projects × the scale): HUF | date | class</t>
  </si>
  <si>
    <t xml:space="preserve">Capacity allocation process - Awarding – Land reservation fee</t>
  </si>
  <si>
    <t xml:space="preserve">BORA_Devex 02-Oct-26 row 14</t>
  </si>
  <si>
    <t xml:space="preserve">Capacity allocation process - Awarding – Land purchase price</t>
  </si>
  <si>
    <t xml:space="preserve">BORA_Devex 02-Oct-26 row 15</t>
  </si>
  <si>
    <t xml:space="preserve">Grid connection plan – Design fee</t>
  </si>
  <si>
    <t xml:space="preserve">Devex</t>
  </si>
  <si>
    <t xml:space="preserve">BORA_Devex 02-Oct-26 row 16</t>
  </si>
  <si>
    <t xml:space="preserve">Grid connection plan – Administrative fee</t>
  </si>
  <si>
    <t xml:space="preserve">BORA_Devex 02-Oct-26 row 17</t>
  </si>
  <si>
    <t xml:space="preserve">Land contracting (additional land) – Legal fee, agent fee</t>
  </si>
  <si>
    <t xml:space="preserve">BORA_Devex 02-Oct-26 row 20</t>
  </si>
  <si>
    <t xml:space="preserve">Wind measurement – Met Masts</t>
  </si>
  <si>
    <t xml:space="preserve">BORA_Devex 02-Oct-26 row 21</t>
  </si>
  <si>
    <t xml:space="preserve">Wind measurement – Design fee</t>
  </si>
  <si>
    <t xml:space="preserve">BORA_Devex 02-Oct-26 row 22</t>
  </si>
  <si>
    <t xml:space="preserve">Wind measurement – EYA</t>
  </si>
  <si>
    <t xml:space="preserve">BORA_Devex 02-Oct-26 row 23</t>
  </si>
  <si>
    <t xml:space="preserve">Land reclassification – Administrative fee</t>
  </si>
  <si>
    <t xml:space="preserve">BORA_Devex 02-Oct-26 row 24</t>
  </si>
  <si>
    <t xml:space="preserve">Land reclassification – Report fee</t>
  </si>
  <si>
    <t xml:space="preserve">BORA_Devex 02-Oct-26 row 25</t>
  </si>
  <si>
    <t xml:space="preserve">Zoning plan modification – Design fee</t>
  </si>
  <si>
    <t xml:space="preserve">BORA_Devex 02-Oct-26 row 26</t>
  </si>
  <si>
    <t xml:space="preserve">Municipality donation – Donation</t>
  </si>
  <si>
    <t xml:space="preserve">BORA_Devex 02-Oct-26 row 27</t>
  </si>
  <si>
    <t xml:space="preserve">Environmental assessment – Bird-bat monitoring</t>
  </si>
  <si>
    <t xml:space="preserve">BORA_Devex 02-Oct-26 row 28</t>
  </si>
  <si>
    <t xml:space="preserve">Environmental assessment – Administrative fee</t>
  </si>
  <si>
    <t xml:space="preserve">BORA_Devex 02-Oct-26 row 29</t>
  </si>
  <si>
    <t xml:space="preserve">Environmental assessment – Assessment fee</t>
  </si>
  <si>
    <t xml:space="preserve">BORA_Devex 02-Oct-26 row 30</t>
  </si>
  <si>
    <t xml:space="preserve">Other project development – Geotechnical assessment fee</t>
  </si>
  <si>
    <t xml:space="preserve">BORA_Devex 02-Oct-26 row 31</t>
  </si>
  <si>
    <t xml:space="preserve">Other project development – Archaeological</t>
  </si>
  <si>
    <t xml:space="preserve">BORA_Devex 02-Oct-26 row 32</t>
  </si>
  <si>
    <t xml:space="preserve">Other project development – Topography</t>
  </si>
  <si>
    <t xml:space="preserve">BORA_Devex 02-Oct-26 row 33</t>
  </si>
  <si>
    <t xml:space="preserve">Building permit - Turbines – Administrative fee</t>
  </si>
  <si>
    <t xml:space="preserve">BORA_Devex 02-Oct-26 row 34</t>
  </si>
  <si>
    <t xml:space="preserve">Building permit - Turbines – Design fee</t>
  </si>
  <si>
    <t xml:space="preserve">BORA_Devex 02-Oct-26 row 35</t>
  </si>
  <si>
    <t xml:space="preserve">Cable right – Administrative fee</t>
  </si>
  <si>
    <t xml:space="preserve">BORA_Devex 02-Oct-26 row 36</t>
  </si>
  <si>
    <t xml:space="preserve">Cable right – Design fee</t>
  </si>
  <si>
    <t xml:space="preserve">BORA_Devex 02-Oct-26 row 37</t>
  </si>
  <si>
    <t xml:space="preserve">Cable right – Compensation</t>
  </si>
  <si>
    <t xml:space="preserve">BORA_Devex 02-Oct-26 row 38</t>
  </si>
  <si>
    <t xml:space="preserve">Building permit - Substation, switching station – Administrative fee</t>
  </si>
  <si>
    <t xml:space="preserve">BORA_Devex 02-Oct-26 row 39</t>
  </si>
  <si>
    <t xml:space="preserve">Building permit - Substation, switching station – Design fee</t>
  </si>
  <si>
    <t xml:space="preserve">BORA_Devex 02-Oct-26 row 40</t>
  </si>
  <si>
    <t xml:space="preserve">Building permit - BESS – Administrative fee</t>
  </si>
  <si>
    <t xml:space="preserve">BORA_Devex 02-Oct-26 row 41</t>
  </si>
  <si>
    <t xml:space="preserve">Building permit - BESS – Design fee</t>
  </si>
  <si>
    <t xml:space="preserve">BORA_Devex 02-Oct-26 row 42</t>
  </si>
  <si>
    <t xml:space="preserve">HEPURA permit – Administrative fee</t>
  </si>
  <si>
    <t xml:space="preserve">BORA_Devex 02-Oct-26 row 43</t>
  </si>
  <si>
    <t xml:space="preserve">HEPURA permit – Report fee</t>
  </si>
  <si>
    <t xml:space="preserve">BORA_Devex 02-Oct-26 row 44</t>
  </si>
  <si>
    <t xml:space="preserve">Legal costs – Legal costs</t>
  </si>
  <si>
    <t xml:space="preserve">BORA_Devex 02-Oct-26 row 45; continuous: 31-Dec-27</t>
  </si>
  <si>
    <t xml:space="preserve">Financial costs – Financial costs</t>
  </si>
  <si>
    <t xml:space="preserve">BORA_Devex 02-Oct-26 row 46; continuous: 31-Dec-27</t>
  </si>
  <si>
    <t xml:space="preserve">RtB – Land purchase price</t>
  </si>
  <si>
    <t xml:space="preserve">BORA_Devex 02-Oct-26 row 47</t>
  </si>
  <si>
    <t xml:space="preserve">Contingency – Contingency</t>
  </si>
  <si>
    <t xml:space="preserve">BORA_Devex 02-Oct-26 row 48; continuous: 31-Dec-27</t>
  </si>
  <si>
    <t xml:space="preserve">Band tables for the points (ÖSZ, Kiírás Annex 4) – expand the group</t>
  </si>
  <si>
    <t xml:space="preserve">Values →</t>
  </si>
  <si>
    <t xml:space="preserve">Osz1_LB</t>
  </si>
  <si>
    <t xml:space="preserve">Osz1_Incl</t>
  </si>
  <si>
    <t xml:space="preserve">Osz1_Pts</t>
  </si>
  <si>
    <t xml:space="preserve">Osz2_LB</t>
  </si>
  <si>
    <t xml:space="preserve">Osz2_Incl</t>
  </si>
  <si>
    <t xml:space="preserve">Osz2_Pts</t>
  </si>
  <si>
    <t xml:space="preserve">Osz3_LB</t>
  </si>
  <si>
    <t xml:space="preserve">Osz3_Incl</t>
  </si>
  <si>
    <t xml:space="preserve">Osz3_Pts</t>
  </si>
  <si>
    <t xml:space="preserve">Osz4_LB</t>
  </si>
  <si>
    <t xml:space="preserve">Osz4_Incl</t>
  </si>
  <si>
    <t xml:space="preserve">Osz4_Pts</t>
  </si>
  <si>
    <t xml:space="preserve">Kiírás Annex 4, ÖSZ-4: 2&lt;x&lt;5:10 … 40≤x&lt;50:90, 50&lt;x:100 (x = 50 % not defined; scored 90)</t>
  </si>
  <si>
    <t xml:space="preserve">Osz6_LB</t>
  </si>
  <si>
    <t xml:space="preserve">Osz6_Incl</t>
  </si>
  <si>
    <t xml:space="preserve">Kiírás Annex 4, ÖSZ-6: 100 pts only if x &gt; 200 % (strict); 190≤x&lt;200: 90</t>
  </si>
  <si>
    <t xml:space="preserve">Osz6_Pts</t>
  </si>
  <si>
    <t xml:space="preserve">Osz5_Pts</t>
  </si>
  <si>
    <t xml:space="preserve">Osz7_Pts</t>
  </si>
  <si>
    <t xml:space="preserve">Osz8_Pts</t>
  </si>
  <si>
    <t xml:space="preserve">Osz9a_Pts</t>
  </si>
  <si>
    <t xml:space="preserve">Osz9b_Pts</t>
  </si>
  <si>
    <t xml:space="preserve">Osz1_W</t>
  </si>
  <si>
    <t xml:space="preserve">Osz2_W</t>
  </si>
  <si>
    <t xml:space="preserve">Osz3_W</t>
  </si>
  <si>
    <t xml:space="preserve">Osz4_W</t>
  </si>
  <si>
    <t xml:space="preserve">Osz5_W</t>
  </si>
  <si>
    <t xml:space="preserve">Osz6_W</t>
  </si>
  <si>
    <t xml:space="preserve">Osz7_W</t>
  </si>
  <si>
    <t xml:space="preserve">Osz8_W</t>
  </si>
  <si>
    <t xml:space="preserve">Osz9_W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</si>
</sst>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&quot;CHECK &quot;0;&quot;CHECK -&quot;0;&quot;OK&quot;"/>
    <numFmt numFmtId="166" formatCode="#,##0;\(#,##0\);\–"/>
    <numFmt numFmtId="167" formatCode="0.0%;\(0.0%\);\–"/>
    <numFmt numFmtId="168" formatCode="#,##0.0;\(#,##0.0\);\–"/>
    <numFmt numFmtId="169" formatCode="0"/>
    <numFmt numFmtId="170" formatCode="0.00\x"/>
    <numFmt numFmtId="171" formatCode="#,##0"/>
    <numFmt numFmtId="172" formatCode="d\-mmm\-yy"/>
    <numFmt numFmtId="173" formatCode="0.0%"/>
    <numFmt numFmtId="174" formatCode="0.0000"/>
    <numFmt numFmtId="175" formatCode="_(* #,##0.00_);_(* \(#,##0.00\);_(* \-??_);_(@_)"/>
    <numFmt numFmtId="176" formatCode="_-* #,##0.00_-;\-* #,##0.00_-;_-* \-??_-;_-@_-"/>
    <numFmt numFmtId="177" formatCode="#,##0.00;\(#,##0.00\);\–"/>
    <numFmt numFmtId="178" formatCode="0;\-0;\–"/>
    <numFmt numFmtId="179" formatCode="0.000;\(0.000\);\–"/>
    <numFmt numFmtId="180" formatCode="0.0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sz val="10"/>
      <color rgb="FF000000"/>
      <name val="Aptos Narrow"/>
      <family val="0"/>
      <charset val="1"/>
    </font>
    <font>
      <sz val="10"/>
      <color rgb="FF0000FF"/>
      <name val="Aptos Narrow"/>
      <family val="0"/>
      <charset val="1"/>
    </font>
    <font>
      <b val="true"/>
      <sz val="10"/>
      <color rgb="FF000000"/>
      <name val="Aptos Narrow"/>
      <family val="2"/>
      <charset val="1"/>
    </font>
    <font>
      <b val="true"/>
      <i val="true"/>
      <sz val="10"/>
      <color rgb="FF808080"/>
      <name val="Aptos Narrow"/>
      <family val="2"/>
      <charset val="1"/>
    </font>
    <font>
      <i val="true"/>
      <sz val="10"/>
      <color rgb="FF808080"/>
      <name val="Aptos Narrow"/>
      <family val="2"/>
      <charset val="1"/>
    </font>
    <font>
      <b val="true"/>
      <sz val="11"/>
      <color theme="1"/>
      <name val="Calibri"/>
      <family val="2"/>
      <charset val="238"/>
    </font>
    <font>
      <b val="true"/>
      <sz val="10"/>
      <color rgb="FFFFFFFF"/>
      <name val="Aptos Narrow"/>
      <family val="2"/>
      <charset val="1"/>
    </font>
    <font>
      <b val="true"/>
      <sz val="10"/>
      <color rgb="FFFFFFFF"/>
      <name val="Aptos Narrow"/>
      <family val="2"/>
      <charset val="238"/>
    </font>
    <font>
      <b val="true"/>
      <sz val="10"/>
      <color rgb="FF3C3C3B"/>
      <name val="Aptos Narrow"/>
      <family val="2"/>
      <charset val="1"/>
    </font>
    <font>
      <b val="true"/>
      <sz val="10"/>
      <color rgb="FF3C3C3B"/>
      <name val="Aptos Narrow"/>
      <family val="0"/>
      <charset val="1"/>
    </font>
    <font>
      <b val="true"/>
      <i val="true"/>
      <sz val="10"/>
      <color rgb="FF808080"/>
      <name val="Aptos Narrow"/>
      <family val="0"/>
      <charset val="1"/>
    </font>
    <font>
      <sz val="10"/>
      <color rgb="FF808080"/>
      <name val="Aptos Narrow"/>
      <family val="0"/>
      <charset val="1"/>
    </font>
    <font>
      <i val="true"/>
      <sz val="10"/>
      <color rgb="FF000000"/>
      <name val="Aptos Narrow"/>
      <family val="2"/>
      <charset val="1"/>
    </font>
    <font>
      <sz val="10"/>
      <name val="Arial"/>
      <family val="0"/>
      <charset val="1"/>
    </font>
    <font>
      <b val="true"/>
      <sz val="10"/>
      <color rgb="FF808080"/>
      <name val="Aptos Narrow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DEADA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theme="9" tint="0.7998"/>
        <bgColor rgb="FFFDE9D9"/>
      </patternFill>
    </fill>
    <fill>
      <patternFill patternType="solid">
        <fgColor rgb="FFFDE9D9"/>
        <bgColor rgb="FFFDEADA"/>
      </patternFill>
    </fill>
    <fill>
      <patternFill patternType="solid">
        <fgColor rgb="FFE6F4EC"/>
        <bgColor rgb="FFF2F2F2"/>
      </patternFill>
    </fill>
    <fill>
      <patternFill patternType="solid">
        <fgColor theme="0" tint="-0.05"/>
        <bgColor rgb="FFE6F4E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5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0" borderId="0" xfId="15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00B050"/>
      </font>
    </dxf>
    <dxf>
      <font>
        <b val="1"/>
        <color rgb="FFFF000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DEADA"/>
      <rgbColor rgb="FF99CCFF"/>
      <rgbColor rgb="FFFF99CC"/>
      <rgbColor rgb="FFCC99FF"/>
      <rgbColor rgb="FFFDE9D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S537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E128" activeCellId="0" sqref="E128"/>
    </sheetView>
  </sheetViews>
  <sheetFormatPr defaultColWidth="8.66796875" defaultRowHeight="14.25" zeroHeight="false" outlineLevelRow="1" outlineLevelCol="0"/>
  <cols>
    <col collapsed="false" customWidth="true" hidden="false" outlineLevel="0" max="2" min="1" style="0" width="2"/>
    <col collapsed="false" customWidth="true" hidden="false" outlineLevel="0" max="3" min="3" style="0" width="56"/>
    <col collapsed="false" customWidth="true" hidden="false" outlineLevel="0" max="4" min="4" style="0" width="10"/>
    <col collapsed="false" customWidth="true" hidden="false" outlineLevel="0" max="7" min="5" style="0" width="13"/>
    <col collapsed="false" customWidth="true" hidden="false" outlineLevel="0" max="8" min="8" style="0" width="15"/>
    <col collapsed="false" customWidth="true" hidden="false" outlineLevel="0" max="9" min="9" style="0" width="2"/>
    <col collapsed="false" customWidth="true" hidden="false" outlineLevel="0" max="45" min="10" style="0" width="10"/>
  </cols>
  <sheetData>
    <row r="2" customFormat="false" ht="14.25" hidden="false" customHeight="false" outlineLevel="0" collapsed="false">
      <c r="C2" s="1" t="s">
        <v>0</v>
      </c>
    </row>
    <row r="3" customFormat="false" ht="14.25" hidden="false" customHeight="false" outlineLevel="0" collapsed="false">
      <c r="C3" s="1" t="s">
        <v>1</v>
      </c>
      <c r="D3" s="2" t="s">
        <v>2</v>
      </c>
      <c r="H3" s="3" t="n">
        <f aca="false">Master_Check</f>
        <v>0</v>
      </c>
    </row>
    <row r="5" customFormat="false" ht="14.25" hidden="false" customHeight="false" outlineLevel="0" collapsed="false">
      <c r="B5" s="4" t="s">
        <v>3</v>
      </c>
      <c r="C5" s="4" t="s">
        <v>4</v>
      </c>
      <c r="D5" s="4"/>
      <c r="E5" s="5" t="s">
        <v>5</v>
      </c>
      <c r="F5" s="5" t="s">
        <v>6</v>
      </c>
      <c r="G5" s="5" t="s">
        <v>7</v>
      </c>
      <c r="H5" s="5" t="s">
        <v>8</v>
      </c>
    </row>
    <row r="6" customFormat="false" ht="14.25" hidden="false" customHeight="false" outlineLevel="0" collapsed="false">
      <c r="C6" s="6" t="s">
        <v>9</v>
      </c>
      <c r="D6" s="2" t="s">
        <v>10</v>
      </c>
      <c r="E6" s="7" t="n">
        <v>50</v>
      </c>
      <c r="F6" s="7" t="n">
        <v>50</v>
      </c>
      <c r="G6" s="7" t="n">
        <v>50</v>
      </c>
      <c r="H6" s="8" t="n">
        <f aca="false">SUM(E6:G6)</f>
        <v>150</v>
      </c>
    </row>
    <row r="7" customFormat="false" ht="14.25" hidden="false" customHeight="false" outlineLevel="0" collapsed="false">
      <c r="C7" s="6" t="s">
        <v>11</v>
      </c>
      <c r="D7" s="2" t="s">
        <v>12</v>
      </c>
      <c r="E7" s="9" t="n">
        <v>0.2</v>
      </c>
      <c r="F7" s="9" t="n">
        <v>0.4</v>
      </c>
      <c r="G7" s="9" t="n">
        <v>0.4</v>
      </c>
    </row>
    <row r="8" customFormat="false" ht="14.25" hidden="false" customHeight="false" outlineLevel="0" collapsed="false">
      <c r="C8" s="6" t="s">
        <v>13</v>
      </c>
      <c r="D8" s="2" t="s">
        <v>12</v>
      </c>
      <c r="E8" s="9" t="n">
        <v>0.1</v>
      </c>
      <c r="F8" s="9" t="n">
        <v>0.2</v>
      </c>
      <c r="G8" s="9" t="n">
        <v>0.2</v>
      </c>
    </row>
    <row r="9" customFormat="false" ht="14.25" hidden="false" customHeight="false" outlineLevel="0" collapsed="false">
      <c r="C9" s="6" t="s">
        <v>14</v>
      </c>
      <c r="D9" s="2" t="s">
        <v>15</v>
      </c>
      <c r="E9" s="7" t="n">
        <v>4</v>
      </c>
      <c r="F9" s="7" t="n">
        <v>4</v>
      </c>
      <c r="G9" s="7" t="n">
        <v>4</v>
      </c>
    </row>
    <row r="10" customFormat="false" ht="14.25" hidden="false" customHeight="false" outlineLevel="0" collapsed="false">
      <c r="C10" s="6" t="s">
        <v>16</v>
      </c>
      <c r="D10" s="2" t="s">
        <v>12</v>
      </c>
      <c r="E10" s="9" t="n">
        <v>0.1</v>
      </c>
      <c r="F10" s="9" t="n">
        <v>0.1</v>
      </c>
      <c r="G10" s="9" t="n">
        <v>0.1</v>
      </c>
    </row>
    <row r="11" customFormat="false" ht="14.25" hidden="false" customHeight="false" outlineLevel="0" collapsed="false">
      <c r="C11" s="6" t="s">
        <v>17</v>
      </c>
      <c r="D11" s="2" t="s">
        <v>18</v>
      </c>
      <c r="E11" s="7" t="n">
        <v>20</v>
      </c>
      <c r="F11" s="7" t="n">
        <v>50</v>
      </c>
      <c r="G11" s="7" t="n">
        <v>50</v>
      </c>
    </row>
    <row r="12" customFormat="false" ht="14.25" hidden="false" customHeight="false" outlineLevel="0" collapsed="false">
      <c r="C12" s="6" t="s">
        <v>19</v>
      </c>
      <c r="D12" s="2" t="s">
        <v>20</v>
      </c>
      <c r="E12" s="10" t="n">
        <v>0</v>
      </c>
      <c r="F12" s="10" t="n">
        <v>3</v>
      </c>
      <c r="G12" s="10" t="n">
        <v>3</v>
      </c>
    </row>
    <row r="13" customFormat="false" ht="14.25" hidden="false" customHeight="false" outlineLevel="0" collapsed="false">
      <c r="C13" s="6" t="s">
        <v>21</v>
      </c>
      <c r="D13" s="2" t="s">
        <v>2</v>
      </c>
      <c r="E13" s="11" t="n">
        <v>1</v>
      </c>
      <c r="F13" s="11" t="n">
        <v>1</v>
      </c>
      <c r="G13" s="11" t="n">
        <v>1</v>
      </c>
    </row>
    <row r="14" customFormat="false" ht="14.25" hidden="false" customHeight="false" outlineLevel="0" collapsed="false">
      <c r="C14" s="6" t="s">
        <v>22</v>
      </c>
      <c r="D14" s="2" t="s">
        <v>3</v>
      </c>
      <c r="E14" s="12" t="n">
        <v>1</v>
      </c>
      <c r="F14" s="12" t="n">
        <v>1</v>
      </c>
      <c r="G14" s="12" t="n">
        <v>1</v>
      </c>
    </row>
    <row r="15" customFormat="false" ht="14.25" hidden="false" customHeight="false" outlineLevel="0" collapsed="false">
      <c r="C15" s="6" t="s">
        <v>23</v>
      </c>
      <c r="D15" s="2" t="s">
        <v>2</v>
      </c>
      <c r="E15" s="11" t="n">
        <v>0</v>
      </c>
      <c r="F15" s="11" t="n">
        <v>0</v>
      </c>
      <c r="G15" s="11" t="n">
        <v>0</v>
      </c>
    </row>
    <row r="16" customFormat="false" ht="14.25" hidden="false" customHeight="false" outlineLevel="0" collapsed="false">
      <c r="C16" s="6" t="s">
        <v>24</v>
      </c>
      <c r="D16" s="2" t="s">
        <v>2</v>
      </c>
      <c r="E16" s="11" t="n">
        <v>1</v>
      </c>
      <c r="F16" s="11" t="n">
        <v>1</v>
      </c>
      <c r="G16" s="11" t="n">
        <v>1</v>
      </c>
    </row>
    <row r="17" customFormat="false" ht="14.25" hidden="false" customHeight="false" outlineLevel="0" collapsed="false">
      <c r="C17" s="6" t="s">
        <v>25</v>
      </c>
      <c r="D17" s="2" t="s">
        <v>26</v>
      </c>
      <c r="E17" s="13" t="s">
        <v>27</v>
      </c>
      <c r="F17" s="13" t="s">
        <v>27</v>
      </c>
      <c r="G17" s="13" t="s">
        <v>27</v>
      </c>
    </row>
    <row r="18" customFormat="false" ht="14.25" hidden="false" customHeight="false" outlineLevel="0" collapsed="false">
      <c r="C18" s="6" t="s">
        <v>28</v>
      </c>
      <c r="D18" s="2" t="s">
        <v>18</v>
      </c>
      <c r="E18" s="7" t="n">
        <v>150</v>
      </c>
      <c r="F18" s="7" t="n">
        <v>150</v>
      </c>
      <c r="G18" s="7" t="n">
        <v>150</v>
      </c>
    </row>
    <row r="19" customFormat="false" ht="14.25" hidden="false" customHeight="false" outlineLevel="0" collapsed="false">
      <c r="C19" s="6" t="s">
        <v>29</v>
      </c>
      <c r="D19" s="2" t="s">
        <v>12</v>
      </c>
      <c r="E19" s="9" t="n">
        <v>0.7</v>
      </c>
      <c r="F19" s="9" t="n">
        <v>1</v>
      </c>
      <c r="G19" s="9" t="n">
        <v>1</v>
      </c>
    </row>
    <row r="20" customFormat="false" ht="14.25" hidden="false" customHeight="false" outlineLevel="0" collapsed="false">
      <c r="C20" s="6" t="s">
        <v>30</v>
      </c>
      <c r="D20" s="2" t="s">
        <v>2</v>
      </c>
      <c r="E20" s="11" t="n">
        <v>1</v>
      </c>
      <c r="F20" s="11" t="n">
        <v>0</v>
      </c>
      <c r="G20" s="11" t="n">
        <v>0</v>
      </c>
    </row>
    <row r="21" customFormat="false" ht="14.25" hidden="false" customHeight="false" outlineLevel="0" collapsed="false">
      <c r="C21" s="6" t="s">
        <v>31</v>
      </c>
      <c r="D21" s="2" t="s">
        <v>2</v>
      </c>
      <c r="E21" s="11" t="n">
        <v>1</v>
      </c>
      <c r="F21" s="11" t="n">
        <v>0</v>
      </c>
      <c r="G21" s="11" t="n">
        <v>0</v>
      </c>
    </row>
    <row r="22" customFormat="false" ht="14.25" hidden="false" customHeight="false" outlineLevel="0" collapsed="false">
      <c r="C22" s="6" t="s">
        <v>32</v>
      </c>
      <c r="D22" s="2" t="s">
        <v>33</v>
      </c>
      <c r="E22" s="14" t="n">
        <v>2500</v>
      </c>
      <c r="F22" s="14" t="n">
        <v>2500</v>
      </c>
      <c r="G22" s="14" t="n">
        <v>2500</v>
      </c>
    </row>
    <row r="24" customFormat="false" ht="14.25" hidden="false" customHeight="false" outlineLevel="0" collapsed="false">
      <c r="B24" s="4" t="s">
        <v>3</v>
      </c>
      <c r="C24" s="4" t="s">
        <v>34</v>
      </c>
      <c r="D24" s="4"/>
      <c r="E24" s="5" t="s">
        <v>35</v>
      </c>
      <c r="F24" s="5" t="s">
        <v>36</v>
      </c>
      <c r="G24" s="5" t="s">
        <v>37</v>
      </c>
      <c r="H24" s="5" t="s">
        <v>38</v>
      </c>
    </row>
    <row r="25" customFormat="false" ht="14.25" hidden="false" customHeight="false" outlineLevel="0" collapsed="false">
      <c r="C25" s="1" t="s">
        <v>39</v>
      </c>
      <c r="D25" s="2" t="s">
        <v>40</v>
      </c>
      <c r="H25" s="13" t="s">
        <v>35</v>
      </c>
    </row>
    <row r="26" customFormat="false" ht="14.25" hidden="false" customHeight="false" outlineLevel="0" collapsed="false">
      <c r="C26" s="6" t="s">
        <v>41</v>
      </c>
      <c r="D26" s="2" t="s">
        <v>42</v>
      </c>
      <c r="E26" s="7" t="n">
        <v>850</v>
      </c>
      <c r="F26" s="7" t="n">
        <v>950</v>
      </c>
      <c r="G26" s="7" t="n">
        <v>800</v>
      </c>
      <c r="H26" s="15" t="n">
        <f aca="false">INDEX(E26:G26,MATCH(Dash_Case,$E$24:$G$24,0))</f>
        <v>850</v>
      </c>
      <c r="J26" s="2" t="s">
        <v>43</v>
      </c>
    </row>
    <row r="27" customFormat="false" ht="14.25" hidden="false" customHeight="false" outlineLevel="0" collapsed="false">
      <c r="C27" s="6" t="s">
        <v>44</v>
      </c>
      <c r="D27" s="2" t="s">
        <v>42</v>
      </c>
      <c r="E27" s="7" t="n">
        <v>500</v>
      </c>
      <c r="F27" s="7" t="n">
        <v>600</v>
      </c>
      <c r="G27" s="7" t="n">
        <v>480</v>
      </c>
      <c r="H27" s="15" t="n">
        <f aca="false">INDEX(E27:G27,MATCH(Dash_Case,$E$24:$G$24,0))</f>
        <v>500</v>
      </c>
      <c r="J27" s="2" t="s">
        <v>45</v>
      </c>
    </row>
    <row r="28" customFormat="false" ht="14.25" hidden="false" customHeight="false" outlineLevel="0" collapsed="false">
      <c r="C28" s="6" t="s">
        <v>46</v>
      </c>
      <c r="D28" s="2" t="s">
        <v>20</v>
      </c>
      <c r="E28" s="10" t="n">
        <v>90</v>
      </c>
      <c r="F28" s="10" t="n">
        <v>90</v>
      </c>
      <c r="G28" s="10" t="n">
        <v>100</v>
      </c>
      <c r="H28" s="16" t="n">
        <f aca="false">INDEX(E28:G28,MATCH(Dash_Case,$E$24:$G$24,0))</f>
        <v>90</v>
      </c>
      <c r="J28" s="2" t="s">
        <v>47</v>
      </c>
    </row>
    <row r="29" customFormat="false" ht="14.25" hidden="false" customHeight="false" outlineLevel="0" collapsed="false">
      <c r="C29" s="6" t="s">
        <v>48</v>
      </c>
      <c r="D29" s="2" t="s">
        <v>33</v>
      </c>
      <c r="E29" s="7" t="n">
        <v>2400</v>
      </c>
      <c r="F29" s="7" t="n">
        <v>2350</v>
      </c>
      <c r="G29" s="7" t="n">
        <v>2500</v>
      </c>
      <c r="H29" s="15" t="n">
        <f aca="false">INDEX(E29:G29,MATCH(Dash_Case,$E$24:$G$24,0))</f>
        <v>2400</v>
      </c>
      <c r="J29" s="2" t="s">
        <v>49</v>
      </c>
    </row>
    <row r="30" customFormat="false" ht="14.25" hidden="false" customHeight="false" outlineLevel="0" collapsed="false">
      <c r="C30" s="6" t="s">
        <v>50</v>
      </c>
      <c r="D30" s="2" t="s">
        <v>51</v>
      </c>
      <c r="E30" s="10" t="n">
        <v>12</v>
      </c>
      <c r="F30" s="10" t="n">
        <v>12</v>
      </c>
      <c r="G30" s="10" t="n">
        <v>10</v>
      </c>
      <c r="H30" s="16" t="n">
        <f aca="false">INDEX(E30:G30,MATCH(Dash_Case,$E$24:$G$24,0))</f>
        <v>12</v>
      </c>
      <c r="J30" s="2" t="s">
        <v>52</v>
      </c>
    </row>
    <row r="32" customFormat="false" ht="14.25" hidden="false" customHeight="false" outlineLevel="0" collapsed="false">
      <c r="B32" s="4" t="s">
        <v>3</v>
      </c>
      <c r="C32" s="4" t="s">
        <v>53</v>
      </c>
      <c r="D32" s="4"/>
      <c r="E32" s="5" t="s">
        <v>5</v>
      </c>
      <c r="F32" s="5" t="s">
        <v>6</v>
      </c>
      <c r="G32" s="5" t="s">
        <v>7</v>
      </c>
      <c r="H32" s="5" t="s">
        <v>8</v>
      </c>
    </row>
    <row r="33" customFormat="false" ht="14.25" hidden="false" customHeight="false" outlineLevel="0" collapsed="false">
      <c r="C33" s="6" t="s">
        <v>54</v>
      </c>
      <c r="D33" s="2" t="s">
        <v>55</v>
      </c>
      <c r="E33" s="17" t="n">
        <f aca="false">INDEX(Osz1_Pts,1+SUMPRODUCT((Osz1_LB&lt;E11)+(Osz1_LB=E11)*Osz1_Incl))*Osz1_W</f>
        <v>4</v>
      </c>
      <c r="F33" s="17" t="n">
        <f aca="false">INDEX(Osz1_Pts,1+SUMPRODUCT((Osz1_LB&lt;F11)+(Osz1_LB=F11)*Osz1_Incl))*Osz1_W</f>
        <v>20</v>
      </c>
      <c r="G33" s="17" t="n">
        <f aca="false">INDEX(Osz1_Pts,1+SUMPRODUCT((Osz1_LB&lt;G11)+(Osz1_LB=G11)*Osz1_Incl))*Osz1_W</f>
        <v>20</v>
      </c>
    </row>
    <row r="34" customFormat="false" ht="14.25" hidden="false" customHeight="false" outlineLevel="0" collapsed="false">
      <c r="C34" s="6" t="s">
        <v>56</v>
      </c>
      <c r="D34" s="2" t="s">
        <v>55</v>
      </c>
      <c r="E34" s="17" t="n">
        <f aca="false">INDEX(Osz2_Pts,1+SUMPRODUCT((Osz2_LB&lt;E12)+(Osz2_LB=E12)*Osz2_Incl))*Osz2_W</f>
        <v>0</v>
      </c>
      <c r="F34" s="17" t="n">
        <f aca="false">INDEX(Osz2_Pts,1+SUMPRODUCT((Osz2_LB&lt;F12)+(Osz2_LB=F12)*Osz2_Incl))*Osz2_W</f>
        <v>15</v>
      </c>
      <c r="G34" s="17" t="n">
        <f aca="false">INDEX(Osz2_Pts,1+SUMPRODUCT((Osz2_LB&lt;G12)+(Osz2_LB=G12)*Osz2_Incl))*Osz2_W</f>
        <v>15</v>
      </c>
    </row>
    <row r="35" customFormat="false" ht="14.25" hidden="false" customHeight="false" outlineLevel="0" collapsed="false">
      <c r="C35" s="6" t="s">
        <v>57</v>
      </c>
      <c r="D35" s="2" t="s">
        <v>55</v>
      </c>
      <c r="E35" s="17" t="n">
        <f aca="false">INDEX(Osz3_Pts,1+SUMPRODUCT((Osz3_LB&lt;E7)+(Osz3_LB=E7)*Osz3_Incl))*Osz3_W</f>
        <v>5</v>
      </c>
      <c r="F35" s="17" t="n">
        <f aca="false">INDEX(Osz3_Pts,1+SUMPRODUCT((Osz3_LB&lt;F7)+(Osz3_LB=F7)*Osz3_Incl))*Osz3_W</f>
        <v>9</v>
      </c>
      <c r="G35" s="17" t="n">
        <f aca="false">INDEX(Osz3_Pts,1+SUMPRODUCT((Osz3_LB&lt;G7)+(Osz3_LB=G7)*Osz3_Incl))*Osz3_W</f>
        <v>9</v>
      </c>
    </row>
    <row r="36" customFormat="false" ht="14.25" hidden="false" customHeight="false" outlineLevel="0" collapsed="false">
      <c r="C36" s="6" t="s">
        <v>58</v>
      </c>
      <c r="D36" s="2" t="s">
        <v>55</v>
      </c>
      <c r="E36" s="17" t="n">
        <f aca="false" t="array" ref="E36:E36">INDEX(Osz4_Pts,1+SUMPRODUCT((Osz4_LB&lt;E8)+(Osz4_LB=E8)*Osz4_Incl))*Osz4_W</f>
        <v>4.5</v>
      </c>
      <c r="F36" s="17" t="n">
        <f aca="false" t="array" ref="F36:F36">INDEX(Osz4_Pts,1+SUMPRODUCT((Osz4_LB&lt;F8)+(Osz4_LB=F8)*Osz4_Incl))*Osz4_W</f>
        <v>7.5</v>
      </c>
      <c r="G36" s="17" t="n">
        <f aca="false" t="array" ref="G36:G36">INDEX(Osz4_Pts,1+SUMPRODUCT((Osz4_LB&lt;G8)+(Osz4_LB=G8)*Osz4_Incl))*Osz4_W</f>
        <v>7.5</v>
      </c>
    </row>
    <row r="37" customFormat="false" ht="14.25" hidden="false" customHeight="false" outlineLevel="0" collapsed="false">
      <c r="C37" s="6" t="s">
        <v>59</v>
      </c>
      <c r="D37" s="2" t="s">
        <v>55</v>
      </c>
      <c r="E37" s="17" t="n">
        <f aca="false">E13*Osz5_Pts*Osz5_W</f>
        <v>5</v>
      </c>
      <c r="F37" s="17" t="n">
        <f aca="false">F13*Osz5_Pts*Osz5_W</f>
        <v>5</v>
      </c>
      <c r="G37" s="17" t="n">
        <f aca="false">G13*Osz5_Pts*Osz5_W</f>
        <v>5</v>
      </c>
    </row>
    <row r="38" customFormat="false" ht="14.25" hidden="false" customHeight="false" outlineLevel="0" collapsed="false">
      <c r="C38" s="6" t="s">
        <v>60</v>
      </c>
      <c r="D38" s="2" t="s">
        <v>55</v>
      </c>
      <c r="E38" s="17" t="n">
        <f aca="false">INDEX(Osz6_Pts,1+SUMPRODUCT((Osz6_LB&lt;E14)+(Osz6_LB=E14)*Osz6_Incl))*Osz6_W</f>
        <v>0</v>
      </c>
      <c r="F38" s="17" t="n">
        <f aca="false">INDEX(Osz6_Pts,1+SUMPRODUCT((Osz6_LB&lt;F14)+(Osz6_LB=F14)*Osz6_Incl))*Osz6_W</f>
        <v>0</v>
      </c>
      <c r="G38" s="17" t="n">
        <f aca="false">INDEX(Osz6_Pts,1+SUMPRODUCT((Osz6_LB&lt;G14)+(Osz6_LB=G14)*Osz6_Incl))*Osz6_W</f>
        <v>0</v>
      </c>
    </row>
    <row r="39" customFormat="false" ht="14.25" hidden="false" customHeight="false" outlineLevel="0" collapsed="false">
      <c r="C39" s="6" t="s">
        <v>61</v>
      </c>
      <c r="D39" s="2" t="s">
        <v>55</v>
      </c>
      <c r="E39" s="17" t="n">
        <f aca="false">E15*Osz7_Pts*Osz7_W</f>
        <v>0</v>
      </c>
      <c r="F39" s="17" t="n">
        <f aca="false">F15*Osz7_Pts*Osz7_W</f>
        <v>0</v>
      </c>
      <c r="G39" s="17" t="n">
        <f aca="false">G15*Osz7_Pts*Osz7_W</f>
        <v>0</v>
      </c>
    </row>
    <row r="40" customFormat="false" ht="14.25" hidden="false" customHeight="false" outlineLevel="0" collapsed="false">
      <c r="C40" s="6" t="s">
        <v>62</v>
      </c>
      <c r="D40" s="2" t="s">
        <v>55</v>
      </c>
      <c r="E40" s="17" t="n">
        <f aca="false">E16*Osz8_Pts*Osz8_W</f>
        <v>5</v>
      </c>
      <c r="F40" s="17" t="n">
        <f aca="false">F16*Osz8_Pts*Osz8_W</f>
        <v>5</v>
      </c>
      <c r="G40" s="17" t="n">
        <f aca="false">G16*Osz8_Pts*Osz8_W</f>
        <v>5</v>
      </c>
    </row>
    <row r="41" customFormat="false" ht="14.25" hidden="false" customHeight="false" outlineLevel="0" collapsed="false">
      <c r="C41" s="6" t="s">
        <v>63</v>
      </c>
      <c r="D41" s="2" t="s">
        <v>55</v>
      </c>
      <c r="E41" s="17" t="n">
        <f aca="false">N(E17="EU")*Osz9a_Pts*Osz9_W</f>
        <v>0</v>
      </c>
      <c r="F41" s="17" t="n">
        <f aca="false">N(F17="EU")*Osz9a_Pts*Osz9_W</f>
        <v>0</v>
      </c>
      <c r="G41" s="17" t="n">
        <f aca="false">N(G17="EU")*Osz9a_Pts*Osz9_W</f>
        <v>0</v>
      </c>
    </row>
    <row r="42" customFormat="false" ht="14.25" hidden="false" customHeight="false" outlineLevel="0" collapsed="false">
      <c r="C42" s="6" t="s">
        <v>64</v>
      </c>
      <c r="D42" s="2" t="s">
        <v>55</v>
      </c>
      <c r="E42" s="17" t="n">
        <f aca="false">Inputs!E$19*Osz9b_Pts*Osz9_W</f>
        <v>0</v>
      </c>
      <c r="F42" s="17" t="n">
        <f aca="false">Inputs!F$19*Osz9b_Pts*Osz9_W</f>
        <v>0</v>
      </c>
      <c r="G42" s="17" t="n">
        <f aca="false">Inputs!G$19*Osz9b_Pts*Osz9_W</f>
        <v>0</v>
      </c>
    </row>
    <row r="43" customFormat="false" ht="14.25" hidden="false" customHeight="false" outlineLevel="0" collapsed="false">
      <c r="C43" s="1" t="s">
        <v>65</v>
      </c>
      <c r="D43" s="2" t="s">
        <v>55</v>
      </c>
      <c r="E43" s="18" t="n">
        <f aca="false">SUM(E33:E42)</f>
        <v>23.5</v>
      </c>
      <c r="F43" s="18" t="n">
        <f aca="false">SUM(F33:F42)</f>
        <v>61.5</v>
      </c>
      <c r="G43" s="18" t="n">
        <f aca="false">SUM(G33:G42)</f>
        <v>61.5</v>
      </c>
    </row>
    <row r="44" customFormat="false" ht="14.25" hidden="false" customHeight="false" outlineLevel="0" collapsed="false">
      <c r="C44" s="6" t="s">
        <v>66</v>
      </c>
      <c r="D44" s="2" t="s">
        <v>67</v>
      </c>
      <c r="E44" s="17" t="n">
        <f aca="false">E6*(1+E7)</f>
        <v>60</v>
      </c>
      <c r="F44" s="17" t="n">
        <f aca="false">F6*(1+F7)</f>
        <v>70</v>
      </c>
      <c r="G44" s="17" t="n">
        <f aca="false">G6*(1+G7)</f>
        <v>70</v>
      </c>
      <c r="H44" s="17" t="n">
        <f aca="false">SUM(E44:G44)</f>
        <v>200</v>
      </c>
    </row>
    <row r="45" customFormat="false" ht="14.25" hidden="false" customHeight="false" outlineLevel="0" collapsed="false">
      <c r="C45" s="6" t="s">
        <v>68</v>
      </c>
      <c r="D45" s="2" t="s">
        <v>69</v>
      </c>
      <c r="E45" s="17" t="n">
        <f aca="false">E6*E8*E9</f>
        <v>20</v>
      </c>
      <c r="F45" s="17" t="n">
        <f aca="false">F6*F8*F9</f>
        <v>40</v>
      </c>
      <c r="G45" s="17" t="n">
        <f aca="false">G6*G8*G9</f>
        <v>40</v>
      </c>
      <c r="H45" s="17" t="n">
        <f aca="false">SUM(E45:G45)</f>
        <v>100</v>
      </c>
    </row>
    <row r="46" customFormat="false" ht="14.25" hidden="false" customHeight="false" outlineLevel="0" collapsed="false">
      <c r="C46" s="6" t="s">
        <v>70</v>
      </c>
      <c r="D46" s="2" t="s">
        <v>67</v>
      </c>
      <c r="E46" s="17" t="n">
        <f aca="false">E44*(1-E10)</f>
        <v>54</v>
      </c>
      <c r="F46" s="17" t="n">
        <f aca="false">F44*(1-F10)</f>
        <v>63</v>
      </c>
      <c r="G46" s="17" t="n">
        <f aca="false">G44*(1-G10)</f>
        <v>63</v>
      </c>
      <c r="H46" s="17" t="n">
        <f aca="false">SUM(E46:G46)</f>
        <v>180</v>
      </c>
    </row>
    <row r="47" customFormat="false" ht="14.25" hidden="false" customHeight="false" outlineLevel="0" collapsed="false">
      <c r="K47" s="19"/>
      <c r="L47" s="19"/>
      <c r="M47" s="19"/>
    </row>
    <row r="48" customFormat="false" ht="14.25" hidden="false" customHeight="false" outlineLevel="0" collapsed="false">
      <c r="B48" s="4" t="s">
        <v>3</v>
      </c>
      <c r="C48" s="4" t="s">
        <v>71</v>
      </c>
      <c r="D48" s="4"/>
      <c r="E48" s="5" t="s">
        <v>5</v>
      </c>
      <c r="F48" s="5" t="s">
        <v>6</v>
      </c>
      <c r="G48" s="5" t="s">
        <v>7</v>
      </c>
      <c r="H48" s="5" t="s">
        <v>8</v>
      </c>
      <c r="J48" s="5" t="s">
        <v>72</v>
      </c>
      <c r="K48" s="20"/>
      <c r="L48" s="20"/>
      <c r="M48" s="19"/>
    </row>
    <row r="49" customFormat="false" ht="14.25" hidden="false" customHeight="false" outlineLevel="0" collapsed="false">
      <c r="C49" s="21" t="s">
        <v>73</v>
      </c>
      <c r="D49" s="22" t="s">
        <v>74</v>
      </c>
      <c r="E49" s="23" t="n">
        <f aca="false">Part_Fee</f>
        <v>3000000</v>
      </c>
      <c r="F49" s="23" t="n">
        <f aca="false">Part_Fee</f>
        <v>3000000</v>
      </c>
      <c r="G49" s="23" t="n">
        <f aca="false">Part_Fee</f>
        <v>3000000</v>
      </c>
      <c r="H49" s="23" t="n">
        <f aca="false">SUM(E49:G49)</f>
        <v>9000000</v>
      </c>
      <c r="J49" s="24" t="n">
        <f aca="false">Inputs!E$21</f>
        <v>46325</v>
      </c>
      <c r="K49" s="25"/>
      <c r="L49" s="25"/>
      <c r="M49" s="19"/>
    </row>
    <row r="50" customFormat="false" ht="14.25" hidden="false" customHeight="false" outlineLevel="0" collapsed="false">
      <c r="C50" s="21" t="s">
        <v>75</v>
      </c>
      <c r="D50" s="22" t="s">
        <v>74</v>
      </c>
      <c r="E50" s="23" t="n">
        <f aca="false">Bid_Sec_Rate*(E44*Bench_Wind+E45*Bench_BESS)</f>
        <v>141800000</v>
      </c>
      <c r="F50" s="23" t="n">
        <f aca="false">Bid_Sec_Rate*(F44*Bench_Wind+F45*Bench_BESS)</f>
        <v>182100000</v>
      </c>
      <c r="G50" s="23" t="n">
        <f aca="false">Bid_Sec_Rate*(G44*Bench_Wind+G45*Bench_BESS)</f>
        <v>182100000</v>
      </c>
      <c r="H50" s="23" t="n">
        <f aca="false">SUM(E50:G50)</f>
        <v>506000000</v>
      </c>
      <c r="J50" s="24" t="n">
        <f aca="false">Inputs!E$21</f>
        <v>46325</v>
      </c>
      <c r="K50" s="25"/>
      <c r="L50" s="25"/>
      <c r="M50" s="19"/>
    </row>
    <row r="51" customFormat="false" ht="14.25" hidden="false" customHeight="false" outlineLevel="0" collapsed="false">
      <c r="C51" s="21" t="s">
        <v>76</v>
      </c>
      <c r="D51" s="22" t="s">
        <v>74</v>
      </c>
      <c r="E51" s="23" t="n">
        <f aca="false">PB_Rate*E14*(E44*Bench_Wind+E45*Bench_BESS)-E50</f>
        <v>567200000</v>
      </c>
      <c r="F51" s="23" t="n">
        <f aca="false">PB_Rate*F14*(F44*Bench_Wind+F45*Bench_BESS)-F50</f>
        <v>728400000</v>
      </c>
      <c r="G51" s="23" t="n">
        <f aca="false">PB_Rate*G14*(G44*Bench_Wind+G45*Bench_BESS)-G50</f>
        <v>728400000</v>
      </c>
      <c r="H51" s="23" t="n">
        <f aca="false">SUM(E51:G51)</f>
        <v>2024000000</v>
      </c>
      <c r="J51" s="24" t="n">
        <f aca="false">Inputs!E$22</f>
        <v>46402</v>
      </c>
      <c r="K51" s="25"/>
      <c r="L51" s="25"/>
      <c r="M51" s="19"/>
    </row>
    <row r="52" customFormat="false" ht="14.25" hidden="false" customHeight="false" outlineLevel="0" collapsed="false">
      <c r="C52" s="26" t="s">
        <v>77</v>
      </c>
      <c r="D52" s="27" t="s">
        <v>74</v>
      </c>
      <c r="E52" s="28" t="n">
        <f aca="false">TSO_Rate*E6</f>
        <v>225000000</v>
      </c>
      <c r="F52" s="28" t="n">
        <f aca="false">TSO_Rate*F6</f>
        <v>225000000</v>
      </c>
      <c r="G52" s="28" t="n">
        <f aca="false">TSO_Rate*G6</f>
        <v>225000000</v>
      </c>
      <c r="H52" s="28" t="n">
        <f aca="false">SUM(E52:G52)</f>
        <v>675000000</v>
      </c>
      <c r="J52" s="24" t="n">
        <f aca="false">Inputs!E$23</f>
        <v>46402</v>
      </c>
      <c r="K52" s="25"/>
      <c r="L52" s="25"/>
      <c r="M52" s="19"/>
    </row>
    <row r="53" customFormat="false" ht="14.25" hidden="false" customHeight="false" outlineLevel="0" collapsed="false">
      <c r="C53" s="29" t="s">
        <v>78</v>
      </c>
      <c r="D53" s="30" t="s">
        <v>74</v>
      </c>
      <c r="E53" s="31" t="n">
        <f aca="false">Inputs!E$15/Inputs!E$16</f>
        <v>254172902</v>
      </c>
      <c r="F53" s="31" t="n">
        <f aca="false">Inputs!F$15/Inputs!F$16</f>
        <v>460000000</v>
      </c>
      <c r="G53" s="31" t="n">
        <f aca="false">Inputs!G$15/Inputs!G$16</f>
        <v>460000000</v>
      </c>
      <c r="H53" s="31" t="n">
        <f aca="false">SUM(E53:G53)</f>
        <v>1174172902</v>
      </c>
      <c r="J53" s="24" t="n">
        <f aca="false">Inputs!E$24</f>
        <v>47027</v>
      </c>
      <c r="K53" s="25"/>
      <c r="L53" s="25"/>
      <c r="M53" s="19"/>
    </row>
    <row r="54" customFormat="false" ht="14.25" hidden="false" customHeight="false" outlineLevel="0" collapsed="false">
      <c r="C54" s="29" t="s">
        <v>79</v>
      </c>
      <c r="D54" s="30" t="s">
        <v>74</v>
      </c>
      <c r="E54" s="31" t="n">
        <f aca="false">Inputs!E$14*E6-E52</f>
        <v>3428565300</v>
      </c>
      <c r="F54" s="31" t="n">
        <f aca="false">Inputs!F$14*F6-F52</f>
        <v>766334000</v>
      </c>
      <c r="G54" s="31" t="n">
        <f aca="false">Inputs!G$14*G6-G52</f>
        <v>766334000</v>
      </c>
      <c r="H54" s="31" t="n">
        <f aca="false">SUM(E54:G54)</f>
        <v>4961233300</v>
      </c>
      <c r="J54" s="24" t="n">
        <f aca="false">Inputs!E$24</f>
        <v>47027</v>
      </c>
      <c r="K54" s="25"/>
      <c r="L54" s="25"/>
      <c r="M54" s="19"/>
    </row>
    <row r="55" customFormat="false" ht="14.25" hidden="false" customHeight="false" outlineLevel="0" collapsed="false">
      <c r="C55" s="6" t="s">
        <v>80</v>
      </c>
      <c r="D55" s="2" t="s">
        <v>74</v>
      </c>
      <c r="E55" s="8" t="n">
        <f aca="false">SUMIF(Devex_Class,"Devex",Devex_HUF)*Inputs!E$18</f>
        <v>255901067.967347</v>
      </c>
      <c r="F55" s="8" t="n">
        <f aca="false">SUMIF(Devex_Class,"Devex",Devex_HUF)*Inputs!F$18</f>
        <v>255901067.967347</v>
      </c>
      <c r="G55" s="8" t="n">
        <f aca="false">SUMIF(Devex_Class,"Devex",Devex_HUF)*Inputs!G$18</f>
        <v>255901067.967347</v>
      </c>
      <c r="H55" s="8" t="n">
        <f aca="false">SUM(E55:G55)</f>
        <v>767703203.902041</v>
      </c>
      <c r="J55" s="24" t="n">
        <f aca="false">SUMPRODUCT((Devex_Class="Devex")*Devex_HUF,Devex_Date)/SUMIF(Devex_Class,"Devex",Devex_HUF)</f>
        <v>46714.1242758881</v>
      </c>
      <c r="K55" s="25"/>
      <c r="L55" s="25"/>
      <c r="M55" s="19"/>
    </row>
    <row r="56" customFormat="false" ht="14.25" hidden="false" customHeight="false" outlineLevel="0" collapsed="false">
      <c r="C56" s="6" t="s">
        <v>81</v>
      </c>
      <c r="D56" s="2" t="s">
        <v>74</v>
      </c>
      <c r="E56" s="8" t="n">
        <f aca="false">SUMIF(Devex_Class,"Land",Devex_HUF)*Inputs!E$18</f>
        <v>39347625</v>
      </c>
      <c r="F56" s="8" t="n">
        <f aca="false">SUMIF(Devex_Class,"Land",Devex_HUF)*Inputs!F$18</f>
        <v>39347625</v>
      </c>
      <c r="G56" s="8" t="n">
        <f aca="false">SUMIF(Devex_Class,"Land",Devex_HUF)*Inputs!G$18</f>
        <v>39347625</v>
      </c>
      <c r="H56" s="8" t="n">
        <f aca="false">SUM(E56:G56)</f>
        <v>118042875</v>
      </c>
      <c r="J56" s="24" t="n">
        <f aca="false">SUMPRODUCT((Devex_Class="Land")*Devex_HUF,Devex_Date)/SUMIF(Devex_Class,"Land",Devex_HUF)</f>
        <v>46877.176865821</v>
      </c>
      <c r="K56" s="25"/>
      <c r="L56" s="25"/>
      <c r="M56" s="19"/>
    </row>
    <row r="57" customFormat="false" ht="14.25" hidden="false" customHeight="false" outlineLevel="0" collapsed="false">
      <c r="C57" s="6" t="s">
        <v>82</v>
      </c>
      <c r="D57" s="2" t="s">
        <v>74</v>
      </c>
      <c r="E57" s="8" t="n">
        <f aca="false">Inputs!E$17*FX*Thousand</f>
        <v>36500000</v>
      </c>
      <c r="F57" s="8" t="n">
        <f aca="false">Inputs!F$17*FX*Thousand</f>
        <v>54750000</v>
      </c>
      <c r="G57" s="8" t="n">
        <f aca="false">Inputs!G$17*FX*Thousand</f>
        <v>54750000</v>
      </c>
      <c r="H57" s="8" t="n">
        <f aca="false">SUM(E57:G57)</f>
        <v>146000000</v>
      </c>
      <c r="J57" s="24" t="n">
        <f aca="false">Inputs!E$20</f>
        <v>46234</v>
      </c>
      <c r="K57" s="25"/>
      <c r="L57" s="25"/>
      <c r="M57" s="19"/>
    </row>
    <row r="58" customFormat="false" ht="14.25" hidden="false" customHeight="false" outlineLevel="0" collapsed="false">
      <c r="C58" s="1" t="s">
        <v>83</v>
      </c>
      <c r="D58" s="2" t="s">
        <v>74</v>
      </c>
      <c r="E58" s="32" t="n">
        <f aca="false">SUM(E49:E57)</f>
        <v>4951486894.96735</v>
      </c>
      <c r="F58" s="32" t="n">
        <f aca="false">SUM(F49:F57)</f>
        <v>2714832692.96735</v>
      </c>
      <c r="G58" s="32" t="n">
        <f aca="false">SUM(G49:G57)</f>
        <v>2714832692.96735</v>
      </c>
      <c r="H58" s="32" t="n">
        <f aca="false">SUM(E58:G58)</f>
        <v>10381152280.902</v>
      </c>
      <c r="K58" s="19"/>
      <c r="L58" s="19"/>
      <c r="M58" s="19"/>
    </row>
    <row r="59" customFormat="false" ht="14.25" hidden="false" customHeight="false" outlineLevel="0" collapsed="false">
      <c r="K59" s="19"/>
      <c r="L59" s="19"/>
      <c r="M59" s="19"/>
    </row>
    <row r="60" customFormat="false" ht="14.25" hidden="false" customHeight="false" outlineLevel="0" collapsed="false">
      <c r="B60" s="4" t="s">
        <v>3</v>
      </c>
      <c r="C60" s="4" t="s">
        <v>84</v>
      </c>
      <c r="D60" s="4"/>
      <c r="E60" s="5" t="s">
        <v>5</v>
      </c>
      <c r="F60" s="5" t="s">
        <v>6</v>
      </c>
      <c r="G60" s="5" t="s">
        <v>7</v>
      </c>
      <c r="H60" s="5" t="s">
        <v>8</v>
      </c>
      <c r="J60" s="5" t="s">
        <v>72</v>
      </c>
      <c r="K60" s="20"/>
      <c r="L60" s="20"/>
      <c r="M60" s="19"/>
    </row>
    <row r="61" customFormat="false" ht="14.25" hidden="false" customHeight="false" outlineLevel="0" collapsed="false">
      <c r="C61" s="21" t="s">
        <v>73</v>
      </c>
      <c r="D61" s="22" t="s">
        <v>85</v>
      </c>
      <c r="E61" s="33" t="n">
        <f aca="false">E49/FX/Thousand</f>
        <v>8.21917808219178</v>
      </c>
      <c r="F61" s="33" t="n">
        <f aca="false">F49/FX/Thousand</f>
        <v>8.21917808219178</v>
      </c>
      <c r="G61" s="33" t="n">
        <f aca="false">G49/FX/Thousand</f>
        <v>8.21917808219178</v>
      </c>
      <c r="H61" s="33" t="n">
        <f aca="false">SUM(E61:G61)</f>
        <v>24.6575342465753</v>
      </c>
      <c r="J61" s="24" t="n">
        <f aca="false">Inputs!E$21</f>
        <v>46325</v>
      </c>
      <c r="K61" s="25"/>
      <c r="L61" s="25"/>
      <c r="M61" s="19"/>
    </row>
    <row r="62" customFormat="false" ht="14.25" hidden="false" customHeight="false" outlineLevel="0" collapsed="false">
      <c r="C62" s="21" t="s">
        <v>75</v>
      </c>
      <c r="D62" s="22" t="s">
        <v>85</v>
      </c>
      <c r="E62" s="23" t="n">
        <f aca="false">E50/FX/Thousand</f>
        <v>388.493150684932</v>
      </c>
      <c r="F62" s="23" t="n">
        <f aca="false">F50/FX/Thousand</f>
        <v>498.904109589041</v>
      </c>
      <c r="G62" s="23" t="n">
        <f aca="false">G50/FX/Thousand</f>
        <v>498.904109589041</v>
      </c>
      <c r="H62" s="23" t="n">
        <f aca="false">SUM(E62:G62)</f>
        <v>1386.30136986301</v>
      </c>
      <c r="J62" s="24" t="n">
        <f aca="false">Inputs!E$21</f>
        <v>46325</v>
      </c>
      <c r="K62" s="25"/>
      <c r="L62" s="25"/>
      <c r="M62" s="19"/>
    </row>
    <row r="63" customFormat="false" ht="14.25" hidden="false" customHeight="false" outlineLevel="0" collapsed="false">
      <c r="C63" s="21" t="s">
        <v>76</v>
      </c>
      <c r="D63" s="22" t="s">
        <v>85</v>
      </c>
      <c r="E63" s="23" t="n">
        <f aca="false">E51/FX/Thousand</f>
        <v>1553.97260273973</v>
      </c>
      <c r="F63" s="23" t="n">
        <f aca="false">F51/FX/Thousand</f>
        <v>1995.61643835616</v>
      </c>
      <c r="G63" s="23" t="n">
        <f aca="false">G51/FX/Thousand</f>
        <v>1995.61643835616</v>
      </c>
      <c r="H63" s="23" t="n">
        <f aca="false">SUM(E63:G63)</f>
        <v>5545.20547945205</v>
      </c>
      <c r="J63" s="24" t="n">
        <f aca="false">Inputs!E$22</f>
        <v>46402</v>
      </c>
      <c r="K63" s="25"/>
      <c r="L63" s="25"/>
      <c r="M63" s="19"/>
    </row>
    <row r="64" customFormat="false" ht="14.25" hidden="false" customHeight="false" outlineLevel="0" collapsed="false">
      <c r="C64" s="26" t="s">
        <v>77</v>
      </c>
      <c r="D64" s="27" t="s">
        <v>85</v>
      </c>
      <c r="E64" s="28" t="n">
        <f aca="false">E52/FX/Thousand</f>
        <v>616.438356164384</v>
      </c>
      <c r="F64" s="28" t="n">
        <f aca="false">F52/FX/Thousand</f>
        <v>616.438356164384</v>
      </c>
      <c r="G64" s="28" t="n">
        <f aca="false">G52/FX/Thousand</f>
        <v>616.438356164384</v>
      </c>
      <c r="H64" s="28" t="n">
        <f aca="false">SUM(E64:G64)</f>
        <v>1849.31506849315</v>
      </c>
      <c r="J64" s="24" t="n">
        <f aca="false">Inputs!E$23</f>
        <v>46402</v>
      </c>
      <c r="K64" s="24"/>
      <c r="L64" s="24"/>
    </row>
    <row r="65" customFormat="false" ht="14.25" hidden="false" customHeight="false" outlineLevel="0" collapsed="false">
      <c r="C65" s="29" t="s">
        <v>78</v>
      </c>
      <c r="D65" s="30" t="s">
        <v>85</v>
      </c>
      <c r="E65" s="31" t="n">
        <f aca="false">E53/FX/Thousand</f>
        <v>696.364115068493</v>
      </c>
      <c r="F65" s="31" t="n">
        <f aca="false">F53/FX/Thousand</f>
        <v>1260.27397260274</v>
      </c>
      <c r="G65" s="31" t="n">
        <f aca="false">G53/FX/Thousand</f>
        <v>1260.27397260274</v>
      </c>
      <c r="H65" s="31" t="n">
        <f aca="false">SUM(E65:G65)</f>
        <v>3216.91206027397</v>
      </c>
      <c r="J65" s="24" t="n">
        <f aca="false">Inputs!E$24</f>
        <v>47027</v>
      </c>
      <c r="K65" s="24"/>
      <c r="L65" s="24"/>
    </row>
    <row r="66" customFormat="false" ht="14.25" hidden="false" customHeight="false" outlineLevel="0" collapsed="false">
      <c r="C66" s="29" t="s">
        <v>79</v>
      </c>
      <c r="D66" s="30" t="s">
        <v>85</v>
      </c>
      <c r="E66" s="31" t="n">
        <f aca="false">E54/FX/Thousand</f>
        <v>9393.3295890411</v>
      </c>
      <c r="F66" s="31" t="n">
        <f aca="false">F54/FX/Thousand</f>
        <v>2099.54520547945</v>
      </c>
      <c r="G66" s="31" t="n">
        <f aca="false">G54/FX/Thousand</f>
        <v>2099.54520547945</v>
      </c>
      <c r="H66" s="31" t="n">
        <f aca="false">SUM(E66:G66)</f>
        <v>13592.42</v>
      </c>
      <c r="J66" s="24" t="n">
        <f aca="false">Inputs!E$24</f>
        <v>47027</v>
      </c>
      <c r="K66" s="24"/>
      <c r="L66" s="24"/>
    </row>
    <row r="67" customFormat="false" ht="14.25" hidden="false" customHeight="false" outlineLevel="0" collapsed="false">
      <c r="C67" s="6" t="s">
        <v>80</v>
      </c>
      <c r="D67" s="2" t="s">
        <v>85</v>
      </c>
      <c r="E67" s="8" t="n">
        <f aca="false">E55/FX/Thousand</f>
        <v>701.098816348896</v>
      </c>
      <c r="F67" s="8" t="n">
        <f aca="false">F55/FX/Thousand</f>
        <v>701.098816348896</v>
      </c>
      <c r="G67" s="8" t="n">
        <f aca="false">G55/FX/Thousand</f>
        <v>701.098816348896</v>
      </c>
      <c r="H67" s="8" t="n">
        <f aca="false">SUM(E67:G67)</f>
        <v>2103.29644904669</v>
      </c>
      <c r="J67" s="24" t="n">
        <f aca="false">J55</f>
        <v>46714.1242758881</v>
      </c>
      <c r="K67" s="24"/>
      <c r="L67" s="24"/>
    </row>
    <row r="68" customFormat="false" ht="14.25" hidden="false" customHeight="false" outlineLevel="0" collapsed="false">
      <c r="C68" s="6" t="s">
        <v>81</v>
      </c>
      <c r="D68" s="2" t="s">
        <v>85</v>
      </c>
      <c r="E68" s="8" t="n">
        <f aca="false">E56/FX/Thousand</f>
        <v>107.801712328767</v>
      </c>
      <c r="F68" s="8" t="n">
        <f aca="false">F56/FX/Thousand</f>
        <v>107.801712328767</v>
      </c>
      <c r="G68" s="8" t="n">
        <f aca="false">G56/FX/Thousand</f>
        <v>107.801712328767</v>
      </c>
      <c r="H68" s="8" t="n">
        <f aca="false">SUM(E68:G68)</f>
        <v>323.405136986301</v>
      </c>
      <c r="J68" s="24" t="n">
        <f aca="false">J56</f>
        <v>46877.176865821</v>
      </c>
      <c r="K68" s="24"/>
      <c r="L68" s="24"/>
    </row>
    <row r="69" customFormat="false" ht="14.25" hidden="false" customHeight="false" outlineLevel="0" collapsed="false">
      <c r="C69" s="6" t="s">
        <v>82</v>
      </c>
      <c r="D69" s="2" t="s">
        <v>85</v>
      </c>
      <c r="E69" s="8" t="n">
        <f aca="false">E57/FX/Thousand</f>
        <v>100</v>
      </c>
      <c r="F69" s="8" t="n">
        <f aca="false">F57/FX/Thousand</f>
        <v>150</v>
      </c>
      <c r="G69" s="8" t="n">
        <f aca="false">G57/FX/Thousand</f>
        <v>150</v>
      </c>
      <c r="H69" s="8" t="n">
        <f aca="false">SUM(E69:G69)</f>
        <v>400</v>
      </c>
      <c r="J69" s="24" t="n">
        <f aca="false">Inputs!E$20</f>
        <v>46234</v>
      </c>
      <c r="K69" s="24"/>
      <c r="L69" s="24"/>
    </row>
    <row r="70" customFormat="false" ht="14.25" hidden="false" customHeight="false" outlineLevel="0" collapsed="false">
      <c r="C70" s="1" t="s">
        <v>83</v>
      </c>
      <c r="D70" s="2" t="s">
        <v>85</v>
      </c>
      <c r="E70" s="32" t="n">
        <f aca="false">SUM(E61:E69)</f>
        <v>13565.7175204585</v>
      </c>
      <c r="F70" s="32" t="n">
        <f aca="false">SUM(F61:F69)</f>
        <v>7437.89778895164</v>
      </c>
      <c r="G70" s="32" t="n">
        <f aca="false">SUM(G61:G69)</f>
        <v>7437.89778895164</v>
      </c>
      <c r="H70" s="32" t="n">
        <f aca="false">SUM(E70:G70)</f>
        <v>28441.5130983618</v>
      </c>
    </row>
    <row r="72" customFormat="false" ht="14.25" hidden="false" customHeight="false" outlineLevel="0" collapsed="false">
      <c r="B72" s="4" t="s">
        <v>3</v>
      </c>
      <c r="C72" s="4" t="s">
        <v>86</v>
      </c>
      <c r="D72" s="4"/>
      <c r="E72" s="5" t="s">
        <v>5</v>
      </c>
      <c r="F72" s="5" t="s">
        <v>6</v>
      </c>
      <c r="G72" s="5" t="s">
        <v>7</v>
      </c>
      <c r="H72" s="5" t="s">
        <v>8</v>
      </c>
      <c r="J72" s="5" t="s">
        <v>87</v>
      </c>
    </row>
    <row r="73" customFormat="false" ht="14.25" hidden="false" customHeight="false" outlineLevel="0" collapsed="false">
      <c r="C73" s="6" t="s">
        <v>88</v>
      </c>
      <c r="D73" s="2" t="s">
        <v>85</v>
      </c>
      <c r="E73" s="8" t="n">
        <f aca="false">E61+E67+E69</f>
        <v>809.317994431088</v>
      </c>
      <c r="F73" s="8" t="n">
        <f aca="false">F61+F67+F69</f>
        <v>859.317994431088</v>
      </c>
      <c r="G73" s="8" t="n">
        <f aca="false">G61+G67+G69</f>
        <v>859.317994431088</v>
      </c>
      <c r="H73" s="8" t="n">
        <f aca="false">SUM(E73:G73)</f>
        <v>2527.95398329326</v>
      </c>
      <c r="J73" s="34" t="s">
        <v>89</v>
      </c>
    </row>
    <row r="74" customFormat="false" ht="14.25" hidden="false" customHeight="false" outlineLevel="0" collapsed="false">
      <c r="C74" s="6" t="s">
        <v>90</v>
      </c>
      <c r="D74" s="2" t="s">
        <v>85</v>
      </c>
      <c r="E74" s="8" t="n">
        <f aca="false">SUM(E62:E64)+E68</f>
        <v>2666.70582191781</v>
      </c>
      <c r="F74" s="8" t="n">
        <f aca="false">SUM(F62:F64)+F68</f>
        <v>3218.76061643836</v>
      </c>
      <c r="G74" s="8" t="n">
        <f aca="false">SUM(G62:G64)+G68</f>
        <v>3218.76061643836</v>
      </c>
      <c r="H74" s="8" t="n">
        <f aca="false">SUM(E74:G74)</f>
        <v>9104.22705479452</v>
      </c>
      <c r="J74" s="34" t="s">
        <v>91</v>
      </c>
    </row>
    <row r="75" customFormat="false" ht="14.25" hidden="false" customHeight="false" outlineLevel="0" collapsed="false">
      <c r="C75" s="6" t="s">
        <v>92</v>
      </c>
      <c r="D75" s="2" t="s">
        <v>85</v>
      </c>
      <c r="E75" s="35" t="n">
        <f aca="false">E65+E66</f>
        <v>10089.6937041096</v>
      </c>
      <c r="F75" s="35" t="n">
        <f aca="false">F65+F66</f>
        <v>3359.81917808219</v>
      </c>
      <c r="G75" s="35" t="n">
        <f aca="false">G65+G66</f>
        <v>3359.81917808219</v>
      </c>
      <c r="H75" s="35" t="n">
        <f aca="false">SUM(E75:G75)</f>
        <v>16809.332060274</v>
      </c>
      <c r="J75" s="34" t="s">
        <v>93</v>
      </c>
    </row>
    <row r="76" customFormat="false" ht="14.25" hidden="false" customHeight="false" outlineLevel="0" collapsed="false">
      <c r="C76" s="1" t="s">
        <v>94</v>
      </c>
      <c r="D76" s="2" t="s">
        <v>85</v>
      </c>
      <c r="E76" s="15" t="n">
        <f aca="false">SUM(E73:E75)</f>
        <v>13565.7175204585</v>
      </c>
      <c r="F76" s="15" t="n">
        <f aca="false">SUM(F73:F75)</f>
        <v>7437.89778895164</v>
      </c>
      <c r="G76" s="15" t="n">
        <f aca="false">SUM(G73:G75)</f>
        <v>7437.89778895164</v>
      </c>
      <c r="H76" s="15" t="n">
        <f aca="false">SUM(E76:G76)</f>
        <v>28441.5130983618</v>
      </c>
      <c r="J76" s="34" t="s">
        <v>95</v>
      </c>
    </row>
    <row r="77" customFormat="false" ht="14.25" hidden="false" customHeight="false" outlineLevel="0" collapsed="false">
      <c r="C77" s="0" t="s">
        <v>96</v>
      </c>
      <c r="D77" s="0" t="s">
        <v>12</v>
      </c>
      <c r="E77" s="36" t="n">
        <f aca="false">E75/E76</f>
        <v>0.743764101596049</v>
      </c>
      <c r="F77" s="36" t="n">
        <f aca="false">F75/F76</f>
        <v>0.451716233997315</v>
      </c>
      <c r="G77" s="36" t="n">
        <f aca="false">G75/G76</f>
        <v>0.451716233997315</v>
      </c>
      <c r="H77" s="36" t="n">
        <f aca="false">H75/H76</f>
        <v>0.591013987270677</v>
      </c>
      <c r="J77" s="34"/>
    </row>
    <row r="78" customFormat="false" ht="14.25" hidden="false" customHeight="false" outlineLevel="0" collapsed="false">
      <c r="C78" s="1" t="s">
        <v>97</v>
      </c>
      <c r="D78" s="2" t="s">
        <v>85</v>
      </c>
      <c r="E78" s="32" t="n">
        <f aca="false">E76-E75</f>
        <v>3476.0238163489</v>
      </c>
      <c r="F78" s="32" t="n">
        <f aca="false">F76-F75</f>
        <v>4078.07861086944</v>
      </c>
      <c r="G78" s="32" t="n">
        <f aca="false">G76-G75</f>
        <v>4078.07861086944</v>
      </c>
      <c r="H78" s="32" t="n">
        <f aca="false">SUM(E78:G78)</f>
        <v>11632.1810380878</v>
      </c>
      <c r="J78" s="34" t="s">
        <v>98</v>
      </c>
    </row>
    <row r="80" customFormat="false" ht="14.25" hidden="false" customHeight="false" outlineLevel="0" collapsed="false">
      <c r="B80" s="4" t="s">
        <v>3</v>
      </c>
      <c r="C80" s="4" t="s">
        <v>99</v>
      </c>
      <c r="D80" s="4"/>
      <c r="E80" s="5" t="s">
        <v>5</v>
      </c>
      <c r="F80" s="5" t="s">
        <v>6</v>
      </c>
      <c r="G80" s="5" t="s">
        <v>7</v>
      </c>
      <c r="H80" s="5" t="s">
        <v>8</v>
      </c>
    </row>
    <row r="81" customFormat="false" ht="14.25" hidden="false" customHeight="false" outlineLevel="0" collapsed="false">
      <c r="C81" s="6" t="s">
        <v>100</v>
      </c>
      <c r="D81" s="2" t="s">
        <v>85</v>
      </c>
      <c r="E81" s="8" t="n">
        <f aca="false">IF(E17="EU",Case_EU,Case_CN)*E46</f>
        <v>27000</v>
      </c>
      <c r="F81" s="8" t="n">
        <f aca="false">IF(F17="EU",Case_EU,Case_CN)*F46</f>
        <v>31500</v>
      </c>
      <c r="G81" s="8" t="n">
        <f aca="false">IF(G17="EU",Case_EU,Case_CN)*G46</f>
        <v>31500</v>
      </c>
      <c r="H81" s="8" t="n">
        <f aca="false">SUM(E81:G81)</f>
        <v>90000</v>
      </c>
    </row>
    <row r="82" customFormat="false" ht="14.25" hidden="false" customHeight="false" outlineLevel="0" collapsed="false">
      <c r="C82" s="6" t="s">
        <v>101</v>
      </c>
      <c r="D82" s="2" t="s">
        <v>85</v>
      </c>
      <c r="E82" s="8" t="n">
        <f aca="false">Capex_Install*E46</f>
        <v>4320</v>
      </c>
      <c r="F82" s="8" t="n">
        <f aca="false">Capex_Install*F46</f>
        <v>5040</v>
      </c>
      <c r="G82" s="8" t="n">
        <f aca="false">Capex_Install*G46</f>
        <v>5040</v>
      </c>
      <c r="H82" s="8" t="n">
        <f aca="false">SUM(E82:G82)</f>
        <v>14400</v>
      </c>
    </row>
    <row r="83" customFormat="false" ht="14.25" hidden="false" customHeight="false" outlineLevel="0" collapsed="false">
      <c r="C83" s="6" t="s">
        <v>102</v>
      </c>
      <c r="D83" s="2" t="s">
        <v>85</v>
      </c>
      <c r="E83" s="8" t="n">
        <f aca="false">Capex_Fdn*E46</f>
        <v>4860</v>
      </c>
      <c r="F83" s="8" t="n">
        <f aca="false">Capex_Fdn*F46</f>
        <v>5670</v>
      </c>
      <c r="G83" s="8" t="n">
        <f aca="false">Capex_Fdn*G46</f>
        <v>5670</v>
      </c>
      <c r="H83" s="8" t="n">
        <f aca="false">SUM(E83:G83)</f>
        <v>16200</v>
      </c>
    </row>
    <row r="84" customFormat="false" ht="14.25" hidden="false" customHeight="false" outlineLevel="0" collapsed="false">
      <c r="C84" s="6" t="s">
        <v>103</v>
      </c>
      <c r="D84" s="2" t="s">
        <v>85</v>
      </c>
      <c r="E84" s="8" t="n">
        <f aca="false">Capex_Civil*E46</f>
        <v>3780</v>
      </c>
      <c r="F84" s="8" t="n">
        <f aca="false">Capex_Civil*F46</f>
        <v>4410</v>
      </c>
      <c r="G84" s="8" t="n">
        <f aca="false">Capex_Civil*G46</f>
        <v>4410</v>
      </c>
      <c r="H84" s="8" t="n">
        <f aca="false">SUM(E84:G84)</f>
        <v>12600</v>
      </c>
    </row>
    <row r="85" customFormat="false" ht="14.25" hidden="false" customHeight="false" outlineLevel="0" collapsed="false">
      <c r="C85" s="6" t="s">
        <v>104</v>
      </c>
      <c r="D85" s="2" t="s">
        <v>85</v>
      </c>
      <c r="E85" s="8" t="n">
        <f aca="false">Capex_Elec*E46</f>
        <v>3240</v>
      </c>
      <c r="F85" s="8" t="n">
        <f aca="false">Capex_Elec*F46</f>
        <v>3780</v>
      </c>
      <c r="G85" s="8" t="n">
        <f aca="false">Capex_Elec*G46</f>
        <v>3780</v>
      </c>
      <c r="H85" s="8" t="n">
        <f aca="false">SUM(E85:G85)</f>
        <v>10800</v>
      </c>
    </row>
    <row r="86" customFormat="false" ht="14.25" hidden="false" customHeight="false" outlineLevel="0" collapsed="false">
      <c r="C86" s="6" t="s">
        <v>105</v>
      </c>
      <c r="D86" s="2" t="s">
        <v>85</v>
      </c>
      <c r="E86" s="8" t="n">
        <f aca="false">Capex_Owner*E46</f>
        <v>2160</v>
      </c>
      <c r="F86" s="8" t="n">
        <f aca="false">Capex_Owner*F46</f>
        <v>2520</v>
      </c>
      <c r="G86" s="8" t="n">
        <f aca="false">Capex_Owner*G46</f>
        <v>2520</v>
      </c>
      <c r="H86" s="8" t="n">
        <f aca="false">SUM(E86:G86)</f>
        <v>7200</v>
      </c>
    </row>
    <row r="87" customFormat="false" ht="14.25" hidden="false" customHeight="false" outlineLevel="0" collapsed="false">
      <c r="C87" s="6" t="s">
        <v>106</v>
      </c>
      <c r="D87" s="2" t="s">
        <v>85</v>
      </c>
      <c r="E87" s="8" t="n">
        <f aca="false">Capex_Land*E46</f>
        <v>0</v>
      </c>
      <c r="F87" s="8" t="n">
        <f aca="false">Capex_Land*F46</f>
        <v>0</v>
      </c>
      <c r="G87" s="8" t="n">
        <f aca="false">Capex_Land*G46</f>
        <v>0</v>
      </c>
      <c r="H87" s="8" t="n">
        <f aca="false">SUM(E87:G87)</f>
        <v>0</v>
      </c>
    </row>
    <row r="88" customFormat="false" ht="14.25" hidden="false" customHeight="false" outlineLevel="0" collapsed="false">
      <c r="C88" s="6" t="s">
        <v>107</v>
      </c>
      <c r="D88" s="2" t="s">
        <v>85</v>
      </c>
      <c r="E88" s="8" t="n">
        <f aca="false">Subs_Lump*E6/Lump_Basis</f>
        <v>3000</v>
      </c>
      <c r="F88" s="8" t="n">
        <f aca="false">Subs_Lump*F6/Lump_Basis</f>
        <v>3000</v>
      </c>
      <c r="G88" s="8" t="n">
        <f aca="false">Subs_Lump*G6/Lump_Basis</f>
        <v>3000</v>
      </c>
      <c r="H88" s="8" t="n">
        <f aca="false">SUM(E88:G88)</f>
        <v>9000</v>
      </c>
    </row>
    <row r="89" customFormat="false" ht="14.25" hidden="false" customHeight="false" outlineLevel="0" collapsed="false">
      <c r="C89" s="6" t="s">
        <v>108</v>
      </c>
      <c r="D89" s="2" t="s">
        <v>85</v>
      </c>
      <c r="E89" s="8" t="n">
        <f aca="false">SUM(E81:E88)*Capex_Cont</f>
        <v>2418</v>
      </c>
      <c r="F89" s="8" t="n">
        <f aca="false">SUM(F81:F88)*Capex_Cont</f>
        <v>2796</v>
      </c>
      <c r="G89" s="8" t="n">
        <f aca="false">SUM(G81:G88)*Capex_Cont</f>
        <v>2796</v>
      </c>
      <c r="H89" s="8" t="n">
        <f aca="false">SUM(E89:G89)</f>
        <v>8010</v>
      </c>
    </row>
    <row r="90" customFormat="false" ht="14.25" hidden="false" customHeight="false" outlineLevel="0" collapsed="false">
      <c r="C90" s="6" t="s">
        <v>109</v>
      </c>
      <c r="D90" s="2" t="s">
        <v>85</v>
      </c>
      <c r="E90" s="8" t="n">
        <f aca="false">BESS_Capex*E45</f>
        <v>2000</v>
      </c>
      <c r="F90" s="8" t="n">
        <f aca="false">BESS_Capex*F45</f>
        <v>4000</v>
      </c>
      <c r="G90" s="8" t="n">
        <f aca="false">BESS_Capex*G45</f>
        <v>4000</v>
      </c>
      <c r="H90" s="8" t="n">
        <f aca="false">SUM(E90:G90)</f>
        <v>10000</v>
      </c>
    </row>
    <row r="91" customFormat="false" ht="14.25" hidden="false" customHeight="false" outlineLevel="0" collapsed="false">
      <c r="C91" s="1" t="s">
        <v>110</v>
      </c>
      <c r="D91" s="2" t="s">
        <v>85</v>
      </c>
      <c r="E91" s="32" t="n">
        <f aca="false">SUM(E81:E90)</f>
        <v>52778</v>
      </c>
      <c r="F91" s="32" t="n">
        <f aca="false">SUM(F81:F90)</f>
        <v>62716</v>
      </c>
      <c r="G91" s="32" t="n">
        <f aca="false">SUM(G81:G90)</f>
        <v>62716</v>
      </c>
      <c r="H91" s="32" t="n">
        <f aca="false">SUM(E91:G91)</f>
        <v>178210</v>
      </c>
    </row>
    <row r="92" customFormat="false" ht="14.25" hidden="false" customHeight="false" outlineLevel="0" collapsed="false">
      <c r="C92" s="29" t="s">
        <v>111</v>
      </c>
      <c r="D92" s="30" t="s">
        <v>85</v>
      </c>
      <c r="E92" s="31" t="n">
        <f aca="false">E64+E65+E66</f>
        <v>10706.132060274</v>
      </c>
      <c r="F92" s="31" t="n">
        <f aca="false">F64+F65+F66</f>
        <v>3976.25753424658</v>
      </c>
      <c r="G92" s="31" t="n">
        <f aca="false">G64+G65+G66</f>
        <v>3976.25753424658</v>
      </c>
      <c r="H92" s="31" t="n">
        <f aca="false">SUM(E92:G92)</f>
        <v>18658.6471287671</v>
      </c>
    </row>
    <row r="93" customFormat="false" ht="14.25" hidden="false" customHeight="false" outlineLevel="0" collapsed="false">
      <c r="C93" s="29" t="s">
        <v>112</v>
      </c>
      <c r="D93" s="30" t="s">
        <v>85</v>
      </c>
      <c r="E93" s="31" t="n">
        <f aca="false">0</f>
        <v>0</v>
      </c>
      <c r="F93" s="31" t="n">
        <f aca="false">0</f>
        <v>0</v>
      </c>
      <c r="G93" s="31" t="n">
        <f aca="false">0</f>
        <v>0</v>
      </c>
      <c r="H93" s="31" t="n">
        <f aca="false">SUM(E93:G93)</f>
        <v>0</v>
      </c>
    </row>
    <row r="94" customFormat="false" ht="14.25" hidden="false" customHeight="false" outlineLevel="0" collapsed="false">
      <c r="C94" s="29" t="s">
        <v>113</v>
      </c>
      <c r="D94" s="30" t="s">
        <v>85</v>
      </c>
      <c r="E94" s="31" t="n">
        <f aca="false">0</f>
        <v>0</v>
      </c>
      <c r="F94" s="31" t="n">
        <f aca="false">0</f>
        <v>0</v>
      </c>
      <c r="G94" s="31" t="n">
        <f aca="false">0</f>
        <v>0</v>
      </c>
      <c r="H94" s="31" t="n">
        <f aca="false">SUM(E94:G94)</f>
        <v>0</v>
      </c>
    </row>
    <row r="95" customFormat="false" ht="14.25" hidden="false" customHeight="false" outlineLevel="0" collapsed="false">
      <c r="C95" s="29" t="s">
        <v>114</v>
      </c>
      <c r="D95" s="30" t="s">
        <v>85</v>
      </c>
      <c r="E95" s="31" t="n">
        <f aca="false">0</f>
        <v>0</v>
      </c>
      <c r="F95" s="31" t="n">
        <f aca="false">0</f>
        <v>0</v>
      </c>
      <c r="G95" s="31" t="n">
        <f aca="false">0</f>
        <v>0</v>
      </c>
      <c r="H95" s="31" t="n">
        <f aca="false">SUM(E95:G95)</f>
        <v>0</v>
      </c>
    </row>
    <row r="96" customFormat="false" ht="14.25" hidden="false" customHeight="false" outlineLevel="0" collapsed="false">
      <c r="C96" s="6" t="s">
        <v>115</v>
      </c>
      <c r="D96" s="2" t="s">
        <v>85</v>
      </c>
      <c r="E96" s="8" t="n">
        <f aca="false">E11*E6</f>
        <v>1000</v>
      </c>
      <c r="F96" s="8" t="n">
        <f aca="false">F11*F6</f>
        <v>2500</v>
      </c>
      <c r="G96" s="8" t="n">
        <f aca="false">G11*G6</f>
        <v>2500</v>
      </c>
      <c r="H96" s="8" t="n">
        <f aca="false">SUM(E96:G96)</f>
        <v>6000</v>
      </c>
    </row>
    <row r="97" customFormat="false" ht="14.25" hidden="false" customHeight="false" outlineLevel="0" collapsed="false">
      <c r="C97" s="6" t="s">
        <v>116</v>
      </c>
      <c r="D97" s="2" t="s">
        <v>85</v>
      </c>
      <c r="E97" s="8" t="n">
        <f aca="false">E68</f>
        <v>107.801712328767</v>
      </c>
      <c r="F97" s="8" t="n">
        <f aca="false">F68</f>
        <v>107.801712328767</v>
      </c>
      <c r="G97" s="8" t="n">
        <f aca="false">G68</f>
        <v>107.801712328767</v>
      </c>
      <c r="H97" s="8" t="n">
        <f aca="false">SUM(E97:G97)</f>
        <v>323.405136986301</v>
      </c>
    </row>
    <row r="98" customFormat="false" ht="14.25" hidden="false" customHeight="false" outlineLevel="0" collapsed="false">
      <c r="C98" s="6" t="s">
        <v>117</v>
      </c>
      <c r="D98" s="2" t="s">
        <v>85</v>
      </c>
      <c r="E98" s="8" t="n">
        <f aca="false">E18*E6</f>
        <v>7500</v>
      </c>
      <c r="F98" s="8" t="n">
        <f aca="false">F18*F6</f>
        <v>7500</v>
      </c>
      <c r="G98" s="8" t="n">
        <f aca="false">G18*G6</f>
        <v>7500</v>
      </c>
      <c r="H98" s="8" t="n">
        <f aca="false">SUM(E98:G98)</f>
        <v>22500</v>
      </c>
    </row>
    <row r="99" customFormat="false" ht="14.25" hidden="false" customHeight="false" outlineLevel="0" collapsed="false">
      <c r="C99" s="1" t="s">
        <v>118</v>
      </c>
      <c r="D99" s="2" t="s">
        <v>85</v>
      </c>
      <c r="E99" s="32" t="n">
        <f aca="false">E91+SUM(E92:E98)</f>
        <v>72091.9337726027</v>
      </c>
      <c r="F99" s="32" t="n">
        <f aca="false">F91+SUM(F92:F98)</f>
        <v>76800.0592465753</v>
      </c>
      <c r="G99" s="32" t="n">
        <f aca="false">G91+SUM(G92:G98)</f>
        <v>76800.0592465753</v>
      </c>
      <c r="H99" s="32" t="n">
        <f aca="false">SUM(E99:G99)</f>
        <v>225692.052265753</v>
      </c>
    </row>
    <row r="100" customFormat="false" ht="14.25" hidden="false" customHeight="false" outlineLevel="0" collapsed="false">
      <c r="C100" s="6" t="s">
        <v>119</v>
      </c>
      <c r="D100" s="2" t="s">
        <v>42</v>
      </c>
      <c r="E100" s="17" t="n">
        <f aca="false">E99/E46</f>
        <v>1335.03581060375</v>
      </c>
      <c r="F100" s="17" t="n">
        <f aca="false">F99/F46</f>
        <v>1219.04855946945</v>
      </c>
      <c r="G100" s="17" t="n">
        <f aca="false">G99/G46</f>
        <v>1219.04855946945</v>
      </c>
      <c r="H100" s="17" t="n">
        <f aca="false">H99/H46</f>
        <v>1253.84473480974</v>
      </c>
    </row>
    <row r="101" s="37" customFormat="true" ht="14.25" hidden="false" customHeight="false" outlineLevel="0" collapsed="false">
      <c r="C101" s="6" t="s">
        <v>120</v>
      </c>
      <c r="D101" s="2" t="s">
        <v>18</v>
      </c>
      <c r="E101" s="17" t="n">
        <f aca="false">E99/E6</f>
        <v>1441.83867545205</v>
      </c>
      <c r="F101" s="17" t="n">
        <f aca="false">F99/F6</f>
        <v>1536.00118493151</v>
      </c>
      <c r="G101" s="17" t="n">
        <f aca="false">G99/G6</f>
        <v>1536.00118493151</v>
      </c>
      <c r="H101" s="17" t="n">
        <f aca="false">H99/H6</f>
        <v>1504.61368177169</v>
      </c>
    </row>
    <row r="103" customFormat="false" ht="14.25" hidden="false" customHeight="false" outlineLevel="0" collapsed="false">
      <c r="B103" s="4" t="s">
        <v>3</v>
      </c>
      <c r="C103" s="4" t="s">
        <v>121</v>
      </c>
      <c r="D103" s="4"/>
      <c r="E103" s="5" t="s">
        <v>5</v>
      </c>
      <c r="F103" s="5" t="s">
        <v>6</v>
      </c>
      <c r="G103" s="5" t="s">
        <v>7</v>
      </c>
      <c r="H103" s="5" t="s">
        <v>8</v>
      </c>
    </row>
    <row r="104" customFormat="false" ht="14.25" hidden="false" customHeight="false" outlineLevel="0" collapsed="false">
      <c r="C104" s="6" t="s">
        <v>116</v>
      </c>
      <c r="D104" s="2" t="s">
        <v>85</v>
      </c>
      <c r="E104" s="17" t="n">
        <f aca="false">E68</f>
        <v>107.801712328767</v>
      </c>
      <c r="F104" s="17" t="n">
        <f aca="false">F68</f>
        <v>107.801712328767</v>
      </c>
      <c r="G104" s="17" t="n">
        <f aca="false">G68</f>
        <v>107.801712328767</v>
      </c>
      <c r="H104" s="17" t="n">
        <f aca="false">SUM(E104:G104)</f>
        <v>323.405136986301</v>
      </c>
    </row>
    <row r="105" customFormat="false" ht="14.25" hidden="false" customHeight="false" outlineLevel="0" collapsed="false">
      <c r="C105" s="6" t="s">
        <v>122</v>
      </c>
      <c r="D105" s="2" t="s">
        <v>85</v>
      </c>
      <c r="E105" s="17" t="n">
        <f aca="false">E67</f>
        <v>701.098816348896</v>
      </c>
      <c r="F105" s="17" t="n">
        <f aca="false">F67</f>
        <v>701.098816348896</v>
      </c>
      <c r="G105" s="17" t="n">
        <f aca="false">G67</f>
        <v>701.098816348896</v>
      </c>
      <c r="H105" s="17" t="n">
        <f aca="false">SUM(E105:G105)</f>
        <v>2103.29644904669</v>
      </c>
    </row>
    <row r="106" customFormat="false" ht="14.25" hidden="false" customHeight="false" outlineLevel="0" collapsed="false">
      <c r="C106" s="1" t="s">
        <v>123</v>
      </c>
      <c r="D106" s="2" t="s">
        <v>85</v>
      </c>
      <c r="E106" s="18" t="n">
        <f aca="false">SUM(E104:E105)</f>
        <v>808.900528677663</v>
      </c>
      <c r="F106" s="18" t="n">
        <f aca="false">SUM(F104:F105)</f>
        <v>808.900528677663</v>
      </c>
      <c r="G106" s="18" t="n">
        <f aca="false">SUM(G104:G105)</f>
        <v>808.900528677663</v>
      </c>
      <c r="H106" s="18" t="n">
        <f aca="false">SUM(E106:G106)</f>
        <v>2426.70158603299</v>
      </c>
    </row>
    <row r="108" customFormat="false" ht="14.25" hidden="false" customHeight="false" outlineLevel="0" collapsed="false">
      <c r="A108" s="37"/>
      <c r="B108" s="38" t="s">
        <v>3</v>
      </c>
      <c r="C108" s="39" t="s">
        <v>124</v>
      </c>
      <c r="D108" s="38"/>
      <c r="E108" s="40" t="s">
        <v>5</v>
      </c>
      <c r="F108" s="40" t="s">
        <v>6</v>
      </c>
      <c r="G108" s="40" t="s">
        <v>7</v>
      </c>
      <c r="H108" s="40" t="s">
        <v>8</v>
      </c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</row>
    <row r="109" customFormat="false" ht="14.25" hidden="false" customHeight="false" outlineLevel="0" collapsed="false">
      <c r="C109" s="41" t="s">
        <v>125</v>
      </c>
      <c r="D109" s="42"/>
      <c r="E109" s="43"/>
      <c r="F109" s="43"/>
      <c r="G109" s="43"/>
      <c r="H109" s="43"/>
    </row>
    <row r="110" customFormat="false" ht="14.25" hidden="false" customHeight="false" outlineLevel="0" collapsed="false">
      <c r="C110" s="6" t="s">
        <v>126</v>
      </c>
      <c r="D110" s="2" t="s">
        <v>85</v>
      </c>
      <c r="E110" s="8" t="n">
        <f aca="false">E217</f>
        <v>10089.6937041096</v>
      </c>
      <c r="F110" s="8" t="n">
        <f aca="false">F217</f>
        <v>3359.81917808219</v>
      </c>
      <c r="G110" s="8" t="n">
        <f aca="false">G217</f>
        <v>3359.81917808219</v>
      </c>
      <c r="H110" s="8" t="n">
        <f aca="false">SUM(E110:G110)</f>
        <v>16809.332060274</v>
      </c>
    </row>
    <row r="111" customFormat="false" ht="14.25" hidden="false" customHeight="false" outlineLevel="0" collapsed="false">
      <c r="C111" s="44" t="s">
        <v>127</v>
      </c>
      <c r="D111" s="45" t="s">
        <v>85</v>
      </c>
      <c r="E111" s="46" t="n">
        <f aca="false">E224</f>
        <v>3391.64025470506</v>
      </c>
      <c r="F111" s="46" t="n">
        <f aca="false">F224</f>
        <v>3993.69504922561</v>
      </c>
      <c r="G111" s="46" t="n">
        <f aca="false">G224</f>
        <v>3993.69504922561</v>
      </c>
      <c r="H111" s="46" t="n">
        <f aca="false">SUM(E111:G111)</f>
        <v>11379.0303531563</v>
      </c>
    </row>
    <row r="112" customFormat="false" ht="14.25" hidden="false" customHeight="false" outlineLevel="0" collapsed="false">
      <c r="C112" s="6" t="s">
        <v>128</v>
      </c>
      <c r="D112" s="2" t="s">
        <v>85</v>
      </c>
      <c r="E112" s="8" t="n">
        <f aca="false">E296</f>
        <v>8068.95924048218</v>
      </c>
      <c r="F112" s="8" t="n">
        <f aca="false">F296</f>
        <v>10406.2948630137</v>
      </c>
      <c r="G112" s="8" t="n">
        <f aca="false">G296</f>
        <v>10406.2948630137</v>
      </c>
      <c r="H112" s="8" t="n">
        <f aca="false">SUM(E112:G112)</f>
        <v>28881.5489665096</v>
      </c>
    </row>
    <row r="113" customFormat="false" ht="14.25" hidden="false" customHeight="false" outlineLevel="0" collapsed="false">
      <c r="C113" s="44" t="s">
        <v>129</v>
      </c>
      <c r="D113" s="45" t="s">
        <v>85</v>
      </c>
      <c r="E113" s="46" t="n">
        <f aca="false">E284</f>
        <v>4483.71155100206</v>
      </c>
      <c r="F113" s="46" t="n">
        <f aca="false">F284</f>
        <v>6412.59981378809</v>
      </c>
      <c r="G113" s="46" t="n">
        <f aca="false">G284</f>
        <v>6412.59981378809</v>
      </c>
      <c r="H113" s="46" t="n">
        <f aca="false">SUM(E113:G113)</f>
        <v>17308.9111785782</v>
      </c>
    </row>
    <row r="114" customFormat="false" ht="14.25" hidden="false" customHeight="false" outlineLevel="0" collapsed="false">
      <c r="C114" s="6" t="s">
        <v>130</v>
      </c>
      <c r="D114" s="2" t="s">
        <v>3</v>
      </c>
      <c r="E114" s="47" t="n">
        <f aca="false">E285</f>
        <v>2.37907284809717</v>
      </c>
      <c r="F114" s="47" t="n">
        <f aca="false">F285</f>
        <v>2.60568088818687</v>
      </c>
      <c r="G114" s="47" t="n">
        <f aca="false">G285</f>
        <v>2.60568088818687</v>
      </c>
      <c r="H114" s="47" t="n">
        <f aca="false">H285</f>
        <v>2.53813796695766</v>
      </c>
    </row>
    <row r="115" customFormat="false" ht="14.25" hidden="false" customHeight="false" outlineLevel="0" collapsed="false">
      <c r="C115" s="6" t="s">
        <v>131</v>
      </c>
      <c r="D115" s="2" t="s">
        <v>12</v>
      </c>
      <c r="E115" s="48" t="n">
        <f aca="false">E286</f>
        <v>0.710305043746515</v>
      </c>
      <c r="F115" s="48" t="n">
        <f aca="false">F286</f>
        <v>0.789921152442643</v>
      </c>
      <c r="G115" s="48" t="n">
        <f aca="false">G286</f>
        <v>0.789921152442643</v>
      </c>
      <c r="H115" s="49" t="n">
        <f aca="false">H286</f>
        <v>0.766962263093306</v>
      </c>
    </row>
    <row r="116" customFormat="false" ht="14.25" hidden="false" customHeight="false" outlineLevel="0" collapsed="false">
      <c r="C116" s="6" t="s">
        <v>132</v>
      </c>
      <c r="D116" s="2" t="s">
        <v>3</v>
      </c>
      <c r="E116" s="47" t="n">
        <f aca="false">E301</f>
        <v>2.25060022049752</v>
      </c>
      <c r="F116" s="47" t="n">
        <f aca="false">F301</f>
        <v>2.60568088818687</v>
      </c>
      <c r="G116" s="47" t="n">
        <f aca="false">G301</f>
        <v>2.60568088818687</v>
      </c>
      <c r="H116" s="47" t="n">
        <f aca="false">H301</f>
        <v>2.49567553186786</v>
      </c>
    </row>
    <row r="117" customFormat="false" ht="14.25" hidden="false" customHeight="false" outlineLevel="0" collapsed="false">
      <c r="C117" s="6" t="s">
        <v>133</v>
      </c>
      <c r="D117" s="2" t="s">
        <v>12</v>
      </c>
      <c r="E117" s="48" t="n">
        <f aca="false">E302</f>
        <v>0.681940556156356</v>
      </c>
      <c r="F117" s="48" t="n">
        <f aca="false">F302</f>
        <v>0.789921152442643</v>
      </c>
      <c r="G117" s="48" t="n">
        <f aca="false">G302</f>
        <v>0.789921152442643</v>
      </c>
      <c r="H117" s="49" t="n">
        <f aca="false">H302</f>
        <v>0.75881111235611</v>
      </c>
    </row>
    <row r="118" customFormat="false" ht="14.25" hidden="false" customHeight="false" outlineLevel="0" collapsed="false">
      <c r="C118" s="41" t="s">
        <v>134</v>
      </c>
      <c r="D118" s="42"/>
      <c r="E118" s="43"/>
      <c r="F118" s="43"/>
      <c r="G118" s="43"/>
      <c r="H118" s="43"/>
    </row>
    <row r="119" customFormat="false" ht="14.25" hidden="false" customHeight="false" outlineLevel="0" collapsed="false">
      <c r="C119" s="44" t="s">
        <v>127</v>
      </c>
      <c r="D119" s="50" t="s">
        <v>85</v>
      </c>
      <c r="E119" s="46" t="n">
        <f aca="false">E70</f>
        <v>13565.7175204585</v>
      </c>
      <c r="F119" s="46" t="n">
        <f aca="false">F70</f>
        <v>7437.89778895164</v>
      </c>
      <c r="G119" s="46" t="n">
        <f aca="false">G70</f>
        <v>7437.89778895164</v>
      </c>
      <c r="H119" s="46" t="n">
        <f aca="false">SUM(E119:G119)</f>
        <v>28441.5130983618</v>
      </c>
    </row>
    <row r="120" customFormat="false" ht="14.25" hidden="false" customHeight="false" outlineLevel="0" collapsed="false">
      <c r="C120" s="6" t="s">
        <v>128</v>
      </c>
      <c r="D120" s="2" t="s">
        <v>85</v>
      </c>
      <c r="E120" s="8" t="n">
        <f aca="false">E352</f>
        <v>18508.4026310823</v>
      </c>
      <c r="F120" s="8" t="n">
        <f aca="false">F352</f>
        <v>13828.5797945205</v>
      </c>
      <c r="G120" s="8" t="n">
        <f aca="false">G352</f>
        <v>13828.5797945205</v>
      </c>
      <c r="H120" s="8" t="n">
        <f aca="false">SUM(E120:G120)</f>
        <v>46165.5622201234</v>
      </c>
    </row>
    <row r="121" customFormat="false" ht="14.25" hidden="false" customHeight="false" outlineLevel="0" collapsed="false">
      <c r="C121" s="44" t="s">
        <v>129</v>
      </c>
      <c r="D121" s="45" t="s">
        <v>85</v>
      </c>
      <c r="E121" s="46" t="n">
        <f aca="false">E339</f>
        <v>4556.22338054871</v>
      </c>
      <c r="F121" s="46" t="n">
        <f aca="false">F339</f>
        <v>6390.68200556891</v>
      </c>
      <c r="G121" s="46" t="n">
        <f aca="false">G339</f>
        <v>6390.68200556891</v>
      </c>
      <c r="H121" s="15" t="n">
        <f aca="false">SUM(E121:G121)</f>
        <v>17337.5873916865</v>
      </c>
    </row>
    <row r="122" customFormat="false" ht="14.25" hidden="false" customHeight="false" outlineLevel="0" collapsed="false">
      <c r="C122" s="6" t="s">
        <v>130</v>
      </c>
      <c r="D122" s="2" t="s">
        <v>3</v>
      </c>
      <c r="E122" s="47" t="n">
        <f aca="false">E340</f>
        <v>1.36435117443436</v>
      </c>
      <c r="F122" s="47" t="n">
        <f aca="false">F340</f>
        <v>1.85920540815467</v>
      </c>
      <c r="G122" s="47" t="n">
        <f aca="false">G340</f>
        <v>1.85920540815467</v>
      </c>
      <c r="H122" s="47" t="n">
        <f aca="false">H340</f>
        <v>1.62317532335446</v>
      </c>
    </row>
    <row r="123" customFormat="false" ht="14.25" hidden="false" customHeight="false" outlineLevel="0" collapsed="false">
      <c r="C123" s="6" t="s">
        <v>131</v>
      </c>
      <c r="D123" s="2" t="s">
        <v>12</v>
      </c>
      <c r="E123" s="48" t="n">
        <f aca="false">E341</f>
        <v>0.239328818089513</v>
      </c>
      <c r="F123" s="48" t="n">
        <f aca="false">F341</f>
        <v>0.36981874472502</v>
      </c>
      <c r="G123" s="48" t="n">
        <f aca="false">G341</f>
        <v>0.36981874472502</v>
      </c>
      <c r="H123" s="49" t="n">
        <f aca="false">H341</f>
        <v>0.322624026934453</v>
      </c>
    </row>
    <row r="124" customFormat="false" ht="14.25" hidden="false" customHeight="false" outlineLevel="0" collapsed="false">
      <c r="C124" s="6" t="s">
        <v>132</v>
      </c>
      <c r="D124" s="2" t="s">
        <v>3</v>
      </c>
      <c r="E124" s="47" t="n">
        <f aca="false">E357</f>
        <v>1.32655998025358</v>
      </c>
      <c r="F124" s="47" t="n">
        <f aca="false">F357</f>
        <v>1.85920540815467</v>
      </c>
      <c r="G124" s="47" t="n">
        <f aca="false">G357</f>
        <v>1.85920540815467</v>
      </c>
      <c r="H124" s="47" t="n">
        <f aca="false">H357</f>
        <v>1.60141537846024</v>
      </c>
    </row>
    <row r="125" customFormat="false" ht="14.25" hidden="false" customHeight="false" outlineLevel="0" collapsed="false">
      <c r="C125" s="6" t="s">
        <v>133</v>
      </c>
      <c r="D125" s="2" t="s">
        <v>12</v>
      </c>
      <c r="E125" s="48" t="n">
        <f aca="false">E358</f>
        <v>0.220265172384283</v>
      </c>
      <c r="F125" s="48" t="n">
        <f aca="false">F358</f>
        <v>0.36981874472502</v>
      </c>
      <c r="G125" s="48" t="n">
        <f aca="false">G358</f>
        <v>0.36981874472502</v>
      </c>
      <c r="H125" s="49" t="n">
        <f aca="false">H358</f>
        <v>0.315646572053133</v>
      </c>
    </row>
    <row r="126" customFormat="false" ht="14.25" hidden="false" customHeight="false" outlineLevel="0" collapsed="false">
      <c r="C126" s="41" t="s">
        <v>135</v>
      </c>
      <c r="D126" s="42"/>
      <c r="E126" s="43"/>
      <c r="F126" s="43"/>
      <c r="G126" s="43"/>
      <c r="H126" s="43"/>
    </row>
    <row r="127" customFormat="false" ht="14.25" hidden="false" customHeight="false" outlineLevel="0" collapsed="false">
      <c r="C127" s="6" t="s">
        <v>110</v>
      </c>
      <c r="D127" s="2" t="s">
        <v>85</v>
      </c>
      <c r="E127" s="8" t="n">
        <f aca="false">E91</f>
        <v>52778</v>
      </c>
      <c r="F127" s="8" t="n">
        <f aca="false">F91</f>
        <v>62716</v>
      </c>
      <c r="G127" s="8" t="n">
        <f aca="false">G91</f>
        <v>62716</v>
      </c>
      <c r="H127" s="8" t="n">
        <f aca="false">SUM(E127:G127)</f>
        <v>178210</v>
      </c>
    </row>
    <row r="128" customFormat="false" ht="14.25" hidden="false" customHeight="false" outlineLevel="0" collapsed="false">
      <c r="C128" s="6" t="s">
        <v>136</v>
      </c>
      <c r="D128" s="2" t="s">
        <v>85</v>
      </c>
      <c r="E128" s="8" t="n">
        <f aca="false">E92</f>
        <v>10706.132060274</v>
      </c>
      <c r="F128" s="8" t="n">
        <f aca="false">F92</f>
        <v>3976.25753424658</v>
      </c>
      <c r="G128" s="8" t="n">
        <f aca="false">G92</f>
        <v>3976.25753424658</v>
      </c>
      <c r="H128" s="8" t="n">
        <f aca="false">SUM(E128:G128)</f>
        <v>18658.6471287671</v>
      </c>
    </row>
    <row r="129" customFormat="false" ht="14.25" hidden="false" customHeight="false" outlineLevel="0" collapsed="false">
      <c r="C129" s="6" t="s">
        <v>115</v>
      </c>
      <c r="D129" s="2" t="s">
        <v>85</v>
      </c>
      <c r="E129" s="8" t="n">
        <f aca="false">E96</f>
        <v>1000</v>
      </c>
      <c r="F129" s="8" t="n">
        <f aca="false">F96</f>
        <v>2500</v>
      </c>
      <c r="G129" s="8" t="n">
        <f aca="false">G96</f>
        <v>2500</v>
      </c>
      <c r="H129" s="8" t="n">
        <f aca="false">SUM(E129:G129)</f>
        <v>6000</v>
      </c>
    </row>
    <row r="130" customFormat="false" ht="14.25" hidden="false" customHeight="false" outlineLevel="0" collapsed="false">
      <c r="C130" s="6" t="s">
        <v>116</v>
      </c>
      <c r="D130" s="2" t="s">
        <v>85</v>
      </c>
      <c r="E130" s="8" t="n">
        <f aca="false">E68</f>
        <v>107.801712328767</v>
      </c>
      <c r="F130" s="8" t="n">
        <f aca="false">F68</f>
        <v>107.801712328767</v>
      </c>
      <c r="G130" s="8" t="n">
        <f aca="false">G68</f>
        <v>107.801712328767</v>
      </c>
      <c r="H130" s="8" t="n">
        <f aca="false">SUM(E130:G130)</f>
        <v>323.405136986301</v>
      </c>
    </row>
    <row r="131" customFormat="false" ht="14.25" hidden="false" customHeight="false" outlineLevel="0" collapsed="false">
      <c r="C131" s="6" t="s">
        <v>137</v>
      </c>
      <c r="D131" s="2" t="s">
        <v>85</v>
      </c>
      <c r="E131" s="8" t="n">
        <f aca="false">0</f>
        <v>0</v>
      </c>
      <c r="F131" s="8" t="n">
        <f aca="false">0</f>
        <v>0</v>
      </c>
      <c r="G131" s="8" t="n">
        <f aca="false">0</f>
        <v>0</v>
      </c>
      <c r="H131" s="8" t="n">
        <f aca="false">SUM(E131:G131)</f>
        <v>0</v>
      </c>
    </row>
    <row r="132" customFormat="false" ht="14.25" hidden="false" customHeight="false" outlineLevel="0" collapsed="false">
      <c r="C132" s="6" t="s">
        <v>138</v>
      </c>
      <c r="D132" s="2" t="s">
        <v>85</v>
      </c>
      <c r="E132" s="8" t="n">
        <f aca="false">E98</f>
        <v>7500</v>
      </c>
      <c r="F132" s="8" t="n">
        <f aca="false">F98</f>
        <v>7500</v>
      </c>
      <c r="G132" s="8" t="n">
        <f aca="false">G98</f>
        <v>7500</v>
      </c>
      <c r="H132" s="8" t="n">
        <f aca="false">SUM(E132:G132)</f>
        <v>22500</v>
      </c>
    </row>
    <row r="133" customFormat="false" ht="14.25" hidden="false" customHeight="false" outlineLevel="0" collapsed="false">
      <c r="C133" s="1" t="s">
        <v>139</v>
      </c>
      <c r="D133" s="51" t="s">
        <v>85</v>
      </c>
      <c r="E133" s="15" t="n">
        <f aca="false">SUM(E127:E132)</f>
        <v>72091.9337726027</v>
      </c>
      <c r="F133" s="15" t="n">
        <f aca="false">SUM(F127:F132)</f>
        <v>76800.0592465753</v>
      </c>
      <c r="G133" s="15" t="n">
        <f aca="false">SUM(G127:G132)</f>
        <v>76800.0592465753</v>
      </c>
      <c r="H133" s="15" t="n">
        <f aca="false">SUM(E133:G133)</f>
        <v>225692.052265753</v>
      </c>
    </row>
    <row r="134" customFormat="false" ht="14.25" hidden="false" customHeight="false" outlineLevel="0" collapsed="false">
      <c r="C134" s="6" t="s">
        <v>140</v>
      </c>
      <c r="D134" s="2" t="s">
        <v>85</v>
      </c>
      <c r="E134" s="8" t="n">
        <f aca="false">$H$403</f>
        <v>104654.654246613</v>
      </c>
      <c r="F134" s="8" t="n">
        <f aca="false">$H$454</f>
        <v>117317.066600666</v>
      </c>
      <c r="G134" s="8" t="n">
        <f aca="false">$H$505</f>
        <v>117317.066600666</v>
      </c>
      <c r="H134" s="8" t="n">
        <f aca="false">SUM(E134:G134)</f>
        <v>339288.787447944</v>
      </c>
    </row>
    <row r="135" customFormat="false" ht="14.25" hidden="false" customHeight="false" outlineLevel="0" collapsed="false">
      <c r="C135" s="1" t="s">
        <v>141</v>
      </c>
      <c r="D135" s="2" t="s">
        <v>85</v>
      </c>
      <c r="E135" s="15" t="n">
        <f aca="false">E519</f>
        <v>32562.7204740098</v>
      </c>
      <c r="F135" s="15" t="n">
        <f aca="false">F519</f>
        <v>40517.0073540907</v>
      </c>
      <c r="G135" s="15" t="n">
        <f aca="false">G519</f>
        <v>40517.0073540907</v>
      </c>
      <c r="H135" s="15" t="n">
        <f aca="false">SUM(E135:G135)</f>
        <v>113596.735182191</v>
      </c>
    </row>
    <row r="136" customFormat="false" ht="14.25" hidden="false" customHeight="false" outlineLevel="0" collapsed="false">
      <c r="C136" s="6" t="s">
        <v>130</v>
      </c>
      <c r="D136" s="2" t="s">
        <v>3</v>
      </c>
      <c r="E136" s="47" t="n">
        <f aca="false">SUMIF($J$404:$AS$404,"&gt;0")/-SUMIF($J$404:$AS$404,"&lt;0")</f>
        <v>1.54416402320072</v>
      </c>
      <c r="F136" s="47" t="n">
        <f aca="false">SUMIF($J$455:$AS$455,"&gt;0")/-SUMIF($J$455:$AS$455,"&lt;0")</f>
        <v>1.66295709686981</v>
      </c>
      <c r="G136" s="47" t="n">
        <f aca="false">SUMIF($J$506:$AS$506,"&gt;0")/-SUMIF($J$506:$AS$506,"&lt;0")</f>
        <v>1.66295709686981</v>
      </c>
    </row>
    <row r="137" customFormat="false" ht="14.25" hidden="false" customHeight="false" outlineLevel="0" collapsed="false">
      <c r="C137" s="6" t="s">
        <v>131</v>
      </c>
      <c r="D137" s="2" t="s">
        <v>12</v>
      </c>
      <c r="E137" s="48" t="n">
        <f aca="false">XIRR($J$404:$AS$404,$J$362:$AS$362)</f>
        <v>0.313748749420723</v>
      </c>
      <c r="F137" s="48" t="n">
        <f aca="false">XIRR($J$455:$AS$455,$J$362:$AS$362)</f>
        <v>0.394817994781512</v>
      </c>
      <c r="G137" s="48" t="n">
        <f aca="false">XIRR($J$506:$AS$506,$J$362:$AS$362)</f>
        <v>0.394817994781512</v>
      </c>
      <c r="J137" s="52"/>
    </row>
    <row r="138" customFormat="false" ht="14.25" hidden="false" customHeight="false" outlineLevel="0" collapsed="false">
      <c r="C138" s="41" t="s">
        <v>142</v>
      </c>
      <c r="D138" s="42"/>
      <c r="E138" s="43"/>
      <c r="F138" s="43"/>
      <c r="G138" s="43"/>
      <c r="H138" s="43"/>
    </row>
    <row r="139" customFormat="false" ht="14.25" hidden="false" customHeight="false" outlineLevel="0" collapsed="false">
      <c r="C139" s="6" t="s">
        <v>143</v>
      </c>
      <c r="D139" s="2" t="s">
        <v>85</v>
      </c>
      <c r="E139" s="8" t="n">
        <f aca="false">E99</f>
        <v>72091.9337726027</v>
      </c>
      <c r="F139" s="8" t="n">
        <f aca="false">F99</f>
        <v>76800.0592465753</v>
      </c>
      <c r="G139" s="8" t="n">
        <f aca="false">G99</f>
        <v>76800.0592465753</v>
      </c>
      <c r="H139" s="8" t="n">
        <f aca="false">SUM(E139:G139)</f>
        <v>225692.052265753</v>
      </c>
    </row>
    <row r="140" customFormat="false" ht="14.25" hidden="false" customHeight="false" outlineLevel="0" collapsed="false">
      <c r="C140" s="6" t="s">
        <v>144</v>
      </c>
      <c r="D140" s="2" t="s">
        <v>85</v>
      </c>
      <c r="E140" s="8" t="n">
        <f aca="false">$H$379</f>
        <v>382397.730625247</v>
      </c>
      <c r="F140" s="8" t="n">
        <f aca="false">$H$430</f>
        <v>446130.685729454</v>
      </c>
      <c r="G140" s="8" t="n">
        <f aca="false">$H$481</f>
        <v>446130.685729454</v>
      </c>
      <c r="H140" s="8" t="n">
        <f aca="false">SUM(E140:G140)</f>
        <v>1274659.10208416</v>
      </c>
    </row>
    <row r="141" customFormat="false" ht="14.25" hidden="false" customHeight="false" outlineLevel="0" collapsed="false">
      <c r="C141" s="6" t="s">
        <v>145</v>
      </c>
      <c r="D141" s="2" t="s">
        <v>85</v>
      </c>
      <c r="E141" s="8" t="n">
        <f aca="false">$H$388</f>
        <v>-101080.469164597</v>
      </c>
      <c r="F141" s="8" t="n">
        <f aca="false">$H$439</f>
        <v>-130425.697623429</v>
      </c>
      <c r="G141" s="8" t="n">
        <f aca="false">$H$490</f>
        <v>-130425.697623429</v>
      </c>
      <c r="H141" s="8" t="n">
        <f aca="false">SUM(E141:G141)</f>
        <v>-361931.864411456</v>
      </c>
    </row>
    <row r="142" customFormat="false" ht="14.25" hidden="false" customHeight="false" outlineLevel="0" collapsed="false">
      <c r="C142" s="6" t="s">
        <v>146</v>
      </c>
      <c r="D142" s="2" t="s">
        <v>85</v>
      </c>
      <c r="E142" s="8" t="n">
        <f aca="false">$H$389</f>
        <v>281317.26146065</v>
      </c>
      <c r="F142" s="8" t="n">
        <f aca="false">$H$440</f>
        <v>315704.988106025</v>
      </c>
      <c r="G142" s="8" t="n">
        <f aca="false">$H$491</f>
        <v>315704.988106025</v>
      </c>
      <c r="H142" s="8" t="n">
        <f aca="false">SUM(E142:G142)</f>
        <v>912727.2376727</v>
      </c>
    </row>
    <row r="143" customFormat="false" ht="14.25" hidden="false" customHeight="false" outlineLevel="0" collapsed="false">
      <c r="C143" s="1" t="s">
        <v>147</v>
      </c>
      <c r="D143" s="2" t="s">
        <v>12</v>
      </c>
      <c r="E143" s="53" t="n">
        <f aca="false">XIRR($J$390:$AS$390,$J$362:$AS$362)</f>
        <v>0.112566927188828</v>
      </c>
      <c r="F143" s="53" t="n">
        <f aca="false">XIRR($J$441:$AS$441,$J$362:$AS$362)</f>
        <v>0.119923687881452</v>
      </c>
      <c r="G143" s="53" t="n">
        <f aca="false">XIRR($J$492:$AS$492,$J$362:$AS$362)</f>
        <v>0.119923687881452</v>
      </c>
    </row>
    <row r="144" customFormat="false" ht="14.25" hidden="false" customHeight="false" outlineLevel="0" collapsed="false">
      <c r="C144" s="6" t="s">
        <v>148</v>
      </c>
      <c r="D144" s="2" t="s">
        <v>85</v>
      </c>
      <c r="E144" s="8" t="n">
        <f aca="false">XNPV(Discount_Rate,$J$390:$AS$390,$J$362:$AS$362)</f>
        <v>19561.2549092521</v>
      </c>
      <c r="F144" s="8" t="n">
        <f aca="false">XNPV(Discount_Rate,$J$441:$AS$441,$J$362:$AS$362)</f>
        <v>25408.5413585676</v>
      </c>
      <c r="G144" s="8" t="n">
        <f aca="false">XNPV(Discount_Rate,$J$492:$AS$492,$J$362:$AS$362)</f>
        <v>25408.5413585676</v>
      </c>
      <c r="H144" s="8" t="n">
        <f aca="false">SUM(E144:G144)</f>
        <v>70378.3376263873</v>
      </c>
    </row>
    <row r="145" customFormat="false" ht="14.25" hidden="false" customHeight="false" outlineLevel="0" collapsed="false">
      <c r="C145" s="6" t="s">
        <v>149</v>
      </c>
      <c r="D145" s="2" t="s">
        <v>85</v>
      </c>
      <c r="E145" s="8" t="n">
        <f aca="false">$H$392</f>
        <v>-31383.7991532071</v>
      </c>
      <c r="F145" s="8" t="n">
        <f aca="false">$H$443</f>
        <v>-35835.7393289174</v>
      </c>
      <c r="G145" s="8" t="n">
        <f aca="false">$H$494</f>
        <v>-35835.7393289174</v>
      </c>
      <c r="H145" s="8" t="n">
        <f aca="false">SUM(E145:G145)</f>
        <v>-103055.277811042</v>
      </c>
    </row>
    <row r="146" customFormat="false" ht="14.25" hidden="false" customHeight="false" outlineLevel="0" collapsed="false">
      <c r="C146" s="1" t="s">
        <v>150</v>
      </c>
      <c r="D146" s="2" t="s">
        <v>12</v>
      </c>
      <c r="E146" s="53" t="n">
        <f aca="false">XIRR($J$393:$AS$393,$J$362:$AS$362)</f>
        <v>0.101337684958125</v>
      </c>
      <c r="F146" s="53" t="n">
        <f aca="false">XIRR($J$444:$AS$444,$J$362:$AS$362)</f>
        <v>0.107877032780603</v>
      </c>
      <c r="G146" s="53" t="n">
        <f aca="false">XIRR($J$495:$AS$495,$J$362:$AS$362)</f>
        <v>0.107877032780603</v>
      </c>
    </row>
    <row r="147" customFormat="false" ht="14.25" hidden="false" customHeight="false" outlineLevel="0" collapsed="false">
      <c r="C147" s="6" t="s">
        <v>151</v>
      </c>
      <c r="D147" s="2" t="s">
        <v>85</v>
      </c>
      <c r="E147" s="8" t="n">
        <f aca="false">$H$394</f>
        <v>43255.1602635616</v>
      </c>
      <c r="F147" s="8" t="n">
        <f aca="false">$H$445</f>
        <v>46080.0355479452</v>
      </c>
      <c r="G147" s="8" t="n">
        <f aca="false">$H$496</f>
        <v>46080.0355479452</v>
      </c>
      <c r="H147" s="8" t="n">
        <f aca="false">SUM(E147:G147)</f>
        <v>135415.231359452</v>
      </c>
    </row>
    <row r="148" customFormat="false" ht="14.25" hidden="false" customHeight="false" outlineLevel="0" collapsed="false">
      <c r="C148" s="1" t="s">
        <v>152</v>
      </c>
      <c r="D148" s="2" t="s">
        <v>12</v>
      </c>
      <c r="E148" s="53" t="n">
        <f aca="false">XIRR($J$400:$AS$400,$J$362:$AS$362)</f>
        <v>0.129339851713017</v>
      </c>
      <c r="F148" s="53" t="n">
        <f aca="false">XIRR($J$451:$AS$451,$J$362:$AS$362)</f>
        <v>0.140065375053908</v>
      </c>
      <c r="G148" s="53" t="n">
        <f aca="false">XIRR($J$502:$AS$502,$J$362:$AS$362)</f>
        <v>0.140065375053908</v>
      </c>
    </row>
    <row r="149" customFormat="false" ht="14.25" hidden="false" customHeight="false" outlineLevel="0" collapsed="false">
      <c r="C149" s="6" t="s">
        <v>153</v>
      </c>
      <c r="D149" s="2" t="s">
        <v>3</v>
      </c>
      <c r="E149" s="47" t="n">
        <f aca="false">$H$401</f>
        <v>2.18972555710294</v>
      </c>
      <c r="F149" s="47" t="n">
        <f aca="false">$H$452</f>
        <v>2.29945255944663</v>
      </c>
      <c r="G149" s="47" t="n">
        <f aca="false">$H$503</f>
        <v>2.29945255944663</v>
      </c>
      <c r="H149" s="47"/>
    </row>
    <row r="154" customFormat="false" ht="14.25" hidden="false" customHeight="false" outlineLevel="0" collapsed="false">
      <c r="B154" s="4" t="s">
        <v>3</v>
      </c>
      <c r="C154" s="4" t="s">
        <v>154</v>
      </c>
      <c r="D154" s="4"/>
      <c r="E154" s="5"/>
      <c r="F154" s="5"/>
      <c r="G154" s="5"/>
      <c r="H154" s="5" t="s">
        <v>8</v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</row>
    <row r="155" customFormat="false" ht="14.25" hidden="false" customHeight="false" outlineLevel="0" collapsed="false">
      <c r="C155" s="6" t="s">
        <v>155</v>
      </c>
      <c r="D155" s="2" t="s">
        <v>156</v>
      </c>
      <c r="J155" s="54" t="n">
        <f aca="false">J361</f>
        <v>2026</v>
      </c>
      <c r="K155" s="54" t="n">
        <f aca="false">K361</f>
        <v>2027</v>
      </c>
      <c r="L155" s="54" t="n">
        <f aca="false">L361</f>
        <v>2028</v>
      </c>
      <c r="M155" s="54" t="n">
        <f aca="false">M361</f>
        <v>2029</v>
      </c>
      <c r="N155" s="54" t="n">
        <f aca="false">N361</f>
        <v>2030</v>
      </c>
      <c r="O155" s="54" t="n">
        <f aca="false">O361</f>
        <v>2031</v>
      </c>
      <c r="P155" s="54" t="n">
        <f aca="false">P361</f>
        <v>2032</v>
      </c>
      <c r="Q155" s="54" t="n">
        <f aca="false">Q361</f>
        <v>2033</v>
      </c>
      <c r="R155" s="54" t="n">
        <f aca="false">R361</f>
        <v>2034</v>
      </c>
      <c r="S155" s="54" t="n">
        <f aca="false">S361</f>
        <v>2035</v>
      </c>
      <c r="T155" s="54" t="n">
        <f aca="false">T361</f>
        <v>2036</v>
      </c>
      <c r="U155" s="54" t="n">
        <f aca="false">U361</f>
        <v>2037</v>
      </c>
      <c r="V155" s="54" t="n">
        <f aca="false">V361</f>
        <v>2038</v>
      </c>
      <c r="W155" s="54" t="n">
        <f aca="false">W361</f>
        <v>2039</v>
      </c>
      <c r="X155" s="54" t="n">
        <f aca="false">X361</f>
        <v>2040</v>
      </c>
      <c r="Y155" s="54" t="n">
        <f aca="false">Y361</f>
        <v>2041</v>
      </c>
      <c r="Z155" s="54" t="n">
        <f aca="false">Z361</f>
        <v>2042</v>
      </c>
      <c r="AA155" s="54" t="n">
        <f aca="false">AA361</f>
        <v>2043</v>
      </c>
      <c r="AB155" s="54" t="n">
        <f aca="false">AB361</f>
        <v>2044</v>
      </c>
      <c r="AC155" s="54" t="n">
        <f aca="false">AC361</f>
        <v>2045</v>
      </c>
      <c r="AD155" s="54" t="n">
        <f aca="false">AD361</f>
        <v>2046</v>
      </c>
      <c r="AE155" s="54" t="n">
        <f aca="false">AE361</f>
        <v>2047</v>
      </c>
      <c r="AF155" s="54" t="n">
        <f aca="false">AF361</f>
        <v>2048</v>
      </c>
      <c r="AG155" s="54" t="n">
        <f aca="false">AG361</f>
        <v>2049</v>
      </c>
      <c r="AH155" s="54" t="n">
        <f aca="false">AH361</f>
        <v>2050</v>
      </c>
      <c r="AI155" s="54" t="n">
        <f aca="false">AI361</f>
        <v>2051</v>
      </c>
      <c r="AJ155" s="54" t="n">
        <f aca="false">AJ361</f>
        <v>2052</v>
      </c>
      <c r="AK155" s="54" t="n">
        <f aca="false">AK361</f>
        <v>2053</v>
      </c>
      <c r="AL155" s="54" t="n">
        <f aca="false">AL361</f>
        <v>2054</v>
      </c>
      <c r="AM155" s="54" t="n">
        <f aca="false">AM361</f>
        <v>2055</v>
      </c>
      <c r="AN155" s="54" t="n">
        <f aca="false">AN361</f>
        <v>2056</v>
      </c>
      <c r="AO155" s="54" t="n">
        <f aca="false">AO361</f>
        <v>2057</v>
      </c>
      <c r="AP155" s="54" t="n">
        <f aca="false">AP361</f>
        <v>2058</v>
      </c>
      <c r="AQ155" s="54" t="n">
        <f aca="false">AQ361</f>
        <v>2059</v>
      </c>
      <c r="AR155" s="54" t="n">
        <f aca="false">AR361</f>
        <v>2060</v>
      </c>
      <c r="AS155" s="54" t="n">
        <f aca="false">AS361</f>
        <v>2061</v>
      </c>
    </row>
    <row r="157" customFormat="false" ht="14.25" hidden="false" customHeight="false" outlineLevel="0" collapsed="false">
      <c r="C157" s="42" t="s">
        <v>5</v>
      </c>
      <c r="D157" s="42"/>
      <c r="E157" s="43"/>
      <c r="F157" s="43"/>
      <c r="G157" s="43"/>
      <c r="H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  <c r="AO157" s="43"/>
      <c r="AP157" s="43"/>
      <c r="AQ157" s="43"/>
      <c r="AR157" s="43"/>
      <c r="AS157" s="43"/>
    </row>
    <row r="158" customFormat="false" ht="14.25" hidden="false" customHeight="false" outlineLevel="0" collapsed="false">
      <c r="C158" s="6" t="s">
        <v>157</v>
      </c>
      <c r="D158" s="2" t="s">
        <v>85</v>
      </c>
      <c r="H158" s="8" t="n">
        <f aca="false">SUM(J158:AS158)</f>
        <v>-72091.9337726027</v>
      </c>
      <c r="J158" s="8" t="n">
        <f aca="false">J375</f>
        <v>0</v>
      </c>
      <c r="K158" s="8" t="n">
        <f aca="false">K375</f>
        <v>0</v>
      </c>
      <c r="L158" s="8" t="n">
        <f aca="false">L375</f>
        <v>0</v>
      </c>
      <c r="M158" s="8" t="n">
        <f aca="false">M375</f>
        <v>-33450.8995260274</v>
      </c>
      <c r="N158" s="8" t="n">
        <f aca="false">N375</f>
        <v>-26389</v>
      </c>
      <c r="O158" s="8" t="n">
        <f aca="false">O375</f>
        <v>-14194.5</v>
      </c>
      <c r="P158" s="8" t="n">
        <f aca="false">P375</f>
        <v>0</v>
      </c>
      <c r="Q158" s="8" t="n">
        <f aca="false">Q375</f>
        <v>1942.46575342466</v>
      </c>
      <c r="R158" s="8" t="n">
        <f aca="false">R375</f>
        <v>0</v>
      </c>
      <c r="S158" s="8" t="n">
        <f aca="false">S375</f>
        <v>0</v>
      </c>
      <c r="T158" s="8" t="n">
        <f aca="false">T375</f>
        <v>0</v>
      </c>
      <c r="U158" s="8" t="n">
        <f aca="false">U375</f>
        <v>0</v>
      </c>
      <c r="V158" s="8" t="n">
        <f aca="false">V375</f>
        <v>0</v>
      </c>
      <c r="W158" s="8" t="n">
        <f aca="false">W375</f>
        <v>0</v>
      </c>
      <c r="X158" s="8" t="n">
        <f aca="false">X375</f>
        <v>0</v>
      </c>
      <c r="Y158" s="8" t="n">
        <f aca="false">Y375</f>
        <v>0</v>
      </c>
      <c r="Z158" s="8" t="n">
        <f aca="false">Z375</f>
        <v>0</v>
      </c>
      <c r="AA158" s="8" t="n">
        <f aca="false">AA375</f>
        <v>0</v>
      </c>
      <c r="AB158" s="8" t="n">
        <f aca="false">AB375</f>
        <v>0</v>
      </c>
      <c r="AC158" s="8" t="n">
        <f aca="false">AC375</f>
        <v>0</v>
      </c>
      <c r="AD158" s="8" t="n">
        <f aca="false">AD375</f>
        <v>0</v>
      </c>
      <c r="AE158" s="8" t="n">
        <f aca="false">AE375</f>
        <v>0</v>
      </c>
      <c r="AF158" s="8" t="n">
        <f aca="false">AF375</f>
        <v>0</v>
      </c>
      <c r="AG158" s="8" t="n">
        <f aca="false">AG375</f>
        <v>0</v>
      </c>
      <c r="AH158" s="8" t="n">
        <f aca="false">AH375</f>
        <v>0</v>
      </c>
      <c r="AI158" s="8" t="n">
        <f aca="false">AI375</f>
        <v>0</v>
      </c>
      <c r="AJ158" s="8" t="n">
        <f aca="false">AJ375</f>
        <v>0</v>
      </c>
      <c r="AK158" s="8" t="n">
        <f aca="false">AK375</f>
        <v>0</v>
      </c>
      <c r="AL158" s="8" t="n">
        <f aca="false">AL375</f>
        <v>0</v>
      </c>
      <c r="AM158" s="8" t="n">
        <f aca="false">AM375</f>
        <v>0</v>
      </c>
      <c r="AN158" s="8" t="n">
        <f aca="false">AN375</f>
        <v>0</v>
      </c>
      <c r="AO158" s="8" t="n">
        <f aca="false">AO375</f>
        <v>0</v>
      </c>
      <c r="AP158" s="8" t="n">
        <f aca="false">AP375</f>
        <v>0</v>
      </c>
      <c r="AQ158" s="8" t="n">
        <f aca="false">AQ375</f>
        <v>0</v>
      </c>
      <c r="AR158" s="8" t="n">
        <f aca="false">AR375</f>
        <v>0</v>
      </c>
      <c r="AS158" s="8" t="n">
        <f aca="false">AS375</f>
        <v>0</v>
      </c>
    </row>
    <row r="159" customFormat="false" ht="14.25" hidden="false" customHeight="false" outlineLevel="0" collapsed="false">
      <c r="C159" s="6" t="s">
        <v>158</v>
      </c>
      <c r="D159" s="2" t="s">
        <v>85</v>
      </c>
      <c r="H159" s="8" t="n">
        <f aca="false">SUM(J159:AS159)</f>
        <v>382397.730625247</v>
      </c>
      <c r="J159" s="8" t="n">
        <f aca="false">J379</f>
        <v>0</v>
      </c>
      <c r="K159" s="8" t="n">
        <f aca="false">K379</f>
        <v>0</v>
      </c>
      <c r="L159" s="8" t="n">
        <f aca="false">L379</f>
        <v>0</v>
      </c>
      <c r="M159" s="8" t="n">
        <f aca="false">M379</f>
        <v>0</v>
      </c>
      <c r="N159" s="8" t="n">
        <f aca="false">N379</f>
        <v>0</v>
      </c>
      <c r="O159" s="8" t="n">
        <f aca="false">O379</f>
        <v>5715.36</v>
      </c>
      <c r="P159" s="8" t="n">
        <f aca="false">P379</f>
        <v>11545.0272</v>
      </c>
      <c r="Q159" s="8" t="n">
        <f aca="false">Q379</f>
        <v>11625.496039584</v>
      </c>
      <c r="R159" s="8" t="n">
        <f aca="false">R379</f>
        <v>11706.5257469799</v>
      </c>
      <c r="S159" s="8" t="n">
        <f aca="false">S379</f>
        <v>11788.1202314363</v>
      </c>
      <c r="T159" s="8" t="n">
        <f aca="false">T379</f>
        <v>11870.2834294495</v>
      </c>
      <c r="U159" s="8" t="n">
        <f aca="false">U379</f>
        <v>11953.0193049527</v>
      </c>
      <c r="V159" s="8" t="n">
        <f aca="false">V379</f>
        <v>12036.3318495082</v>
      </c>
      <c r="W159" s="8" t="n">
        <f aca="false">W379</f>
        <v>12120.2250824993</v>
      </c>
      <c r="X159" s="8" t="n">
        <f aca="false">X379</f>
        <v>12204.7030513243</v>
      </c>
      <c r="Y159" s="8" t="n">
        <f aca="false">Y379</f>
        <v>12289.7698315921</v>
      </c>
      <c r="Z159" s="8" t="n">
        <f aca="false">Z379</f>
        <v>12375.4295273183</v>
      </c>
      <c r="AA159" s="8" t="n">
        <f aca="false">AA379</f>
        <v>12461.6862711237</v>
      </c>
      <c r="AB159" s="8" t="n">
        <f aca="false">AB379</f>
        <v>12548.5442244334</v>
      </c>
      <c r="AC159" s="8" t="n">
        <f aca="false">AC379</f>
        <v>12636.0075776777</v>
      </c>
      <c r="AD159" s="8" t="n">
        <f aca="false">AD379</f>
        <v>12724.0805504941</v>
      </c>
      <c r="AE159" s="8" t="n">
        <f aca="false">AE379</f>
        <v>12812.7673919311</v>
      </c>
      <c r="AF159" s="8" t="n">
        <f aca="false">AF379</f>
        <v>12902.0723806528</v>
      </c>
      <c r="AG159" s="8" t="n">
        <f aca="false">AG379</f>
        <v>12991.999825146</v>
      </c>
      <c r="AH159" s="8" t="n">
        <f aca="false">AH379</f>
        <v>13082.5540639272</v>
      </c>
      <c r="AI159" s="8" t="n">
        <f aca="false">AI379</f>
        <v>13173.7394657528</v>
      </c>
      <c r="AJ159" s="8" t="n">
        <f aca="false">AJ379</f>
        <v>13265.5604298291</v>
      </c>
      <c r="AK159" s="8" t="n">
        <f aca="false">AK379</f>
        <v>13358.021386025</v>
      </c>
      <c r="AL159" s="8" t="n">
        <f aca="false">AL379</f>
        <v>13451.1267950856</v>
      </c>
      <c r="AM159" s="8" t="n">
        <f aca="false">AM379</f>
        <v>13544.8811488474</v>
      </c>
      <c r="AN159" s="8" t="n">
        <f aca="false">AN379</f>
        <v>13639.2889704548</v>
      </c>
      <c r="AO159" s="8" t="n">
        <f aca="false">AO379</f>
        <v>13734.3548145789</v>
      </c>
      <c r="AP159" s="8" t="n">
        <f aca="false">AP379</f>
        <v>13830.0832676365</v>
      </c>
      <c r="AQ159" s="8" t="n">
        <f aca="false">AQ379</f>
        <v>13926.4789480119</v>
      </c>
      <c r="AR159" s="8" t="n">
        <f aca="false">AR379</f>
        <v>14023.5465062796</v>
      </c>
      <c r="AS159" s="8" t="n">
        <f aca="false">AS379</f>
        <v>7060.64531271418</v>
      </c>
    </row>
    <row r="160" customFormat="false" ht="14.25" hidden="false" customHeight="false" outlineLevel="0" collapsed="false">
      <c r="C160" s="6" t="s">
        <v>159</v>
      </c>
      <c r="D160" s="2" t="s">
        <v>85</v>
      </c>
      <c r="H160" s="8" t="n">
        <f aca="false">SUM(J160:AS160)</f>
        <v>-101080.469164597</v>
      </c>
      <c r="J160" s="8" t="n">
        <f aca="false">J388</f>
        <v>0</v>
      </c>
      <c r="K160" s="8" t="n">
        <f aca="false">K388</f>
        <v>0</v>
      </c>
      <c r="L160" s="8" t="n">
        <f aca="false">L388</f>
        <v>0</v>
      </c>
      <c r="M160" s="8" t="n">
        <f aca="false">M388</f>
        <v>0</v>
      </c>
      <c r="N160" s="8" t="n">
        <f aca="false">N388</f>
        <v>0</v>
      </c>
      <c r="O160" s="8" t="n">
        <f aca="false">O388</f>
        <v>-1182.141828</v>
      </c>
      <c r="P160" s="8" t="n">
        <f aca="false">P388</f>
        <v>-2419.78149756</v>
      </c>
      <c r="Q160" s="8" t="n">
        <f aca="false">Q388</f>
        <v>-2473.79268847324</v>
      </c>
      <c r="R160" s="8" t="n">
        <f aca="false">R388</f>
        <v>-2529.07754013253</v>
      </c>
      <c r="S160" s="8" t="n">
        <f aca="false">S388</f>
        <v>-2585.66667091693</v>
      </c>
      <c r="T160" s="8" t="n">
        <f aca="false">T388</f>
        <v>-2643.59144103106</v>
      </c>
      <c r="U160" s="8" t="n">
        <f aca="false">U388</f>
        <v>-2702.88397055478</v>
      </c>
      <c r="V160" s="8" t="n">
        <f aca="false">V388</f>
        <v>-2763.57715793331</v>
      </c>
      <c r="W160" s="8" t="n">
        <f aca="false">W388</f>
        <v>-2825.70469891879</v>
      </c>
      <c r="X160" s="8" t="n">
        <f aca="false">X388</f>
        <v>-2889.30110597403</v>
      </c>
      <c r="Y160" s="8" t="n">
        <f aca="false">Y388</f>
        <v>-2954.40172814999</v>
      </c>
      <c r="Z160" s="8" t="n">
        <f aca="false">Z388</f>
        <v>-3021.04277144858</v>
      </c>
      <c r="AA160" s="8" t="n">
        <f aca="false">AA388</f>
        <v>-3089.26131968243</v>
      </c>
      <c r="AB160" s="8" t="n">
        <f aca="false">AB388</f>
        <v>-3159.09535584409</v>
      </c>
      <c r="AC160" s="8" t="n">
        <f aca="false">AC388</f>
        <v>-3230.58378399692</v>
      </c>
      <c r="AD160" s="8" t="n">
        <f aca="false">AD388</f>
        <v>-3303.76645170053</v>
      </c>
      <c r="AE160" s="8" t="n">
        <f aca="false">AE388</f>
        <v>-3378.68417298384</v>
      </c>
      <c r="AF160" s="8" t="n">
        <f aca="false">AF388</f>
        <v>-3455.37875187918</v>
      </c>
      <c r="AG160" s="8" t="n">
        <f aca="false">AG388</f>
        <v>-3533.89300653108</v>
      </c>
      <c r="AH160" s="8" t="n">
        <f aca="false">AH388</f>
        <v>-3614.27079389397</v>
      </c>
      <c r="AI160" s="8" t="n">
        <f aca="false">AI388</f>
        <v>-3696.55703503309</v>
      </c>
      <c r="AJ160" s="8" t="n">
        <f aca="false">AJ388</f>
        <v>-3780.79774104342</v>
      </c>
      <c r="AK160" s="8" t="n">
        <f aca="false">AK388</f>
        <v>-3867.04003960174</v>
      </c>
      <c r="AL160" s="8" t="n">
        <f aca="false">AL388</f>
        <v>-3955.33220216742</v>
      </c>
      <c r="AM160" s="8" t="n">
        <f aca="false">AM388</f>
        <v>-4045.72367184764</v>
      </c>
      <c r="AN160" s="8" t="n">
        <f aca="false">AN388</f>
        <v>-4138.26509194355</v>
      </c>
      <c r="AO160" s="8" t="n">
        <f aca="false">AO388</f>
        <v>-4233.00833519381</v>
      </c>
      <c r="AP160" s="8" t="n">
        <f aca="false">AP388</f>
        <v>-4330.00653373281</v>
      </c>
      <c r="AQ160" s="8" t="n">
        <f aca="false">AQ388</f>
        <v>-4429.31410978088</v>
      </c>
      <c r="AR160" s="8" t="n">
        <f aca="false">AR388</f>
        <v>-4530.98680708456</v>
      </c>
      <c r="AS160" s="8" t="n">
        <f aca="false">AS388</f>
        <v>-2317.54086156264</v>
      </c>
    </row>
    <row r="161" customFormat="false" ht="14.25" hidden="false" customHeight="false" outlineLevel="0" collapsed="false">
      <c r="C161" s="6" t="s">
        <v>160</v>
      </c>
      <c r="D161" s="2" t="s">
        <v>85</v>
      </c>
      <c r="H161" s="8" t="n">
        <f aca="false">SUM(J161:AS161)</f>
        <v>281317.26146065</v>
      </c>
      <c r="J161" s="8" t="n">
        <f aca="false">J389</f>
        <v>0</v>
      </c>
      <c r="K161" s="8" t="n">
        <f aca="false">K389</f>
        <v>0</v>
      </c>
      <c r="L161" s="8" t="n">
        <f aca="false">L389</f>
        <v>0</v>
      </c>
      <c r="M161" s="8" t="n">
        <f aca="false">M389</f>
        <v>0</v>
      </c>
      <c r="N161" s="8" t="n">
        <f aca="false">N389</f>
        <v>0</v>
      </c>
      <c r="O161" s="8" t="n">
        <f aca="false">O389</f>
        <v>4533.218172</v>
      </c>
      <c r="P161" s="8" t="n">
        <f aca="false">P389</f>
        <v>9125.24570244</v>
      </c>
      <c r="Q161" s="8" t="n">
        <f aca="false">Q389</f>
        <v>9151.70335111076</v>
      </c>
      <c r="R161" s="8" t="n">
        <f aca="false">R389</f>
        <v>9177.44820684737</v>
      </c>
      <c r="S161" s="8" t="n">
        <f aca="false">S389</f>
        <v>9202.45356051942</v>
      </c>
      <c r="T161" s="8" t="n">
        <f aca="false">T389</f>
        <v>9226.6919884184</v>
      </c>
      <c r="U161" s="8" t="n">
        <f aca="false">U389</f>
        <v>9250.13533439795</v>
      </c>
      <c r="V161" s="8" t="n">
        <f aca="false">V389</f>
        <v>9272.75469157493</v>
      </c>
      <c r="W161" s="8" t="n">
        <f aca="false">W389</f>
        <v>9294.52038358052</v>
      </c>
      <c r="X161" s="8" t="n">
        <f aca="false">X389</f>
        <v>9315.40194535031</v>
      </c>
      <c r="Y161" s="8" t="n">
        <f aca="false">Y389</f>
        <v>9335.36810344208</v>
      </c>
      <c r="Z161" s="8" t="n">
        <f aca="false">Z389</f>
        <v>9354.38675586968</v>
      </c>
      <c r="AA161" s="8" t="n">
        <f aca="false">AA389</f>
        <v>9372.42495144124</v>
      </c>
      <c r="AB161" s="8" t="n">
        <f aca="false">AB389</f>
        <v>9389.44886858932</v>
      </c>
      <c r="AC161" s="8" t="n">
        <f aca="false">AC389</f>
        <v>9405.42379368079</v>
      </c>
      <c r="AD161" s="8" t="n">
        <f aca="false">AD389</f>
        <v>9420.31409879359</v>
      </c>
      <c r="AE161" s="8" t="n">
        <f aca="false">AE389</f>
        <v>9434.08321894722</v>
      </c>
      <c r="AF161" s="8" t="n">
        <f aca="false">AF389</f>
        <v>9446.69362877364</v>
      </c>
      <c r="AG161" s="8" t="n">
        <f aca="false">AG389</f>
        <v>9458.1068186149</v>
      </c>
      <c r="AH161" s="8" t="n">
        <f aca="false">AH389</f>
        <v>9468.28327003328</v>
      </c>
      <c r="AI161" s="8" t="n">
        <f aca="false">AI389</f>
        <v>9477.18243071973</v>
      </c>
      <c r="AJ161" s="8" t="n">
        <f aca="false">AJ389</f>
        <v>9484.7626887857</v>
      </c>
      <c r="AK161" s="8" t="n">
        <f aca="false">AK389</f>
        <v>9490.98134642328</v>
      </c>
      <c r="AL161" s="8" t="n">
        <f aca="false">AL389</f>
        <v>9495.7945929182</v>
      </c>
      <c r="AM161" s="8" t="n">
        <f aca="false">AM389</f>
        <v>9499.15747699973</v>
      </c>
      <c r="AN161" s="8" t="n">
        <f aca="false">AN389</f>
        <v>9501.02387851128</v>
      </c>
      <c r="AO161" s="8" t="n">
        <f aca="false">AO389</f>
        <v>9501.34647938509</v>
      </c>
      <c r="AP161" s="8" t="n">
        <f aca="false">AP389</f>
        <v>9500.07673390371</v>
      </c>
      <c r="AQ161" s="8" t="n">
        <f aca="false">AQ389</f>
        <v>9497.16483823106</v>
      </c>
      <c r="AR161" s="8" t="n">
        <f aca="false">AR389</f>
        <v>9492.55969919502</v>
      </c>
      <c r="AS161" s="8" t="n">
        <f aca="false">AS389</f>
        <v>4743.10445115153</v>
      </c>
    </row>
    <row r="162" customFormat="false" ht="14.25" hidden="false" customHeight="false" outlineLevel="0" collapsed="false">
      <c r="C162" s="1" t="s">
        <v>161</v>
      </c>
      <c r="D162" s="2" t="s">
        <v>85</v>
      </c>
      <c r="H162" s="15" t="n">
        <f aca="false">SUM(J162:AS162)</f>
        <v>209225.327688047</v>
      </c>
      <c r="J162" s="15" t="n">
        <f aca="false">J390</f>
        <v>0</v>
      </c>
      <c r="K162" s="15" t="n">
        <f aca="false">K390</f>
        <v>0</v>
      </c>
      <c r="L162" s="15" t="n">
        <f aca="false">L390</f>
        <v>0</v>
      </c>
      <c r="M162" s="15" t="n">
        <f aca="false">M390</f>
        <v>-33450.8995260274</v>
      </c>
      <c r="N162" s="15" t="n">
        <f aca="false">N390</f>
        <v>-26389</v>
      </c>
      <c r="O162" s="15" t="n">
        <f aca="false">O390</f>
        <v>-9661.281828</v>
      </c>
      <c r="P162" s="15" t="n">
        <f aca="false">P390</f>
        <v>9125.24570244</v>
      </c>
      <c r="Q162" s="15" t="n">
        <f aca="false">Q390</f>
        <v>11094.1691045354</v>
      </c>
      <c r="R162" s="15" t="n">
        <f aca="false">R390</f>
        <v>9177.44820684737</v>
      </c>
      <c r="S162" s="15" t="n">
        <f aca="false">S390</f>
        <v>9202.45356051942</v>
      </c>
      <c r="T162" s="15" t="n">
        <f aca="false">T390</f>
        <v>9226.6919884184</v>
      </c>
      <c r="U162" s="15" t="n">
        <f aca="false">U390</f>
        <v>9250.13533439795</v>
      </c>
      <c r="V162" s="15" t="n">
        <f aca="false">V390</f>
        <v>9272.75469157493</v>
      </c>
      <c r="W162" s="15" t="n">
        <f aca="false">W390</f>
        <v>9294.52038358052</v>
      </c>
      <c r="X162" s="15" t="n">
        <f aca="false">X390</f>
        <v>9315.40194535031</v>
      </c>
      <c r="Y162" s="15" t="n">
        <f aca="false">Y390</f>
        <v>9335.36810344208</v>
      </c>
      <c r="Z162" s="15" t="n">
        <f aca="false">Z390</f>
        <v>9354.38675586968</v>
      </c>
      <c r="AA162" s="15" t="n">
        <f aca="false">AA390</f>
        <v>9372.42495144124</v>
      </c>
      <c r="AB162" s="15" t="n">
        <f aca="false">AB390</f>
        <v>9389.44886858932</v>
      </c>
      <c r="AC162" s="15" t="n">
        <f aca="false">AC390</f>
        <v>9405.42379368079</v>
      </c>
      <c r="AD162" s="15" t="n">
        <f aca="false">AD390</f>
        <v>9420.31409879359</v>
      </c>
      <c r="AE162" s="15" t="n">
        <f aca="false">AE390</f>
        <v>9434.08321894722</v>
      </c>
      <c r="AF162" s="15" t="n">
        <f aca="false">AF390</f>
        <v>9446.69362877364</v>
      </c>
      <c r="AG162" s="15" t="n">
        <f aca="false">AG390</f>
        <v>9458.1068186149</v>
      </c>
      <c r="AH162" s="15" t="n">
        <f aca="false">AH390</f>
        <v>9468.28327003328</v>
      </c>
      <c r="AI162" s="15" t="n">
        <f aca="false">AI390</f>
        <v>9477.18243071973</v>
      </c>
      <c r="AJ162" s="15" t="n">
        <f aca="false">AJ390</f>
        <v>9484.7626887857</v>
      </c>
      <c r="AK162" s="15" t="n">
        <f aca="false">AK390</f>
        <v>9490.98134642328</v>
      </c>
      <c r="AL162" s="15" t="n">
        <f aca="false">AL390</f>
        <v>9495.7945929182</v>
      </c>
      <c r="AM162" s="15" t="n">
        <f aca="false">AM390</f>
        <v>9499.15747699973</v>
      </c>
      <c r="AN162" s="15" t="n">
        <f aca="false">AN390</f>
        <v>9501.02387851128</v>
      </c>
      <c r="AO162" s="15" t="n">
        <f aca="false">AO390</f>
        <v>9501.34647938509</v>
      </c>
      <c r="AP162" s="15" t="n">
        <f aca="false">AP390</f>
        <v>9500.07673390371</v>
      </c>
      <c r="AQ162" s="15" t="n">
        <f aca="false">AQ390</f>
        <v>9497.16483823106</v>
      </c>
      <c r="AR162" s="15" t="n">
        <f aca="false">AR390</f>
        <v>9492.55969919502</v>
      </c>
      <c r="AS162" s="15" t="n">
        <f aca="false">AS390</f>
        <v>4743.10445115153</v>
      </c>
    </row>
    <row r="163" customFormat="false" ht="14.25" hidden="false" customHeight="false" outlineLevel="0" collapsed="false">
      <c r="C163" s="1" t="s">
        <v>162</v>
      </c>
      <c r="D163" s="2" t="s">
        <v>85</v>
      </c>
      <c r="H163" s="15" t="n">
        <f aca="false">SUM(J163:AS163)</f>
        <v>177841.52853484</v>
      </c>
      <c r="J163" s="15" t="n">
        <f aca="false">J393</f>
        <v>0</v>
      </c>
      <c r="K163" s="15" t="n">
        <f aca="false">K393</f>
        <v>0</v>
      </c>
      <c r="L163" s="15" t="n">
        <f aca="false">L393</f>
        <v>0</v>
      </c>
      <c r="M163" s="15" t="n">
        <f aca="false">M393</f>
        <v>-33450.8995260274</v>
      </c>
      <c r="N163" s="15" t="n">
        <f aca="false">N393</f>
        <v>-26389</v>
      </c>
      <c r="O163" s="15" t="n">
        <f aca="false">O393</f>
        <v>-9800.57505050548</v>
      </c>
      <c r="P163" s="15" t="n">
        <f aca="false">P393</f>
        <v>8297.14835036852</v>
      </c>
      <c r="Q163" s="15" t="n">
        <f aca="false">Q393</f>
        <v>10262.1031051633</v>
      </c>
      <c r="R163" s="15" t="n">
        <f aca="false">R393</f>
        <v>8341.52047911478</v>
      </c>
      <c r="S163" s="15" t="n">
        <f aca="false">S393</f>
        <v>8362.77502973603</v>
      </c>
      <c r="T163" s="15" t="n">
        <f aca="false">T393</f>
        <v>8383.37769345016</v>
      </c>
      <c r="U163" s="15" t="n">
        <f aca="false">U393</f>
        <v>8403.30453753278</v>
      </c>
      <c r="V163" s="15" t="n">
        <f aca="false">V393</f>
        <v>8422.53099113321</v>
      </c>
      <c r="W163" s="15" t="n">
        <f aca="false">W393</f>
        <v>8441.03182933797</v>
      </c>
      <c r="X163" s="15" t="n">
        <f aca="false">X393</f>
        <v>8458.78115684229</v>
      </c>
      <c r="Y163" s="15" t="n">
        <f aca="false">Y393</f>
        <v>8475.75239122029</v>
      </c>
      <c r="Z163" s="15" t="n">
        <f aca="false">Z393</f>
        <v>8491.91824578375</v>
      </c>
      <c r="AA163" s="15" t="n">
        <f aca="false">AA393</f>
        <v>8507.25071201958</v>
      </c>
      <c r="AB163" s="15" t="n">
        <f aca="false">AB393</f>
        <v>8521.72104159544</v>
      </c>
      <c r="AC163" s="15" t="n">
        <f aca="false">AC393</f>
        <v>8535.29972792319</v>
      </c>
      <c r="AD163" s="15" t="n">
        <f aca="false">AD393</f>
        <v>8547.95648726908</v>
      </c>
      <c r="AE163" s="15" t="n">
        <f aca="false">AE393</f>
        <v>8559.66023939966</v>
      </c>
      <c r="AF163" s="15" t="n">
        <f aca="false">AF393</f>
        <v>8570.37908775212</v>
      </c>
      <c r="AG163" s="15" t="n">
        <f aca="false">AG393</f>
        <v>8580.08029911718</v>
      </c>
      <c r="AH163" s="15" t="n">
        <f aca="false">AH393</f>
        <v>8588.7302828228</v>
      </c>
      <c r="AI163" s="15" t="n">
        <f aca="false">AI393</f>
        <v>8055.60506611177</v>
      </c>
      <c r="AJ163" s="15" t="n">
        <f aca="false">AJ393</f>
        <v>8062.04828546784</v>
      </c>
      <c r="AK163" s="15" t="n">
        <f aca="false">AK393</f>
        <v>8067.33414445979</v>
      </c>
      <c r="AL163" s="15" t="n">
        <f aca="false">AL393</f>
        <v>8071.42540398047</v>
      </c>
      <c r="AM163" s="15" t="n">
        <f aca="false">AM393</f>
        <v>8074.28385544977</v>
      </c>
      <c r="AN163" s="15" t="n">
        <f aca="false">AN393</f>
        <v>8075.87029673459</v>
      </c>
      <c r="AO163" s="15" t="n">
        <f aca="false">AO393</f>
        <v>8076.14450747733</v>
      </c>
      <c r="AP163" s="15" t="n">
        <f aca="false">AP393</f>
        <v>8075.06522381815</v>
      </c>
      <c r="AQ163" s="15" t="n">
        <f aca="false">AQ393</f>
        <v>8072.5901124964</v>
      </c>
      <c r="AR163" s="15" t="n">
        <f aca="false">AR393</f>
        <v>8068.67574431577</v>
      </c>
      <c r="AS163" s="15" t="n">
        <f aca="false">AS393</f>
        <v>4031.6387834788</v>
      </c>
    </row>
    <row r="164" customFormat="false" ht="14.25" hidden="false" customHeight="false" outlineLevel="0" collapsed="false">
      <c r="C164" s="1" t="s">
        <v>163</v>
      </c>
      <c r="D164" s="2" t="s">
        <v>85</v>
      </c>
      <c r="H164" s="15" t="n">
        <f aca="false">SUM(J164:AS164)</f>
        <v>161475.325852493</v>
      </c>
      <c r="J164" s="15" t="n">
        <f aca="false">J400</f>
        <v>0</v>
      </c>
      <c r="K164" s="15" t="n">
        <f aca="false">K400</f>
        <v>0</v>
      </c>
      <c r="L164" s="15" t="n">
        <f aca="false">L400</f>
        <v>0</v>
      </c>
      <c r="M164" s="15" t="n">
        <f aca="false">M400</f>
        <v>-33450.8995260274</v>
      </c>
      <c r="N164" s="15" t="n">
        <f aca="false">N400</f>
        <v>-26389</v>
      </c>
      <c r="O164" s="15" t="n">
        <f aca="false">O400</f>
        <v>33454.5852130562</v>
      </c>
      <c r="P164" s="15" t="n">
        <f aca="false">P400</f>
        <v>4454.26096164922</v>
      </c>
      <c r="Q164" s="15" t="n">
        <f aca="false">Q400</f>
        <v>6404.18164336263</v>
      </c>
      <c r="R164" s="15" t="n">
        <f aca="false">R400</f>
        <v>4467.81324057864</v>
      </c>
      <c r="S164" s="15" t="n">
        <f aca="false">S400</f>
        <v>4472.49272562766</v>
      </c>
      <c r="T164" s="15" t="n">
        <f aca="false">T400</f>
        <v>4475.69157049095</v>
      </c>
      <c r="U164" s="15" t="n">
        <f aca="false">U400</f>
        <v>4477.34440478019</v>
      </c>
      <c r="V164" s="15" t="n">
        <f aca="false">V400</f>
        <v>4477.38314809758</v>
      </c>
      <c r="W164" s="15" t="n">
        <f aca="false">W400</f>
        <v>4475.73689050513</v>
      </c>
      <c r="X164" s="15" t="n">
        <f aca="false">X400</f>
        <v>4472.33176742239</v>
      </c>
      <c r="Y164" s="15" t="n">
        <f aca="false">Y400</f>
        <v>4467.09082868398</v>
      </c>
      <c r="Z164" s="15" t="n">
        <f aca="false">Z400</f>
        <v>4459.93390147521</v>
      </c>
      <c r="AA164" s="15" t="n">
        <f aca="false">AA400</f>
        <v>4450.77744685018</v>
      </c>
      <c r="AB164" s="15" t="n">
        <f aca="false">AB400</f>
        <v>4439.53440952216</v>
      </c>
      <c r="AC164" s="15" t="n">
        <f aca="false">AC400</f>
        <v>4426.11406060083</v>
      </c>
      <c r="AD164" s="15" t="n">
        <f aca="false">AD400</f>
        <v>4410.42183293517</v>
      </c>
      <c r="AE164" s="15" t="n">
        <f aca="false">AE400</f>
        <v>8559.66023939966</v>
      </c>
      <c r="AF164" s="15" t="n">
        <f aca="false">AF400</f>
        <v>8570.37908775212</v>
      </c>
      <c r="AG164" s="15" t="n">
        <f aca="false">AG400</f>
        <v>8580.08029911718</v>
      </c>
      <c r="AH164" s="15" t="n">
        <f aca="false">AH400</f>
        <v>8588.7302828228</v>
      </c>
      <c r="AI164" s="15" t="n">
        <f aca="false">AI400</f>
        <v>8055.60506611177</v>
      </c>
      <c r="AJ164" s="15" t="n">
        <f aca="false">AJ400</f>
        <v>8062.04828546784</v>
      </c>
      <c r="AK164" s="15" t="n">
        <f aca="false">AK400</f>
        <v>8067.33414445979</v>
      </c>
      <c r="AL164" s="15" t="n">
        <f aca="false">AL400</f>
        <v>8071.42540398047</v>
      </c>
      <c r="AM164" s="15" t="n">
        <f aca="false">AM400</f>
        <v>8074.28385544977</v>
      </c>
      <c r="AN164" s="15" t="n">
        <f aca="false">AN400</f>
        <v>8075.87029673459</v>
      </c>
      <c r="AO164" s="15" t="n">
        <f aca="false">AO400</f>
        <v>8076.14450747733</v>
      </c>
      <c r="AP164" s="15" t="n">
        <f aca="false">AP400</f>
        <v>8075.06522381815</v>
      </c>
      <c r="AQ164" s="15" t="n">
        <f aca="false">AQ400</f>
        <v>8072.5901124964</v>
      </c>
      <c r="AR164" s="15" t="n">
        <f aca="false">AR400</f>
        <v>8068.67574431577</v>
      </c>
      <c r="AS164" s="15" t="n">
        <f aca="false">AS400</f>
        <v>4031.6387834788</v>
      </c>
    </row>
    <row r="165" customFormat="false" ht="14.25" hidden="false" customHeight="false" outlineLevel="0" collapsed="false">
      <c r="C165" s="6" t="s">
        <v>164</v>
      </c>
      <c r="D165" s="2" t="s">
        <v>85</v>
      </c>
      <c r="J165" s="8" t="n">
        <f aca="false">SUM($J162:J162)</f>
        <v>0</v>
      </c>
      <c r="K165" s="8" t="n">
        <f aca="false">SUM($J162:K162)</f>
        <v>0</v>
      </c>
      <c r="L165" s="8" t="n">
        <f aca="false">SUM($J162:L162)</f>
        <v>0</v>
      </c>
      <c r="M165" s="8" t="n">
        <f aca="false">SUM($J162:M162)</f>
        <v>-33450.8995260274</v>
      </c>
      <c r="N165" s="8" t="n">
        <f aca="false">SUM($J162:N162)</f>
        <v>-59839.8995260274</v>
      </c>
      <c r="O165" s="8" t="n">
        <f aca="false">SUM($J162:O162)</f>
        <v>-69501.1813540274</v>
      </c>
      <c r="P165" s="8" t="n">
        <f aca="false">SUM($J162:P162)</f>
        <v>-60375.9356515874</v>
      </c>
      <c r="Q165" s="8" t="n">
        <f aca="false">SUM($J162:Q162)</f>
        <v>-49281.766547052</v>
      </c>
      <c r="R165" s="8" t="n">
        <f aca="false">SUM($J162:R162)</f>
        <v>-40104.3183402046</v>
      </c>
      <c r="S165" s="8" t="n">
        <f aca="false">SUM($J162:S162)</f>
        <v>-30901.8647796852</v>
      </c>
      <c r="T165" s="8" t="n">
        <f aca="false">SUM($J162:T162)</f>
        <v>-21675.1727912668</v>
      </c>
      <c r="U165" s="8" t="n">
        <f aca="false">SUM($J162:U162)</f>
        <v>-12425.0374568688</v>
      </c>
      <c r="V165" s="8" t="n">
        <f aca="false">SUM($J162:V162)</f>
        <v>-3152.28276529391</v>
      </c>
      <c r="W165" s="8" t="n">
        <f aca="false">SUM($J162:W162)</f>
        <v>6142.23761828661</v>
      </c>
      <c r="X165" s="8" t="n">
        <f aca="false">SUM($J162:X162)</f>
        <v>15457.6395636369</v>
      </c>
      <c r="Y165" s="8" t="n">
        <f aca="false">SUM($J162:Y162)</f>
        <v>24793.007667079</v>
      </c>
      <c r="Z165" s="8" t="n">
        <f aca="false">SUM($J162:Z162)</f>
        <v>34147.3944229487</v>
      </c>
      <c r="AA165" s="8" t="n">
        <f aca="false">SUM($J162:AA162)</f>
        <v>43519.8193743899</v>
      </c>
      <c r="AB165" s="8" t="n">
        <f aca="false">SUM($J162:AB162)</f>
        <v>52909.2682429792</v>
      </c>
      <c r="AC165" s="8" t="n">
        <f aca="false">SUM($J162:AC162)</f>
        <v>62314.69203666</v>
      </c>
      <c r="AD165" s="8" t="n">
        <f aca="false">SUM($J162:AD162)</f>
        <v>71735.0061354536</v>
      </c>
      <c r="AE165" s="8" t="n">
        <f aca="false">SUM($J162:AE162)</f>
        <v>81169.0893544008</v>
      </c>
      <c r="AF165" s="8" t="n">
        <f aca="false">SUM($J162:AF162)</f>
        <v>90615.7829831745</v>
      </c>
      <c r="AG165" s="8" t="n">
        <f aca="false">SUM($J162:AG162)</f>
        <v>100073.889801789</v>
      </c>
      <c r="AH165" s="8" t="n">
        <f aca="false">SUM($J162:AH162)</f>
        <v>109542.173071823</v>
      </c>
      <c r="AI165" s="8" t="n">
        <f aca="false">SUM($J162:AI162)</f>
        <v>119019.355502542</v>
      </c>
      <c r="AJ165" s="8" t="n">
        <f aca="false">SUM($J162:AJ162)</f>
        <v>128504.118191328</v>
      </c>
      <c r="AK165" s="8" t="n">
        <f aca="false">SUM($J162:AK162)</f>
        <v>137995.099537751</v>
      </c>
      <c r="AL165" s="8" t="n">
        <f aca="false">SUM($J162:AL162)</f>
        <v>147490.89413067</v>
      </c>
      <c r="AM165" s="8" t="n">
        <f aca="false">SUM($J162:AM162)</f>
        <v>156990.051607669</v>
      </c>
      <c r="AN165" s="8" t="n">
        <f aca="false">SUM($J162:AN162)</f>
        <v>166491.075486181</v>
      </c>
      <c r="AO165" s="8" t="n">
        <f aca="false">SUM($J162:AO162)</f>
        <v>175992.421965566</v>
      </c>
      <c r="AP165" s="8" t="n">
        <f aca="false">SUM($J162:AP162)</f>
        <v>185492.498699469</v>
      </c>
      <c r="AQ165" s="8" t="n">
        <f aca="false">SUM($J162:AQ162)</f>
        <v>194989.6635377</v>
      </c>
      <c r="AR165" s="8" t="n">
        <f aca="false">SUM($J162:AR162)</f>
        <v>204482.223236895</v>
      </c>
      <c r="AS165" s="8" t="n">
        <f aca="false">SUM($J162:AS162)</f>
        <v>209225.327688047</v>
      </c>
    </row>
    <row r="167" customFormat="false" ht="14.25" hidden="false" customHeight="false" outlineLevel="0" collapsed="false">
      <c r="C167" s="42" t="s">
        <v>6</v>
      </c>
      <c r="D167" s="42"/>
      <c r="E167" s="43"/>
      <c r="F167" s="43"/>
      <c r="G167" s="43"/>
      <c r="H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  <c r="AO167" s="43"/>
      <c r="AP167" s="43"/>
      <c r="AQ167" s="43"/>
      <c r="AR167" s="43"/>
      <c r="AS167" s="43"/>
    </row>
    <row r="168" customFormat="false" ht="14.25" hidden="false" customHeight="false" outlineLevel="0" collapsed="false">
      <c r="C168" s="6" t="s">
        <v>157</v>
      </c>
      <c r="D168" s="2" t="s">
        <v>85</v>
      </c>
      <c r="H168" s="8" t="n">
        <f aca="false">SUM(J168:AS168)</f>
        <v>-76800.0592465753</v>
      </c>
      <c r="J168" s="8" t="n">
        <f aca="false">J426</f>
        <v>0</v>
      </c>
      <c r="K168" s="8" t="n">
        <f aca="false">K426</f>
        <v>0</v>
      </c>
      <c r="L168" s="8" t="n">
        <f aca="false">L426</f>
        <v>0</v>
      </c>
      <c r="M168" s="8" t="n">
        <f aca="false">M426</f>
        <v>-29757.5797945206</v>
      </c>
      <c r="N168" s="8" t="n">
        <f aca="false">N426</f>
        <v>-31358</v>
      </c>
      <c r="O168" s="8" t="n">
        <f aca="false">O426</f>
        <v>-18179</v>
      </c>
      <c r="P168" s="8" t="n">
        <f aca="false">P426</f>
        <v>0</v>
      </c>
      <c r="Q168" s="8" t="n">
        <f aca="false">Q426</f>
        <v>2494.52054794521</v>
      </c>
      <c r="R168" s="8" t="n">
        <f aca="false">R426</f>
        <v>0</v>
      </c>
      <c r="S168" s="8" t="n">
        <f aca="false">S426</f>
        <v>0</v>
      </c>
      <c r="T168" s="8" t="n">
        <f aca="false">T426</f>
        <v>0</v>
      </c>
      <c r="U168" s="8" t="n">
        <f aca="false">U426</f>
        <v>0</v>
      </c>
      <c r="V168" s="8" t="n">
        <f aca="false">V426</f>
        <v>0</v>
      </c>
      <c r="W168" s="8" t="n">
        <f aca="false">W426</f>
        <v>0</v>
      </c>
      <c r="X168" s="8" t="n">
        <f aca="false">X426</f>
        <v>0</v>
      </c>
      <c r="Y168" s="8" t="n">
        <f aca="false">Y426</f>
        <v>0</v>
      </c>
      <c r="Z168" s="8" t="n">
        <f aca="false">Z426</f>
        <v>0</v>
      </c>
      <c r="AA168" s="8" t="n">
        <f aca="false">AA426</f>
        <v>0</v>
      </c>
      <c r="AB168" s="8" t="n">
        <f aca="false">AB426</f>
        <v>0</v>
      </c>
      <c r="AC168" s="8" t="n">
        <f aca="false">AC426</f>
        <v>0</v>
      </c>
      <c r="AD168" s="8" t="n">
        <f aca="false">AD426</f>
        <v>0</v>
      </c>
      <c r="AE168" s="8" t="n">
        <f aca="false">AE426</f>
        <v>0</v>
      </c>
      <c r="AF168" s="8" t="n">
        <f aca="false">AF426</f>
        <v>0</v>
      </c>
      <c r="AG168" s="8" t="n">
        <f aca="false">AG426</f>
        <v>0</v>
      </c>
      <c r="AH168" s="8" t="n">
        <f aca="false">AH426</f>
        <v>0</v>
      </c>
      <c r="AI168" s="8" t="n">
        <f aca="false">AI426</f>
        <v>0</v>
      </c>
      <c r="AJ168" s="8" t="n">
        <f aca="false">AJ426</f>
        <v>0</v>
      </c>
      <c r="AK168" s="8" t="n">
        <f aca="false">AK426</f>
        <v>0</v>
      </c>
      <c r="AL168" s="8" t="n">
        <f aca="false">AL426</f>
        <v>0</v>
      </c>
      <c r="AM168" s="8" t="n">
        <f aca="false">AM426</f>
        <v>0</v>
      </c>
      <c r="AN168" s="8" t="n">
        <f aca="false">AN426</f>
        <v>0</v>
      </c>
      <c r="AO168" s="8" t="n">
        <f aca="false">AO426</f>
        <v>0</v>
      </c>
      <c r="AP168" s="8" t="n">
        <f aca="false">AP426</f>
        <v>0</v>
      </c>
      <c r="AQ168" s="8" t="n">
        <f aca="false">AQ426</f>
        <v>0</v>
      </c>
      <c r="AR168" s="8" t="n">
        <f aca="false">AR426</f>
        <v>0</v>
      </c>
      <c r="AS168" s="8" t="n">
        <f aca="false">AS426</f>
        <v>0</v>
      </c>
    </row>
    <row r="169" customFormat="false" ht="14.25" hidden="false" customHeight="false" outlineLevel="0" collapsed="false">
      <c r="C169" s="6" t="s">
        <v>158</v>
      </c>
      <c r="D169" s="2" t="s">
        <v>85</v>
      </c>
      <c r="H169" s="8" t="n">
        <f aca="false">SUM(J169:AS169)</f>
        <v>446130.685729454</v>
      </c>
      <c r="J169" s="8" t="n">
        <f aca="false">J430</f>
        <v>0</v>
      </c>
      <c r="K169" s="8" t="n">
        <f aca="false">K430</f>
        <v>0</v>
      </c>
      <c r="L169" s="8" t="n">
        <f aca="false">L430</f>
        <v>0</v>
      </c>
      <c r="M169" s="8" t="n">
        <f aca="false">M430</f>
        <v>0</v>
      </c>
      <c r="N169" s="8" t="n">
        <f aca="false">N430</f>
        <v>0</v>
      </c>
      <c r="O169" s="8" t="n">
        <f aca="false">O430</f>
        <v>6667.92</v>
      </c>
      <c r="P169" s="8" t="n">
        <f aca="false">P430</f>
        <v>13469.1984</v>
      </c>
      <c r="Q169" s="8" t="n">
        <f aca="false">Q430</f>
        <v>13563.078712848</v>
      </c>
      <c r="R169" s="8" t="n">
        <f aca="false">R430</f>
        <v>13657.6133714766</v>
      </c>
      <c r="S169" s="8" t="n">
        <f aca="false">S430</f>
        <v>13752.8069366757</v>
      </c>
      <c r="T169" s="8" t="n">
        <f aca="false">T430</f>
        <v>13848.6640010244</v>
      </c>
      <c r="U169" s="8" t="n">
        <f aca="false">U430</f>
        <v>13945.1891891115</v>
      </c>
      <c r="V169" s="8" t="n">
        <f aca="false">V430</f>
        <v>14042.3871577596</v>
      </c>
      <c r="W169" s="8" t="n">
        <f aca="false">W430</f>
        <v>14140.2625962492</v>
      </c>
      <c r="X169" s="8" t="n">
        <f aca="false">X430</f>
        <v>14238.8202265451</v>
      </c>
      <c r="Y169" s="8" t="n">
        <f aca="false">Y430</f>
        <v>14338.0648035241</v>
      </c>
      <c r="Z169" s="8" t="n">
        <f aca="false">Z430</f>
        <v>14438.0011152046</v>
      </c>
      <c r="AA169" s="8" t="n">
        <f aca="false">AA430</f>
        <v>14538.6339829776</v>
      </c>
      <c r="AB169" s="8" t="n">
        <f aca="false">AB430</f>
        <v>14639.968261839</v>
      </c>
      <c r="AC169" s="8" t="n">
        <f aca="false">AC430</f>
        <v>14742.008840624</v>
      </c>
      <c r="AD169" s="8" t="n">
        <f aca="false">AD430</f>
        <v>14844.7606422431</v>
      </c>
      <c r="AE169" s="8" t="n">
        <f aca="false">AE430</f>
        <v>14948.2286239196</v>
      </c>
      <c r="AF169" s="8" t="n">
        <f aca="false">AF430</f>
        <v>15052.4177774283</v>
      </c>
      <c r="AG169" s="8" t="n">
        <f aca="false">AG430</f>
        <v>15157.333129337</v>
      </c>
      <c r="AH169" s="8" t="n">
        <f aca="false">AH430</f>
        <v>15262.9797412485</v>
      </c>
      <c r="AI169" s="8" t="n">
        <f aca="false">AI430</f>
        <v>15369.362710045</v>
      </c>
      <c r="AJ169" s="8" t="n">
        <f aca="false">AJ430</f>
        <v>15476.487168134</v>
      </c>
      <c r="AK169" s="8" t="n">
        <f aca="false">AK430</f>
        <v>15584.3582836959</v>
      </c>
      <c r="AL169" s="8" t="n">
        <f aca="false">AL430</f>
        <v>15692.9812609332</v>
      </c>
      <c r="AM169" s="8" t="n">
        <f aca="false">AM430</f>
        <v>15802.3613403219</v>
      </c>
      <c r="AN169" s="8" t="n">
        <f aca="false">AN430</f>
        <v>15912.503798864</v>
      </c>
      <c r="AO169" s="8" t="n">
        <f aca="false">AO430</f>
        <v>16023.4139503421</v>
      </c>
      <c r="AP169" s="8" t="n">
        <f aca="false">AP430</f>
        <v>16135.0971455759</v>
      </c>
      <c r="AQ169" s="8" t="n">
        <f aca="false">AQ430</f>
        <v>16247.5587726806</v>
      </c>
      <c r="AR169" s="8" t="n">
        <f aca="false">AR430</f>
        <v>16360.8042573262</v>
      </c>
      <c r="AS169" s="8" t="n">
        <f aca="false">AS430</f>
        <v>8237.41953149987</v>
      </c>
    </row>
    <row r="170" customFormat="false" ht="14.25" hidden="false" customHeight="false" outlineLevel="0" collapsed="false">
      <c r="C170" s="6" t="s">
        <v>159</v>
      </c>
      <c r="D170" s="2" t="s">
        <v>85</v>
      </c>
      <c r="H170" s="8" t="n">
        <f aca="false">SUM(J170:AS170)</f>
        <v>-130425.697623429</v>
      </c>
      <c r="J170" s="8" t="n">
        <f aca="false">J439</f>
        <v>0</v>
      </c>
      <c r="K170" s="8" t="n">
        <f aca="false">K439</f>
        <v>0</v>
      </c>
      <c r="L170" s="8" t="n">
        <f aca="false">L439</f>
        <v>0</v>
      </c>
      <c r="M170" s="8" t="n">
        <f aca="false">M439</f>
        <v>0</v>
      </c>
      <c r="N170" s="8" t="n">
        <f aca="false">N439</f>
        <v>0</v>
      </c>
      <c r="O170" s="8" t="n">
        <f aca="false">O439</f>
        <v>-1598.148216</v>
      </c>
      <c r="P170" s="8" t="n">
        <f aca="false">P439</f>
        <v>-3260.87985132</v>
      </c>
      <c r="Q170" s="8" t="n">
        <f aca="false">Q439</f>
        <v>-3322.39115932295</v>
      </c>
      <c r="R170" s="8" t="n">
        <f aca="false">R439</f>
        <v>-3385.38820151339</v>
      </c>
      <c r="S170" s="8" t="n">
        <f aca="false">S439</f>
        <v>-3449.90658222877</v>
      </c>
      <c r="T170" s="8" t="n">
        <f aca="false">T439</f>
        <v>-3515.98276867813</v>
      </c>
      <c r="U170" s="8" t="n">
        <f aca="false">U439</f>
        <v>-3583.65411193425</v>
      </c>
      <c r="V170" s="8" t="n">
        <f aca="false">V439</f>
        <v>-3652.95886843809</v>
      </c>
      <c r="W170" s="8" t="n">
        <f aca="false">W439</f>
        <v>-3723.93622202803</v>
      </c>
      <c r="X170" s="8" t="n">
        <f aca="false">X439</f>
        <v>-3796.62630650685</v>
      </c>
      <c r="Y170" s="8" t="n">
        <f aca="false">Y439</f>
        <v>-3871.07022875947</v>
      </c>
      <c r="Z170" s="8" t="n">
        <f aca="false">Z439</f>
        <v>-3947.31009243507</v>
      </c>
      <c r="AA170" s="8" t="n">
        <f aca="false">AA439</f>
        <v>-4025.38902220729</v>
      </c>
      <c r="AB170" s="8" t="n">
        <f aca="false">AB439</f>
        <v>-4105.3511886267</v>
      </c>
      <c r="AC170" s="8" t="n">
        <f aca="false">AC439</f>
        <v>-4187.24183358009</v>
      </c>
      <c r="AD170" s="8" t="n">
        <f aca="false">AD439</f>
        <v>-4271.10729637127</v>
      </c>
      <c r="AE170" s="8" t="n">
        <f aca="false">AE439</f>
        <v>-4356.99504043889</v>
      </c>
      <c r="AF170" s="8" t="n">
        <f aca="false">AF439</f>
        <v>-4444.95368072645</v>
      </c>
      <c r="AG170" s="8" t="n">
        <f aca="false">AG439</f>
        <v>-4535.0330117209</v>
      </c>
      <c r="AH170" s="8" t="n">
        <f aca="false">AH439</f>
        <v>-4627.28403617592</v>
      </c>
      <c r="AI170" s="8" t="n">
        <f aca="false">AI439</f>
        <v>-4721.75899453672</v>
      </c>
      <c r="AJ170" s="8" t="n">
        <f aca="false">AJ439</f>
        <v>-4818.51139508354</v>
      </c>
      <c r="AK170" s="8" t="n">
        <f aca="false">AK439</f>
        <v>-4917.59604481147</v>
      </c>
      <c r="AL170" s="8" t="n">
        <f aca="false">AL439</f>
        <v>-5019.06908106463</v>
      </c>
      <c r="AM170" s="8" t="n">
        <f aca="false">AM439</f>
        <v>-5122.98800394303</v>
      </c>
      <c r="AN170" s="8" t="n">
        <f aca="false">AN439</f>
        <v>-5229.41170950133</v>
      </c>
      <c r="AO170" s="8" t="n">
        <f aca="false">AO439</f>
        <v>-5338.40052375853</v>
      </c>
      <c r="AP170" s="8" t="n">
        <f aca="false">AP439</f>
        <v>-5450.01623753884</v>
      </c>
      <c r="AQ170" s="8" t="n">
        <f aca="false">AQ439</f>
        <v>-5564.32214216366</v>
      </c>
      <c r="AR170" s="8" t="n">
        <f aca="false">AR439</f>
        <v>-5681.38306601601</v>
      </c>
      <c r="AS170" s="8" t="n">
        <f aca="false">AS439</f>
        <v>-2900.63270599912</v>
      </c>
    </row>
    <row r="171" customFormat="false" ht="14.25" hidden="false" customHeight="false" outlineLevel="0" collapsed="false">
      <c r="C171" s="6" t="s">
        <v>160</v>
      </c>
      <c r="D171" s="2" t="s">
        <v>85</v>
      </c>
      <c r="H171" s="8" t="n">
        <f aca="false">SUM(J171:AS171)</f>
        <v>315704.988106025</v>
      </c>
      <c r="J171" s="8" t="n">
        <f aca="false">J440</f>
        <v>0</v>
      </c>
      <c r="K171" s="8" t="n">
        <f aca="false">K440</f>
        <v>0</v>
      </c>
      <c r="L171" s="8" t="n">
        <f aca="false">L440</f>
        <v>0</v>
      </c>
      <c r="M171" s="8" t="n">
        <f aca="false">M440</f>
        <v>0</v>
      </c>
      <c r="N171" s="8" t="n">
        <f aca="false">N440</f>
        <v>0</v>
      </c>
      <c r="O171" s="8" t="n">
        <f aca="false">O440</f>
        <v>5069.771784</v>
      </c>
      <c r="P171" s="8" t="n">
        <f aca="false">P440</f>
        <v>10208.31854868</v>
      </c>
      <c r="Q171" s="8" t="n">
        <f aca="false">Q440</f>
        <v>10240.6875535251</v>
      </c>
      <c r="R171" s="8" t="n">
        <f aca="false">R440</f>
        <v>10272.2251699632</v>
      </c>
      <c r="S171" s="8" t="n">
        <f aca="false">S440</f>
        <v>10302.900354447</v>
      </c>
      <c r="T171" s="8" t="n">
        <f aca="false">T440</f>
        <v>10332.6812323462</v>
      </c>
      <c r="U171" s="8" t="n">
        <f aca="false">U440</f>
        <v>10361.5350771773</v>
      </c>
      <c r="V171" s="8" t="n">
        <f aca="false">V440</f>
        <v>10389.4282893215</v>
      </c>
      <c r="W171" s="8" t="n">
        <f aca="false">W440</f>
        <v>10416.3263742212</v>
      </c>
      <c r="X171" s="8" t="n">
        <f aca="false">X440</f>
        <v>10442.1939200382</v>
      </c>
      <c r="Y171" s="8" t="n">
        <f aca="false">Y440</f>
        <v>10466.9945747646</v>
      </c>
      <c r="Z171" s="8" t="n">
        <f aca="false">Z440</f>
        <v>10490.6910227696</v>
      </c>
      <c r="AA171" s="8" t="n">
        <f aca="false">AA440</f>
        <v>10513.2449607703</v>
      </c>
      <c r="AB171" s="8" t="n">
        <f aca="false">AB440</f>
        <v>10534.6170732123</v>
      </c>
      <c r="AC171" s="8" t="n">
        <f aca="false">AC440</f>
        <v>10554.7670070439</v>
      </c>
      <c r="AD171" s="8" t="n">
        <f aca="false">AD440</f>
        <v>10573.6533458719</v>
      </c>
      <c r="AE171" s="8" t="n">
        <f aca="false">AE440</f>
        <v>10591.2335834807</v>
      </c>
      <c r="AF171" s="8" t="n">
        <f aca="false">AF440</f>
        <v>10607.4640967019</v>
      </c>
      <c r="AG171" s="8" t="n">
        <f aca="false">AG440</f>
        <v>10622.3001176161</v>
      </c>
      <c r="AH171" s="8" t="n">
        <f aca="false">AH440</f>
        <v>10635.6957050725</v>
      </c>
      <c r="AI171" s="8" t="n">
        <f aca="false">AI440</f>
        <v>10647.6037155082</v>
      </c>
      <c r="AJ171" s="8" t="n">
        <f aca="false">AJ440</f>
        <v>10657.9757730504</v>
      </c>
      <c r="AK171" s="8" t="n">
        <f aca="false">AK440</f>
        <v>10666.7622388844</v>
      </c>
      <c r="AL171" s="8" t="n">
        <f aca="false">AL440</f>
        <v>10673.9121798686</v>
      </c>
      <c r="AM171" s="8" t="n">
        <f aca="false">AM440</f>
        <v>10679.3733363789</v>
      </c>
      <c r="AN171" s="8" t="n">
        <f aca="false">AN440</f>
        <v>10683.0920893626</v>
      </c>
      <c r="AO171" s="8" t="n">
        <f aca="false">AO440</f>
        <v>10685.0134265835</v>
      </c>
      <c r="AP171" s="8" t="n">
        <f aca="false">AP440</f>
        <v>10685.0809080371</v>
      </c>
      <c r="AQ171" s="8" t="n">
        <f aca="false">AQ440</f>
        <v>10683.2366305169</v>
      </c>
      <c r="AR171" s="8" t="n">
        <f aca="false">AR440</f>
        <v>10679.4211913102</v>
      </c>
      <c r="AS171" s="8" t="n">
        <f aca="false">AS440</f>
        <v>5336.78682550075</v>
      </c>
    </row>
    <row r="172" customFormat="false" ht="14.25" hidden="false" customHeight="false" outlineLevel="0" collapsed="false">
      <c r="C172" s="1" t="s">
        <v>161</v>
      </c>
      <c r="D172" s="2" t="s">
        <v>85</v>
      </c>
      <c r="H172" s="15" t="n">
        <f aca="false">SUM(J172:AS172)</f>
        <v>238904.92885945</v>
      </c>
      <c r="J172" s="15" t="n">
        <f aca="false">J441</f>
        <v>0</v>
      </c>
      <c r="K172" s="15" t="n">
        <f aca="false">K441</f>
        <v>0</v>
      </c>
      <c r="L172" s="15" t="n">
        <f aca="false">L441</f>
        <v>0</v>
      </c>
      <c r="M172" s="15" t="n">
        <f aca="false">M441</f>
        <v>-29757.5797945206</v>
      </c>
      <c r="N172" s="15" t="n">
        <f aca="false">N441</f>
        <v>-31358</v>
      </c>
      <c r="O172" s="15" t="n">
        <f aca="false">O441</f>
        <v>-13109.228216</v>
      </c>
      <c r="P172" s="15" t="n">
        <f aca="false">P441</f>
        <v>10208.31854868</v>
      </c>
      <c r="Q172" s="15" t="n">
        <f aca="false">Q441</f>
        <v>12735.2081014703</v>
      </c>
      <c r="R172" s="15" t="n">
        <f aca="false">R441</f>
        <v>10272.2251699632</v>
      </c>
      <c r="S172" s="15" t="n">
        <f aca="false">S441</f>
        <v>10302.900354447</v>
      </c>
      <c r="T172" s="15" t="n">
        <f aca="false">T441</f>
        <v>10332.6812323462</v>
      </c>
      <c r="U172" s="15" t="n">
        <f aca="false">U441</f>
        <v>10361.5350771773</v>
      </c>
      <c r="V172" s="15" t="n">
        <f aca="false">V441</f>
        <v>10389.4282893215</v>
      </c>
      <c r="W172" s="15" t="n">
        <f aca="false">W441</f>
        <v>10416.3263742212</v>
      </c>
      <c r="X172" s="15" t="n">
        <f aca="false">X441</f>
        <v>10442.1939200382</v>
      </c>
      <c r="Y172" s="15" t="n">
        <f aca="false">Y441</f>
        <v>10466.9945747646</v>
      </c>
      <c r="Z172" s="15" t="n">
        <f aca="false">Z441</f>
        <v>10490.6910227696</v>
      </c>
      <c r="AA172" s="15" t="n">
        <f aca="false">AA441</f>
        <v>10513.2449607703</v>
      </c>
      <c r="AB172" s="15" t="n">
        <f aca="false">AB441</f>
        <v>10534.6170732123</v>
      </c>
      <c r="AC172" s="15" t="n">
        <f aca="false">AC441</f>
        <v>10554.7670070439</v>
      </c>
      <c r="AD172" s="15" t="n">
        <f aca="false">AD441</f>
        <v>10573.6533458719</v>
      </c>
      <c r="AE172" s="15" t="n">
        <f aca="false">AE441</f>
        <v>10591.2335834807</v>
      </c>
      <c r="AF172" s="15" t="n">
        <f aca="false">AF441</f>
        <v>10607.4640967019</v>
      </c>
      <c r="AG172" s="15" t="n">
        <f aca="false">AG441</f>
        <v>10622.3001176161</v>
      </c>
      <c r="AH172" s="15" t="n">
        <f aca="false">AH441</f>
        <v>10635.6957050725</v>
      </c>
      <c r="AI172" s="15" t="n">
        <f aca="false">AI441</f>
        <v>10647.6037155082</v>
      </c>
      <c r="AJ172" s="15" t="n">
        <f aca="false">AJ441</f>
        <v>10657.9757730504</v>
      </c>
      <c r="AK172" s="15" t="n">
        <f aca="false">AK441</f>
        <v>10666.7622388844</v>
      </c>
      <c r="AL172" s="15" t="n">
        <f aca="false">AL441</f>
        <v>10673.9121798686</v>
      </c>
      <c r="AM172" s="15" t="n">
        <f aca="false">AM441</f>
        <v>10679.3733363789</v>
      </c>
      <c r="AN172" s="15" t="n">
        <f aca="false">AN441</f>
        <v>10683.0920893626</v>
      </c>
      <c r="AO172" s="15" t="n">
        <f aca="false">AO441</f>
        <v>10685.0134265835</v>
      </c>
      <c r="AP172" s="15" t="n">
        <f aca="false">AP441</f>
        <v>10685.0809080371</v>
      </c>
      <c r="AQ172" s="15" t="n">
        <f aca="false">AQ441</f>
        <v>10683.2366305169</v>
      </c>
      <c r="AR172" s="15" t="n">
        <f aca="false">AR441</f>
        <v>10679.4211913102</v>
      </c>
      <c r="AS172" s="15" t="n">
        <f aca="false">AS441</f>
        <v>5336.78682550075</v>
      </c>
    </row>
    <row r="173" customFormat="false" ht="14.25" hidden="false" customHeight="false" outlineLevel="0" collapsed="false">
      <c r="C173" s="1" t="s">
        <v>162</v>
      </c>
      <c r="D173" s="2" t="s">
        <v>85</v>
      </c>
      <c r="H173" s="15" t="n">
        <f aca="false">SUM(J173:AS173)</f>
        <v>203069.189530532</v>
      </c>
      <c r="J173" s="15" t="n">
        <f aca="false">J444</f>
        <v>0</v>
      </c>
      <c r="K173" s="15" t="n">
        <f aca="false">K444</f>
        <v>0</v>
      </c>
      <c r="L173" s="15" t="n">
        <f aca="false">L444</f>
        <v>0</v>
      </c>
      <c r="M173" s="15" t="n">
        <f aca="false">M444</f>
        <v>-29757.5797945206</v>
      </c>
      <c r="N173" s="15" t="n">
        <f aca="false">N444</f>
        <v>-31358</v>
      </c>
      <c r="O173" s="15" t="n">
        <f aca="false">O444</f>
        <v>-13293.6935392507</v>
      </c>
      <c r="P173" s="15" t="n">
        <f aca="false">P444</f>
        <v>9253.07121072731</v>
      </c>
      <c r="Q173" s="15" t="n">
        <f aca="false">Q444</f>
        <v>11775.1054127908</v>
      </c>
      <c r="R173" s="15" t="n">
        <f aca="false">R444</f>
        <v>9307.391838818</v>
      </c>
      <c r="S173" s="15" t="n">
        <f aca="false">S444</f>
        <v>9333.46574562924</v>
      </c>
      <c r="T173" s="15" t="n">
        <f aca="false">T444</f>
        <v>9358.77949184362</v>
      </c>
      <c r="U173" s="15" t="n">
        <f aca="false">U444</f>
        <v>9383.30525994999</v>
      </c>
      <c r="V173" s="15" t="n">
        <f aca="false">V444</f>
        <v>9407.01449027262</v>
      </c>
      <c r="W173" s="15" t="n">
        <f aca="false">W444</f>
        <v>9429.87786243732</v>
      </c>
      <c r="X173" s="15" t="n">
        <f aca="false">X444</f>
        <v>9451.8652763818</v>
      </c>
      <c r="Y173" s="15" t="n">
        <f aca="false">Y444</f>
        <v>9472.94583289924</v>
      </c>
      <c r="Z173" s="15" t="n">
        <f aca="false">Z444</f>
        <v>9493.08781370345</v>
      </c>
      <c r="AA173" s="15" t="n">
        <f aca="false">AA444</f>
        <v>9512.25866100409</v>
      </c>
      <c r="AB173" s="15" t="n">
        <f aca="false">AB444</f>
        <v>9530.42495657974</v>
      </c>
      <c r="AC173" s="15" t="n">
        <f aca="false">AC444</f>
        <v>9547.55240033664</v>
      </c>
      <c r="AD173" s="15" t="n">
        <f aca="false">AD444</f>
        <v>9563.6057883404</v>
      </c>
      <c r="AE173" s="15" t="n">
        <f aca="false">AE444</f>
        <v>9578.5489903079</v>
      </c>
      <c r="AF173" s="15" t="n">
        <f aca="false">AF444</f>
        <v>9592.34492654589</v>
      </c>
      <c r="AG173" s="15" t="n">
        <f aca="false">AG444</f>
        <v>9604.95554432298</v>
      </c>
      <c r="AH173" s="15" t="n">
        <f aca="false">AH444</f>
        <v>9616.34179366096</v>
      </c>
      <c r="AI173" s="15" t="n">
        <f aca="false">AI444</f>
        <v>9050.463158182</v>
      </c>
      <c r="AJ173" s="15" t="n">
        <f aca="false">AJ444</f>
        <v>9059.27940709287</v>
      </c>
      <c r="AK173" s="15" t="n">
        <f aca="false">AK444</f>
        <v>9066.74790305173</v>
      </c>
      <c r="AL173" s="15" t="n">
        <f aca="false">AL444</f>
        <v>9072.8253528883</v>
      </c>
      <c r="AM173" s="15" t="n">
        <f aca="false">AM444</f>
        <v>9077.46733592206</v>
      </c>
      <c r="AN173" s="15" t="n">
        <f aca="false">AN444</f>
        <v>9080.62827595824</v>
      </c>
      <c r="AO173" s="15" t="n">
        <f aca="false">AO444</f>
        <v>9082.26141259599</v>
      </c>
      <c r="AP173" s="15" t="n">
        <f aca="false">AP444</f>
        <v>9082.31877183154</v>
      </c>
      <c r="AQ173" s="15" t="n">
        <f aca="false">AQ444</f>
        <v>9080.75113593939</v>
      </c>
      <c r="AR173" s="15" t="n">
        <f aca="false">AR444</f>
        <v>9077.50801261365</v>
      </c>
      <c r="AS173" s="15" t="n">
        <f aca="false">AS444</f>
        <v>4536.26880167564</v>
      </c>
    </row>
    <row r="174" customFormat="false" ht="14.25" hidden="false" customHeight="false" outlineLevel="0" collapsed="false">
      <c r="C174" s="1" t="s">
        <v>163</v>
      </c>
      <c r="D174" s="2" t="s">
        <v>85</v>
      </c>
      <c r="H174" s="15" t="n">
        <f aca="false">SUM(J174:AS174)</f>
        <v>185634.15526428</v>
      </c>
      <c r="J174" s="15" t="n">
        <f aca="false">J451</f>
        <v>0</v>
      </c>
      <c r="K174" s="15" t="n">
        <f aca="false">K451</f>
        <v>0</v>
      </c>
      <c r="L174" s="15" t="n">
        <f aca="false">L451</f>
        <v>0</v>
      </c>
      <c r="M174" s="15" t="n">
        <f aca="false">M451</f>
        <v>-29757.5797945206</v>
      </c>
      <c r="N174" s="15" t="n">
        <f aca="false">N451</f>
        <v>-31358</v>
      </c>
      <c r="O174" s="15" t="n">
        <f aca="false">O451</f>
        <v>32786.3420086945</v>
      </c>
      <c r="P174" s="15" t="n">
        <f aca="false">P451</f>
        <v>5159.21543953256</v>
      </c>
      <c r="Q174" s="15" t="n">
        <f aca="false">Q451</f>
        <v>7665.23373464301</v>
      </c>
      <c r="R174" s="15" t="n">
        <f aca="false">R451</f>
        <v>5180.70345836949</v>
      </c>
      <c r="S174" s="15" t="n">
        <f aca="false">S451</f>
        <v>5189.11982776499</v>
      </c>
      <c r="T174" s="15" t="n">
        <f aca="false">T451</f>
        <v>5195.89315969284</v>
      </c>
      <c r="U174" s="15" t="n">
        <f aca="false">U451</f>
        <v>5200.95149279836</v>
      </c>
      <c r="V174" s="15" t="n">
        <f aca="false">V451</f>
        <v>5204.21991637009</v>
      </c>
      <c r="W174" s="15" t="n">
        <f aca="false">W451</f>
        <v>5205.62044144634</v>
      </c>
      <c r="X174" s="15" t="n">
        <f aca="false">X451</f>
        <v>5205.07186594796</v>
      </c>
      <c r="Y174" s="15" t="n">
        <f aca="false">Y451</f>
        <v>5202.48963355039</v>
      </c>
      <c r="Z174" s="15" t="n">
        <f aca="false">Z451</f>
        <v>5197.78568599385</v>
      </c>
      <c r="AA174" s="15" t="n">
        <f aca="false">AA451</f>
        <v>5190.86830851569</v>
      </c>
      <c r="AB174" s="15" t="n">
        <f aca="false">AB451</f>
        <v>5181.64196807361</v>
      </c>
      <c r="AC174" s="15" t="n">
        <f aca="false">AC451</f>
        <v>5170.00714401188</v>
      </c>
      <c r="AD174" s="15" t="n">
        <f aca="false">AD451</f>
        <v>5155.86015080609</v>
      </c>
      <c r="AE174" s="15" t="n">
        <f aca="false">AE451</f>
        <v>9578.5489903079</v>
      </c>
      <c r="AF174" s="15" t="n">
        <f aca="false">AF451</f>
        <v>9592.34492654589</v>
      </c>
      <c r="AG174" s="15" t="n">
        <f aca="false">AG451</f>
        <v>9604.95554432298</v>
      </c>
      <c r="AH174" s="15" t="n">
        <f aca="false">AH451</f>
        <v>9616.34179366096</v>
      </c>
      <c r="AI174" s="15" t="n">
        <f aca="false">AI451</f>
        <v>9050.463158182</v>
      </c>
      <c r="AJ174" s="15" t="n">
        <f aca="false">AJ451</f>
        <v>9059.27940709287</v>
      </c>
      <c r="AK174" s="15" t="n">
        <f aca="false">AK451</f>
        <v>9066.74790305173</v>
      </c>
      <c r="AL174" s="15" t="n">
        <f aca="false">AL451</f>
        <v>9072.8253528883</v>
      </c>
      <c r="AM174" s="15" t="n">
        <f aca="false">AM451</f>
        <v>9077.46733592206</v>
      </c>
      <c r="AN174" s="15" t="n">
        <f aca="false">AN451</f>
        <v>9080.62827595824</v>
      </c>
      <c r="AO174" s="15" t="n">
        <f aca="false">AO451</f>
        <v>9082.26141259599</v>
      </c>
      <c r="AP174" s="15" t="n">
        <f aca="false">AP451</f>
        <v>9082.31877183154</v>
      </c>
      <c r="AQ174" s="15" t="n">
        <f aca="false">AQ451</f>
        <v>9080.75113593939</v>
      </c>
      <c r="AR174" s="15" t="n">
        <f aca="false">AR451</f>
        <v>9077.50801261365</v>
      </c>
      <c r="AS174" s="15" t="n">
        <f aca="false">AS451</f>
        <v>4536.26880167564</v>
      </c>
    </row>
    <row r="175" customFormat="false" ht="14.25" hidden="false" customHeight="false" outlineLevel="0" collapsed="false">
      <c r="C175" s="6" t="s">
        <v>164</v>
      </c>
      <c r="D175" s="2" t="s">
        <v>85</v>
      </c>
      <c r="J175" s="8" t="n">
        <f aca="false">SUM($J172:J172)</f>
        <v>0</v>
      </c>
      <c r="K175" s="8" t="n">
        <f aca="false">SUM($J172:K172)</f>
        <v>0</v>
      </c>
      <c r="L175" s="8" t="n">
        <f aca="false">SUM($J172:L172)</f>
        <v>0</v>
      </c>
      <c r="M175" s="8" t="n">
        <f aca="false">SUM($J172:M172)</f>
        <v>-29757.5797945206</v>
      </c>
      <c r="N175" s="8" t="n">
        <f aca="false">SUM($J172:N172)</f>
        <v>-61115.5797945206</v>
      </c>
      <c r="O175" s="8" t="n">
        <f aca="false">SUM($J172:O172)</f>
        <v>-74224.8080105205</v>
      </c>
      <c r="P175" s="8" t="n">
        <f aca="false">SUM($J172:P172)</f>
        <v>-64016.4894618405</v>
      </c>
      <c r="Q175" s="8" t="n">
        <f aca="false">SUM($J172:Q172)</f>
        <v>-51281.2813603703</v>
      </c>
      <c r="R175" s="8" t="n">
        <f aca="false">SUM($J172:R172)</f>
        <v>-41009.0561904071</v>
      </c>
      <c r="S175" s="8" t="n">
        <f aca="false">SUM($J172:S172)</f>
        <v>-30706.1558359602</v>
      </c>
      <c r="T175" s="8" t="n">
        <f aca="false">SUM($J172:T172)</f>
        <v>-20373.4746036139</v>
      </c>
      <c r="U175" s="8" t="n">
        <f aca="false">SUM($J172:U172)</f>
        <v>-10011.9395264367</v>
      </c>
      <c r="V175" s="8" t="n">
        <f aca="false">SUM($J172:V172)</f>
        <v>377.488762884879</v>
      </c>
      <c r="W175" s="8" t="n">
        <f aca="false">SUM($J172:W172)</f>
        <v>10793.8151371061</v>
      </c>
      <c r="X175" s="8" t="n">
        <f aca="false">SUM($J172:X172)</f>
        <v>21236.0090571443</v>
      </c>
      <c r="Y175" s="8" t="n">
        <f aca="false">SUM($J172:Y172)</f>
        <v>31703.0036319089</v>
      </c>
      <c r="Z175" s="8" t="n">
        <f aca="false">SUM($J172:Z172)</f>
        <v>42193.6946546785</v>
      </c>
      <c r="AA175" s="8" t="n">
        <f aca="false">SUM($J172:AA172)</f>
        <v>52706.9396154488</v>
      </c>
      <c r="AB175" s="8" t="n">
        <f aca="false">SUM($J172:AB172)</f>
        <v>63241.5566886611</v>
      </c>
      <c r="AC175" s="8" t="n">
        <f aca="false">SUM($J172:AC172)</f>
        <v>73796.323695705</v>
      </c>
      <c r="AD175" s="8" t="n">
        <f aca="false">SUM($J172:AD172)</f>
        <v>84369.9770415768</v>
      </c>
      <c r="AE175" s="8" t="n">
        <f aca="false">SUM($J172:AE172)</f>
        <v>94961.2106250575</v>
      </c>
      <c r="AF175" s="8" t="n">
        <f aca="false">SUM($J172:AF172)</f>
        <v>105568.674721759</v>
      </c>
      <c r="AG175" s="8" t="n">
        <f aca="false">SUM($J172:AG172)</f>
        <v>116190.974839375</v>
      </c>
      <c r="AH175" s="8" t="n">
        <f aca="false">SUM($J172:AH172)</f>
        <v>126826.670544448</v>
      </c>
      <c r="AI175" s="8" t="n">
        <f aca="false">SUM($J172:AI172)</f>
        <v>137474.274259956</v>
      </c>
      <c r="AJ175" s="8" t="n">
        <f aca="false">SUM($J172:AJ172)</f>
        <v>148132.250033007</v>
      </c>
      <c r="AK175" s="8" t="n">
        <f aca="false">SUM($J172:AK172)</f>
        <v>158799.012271891</v>
      </c>
      <c r="AL175" s="8" t="n">
        <f aca="false">SUM($J172:AL172)</f>
        <v>169472.92445176</v>
      </c>
      <c r="AM175" s="8" t="n">
        <f aca="false">SUM($J172:AM172)</f>
        <v>180152.297788139</v>
      </c>
      <c r="AN175" s="8" t="n">
        <f aca="false">SUM($J172:AN172)</f>
        <v>190835.389877501</v>
      </c>
      <c r="AO175" s="8" t="n">
        <f aca="false">SUM($J172:AO172)</f>
        <v>201520.403304085</v>
      </c>
      <c r="AP175" s="8" t="n">
        <f aca="false">SUM($J172:AP172)</f>
        <v>212205.484212122</v>
      </c>
      <c r="AQ175" s="8" t="n">
        <f aca="false">SUM($J172:AQ172)</f>
        <v>222888.720842639</v>
      </c>
      <c r="AR175" s="8" t="n">
        <f aca="false">SUM($J172:AR172)</f>
        <v>233568.142033949</v>
      </c>
      <c r="AS175" s="8" t="n">
        <f aca="false">SUM($J172:AS172)</f>
        <v>238904.92885945</v>
      </c>
    </row>
    <row r="177" customFormat="false" ht="14.25" hidden="false" customHeight="false" outlineLevel="0" collapsed="false">
      <c r="C177" s="42" t="s">
        <v>7</v>
      </c>
      <c r="D177" s="42"/>
      <c r="E177" s="43"/>
      <c r="F177" s="43"/>
      <c r="G177" s="43"/>
      <c r="H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  <c r="AO177" s="43"/>
      <c r="AP177" s="43"/>
      <c r="AQ177" s="43"/>
      <c r="AR177" s="43"/>
      <c r="AS177" s="43"/>
    </row>
    <row r="178" customFormat="false" ht="14.25" hidden="false" customHeight="false" outlineLevel="0" collapsed="false">
      <c r="C178" s="6" t="s">
        <v>157</v>
      </c>
      <c r="D178" s="2" t="s">
        <v>85</v>
      </c>
      <c r="H178" s="8" t="n">
        <f aca="false">SUM(J178:AS178)</f>
        <v>-76800.0592465753</v>
      </c>
      <c r="J178" s="8" t="n">
        <f aca="false">J477</f>
        <v>0</v>
      </c>
      <c r="K178" s="8" t="n">
        <f aca="false">K477</f>
        <v>0</v>
      </c>
      <c r="L178" s="8" t="n">
        <f aca="false">L477</f>
        <v>0</v>
      </c>
      <c r="M178" s="8" t="n">
        <f aca="false">M477</f>
        <v>-29757.5797945206</v>
      </c>
      <c r="N178" s="8" t="n">
        <f aca="false">N477</f>
        <v>-31358</v>
      </c>
      <c r="O178" s="8" t="n">
        <f aca="false">O477</f>
        <v>-18179</v>
      </c>
      <c r="P178" s="8" t="n">
        <f aca="false">P477</f>
        <v>0</v>
      </c>
      <c r="Q178" s="8" t="n">
        <f aca="false">Q477</f>
        <v>2494.52054794521</v>
      </c>
      <c r="R178" s="8" t="n">
        <f aca="false">R477</f>
        <v>0</v>
      </c>
      <c r="S178" s="8" t="n">
        <f aca="false">S477</f>
        <v>0</v>
      </c>
      <c r="T178" s="8" t="n">
        <f aca="false">T477</f>
        <v>0</v>
      </c>
      <c r="U178" s="8" t="n">
        <f aca="false">U477</f>
        <v>0</v>
      </c>
      <c r="V178" s="8" t="n">
        <f aca="false">V477</f>
        <v>0</v>
      </c>
      <c r="W178" s="8" t="n">
        <f aca="false">W477</f>
        <v>0</v>
      </c>
      <c r="X178" s="8" t="n">
        <f aca="false">X477</f>
        <v>0</v>
      </c>
      <c r="Y178" s="8" t="n">
        <f aca="false">Y477</f>
        <v>0</v>
      </c>
      <c r="Z178" s="8" t="n">
        <f aca="false">Z477</f>
        <v>0</v>
      </c>
      <c r="AA178" s="8" t="n">
        <f aca="false">AA477</f>
        <v>0</v>
      </c>
      <c r="AB178" s="8" t="n">
        <f aca="false">AB477</f>
        <v>0</v>
      </c>
      <c r="AC178" s="8" t="n">
        <f aca="false">AC477</f>
        <v>0</v>
      </c>
      <c r="AD178" s="8" t="n">
        <f aca="false">AD477</f>
        <v>0</v>
      </c>
      <c r="AE178" s="8" t="n">
        <f aca="false">AE477</f>
        <v>0</v>
      </c>
      <c r="AF178" s="8" t="n">
        <f aca="false">AF477</f>
        <v>0</v>
      </c>
      <c r="AG178" s="8" t="n">
        <f aca="false">AG477</f>
        <v>0</v>
      </c>
      <c r="AH178" s="8" t="n">
        <f aca="false">AH477</f>
        <v>0</v>
      </c>
      <c r="AI178" s="8" t="n">
        <f aca="false">AI477</f>
        <v>0</v>
      </c>
      <c r="AJ178" s="8" t="n">
        <f aca="false">AJ477</f>
        <v>0</v>
      </c>
      <c r="AK178" s="8" t="n">
        <f aca="false">AK477</f>
        <v>0</v>
      </c>
      <c r="AL178" s="8" t="n">
        <f aca="false">AL477</f>
        <v>0</v>
      </c>
      <c r="AM178" s="8" t="n">
        <f aca="false">AM477</f>
        <v>0</v>
      </c>
      <c r="AN178" s="8" t="n">
        <f aca="false">AN477</f>
        <v>0</v>
      </c>
      <c r="AO178" s="8" t="n">
        <f aca="false">AO477</f>
        <v>0</v>
      </c>
      <c r="AP178" s="8" t="n">
        <f aca="false">AP477</f>
        <v>0</v>
      </c>
      <c r="AQ178" s="8" t="n">
        <f aca="false">AQ477</f>
        <v>0</v>
      </c>
      <c r="AR178" s="8" t="n">
        <f aca="false">AR477</f>
        <v>0</v>
      </c>
      <c r="AS178" s="8" t="n">
        <f aca="false">AS477</f>
        <v>0</v>
      </c>
    </row>
    <row r="179" customFormat="false" ht="14.25" hidden="false" customHeight="false" outlineLevel="0" collapsed="false">
      <c r="C179" s="6" t="s">
        <v>158</v>
      </c>
      <c r="D179" s="2" t="s">
        <v>85</v>
      </c>
      <c r="H179" s="8" t="n">
        <f aca="false">SUM(J179:AS179)</f>
        <v>446130.685729454</v>
      </c>
      <c r="J179" s="8" t="n">
        <f aca="false">J481</f>
        <v>0</v>
      </c>
      <c r="K179" s="8" t="n">
        <f aca="false">K481</f>
        <v>0</v>
      </c>
      <c r="L179" s="8" t="n">
        <f aca="false">L481</f>
        <v>0</v>
      </c>
      <c r="M179" s="8" t="n">
        <f aca="false">M481</f>
        <v>0</v>
      </c>
      <c r="N179" s="8" t="n">
        <f aca="false">N481</f>
        <v>0</v>
      </c>
      <c r="O179" s="8" t="n">
        <f aca="false">O481</f>
        <v>6667.92</v>
      </c>
      <c r="P179" s="8" t="n">
        <f aca="false">P481</f>
        <v>13469.1984</v>
      </c>
      <c r="Q179" s="8" t="n">
        <f aca="false">Q481</f>
        <v>13563.078712848</v>
      </c>
      <c r="R179" s="8" t="n">
        <f aca="false">R481</f>
        <v>13657.6133714766</v>
      </c>
      <c r="S179" s="8" t="n">
        <f aca="false">S481</f>
        <v>13752.8069366757</v>
      </c>
      <c r="T179" s="8" t="n">
        <f aca="false">T481</f>
        <v>13848.6640010244</v>
      </c>
      <c r="U179" s="8" t="n">
        <f aca="false">U481</f>
        <v>13945.1891891115</v>
      </c>
      <c r="V179" s="8" t="n">
        <f aca="false">V481</f>
        <v>14042.3871577596</v>
      </c>
      <c r="W179" s="8" t="n">
        <f aca="false">W481</f>
        <v>14140.2625962492</v>
      </c>
      <c r="X179" s="8" t="n">
        <f aca="false">X481</f>
        <v>14238.8202265451</v>
      </c>
      <c r="Y179" s="8" t="n">
        <f aca="false">Y481</f>
        <v>14338.0648035241</v>
      </c>
      <c r="Z179" s="8" t="n">
        <f aca="false">Z481</f>
        <v>14438.0011152046</v>
      </c>
      <c r="AA179" s="8" t="n">
        <f aca="false">AA481</f>
        <v>14538.6339829776</v>
      </c>
      <c r="AB179" s="8" t="n">
        <f aca="false">AB481</f>
        <v>14639.968261839</v>
      </c>
      <c r="AC179" s="8" t="n">
        <f aca="false">AC481</f>
        <v>14742.008840624</v>
      </c>
      <c r="AD179" s="8" t="n">
        <f aca="false">AD481</f>
        <v>14844.7606422431</v>
      </c>
      <c r="AE179" s="8" t="n">
        <f aca="false">AE481</f>
        <v>14948.2286239196</v>
      </c>
      <c r="AF179" s="8" t="n">
        <f aca="false">AF481</f>
        <v>15052.4177774283</v>
      </c>
      <c r="AG179" s="8" t="n">
        <f aca="false">AG481</f>
        <v>15157.333129337</v>
      </c>
      <c r="AH179" s="8" t="n">
        <f aca="false">AH481</f>
        <v>15262.9797412485</v>
      </c>
      <c r="AI179" s="8" t="n">
        <f aca="false">AI481</f>
        <v>15369.362710045</v>
      </c>
      <c r="AJ179" s="8" t="n">
        <f aca="false">AJ481</f>
        <v>15476.487168134</v>
      </c>
      <c r="AK179" s="8" t="n">
        <f aca="false">AK481</f>
        <v>15584.3582836959</v>
      </c>
      <c r="AL179" s="8" t="n">
        <f aca="false">AL481</f>
        <v>15692.9812609332</v>
      </c>
      <c r="AM179" s="8" t="n">
        <f aca="false">AM481</f>
        <v>15802.3613403219</v>
      </c>
      <c r="AN179" s="8" t="n">
        <f aca="false">AN481</f>
        <v>15912.503798864</v>
      </c>
      <c r="AO179" s="8" t="n">
        <f aca="false">AO481</f>
        <v>16023.4139503421</v>
      </c>
      <c r="AP179" s="8" t="n">
        <f aca="false">AP481</f>
        <v>16135.0971455759</v>
      </c>
      <c r="AQ179" s="8" t="n">
        <f aca="false">AQ481</f>
        <v>16247.5587726806</v>
      </c>
      <c r="AR179" s="8" t="n">
        <f aca="false">AR481</f>
        <v>16360.8042573262</v>
      </c>
      <c r="AS179" s="8" t="n">
        <f aca="false">AS481</f>
        <v>8237.41953149987</v>
      </c>
    </row>
    <row r="180" customFormat="false" ht="14.25" hidden="false" customHeight="false" outlineLevel="0" collapsed="false">
      <c r="C180" s="6" t="s">
        <v>159</v>
      </c>
      <c r="D180" s="2" t="s">
        <v>85</v>
      </c>
      <c r="H180" s="8" t="n">
        <f aca="false">SUM(J180:AS180)</f>
        <v>-130425.697623429</v>
      </c>
      <c r="J180" s="8" t="n">
        <f aca="false">J490</f>
        <v>0</v>
      </c>
      <c r="K180" s="8" t="n">
        <f aca="false">K490</f>
        <v>0</v>
      </c>
      <c r="L180" s="8" t="n">
        <f aca="false">L490</f>
        <v>0</v>
      </c>
      <c r="M180" s="8" t="n">
        <f aca="false">M490</f>
        <v>0</v>
      </c>
      <c r="N180" s="8" t="n">
        <f aca="false">N490</f>
        <v>0</v>
      </c>
      <c r="O180" s="8" t="n">
        <f aca="false">O490</f>
        <v>-1598.148216</v>
      </c>
      <c r="P180" s="8" t="n">
        <f aca="false">P490</f>
        <v>-3260.87985132</v>
      </c>
      <c r="Q180" s="8" t="n">
        <f aca="false">Q490</f>
        <v>-3322.39115932295</v>
      </c>
      <c r="R180" s="8" t="n">
        <f aca="false">R490</f>
        <v>-3385.38820151339</v>
      </c>
      <c r="S180" s="8" t="n">
        <f aca="false">S490</f>
        <v>-3449.90658222877</v>
      </c>
      <c r="T180" s="8" t="n">
        <f aca="false">T490</f>
        <v>-3515.98276867813</v>
      </c>
      <c r="U180" s="8" t="n">
        <f aca="false">U490</f>
        <v>-3583.65411193425</v>
      </c>
      <c r="V180" s="8" t="n">
        <f aca="false">V490</f>
        <v>-3652.95886843809</v>
      </c>
      <c r="W180" s="8" t="n">
        <f aca="false">W490</f>
        <v>-3723.93622202803</v>
      </c>
      <c r="X180" s="8" t="n">
        <f aca="false">X490</f>
        <v>-3796.62630650685</v>
      </c>
      <c r="Y180" s="8" t="n">
        <f aca="false">Y490</f>
        <v>-3871.07022875947</v>
      </c>
      <c r="Z180" s="8" t="n">
        <f aca="false">Z490</f>
        <v>-3947.31009243507</v>
      </c>
      <c r="AA180" s="8" t="n">
        <f aca="false">AA490</f>
        <v>-4025.38902220729</v>
      </c>
      <c r="AB180" s="8" t="n">
        <f aca="false">AB490</f>
        <v>-4105.3511886267</v>
      </c>
      <c r="AC180" s="8" t="n">
        <f aca="false">AC490</f>
        <v>-4187.24183358009</v>
      </c>
      <c r="AD180" s="8" t="n">
        <f aca="false">AD490</f>
        <v>-4271.10729637127</v>
      </c>
      <c r="AE180" s="8" t="n">
        <f aca="false">AE490</f>
        <v>-4356.99504043889</v>
      </c>
      <c r="AF180" s="8" t="n">
        <f aca="false">AF490</f>
        <v>-4444.95368072645</v>
      </c>
      <c r="AG180" s="8" t="n">
        <f aca="false">AG490</f>
        <v>-4535.0330117209</v>
      </c>
      <c r="AH180" s="8" t="n">
        <f aca="false">AH490</f>
        <v>-4627.28403617592</v>
      </c>
      <c r="AI180" s="8" t="n">
        <f aca="false">AI490</f>
        <v>-4721.75899453672</v>
      </c>
      <c r="AJ180" s="8" t="n">
        <f aca="false">AJ490</f>
        <v>-4818.51139508354</v>
      </c>
      <c r="AK180" s="8" t="n">
        <f aca="false">AK490</f>
        <v>-4917.59604481147</v>
      </c>
      <c r="AL180" s="8" t="n">
        <f aca="false">AL490</f>
        <v>-5019.06908106463</v>
      </c>
      <c r="AM180" s="8" t="n">
        <f aca="false">AM490</f>
        <v>-5122.98800394303</v>
      </c>
      <c r="AN180" s="8" t="n">
        <f aca="false">AN490</f>
        <v>-5229.41170950133</v>
      </c>
      <c r="AO180" s="8" t="n">
        <f aca="false">AO490</f>
        <v>-5338.40052375853</v>
      </c>
      <c r="AP180" s="8" t="n">
        <f aca="false">AP490</f>
        <v>-5450.01623753884</v>
      </c>
      <c r="AQ180" s="8" t="n">
        <f aca="false">AQ490</f>
        <v>-5564.32214216366</v>
      </c>
      <c r="AR180" s="8" t="n">
        <f aca="false">AR490</f>
        <v>-5681.38306601601</v>
      </c>
      <c r="AS180" s="8" t="n">
        <f aca="false">AS490</f>
        <v>-2900.63270599912</v>
      </c>
    </row>
    <row r="181" customFormat="false" ht="14.25" hidden="false" customHeight="false" outlineLevel="0" collapsed="false">
      <c r="C181" s="6" t="s">
        <v>160</v>
      </c>
      <c r="D181" s="2" t="s">
        <v>85</v>
      </c>
      <c r="H181" s="8" t="n">
        <f aca="false">SUM(J181:AS181)</f>
        <v>315704.988106025</v>
      </c>
      <c r="J181" s="8" t="n">
        <f aca="false">J491</f>
        <v>0</v>
      </c>
      <c r="K181" s="8" t="n">
        <f aca="false">K491</f>
        <v>0</v>
      </c>
      <c r="L181" s="8" t="n">
        <f aca="false">L491</f>
        <v>0</v>
      </c>
      <c r="M181" s="8" t="n">
        <f aca="false">M491</f>
        <v>0</v>
      </c>
      <c r="N181" s="8" t="n">
        <f aca="false">N491</f>
        <v>0</v>
      </c>
      <c r="O181" s="8" t="n">
        <f aca="false">O491</f>
        <v>5069.771784</v>
      </c>
      <c r="P181" s="8" t="n">
        <f aca="false">P491</f>
        <v>10208.31854868</v>
      </c>
      <c r="Q181" s="8" t="n">
        <f aca="false">Q491</f>
        <v>10240.6875535251</v>
      </c>
      <c r="R181" s="8" t="n">
        <f aca="false">R491</f>
        <v>10272.2251699632</v>
      </c>
      <c r="S181" s="8" t="n">
        <f aca="false">S491</f>
        <v>10302.900354447</v>
      </c>
      <c r="T181" s="8" t="n">
        <f aca="false">T491</f>
        <v>10332.6812323462</v>
      </c>
      <c r="U181" s="8" t="n">
        <f aca="false">U491</f>
        <v>10361.5350771773</v>
      </c>
      <c r="V181" s="8" t="n">
        <f aca="false">V491</f>
        <v>10389.4282893215</v>
      </c>
      <c r="W181" s="8" t="n">
        <f aca="false">W491</f>
        <v>10416.3263742212</v>
      </c>
      <c r="X181" s="8" t="n">
        <f aca="false">X491</f>
        <v>10442.1939200382</v>
      </c>
      <c r="Y181" s="8" t="n">
        <f aca="false">Y491</f>
        <v>10466.9945747646</v>
      </c>
      <c r="Z181" s="8" t="n">
        <f aca="false">Z491</f>
        <v>10490.6910227696</v>
      </c>
      <c r="AA181" s="8" t="n">
        <f aca="false">AA491</f>
        <v>10513.2449607703</v>
      </c>
      <c r="AB181" s="8" t="n">
        <f aca="false">AB491</f>
        <v>10534.6170732123</v>
      </c>
      <c r="AC181" s="8" t="n">
        <f aca="false">AC491</f>
        <v>10554.7670070439</v>
      </c>
      <c r="AD181" s="8" t="n">
        <f aca="false">AD491</f>
        <v>10573.6533458719</v>
      </c>
      <c r="AE181" s="8" t="n">
        <f aca="false">AE491</f>
        <v>10591.2335834807</v>
      </c>
      <c r="AF181" s="8" t="n">
        <f aca="false">AF491</f>
        <v>10607.4640967019</v>
      </c>
      <c r="AG181" s="8" t="n">
        <f aca="false">AG491</f>
        <v>10622.3001176161</v>
      </c>
      <c r="AH181" s="8" t="n">
        <f aca="false">AH491</f>
        <v>10635.6957050725</v>
      </c>
      <c r="AI181" s="8" t="n">
        <f aca="false">AI491</f>
        <v>10647.6037155082</v>
      </c>
      <c r="AJ181" s="8" t="n">
        <f aca="false">AJ491</f>
        <v>10657.9757730504</v>
      </c>
      <c r="AK181" s="8" t="n">
        <f aca="false">AK491</f>
        <v>10666.7622388844</v>
      </c>
      <c r="AL181" s="8" t="n">
        <f aca="false">AL491</f>
        <v>10673.9121798686</v>
      </c>
      <c r="AM181" s="8" t="n">
        <f aca="false">AM491</f>
        <v>10679.3733363789</v>
      </c>
      <c r="AN181" s="8" t="n">
        <f aca="false">AN491</f>
        <v>10683.0920893626</v>
      </c>
      <c r="AO181" s="8" t="n">
        <f aca="false">AO491</f>
        <v>10685.0134265835</v>
      </c>
      <c r="AP181" s="8" t="n">
        <f aca="false">AP491</f>
        <v>10685.0809080371</v>
      </c>
      <c r="AQ181" s="8" t="n">
        <f aca="false">AQ491</f>
        <v>10683.2366305169</v>
      </c>
      <c r="AR181" s="8" t="n">
        <f aca="false">AR491</f>
        <v>10679.4211913102</v>
      </c>
      <c r="AS181" s="8" t="n">
        <f aca="false">AS491</f>
        <v>5336.78682550075</v>
      </c>
    </row>
    <row r="182" customFormat="false" ht="14.25" hidden="false" customHeight="false" outlineLevel="0" collapsed="false">
      <c r="C182" s="1" t="s">
        <v>161</v>
      </c>
      <c r="D182" s="2" t="s">
        <v>85</v>
      </c>
      <c r="H182" s="15" t="n">
        <f aca="false">SUM(J182:AS182)</f>
        <v>238904.92885945</v>
      </c>
      <c r="J182" s="15" t="n">
        <f aca="false">J492</f>
        <v>0</v>
      </c>
      <c r="K182" s="15" t="n">
        <f aca="false">K492</f>
        <v>0</v>
      </c>
      <c r="L182" s="15" t="n">
        <f aca="false">L492</f>
        <v>0</v>
      </c>
      <c r="M182" s="15" t="n">
        <f aca="false">M492</f>
        <v>-29757.5797945206</v>
      </c>
      <c r="N182" s="15" t="n">
        <f aca="false">N492</f>
        <v>-31358</v>
      </c>
      <c r="O182" s="15" t="n">
        <f aca="false">O492</f>
        <v>-13109.228216</v>
      </c>
      <c r="P182" s="15" t="n">
        <f aca="false">P492</f>
        <v>10208.31854868</v>
      </c>
      <c r="Q182" s="15" t="n">
        <f aca="false">Q492</f>
        <v>12735.2081014703</v>
      </c>
      <c r="R182" s="15" t="n">
        <f aca="false">R492</f>
        <v>10272.2251699632</v>
      </c>
      <c r="S182" s="15" t="n">
        <f aca="false">S492</f>
        <v>10302.900354447</v>
      </c>
      <c r="T182" s="15" t="n">
        <f aca="false">T492</f>
        <v>10332.6812323462</v>
      </c>
      <c r="U182" s="15" t="n">
        <f aca="false">U492</f>
        <v>10361.5350771773</v>
      </c>
      <c r="V182" s="15" t="n">
        <f aca="false">V492</f>
        <v>10389.4282893215</v>
      </c>
      <c r="W182" s="15" t="n">
        <f aca="false">W492</f>
        <v>10416.3263742212</v>
      </c>
      <c r="X182" s="15" t="n">
        <f aca="false">X492</f>
        <v>10442.1939200382</v>
      </c>
      <c r="Y182" s="15" t="n">
        <f aca="false">Y492</f>
        <v>10466.9945747646</v>
      </c>
      <c r="Z182" s="15" t="n">
        <f aca="false">Z492</f>
        <v>10490.6910227696</v>
      </c>
      <c r="AA182" s="15" t="n">
        <f aca="false">AA492</f>
        <v>10513.2449607703</v>
      </c>
      <c r="AB182" s="15" t="n">
        <f aca="false">AB492</f>
        <v>10534.6170732123</v>
      </c>
      <c r="AC182" s="15" t="n">
        <f aca="false">AC492</f>
        <v>10554.7670070439</v>
      </c>
      <c r="AD182" s="15" t="n">
        <f aca="false">AD492</f>
        <v>10573.6533458719</v>
      </c>
      <c r="AE182" s="15" t="n">
        <f aca="false">AE492</f>
        <v>10591.2335834807</v>
      </c>
      <c r="AF182" s="15" t="n">
        <f aca="false">AF492</f>
        <v>10607.4640967019</v>
      </c>
      <c r="AG182" s="15" t="n">
        <f aca="false">AG492</f>
        <v>10622.3001176161</v>
      </c>
      <c r="AH182" s="15" t="n">
        <f aca="false">AH492</f>
        <v>10635.6957050725</v>
      </c>
      <c r="AI182" s="15" t="n">
        <f aca="false">AI492</f>
        <v>10647.6037155082</v>
      </c>
      <c r="AJ182" s="15" t="n">
        <f aca="false">AJ492</f>
        <v>10657.9757730504</v>
      </c>
      <c r="AK182" s="15" t="n">
        <f aca="false">AK492</f>
        <v>10666.7622388844</v>
      </c>
      <c r="AL182" s="15" t="n">
        <f aca="false">AL492</f>
        <v>10673.9121798686</v>
      </c>
      <c r="AM182" s="15" t="n">
        <f aca="false">AM492</f>
        <v>10679.3733363789</v>
      </c>
      <c r="AN182" s="15" t="n">
        <f aca="false">AN492</f>
        <v>10683.0920893626</v>
      </c>
      <c r="AO182" s="15" t="n">
        <f aca="false">AO492</f>
        <v>10685.0134265835</v>
      </c>
      <c r="AP182" s="15" t="n">
        <f aca="false">AP492</f>
        <v>10685.0809080371</v>
      </c>
      <c r="AQ182" s="15" t="n">
        <f aca="false">AQ492</f>
        <v>10683.2366305169</v>
      </c>
      <c r="AR182" s="15" t="n">
        <f aca="false">AR492</f>
        <v>10679.4211913102</v>
      </c>
      <c r="AS182" s="15" t="n">
        <f aca="false">AS492</f>
        <v>5336.78682550075</v>
      </c>
    </row>
    <row r="183" customFormat="false" ht="14.25" hidden="false" customHeight="false" outlineLevel="0" collapsed="false">
      <c r="C183" s="1" t="s">
        <v>162</v>
      </c>
      <c r="D183" s="2" t="s">
        <v>85</v>
      </c>
      <c r="H183" s="15" t="n">
        <f aca="false">SUM(J183:AS183)</f>
        <v>203069.189530532</v>
      </c>
      <c r="J183" s="15" t="n">
        <f aca="false">J495</f>
        <v>0</v>
      </c>
      <c r="K183" s="15" t="n">
        <f aca="false">K495</f>
        <v>0</v>
      </c>
      <c r="L183" s="15" t="n">
        <f aca="false">L495</f>
        <v>0</v>
      </c>
      <c r="M183" s="15" t="n">
        <f aca="false">M495</f>
        <v>-29757.5797945206</v>
      </c>
      <c r="N183" s="15" t="n">
        <f aca="false">N495</f>
        <v>-31358</v>
      </c>
      <c r="O183" s="15" t="n">
        <f aca="false">O495</f>
        <v>-13293.6935392507</v>
      </c>
      <c r="P183" s="15" t="n">
        <f aca="false">P495</f>
        <v>9253.07121072731</v>
      </c>
      <c r="Q183" s="15" t="n">
        <f aca="false">Q495</f>
        <v>11775.1054127908</v>
      </c>
      <c r="R183" s="15" t="n">
        <f aca="false">R495</f>
        <v>9307.391838818</v>
      </c>
      <c r="S183" s="15" t="n">
        <f aca="false">S495</f>
        <v>9333.46574562924</v>
      </c>
      <c r="T183" s="15" t="n">
        <f aca="false">T495</f>
        <v>9358.77949184362</v>
      </c>
      <c r="U183" s="15" t="n">
        <f aca="false">U495</f>
        <v>9383.30525994999</v>
      </c>
      <c r="V183" s="15" t="n">
        <f aca="false">V495</f>
        <v>9407.01449027262</v>
      </c>
      <c r="W183" s="15" t="n">
        <f aca="false">W495</f>
        <v>9429.87786243732</v>
      </c>
      <c r="X183" s="15" t="n">
        <f aca="false">X495</f>
        <v>9451.8652763818</v>
      </c>
      <c r="Y183" s="15" t="n">
        <f aca="false">Y495</f>
        <v>9472.94583289924</v>
      </c>
      <c r="Z183" s="15" t="n">
        <f aca="false">Z495</f>
        <v>9493.08781370345</v>
      </c>
      <c r="AA183" s="15" t="n">
        <f aca="false">AA495</f>
        <v>9512.25866100409</v>
      </c>
      <c r="AB183" s="15" t="n">
        <f aca="false">AB495</f>
        <v>9530.42495657974</v>
      </c>
      <c r="AC183" s="15" t="n">
        <f aca="false">AC495</f>
        <v>9547.55240033664</v>
      </c>
      <c r="AD183" s="15" t="n">
        <f aca="false">AD495</f>
        <v>9563.6057883404</v>
      </c>
      <c r="AE183" s="15" t="n">
        <f aca="false">AE495</f>
        <v>9578.5489903079</v>
      </c>
      <c r="AF183" s="15" t="n">
        <f aca="false">AF495</f>
        <v>9592.34492654589</v>
      </c>
      <c r="AG183" s="15" t="n">
        <f aca="false">AG495</f>
        <v>9604.95554432298</v>
      </c>
      <c r="AH183" s="15" t="n">
        <f aca="false">AH495</f>
        <v>9616.34179366096</v>
      </c>
      <c r="AI183" s="15" t="n">
        <f aca="false">AI495</f>
        <v>9050.463158182</v>
      </c>
      <c r="AJ183" s="15" t="n">
        <f aca="false">AJ495</f>
        <v>9059.27940709287</v>
      </c>
      <c r="AK183" s="15" t="n">
        <f aca="false">AK495</f>
        <v>9066.74790305173</v>
      </c>
      <c r="AL183" s="15" t="n">
        <f aca="false">AL495</f>
        <v>9072.8253528883</v>
      </c>
      <c r="AM183" s="15" t="n">
        <f aca="false">AM495</f>
        <v>9077.46733592206</v>
      </c>
      <c r="AN183" s="15" t="n">
        <f aca="false">AN495</f>
        <v>9080.62827595824</v>
      </c>
      <c r="AO183" s="15" t="n">
        <f aca="false">AO495</f>
        <v>9082.26141259599</v>
      </c>
      <c r="AP183" s="15" t="n">
        <f aca="false">AP495</f>
        <v>9082.31877183154</v>
      </c>
      <c r="AQ183" s="15" t="n">
        <f aca="false">AQ495</f>
        <v>9080.75113593939</v>
      </c>
      <c r="AR183" s="15" t="n">
        <f aca="false">AR495</f>
        <v>9077.50801261365</v>
      </c>
      <c r="AS183" s="15" t="n">
        <f aca="false">AS495</f>
        <v>4536.26880167564</v>
      </c>
    </row>
    <row r="184" customFormat="false" ht="14.25" hidden="false" customHeight="false" outlineLevel="0" collapsed="false">
      <c r="C184" s="1" t="s">
        <v>163</v>
      </c>
      <c r="D184" s="2" t="s">
        <v>85</v>
      </c>
      <c r="H184" s="15" t="n">
        <f aca="false">SUM(J184:AS184)</f>
        <v>185634.15526428</v>
      </c>
      <c r="J184" s="15" t="n">
        <f aca="false">J502</f>
        <v>0</v>
      </c>
      <c r="K184" s="15" t="n">
        <f aca="false">K502</f>
        <v>0</v>
      </c>
      <c r="L184" s="15" t="n">
        <f aca="false">L502</f>
        <v>0</v>
      </c>
      <c r="M184" s="15" t="n">
        <f aca="false">M502</f>
        <v>-29757.5797945206</v>
      </c>
      <c r="N184" s="15" t="n">
        <f aca="false">N502</f>
        <v>-31358</v>
      </c>
      <c r="O184" s="15" t="n">
        <f aca="false">O502</f>
        <v>32786.3420086945</v>
      </c>
      <c r="P184" s="15" t="n">
        <f aca="false">P502</f>
        <v>5159.21543953256</v>
      </c>
      <c r="Q184" s="15" t="n">
        <f aca="false">Q502</f>
        <v>7665.23373464301</v>
      </c>
      <c r="R184" s="15" t="n">
        <f aca="false">R502</f>
        <v>5180.70345836949</v>
      </c>
      <c r="S184" s="15" t="n">
        <f aca="false">S502</f>
        <v>5189.11982776499</v>
      </c>
      <c r="T184" s="15" t="n">
        <f aca="false">T502</f>
        <v>5195.89315969284</v>
      </c>
      <c r="U184" s="15" t="n">
        <f aca="false">U502</f>
        <v>5200.95149279836</v>
      </c>
      <c r="V184" s="15" t="n">
        <f aca="false">V502</f>
        <v>5204.21991637009</v>
      </c>
      <c r="W184" s="15" t="n">
        <f aca="false">W502</f>
        <v>5205.62044144634</v>
      </c>
      <c r="X184" s="15" t="n">
        <f aca="false">X502</f>
        <v>5205.07186594796</v>
      </c>
      <c r="Y184" s="15" t="n">
        <f aca="false">Y502</f>
        <v>5202.48963355039</v>
      </c>
      <c r="Z184" s="15" t="n">
        <f aca="false">Z502</f>
        <v>5197.78568599385</v>
      </c>
      <c r="AA184" s="15" t="n">
        <f aca="false">AA502</f>
        <v>5190.86830851569</v>
      </c>
      <c r="AB184" s="15" t="n">
        <f aca="false">AB502</f>
        <v>5181.64196807361</v>
      </c>
      <c r="AC184" s="15" t="n">
        <f aca="false">AC502</f>
        <v>5170.00714401188</v>
      </c>
      <c r="AD184" s="15" t="n">
        <f aca="false">AD502</f>
        <v>5155.86015080609</v>
      </c>
      <c r="AE184" s="15" t="n">
        <f aca="false">AE502</f>
        <v>9578.5489903079</v>
      </c>
      <c r="AF184" s="15" t="n">
        <f aca="false">AF502</f>
        <v>9592.34492654589</v>
      </c>
      <c r="AG184" s="15" t="n">
        <f aca="false">AG502</f>
        <v>9604.95554432298</v>
      </c>
      <c r="AH184" s="15" t="n">
        <f aca="false">AH502</f>
        <v>9616.34179366096</v>
      </c>
      <c r="AI184" s="15" t="n">
        <f aca="false">AI502</f>
        <v>9050.463158182</v>
      </c>
      <c r="AJ184" s="15" t="n">
        <f aca="false">AJ502</f>
        <v>9059.27940709287</v>
      </c>
      <c r="AK184" s="15" t="n">
        <f aca="false">AK502</f>
        <v>9066.74790305173</v>
      </c>
      <c r="AL184" s="15" t="n">
        <f aca="false">AL502</f>
        <v>9072.8253528883</v>
      </c>
      <c r="AM184" s="15" t="n">
        <f aca="false">AM502</f>
        <v>9077.46733592206</v>
      </c>
      <c r="AN184" s="15" t="n">
        <f aca="false">AN502</f>
        <v>9080.62827595824</v>
      </c>
      <c r="AO184" s="15" t="n">
        <f aca="false">AO502</f>
        <v>9082.26141259599</v>
      </c>
      <c r="AP184" s="15" t="n">
        <f aca="false">AP502</f>
        <v>9082.31877183154</v>
      </c>
      <c r="AQ184" s="15" t="n">
        <f aca="false">AQ502</f>
        <v>9080.75113593939</v>
      </c>
      <c r="AR184" s="15" t="n">
        <f aca="false">AR502</f>
        <v>9077.50801261365</v>
      </c>
      <c r="AS184" s="15" t="n">
        <f aca="false">AS502</f>
        <v>4536.26880167564</v>
      </c>
    </row>
    <row r="185" customFormat="false" ht="14.25" hidden="false" customHeight="false" outlineLevel="0" collapsed="false">
      <c r="C185" s="6" t="s">
        <v>164</v>
      </c>
      <c r="D185" s="2" t="s">
        <v>85</v>
      </c>
      <c r="J185" s="8" t="n">
        <f aca="false">SUM($J182:J182)</f>
        <v>0</v>
      </c>
      <c r="K185" s="8" t="n">
        <f aca="false">SUM($J182:K182)</f>
        <v>0</v>
      </c>
      <c r="L185" s="8" t="n">
        <f aca="false">SUM($J182:L182)</f>
        <v>0</v>
      </c>
      <c r="M185" s="8" t="n">
        <f aca="false">SUM($J182:M182)</f>
        <v>-29757.5797945206</v>
      </c>
      <c r="N185" s="8" t="n">
        <f aca="false">SUM($J182:N182)</f>
        <v>-61115.5797945206</v>
      </c>
      <c r="O185" s="8" t="n">
        <f aca="false">SUM($J182:O182)</f>
        <v>-74224.8080105205</v>
      </c>
      <c r="P185" s="8" t="n">
        <f aca="false">SUM($J182:P182)</f>
        <v>-64016.4894618405</v>
      </c>
      <c r="Q185" s="8" t="n">
        <f aca="false">SUM($J182:Q182)</f>
        <v>-51281.2813603703</v>
      </c>
      <c r="R185" s="8" t="n">
        <f aca="false">SUM($J182:R182)</f>
        <v>-41009.0561904071</v>
      </c>
      <c r="S185" s="8" t="n">
        <f aca="false">SUM($J182:S182)</f>
        <v>-30706.1558359602</v>
      </c>
      <c r="T185" s="8" t="n">
        <f aca="false">SUM($J182:T182)</f>
        <v>-20373.4746036139</v>
      </c>
      <c r="U185" s="8" t="n">
        <f aca="false">SUM($J182:U182)</f>
        <v>-10011.9395264367</v>
      </c>
      <c r="V185" s="8" t="n">
        <f aca="false">SUM($J182:V182)</f>
        <v>377.488762884879</v>
      </c>
      <c r="W185" s="8" t="n">
        <f aca="false">SUM($J182:W182)</f>
        <v>10793.8151371061</v>
      </c>
      <c r="X185" s="8" t="n">
        <f aca="false">SUM($J182:X182)</f>
        <v>21236.0090571443</v>
      </c>
      <c r="Y185" s="8" t="n">
        <f aca="false">SUM($J182:Y182)</f>
        <v>31703.0036319089</v>
      </c>
      <c r="Z185" s="8" t="n">
        <f aca="false">SUM($J182:Z182)</f>
        <v>42193.6946546785</v>
      </c>
      <c r="AA185" s="8" t="n">
        <f aca="false">SUM($J182:AA182)</f>
        <v>52706.9396154488</v>
      </c>
      <c r="AB185" s="8" t="n">
        <f aca="false">SUM($J182:AB182)</f>
        <v>63241.5566886611</v>
      </c>
      <c r="AC185" s="8" t="n">
        <f aca="false">SUM($J182:AC182)</f>
        <v>73796.323695705</v>
      </c>
      <c r="AD185" s="8" t="n">
        <f aca="false">SUM($J182:AD182)</f>
        <v>84369.9770415768</v>
      </c>
      <c r="AE185" s="8" t="n">
        <f aca="false">SUM($J182:AE182)</f>
        <v>94961.2106250575</v>
      </c>
      <c r="AF185" s="8" t="n">
        <f aca="false">SUM($J182:AF182)</f>
        <v>105568.674721759</v>
      </c>
      <c r="AG185" s="8" t="n">
        <f aca="false">SUM($J182:AG182)</f>
        <v>116190.974839375</v>
      </c>
      <c r="AH185" s="8" t="n">
        <f aca="false">SUM($J182:AH182)</f>
        <v>126826.670544448</v>
      </c>
      <c r="AI185" s="8" t="n">
        <f aca="false">SUM($J182:AI182)</f>
        <v>137474.274259956</v>
      </c>
      <c r="AJ185" s="8" t="n">
        <f aca="false">SUM($J182:AJ182)</f>
        <v>148132.250033007</v>
      </c>
      <c r="AK185" s="8" t="n">
        <f aca="false">SUM($J182:AK182)</f>
        <v>158799.012271891</v>
      </c>
      <c r="AL185" s="8" t="n">
        <f aca="false">SUM($J182:AL182)</f>
        <v>169472.92445176</v>
      </c>
      <c r="AM185" s="8" t="n">
        <f aca="false">SUM($J182:AM182)</f>
        <v>180152.297788139</v>
      </c>
      <c r="AN185" s="8" t="n">
        <f aca="false">SUM($J182:AN182)</f>
        <v>190835.389877501</v>
      </c>
      <c r="AO185" s="8" t="n">
        <f aca="false">SUM($J182:AO182)</f>
        <v>201520.403304085</v>
      </c>
      <c r="AP185" s="8" t="n">
        <f aca="false">SUM($J182:AP182)</f>
        <v>212205.484212122</v>
      </c>
      <c r="AQ185" s="8" t="n">
        <f aca="false">SUM($J182:AQ182)</f>
        <v>222888.720842639</v>
      </c>
      <c r="AR185" s="8" t="n">
        <f aca="false">SUM($J182:AR182)</f>
        <v>233568.142033949</v>
      </c>
      <c r="AS185" s="8" t="n">
        <f aca="false">SUM($J182:AS182)</f>
        <v>238904.92885945</v>
      </c>
    </row>
    <row r="187" customFormat="false" ht="14.25" hidden="false" customHeight="false" outlineLevel="0" collapsed="false">
      <c r="B187" s="4" t="s">
        <v>3</v>
      </c>
      <c r="C187" s="4" t="s">
        <v>165</v>
      </c>
      <c r="D187" s="4"/>
      <c r="E187" s="5" t="s">
        <v>5</v>
      </c>
      <c r="F187" s="5" t="s">
        <v>6</v>
      </c>
      <c r="G187" s="5" t="s">
        <v>7</v>
      </c>
      <c r="H187" s="5" t="s">
        <v>8</v>
      </c>
    </row>
    <row r="189" customFormat="false" ht="14.25" hidden="false" customHeight="false" outlineLevel="0" collapsed="false">
      <c r="B189" s="4" t="s">
        <v>3</v>
      </c>
      <c r="C189" s="4" t="s">
        <v>166</v>
      </c>
      <c r="D189" s="4"/>
      <c r="E189" s="5" t="s">
        <v>5</v>
      </c>
      <c r="F189" s="5" t="s">
        <v>6</v>
      </c>
      <c r="G189" s="5" t="s">
        <v>7</v>
      </c>
      <c r="H189" s="5" t="s">
        <v>8</v>
      </c>
    </row>
    <row r="190" customFormat="false" ht="14.25" hidden="false" customHeight="false" outlineLevel="0" collapsed="false">
      <c r="C190" s="55" t="s">
        <v>167</v>
      </c>
      <c r="D190" s="56" t="s">
        <v>168</v>
      </c>
      <c r="E190" s="57" t="n">
        <f aca="false">MIN(Freeze_Date,Sale_Date)</f>
        <v>47299</v>
      </c>
      <c r="F190" s="57" t="n">
        <f aca="false">MIN(Freeze_Date,Sale_Date)</f>
        <v>47299</v>
      </c>
      <c r="G190" s="57" t="n">
        <f aca="false">MIN(Freeze_Date,Sale_Date)</f>
        <v>47299</v>
      </c>
      <c r="H190" s="58"/>
    </row>
    <row r="191" customFormat="false" ht="14.25" hidden="false" customHeight="false" outlineLevel="0" collapsed="false">
      <c r="C191" s="55" t="s">
        <v>169</v>
      </c>
      <c r="D191" s="56" t="s">
        <v>3</v>
      </c>
      <c r="E191" s="59" t="n">
        <f aca="false">1+Rate_Cash*(E190-DATE(YEAR(E190),1,1)+1)/Days_In_Year</f>
        <v>1.05950684931507</v>
      </c>
      <c r="F191" s="59" t="n">
        <f aca="false">1+Rate_Cash*(F190-DATE(YEAR(F190),1,1)+1)/Days_In_Year</f>
        <v>1.05950684931507</v>
      </c>
      <c r="G191" s="59" t="n">
        <f aca="false">1+Rate_Cash*(G190-DATE(YEAR(G190),1,1)+1)/Days_In_Year</f>
        <v>1.05950684931507</v>
      </c>
      <c r="H191" s="58"/>
    </row>
    <row r="192" customFormat="false" ht="14.25" hidden="false" customHeight="false" outlineLevel="0" collapsed="false">
      <c r="C192" s="55" t="s">
        <v>170</v>
      </c>
      <c r="D192" s="56" t="s">
        <v>3</v>
      </c>
      <c r="E192" s="59" t="n">
        <f aca="false">1+Rate_Devex*(E190-DATE(YEAR(E190),1,1)+1)/Days_In_Year</f>
        <v>1.09917808219178</v>
      </c>
      <c r="F192" s="59" t="n">
        <f aca="false">1+Rate_Devex*(F190-DATE(YEAR(F190),1,1)+1)/Days_In_Year</f>
        <v>1.09917808219178</v>
      </c>
      <c r="G192" s="59" t="n">
        <f aca="false">1+Rate_Devex*(G190-DATE(YEAR(G190),1,1)+1)/Days_In_Year</f>
        <v>1.09917808219178</v>
      </c>
      <c r="H192" s="58"/>
    </row>
    <row r="193" customFormat="false" ht="14.25" hidden="false" customHeight="false" outlineLevel="0" collapsed="false">
      <c r="C193" s="55" t="s">
        <v>171</v>
      </c>
      <c r="D193" s="56" t="s">
        <v>172</v>
      </c>
      <c r="E193" s="60" t="n">
        <f aca="false">DATE(YEAR(Inputs!E$21)+1,1,1)-Inputs!E$21</f>
        <v>63</v>
      </c>
      <c r="F193" s="60" t="n">
        <f aca="false">DATE(YEAR(Inputs!F$21)+1,1,1)-Inputs!F$21</f>
        <v>63</v>
      </c>
      <c r="G193" s="60" t="n">
        <f aca="false">DATE(YEAR(Inputs!G$21)+1,1,1)-Inputs!G$21</f>
        <v>63</v>
      </c>
      <c r="H193" s="58"/>
    </row>
    <row r="194" customFormat="false" ht="14.25" hidden="false" customHeight="false" outlineLevel="0" collapsed="false">
      <c r="C194" s="55" t="s">
        <v>173</v>
      </c>
      <c r="D194" s="56" t="s">
        <v>3</v>
      </c>
      <c r="E194" s="59" t="n">
        <f aca="false">(1+Rate_Cash*E193/Days_In_Year)*(1+Rate_Cash)^(YEAR(E190)-YEAR(Inputs!E$21)-1)*E191</f>
        <v>1.35657301688182</v>
      </c>
      <c r="F194" s="59" t="n">
        <f aca="false">(1+Rate_Cash*F193/Days_In_Year)*(1+Rate_Cash)^(YEAR(F190)-YEAR(Inputs!F$21)-1)*F191</f>
        <v>1.35657301688182</v>
      </c>
      <c r="G194" s="59" t="n">
        <f aca="false">(1+Rate_Cash*G193/Days_In_Year)*(1+Rate_Cash)^(YEAR(G190)-YEAR(Inputs!G$21)-1)*G191</f>
        <v>1.35657301688182</v>
      </c>
      <c r="H194" s="58"/>
    </row>
    <row r="195" customFormat="false" ht="14.25" hidden="false" customHeight="false" outlineLevel="0" collapsed="false">
      <c r="C195" s="55" t="s">
        <v>174</v>
      </c>
      <c r="D195" s="56" t="s">
        <v>172</v>
      </c>
      <c r="E195" s="60" t="n">
        <f aca="false">DATE(YEAR(Inputs!E$22)+1,1,1)-Inputs!E$22</f>
        <v>351</v>
      </c>
      <c r="F195" s="60" t="n">
        <f aca="false">DATE(YEAR(Inputs!F$22)+1,1,1)-Inputs!F$22</f>
        <v>351</v>
      </c>
      <c r="G195" s="60" t="n">
        <f aca="false">DATE(YEAR(Inputs!G$22)+1,1,1)-Inputs!G$22</f>
        <v>351</v>
      </c>
      <c r="H195" s="58"/>
    </row>
    <row r="196" customFormat="false" ht="14.25" hidden="false" customHeight="false" outlineLevel="0" collapsed="false">
      <c r="C196" s="55" t="s">
        <v>175</v>
      </c>
      <c r="D196" s="56" t="s">
        <v>3</v>
      </c>
      <c r="E196" s="59" t="n">
        <f aca="false">(1+Rate_Cash*E195/Days_In_Year)*(1+Rate_Cash)^(YEAR(E190)-YEAR(Inputs!E$22)-1)*E191</f>
        <v>1.32358356140364</v>
      </c>
      <c r="F196" s="59" t="n">
        <f aca="false">(1+Rate_Cash*F195/Days_In_Year)*(1+Rate_Cash)^(YEAR(F190)-YEAR(Inputs!F$22)-1)*F191</f>
        <v>1.32358356140364</v>
      </c>
      <c r="G196" s="59" t="n">
        <f aca="false">(1+Rate_Cash*G195/Days_In_Year)*(1+Rate_Cash)^(YEAR(G190)-YEAR(Inputs!G$22)-1)*G191</f>
        <v>1.32358356140364</v>
      </c>
      <c r="H196" s="58"/>
    </row>
    <row r="197" customFormat="false" ht="14.25" hidden="false" customHeight="false" outlineLevel="0" collapsed="false">
      <c r="C197" s="55" t="s">
        <v>176</v>
      </c>
      <c r="D197" s="56" t="s">
        <v>172</v>
      </c>
      <c r="E197" s="60" t="n">
        <f aca="false">DATE(YEAR(Inputs!E$23)+1,1,1)-Inputs!E$23</f>
        <v>351</v>
      </c>
      <c r="F197" s="60" t="n">
        <f aca="false">DATE(YEAR(Inputs!F$23)+1,1,1)-Inputs!F$23</f>
        <v>351</v>
      </c>
      <c r="G197" s="60" t="n">
        <f aca="false">DATE(YEAR(Inputs!G$23)+1,1,1)-Inputs!G$23</f>
        <v>351</v>
      </c>
      <c r="H197" s="58"/>
    </row>
    <row r="198" customFormat="false" ht="14.25" hidden="false" customHeight="false" outlineLevel="0" collapsed="false">
      <c r="C198" s="55" t="s">
        <v>177</v>
      </c>
      <c r="D198" s="56" t="s">
        <v>3</v>
      </c>
      <c r="E198" s="59" t="n">
        <f aca="false">(1+Rate_Cash*E197/Days_In_Year)*(1+Rate_Cash)^(YEAR(E190)-YEAR(Inputs!E$23)-1)*E191</f>
        <v>1.32358356140364</v>
      </c>
      <c r="F198" s="59" t="n">
        <f aca="false">(1+Rate_Cash*F197/Days_In_Year)*(1+Rate_Cash)^(YEAR(F190)-YEAR(Inputs!F$23)-1)*F191</f>
        <v>1.32358356140364</v>
      </c>
      <c r="G198" s="59" t="n">
        <f aca="false">(1+Rate_Cash*G197/Days_In_Year)*(1+Rate_Cash)^(YEAR(G190)-YEAR(Inputs!G$23)-1)*G191</f>
        <v>1.32358356140364</v>
      </c>
      <c r="H198" s="58"/>
    </row>
    <row r="199" customFormat="false" ht="14.25" hidden="false" customHeight="false" outlineLevel="0" collapsed="false">
      <c r="C199" s="55" t="s">
        <v>178</v>
      </c>
      <c r="D199" s="56" t="s">
        <v>172</v>
      </c>
      <c r="E199" s="60" t="n">
        <f aca="false">DATE(YEAR(Inputs!E$24)+1,1,1)-Inputs!E$24</f>
        <v>92</v>
      </c>
      <c r="F199" s="60" t="n">
        <f aca="false">DATE(YEAR(Inputs!F$24)+1,1,1)-Inputs!F$24</f>
        <v>92</v>
      </c>
      <c r="G199" s="60" t="n">
        <f aca="false">DATE(YEAR(Inputs!G$24)+1,1,1)-Inputs!G$24</f>
        <v>92</v>
      </c>
      <c r="H199" s="58"/>
    </row>
    <row r="200" customFormat="false" ht="14.25" hidden="false" customHeight="false" outlineLevel="0" collapsed="false">
      <c r="C200" s="55" t="s">
        <v>179</v>
      </c>
      <c r="D200" s="56" t="s">
        <v>3</v>
      </c>
      <c r="E200" s="59" t="n">
        <f aca="false">(1+Rate_Cash*E199/Days_In_Year)*(1+Rate_Cash)^(YEAR(E190)-YEAR(Inputs!E$24)-1)*E191</f>
        <v>1.09155330305874</v>
      </c>
      <c r="F200" s="59" t="n">
        <f aca="false">(1+Rate_Cash*F199/Days_In_Year)*(1+Rate_Cash)^(YEAR(F190)-YEAR(Inputs!F$24)-1)*F191</f>
        <v>1.09155330305874</v>
      </c>
      <c r="G200" s="59" t="n">
        <f aca="false">(1+Rate_Cash*G199/Days_In_Year)*(1+Rate_Cash)^(YEAR(G190)-YEAR(Inputs!G$24)-1)*G191</f>
        <v>1.09155330305874</v>
      </c>
      <c r="H200" s="58"/>
    </row>
    <row r="201" customFormat="false" ht="14.25" hidden="false" customHeight="false" outlineLevel="0" collapsed="false">
      <c r="C201" s="55" t="s">
        <v>180</v>
      </c>
      <c r="D201" s="56" t="s">
        <v>172</v>
      </c>
      <c r="E201" s="60" t="n">
        <f aca="false">DATE(YEAR($J$56)+1,1,1)-$J$56</f>
        <v>241.823134179002</v>
      </c>
      <c r="F201" s="60" t="n">
        <f aca="false">DATE(YEAR($J$56)+1,1,1)-$J$56</f>
        <v>241.823134179002</v>
      </c>
      <c r="G201" s="60" t="n">
        <f aca="false">DATE(YEAR($J$56)+1,1,1)-$J$56</f>
        <v>241.823134179002</v>
      </c>
      <c r="H201" s="58"/>
    </row>
    <row r="202" customFormat="false" ht="14.25" hidden="false" customHeight="false" outlineLevel="0" collapsed="false">
      <c r="C202" s="55" t="s">
        <v>181</v>
      </c>
      <c r="D202" s="56" t="s">
        <v>3</v>
      </c>
      <c r="E202" s="59" t="n">
        <f aca="false">(1+Rate_Devex*E201/Days_In_Year)*(1+Rate_Devex)^(YEAR(E190)-YEAR($J$56)-1)*E192</f>
        <v>1.24482558293506</v>
      </c>
      <c r="F202" s="59" t="n">
        <f aca="false">(1+Rate_Devex*F201/Days_In_Year)*(1+Rate_Devex)^(YEAR(F190)-YEAR($J$56)-1)*F192</f>
        <v>1.24482558293506</v>
      </c>
      <c r="G202" s="59" t="n">
        <f aca="false">(1+Rate_Devex*G201/Days_In_Year)*(1+Rate_Devex)^(YEAR(G190)-YEAR($J$56)-1)*G192</f>
        <v>1.24482558293506</v>
      </c>
      <c r="H202" s="58"/>
    </row>
    <row r="203" customFormat="false" ht="14.25" hidden="false" customHeight="false" outlineLevel="0" collapsed="false">
      <c r="C203" s="55" t="s">
        <v>182</v>
      </c>
      <c r="D203" s="56" t="s">
        <v>172</v>
      </c>
      <c r="E203" s="60" t="n">
        <f aca="false">DATE(YEAR($J$55)+1,1,1)-$J$55</f>
        <v>38.8757241119529</v>
      </c>
      <c r="F203" s="60" t="n">
        <f aca="false">DATE(YEAR($J$55)+1,1,1)-$J$55</f>
        <v>38.8757241119529</v>
      </c>
      <c r="G203" s="60" t="n">
        <f aca="false">DATE(YEAR($J$55)+1,1,1)-$J$55</f>
        <v>38.8757241119529</v>
      </c>
      <c r="H203" s="58"/>
    </row>
    <row r="204" customFormat="false" ht="14.25" hidden="false" customHeight="false" outlineLevel="0" collapsed="false">
      <c r="C204" s="55" t="s">
        <v>183</v>
      </c>
      <c r="D204" s="56" t="s">
        <v>3</v>
      </c>
      <c r="E204" s="59" t="n">
        <f aca="false">(1+Rate_Devex*E203/Days_In_Year)*(1+Rate_Devex)^(YEAR(E190)-YEAR($J$55)-1)*E192</f>
        <v>1.34711102062895</v>
      </c>
      <c r="F204" s="59" t="n">
        <f aca="false">(1+Rate_Devex*F203/Days_In_Year)*(1+Rate_Devex)^(YEAR(F190)-YEAR($J$55)-1)*F192</f>
        <v>1.34711102062895</v>
      </c>
      <c r="G204" s="59" t="n">
        <f aca="false">(1+Rate_Devex*G203/Days_In_Year)*(1+Rate_Devex)^(YEAR(G190)-YEAR($J$55)-1)*G192</f>
        <v>1.34711102062895</v>
      </c>
      <c r="H204" s="58"/>
    </row>
    <row r="205" customFormat="false" ht="14.25" hidden="false" customHeight="false" outlineLevel="0" collapsed="false">
      <c r="C205" s="55" t="s">
        <v>184</v>
      </c>
      <c r="D205" s="56" t="s">
        <v>85</v>
      </c>
      <c r="E205" s="61" t="n">
        <f aca="false">E$21*E61*(E194-1)</f>
        <v>2.93073712505603</v>
      </c>
      <c r="F205" s="61" t="n">
        <f aca="false">F$21*F61*(F194-1)</f>
        <v>0</v>
      </c>
      <c r="G205" s="61" t="n">
        <f aca="false">G$21*G61*(G194-1)</f>
        <v>0</v>
      </c>
      <c r="H205" s="61" t="n">
        <f aca="false">SUM(E205:G205)</f>
        <v>2.93073712505603</v>
      </c>
    </row>
    <row r="206" customFormat="false" ht="14.25" hidden="false" customHeight="false" outlineLevel="0" collapsed="false">
      <c r="C206" s="55" t="s">
        <v>185</v>
      </c>
      <c r="D206" s="56" t="s">
        <v>85</v>
      </c>
      <c r="E206" s="62" t="n">
        <f aca="false">E$21*E62*(E194-1)</f>
        <v>138.526174777648</v>
      </c>
      <c r="F206" s="62" t="n">
        <f aca="false">F$21*F62*(F194-1)</f>
        <v>0</v>
      </c>
      <c r="G206" s="62" t="n">
        <f aca="false">G$21*G62*(G194-1)</f>
        <v>0</v>
      </c>
      <c r="H206" s="62" t="n">
        <f aca="false">SUM(E206:G206)</f>
        <v>138.526174777648</v>
      </c>
    </row>
    <row r="207" customFormat="false" ht="14.25" hidden="false" customHeight="false" outlineLevel="0" collapsed="false">
      <c r="C207" s="55" t="s">
        <v>186</v>
      </c>
      <c r="D207" s="56" t="s">
        <v>85</v>
      </c>
      <c r="E207" s="62" t="n">
        <f aca="false">E$21*E63*(E196-1)</f>
        <v>502.839989118205</v>
      </c>
      <c r="F207" s="62" t="n">
        <f aca="false">F$21*F63*(F196-1)</f>
        <v>0</v>
      </c>
      <c r="G207" s="62" t="n">
        <f aca="false">G$21*G63*(G196-1)</f>
        <v>0</v>
      </c>
      <c r="H207" s="62" t="n">
        <f aca="false">SUM(E207:G207)</f>
        <v>502.839989118205</v>
      </c>
    </row>
    <row r="208" customFormat="false" ht="14.25" hidden="false" customHeight="false" outlineLevel="0" collapsed="false">
      <c r="C208" s="55" t="s">
        <v>187</v>
      </c>
      <c r="D208" s="56" t="s">
        <v>85</v>
      </c>
      <c r="E208" s="62" t="n">
        <f aca="false">E$21*E64*(E198-1)</f>
        <v>199.469318673477</v>
      </c>
      <c r="F208" s="62" t="n">
        <f aca="false">F$21*F64*(F198-1)</f>
        <v>0</v>
      </c>
      <c r="G208" s="62" t="n">
        <f aca="false">G$21*G64*(G198-1)</f>
        <v>0</v>
      </c>
      <c r="H208" s="62" t="n">
        <f aca="false">SUM(E208:G208)</f>
        <v>199.469318673477</v>
      </c>
    </row>
    <row r="209" customFormat="false" ht="14.25" hidden="false" customHeight="false" outlineLevel="0" collapsed="false">
      <c r="C209" s="55" t="s">
        <v>188</v>
      </c>
      <c r="D209" s="56" t="s">
        <v>85</v>
      </c>
      <c r="E209" s="62" t="n">
        <f aca="false">E$21*E65*(E200-1)</f>
        <v>63.7544348660937</v>
      </c>
      <c r="F209" s="62" t="n">
        <f aca="false">F$21*F65*(F200-1)</f>
        <v>0</v>
      </c>
      <c r="G209" s="62" t="n">
        <f aca="false">G$21*G65*(G200-1)</f>
        <v>0</v>
      </c>
      <c r="H209" s="62" t="n">
        <f aca="false">SUM(E209:G209)</f>
        <v>63.7544348660937</v>
      </c>
    </row>
    <row r="210" customFormat="false" ht="14.25" hidden="false" customHeight="false" outlineLevel="0" collapsed="false">
      <c r="C210" s="55" t="s">
        <v>189</v>
      </c>
      <c r="D210" s="56" t="s">
        <v>85</v>
      </c>
      <c r="E210" s="62" t="n">
        <f aca="false">E$21*E66*(E200-1)</f>
        <v>859.990350596064</v>
      </c>
      <c r="F210" s="62" t="n">
        <f aca="false">F$21*F66*(F200-1)</f>
        <v>0</v>
      </c>
      <c r="G210" s="62" t="n">
        <f aca="false">G$21*G66*(G200-1)</f>
        <v>0</v>
      </c>
      <c r="H210" s="62" t="n">
        <f aca="false">SUM(E210:G210)</f>
        <v>859.990350596064</v>
      </c>
    </row>
    <row r="211" customFormat="false" ht="14.25" hidden="false" customHeight="false" outlineLevel="0" collapsed="false">
      <c r="C211" s="55" t="s">
        <v>190</v>
      </c>
      <c r="D211" s="56" t="s">
        <v>85</v>
      </c>
      <c r="E211" s="62" t="n">
        <f aca="false">E$21*E68*MAX(E202-1,Devex_Floor-1)</f>
        <v>107.801712328767</v>
      </c>
      <c r="F211" s="62" t="n">
        <f aca="false">F$21*F68*MAX(F202-1,Devex_Floor-1)</f>
        <v>0</v>
      </c>
      <c r="G211" s="62" t="n">
        <f aca="false">G$21*G68*MAX(G202-1,Devex_Floor-1)</f>
        <v>0</v>
      </c>
      <c r="H211" s="62" t="n">
        <f aca="false">SUM(E211:G211)</f>
        <v>107.801712328767</v>
      </c>
    </row>
    <row r="212" customFormat="false" ht="14.25" hidden="false" customHeight="false" outlineLevel="0" collapsed="false">
      <c r="C212" s="55" t="s">
        <v>191</v>
      </c>
      <c r="D212" s="56" t="s">
        <v>85</v>
      </c>
      <c r="E212" s="62" t="n">
        <f aca="false">E$21*E67*MAX(E204-1,Devex_Floor-1)</f>
        <v>701.098816348896</v>
      </c>
      <c r="F212" s="62" t="n">
        <f aca="false">F$21*F67*MAX(F204-1,Devex_Floor-1)</f>
        <v>0</v>
      </c>
      <c r="G212" s="62" t="n">
        <f aca="false">G$21*G67*MAX(G204-1,Devex_Floor-1)</f>
        <v>0</v>
      </c>
      <c r="H212" s="62" t="n">
        <f aca="false">SUM(E212:G212)</f>
        <v>701.098816348896</v>
      </c>
    </row>
    <row r="213" customFormat="false" ht="14.25" hidden="false" customHeight="false" outlineLevel="0" collapsed="false">
      <c r="C213" s="63" t="s">
        <v>192</v>
      </c>
      <c r="D213" s="56" t="s">
        <v>85</v>
      </c>
      <c r="E213" s="64" t="n">
        <f aca="false">SUM(E205:E212)</f>
        <v>2576.41153383421</v>
      </c>
      <c r="F213" s="64" t="n">
        <f aca="false">SUM(F205:F212)</f>
        <v>0</v>
      </c>
      <c r="G213" s="64" t="n">
        <f aca="false">SUM(G205:G212)</f>
        <v>0</v>
      </c>
      <c r="H213" s="64" t="n">
        <f aca="false">SUM(E213:G213)</f>
        <v>2576.41153383421</v>
      </c>
    </row>
    <row r="214" customFormat="false" ht="14.25" hidden="false" customHeight="false" outlineLevel="0" collapsed="false">
      <c r="C214" s="55" t="s">
        <v>193</v>
      </c>
      <c r="D214" s="56" t="s">
        <v>85</v>
      </c>
      <c r="E214" s="62" t="n">
        <f aca="false">E20*MIN(DSA_Rate*YEARFRAC(Inputs!E$28,Sale_Date),DSA_Cap)*E44</f>
        <v>437.5</v>
      </c>
      <c r="F214" s="62" t="n">
        <f aca="false">F20*MIN(DSA_Rate*YEARFRAC(Inputs!F$28,Sale_Date),DSA_Cap)*F44</f>
        <v>0</v>
      </c>
      <c r="G214" s="62" t="n">
        <f aca="false">G20*MIN(DSA_Rate*YEARFRAC(Inputs!G$28,Sale_Date),DSA_Cap)*G44</f>
        <v>0</v>
      </c>
      <c r="H214" s="62" t="n">
        <f aca="false">SUM(E214:G214)</f>
        <v>437.5</v>
      </c>
    </row>
    <row r="216" customFormat="false" ht="14.25" hidden="false" customHeight="false" outlineLevel="0" collapsed="false">
      <c r="B216" s="4" t="s">
        <v>3</v>
      </c>
      <c r="C216" s="4" t="s">
        <v>194</v>
      </c>
      <c r="D216" s="4"/>
      <c r="E216" s="5" t="s">
        <v>5</v>
      </c>
      <c r="F216" s="5" t="s">
        <v>6</v>
      </c>
      <c r="G216" s="5" t="s">
        <v>7</v>
      </c>
      <c r="H216" s="5" t="s">
        <v>8</v>
      </c>
    </row>
    <row r="217" customFormat="false" ht="14.25" hidden="false" customHeight="false" outlineLevel="0" collapsed="false">
      <c r="C217" s="55" t="s">
        <v>195</v>
      </c>
      <c r="D217" s="56" t="s">
        <v>85</v>
      </c>
      <c r="E217" s="62" t="n">
        <f aca="false">E65+E66</f>
        <v>10089.6937041096</v>
      </c>
      <c r="F217" s="62" t="n">
        <f aca="false">F65+F66</f>
        <v>3359.81917808219</v>
      </c>
      <c r="G217" s="62" t="n">
        <f aca="false">G65+G66</f>
        <v>3359.81917808219</v>
      </c>
      <c r="H217" s="62" t="n">
        <f aca="false">SUM(E217:G217)</f>
        <v>16809.332060274</v>
      </c>
    </row>
    <row r="218" customFormat="false" ht="14.25" hidden="false" customHeight="false" outlineLevel="0" collapsed="false">
      <c r="C218" s="55" t="s">
        <v>196</v>
      </c>
      <c r="D218" s="56" t="s">
        <v>74</v>
      </c>
      <c r="E218" s="62" t="n">
        <f aca="false">SUMIFS(Devex_HUF,Devex_Class,"Land",Devex_Date,"&lt;="&amp;Sale_Date_A)</f>
        <v>66190500</v>
      </c>
      <c r="F218" s="62" t="n">
        <f aca="false">SUMIFS(Devex_HUF,Devex_Class,"Land",Devex_Date,"&lt;="&amp;Sale_Date_A)</f>
        <v>66190500</v>
      </c>
      <c r="G218" s="62" t="n">
        <f aca="false">SUMIFS(Devex_HUF,Devex_Class,"Land",Devex_Date,"&lt;="&amp;Sale_Date_A)</f>
        <v>66190500</v>
      </c>
      <c r="H218" s="62"/>
    </row>
    <row r="219" customFormat="false" ht="14.25" hidden="false" customHeight="false" outlineLevel="0" collapsed="false">
      <c r="C219" s="55" t="s">
        <v>197</v>
      </c>
      <c r="D219" s="56" t="s">
        <v>168</v>
      </c>
      <c r="E219" s="57" t="n">
        <f aca="false">SUMPRODUCT((Devex_Class="Land")*(Devex_Date&lt;=Sale_Date_A)*Devex_HUF,Devex_Date)/E218</f>
        <v>46431</v>
      </c>
      <c r="F219" s="57" t="n">
        <f aca="false">SUMPRODUCT((Devex_Class="Land")*(Devex_Date&lt;=Sale_Date_A)*Devex_HUF,Devex_Date)/F218</f>
        <v>46431</v>
      </c>
      <c r="G219" s="57" t="n">
        <f aca="false">SUMPRODUCT((Devex_Class="Land")*(Devex_Date&lt;=Sale_Date_A)*Devex_HUF,Devex_Date)/G218</f>
        <v>46431</v>
      </c>
      <c r="H219" s="58"/>
    </row>
    <row r="220" customFormat="false" ht="14.25" hidden="false" customHeight="false" outlineLevel="0" collapsed="false">
      <c r="C220" s="55" t="s">
        <v>198</v>
      </c>
      <c r="D220" s="56" t="s">
        <v>85</v>
      </c>
      <c r="E220" s="62" t="n">
        <f aca="false">E218/FX/Thousand*Inputs!E$18</f>
        <v>45.3359589041096</v>
      </c>
      <c r="F220" s="62" t="n">
        <f aca="false">F218/FX/Thousand*Inputs!F$18</f>
        <v>45.3359589041096</v>
      </c>
      <c r="G220" s="62" t="n">
        <f aca="false">G218/FX/Thousand*Inputs!G$18</f>
        <v>45.3359589041096</v>
      </c>
      <c r="H220" s="62" t="n">
        <f aca="false">SUM(E220:G220)</f>
        <v>136.007876712329</v>
      </c>
    </row>
    <row r="221" customFormat="false" ht="14.25" hidden="false" customHeight="false" outlineLevel="0" collapsed="false">
      <c r="C221" s="55" t="s">
        <v>199</v>
      </c>
      <c r="D221" s="56" t="s">
        <v>74</v>
      </c>
      <c r="E221" s="62" t="n">
        <f aca="false">SUMIFS(Devex_HUF,Devex_Class,"Devex",Devex_Date,"&lt;="&amp;Sale_Date_A)</f>
        <v>991604271.869388</v>
      </c>
      <c r="F221" s="62" t="n">
        <f aca="false">SUMIFS(Devex_HUF,Devex_Class,"Devex",Devex_Date,"&lt;="&amp;Sale_Date_A)</f>
        <v>991604271.869388</v>
      </c>
      <c r="G221" s="62" t="n">
        <f aca="false">SUMIFS(Devex_HUF,Devex_Class,"Devex",Devex_Date,"&lt;="&amp;Sale_Date_A)</f>
        <v>991604271.869388</v>
      </c>
      <c r="H221" s="62"/>
    </row>
    <row r="222" customFormat="false" ht="14.25" hidden="false" customHeight="false" outlineLevel="0" collapsed="false">
      <c r="C222" s="55" t="s">
        <v>200</v>
      </c>
      <c r="D222" s="56" t="s">
        <v>168</v>
      </c>
      <c r="E222" s="57" t="n">
        <f aca="false">SUMPRODUCT((Devex_Class="Devex")*(Devex_Date&lt;=Sale_Date_A)*Devex_HUF,Devex_Date)/E221</f>
        <v>46701.5587560279</v>
      </c>
      <c r="F222" s="57" t="n">
        <f aca="false">SUMPRODUCT((Devex_Class="Devex")*(Devex_Date&lt;=Sale_Date_A)*Devex_HUF,Devex_Date)/F221</f>
        <v>46701.5587560279</v>
      </c>
      <c r="G222" s="57" t="n">
        <f aca="false">SUMPRODUCT((Devex_Class="Devex")*(Devex_Date&lt;=Sale_Date_A)*Devex_HUF,Devex_Date)/G221</f>
        <v>46701.5587560279</v>
      </c>
      <c r="H222" s="58"/>
    </row>
    <row r="223" customFormat="false" ht="14.25" hidden="false" customHeight="false" outlineLevel="0" collapsed="false">
      <c r="C223" s="55" t="s">
        <v>201</v>
      </c>
      <c r="D223" s="56" t="s">
        <v>85</v>
      </c>
      <c r="E223" s="62" t="n">
        <f aca="false">E221/FX/Thousand*Inputs!E$18</f>
        <v>679.181008129718</v>
      </c>
      <c r="F223" s="62" t="n">
        <f aca="false">F221/FX/Thousand*Inputs!F$18</f>
        <v>679.181008129718</v>
      </c>
      <c r="G223" s="62" t="n">
        <f aca="false">G221/FX/Thousand*Inputs!G$18</f>
        <v>679.181008129718</v>
      </c>
      <c r="H223" s="62" t="n">
        <f aca="false">SUM(E223:G223)</f>
        <v>2037.54302438915</v>
      </c>
    </row>
    <row r="224" customFormat="false" ht="14.25" hidden="false" customHeight="false" outlineLevel="0" collapsed="false">
      <c r="C224" s="55" t="s">
        <v>202</v>
      </c>
      <c r="D224" s="56" t="s">
        <v>85</v>
      </c>
      <c r="E224" s="62" t="n">
        <f aca="false">E61+SUM(E62:E64)+E220+E223+E69</f>
        <v>3391.64025470506</v>
      </c>
      <c r="F224" s="62" t="n">
        <f aca="false">F61+SUM(F62:F64)+F220+F223+F69</f>
        <v>3993.69504922561</v>
      </c>
      <c r="G224" s="62" t="n">
        <f aca="false">G61+SUM(G62:G64)+G220+G223+G69</f>
        <v>3993.69504922561</v>
      </c>
      <c r="H224" s="62" t="n">
        <f aca="false">SUM(E224:G224)</f>
        <v>11379.0303531563</v>
      </c>
    </row>
    <row r="225" customFormat="false" ht="14.25" hidden="false" customHeight="false" outlineLevel="0" collapsed="false">
      <c r="C225" s="55" t="s">
        <v>203</v>
      </c>
      <c r="D225" s="56" t="s">
        <v>168</v>
      </c>
      <c r="E225" s="57" t="n">
        <f aca="false">MIN(Freeze_Date,Sale_Date_A)</f>
        <v>47026</v>
      </c>
      <c r="F225" s="57" t="n">
        <f aca="false">MIN(Freeze_Date,Sale_Date_A)</f>
        <v>47026</v>
      </c>
      <c r="G225" s="57" t="n">
        <f aca="false">MIN(Freeze_Date,Sale_Date_A)</f>
        <v>47026</v>
      </c>
      <c r="H225" s="58"/>
    </row>
    <row r="226" customFormat="false" ht="14.25" hidden="false" customHeight="false" outlineLevel="0" collapsed="false">
      <c r="C226" s="55" t="s">
        <v>204</v>
      </c>
      <c r="D226" s="56" t="s">
        <v>168</v>
      </c>
      <c r="E226" s="57" t="n">
        <f aca="false">DATE(YEAR(E225),1,1)</f>
        <v>46753</v>
      </c>
      <c r="F226" s="57" t="n">
        <f aca="false">DATE(YEAR(F225),1,1)</f>
        <v>46753</v>
      </c>
      <c r="G226" s="57" t="n">
        <f aca="false">DATE(YEAR(G225),1,1)</f>
        <v>46753</v>
      </c>
      <c r="H226" s="58"/>
    </row>
    <row r="227" customFormat="false" ht="14.25" hidden="false" customHeight="false" outlineLevel="0" collapsed="false">
      <c r="C227" s="55" t="s">
        <v>205</v>
      </c>
      <c r="D227" s="56" t="s">
        <v>3</v>
      </c>
      <c r="E227" s="59" t="n">
        <f aca="false">1+Rate_Cash*(DATE(YEAR(Inputs!E$21)+1,1,1)-Inputs!E$21)*(Inputs!E$21&lt;E226)/Days_In_Year</f>
        <v>1.02071232876712</v>
      </c>
      <c r="F227" s="59" t="n">
        <f aca="false">1+Rate_Cash*(DATE(YEAR(Inputs!F$21)+1,1,1)-Inputs!F$21)*(Inputs!F$21&lt;F226)/Days_In_Year</f>
        <v>1.02071232876712</v>
      </c>
      <c r="G227" s="59" t="n">
        <f aca="false">1+Rate_Cash*(DATE(YEAR(Inputs!G$21)+1,1,1)-Inputs!G$21)*(Inputs!G$21&lt;G226)/Days_In_Year</f>
        <v>1.02071232876712</v>
      </c>
      <c r="H227" s="58"/>
    </row>
    <row r="228" customFormat="false" ht="14.25" hidden="false" customHeight="false" outlineLevel="0" collapsed="false">
      <c r="C228" s="55" t="s">
        <v>206</v>
      </c>
      <c r="D228" s="56" t="s">
        <v>3</v>
      </c>
      <c r="E228" s="59" t="n">
        <f aca="false">1+Rate_Cash*MAX(0,E225-MAX(Inputs!E$21,E226)+1)/Days_In_Year</f>
        <v>1.09008219178082</v>
      </c>
      <c r="F228" s="59" t="n">
        <f aca="false">1+Rate_Cash*MAX(0,F225-MAX(Inputs!F$21,F226)+1)/Days_In_Year</f>
        <v>1.09008219178082</v>
      </c>
      <c r="G228" s="59" t="n">
        <f aca="false">1+Rate_Cash*MAX(0,G225-MAX(Inputs!G$21,G226)+1)/Days_In_Year</f>
        <v>1.09008219178082</v>
      </c>
      <c r="H228" s="58"/>
    </row>
    <row r="229" customFormat="false" ht="14.25" hidden="false" customHeight="false" outlineLevel="0" collapsed="false">
      <c r="C229" s="55" t="s">
        <v>207</v>
      </c>
      <c r="D229" s="56" t="s">
        <v>3</v>
      </c>
      <c r="E229" s="59" t="n">
        <f aca="false">E227*(1+Rate_Cash)^MAX(0,YEAR(E226)-YEAR(Inputs!E$21)-1)*E228</f>
        <v>1.24617957242259</v>
      </c>
      <c r="F229" s="59" t="n">
        <f aca="false">F227*(1+Rate_Cash)^MAX(0,YEAR(F226)-YEAR(Inputs!F$21)-1)*F228</f>
        <v>1.24617957242259</v>
      </c>
      <c r="G229" s="59" t="n">
        <f aca="false">G227*(1+Rate_Cash)^MAX(0,YEAR(G226)-YEAR(Inputs!G$21)-1)*G228</f>
        <v>1.24617957242259</v>
      </c>
      <c r="H229" s="58"/>
    </row>
    <row r="230" customFormat="false" ht="14.25" hidden="false" customHeight="false" outlineLevel="0" collapsed="false">
      <c r="C230" s="55" t="s">
        <v>208</v>
      </c>
      <c r="D230" s="56" t="s">
        <v>3</v>
      </c>
      <c r="E230" s="59" t="n">
        <f aca="false">1+Rate_Cash*(DATE(YEAR(Inputs!E$22)+1,1,1)-Inputs!E$22)*(Inputs!E$22&lt;E226)/Days_In_Year</f>
        <v>1.11539726027397</v>
      </c>
      <c r="F230" s="59" t="n">
        <f aca="false">1+Rate_Cash*(DATE(YEAR(Inputs!F$22)+1,1,1)-Inputs!F$22)*(Inputs!F$22&lt;F226)/Days_In_Year</f>
        <v>1.11539726027397</v>
      </c>
      <c r="G230" s="59" t="n">
        <f aca="false">1+Rate_Cash*(DATE(YEAR(Inputs!G$22)+1,1,1)-Inputs!G$22)*(Inputs!G$22&lt;G226)/Days_In_Year</f>
        <v>1.11539726027397</v>
      </c>
      <c r="H230" s="58"/>
    </row>
    <row r="231" customFormat="false" ht="14.25" hidden="false" customHeight="false" outlineLevel="0" collapsed="false">
      <c r="C231" s="55" t="s">
        <v>209</v>
      </c>
      <c r="D231" s="56" t="s">
        <v>3</v>
      </c>
      <c r="E231" s="59" t="n">
        <f aca="false">1+Rate_Cash*MAX(0,E225-MAX(Inputs!E$22,E226)+1)/Days_In_Year</f>
        <v>1.09008219178082</v>
      </c>
      <c r="F231" s="59" t="n">
        <f aca="false">1+Rate_Cash*MAX(0,F225-MAX(Inputs!F$22,F226)+1)/Days_In_Year</f>
        <v>1.09008219178082</v>
      </c>
      <c r="G231" s="59" t="n">
        <f aca="false">1+Rate_Cash*MAX(0,G225-MAX(Inputs!G$22,G226)+1)/Days_In_Year</f>
        <v>1.09008219178082</v>
      </c>
      <c r="H231" s="58"/>
    </row>
    <row r="232" customFormat="false" ht="14.25" hidden="false" customHeight="false" outlineLevel="0" collapsed="false">
      <c r="C232" s="55" t="s">
        <v>210</v>
      </c>
      <c r="D232" s="56" t="s">
        <v>3</v>
      </c>
      <c r="E232" s="59" t="n">
        <f aca="false">E230*(1+Rate_Cash)^MAX(0,YEAR(E226)-YEAR(Inputs!E$22)-1)*E231</f>
        <v>1.21587469018578</v>
      </c>
      <c r="F232" s="59" t="n">
        <f aca="false">F230*(1+Rate_Cash)^MAX(0,YEAR(F226)-YEAR(Inputs!F$22)-1)*F231</f>
        <v>1.21587469018578</v>
      </c>
      <c r="G232" s="59" t="n">
        <f aca="false">G230*(1+Rate_Cash)^MAX(0,YEAR(G226)-YEAR(Inputs!G$22)-1)*G231</f>
        <v>1.21587469018578</v>
      </c>
      <c r="H232" s="58"/>
    </row>
    <row r="233" customFormat="false" ht="14.25" hidden="false" customHeight="false" outlineLevel="0" collapsed="false">
      <c r="C233" s="55" t="s">
        <v>211</v>
      </c>
      <c r="D233" s="56" t="s">
        <v>3</v>
      </c>
      <c r="E233" s="59" t="n">
        <f aca="false">1+Rate_Cash*(DATE(YEAR(Inputs!E$23)+1,1,1)-Inputs!E$23)*(Inputs!E$23&lt;E226)/Days_In_Year</f>
        <v>1.11539726027397</v>
      </c>
      <c r="F233" s="59" t="n">
        <f aca="false">1+Rate_Cash*(DATE(YEAR(Inputs!F$23)+1,1,1)-Inputs!F$23)*(Inputs!F$23&lt;F226)/Days_In_Year</f>
        <v>1.11539726027397</v>
      </c>
      <c r="G233" s="59" t="n">
        <f aca="false">1+Rate_Cash*(DATE(YEAR(Inputs!G$23)+1,1,1)-Inputs!G$23)*(Inputs!G$23&lt;G226)/Days_In_Year</f>
        <v>1.11539726027397</v>
      </c>
      <c r="H233" s="58"/>
    </row>
    <row r="234" customFormat="false" ht="14.25" hidden="false" customHeight="false" outlineLevel="0" collapsed="false">
      <c r="C234" s="55" t="s">
        <v>212</v>
      </c>
      <c r="D234" s="56" t="s">
        <v>3</v>
      </c>
      <c r="E234" s="59" t="n">
        <f aca="false">1+Rate_Cash*MAX(0,E225-MAX(Inputs!E$23,E226)+1)/Days_In_Year</f>
        <v>1.09008219178082</v>
      </c>
      <c r="F234" s="59" t="n">
        <f aca="false">1+Rate_Cash*MAX(0,F225-MAX(Inputs!F$23,F226)+1)/Days_In_Year</f>
        <v>1.09008219178082</v>
      </c>
      <c r="G234" s="59" t="n">
        <f aca="false">1+Rate_Cash*MAX(0,G225-MAX(Inputs!G$23,G226)+1)/Days_In_Year</f>
        <v>1.09008219178082</v>
      </c>
      <c r="H234" s="58"/>
    </row>
    <row r="235" customFormat="false" ht="14.25" hidden="false" customHeight="false" outlineLevel="0" collapsed="false">
      <c r="C235" s="55" t="s">
        <v>213</v>
      </c>
      <c r="D235" s="56" t="s">
        <v>3</v>
      </c>
      <c r="E235" s="59" t="n">
        <f aca="false">E233*(1+Rate_Cash)^MAX(0,YEAR(E226)-YEAR(Inputs!E$23)-1)*E234</f>
        <v>1.21587469018578</v>
      </c>
      <c r="F235" s="59" t="n">
        <f aca="false">F233*(1+Rate_Cash)^MAX(0,YEAR(F226)-YEAR(Inputs!F$23)-1)*F234</f>
        <v>1.21587469018578</v>
      </c>
      <c r="G235" s="59" t="n">
        <f aca="false">G233*(1+Rate_Cash)^MAX(0,YEAR(G226)-YEAR(Inputs!G$23)-1)*G234</f>
        <v>1.21587469018578</v>
      </c>
      <c r="H235" s="58"/>
    </row>
    <row r="236" customFormat="false" ht="14.25" hidden="false" customHeight="false" outlineLevel="0" collapsed="false">
      <c r="C236" s="55" t="s">
        <v>214</v>
      </c>
      <c r="D236" s="56" t="s">
        <v>3</v>
      </c>
      <c r="E236" s="59" t="n">
        <f aca="false">1+Rate_Devex*(DATE(YEAR(E219)+1,1,1)-E219)*(E219&lt;E226)/Days_In_Year</f>
        <v>1.17643835616438</v>
      </c>
      <c r="F236" s="59" t="n">
        <f aca="false">1+Rate_Devex*(DATE(YEAR(F219)+1,1,1)-F219)*(F219&lt;F226)/Days_In_Year</f>
        <v>1.17643835616438</v>
      </c>
      <c r="G236" s="59" t="n">
        <f aca="false">1+Rate_Devex*(DATE(YEAR(G219)+1,1,1)-G219)*(G219&lt;G226)/Days_In_Year</f>
        <v>1.17643835616438</v>
      </c>
      <c r="H236" s="58"/>
    </row>
    <row r="237" customFormat="false" ht="14.25" hidden="false" customHeight="false" outlineLevel="0" collapsed="false">
      <c r="C237" s="55" t="s">
        <v>215</v>
      </c>
      <c r="D237" s="56" t="s">
        <v>3</v>
      </c>
      <c r="E237" s="59" t="n">
        <f aca="false">1+Rate_Devex*MAX(0,E225-MAX(E219,E226)+1)/Days_In_Year</f>
        <v>1.15013698630137</v>
      </c>
      <c r="F237" s="59" t="n">
        <f aca="false">1+Rate_Devex*MAX(0,F225-MAX(F219,F226)+1)/Days_In_Year</f>
        <v>1.15013698630137</v>
      </c>
      <c r="G237" s="59" t="n">
        <f aca="false">1+Rate_Devex*MAX(0,G225-MAX(G219,G226)+1)/Days_In_Year</f>
        <v>1.15013698630137</v>
      </c>
      <c r="H237" s="58"/>
    </row>
    <row r="238" customFormat="false" ht="14.25" hidden="false" customHeight="false" outlineLevel="0" collapsed="false">
      <c r="C238" s="55" t="s">
        <v>216</v>
      </c>
      <c r="D238" s="56" t="s">
        <v>3</v>
      </c>
      <c r="E238" s="59" t="n">
        <f aca="false">E236*(1+Rate_Devex)^MAX(0,YEAR(E226)-YEAR(E219)-1)*E237</f>
        <v>1.35306526552824</v>
      </c>
      <c r="F238" s="59" t="n">
        <f aca="false">F236*(1+Rate_Devex)^MAX(0,YEAR(F226)-YEAR(F219)-1)*F237</f>
        <v>1.35306526552824</v>
      </c>
      <c r="G238" s="59" t="n">
        <f aca="false">G236*(1+Rate_Devex)^MAX(0,YEAR(G226)-YEAR(G219)-1)*G237</f>
        <v>1.35306526552824</v>
      </c>
      <c r="H238" s="58"/>
    </row>
    <row r="239" customFormat="false" ht="14.25" hidden="false" customHeight="false" outlineLevel="0" collapsed="false">
      <c r="C239" s="55" t="s">
        <v>217</v>
      </c>
      <c r="D239" s="56" t="s">
        <v>3</v>
      </c>
      <c r="E239" s="59" t="n">
        <f aca="false">1+Rate_Devex*(DATE(YEAR(E222)+1,1,1)-E222)*(E222&lt;E226)/Days_In_Year</f>
        <v>1.02818698299841</v>
      </c>
      <c r="F239" s="59" t="n">
        <f aca="false">1+Rate_Devex*(DATE(YEAR(F222)+1,1,1)-F222)*(F222&lt;F226)/Days_In_Year</f>
        <v>1.02818698299841</v>
      </c>
      <c r="G239" s="59" t="n">
        <f aca="false">1+Rate_Devex*(DATE(YEAR(G222)+1,1,1)-G222)*(G222&lt;G226)/Days_In_Year</f>
        <v>1.02818698299841</v>
      </c>
      <c r="H239" s="58"/>
    </row>
    <row r="240" customFormat="false" ht="14.25" hidden="false" customHeight="false" outlineLevel="0" collapsed="false">
      <c r="C240" s="55" t="s">
        <v>218</v>
      </c>
      <c r="D240" s="56" t="s">
        <v>3</v>
      </c>
      <c r="E240" s="59" t="n">
        <f aca="false">1+Rate_Devex*MAX(0,E225-MAX(E222,E226)+1)/Days_In_Year</f>
        <v>1.15013698630137</v>
      </c>
      <c r="F240" s="59" t="n">
        <f aca="false">1+Rate_Devex*MAX(0,F225-MAX(F222,F226)+1)/Days_In_Year</f>
        <v>1.15013698630137</v>
      </c>
      <c r="G240" s="59" t="n">
        <f aca="false">1+Rate_Devex*MAX(0,G225-MAX(G222,G226)+1)/Days_In_Year</f>
        <v>1.15013698630137</v>
      </c>
      <c r="H240" s="58"/>
    </row>
    <row r="241" customFormat="false" ht="14.25" hidden="false" customHeight="false" outlineLevel="0" collapsed="false">
      <c r="C241" s="55" t="s">
        <v>219</v>
      </c>
      <c r="D241" s="56" t="s">
        <v>3</v>
      </c>
      <c r="E241" s="59" t="n">
        <f aca="false">E239*(1+Rate_Devex)^MAX(0,YEAR(E226)-YEAR(E222)-1)*E240</f>
        <v>1.18255587798009</v>
      </c>
      <c r="F241" s="59" t="n">
        <f aca="false">F239*(1+Rate_Devex)^MAX(0,YEAR(F226)-YEAR(F222)-1)*F240</f>
        <v>1.18255587798009</v>
      </c>
      <c r="G241" s="59" t="n">
        <f aca="false">G239*(1+Rate_Devex)^MAX(0,YEAR(G226)-YEAR(G222)-1)*G240</f>
        <v>1.18255587798009</v>
      </c>
      <c r="H241" s="58"/>
    </row>
    <row r="242" customFormat="false" ht="14.25" hidden="false" customHeight="false" outlineLevel="0" collapsed="false">
      <c r="C242" s="55" t="s">
        <v>220</v>
      </c>
      <c r="D242" s="56" t="s">
        <v>85</v>
      </c>
      <c r="E242" s="61" t="n">
        <f aca="false">E$21*E61*(E229-1)</f>
        <v>2.02339374593912</v>
      </c>
      <c r="F242" s="61" t="n">
        <f aca="false">F$21*F61*(F229-1)</f>
        <v>0</v>
      </c>
      <c r="G242" s="61" t="n">
        <f aca="false">G$21*G61*(G229-1)</f>
        <v>0</v>
      </c>
      <c r="H242" s="61" t="n">
        <f aca="false">SUM(E242:G242)</f>
        <v>2.02339374593912</v>
      </c>
    </row>
    <row r="243" customFormat="false" ht="14.25" hidden="false" customHeight="false" outlineLevel="0" collapsed="false">
      <c r="C243" s="55" t="s">
        <v>221</v>
      </c>
      <c r="D243" s="56" t="s">
        <v>85</v>
      </c>
      <c r="E243" s="61" t="n">
        <f aca="false">E$21*E62*(E229-1)</f>
        <v>95.6390777247226</v>
      </c>
      <c r="F243" s="61" t="n">
        <f aca="false">F$21*F62*(F229-1)</f>
        <v>0</v>
      </c>
      <c r="G243" s="61" t="n">
        <f aca="false">G$21*G62*(G229-1)</f>
        <v>0</v>
      </c>
      <c r="H243" s="61" t="n">
        <f aca="false">SUM(E243:G243)</f>
        <v>95.6390777247226</v>
      </c>
    </row>
    <row r="244" customFormat="false" ht="14.25" hidden="false" customHeight="false" outlineLevel="0" collapsed="false">
      <c r="C244" s="55" t="s">
        <v>222</v>
      </c>
      <c r="D244" s="56" t="s">
        <v>85</v>
      </c>
      <c r="E244" s="61" t="n">
        <f aca="false">E$21*E63*(E232-1)</f>
        <v>335.463354173622</v>
      </c>
      <c r="F244" s="61" t="n">
        <f aca="false">F$21*F63*(F232-1)</f>
        <v>0</v>
      </c>
      <c r="G244" s="61" t="n">
        <f aca="false">G$21*G63*(G232-1)</f>
        <v>0</v>
      </c>
      <c r="H244" s="61" t="n">
        <f aca="false">SUM(E244:G244)</f>
        <v>335.463354173622</v>
      </c>
    </row>
    <row r="245" customFormat="false" ht="14.25" hidden="false" customHeight="false" outlineLevel="0" collapsed="false">
      <c r="C245" s="55" t="s">
        <v>223</v>
      </c>
      <c r="D245" s="56" t="s">
        <v>85</v>
      </c>
      <c r="E245" s="61" t="n">
        <f aca="false">E$21*E64*(E235-1)</f>
        <v>133.073439155615</v>
      </c>
      <c r="F245" s="61" t="n">
        <f aca="false">F$21*F64*(F235-1)</f>
        <v>0</v>
      </c>
      <c r="G245" s="61" t="n">
        <f aca="false">G$21*G64*(G235-1)</f>
        <v>0</v>
      </c>
      <c r="H245" s="61" t="n">
        <f aca="false">SUM(E245:G245)</f>
        <v>133.073439155615</v>
      </c>
    </row>
    <row r="246" customFormat="false" ht="14.25" hidden="false" customHeight="false" outlineLevel="0" collapsed="false">
      <c r="C246" s="55" t="s">
        <v>224</v>
      </c>
      <c r="D246" s="56" t="s">
        <v>85</v>
      </c>
      <c r="E246" s="61" t="n">
        <f aca="false">E$21*E220*MAX(E238-1,Devex_Floor-1)</f>
        <v>45.3359589041096</v>
      </c>
      <c r="F246" s="61" t="n">
        <f aca="false">F$21*F220*MAX(F238-1,Devex_Floor-1)</f>
        <v>0</v>
      </c>
      <c r="G246" s="61" t="n">
        <f aca="false">G$21*G220*MAX(G238-1,Devex_Floor-1)</f>
        <v>0</v>
      </c>
      <c r="H246" s="61" t="n">
        <f aca="false">SUM(E246:G246)</f>
        <v>45.3359589041096</v>
      </c>
    </row>
    <row r="247" customFormat="false" ht="14.25" hidden="false" customHeight="false" outlineLevel="0" collapsed="false">
      <c r="C247" s="55" t="s">
        <v>225</v>
      </c>
      <c r="D247" s="56" t="s">
        <v>85</v>
      </c>
      <c r="E247" s="61" t="n">
        <f aca="false">E$21*E223*MAX(E241-1,Devex_Floor-1)</f>
        <v>679.181008129718</v>
      </c>
      <c r="F247" s="61" t="n">
        <f aca="false">F$21*F223*MAX(F241-1,Devex_Floor-1)</f>
        <v>0</v>
      </c>
      <c r="G247" s="61" t="n">
        <f aca="false">G$21*G223*MAX(G241-1,Devex_Floor-1)</f>
        <v>0</v>
      </c>
      <c r="H247" s="61" t="n">
        <f aca="false">SUM(E247:G247)</f>
        <v>679.181008129718</v>
      </c>
    </row>
    <row r="248" customFormat="false" ht="14.25" hidden="false" customHeight="false" outlineLevel="0" collapsed="false">
      <c r="C248" s="65" t="s">
        <v>226</v>
      </c>
      <c r="D248" s="66" t="s">
        <v>85</v>
      </c>
      <c r="E248" s="67" t="n">
        <f aca="false">SUM(E242:E247)</f>
        <v>1290.71623183373</v>
      </c>
      <c r="F248" s="67" t="n">
        <f aca="false">SUM(F242:F247)</f>
        <v>0</v>
      </c>
      <c r="G248" s="67" t="n">
        <f aca="false">SUM(G242:G247)</f>
        <v>0</v>
      </c>
      <c r="H248" s="67" t="n">
        <f aca="false">SUM(E248:G248)</f>
        <v>1290.71623183373</v>
      </c>
    </row>
    <row r="249" customFormat="false" ht="14.25" hidden="false" customHeight="false" outlineLevel="0" collapsed="false">
      <c r="C249" s="55" t="s">
        <v>227</v>
      </c>
      <c r="D249" s="56" t="s">
        <v>85</v>
      </c>
      <c r="E249" s="61" t="n">
        <f aca="false">E20*MIN(DSA_Rate*YEARFRAC(Inputs!E$28,Sale_Date_A),DSA_Cap)*E44</f>
        <v>287.5</v>
      </c>
      <c r="F249" s="61" t="n">
        <f aca="false">F20*MIN(DSA_Rate*YEARFRAC(Inputs!F$28,Sale_Date_A),DSA_Cap)*F44</f>
        <v>0</v>
      </c>
      <c r="G249" s="61" t="n">
        <f aca="false">G20*MIN(DSA_Rate*YEARFRAC(Inputs!G$28,Sale_Date_A),DSA_Cap)*G44</f>
        <v>0</v>
      </c>
      <c r="H249" s="61" t="n">
        <f aca="false">SUM(E249:G249)</f>
        <v>287.5</v>
      </c>
    </row>
    <row r="250" customFormat="false" ht="14.25" hidden="false" customHeight="false" outlineLevel="0" collapsed="false">
      <c r="C250" s="41" t="s">
        <v>228</v>
      </c>
      <c r="D250" s="42"/>
      <c r="E250" s="43"/>
      <c r="F250" s="43"/>
      <c r="G250" s="43"/>
      <c r="H250" s="43"/>
    </row>
    <row r="251" customFormat="false" ht="14.25" hidden="false" customHeight="false" outlineLevel="0" collapsed="false">
      <c r="C251" s="6" t="s">
        <v>28</v>
      </c>
      <c r="D251" s="2" t="s">
        <v>85</v>
      </c>
      <c r="E251" s="8" t="n">
        <f aca="false">E98</f>
        <v>7500</v>
      </c>
      <c r="F251" s="8" t="n">
        <f aca="false">F98</f>
        <v>7500</v>
      </c>
      <c r="G251" s="8" t="n">
        <f aca="false">G98</f>
        <v>7500</v>
      </c>
      <c r="H251" s="8" t="n">
        <f aca="false">SUM(E251:G251)</f>
        <v>22500</v>
      </c>
    </row>
    <row r="252" customFormat="false" ht="14.25" hidden="false" customHeight="false" outlineLevel="0" collapsed="false">
      <c r="C252" s="6" t="s">
        <v>229</v>
      </c>
      <c r="D252" s="2" t="s">
        <v>85</v>
      </c>
      <c r="E252" s="8" t="n">
        <f aca="false">SUM(E62:E64)</f>
        <v>2558.90410958904</v>
      </c>
      <c r="F252" s="8" t="n">
        <f aca="false">SUM(F62:F64)</f>
        <v>3110.95890410959</v>
      </c>
      <c r="G252" s="8" t="n">
        <f aca="false">SUM(G62:G64)</f>
        <v>3110.95890410959</v>
      </c>
      <c r="H252" s="8" t="n">
        <f aca="false">SUM(E252:G252)</f>
        <v>8780.82191780822</v>
      </c>
    </row>
    <row r="253" customFormat="false" ht="14.25" hidden="false" customHeight="false" outlineLevel="0" collapsed="false">
      <c r="C253" s="6" t="s">
        <v>230</v>
      </c>
      <c r="D253" s="2" t="s">
        <v>85</v>
      </c>
      <c r="E253" s="8" t="n">
        <f aca="false">E220</f>
        <v>45.3359589041096</v>
      </c>
      <c r="F253" s="8" t="n">
        <f aca="false">F220</f>
        <v>45.3359589041096</v>
      </c>
      <c r="G253" s="8" t="n">
        <f aca="false">G220</f>
        <v>45.3359589041096</v>
      </c>
      <c r="H253" s="8" t="n">
        <f aca="false">SUM(E253:G253)</f>
        <v>136.007876712329</v>
      </c>
    </row>
    <row r="254" customFormat="false" ht="14.25" hidden="false" customHeight="false" outlineLevel="0" collapsed="false">
      <c r="C254" s="6" t="s">
        <v>231</v>
      </c>
      <c r="D254" s="2" t="s">
        <v>85</v>
      </c>
      <c r="E254" s="8" t="n">
        <f aca="false">SUM(E251:E253)</f>
        <v>10104.2400684932</v>
      </c>
      <c r="F254" s="8" t="n">
        <f aca="false">SUM(F251:F253)</f>
        <v>10656.2948630137</v>
      </c>
      <c r="G254" s="8" t="n">
        <f aca="false">SUM(G251:G253)</f>
        <v>10656.2948630137</v>
      </c>
      <c r="H254" s="8" t="n">
        <f aca="false">SUM(E254:G254)</f>
        <v>31416.8297945206</v>
      </c>
    </row>
    <row r="255" customFormat="false" ht="14.25" hidden="false" customHeight="false" outlineLevel="0" collapsed="false">
      <c r="C255" s="6" t="s">
        <v>232</v>
      </c>
      <c r="D255" s="2" t="s">
        <v>85</v>
      </c>
      <c r="E255" s="8" t="n">
        <f aca="false">-MIN(E254,Sale_Costs)</f>
        <v>-250</v>
      </c>
      <c r="F255" s="8" t="n">
        <f aca="false">-MIN(F254,Sale_Costs)</f>
        <v>-250</v>
      </c>
      <c r="G255" s="8" t="n">
        <f aca="false">-MIN(G254,Sale_Costs)</f>
        <v>-250</v>
      </c>
      <c r="H255" s="8" t="n">
        <f aca="false">SUM(E255:G255)</f>
        <v>-750</v>
      </c>
    </row>
    <row r="256" customFormat="false" ht="14.25" hidden="false" customHeight="false" outlineLevel="0" collapsed="false">
      <c r="C256" s="6" t="s">
        <v>233</v>
      </c>
      <c r="D256" s="2" t="s">
        <v>85</v>
      </c>
      <c r="E256" s="8" t="n">
        <f aca="false">-MIN(SUM(E254:E255),E252)</f>
        <v>-2558.90410958904</v>
      </c>
      <c r="F256" s="8" t="n">
        <f aca="false">-MIN(SUM(F254:F255),F252)</f>
        <v>-3110.95890410959</v>
      </c>
      <c r="G256" s="8" t="n">
        <f aca="false">-MIN(SUM(G254:G255),G252)</f>
        <v>-3110.95890410959</v>
      </c>
      <c r="H256" s="8" t="n">
        <f aca="false">SUM(E256:G256)</f>
        <v>-8780.82191780822</v>
      </c>
    </row>
    <row r="257" customFormat="false" ht="14.25" hidden="false" customHeight="false" outlineLevel="0" collapsed="false">
      <c r="C257" s="6" t="s">
        <v>234</v>
      </c>
      <c r="D257" s="2" t="s">
        <v>85</v>
      </c>
      <c r="E257" s="8" t="n">
        <f aca="false">-MIN(SUM(E254:E256),E253)</f>
        <v>-45.3359589041096</v>
      </c>
      <c r="F257" s="8" t="n">
        <f aca="false">-MIN(SUM(F254:F256),F253)</f>
        <v>-45.3359589041096</v>
      </c>
      <c r="G257" s="8" t="n">
        <f aca="false">-MIN(SUM(G254:G256),G253)</f>
        <v>-45.3359589041096</v>
      </c>
      <c r="H257" s="8" t="n">
        <f aca="false">SUM(E257:G257)</f>
        <v>-136.007876712329</v>
      </c>
    </row>
    <row r="258" customFormat="false" ht="14.25" hidden="false" customHeight="false" outlineLevel="0" collapsed="false">
      <c r="C258" s="6" t="s">
        <v>235</v>
      </c>
      <c r="D258" s="2" t="s">
        <v>85</v>
      </c>
      <c r="E258" s="8" t="n">
        <f aca="false">-MIN(SUM(E254:E257),E223*E$21)</f>
        <v>-679.181008129718</v>
      </c>
      <c r="F258" s="8" t="n">
        <f aca="false">-MIN(SUM(F254:F257),F223*F$21)</f>
        <v>-0</v>
      </c>
      <c r="G258" s="8" t="n">
        <f aca="false">-MIN(SUM(G254:G257),G223*G$21)</f>
        <v>-0</v>
      </c>
      <c r="H258" s="8" t="n">
        <f aca="false">SUM(E258:G258)</f>
        <v>-679.181008129718</v>
      </c>
    </row>
    <row r="259" customFormat="false" ht="14.25" hidden="false" customHeight="false" outlineLevel="0" collapsed="false">
      <c r="C259" s="6" t="s">
        <v>236</v>
      </c>
      <c r="D259" s="2" t="s">
        <v>85</v>
      </c>
      <c r="E259" s="8" t="n">
        <f aca="false">-MIN(SUM(E254:E258),SUM(E242:E245))</f>
        <v>-566.199264799899</v>
      </c>
      <c r="F259" s="8" t="n">
        <f aca="false">-MIN(SUM(F254:F258),SUM(F242:F245))</f>
        <v>-0</v>
      </c>
      <c r="G259" s="8" t="n">
        <f aca="false">-MIN(SUM(G254:G258),SUM(G242:G245))</f>
        <v>-0</v>
      </c>
      <c r="H259" s="8" t="n">
        <f aca="false">SUM(E259:G259)</f>
        <v>-566.199264799899</v>
      </c>
    </row>
    <row r="260" customFormat="false" ht="14.25" hidden="false" customHeight="false" outlineLevel="0" collapsed="false">
      <c r="C260" s="6" t="s">
        <v>237</v>
      </c>
      <c r="D260" s="2" t="s">
        <v>85</v>
      </c>
      <c r="E260" s="8" t="n">
        <f aca="false">-MIN(SUM(E254:E259),SUM(E246:E247))</f>
        <v>-724.516967033827</v>
      </c>
      <c r="F260" s="8" t="n">
        <f aca="false">-MIN(SUM(F254:F259),SUM(F246:F247))</f>
        <v>-0</v>
      </c>
      <c r="G260" s="8" t="n">
        <f aca="false">-MIN(SUM(G254:G259),SUM(G246:G247))</f>
        <v>-0</v>
      </c>
      <c r="H260" s="8" t="n">
        <f aca="false">SUM(E260:G260)</f>
        <v>-724.516967033827</v>
      </c>
    </row>
    <row r="261" customFormat="false" ht="14.25" hidden="false" customHeight="false" outlineLevel="0" collapsed="false">
      <c r="C261" s="6" t="s">
        <v>238</v>
      </c>
      <c r="D261" s="2" t="s">
        <v>85</v>
      </c>
      <c r="E261" s="8" t="n">
        <f aca="false">-MIN(SUM(E254:E260),E249)</f>
        <v>-287.5</v>
      </c>
      <c r="F261" s="8" t="n">
        <f aca="false">-MIN(SUM(F254:F260),F249)</f>
        <v>-0</v>
      </c>
      <c r="G261" s="8" t="n">
        <f aca="false">-MIN(SUM(G254:G260),G249)</f>
        <v>-0</v>
      </c>
      <c r="H261" s="8" t="n">
        <f aca="false">SUM(E261:G261)</f>
        <v>-287.5</v>
      </c>
    </row>
    <row r="262" customFormat="false" ht="14.25" hidden="false" customHeight="false" outlineLevel="0" collapsed="false">
      <c r="C262" s="6" t="s">
        <v>239</v>
      </c>
      <c r="D262" s="2" t="s">
        <v>85</v>
      </c>
      <c r="E262" s="8" t="n">
        <f aca="false">SUM(E254:E261)</f>
        <v>4992.60276003656</v>
      </c>
      <c r="F262" s="8" t="n">
        <f aca="false">SUM(F254:F261)</f>
        <v>7250</v>
      </c>
      <c r="G262" s="8" t="n">
        <f aca="false">SUM(G254:G261)</f>
        <v>7250</v>
      </c>
      <c r="H262" s="8" t="n">
        <f aca="false">SUM(E262:G262)</f>
        <v>19492.6027600366</v>
      </c>
    </row>
    <row r="263" customFormat="false" ht="14.25" hidden="false" customHeight="false" outlineLevel="0" collapsed="false">
      <c r="C263" s="6" t="s">
        <v>240</v>
      </c>
      <c r="D263" s="2" t="s">
        <v>85</v>
      </c>
      <c r="E263" s="8" t="n">
        <f aca="false">E262*E19</f>
        <v>3494.82193202559</v>
      </c>
      <c r="F263" s="8" t="n">
        <f aca="false">F262*F19</f>
        <v>7250</v>
      </c>
      <c r="G263" s="8" t="n">
        <f aca="false">G262*G19</f>
        <v>7250</v>
      </c>
      <c r="H263" s="8" t="n">
        <f aca="false">SUM(E263:G263)</f>
        <v>17994.8219320256</v>
      </c>
    </row>
    <row r="264" customFormat="false" ht="14.25" hidden="false" customHeight="false" outlineLevel="0" collapsed="false">
      <c r="C264" s="6" t="s">
        <v>241</v>
      </c>
      <c r="D264" s="2" t="s">
        <v>85</v>
      </c>
      <c r="E264" s="8" t="n">
        <f aca="false">E262-E263</f>
        <v>1497.78082801097</v>
      </c>
      <c r="F264" s="8" t="n">
        <f aca="false">F262-F263</f>
        <v>0</v>
      </c>
      <c r="G264" s="8" t="n">
        <f aca="false">G262-G263</f>
        <v>0</v>
      </c>
      <c r="H264" s="8" t="n">
        <f aca="false">SUM(E264:G264)</f>
        <v>1497.78082801097</v>
      </c>
    </row>
    <row r="265" customFormat="false" ht="14.25" hidden="false" customHeight="false" outlineLevel="0" collapsed="false">
      <c r="C265" s="42" t="s">
        <v>242</v>
      </c>
      <c r="D265" s="42"/>
      <c r="E265" s="43" t="s">
        <v>5</v>
      </c>
      <c r="F265" s="43" t="s">
        <v>6</v>
      </c>
      <c r="G265" s="43" t="s">
        <v>7</v>
      </c>
      <c r="H265" s="43" t="s">
        <v>8</v>
      </c>
      <c r="J265" s="43" t="s">
        <v>243</v>
      </c>
      <c r="K265" s="43" t="s">
        <v>6</v>
      </c>
      <c r="L265" s="43" t="s">
        <v>7</v>
      </c>
    </row>
    <row r="266" customFormat="false" ht="14.25" hidden="false" customHeight="false" outlineLevel="0" collapsed="false">
      <c r="C266" s="6" t="s">
        <v>244</v>
      </c>
      <c r="D266" s="2" t="s">
        <v>85</v>
      </c>
      <c r="E266" s="8" t="n">
        <f aca="false">E98</f>
        <v>7500</v>
      </c>
      <c r="F266" s="8" t="n">
        <f aca="false">F98</f>
        <v>7500</v>
      </c>
      <c r="G266" s="8" t="n">
        <f aca="false">G98</f>
        <v>7500</v>
      </c>
      <c r="H266" s="8" t="n">
        <f aca="false">SUM(E266:G266)</f>
        <v>22500</v>
      </c>
      <c r="J266" s="24"/>
      <c r="K266" s="24"/>
      <c r="L266" s="24"/>
    </row>
    <row r="267" customFormat="false" ht="14.25" hidden="false" customHeight="false" outlineLevel="0" collapsed="false">
      <c r="C267" s="6" t="s">
        <v>245</v>
      </c>
      <c r="D267" s="2" t="s">
        <v>85</v>
      </c>
      <c r="E267" s="8" t="n">
        <f aca="false">0</f>
        <v>0</v>
      </c>
      <c r="F267" s="8" t="n">
        <f aca="false">0</f>
        <v>0</v>
      </c>
      <c r="G267" s="8" t="n">
        <f aca="false">0</f>
        <v>0</v>
      </c>
      <c r="H267" s="8" t="n">
        <f aca="false">SUM(E267:G267)</f>
        <v>0</v>
      </c>
      <c r="J267" s="24"/>
      <c r="K267" s="24"/>
      <c r="L267" s="24"/>
    </row>
    <row r="268" customFormat="false" ht="14.25" hidden="false" customHeight="false" outlineLevel="0" collapsed="false">
      <c r="C268" s="6" t="s">
        <v>246</v>
      </c>
      <c r="D268" s="2" t="s">
        <v>85</v>
      </c>
      <c r="E268" s="8" t="n">
        <f aca="false">0</f>
        <v>0</v>
      </c>
      <c r="F268" s="8" t="n">
        <f aca="false">0</f>
        <v>0</v>
      </c>
      <c r="G268" s="8" t="n">
        <f aca="false">0</f>
        <v>0</v>
      </c>
      <c r="H268" s="8" t="n">
        <f aca="false">SUM(E268:G268)</f>
        <v>0</v>
      </c>
      <c r="J268" s="24"/>
      <c r="K268" s="24"/>
      <c r="L268" s="24"/>
    </row>
    <row r="269" customFormat="false" ht="14.25" hidden="false" customHeight="false" outlineLevel="0" collapsed="false">
      <c r="C269" s="6" t="s">
        <v>247</v>
      </c>
      <c r="D269" s="2" t="s">
        <v>85</v>
      </c>
      <c r="E269" s="8" t="n">
        <f aca="false">0</f>
        <v>0</v>
      </c>
      <c r="F269" s="8" t="n">
        <f aca="false">0</f>
        <v>0</v>
      </c>
      <c r="G269" s="8" t="n">
        <f aca="false">0</f>
        <v>0</v>
      </c>
      <c r="H269" s="8" t="n">
        <f aca="false">SUM(E269:G269)</f>
        <v>0</v>
      </c>
      <c r="J269" s="24"/>
      <c r="K269" s="24"/>
      <c r="L269" s="24"/>
    </row>
    <row r="270" customFormat="false" ht="14.25" hidden="false" customHeight="false" outlineLevel="0" collapsed="false">
      <c r="C270" s="6" t="s">
        <v>248</v>
      </c>
      <c r="D270" s="2" t="s">
        <v>85</v>
      </c>
      <c r="E270" s="8" t="n">
        <f aca="false">E255</f>
        <v>-250</v>
      </c>
      <c r="F270" s="8" t="n">
        <f aca="false">F255</f>
        <v>-250</v>
      </c>
      <c r="G270" s="8" t="n">
        <f aca="false">G255</f>
        <v>-250</v>
      </c>
      <c r="H270" s="8" t="n">
        <f aca="false">SUM(E270:G270)</f>
        <v>-750</v>
      </c>
      <c r="J270" s="24"/>
      <c r="K270" s="24"/>
      <c r="L270" s="24"/>
    </row>
    <row r="271" customFormat="false" ht="14.25" hidden="false" customHeight="false" outlineLevel="0" collapsed="false">
      <c r="C271" s="6" t="s">
        <v>249</v>
      </c>
      <c r="D271" s="2" t="s">
        <v>85</v>
      </c>
      <c r="E271" s="8" t="n">
        <f aca="false">E261</f>
        <v>-287.5</v>
      </c>
      <c r="F271" s="8" t="n">
        <f aca="false">F261</f>
        <v>-0</v>
      </c>
      <c r="G271" s="8" t="n">
        <f aca="false">G261</f>
        <v>-0</v>
      </c>
      <c r="H271" s="8" t="n">
        <f aca="false">SUM(E271:G271)</f>
        <v>-287.5</v>
      </c>
      <c r="J271" s="24"/>
      <c r="K271" s="24"/>
      <c r="L271" s="24"/>
    </row>
    <row r="272" customFormat="false" ht="14.25" hidden="false" customHeight="false" outlineLevel="0" collapsed="false">
      <c r="C272" s="6" t="s">
        <v>250</v>
      </c>
      <c r="D272" s="2" t="s">
        <v>85</v>
      </c>
      <c r="E272" s="8" t="n">
        <f aca="false">-E264</f>
        <v>-1497.78082801097</v>
      </c>
      <c r="F272" s="8" t="n">
        <f aca="false">-F264</f>
        <v>-0</v>
      </c>
      <c r="G272" s="8" t="n">
        <f aca="false">-G264</f>
        <v>-0</v>
      </c>
      <c r="H272" s="8" t="n">
        <f aca="false">SUM(E272:G272)</f>
        <v>-1497.78082801097</v>
      </c>
      <c r="J272" s="24"/>
      <c r="K272" s="24"/>
      <c r="L272" s="24"/>
    </row>
    <row r="273" customFormat="false" ht="14.25" hidden="false" customHeight="false" outlineLevel="0" collapsed="false">
      <c r="C273" s="6" t="s">
        <v>251</v>
      </c>
      <c r="D273" s="68" t="s">
        <v>85</v>
      </c>
      <c r="E273" s="8" t="n">
        <f aca="false">-E258</f>
        <v>679.181008129718</v>
      </c>
      <c r="F273" s="8" t="n">
        <f aca="false">-F258</f>
        <v>0</v>
      </c>
      <c r="G273" s="8" t="n">
        <f aca="false">-G258</f>
        <v>0</v>
      </c>
      <c r="H273" s="8" t="n">
        <f aca="false">SUM(E273:G273)</f>
        <v>679.181008129718</v>
      </c>
      <c r="J273" s="24"/>
      <c r="K273" s="24"/>
      <c r="L273" s="24"/>
    </row>
    <row r="274" customFormat="false" ht="14.25" hidden="false" customHeight="false" outlineLevel="0" collapsed="false">
      <c r="C274" s="6" t="s">
        <v>252</v>
      </c>
      <c r="D274" s="68" t="s">
        <v>85</v>
      </c>
      <c r="E274" s="8" t="n">
        <f aca="false">-E259</f>
        <v>566.199264799899</v>
      </c>
      <c r="F274" s="8" t="n">
        <f aca="false">-F259</f>
        <v>0</v>
      </c>
      <c r="G274" s="8" t="n">
        <f aca="false">-G259</f>
        <v>0</v>
      </c>
      <c r="H274" s="8" t="n">
        <f aca="false">SUM(E274:G274)</f>
        <v>566.199264799899</v>
      </c>
      <c r="J274" s="24"/>
      <c r="K274" s="24"/>
      <c r="L274" s="24"/>
    </row>
    <row r="275" customFormat="false" ht="14.25" hidden="false" customHeight="false" outlineLevel="0" collapsed="false">
      <c r="C275" s="6" t="s">
        <v>253</v>
      </c>
      <c r="D275" s="68" t="s">
        <v>85</v>
      </c>
      <c r="E275" s="8" t="n">
        <f aca="false">-E260</f>
        <v>724.516967033827</v>
      </c>
      <c r="F275" s="8" t="n">
        <f aca="false">-F260</f>
        <v>0</v>
      </c>
      <c r="G275" s="8" t="n">
        <f aca="false">-G260</f>
        <v>0</v>
      </c>
      <c r="H275" s="8" t="n">
        <f aca="false">SUM(E275:G275)</f>
        <v>724.516967033827</v>
      </c>
      <c r="J275" s="24"/>
      <c r="K275" s="24"/>
      <c r="L275" s="24"/>
    </row>
    <row r="276" customFormat="false" ht="14.25" hidden="false" customHeight="false" outlineLevel="0" collapsed="false">
      <c r="C276" s="6" t="s">
        <v>29</v>
      </c>
      <c r="D276" s="68" t="s">
        <v>85</v>
      </c>
      <c r="E276" s="8" t="n">
        <f aca="false">E263</f>
        <v>3494.82193202559</v>
      </c>
      <c r="F276" s="8" t="n">
        <f aca="false">F263</f>
        <v>7250</v>
      </c>
      <c r="G276" s="8" t="n">
        <f aca="false">G263</f>
        <v>7250</v>
      </c>
      <c r="H276" s="8" t="n">
        <f aca="false">SUM(E276:G276)</f>
        <v>17994.8219320256</v>
      </c>
      <c r="J276" s="24"/>
      <c r="K276" s="24"/>
      <c r="L276" s="24"/>
    </row>
    <row r="277" customFormat="false" ht="14.25" hidden="false" customHeight="false" outlineLevel="0" collapsed="false">
      <c r="C277" s="44" t="s">
        <v>254</v>
      </c>
      <c r="D277" s="45" t="s">
        <v>85</v>
      </c>
      <c r="E277" s="69" t="n">
        <f aca="false">SUM(E273:E276)</f>
        <v>5464.71917198903</v>
      </c>
      <c r="F277" s="69" t="n">
        <f aca="false">SUM(F273:F276)</f>
        <v>7250</v>
      </c>
      <c r="G277" s="69" t="n">
        <f aca="false">SUM(G273:G276)</f>
        <v>7250</v>
      </c>
      <c r="H277" s="69" t="n">
        <f aca="false">SUM(E277:G277)</f>
        <v>19964.719171989</v>
      </c>
    </row>
    <row r="278" customFormat="false" ht="14.25" hidden="false" customHeight="false" outlineLevel="0" collapsed="false">
      <c r="C278" s="6" t="s">
        <v>255</v>
      </c>
      <c r="D278" s="2" t="s">
        <v>85</v>
      </c>
      <c r="E278" s="8" t="n">
        <f aca="false">-E69</f>
        <v>-100</v>
      </c>
      <c r="F278" s="8" t="n">
        <f aca="false">-F69</f>
        <v>-150</v>
      </c>
      <c r="G278" s="8" t="n">
        <f aca="false">-G69</f>
        <v>-150</v>
      </c>
      <c r="H278" s="8" t="n">
        <f aca="false">SUM(E278:G278)</f>
        <v>-400</v>
      </c>
      <c r="J278" s="24"/>
      <c r="K278" s="24"/>
      <c r="L278" s="24"/>
    </row>
    <row r="279" customFormat="false" ht="14.25" hidden="false" customHeight="false" outlineLevel="0" collapsed="false">
      <c r="C279" s="6" t="s">
        <v>256</v>
      </c>
      <c r="D279" s="2" t="s">
        <v>85</v>
      </c>
      <c r="E279" s="8" t="n">
        <f aca="false">-E61</f>
        <v>-8.21917808219178</v>
      </c>
      <c r="F279" s="8" t="n">
        <f aca="false">-F61</f>
        <v>-8.21917808219178</v>
      </c>
      <c r="G279" s="8" t="n">
        <f aca="false">-G61</f>
        <v>-8.21917808219178</v>
      </c>
      <c r="H279" s="8" t="n">
        <f aca="false">SUM(E279:G279)</f>
        <v>-24.6575342465753</v>
      </c>
      <c r="J279" s="24"/>
      <c r="K279" s="24"/>
      <c r="L279" s="24"/>
    </row>
    <row r="280" customFormat="false" ht="14.25" hidden="false" customHeight="false" outlineLevel="0" collapsed="false">
      <c r="C280" s="6" t="s">
        <v>257</v>
      </c>
      <c r="D280" s="2" t="s">
        <v>85</v>
      </c>
      <c r="E280" s="8" t="n">
        <f aca="false">-E223</f>
        <v>-679.181008129718</v>
      </c>
      <c r="F280" s="8" t="n">
        <f aca="false">-F223</f>
        <v>-679.181008129718</v>
      </c>
      <c r="G280" s="8" t="n">
        <f aca="false">-G223</f>
        <v>-679.181008129718</v>
      </c>
      <c r="H280" s="8" t="n">
        <f aca="false">SUM(E280:G280)</f>
        <v>-2037.54302438915</v>
      </c>
      <c r="J280" s="24"/>
      <c r="K280" s="24"/>
      <c r="L280" s="24"/>
    </row>
    <row r="281" customFormat="false" ht="14.25" hidden="false" customHeight="false" outlineLevel="0" collapsed="false">
      <c r="C281" s="44" t="s">
        <v>258</v>
      </c>
      <c r="D281" s="45" t="s">
        <v>85</v>
      </c>
      <c r="E281" s="69" t="n">
        <f aca="false">E277+SUM(E278:E280)</f>
        <v>4677.31898577712</v>
      </c>
      <c r="F281" s="69" t="n">
        <f aca="false">F277+SUM(F278:F280)</f>
        <v>6412.59981378809</v>
      </c>
      <c r="G281" s="69" t="n">
        <f aca="false">G277+SUM(G278:G280)</f>
        <v>6412.59981378809</v>
      </c>
      <c r="H281" s="69" t="n">
        <f aca="false">SUM(E281:G281)</f>
        <v>17502.5186133533</v>
      </c>
    </row>
    <row r="282" customFormat="false" ht="14.25" hidden="false" customHeight="false" outlineLevel="0" collapsed="false">
      <c r="C282" s="1" t="s">
        <v>259</v>
      </c>
      <c r="D282" s="2" t="s">
        <v>85</v>
      </c>
      <c r="E282" s="32" t="n">
        <f aca="false">-MAX(0,E281)*CIT_Rate*(1-Share_Exempt)</f>
        <v>-0</v>
      </c>
      <c r="F282" s="32" t="n">
        <f aca="false">-MAX(0,F281)*CIT_Rate*(1-Share_Exempt)</f>
        <v>-0</v>
      </c>
      <c r="G282" s="32" t="n">
        <f aca="false">-MAX(0,G281)*CIT_Rate*(1-Share_Exempt)</f>
        <v>-0</v>
      </c>
      <c r="H282" s="32" t="n">
        <f aca="false">SUM(E282:G282)</f>
        <v>0</v>
      </c>
    </row>
    <row r="283" customFormat="false" ht="14.25" hidden="false" customHeight="false" outlineLevel="0" collapsed="false">
      <c r="C283" s="1" t="s">
        <v>260</v>
      </c>
      <c r="D283" s="2" t="s">
        <v>85</v>
      </c>
      <c r="E283" s="32" t="n">
        <f aca="false">-E248*CIT_Rate*E$21</f>
        <v>-193.607434775059</v>
      </c>
      <c r="F283" s="32" t="n">
        <f aca="false">-F248*CIT_Rate*F$21</f>
        <v>-0</v>
      </c>
      <c r="G283" s="32" t="n">
        <f aca="false">-G248*CIT_Rate*G$21</f>
        <v>-0</v>
      </c>
      <c r="H283" s="32" t="n">
        <f aca="false">SUM(E283:G283)</f>
        <v>-193.607434775059</v>
      </c>
    </row>
    <row r="284" customFormat="false" ht="14.25" hidden="false" customHeight="false" outlineLevel="0" collapsed="false">
      <c r="C284" s="44" t="s">
        <v>129</v>
      </c>
      <c r="D284" s="45" t="s">
        <v>85</v>
      </c>
      <c r="E284" s="69" t="n">
        <f aca="false">E281+E282+E283</f>
        <v>4483.71155100206</v>
      </c>
      <c r="F284" s="69" t="n">
        <f aca="false">F281+F282+F283</f>
        <v>6412.59981378809</v>
      </c>
      <c r="G284" s="69" t="n">
        <f aca="false">G281+G282+G283</f>
        <v>6412.59981378809</v>
      </c>
      <c r="H284" s="69" t="n">
        <f aca="false">SUM(E284:G284)</f>
        <v>17308.9111785782</v>
      </c>
    </row>
    <row r="285" customFormat="false" ht="14.25" hidden="false" customHeight="false" outlineLevel="0" collapsed="false">
      <c r="C285" s="6" t="s">
        <v>261</v>
      </c>
      <c r="D285" s="2" t="s">
        <v>3</v>
      </c>
      <c r="E285" s="47" t="n">
        <f aca="false">SUMIF(E289:E296,"&gt;0")/-SUMIF(E289:E296,"&lt;0")</f>
        <v>2.37907284809717</v>
      </c>
      <c r="F285" s="47" t="n">
        <f aca="false">SUMIF(F289:F296,"&gt;0")/-SUMIF(F289:F296,"&lt;0")</f>
        <v>2.60568088818687</v>
      </c>
      <c r="G285" s="47" t="n">
        <f aca="false">SUMIF(G289:G296,"&gt;0")/-SUMIF(G289:G296,"&lt;0")</f>
        <v>2.60568088818687</v>
      </c>
      <c r="H285" s="47" t="n">
        <f aca="false">SUMIF(H289:H296,"&gt;0")/-SUMIF(H289:H296,"&lt;0")</f>
        <v>2.53813796695766</v>
      </c>
    </row>
    <row r="286" customFormat="false" ht="14.25" hidden="false" customHeight="false" outlineLevel="0" collapsed="false">
      <c r="C286" s="6" t="s">
        <v>262</v>
      </c>
      <c r="D286" s="2" t="s">
        <v>12</v>
      </c>
      <c r="E286" s="48" t="n">
        <f aca="false">XIRR(E289:E296,J289:J296)</f>
        <v>0.710305043746515</v>
      </c>
      <c r="F286" s="48" t="n">
        <f aca="false">XIRR(F289:F296,K289:K296)</f>
        <v>0.789921152442643</v>
      </c>
      <c r="G286" s="48" t="n">
        <f aca="false">XIRR(G289:G296,L289:L296)</f>
        <v>0.789921152442643</v>
      </c>
      <c r="H286" s="49" t="n">
        <f aca="false">XIRR(H289:H296,J289:J296)</f>
        <v>0.766962263093306</v>
      </c>
    </row>
    <row r="287" customFormat="false" ht="14.25" hidden="false" customHeight="false" outlineLevel="0" collapsed="false">
      <c r="C287" s="70" t="s">
        <v>263</v>
      </c>
      <c r="D287" s="34" t="s">
        <v>85</v>
      </c>
      <c r="E287" s="8" t="n">
        <f aca="false">E281-E336</f>
        <v>-265.366124846721</v>
      </c>
      <c r="F287" s="8" t="n">
        <f aca="false">F281-F336</f>
        <v>21.9178082191811</v>
      </c>
      <c r="G287" s="8" t="n">
        <f aca="false">G281-G336</f>
        <v>21.9178082191811</v>
      </c>
      <c r="H287" s="8" t="n">
        <f aca="false">SUM(E287:G287)</f>
        <v>-221.530508408358</v>
      </c>
    </row>
    <row r="288" customFormat="false" ht="14.25" hidden="false" customHeight="false" outlineLevel="0" collapsed="false">
      <c r="C288" s="42" t="s">
        <v>264</v>
      </c>
      <c r="D288" s="42"/>
      <c r="E288" s="43"/>
      <c r="F288" s="43"/>
      <c r="G288" s="43"/>
      <c r="H288" s="43"/>
      <c r="J288" s="43" t="s">
        <v>243</v>
      </c>
      <c r="K288" s="43" t="s">
        <v>6</v>
      </c>
      <c r="L288" s="43" t="s">
        <v>7</v>
      </c>
      <c r="M288" s="43" t="s">
        <v>265</v>
      </c>
      <c r="N288" s="43" t="s">
        <v>266</v>
      </c>
      <c r="O288" s="43" t="s">
        <v>267</v>
      </c>
    </row>
    <row r="289" customFormat="false" ht="14.25" hidden="false" customHeight="false" outlineLevel="1" collapsed="false">
      <c r="C289" s="6" t="s">
        <v>82</v>
      </c>
      <c r="D289" s="2" t="s">
        <v>85</v>
      </c>
      <c r="E289" s="8" t="n">
        <f aca="false">-E69</f>
        <v>-100</v>
      </c>
      <c r="F289" s="8" t="n">
        <f aca="false">-F69</f>
        <v>-150</v>
      </c>
      <c r="G289" s="8" t="n">
        <f aca="false">-G69</f>
        <v>-150</v>
      </c>
      <c r="H289" s="8" t="n">
        <f aca="false">SUM(E289:G289)</f>
        <v>-400</v>
      </c>
      <c r="J289" s="24" t="n">
        <f aca="false">Inputs!E$20</f>
        <v>46234</v>
      </c>
      <c r="K289" s="24" t="n">
        <f aca="false">Inputs!F$20</f>
        <v>46234</v>
      </c>
      <c r="L289" s="24" t="n">
        <f aca="false">Inputs!G$20</f>
        <v>46234</v>
      </c>
    </row>
    <row r="290" customFormat="false" ht="14.25" hidden="false" customHeight="false" outlineLevel="1" collapsed="false">
      <c r="C290" s="6" t="s">
        <v>73</v>
      </c>
      <c r="D290" s="2" t="s">
        <v>85</v>
      </c>
      <c r="E290" s="8" t="n">
        <f aca="false">-E61</f>
        <v>-8.21917808219178</v>
      </c>
      <c r="F290" s="8" t="n">
        <f aca="false">-F61</f>
        <v>-8.21917808219178</v>
      </c>
      <c r="G290" s="8" t="n">
        <f aca="false">-G61</f>
        <v>-8.21917808219178</v>
      </c>
      <c r="H290" s="8" t="n">
        <f aca="false">SUM(E290:G290)</f>
        <v>-24.6575342465753</v>
      </c>
      <c r="J290" s="24" t="n">
        <f aca="false">Inputs!E$21</f>
        <v>46325</v>
      </c>
      <c r="K290" s="24" t="n">
        <f aca="false">Inputs!F$21</f>
        <v>46325</v>
      </c>
      <c r="L290" s="24" t="n">
        <f aca="false">Inputs!G$21</f>
        <v>46325</v>
      </c>
      <c r="M290" s="71" t="n">
        <f aca="false">1+Rate_Cash*(DATE(YEAR(J290)+1,1,1)-J290)/Days_In_Year</f>
        <v>1.02071232876712</v>
      </c>
      <c r="N290" s="71" t="n">
        <f aca="false">1+Rate_Cash*(DATE(YEAR(K290)+1,1,1)-K290)/Days_In_Year</f>
        <v>1.02071232876712</v>
      </c>
      <c r="O290" s="71" t="n">
        <f aca="false">1+Rate_Cash*(DATE(YEAR(L290)+1,1,1)-L290)/Days_In_Year</f>
        <v>1.02071232876712</v>
      </c>
    </row>
    <row r="291" customFormat="false" ht="14.25" hidden="false" customHeight="false" outlineLevel="1" collapsed="false">
      <c r="C291" s="6" t="s">
        <v>75</v>
      </c>
      <c r="D291" s="2" t="s">
        <v>85</v>
      </c>
      <c r="E291" s="8" t="n">
        <f aca="false">-E62</f>
        <v>-388.493150684932</v>
      </c>
      <c r="F291" s="8" t="n">
        <f aca="false">-F62</f>
        <v>-498.904109589041</v>
      </c>
      <c r="G291" s="8" t="n">
        <f aca="false">-G62</f>
        <v>-498.904109589041</v>
      </c>
      <c r="H291" s="8" t="n">
        <f aca="false">SUM(E291:G291)</f>
        <v>-1386.30136986301</v>
      </c>
      <c r="J291" s="24" t="n">
        <f aca="false">Inputs!E$21</f>
        <v>46325</v>
      </c>
      <c r="K291" s="24" t="n">
        <f aca="false">Inputs!F$21</f>
        <v>46325</v>
      </c>
      <c r="L291" s="24" t="n">
        <f aca="false">Inputs!G$21</f>
        <v>46325</v>
      </c>
      <c r="M291" s="71" t="n">
        <f aca="false">1+Rate_Cash*(DATE(YEAR(J291)+1,1,1)-J291)/Days_In_Year</f>
        <v>1.02071232876712</v>
      </c>
      <c r="N291" s="71" t="n">
        <f aca="false">1+Rate_Cash*(DATE(YEAR(K291)+1,1,1)-K291)/Days_In_Year</f>
        <v>1.02071232876712</v>
      </c>
      <c r="O291" s="71" t="n">
        <f aca="false">1+Rate_Cash*(DATE(YEAR(L291)+1,1,1)-L291)/Days_In_Year</f>
        <v>1.02071232876712</v>
      </c>
    </row>
    <row r="292" customFormat="false" ht="14.25" hidden="false" customHeight="false" outlineLevel="1" collapsed="false">
      <c r="C292" s="6" t="s">
        <v>268</v>
      </c>
      <c r="D292" s="2" t="s">
        <v>85</v>
      </c>
      <c r="E292" s="8" t="n">
        <f aca="false">-E63</f>
        <v>-1553.97260273973</v>
      </c>
      <c r="F292" s="8" t="n">
        <f aca="false">-F63</f>
        <v>-1995.61643835616</v>
      </c>
      <c r="G292" s="8" t="n">
        <f aca="false">-G63</f>
        <v>-1995.61643835616</v>
      </c>
      <c r="H292" s="8" t="n">
        <f aca="false">SUM(E292:G292)</f>
        <v>-5545.20547945205</v>
      </c>
      <c r="J292" s="24" t="n">
        <f aca="false">Inputs!E$22</f>
        <v>46402</v>
      </c>
      <c r="K292" s="24" t="n">
        <f aca="false">Inputs!F$22</f>
        <v>46402</v>
      </c>
      <c r="L292" s="24" t="n">
        <f aca="false">Inputs!G$22</f>
        <v>46402</v>
      </c>
      <c r="M292" s="71" t="n">
        <f aca="false">1+Rate_Cash*(DATE(YEAR(J292)+1,1,1)-J292)/Days_In_Year</f>
        <v>1.11539726027397</v>
      </c>
      <c r="N292" s="71" t="n">
        <f aca="false">1+Rate_Cash*(DATE(YEAR(K292)+1,1,1)-K292)/Days_In_Year</f>
        <v>1.11539726027397</v>
      </c>
      <c r="O292" s="71" t="n">
        <f aca="false">1+Rate_Cash*(DATE(YEAR(L292)+1,1,1)-L292)/Days_In_Year</f>
        <v>1.11539726027397</v>
      </c>
    </row>
    <row r="293" customFormat="false" ht="14.25" hidden="false" customHeight="false" outlineLevel="1" collapsed="false">
      <c r="C293" s="6" t="s">
        <v>77</v>
      </c>
      <c r="D293" s="2" t="s">
        <v>85</v>
      </c>
      <c r="E293" s="8" t="n">
        <f aca="false">-E64</f>
        <v>-616.438356164384</v>
      </c>
      <c r="F293" s="8" t="n">
        <f aca="false">-F64</f>
        <v>-616.438356164384</v>
      </c>
      <c r="G293" s="8" t="n">
        <f aca="false">-G64</f>
        <v>-616.438356164384</v>
      </c>
      <c r="H293" s="8" t="n">
        <f aca="false">SUM(E293:G293)</f>
        <v>-1849.31506849315</v>
      </c>
      <c r="J293" s="24" t="n">
        <f aca="false">Inputs!E$23</f>
        <v>46402</v>
      </c>
      <c r="K293" s="24" t="n">
        <f aca="false">Inputs!F$23</f>
        <v>46402</v>
      </c>
      <c r="L293" s="24" t="n">
        <f aca="false">Inputs!G$23</f>
        <v>46402</v>
      </c>
      <c r="M293" s="71" t="n">
        <f aca="false">1+Rate_Cash*(DATE(YEAR(J293)+1,1,1)-J293)/Days_In_Year</f>
        <v>1.11539726027397</v>
      </c>
      <c r="N293" s="71" t="n">
        <f aca="false">1+Rate_Cash*(DATE(YEAR(K293)+1,1,1)-K293)/Days_In_Year</f>
        <v>1.11539726027397</v>
      </c>
      <c r="O293" s="71" t="n">
        <f aca="false">1+Rate_Cash*(DATE(YEAR(L293)+1,1,1)-L293)/Days_In_Year</f>
        <v>1.11539726027397</v>
      </c>
    </row>
    <row r="294" customFormat="false" ht="14.25" hidden="false" customHeight="false" outlineLevel="1" collapsed="false">
      <c r="C294" s="6" t="s">
        <v>116</v>
      </c>
      <c r="D294" s="2" t="s">
        <v>85</v>
      </c>
      <c r="E294" s="8" t="n">
        <f aca="false">-E220</f>
        <v>-45.3359589041096</v>
      </c>
      <c r="F294" s="8" t="n">
        <f aca="false">-F220</f>
        <v>-45.3359589041096</v>
      </c>
      <c r="G294" s="8" t="n">
        <f aca="false">-G220</f>
        <v>-45.3359589041096</v>
      </c>
      <c r="H294" s="8" t="n">
        <f aca="false">SUM(E294:G294)</f>
        <v>-136.007876712329</v>
      </c>
      <c r="J294" s="24" t="n">
        <f aca="false">E219</f>
        <v>46431</v>
      </c>
      <c r="K294" s="24" t="n">
        <f aca="false">F219</f>
        <v>46431</v>
      </c>
      <c r="L294" s="24" t="n">
        <f aca="false">G219</f>
        <v>46431</v>
      </c>
      <c r="M294" s="71" t="n">
        <f aca="false">1+Rate_Devex*(DATE(YEAR(J294)+1,1,1)-J294)/Days_In_Year</f>
        <v>1.17643835616438</v>
      </c>
      <c r="N294" s="71" t="n">
        <f aca="false">1+Rate_Devex*(DATE(YEAR(K294)+1,1,1)-K294)/Days_In_Year</f>
        <v>1.17643835616438</v>
      </c>
      <c r="O294" s="71" t="n">
        <f aca="false">1+Rate_Devex*(DATE(YEAR(L294)+1,1,1)-L294)/Days_In_Year</f>
        <v>1.17643835616438</v>
      </c>
    </row>
    <row r="295" customFormat="false" ht="14.25" hidden="false" customHeight="false" outlineLevel="1" collapsed="false">
      <c r="C295" s="6" t="s">
        <v>269</v>
      </c>
      <c r="D295" s="2" t="s">
        <v>85</v>
      </c>
      <c r="E295" s="8" t="n">
        <f aca="false">-E223</f>
        <v>-679.181008129718</v>
      </c>
      <c r="F295" s="8" t="n">
        <f aca="false">-F223</f>
        <v>-679.181008129718</v>
      </c>
      <c r="G295" s="8" t="n">
        <f aca="false">-G223</f>
        <v>-679.181008129718</v>
      </c>
      <c r="H295" s="8" t="n">
        <f aca="false">SUM(E295:G295)</f>
        <v>-2037.54302438915</v>
      </c>
      <c r="J295" s="24" t="n">
        <f aca="false">E222</f>
        <v>46701.5587560279</v>
      </c>
      <c r="K295" s="24" t="n">
        <f aca="false">F222</f>
        <v>46701.5587560279</v>
      </c>
      <c r="L295" s="24" t="n">
        <f aca="false">G222</f>
        <v>46701.5587560279</v>
      </c>
      <c r="M295" s="71" t="n">
        <f aca="false">1+Rate_Devex*(DATE(YEAR(J295)+1,1,1)-J295)/Days_In_Year</f>
        <v>1.02818698299841</v>
      </c>
      <c r="N295" s="71" t="n">
        <f aca="false">1+Rate_Devex*(DATE(YEAR(K295)+1,1,1)-K295)/Days_In_Year</f>
        <v>1.02818698299841</v>
      </c>
      <c r="O295" s="71" t="n">
        <f aca="false">1+Rate_Devex*(DATE(YEAR(L295)+1,1,1)-L295)/Days_In_Year</f>
        <v>1.02818698299841</v>
      </c>
    </row>
    <row r="296" customFormat="false" ht="14.25" hidden="false" customHeight="false" outlineLevel="1" collapsed="false">
      <c r="C296" s="6" t="s">
        <v>270</v>
      </c>
      <c r="D296" s="2" t="s">
        <v>85</v>
      </c>
      <c r="E296" s="8" t="n">
        <f aca="false">E277-E256-E257</f>
        <v>8068.95924048218</v>
      </c>
      <c r="F296" s="8" t="n">
        <f aca="false">F277-F256-F257</f>
        <v>10406.2948630137</v>
      </c>
      <c r="G296" s="8" t="n">
        <f aca="false">G277-G256-G257</f>
        <v>10406.2948630137</v>
      </c>
      <c r="H296" s="8" t="n">
        <f aca="false">SUM(E296:G296)</f>
        <v>28881.5489665096</v>
      </c>
      <c r="J296" s="24" t="n">
        <f aca="false">Sale_Date_A</f>
        <v>47026</v>
      </c>
      <c r="K296" s="24" t="n">
        <f aca="false">Sale_Date_A</f>
        <v>47026</v>
      </c>
      <c r="L296" s="24" t="n">
        <f aca="false">Sale_Date_A</f>
        <v>47026</v>
      </c>
    </row>
    <row r="297" customFormat="false" ht="14.25" hidden="false" customHeight="false" outlineLevel="0" collapsed="false">
      <c r="C297" s="6" t="s">
        <v>271</v>
      </c>
      <c r="D297" s="2" t="s">
        <v>85</v>
      </c>
      <c r="E297" s="8" t="n">
        <f aca="false">-J$413*CIT_Rate*E$21</f>
        <v>-1.23252542690937</v>
      </c>
      <c r="F297" s="8" t="n">
        <f aca="false">-J$464*CIT_Rate*F$21</f>
        <v>-0</v>
      </c>
      <c r="G297" s="8" t="n">
        <f aca="false">-J$515*CIT_Rate*G$21</f>
        <v>-0</v>
      </c>
      <c r="H297" s="8" t="n">
        <f aca="false">SUM(E297:G297)</f>
        <v>-1.23252542690937</v>
      </c>
      <c r="J297" s="24" t="n">
        <f aca="false">J$362</f>
        <v>46387</v>
      </c>
      <c r="K297" s="24" t="n">
        <f aca="false">J$362</f>
        <v>46387</v>
      </c>
      <c r="L297" s="24" t="n">
        <f aca="false">J$362</f>
        <v>46387</v>
      </c>
    </row>
    <row r="298" customFormat="false" ht="14.25" hidden="false" customHeight="false" outlineLevel="0" collapsed="false">
      <c r="C298" s="6" t="s">
        <v>272</v>
      </c>
      <c r="D298" s="2" t="s">
        <v>85</v>
      </c>
      <c r="E298" s="8" t="n">
        <f aca="false">-K$413*CIT_Rate*E$21</f>
        <v>-48.9291065569347</v>
      </c>
      <c r="F298" s="8" t="n">
        <f aca="false">-K$464*CIT_Rate*F$21</f>
        <v>-0</v>
      </c>
      <c r="G298" s="8" t="n">
        <f aca="false">-K$515*CIT_Rate*G$21</f>
        <v>-0</v>
      </c>
      <c r="H298" s="8" t="n">
        <f aca="false">SUM(E298:G298)</f>
        <v>-48.9291065569347</v>
      </c>
      <c r="J298" s="24" t="n">
        <f aca="false">K$362</f>
        <v>46752</v>
      </c>
      <c r="K298" s="24" t="n">
        <f aca="false">K$362</f>
        <v>46752</v>
      </c>
      <c r="L298" s="24" t="n">
        <f aca="false">K$362</f>
        <v>46752</v>
      </c>
    </row>
    <row r="299" customFormat="false" ht="14.25" hidden="false" customHeight="false" outlineLevel="0" collapsed="false">
      <c r="C299" s="6" t="s">
        <v>273</v>
      </c>
      <c r="D299" s="2" t="s">
        <v>85</v>
      </c>
      <c r="E299" s="8" t="n">
        <f aca="false">-L$413*CIT_Rate*E$21</f>
        <v>0</v>
      </c>
      <c r="F299" s="8" t="n">
        <f aca="false">-L$464*CIT_Rate*F$21</f>
        <v>-0</v>
      </c>
      <c r="G299" s="8" t="n">
        <f aca="false">-L$515*CIT_Rate*G$21</f>
        <v>-0</v>
      </c>
      <c r="H299" s="8" t="n">
        <f aca="false">SUM(E299:G299)</f>
        <v>0</v>
      </c>
      <c r="J299" s="24" t="n">
        <f aca="false">L$362</f>
        <v>47118</v>
      </c>
      <c r="K299" s="24" t="n">
        <f aca="false">L$362</f>
        <v>47118</v>
      </c>
      <c r="L299" s="24" t="n">
        <f aca="false">L$362</f>
        <v>47118</v>
      </c>
    </row>
    <row r="300" customFormat="false" ht="14.25" hidden="false" customHeight="false" outlineLevel="0" collapsed="false">
      <c r="C300" s="6" t="s">
        <v>274</v>
      </c>
      <c r="D300" s="2" t="s">
        <v>85</v>
      </c>
      <c r="E300" s="8" t="n">
        <f aca="false">-E248*CIT_Rate*E$21-SUM(E297:E299)</f>
        <v>-143.445802791215</v>
      </c>
      <c r="F300" s="8" t="n">
        <f aca="false">-F248*CIT_Rate*F$21-SUM(F297:F299)</f>
        <v>-0</v>
      </c>
      <c r="G300" s="8" t="n">
        <f aca="false">-G248*CIT_Rate*G$21-SUM(G297:G299)</f>
        <v>-0</v>
      </c>
      <c r="H300" s="8" t="n">
        <f aca="false">SUM(E300:G300)</f>
        <v>-143.445802791215</v>
      </c>
      <c r="J300" s="24" t="n">
        <f aca="false">Sale_Date_A</f>
        <v>47026</v>
      </c>
      <c r="K300" s="24" t="n">
        <f aca="false">Sale_Date_A</f>
        <v>47026</v>
      </c>
      <c r="L300" s="24" t="n">
        <f aca="false">Sale_Date_A</f>
        <v>47026</v>
      </c>
    </row>
    <row r="301" customFormat="false" ht="14.25" hidden="false" customHeight="false" outlineLevel="0" collapsed="false">
      <c r="C301" s="6" t="s">
        <v>275</v>
      </c>
      <c r="D301" s="2" t="s">
        <v>3</v>
      </c>
      <c r="E301" s="47" t="n">
        <f aca="false">SUMIF(E289:E300,"&gt;0")/-SUMIF(E289:E300,"&lt;0")</f>
        <v>2.25060022049752</v>
      </c>
      <c r="F301" s="47" t="n">
        <f aca="false">SUMIF(F289:F300,"&gt;0")/-SUMIF(F289:F300,"&lt;0")</f>
        <v>2.60568088818687</v>
      </c>
      <c r="G301" s="47" t="n">
        <f aca="false">SUMIF(G289:G300,"&gt;0")/-SUMIF(G289:G300,"&lt;0")</f>
        <v>2.60568088818687</v>
      </c>
      <c r="H301" s="47" t="n">
        <f aca="false">SUMIF(H289:H300,"&gt;0")/-SUMIF(H289:H300,"&lt;0")</f>
        <v>2.49567553186786</v>
      </c>
      <c r="J301" s="24"/>
      <c r="K301" s="24"/>
      <c r="L301" s="24"/>
    </row>
    <row r="302" customFormat="false" ht="14.25" hidden="false" customHeight="false" outlineLevel="0" collapsed="false">
      <c r="C302" s="6" t="s">
        <v>276</v>
      </c>
      <c r="D302" s="2" t="s">
        <v>12</v>
      </c>
      <c r="E302" s="48" t="n">
        <f aca="false">XIRR(E289:E300,J289:J300)</f>
        <v>0.681940556156356</v>
      </c>
      <c r="F302" s="48" t="n">
        <f aca="false">XIRR(F289:F300,K289:K300)</f>
        <v>0.789921152442643</v>
      </c>
      <c r="G302" s="48" t="n">
        <f aca="false">XIRR(G289:G300,L289:L300)</f>
        <v>0.789921152442643</v>
      </c>
      <c r="H302" s="49" t="n">
        <f aca="false">XIRR(H289:H300,J289:J300)</f>
        <v>0.75881111235611</v>
      </c>
      <c r="J302" s="24"/>
      <c r="K302" s="24"/>
      <c r="L302" s="24"/>
    </row>
    <row r="304" customFormat="false" ht="14.25" hidden="false" customHeight="false" outlineLevel="0" collapsed="false">
      <c r="B304" s="4" t="s">
        <v>3</v>
      </c>
      <c r="C304" s="4" t="s">
        <v>277</v>
      </c>
      <c r="D304" s="4"/>
      <c r="E304" s="5" t="s">
        <v>5</v>
      </c>
      <c r="F304" s="5" t="s">
        <v>6</v>
      </c>
      <c r="G304" s="5" t="s">
        <v>7</v>
      </c>
      <c r="H304" s="5" t="s">
        <v>8</v>
      </c>
    </row>
    <row r="305" customFormat="false" ht="14.25" hidden="false" customHeight="false" outlineLevel="0" collapsed="false">
      <c r="C305" s="6" t="s">
        <v>28</v>
      </c>
      <c r="D305" s="2" t="s">
        <v>85</v>
      </c>
      <c r="E305" s="8" t="n">
        <f aca="false">E98</f>
        <v>7500</v>
      </c>
      <c r="F305" s="8" t="n">
        <f aca="false">F98</f>
        <v>7500</v>
      </c>
      <c r="G305" s="8" t="n">
        <f aca="false">G98</f>
        <v>7500</v>
      </c>
      <c r="H305" s="8" t="n">
        <f aca="false">SUM(E305:G305)</f>
        <v>22500</v>
      </c>
    </row>
    <row r="306" customFormat="false" ht="14.25" hidden="false" customHeight="false" outlineLevel="0" collapsed="false">
      <c r="C306" s="6" t="s">
        <v>278</v>
      </c>
      <c r="D306" s="2" t="s">
        <v>85</v>
      </c>
      <c r="E306" s="8" t="n">
        <f aca="false">SUM(E62:E66)</f>
        <v>12648.5978136986</v>
      </c>
      <c r="F306" s="8" t="n">
        <f aca="false">SUM(F62:F66)</f>
        <v>6470.77808219178</v>
      </c>
      <c r="G306" s="8" t="n">
        <f aca="false">SUM(G62:G66)</f>
        <v>6470.77808219178</v>
      </c>
      <c r="H306" s="8" t="n">
        <f aca="false">SUM(E306:G306)</f>
        <v>25590.1539780822</v>
      </c>
    </row>
    <row r="307" customFormat="false" ht="14.25" hidden="false" customHeight="false" outlineLevel="0" collapsed="false">
      <c r="C307" s="1" t="s">
        <v>230</v>
      </c>
      <c r="D307" s="2" t="s">
        <v>85</v>
      </c>
      <c r="E307" s="15" t="n">
        <f aca="false">E68</f>
        <v>107.801712328767</v>
      </c>
      <c r="F307" s="15" t="n">
        <f aca="false">F68</f>
        <v>107.801712328767</v>
      </c>
      <c r="G307" s="15" t="n">
        <f aca="false">G68</f>
        <v>107.801712328767</v>
      </c>
      <c r="H307" s="15" t="n">
        <f aca="false">SUM(E307:G307)</f>
        <v>323.405136986301</v>
      </c>
    </row>
    <row r="308" customFormat="false" ht="14.25" hidden="false" customHeight="false" outlineLevel="0" collapsed="false">
      <c r="C308" s="6" t="s">
        <v>231</v>
      </c>
      <c r="D308" s="2" t="s">
        <v>85</v>
      </c>
      <c r="E308" s="8" t="n">
        <f aca="false">SUM(E305:E307)</f>
        <v>20256.3995260274</v>
      </c>
      <c r="F308" s="8" t="n">
        <f aca="false">SUM(F305:F307)</f>
        <v>14078.5797945205</v>
      </c>
      <c r="G308" s="8" t="n">
        <f aca="false">SUM(G305:G307)</f>
        <v>14078.5797945205</v>
      </c>
      <c r="H308" s="8" t="n">
        <f aca="false">SUM(E308:G308)</f>
        <v>48413.5591150685</v>
      </c>
    </row>
    <row r="309" customFormat="false" ht="14.25" hidden="false" customHeight="false" outlineLevel="0" collapsed="false">
      <c r="C309" s="6" t="s">
        <v>232</v>
      </c>
      <c r="D309" s="2" t="s">
        <v>85</v>
      </c>
      <c r="E309" s="8" t="n">
        <f aca="false">-MIN(E308,Sale_Costs)</f>
        <v>-250</v>
      </c>
      <c r="F309" s="8" t="n">
        <f aca="false">-MIN(F308,Sale_Costs)</f>
        <v>-250</v>
      </c>
      <c r="G309" s="8" t="n">
        <f aca="false">-MIN(G308,Sale_Costs)</f>
        <v>-250</v>
      </c>
      <c r="H309" s="8" t="n">
        <f aca="false">SUM(E309:G309)</f>
        <v>-750</v>
      </c>
    </row>
    <row r="310" customFormat="false" ht="14.25" hidden="false" customHeight="false" outlineLevel="0" collapsed="false">
      <c r="C310" s="6" t="s">
        <v>279</v>
      </c>
      <c r="D310" s="2" t="s">
        <v>85</v>
      </c>
      <c r="E310" s="8" t="n">
        <f aca="false">-MIN(SUM(E308:E309),E306)</f>
        <v>-12648.5978136986</v>
      </c>
      <c r="F310" s="8" t="n">
        <f aca="false">-MIN(SUM(F308:F309),F306)</f>
        <v>-6470.77808219178</v>
      </c>
      <c r="G310" s="8" t="n">
        <f aca="false">-MIN(SUM(G308:G309),G306)</f>
        <v>-6470.77808219178</v>
      </c>
      <c r="H310" s="8" t="n">
        <f aca="false">SUM(E310:G310)</f>
        <v>-25590.1539780822</v>
      </c>
    </row>
    <row r="311" customFormat="false" ht="14.25" hidden="false" customHeight="false" outlineLevel="0" collapsed="false">
      <c r="C311" s="6" t="s">
        <v>234</v>
      </c>
      <c r="D311" s="2" t="s">
        <v>85</v>
      </c>
      <c r="E311" s="8" t="n">
        <f aca="false">-MIN(SUM(E308:E310),E307)</f>
        <v>-107.801712328767</v>
      </c>
      <c r="F311" s="8" t="n">
        <f aca="false">-MIN(SUM(F308:F310),F307)</f>
        <v>-107.801712328767</v>
      </c>
      <c r="G311" s="8" t="n">
        <f aca="false">-MIN(SUM(G308:G310),G307)</f>
        <v>-107.801712328767</v>
      </c>
      <c r="H311" s="8" t="n">
        <f aca="false">SUM(E311:G311)</f>
        <v>-323.405136986301</v>
      </c>
    </row>
    <row r="312" customFormat="false" ht="14.25" hidden="false" customHeight="false" outlineLevel="0" collapsed="false">
      <c r="C312" s="6" t="s">
        <v>235</v>
      </c>
      <c r="D312" s="2" t="s">
        <v>85</v>
      </c>
      <c r="E312" s="8" t="n">
        <f aca="false">-MIN(SUM(E308:E311),E67*E$21)</f>
        <v>-701.098816348896</v>
      </c>
      <c r="F312" s="8" t="n">
        <f aca="false">-MIN(SUM(F308:F311),F67*F$21)</f>
        <v>-0</v>
      </c>
      <c r="G312" s="8" t="n">
        <f aca="false">-MIN(SUM(G308:G311),G67*G$21)</f>
        <v>-0</v>
      </c>
      <c r="H312" s="8" t="n">
        <f aca="false">SUM(E312:G312)</f>
        <v>-701.098816348896</v>
      </c>
    </row>
    <row r="313" customFormat="false" ht="14.25" hidden="false" customHeight="false" outlineLevel="0" collapsed="false">
      <c r="C313" s="6" t="s">
        <v>236</v>
      </c>
      <c r="D313" s="2" t="s">
        <v>85</v>
      </c>
      <c r="E313" s="8" t="n">
        <f aca="false">-MIN(SUM(E308:E312),SUM(E205:E210))</f>
        <v>-1767.51100515654</v>
      </c>
      <c r="F313" s="8" t="n">
        <f aca="false">-MIN(SUM(F308:F312),SUM(F205:F210))</f>
        <v>-0</v>
      </c>
      <c r="G313" s="8" t="n">
        <f aca="false">-MIN(SUM(G308:G312),SUM(G205:G210))</f>
        <v>-0</v>
      </c>
      <c r="H313" s="8" t="n">
        <f aca="false">SUM(E313:G313)</f>
        <v>-1767.51100515654</v>
      </c>
      <c r="N313" s="72"/>
    </row>
    <row r="314" customFormat="false" ht="14.25" hidden="false" customHeight="false" outlineLevel="0" collapsed="false">
      <c r="C314" s="6" t="s">
        <v>237</v>
      </c>
      <c r="D314" s="2" t="s">
        <v>85</v>
      </c>
      <c r="E314" s="8" t="n">
        <f aca="false">-MIN(SUM(E308:E313),SUM(E211:E212))</f>
        <v>-808.900528677663</v>
      </c>
      <c r="F314" s="8" t="n">
        <f aca="false">-MIN(SUM(F308:F313),SUM(F211:F212))</f>
        <v>-0</v>
      </c>
      <c r="G314" s="8" t="n">
        <f aca="false">-MIN(SUM(G308:G313),SUM(G211:G212))</f>
        <v>-0</v>
      </c>
      <c r="H314" s="8" t="n">
        <f aca="false">SUM(E314:G314)</f>
        <v>-808.900528677663</v>
      </c>
      <c r="N314" s="72"/>
    </row>
    <row r="315" customFormat="false" ht="14.25" hidden="false" customHeight="false" outlineLevel="0" collapsed="false">
      <c r="C315" s="6" t="s">
        <v>238</v>
      </c>
      <c r="D315" s="2" t="s">
        <v>85</v>
      </c>
      <c r="E315" s="8" t="n">
        <f aca="false">-MIN(SUM(E308:E314),E214)</f>
        <v>-437.5</v>
      </c>
      <c r="F315" s="8" t="n">
        <f aca="false">-MIN(SUM(F308:F314),F214)</f>
        <v>-0</v>
      </c>
      <c r="G315" s="8" t="n">
        <f aca="false">-MIN(SUM(G308:G314),G214)</f>
        <v>-0</v>
      </c>
      <c r="H315" s="8" t="n">
        <f aca="false">SUM(E315:G315)</f>
        <v>-437.5</v>
      </c>
    </row>
    <row r="316" customFormat="false" ht="14.25" hidden="false" customHeight="false" outlineLevel="0" collapsed="false">
      <c r="C316" s="1" t="s">
        <v>239</v>
      </c>
      <c r="D316" s="2" t="s">
        <v>85</v>
      </c>
      <c r="E316" s="32" t="n">
        <f aca="false">SUM(E308:E315)</f>
        <v>3534.9896498169</v>
      </c>
      <c r="F316" s="32" t="n">
        <f aca="false">SUM(F308:F315)</f>
        <v>7250</v>
      </c>
      <c r="G316" s="32" t="n">
        <f aca="false">SUM(G308:G315)</f>
        <v>7250</v>
      </c>
      <c r="H316" s="32" t="n">
        <f aca="false">SUM(E316:G316)</f>
        <v>18034.9896498169</v>
      </c>
    </row>
    <row r="317" customFormat="false" ht="14.25" hidden="false" customHeight="false" outlineLevel="0" collapsed="false">
      <c r="C317" s="6" t="s">
        <v>240</v>
      </c>
      <c r="D317" s="2" t="s">
        <v>85</v>
      </c>
      <c r="E317" s="8" t="n">
        <f aca="false">E316*E19</f>
        <v>2474.49275487183</v>
      </c>
      <c r="F317" s="8" t="n">
        <f aca="false">F316*F19</f>
        <v>7250</v>
      </c>
      <c r="G317" s="8" t="n">
        <f aca="false">G316*G19</f>
        <v>7250</v>
      </c>
      <c r="H317" s="8" t="n">
        <f aca="false">SUM(E317:G317)</f>
        <v>16974.4927548718</v>
      </c>
    </row>
    <row r="318" customFormat="false" ht="14.25" hidden="false" customHeight="false" outlineLevel="0" collapsed="false">
      <c r="C318" s="6" t="s">
        <v>241</v>
      </c>
      <c r="D318" s="2" t="s">
        <v>85</v>
      </c>
      <c r="E318" s="8" t="n">
        <f aca="false">E316-E317</f>
        <v>1060.49689494507</v>
      </c>
      <c r="F318" s="8" t="n">
        <f aca="false">F316-F317</f>
        <v>0</v>
      </c>
      <c r="G318" s="8" t="n">
        <f aca="false">G316-G317</f>
        <v>0</v>
      </c>
      <c r="H318" s="8" t="n">
        <f aca="false">SUM(E318:G318)</f>
        <v>1060.49689494507</v>
      </c>
    </row>
    <row r="320" customFormat="false" ht="14.25" hidden="false" customHeight="false" outlineLevel="0" collapsed="false">
      <c r="C320" s="42" t="s">
        <v>280</v>
      </c>
      <c r="D320" s="42"/>
      <c r="E320" s="43" t="s">
        <v>5</v>
      </c>
      <c r="F320" s="43" t="s">
        <v>6</v>
      </c>
      <c r="G320" s="43" t="s">
        <v>7</v>
      </c>
      <c r="H320" s="43" t="s">
        <v>8</v>
      </c>
      <c r="J320" s="43"/>
      <c r="K320" s="43"/>
      <c r="L320" s="43"/>
    </row>
    <row r="321" customFormat="false" ht="14.25" hidden="false" customHeight="false" outlineLevel="0" collapsed="false">
      <c r="C321" s="6" t="s">
        <v>244</v>
      </c>
      <c r="D321" s="2" t="s">
        <v>85</v>
      </c>
      <c r="E321" s="8" t="n">
        <f aca="false">E98</f>
        <v>7500</v>
      </c>
      <c r="F321" s="8" t="n">
        <f aca="false">F98</f>
        <v>7500</v>
      </c>
      <c r="G321" s="8" t="n">
        <f aca="false">G98</f>
        <v>7500</v>
      </c>
      <c r="H321" s="8" t="n">
        <f aca="false">SUM(E321:G321)</f>
        <v>22500</v>
      </c>
      <c r="J321" s="24"/>
      <c r="K321" s="24"/>
      <c r="L321" s="24"/>
    </row>
    <row r="322" customFormat="false" ht="14.25" hidden="false" customHeight="false" outlineLevel="0" collapsed="false">
      <c r="C322" s="6" t="s">
        <v>245</v>
      </c>
      <c r="D322" s="2" t="s">
        <v>85</v>
      </c>
      <c r="E322" s="8" t="n">
        <f aca="false">0</f>
        <v>0</v>
      </c>
      <c r="F322" s="8" t="n">
        <f aca="false">0</f>
        <v>0</v>
      </c>
      <c r="G322" s="8" t="n">
        <f aca="false">0</f>
        <v>0</v>
      </c>
      <c r="H322" s="8" t="n">
        <f aca="false">SUM(E322:G322)</f>
        <v>0</v>
      </c>
      <c r="J322" s="24"/>
      <c r="K322" s="24"/>
      <c r="L322" s="24"/>
    </row>
    <row r="323" customFormat="false" ht="14.25" hidden="false" customHeight="false" outlineLevel="0" collapsed="false">
      <c r="C323" s="6" t="s">
        <v>246</v>
      </c>
      <c r="D323" s="2" t="s">
        <v>85</v>
      </c>
      <c r="E323" s="8" t="n">
        <f aca="false">0</f>
        <v>0</v>
      </c>
      <c r="F323" s="8" t="n">
        <f aca="false">0</f>
        <v>0</v>
      </c>
      <c r="G323" s="8" t="n">
        <f aca="false">0</f>
        <v>0</v>
      </c>
      <c r="H323" s="8" t="n">
        <f aca="false">SUM(E323:G323)</f>
        <v>0</v>
      </c>
      <c r="J323" s="24"/>
      <c r="K323" s="24"/>
      <c r="L323" s="24"/>
    </row>
    <row r="324" customFormat="false" ht="14.25" hidden="false" customHeight="false" outlineLevel="0" collapsed="false">
      <c r="C324" s="6" t="s">
        <v>247</v>
      </c>
      <c r="D324" s="2" t="s">
        <v>85</v>
      </c>
      <c r="E324" s="8" t="n">
        <f aca="false">0</f>
        <v>0</v>
      </c>
      <c r="F324" s="8" t="n">
        <f aca="false">0</f>
        <v>0</v>
      </c>
      <c r="G324" s="8" t="n">
        <f aca="false">0</f>
        <v>0</v>
      </c>
      <c r="H324" s="8" t="n">
        <f aca="false">SUM(E324:G324)</f>
        <v>0</v>
      </c>
      <c r="J324" s="24"/>
      <c r="K324" s="24"/>
      <c r="L324" s="24"/>
    </row>
    <row r="325" customFormat="false" ht="14.25" hidden="false" customHeight="false" outlineLevel="0" collapsed="false">
      <c r="C325" s="6" t="s">
        <v>248</v>
      </c>
      <c r="D325" s="2" t="s">
        <v>85</v>
      </c>
      <c r="E325" s="8" t="n">
        <f aca="false">E309</f>
        <v>-250</v>
      </c>
      <c r="F325" s="8" t="n">
        <f aca="false">F309</f>
        <v>-250</v>
      </c>
      <c r="G325" s="8" t="n">
        <f aca="false">G309</f>
        <v>-250</v>
      </c>
      <c r="H325" s="8" t="n">
        <f aca="false">SUM(E325:G325)</f>
        <v>-750</v>
      </c>
      <c r="J325" s="24"/>
      <c r="K325" s="24"/>
      <c r="L325" s="24"/>
    </row>
    <row r="326" customFormat="false" ht="14.25" hidden="false" customHeight="false" outlineLevel="0" collapsed="false">
      <c r="C326" s="6" t="s">
        <v>249</v>
      </c>
      <c r="D326" s="2" t="s">
        <v>85</v>
      </c>
      <c r="E326" s="8" t="n">
        <f aca="false">E315</f>
        <v>-437.5</v>
      </c>
      <c r="F326" s="8" t="n">
        <f aca="false">F315</f>
        <v>-0</v>
      </c>
      <c r="G326" s="8" t="n">
        <f aca="false">G315</f>
        <v>-0</v>
      </c>
      <c r="H326" s="8" t="n">
        <f aca="false">SUM(E326:G326)</f>
        <v>-437.5</v>
      </c>
      <c r="J326" s="24"/>
      <c r="K326" s="24"/>
      <c r="L326" s="24"/>
    </row>
    <row r="327" customFormat="false" ht="14.25" hidden="false" customHeight="false" outlineLevel="0" collapsed="false">
      <c r="C327" s="6" t="s">
        <v>250</v>
      </c>
      <c r="D327" s="2" t="s">
        <v>85</v>
      </c>
      <c r="E327" s="8" t="n">
        <f aca="false">-E318</f>
        <v>-1060.49689494507</v>
      </c>
      <c r="F327" s="8" t="n">
        <f aca="false">-F318</f>
        <v>-0</v>
      </c>
      <c r="G327" s="8" t="n">
        <f aca="false">-G318</f>
        <v>-0</v>
      </c>
      <c r="H327" s="8" t="n">
        <f aca="false">SUM(E327:G327)</f>
        <v>-1060.49689494507</v>
      </c>
      <c r="J327" s="24"/>
      <c r="K327" s="24"/>
      <c r="L327" s="24"/>
    </row>
    <row r="328" customFormat="false" ht="14.25" hidden="false" customHeight="false" outlineLevel="0" collapsed="false">
      <c r="C328" s="6" t="s">
        <v>251</v>
      </c>
      <c r="D328" s="68" t="s">
        <v>85</v>
      </c>
      <c r="E328" s="8" t="n">
        <f aca="false">-E312</f>
        <v>701.098816348896</v>
      </c>
      <c r="F328" s="8" t="n">
        <f aca="false">-F312</f>
        <v>0</v>
      </c>
      <c r="G328" s="8" t="n">
        <f aca="false">-G312</f>
        <v>0</v>
      </c>
      <c r="H328" s="8" t="n">
        <f aca="false">SUM(E328:G328)</f>
        <v>701.098816348896</v>
      </c>
      <c r="J328" s="24"/>
      <c r="K328" s="24"/>
      <c r="L328" s="24"/>
    </row>
    <row r="329" customFormat="false" ht="14.25" hidden="false" customHeight="false" outlineLevel="0" collapsed="false">
      <c r="C329" s="6" t="s">
        <v>252</v>
      </c>
      <c r="D329" s="68" t="s">
        <v>85</v>
      </c>
      <c r="E329" s="8" t="n">
        <f aca="false">-E313</f>
        <v>1767.51100515654</v>
      </c>
      <c r="F329" s="8" t="n">
        <f aca="false">-F313</f>
        <v>0</v>
      </c>
      <c r="G329" s="8" t="n">
        <f aca="false">-G313</f>
        <v>0</v>
      </c>
      <c r="H329" s="8" t="n">
        <f aca="false">SUM(E329:G329)</f>
        <v>1767.51100515654</v>
      </c>
      <c r="J329" s="24"/>
      <c r="K329" s="24"/>
      <c r="L329" s="24"/>
    </row>
    <row r="330" customFormat="false" ht="14.25" hidden="false" customHeight="false" outlineLevel="0" collapsed="false">
      <c r="C330" s="6" t="s">
        <v>253</v>
      </c>
      <c r="D330" s="68" t="s">
        <v>85</v>
      </c>
      <c r="E330" s="8" t="n">
        <f aca="false">-E314</f>
        <v>808.900528677663</v>
      </c>
      <c r="F330" s="8" t="n">
        <f aca="false">-F314</f>
        <v>0</v>
      </c>
      <c r="G330" s="8" t="n">
        <f aca="false">-G314</f>
        <v>0</v>
      </c>
      <c r="H330" s="8" t="n">
        <f aca="false">SUM(E330:G330)</f>
        <v>808.900528677663</v>
      </c>
      <c r="J330" s="24"/>
      <c r="K330" s="24"/>
      <c r="L330" s="24"/>
    </row>
    <row r="331" customFormat="false" ht="14.25" hidden="false" customHeight="false" outlineLevel="0" collapsed="false">
      <c r="C331" s="6" t="s">
        <v>29</v>
      </c>
      <c r="D331" s="68" t="s">
        <v>85</v>
      </c>
      <c r="E331" s="8" t="n">
        <f aca="false">E317</f>
        <v>2474.49275487183</v>
      </c>
      <c r="F331" s="8" t="n">
        <f aca="false">F317</f>
        <v>7250</v>
      </c>
      <c r="G331" s="8" t="n">
        <f aca="false">G317</f>
        <v>7250</v>
      </c>
      <c r="H331" s="8" t="n">
        <f aca="false">SUM(E331:G331)</f>
        <v>16974.4927548718</v>
      </c>
      <c r="J331" s="24"/>
      <c r="K331" s="24"/>
      <c r="L331" s="24"/>
    </row>
    <row r="332" customFormat="false" ht="14.25" hidden="false" customHeight="false" outlineLevel="0" collapsed="false">
      <c r="C332" s="44" t="s">
        <v>281</v>
      </c>
      <c r="D332" s="45" t="s">
        <v>85</v>
      </c>
      <c r="E332" s="69" t="n">
        <f aca="false">SUM(E328:E331)</f>
        <v>5752.00310505493</v>
      </c>
      <c r="F332" s="69" t="n">
        <f aca="false">SUM(F328:F331)</f>
        <v>7250</v>
      </c>
      <c r="G332" s="69" t="n">
        <f aca="false">SUM(G328:G331)</f>
        <v>7250</v>
      </c>
      <c r="H332" s="69" t="n">
        <f aca="false">SUM(E332:G332)</f>
        <v>20252.0031050549</v>
      </c>
    </row>
    <row r="333" customFormat="false" ht="14.25" hidden="false" customHeight="false" outlineLevel="0" collapsed="false">
      <c r="C333" s="6" t="s">
        <v>255</v>
      </c>
      <c r="D333" s="2" t="s">
        <v>85</v>
      </c>
      <c r="E333" s="8" t="n">
        <f aca="false">-E69</f>
        <v>-100</v>
      </c>
      <c r="F333" s="8" t="n">
        <f aca="false">-F69</f>
        <v>-150</v>
      </c>
      <c r="G333" s="8" t="n">
        <f aca="false">-G69</f>
        <v>-150</v>
      </c>
      <c r="H333" s="8" t="n">
        <f aca="false">SUM(E333:G333)</f>
        <v>-400</v>
      </c>
      <c r="J333" s="24"/>
      <c r="K333" s="24"/>
      <c r="L333" s="24"/>
    </row>
    <row r="334" customFormat="false" ht="14.25" hidden="false" customHeight="false" outlineLevel="0" collapsed="false">
      <c r="C334" s="6" t="s">
        <v>256</v>
      </c>
      <c r="D334" s="2" t="s">
        <v>85</v>
      </c>
      <c r="E334" s="8" t="n">
        <f aca="false">-E61</f>
        <v>-8.21917808219178</v>
      </c>
      <c r="F334" s="8" t="n">
        <f aca="false">-F61</f>
        <v>-8.21917808219178</v>
      </c>
      <c r="G334" s="8" t="n">
        <f aca="false">-G61</f>
        <v>-8.21917808219178</v>
      </c>
      <c r="H334" s="8" t="n">
        <f aca="false">SUM(E334:G334)</f>
        <v>-24.6575342465753</v>
      </c>
      <c r="J334" s="24"/>
      <c r="K334" s="24"/>
      <c r="L334" s="24"/>
    </row>
    <row r="335" customFormat="false" ht="14.25" hidden="false" customHeight="false" outlineLevel="0" collapsed="false">
      <c r="C335" s="6" t="s">
        <v>257</v>
      </c>
      <c r="D335" s="2" t="s">
        <v>85</v>
      </c>
      <c r="E335" s="8" t="n">
        <f aca="false">-E67</f>
        <v>-701.098816348896</v>
      </c>
      <c r="F335" s="8" t="n">
        <f aca="false">-F67</f>
        <v>-701.098816348896</v>
      </c>
      <c r="G335" s="8" t="n">
        <f aca="false">-G67</f>
        <v>-701.098816348896</v>
      </c>
      <c r="H335" s="8" t="n">
        <f aca="false">SUM(E335:G335)</f>
        <v>-2103.29644904669</v>
      </c>
      <c r="J335" s="24"/>
      <c r="K335" s="24"/>
      <c r="L335" s="24"/>
    </row>
    <row r="336" customFormat="false" ht="14.25" hidden="false" customHeight="false" outlineLevel="0" collapsed="false">
      <c r="C336" s="44" t="s">
        <v>258</v>
      </c>
      <c r="D336" s="45" t="s">
        <v>85</v>
      </c>
      <c r="E336" s="69" t="n">
        <f aca="false">E332+SUM(E333:E335)</f>
        <v>4942.68511062384</v>
      </c>
      <c r="F336" s="69" t="n">
        <f aca="false">F332+SUM(F333:F335)</f>
        <v>6390.68200556891</v>
      </c>
      <c r="G336" s="69" t="n">
        <f aca="false">G332+SUM(G333:G335)</f>
        <v>6390.68200556891</v>
      </c>
      <c r="H336" s="69" t="n">
        <f aca="false">SUM(E336:G336)</f>
        <v>17724.0491217617</v>
      </c>
    </row>
    <row r="337" customFormat="false" ht="14.25" hidden="false" customHeight="false" outlineLevel="0" collapsed="false">
      <c r="C337" s="1" t="s">
        <v>259</v>
      </c>
      <c r="D337" s="2" t="s">
        <v>85</v>
      </c>
      <c r="E337" s="32" t="n">
        <f aca="false">-MAX(0,E336)*CIT_Rate*(1-Share_Exempt)</f>
        <v>-0</v>
      </c>
      <c r="F337" s="32" t="n">
        <f aca="false">-MAX(0,F336)*CIT_Rate*(1-Share_Exempt)</f>
        <v>-0</v>
      </c>
      <c r="G337" s="32" t="n">
        <f aca="false">-MAX(0,G336)*CIT_Rate*(1-Share_Exempt)</f>
        <v>-0</v>
      </c>
      <c r="H337" s="32" t="n">
        <f aca="false">SUM(E337:G337)</f>
        <v>0</v>
      </c>
    </row>
    <row r="338" customFormat="false" ht="14.25" hidden="false" customHeight="false" outlineLevel="0" collapsed="false">
      <c r="C338" s="1" t="s">
        <v>260</v>
      </c>
      <c r="D338" s="2" t="s">
        <v>85</v>
      </c>
      <c r="E338" s="32" t="n">
        <f aca="false">-E213*CIT_Rate*E$21</f>
        <v>-386.461730075131</v>
      </c>
      <c r="F338" s="32" t="n">
        <f aca="false">-F213*CIT_Rate*F$21</f>
        <v>-0</v>
      </c>
      <c r="G338" s="32" t="n">
        <f aca="false">-G213*CIT_Rate*G$21</f>
        <v>-0</v>
      </c>
      <c r="H338" s="32" t="n">
        <f aca="false">SUM(E338:G338)</f>
        <v>-386.461730075131</v>
      </c>
    </row>
    <row r="339" customFormat="false" ht="14.25" hidden="false" customHeight="false" outlineLevel="0" collapsed="false">
      <c r="C339" s="44" t="s">
        <v>129</v>
      </c>
      <c r="D339" s="45" t="s">
        <v>85</v>
      </c>
      <c r="E339" s="69" t="n">
        <f aca="false">E336+E337+E338</f>
        <v>4556.22338054871</v>
      </c>
      <c r="F339" s="69" t="n">
        <f aca="false">F336+F337+F338</f>
        <v>6390.68200556891</v>
      </c>
      <c r="G339" s="69" t="n">
        <f aca="false">G336+G337+G338</f>
        <v>6390.68200556891</v>
      </c>
      <c r="H339" s="69" t="n">
        <f aca="false">SUM(E339:G339)</f>
        <v>17337.5873916865</v>
      </c>
    </row>
    <row r="340" customFormat="false" ht="14.25" hidden="false" customHeight="false" outlineLevel="0" collapsed="false">
      <c r="C340" s="6" t="s">
        <v>261</v>
      </c>
      <c r="D340" s="2" t="s">
        <v>3</v>
      </c>
      <c r="E340" s="47" t="n">
        <f aca="false">SUMIF(E343:E352,"&gt;0")/-SUMIF(E343:E352,"&lt;0")</f>
        <v>1.36435117443436</v>
      </c>
      <c r="F340" s="47" t="n">
        <f aca="false">SUMIF(F343:F352,"&gt;0")/-SUMIF(F343:F352,"&lt;0")</f>
        <v>1.85920540815467</v>
      </c>
      <c r="G340" s="47" t="n">
        <f aca="false">SUMIF(G343:G352,"&gt;0")/-SUMIF(G343:G352,"&lt;0")</f>
        <v>1.85920540815467</v>
      </c>
      <c r="H340" s="47" t="n">
        <f aca="false">SUMIF(H343:H352,"&gt;0")/-SUMIF(H343:H352,"&lt;0")</f>
        <v>1.62317532335446</v>
      </c>
    </row>
    <row r="341" customFormat="false" ht="14.25" hidden="false" customHeight="false" outlineLevel="0" collapsed="false">
      <c r="C341" s="6" t="s">
        <v>262</v>
      </c>
      <c r="D341" s="2" t="s">
        <v>12</v>
      </c>
      <c r="E341" s="48" t="n">
        <f aca="false">XIRR(E343:E352,J343:J352)</f>
        <v>0.239328818089513</v>
      </c>
      <c r="F341" s="48" t="n">
        <f aca="false">XIRR(F343:F352,K343:K352)</f>
        <v>0.36981874472502</v>
      </c>
      <c r="G341" s="48" t="n">
        <f aca="false">XIRR(G343:G352,L343:L352)</f>
        <v>0.36981874472502</v>
      </c>
      <c r="H341" s="49" t="n">
        <f aca="false">XIRR(H343:H352,J343:J352)</f>
        <v>0.322624026934453</v>
      </c>
    </row>
    <row r="342" customFormat="false" ht="14.25" hidden="false" customHeight="false" outlineLevel="0" collapsed="false">
      <c r="C342" s="42" t="s">
        <v>282</v>
      </c>
      <c r="D342" s="42"/>
      <c r="E342" s="43"/>
      <c r="F342" s="43"/>
      <c r="G342" s="43"/>
      <c r="H342" s="43"/>
      <c r="J342" s="43" t="s">
        <v>243</v>
      </c>
      <c r="K342" s="43" t="s">
        <v>6</v>
      </c>
      <c r="L342" s="43" t="s">
        <v>7</v>
      </c>
      <c r="M342" s="43" t="s">
        <v>265</v>
      </c>
      <c r="N342" s="43" t="s">
        <v>266</v>
      </c>
      <c r="O342" s="43" t="s">
        <v>267</v>
      </c>
    </row>
    <row r="343" customFormat="false" ht="14.25" hidden="false" customHeight="false" outlineLevel="1" collapsed="false">
      <c r="C343" s="6" t="s">
        <v>82</v>
      </c>
      <c r="D343" s="2" t="s">
        <v>85</v>
      </c>
      <c r="E343" s="8" t="n">
        <f aca="false">-E69</f>
        <v>-100</v>
      </c>
      <c r="F343" s="8" t="n">
        <f aca="false">-F69</f>
        <v>-150</v>
      </c>
      <c r="G343" s="8" t="n">
        <f aca="false">-G69</f>
        <v>-150</v>
      </c>
      <c r="H343" s="8" t="n">
        <f aca="false">SUM(E343:G343)</f>
        <v>-400</v>
      </c>
      <c r="J343" s="24" t="n">
        <f aca="false">Inputs!E$20</f>
        <v>46234</v>
      </c>
      <c r="K343" s="24" t="n">
        <f aca="false">Inputs!F$20</f>
        <v>46234</v>
      </c>
      <c r="L343" s="24" t="n">
        <f aca="false">Inputs!G$20</f>
        <v>46234</v>
      </c>
    </row>
    <row r="344" customFormat="false" ht="14.25" hidden="false" customHeight="false" outlineLevel="1" collapsed="false">
      <c r="C344" s="6" t="s">
        <v>73</v>
      </c>
      <c r="D344" s="2" t="s">
        <v>85</v>
      </c>
      <c r="E344" s="8" t="n">
        <f aca="false">-E61</f>
        <v>-8.21917808219178</v>
      </c>
      <c r="F344" s="8" t="n">
        <f aca="false">-F61</f>
        <v>-8.21917808219178</v>
      </c>
      <c r="G344" s="8" t="n">
        <f aca="false">-G61</f>
        <v>-8.21917808219178</v>
      </c>
      <c r="H344" s="8" t="n">
        <f aca="false">SUM(E344:G344)</f>
        <v>-24.6575342465753</v>
      </c>
      <c r="J344" s="24" t="n">
        <f aca="false">Inputs!E$21</f>
        <v>46325</v>
      </c>
      <c r="K344" s="24" t="n">
        <f aca="false">Inputs!F$21</f>
        <v>46325</v>
      </c>
      <c r="L344" s="24" t="n">
        <f aca="false">Inputs!G$21</f>
        <v>46325</v>
      </c>
      <c r="M344" s="71" t="n">
        <f aca="false">1+Rate_Cash*(DATE(YEAR(J344)+1,1,1)-J344)/Days_In_Year</f>
        <v>1.02071232876712</v>
      </c>
      <c r="N344" s="71" t="n">
        <f aca="false">1+Rate_Cash*(DATE(YEAR(K344)+1,1,1)-K344)/Days_In_Year</f>
        <v>1.02071232876712</v>
      </c>
      <c r="O344" s="71" t="n">
        <f aca="false">1+Rate_Cash*(DATE(YEAR(L344)+1,1,1)-L344)/Days_In_Year</f>
        <v>1.02071232876712</v>
      </c>
    </row>
    <row r="345" customFormat="false" ht="14.25" hidden="false" customHeight="false" outlineLevel="1" collapsed="false">
      <c r="C345" s="6" t="s">
        <v>75</v>
      </c>
      <c r="D345" s="2" t="s">
        <v>85</v>
      </c>
      <c r="E345" s="8" t="n">
        <f aca="false">-E62</f>
        <v>-388.493150684932</v>
      </c>
      <c r="F345" s="8" t="n">
        <f aca="false">-F62</f>
        <v>-498.904109589041</v>
      </c>
      <c r="G345" s="8" t="n">
        <f aca="false">-G62</f>
        <v>-498.904109589041</v>
      </c>
      <c r="H345" s="8" t="n">
        <f aca="false">SUM(E345:G345)</f>
        <v>-1386.30136986301</v>
      </c>
      <c r="J345" s="24" t="n">
        <f aca="false">Inputs!E$21</f>
        <v>46325</v>
      </c>
      <c r="K345" s="24" t="n">
        <f aca="false">Inputs!F$21</f>
        <v>46325</v>
      </c>
      <c r="L345" s="24" t="n">
        <f aca="false">Inputs!G$21</f>
        <v>46325</v>
      </c>
      <c r="M345" s="71" t="n">
        <f aca="false">1+Rate_Cash*(DATE(YEAR(J345)+1,1,1)-J345)/Days_In_Year</f>
        <v>1.02071232876712</v>
      </c>
      <c r="N345" s="71" t="n">
        <f aca="false">1+Rate_Cash*(DATE(YEAR(K345)+1,1,1)-K345)/Days_In_Year</f>
        <v>1.02071232876712</v>
      </c>
      <c r="O345" s="71" t="n">
        <f aca="false">1+Rate_Cash*(DATE(YEAR(L345)+1,1,1)-L345)/Days_In_Year</f>
        <v>1.02071232876712</v>
      </c>
    </row>
    <row r="346" customFormat="false" ht="14.25" hidden="false" customHeight="false" outlineLevel="1" collapsed="false">
      <c r="C346" s="6" t="s">
        <v>268</v>
      </c>
      <c r="D346" s="2" t="s">
        <v>85</v>
      </c>
      <c r="E346" s="8" t="n">
        <f aca="false">-E63</f>
        <v>-1553.97260273973</v>
      </c>
      <c r="F346" s="8" t="n">
        <f aca="false">-F63</f>
        <v>-1995.61643835616</v>
      </c>
      <c r="G346" s="8" t="n">
        <f aca="false">-G63</f>
        <v>-1995.61643835616</v>
      </c>
      <c r="H346" s="8" t="n">
        <f aca="false">SUM(E346:G346)</f>
        <v>-5545.20547945205</v>
      </c>
      <c r="J346" s="24" t="n">
        <f aca="false">Inputs!E$22</f>
        <v>46402</v>
      </c>
      <c r="K346" s="24" t="n">
        <f aca="false">Inputs!F$22</f>
        <v>46402</v>
      </c>
      <c r="L346" s="24" t="n">
        <f aca="false">Inputs!G$22</f>
        <v>46402</v>
      </c>
      <c r="M346" s="71" t="n">
        <f aca="false">1+Rate_Cash*(DATE(YEAR(J346)+1,1,1)-J346)/Days_In_Year</f>
        <v>1.11539726027397</v>
      </c>
      <c r="N346" s="71" t="n">
        <f aca="false">1+Rate_Cash*(DATE(YEAR(K346)+1,1,1)-K346)/Days_In_Year</f>
        <v>1.11539726027397</v>
      </c>
      <c r="O346" s="71" t="n">
        <f aca="false">1+Rate_Cash*(DATE(YEAR(L346)+1,1,1)-L346)/Days_In_Year</f>
        <v>1.11539726027397</v>
      </c>
    </row>
    <row r="347" customFormat="false" ht="14.25" hidden="false" customHeight="false" outlineLevel="1" collapsed="false">
      <c r="C347" s="6" t="s">
        <v>77</v>
      </c>
      <c r="D347" s="2" t="s">
        <v>85</v>
      </c>
      <c r="E347" s="8" t="n">
        <f aca="false">-E64</f>
        <v>-616.438356164384</v>
      </c>
      <c r="F347" s="8" t="n">
        <f aca="false">-F64</f>
        <v>-616.438356164384</v>
      </c>
      <c r="G347" s="8" t="n">
        <f aca="false">-G64</f>
        <v>-616.438356164384</v>
      </c>
      <c r="H347" s="8" t="n">
        <f aca="false">SUM(E347:G347)</f>
        <v>-1849.31506849315</v>
      </c>
      <c r="J347" s="24" t="n">
        <f aca="false">Inputs!E$23</f>
        <v>46402</v>
      </c>
      <c r="K347" s="24" t="n">
        <f aca="false">Inputs!F$23</f>
        <v>46402</v>
      </c>
      <c r="L347" s="24" t="n">
        <f aca="false">Inputs!G$23</f>
        <v>46402</v>
      </c>
      <c r="M347" s="71" t="n">
        <f aca="false">1+Rate_Cash*(DATE(YEAR(J347)+1,1,1)-J347)/Days_In_Year</f>
        <v>1.11539726027397</v>
      </c>
      <c r="N347" s="71" t="n">
        <f aca="false">1+Rate_Cash*(DATE(YEAR(K347)+1,1,1)-K347)/Days_In_Year</f>
        <v>1.11539726027397</v>
      </c>
      <c r="O347" s="71" t="n">
        <f aca="false">1+Rate_Cash*(DATE(YEAR(L347)+1,1,1)-L347)/Days_In_Year</f>
        <v>1.11539726027397</v>
      </c>
    </row>
    <row r="348" customFormat="false" ht="14.25" hidden="false" customHeight="false" outlineLevel="1" collapsed="false">
      <c r="C348" s="6" t="s">
        <v>283</v>
      </c>
      <c r="D348" s="2" t="s">
        <v>85</v>
      </c>
      <c r="E348" s="8" t="n">
        <f aca="false">-E65</f>
        <v>-696.364115068493</v>
      </c>
      <c r="F348" s="8" t="n">
        <f aca="false">-F65</f>
        <v>-1260.27397260274</v>
      </c>
      <c r="G348" s="8" t="n">
        <f aca="false">-G65</f>
        <v>-1260.27397260274</v>
      </c>
      <c r="H348" s="8" t="n">
        <f aca="false">SUM(E348:G348)</f>
        <v>-3216.91206027397</v>
      </c>
      <c r="J348" s="24" t="n">
        <f aca="false">Inputs!E$24</f>
        <v>47027</v>
      </c>
      <c r="K348" s="24" t="n">
        <f aca="false">Inputs!F$24</f>
        <v>47027</v>
      </c>
      <c r="L348" s="24" t="n">
        <f aca="false">Inputs!G$24</f>
        <v>47027</v>
      </c>
      <c r="M348" s="71" t="n">
        <f aca="false">1+Rate_Cash*(DATE(YEAR(J348)+1,1,1)-J348)/Days_In_Year</f>
        <v>1.03024657534247</v>
      </c>
      <c r="N348" s="71" t="n">
        <f aca="false">1+Rate_Cash*(DATE(YEAR(K348)+1,1,1)-K348)/Days_In_Year</f>
        <v>1.03024657534247</v>
      </c>
      <c r="O348" s="71" t="n">
        <f aca="false">1+Rate_Cash*(DATE(YEAR(L348)+1,1,1)-L348)/Days_In_Year</f>
        <v>1.03024657534247</v>
      </c>
    </row>
    <row r="349" customFormat="false" ht="14.25" hidden="false" customHeight="false" outlineLevel="1" collapsed="false">
      <c r="C349" s="6" t="s">
        <v>284</v>
      </c>
      <c r="D349" s="2" t="s">
        <v>85</v>
      </c>
      <c r="E349" s="8" t="n">
        <f aca="false">-E66</f>
        <v>-9393.3295890411</v>
      </c>
      <c r="F349" s="8" t="n">
        <f aca="false">-F66</f>
        <v>-2099.54520547945</v>
      </c>
      <c r="G349" s="8" t="n">
        <f aca="false">-G66</f>
        <v>-2099.54520547945</v>
      </c>
      <c r="H349" s="8" t="n">
        <f aca="false">SUM(E349:G349)</f>
        <v>-13592.42</v>
      </c>
      <c r="J349" s="24" t="n">
        <f aca="false">Inputs!E$24</f>
        <v>47027</v>
      </c>
      <c r="K349" s="24" t="n">
        <f aca="false">Inputs!F$24</f>
        <v>47027</v>
      </c>
      <c r="L349" s="24" t="n">
        <f aca="false">Inputs!G$24</f>
        <v>47027</v>
      </c>
      <c r="M349" s="71" t="n">
        <f aca="false">1+Rate_Cash*(DATE(YEAR(J349)+1,1,1)-J349)/Days_In_Year</f>
        <v>1.03024657534247</v>
      </c>
      <c r="N349" s="71" t="n">
        <f aca="false">1+Rate_Cash*(DATE(YEAR(K349)+1,1,1)-K349)/Days_In_Year</f>
        <v>1.03024657534247</v>
      </c>
      <c r="O349" s="71" t="n">
        <f aca="false">1+Rate_Cash*(DATE(YEAR(L349)+1,1,1)-L349)/Days_In_Year</f>
        <v>1.03024657534247</v>
      </c>
    </row>
    <row r="350" customFormat="false" ht="14.25" hidden="false" customHeight="false" outlineLevel="1" collapsed="false">
      <c r="C350" s="6" t="s">
        <v>116</v>
      </c>
      <c r="D350" s="2" t="s">
        <v>85</v>
      </c>
      <c r="E350" s="8" t="n">
        <f aca="false">-E68</f>
        <v>-107.801712328767</v>
      </c>
      <c r="F350" s="8" t="n">
        <f aca="false">-F68</f>
        <v>-107.801712328767</v>
      </c>
      <c r="G350" s="8" t="n">
        <f aca="false">-G68</f>
        <v>-107.801712328767</v>
      </c>
      <c r="H350" s="8" t="n">
        <f aca="false">SUM(E350:G350)</f>
        <v>-323.405136986301</v>
      </c>
      <c r="J350" s="24" t="n">
        <f aca="false">$J$56</f>
        <v>46877.176865821</v>
      </c>
      <c r="K350" s="24" t="n">
        <f aca="false">$J$56</f>
        <v>46877.176865821</v>
      </c>
      <c r="L350" s="24" t="n">
        <f aca="false">$J$56</f>
        <v>46877.176865821</v>
      </c>
      <c r="M350" s="71" t="n">
        <f aca="false">1+Rate_Devex*(DATE(YEAR(J350)+1,1,1)-J350)/Days_In_Year</f>
        <v>1.1325058269474</v>
      </c>
      <c r="N350" s="71" t="n">
        <f aca="false">1+Rate_Devex*(DATE(YEAR(K350)+1,1,1)-K350)/Days_In_Year</f>
        <v>1.1325058269474</v>
      </c>
      <c r="O350" s="71" t="n">
        <f aca="false">1+Rate_Devex*(DATE(YEAR(L350)+1,1,1)-L350)/Days_In_Year</f>
        <v>1.1325058269474</v>
      </c>
    </row>
    <row r="351" customFormat="false" ht="14.25" hidden="false" customHeight="false" outlineLevel="1" collapsed="false">
      <c r="C351" s="6" t="s">
        <v>269</v>
      </c>
      <c r="D351" s="2" t="s">
        <v>85</v>
      </c>
      <c r="E351" s="8" t="n">
        <f aca="false">-E67</f>
        <v>-701.098816348896</v>
      </c>
      <c r="F351" s="8" t="n">
        <f aca="false">-F67</f>
        <v>-701.098816348896</v>
      </c>
      <c r="G351" s="8" t="n">
        <f aca="false">-G67</f>
        <v>-701.098816348896</v>
      </c>
      <c r="H351" s="8" t="n">
        <f aca="false">SUM(E351:G351)</f>
        <v>-2103.29644904669</v>
      </c>
      <c r="J351" s="24" t="n">
        <f aca="false">$J$55</f>
        <v>46714.1242758881</v>
      </c>
      <c r="K351" s="24" t="n">
        <f aca="false">$J$55</f>
        <v>46714.1242758881</v>
      </c>
      <c r="L351" s="24" t="n">
        <f aca="false">$J$55</f>
        <v>46714.1242758881</v>
      </c>
      <c r="M351" s="71" t="n">
        <f aca="false">1+Rate_Devex*(DATE(YEAR(J351)+1,1,1)-J351)/Days_In_Year</f>
        <v>1.02130176663669</v>
      </c>
      <c r="N351" s="71" t="n">
        <f aca="false">1+Rate_Devex*(DATE(YEAR(K351)+1,1,1)-K351)/Days_In_Year</f>
        <v>1.02130176663669</v>
      </c>
      <c r="O351" s="71" t="n">
        <f aca="false">1+Rate_Devex*(DATE(YEAR(L351)+1,1,1)-L351)/Days_In_Year</f>
        <v>1.02130176663669</v>
      </c>
    </row>
    <row r="352" customFormat="false" ht="14.25" hidden="false" customHeight="false" outlineLevel="1" collapsed="false">
      <c r="C352" s="6" t="s">
        <v>285</v>
      </c>
      <c r="D352" s="2" t="s">
        <v>85</v>
      </c>
      <c r="E352" s="8" t="n">
        <f aca="false">E332-E310-E311</f>
        <v>18508.4026310823</v>
      </c>
      <c r="F352" s="8" t="n">
        <f aca="false">F332-F310-F311</f>
        <v>13828.5797945205</v>
      </c>
      <c r="G352" s="8" t="n">
        <f aca="false">G332-G310-G311</f>
        <v>13828.5797945205</v>
      </c>
      <c r="H352" s="8" t="n">
        <f aca="false">SUM(E352:G352)</f>
        <v>46165.5622201234</v>
      </c>
      <c r="J352" s="24" t="n">
        <f aca="false">Sale_Date</f>
        <v>47391</v>
      </c>
      <c r="K352" s="24" t="n">
        <f aca="false">Sale_Date</f>
        <v>47391</v>
      </c>
      <c r="L352" s="24" t="n">
        <f aca="false">Sale_Date</f>
        <v>47391</v>
      </c>
    </row>
    <row r="353" customFormat="false" ht="14.25" hidden="false" customHeight="false" outlineLevel="0" collapsed="false">
      <c r="C353" s="6" t="s">
        <v>271</v>
      </c>
      <c r="D353" s="2" t="s">
        <v>85</v>
      </c>
      <c r="E353" s="8" t="n">
        <f aca="false">-J$409*CIT_Rate*E$21</f>
        <v>-1.23252542690937</v>
      </c>
      <c r="F353" s="8" t="n">
        <f aca="false">-J$460*CIT_Rate*F$21</f>
        <v>-0</v>
      </c>
      <c r="G353" s="8" t="n">
        <f aca="false">-J$511*CIT_Rate*G$21</f>
        <v>-0</v>
      </c>
      <c r="H353" s="8" t="n">
        <f aca="false">SUM(E353:G353)</f>
        <v>-1.23252542690937</v>
      </c>
      <c r="J353" s="24" t="n">
        <f aca="false">J$362</f>
        <v>46387</v>
      </c>
      <c r="K353" s="24" t="n">
        <f aca="false">J$362</f>
        <v>46387</v>
      </c>
      <c r="L353" s="24" t="n">
        <f aca="false">J$362</f>
        <v>46387</v>
      </c>
    </row>
    <row r="354" customFormat="false" ht="14.25" hidden="false" customHeight="false" outlineLevel="0" collapsed="false">
      <c r="C354" s="6" t="s">
        <v>272</v>
      </c>
      <c r="D354" s="2" t="s">
        <v>85</v>
      </c>
      <c r="E354" s="8" t="n">
        <f aca="false">-K$409*CIT_Rate*E$21</f>
        <v>-47.0978432242265</v>
      </c>
      <c r="F354" s="8" t="n">
        <f aca="false">-K$460*CIT_Rate*F$21</f>
        <v>-0</v>
      </c>
      <c r="G354" s="8" t="n">
        <f aca="false">-K$511*CIT_Rate*G$21</f>
        <v>-0</v>
      </c>
      <c r="H354" s="8" t="n">
        <f aca="false">SUM(E354:G354)</f>
        <v>-47.0978432242265</v>
      </c>
      <c r="J354" s="24" t="n">
        <f aca="false">K$362</f>
        <v>46752</v>
      </c>
      <c r="K354" s="24" t="n">
        <f aca="false">K$362</f>
        <v>46752</v>
      </c>
      <c r="L354" s="24" t="n">
        <f aca="false">K$362</f>
        <v>46752</v>
      </c>
    </row>
    <row r="355" customFormat="false" ht="14.25" hidden="false" customHeight="false" outlineLevel="0" collapsed="false">
      <c r="C355" s="6" t="s">
        <v>273</v>
      </c>
      <c r="D355" s="2" t="s">
        <v>85</v>
      </c>
      <c r="E355" s="8" t="n">
        <f aca="false">-L$409*CIT_Rate*E$21</f>
        <v>-121.13949900352</v>
      </c>
      <c r="F355" s="8" t="n">
        <f aca="false">-L$460*CIT_Rate*F$21</f>
        <v>-0</v>
      </c>
      <c r="G355" s="8" t="n">
        <f aca="false">-L$511*CIT_Rate*G$21</f>
        <v>-0</v>
      </c>
      <c r="H355" s="8" t="n">
        <f aca="false">SUM(E355:G355)</f>
        <v>-121.13949900352</v>
      </c>
      <c r="J355" s="24" t="n">
        <f aca="false">L$362</f>
        <v>47118</v>
      </c>
      <c r="K355" s="24" t="n">
        <f aca="false">L$362</f>
        <v>47118</v>
      </c>
      <c r="L355" s="24" t="n">
        <f aca="false">L$362</f>
        <v>47118</v>
      </c>
    </row>
    <row r="356" customFormat="false" ht="14.25" hidden="false" customHeight="false" outlineLevel="0" collapsed="false">
      <c r="C356" s="6" t="s">
        <v>274</v>
      </c>
      <c r="D356" s="2" t="s">
        <v>85</v>
      </c>
      <c r="E356" s="8" t="n">
        <f aca="false">-E213*CIT_Rate*E$21-SUM(E353:E355)</f>
        <v>-216.991862420476</v>
      </c>
      <c r="F356" s="8" t="n">
        <f aca="false">-F213*CIT_Rate*F$21-SUM(F353:F355)</f>
        <v>-0</v>
      </c>
      <c r="G356" s="8" t="n">
        <f aca="false">-G213*CIT_Rate*G$21-SUM(G353:G355)</f>
        <v>-0</v>
      </c>
      <c r="H356" s="8" t="n">
        <f aca="false">SUM(E356:G356)</f>
        <v>-216.991862420476</v>
      </c>
      <c r="J356" s="24" t="n">
        <f aca="false">Sale_Date</f>
        <v>47391</v>
      </c>
      <c r="K356" s="24" t="n">
        <f aca="false">Sale_Date</f>
        <v>47391</v>
      </c>
      <c r="L356" s="24" t="n">
        <f aca="false">Sale_Date</f>
        <v>47391</v>
      </c>
    </row>
    <row r="357" customFormat="false" ht="14.25" hidden="false" customHeight="false" outlineLevel="0" collapsed="false">
      <c r="C357" s="6" t="s">
        <v>275</v>
      </c>
      <c r="D357" s="2" t="s">
        <v>3</v>
      </c>
      <c r="E357" s="47" t="n">
        <f aca="false">SUMIF(E343:E356,"&gt;0")/-SUMIF(E343:E356,"&lt;0")</f>
        <v>1.32655998025358</v>
      </c>
      <c r="F357" s="47" t="n">
        <f aca="false">SUMIF(F343:F356,"&gt;0")/-SUMIF(F343:F356,"&lt;0")</f>
        <v>1.85920540815467</v>
      </c>
      <c r="G357" s="47" t="n">
        <f aca="false">SUMIF(G343:G356,"&gt;0")/-SUMIF(G343:G356,"&lt;0")</f>
        <v>1.85920540815467</v>
      </c>
      <c r="H357" s="47" t="n">
        <f aca="false">SUMIF(H343:H356,"&gt;0")/-SUMIF(H343:H356,"&lt;0")</f>
        <v>1.60141537846024</v>
      </c>
      <c r="J357" s="24"/>
      <c r="K357" s="24"/>
      <c r="L357" s="24"/>
    </row>
    <row r="358" customFormat="false" ht="14.25" hidden="false" customHeight="false" outlineLevel="0" collapsed="false">
      <c r="C358" s="6" t="s">
        <v>276</v>
      </c>
      <c r="D358" s="2" t="s">
        <v>12</v>
      </c>
      <c r="E358" s="48" t="n">
        <f aca="false">XIRR(E343:E356,J343:J356)</f>
        <v>0.220265172384283</v>
      </c>
      <c r="F358" s="48" t="n">
        <f aca="false">XIRR(F343:F356,K343:K356)</f>
        <v>0.36981874472502</v>
      </c>
      <c r="G358" s="48" t="n">
        <f aca="false">XIRR(G343:G356,L343:L356)</f>
        <v>0.36981874472502</v>
      </c>
      <c r="H358" s="49" t="n">
        <f aca="false">XIRR(H343:H356,J343:J356)</f>
        <v>0.315646572053133</v>
      </c>
      <c r="J358" s="24"/>
      <c r="K358" s="24"/>
      <c r="L358" s="24"/>
    </row>
    <row r="359" customFormat="false" ht="14.25" hidden="false" customHeight="false" outlineLevel="0" collapsed="false">
      <c r="C359" s="1"/>
      <c r="D359" s="2"/>
      <c r="E359" s="15"/>
      <c r="F359" s="15"/>
      <c r="G359" s="15"/>
      <c r="H359" s="15"/>
    </row>
    <row r="360" customFormat="false" ht="14.25" hidden="false" customHeight="false" outlineLevel="0" collapsed="false">
      <c r="B360" s="4" t="s">
        <v>3</v>
      </c>
      <c r="C360" s="4" t="s">
        <v>286</v>
      </c>
      <c r="D360" s="4"/>
      <c r="E360" s="73"/>
      <c r="F360" s="73"/>
      <c r="G360" s="73"/>
      <c r="H360" s="5" t="s">
        <v>8</v>
      </c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</row>
    <row r="361" customFormat="false" ht="14.25" hidden="false" customHeight="false" outlineLevel="0" collapsed="false">
      <c r="C361" s="6" t="s">
        <v>155</v>
      </c>
      <c r="D361" s="2" t="s">
        <v>156</v>
      </c>
      <c r="J361" s="74" t="n">
        <f aca="false">First_Year+COLUMN()-COLUMN($J$1)</f>
        <v>2026</v>
      </c>
      <c r="K361" s="74" t="n">
        <f aca="false">First_Year+COLUMN()-COLUMN($J$1)</f>
        <v>2027</v>
      </c>
      <c r="L361" s="74" t="n">
        <f aca="false">First_Year+COLUMN()-COLUMN($J$1)</f>
        <v>2028</v>
      </c>
      <c r="M361" s="74" t="n">
        <f aca="false">First_Year+COLUMN()-COLUMN($J$1)</f>
        <v>2029</v>
      </c>
      <c r="N361" s="74" t="n">
        <f aca="false">First_Year+COLUMN()-COLUMN($J$1)</f>
        <v>2030</v>
      </c>
      <c r="O361" s="74" t="n">
        <f aca="false">First_Year+COLUMN()-COLUMN($J$1)</f>
        <v>2031</v>
      </c>
      <c r="P361" s="74" t="n">
        <f aca="false">First_Year+COLUMN()-COLUMN($J$1)</f>
        <v>2032</v>
      </c>
      <c r="Q361" s="74" t="n">
        <f aca="false">First_Year+COLUMN()-COLUMN($J$1)</f>
        <v>2033</v>
      </c>
      <c r="R361" s="74" t="n">
        <f aca="false">First_Year+COLUMN()-COLUMN($J$1)</f>
        <v>2034</v>
      </c>
      <c r="S361" s="74" t="n">
        <f aca="false">First_Year+COLUMN()-COLUMN($J$1)</f>
        <v>2035</v>
      </c>
      <c r="T361" s="74" t="n">
        <f aca="false">First_Year+COLUMN()-COLUMN($J$1)</f>
        <v>2036</v>
      </c>
      <c r="U361" s="74" t="n">
        <f aca="false">First_Year+COLUMN()-COLUMN($J$1)</f>
        <v>2037</v>
      </c>
      <c r="V361" s="74" t="n">
        <f aca="false">First_Year+COLUMN()-COLUMN($J$1)</f>
        <v>2038</v>
      </c>
      <c r="W361" s="74" t="n">
        <f aca="false">First_Year+COLUMN()-COLUMN($J$1)</f>
        <v>2039</v>
      </c>
      <c r="X361" s="74" t="n">
        <f aca="false">First_Year+COLUMN()-COLUMN($J$1)</f>
        <v>2040</v>
      </c>
      <c r="Y361" s="74" t="n">
        <f aca="false">First_Year+COLUMN()-COLUMN($J$1)</f>
        <v>2041</v>
      </c>
      <c r="Z361" s="74" t="n">
        <f aca="false">First_Year+COLUMN()-COLUMN($J$1)</f>
        <v>2042</v>
      </c>
      <c r="AA361" s="74" t="n">
        <f aca="false">First_Year+COLUMN()-COLUMN($J$1)</f>
        <v>2043</v>
      </c>
      <c r="AB361" s="74" t="n">
        <f aca="false">First_Year+COLUMN()-COLUMN($J$1)</f>
        <v>2044</v>
      </c>
      <c r="AC361" s="74" t="n">
        <f aca="false">First_Year+COLUMN()-COLUMN($J$1)</f>
        <v>2045</v>
      </c>
      <c r="AD361" s="74" t="n">
        <f aca="false">First_Year+COLUMN()-COLUMN($J$1)</f>
        <v>2046</v>
      </c>
      <c r="AE361" s="74" t="n">
        <f aca="false">First_Year+COLUMN()-COLUMN($J$1)</f>
        <v>2047</v>
      </c>
      <c r="AF361" s="74" t="n">
        <f aca="false">First_Year+COLUMN()-COLUMN($J$1)</f>
        <v>2048</v>
      </c>
      <c r="AG361" s="74" t="n">
        <f aca="false">First_Year+COLUMN()-COLUMN($J$1)</f>
        <v>2049</v>
      </c>
      <c r="AH361" s="74" t="n">
        <f aca="false">First_Year+COLUMN()-COLUMN($J$1)</f>
        <v>2050</v>
      </c>
      <c r="AI361" s="74" t="n">
        <f aca="false">First_Year+COLUMN()-COLUMN($J$1)</f>
        <v>2051</v>
      </c>
      <c r="AJ361" s="74" t="n">
        <f aca="false">First_Year+COLUMN()-COLUMN($J$1)</f>
        <v>2052</v>
      </c>
      <c r="AK361" s="74" t="n">
        <f aca="false">First_Year+COLUMN()-COLUMN($J$1)</f>
        <v>2053</v>
      </c>
      <c r="AL361" s="74" t="n">
        <f aca="false">First_Year+COLUMN()-COLUMN($J$1)</f>
        <v>2054</v>
      </c>
      <c r="AM361" s="74" t="n">
        <f aca="false">First_Year+COLUMN()-COLUMN($J$1)</f>
        <v>2055</v>
      </c>
      <c r="AN361" s="74" t="n">
        <f aca="false">First_Year+COLUMN()-COLUMN($J$1)</f>
        <v>2056</v>
      </c>
      <c r="AO361" s="74" t="n">
        <f aca="false">First_Year+COLUMN()-COLUMN($J$1)</f>
        <v>2057</v>
      </c>
      <c r="AP361" s="74" t="n">
        <f aca="false">First_Year+COLUMN()-COLUMN($J$1)</f>
        <v>2058</v>
      </c>
      <c r="AQ361" s="74" t="n">
        <f aca="false">First_Year+COLUMN()-COLUMN($J$1)</f>
        <v>2059</v>
      </c>
      <c r="AR361" s="74" t="n">
        <f aca="false">First_Year+COLUMN()-COLUMN($J$1)</f>
        <v>2060</v>
      </c>
      <c r="AS361" s="74" t="n">
        <f aca="false">First_Year+COLUMN()-COLUMN($J$1)</f>
        <v>2061</v>
      </c>
    </row>
    <row r="362" customFormat="false" ht="14.25" hidden="false" customHeight="false" outlineLevel="0" collapsed="false">
      <c r="C362" s="6" t="s">
        <v>287</v>
      </c>
      <c r="D362" s="2" t="s">
        <v>168</v>
      </c>
      <c r="J362" s="24" t="n">
        <f aca="false">DATE(J361+1,1,1)-1</f>
        <v>46387</v>
      </c>
      <c r="K362" s="24" t="n">
        <f aca="false">DATE(K361+1,1,1)-1</f>
        <v>46752</v>
      </c>
      <c r="L362" s="24" t="n">
        <f aca="false">DATE(L361+1,1,1)-1</f>
        <v>47118</v>
      </c>
      <c r="M362" s="24" t="n">
        <f aca="false">DATE(M361+1,1,1)-1</f>
        <v>47483</v>
      </c>
      <c r="N362" s="24" t="n">
        <f aca="false">DATE(N361+1,1,1)-1</f>
        <v>47848</v>
      </c>
      <c r="O362" s="24" t="n">
        <f aca="false">DATE(O361+1,1,1)-1</f>
        <v>48213</v>
      </c>
      <c r="P362" s="24" t="n">
        <f aca="false">DATE(P361+1,1,1)-1</f>
        <v>48579</v>
      </c>
      <c r="Q362" s="24" t="n">
        <f aca="false">DATE(Q361+1,1,1)-1</f>
        <v>48944</v>
      </c>
      <c r="R362" s="24" t="n">
        <f aca="false">DATE(R361+1,1,1)-1</f>
        <v>49309</v>
      </c>
      <c r="S362" s="24" t="n">
        <f aca="false">DATE(S361+1,1,1)-1</f>
        <v>49674</v>
      </c>
      <c r="T362" s="24" t="n">
        <f aca="false">DATE(T361+1,1,1)-1</f>
        <v>50040</v>
      </c>
      <c r="U362" s="24" t="n">
        <f aca="false">DATE(U361+1,1,1)-1</f>
        <v>50405</v>
      </c>
      <c r="V362" s="24" t="n">
        <f aca="false">DATE(V361+1,1,1)-1</f>
        <v>50770</v>
      </c>
      <c r="W362" s="24" t="n">
        <f aca="false">DATE(W361+1,1,1)-1</f>
        <v>51135</v>
      </c>
      <c r="X362" s="24" t="n">
        <f aca="false">DATE(X361+1,1,1)-1</f>
        <v>51501</v>
      </c>
      <c r="Y362" s="24" t="n">
        <f aca="false">DATE(Y361+1,1,1)-1</f>
        <v>51866</v>
      </c>
      <c r="Z362" s="24" t="n">
        <f aca="false">DATE(Z361+1,1,1)-1</f>
        <v>52231</v>
      </c>
      <c r="AA362" s="24" t="n">
        <f aca="false">DATE(AA361+1,1,1)-1</f>
        <v>52596</v>
      </c>
      <c r="AB362" s="24" t="n">
        <f aca="false">DATE(AB361+1,1,1)-1</f>
        <v>52962</v>
      </c>
      <c r="AC362" s="24" t="n">
        <f aca="false">DATE(AC361+1,1,1)-1</f>
        <v>53327</v>
      </c>
      <c r="AD362" s="24" t="n">
        <f aca="false">DATE(AD361+1,1,1)-1</f>
        <v>53692</v>
      </c>
      <c r="AE362" s="24" t="n">
        <f aca="false">DATE(AE361+1,1,1)-1</f>
        <v>54057</v>
      </c>
      <c r="AF362" s="24" t="n">
        <f aca="false">DATE(AF361+1,1,1)-1</f>
        <v>54423</v>
      </c>
      <c r="AG362" s="24" t="n">
        <f aca="false">DATE(AG361+1,1,1)-1</f>
        <v>54788</v>
      </c>
      <c r="AH362" s="24" t="n">
        <f aca="false">DATE(AH361+1,1,1)-1</f>
        <v>55153</v>
      </c>
      <c r="AI362" s="24" t="n">
        <f aca="false">DATE(AI361+1,1,1)-1</f>
        <v>55518</v>
      </c>
      <c r="AJ362" s="24" t="n">
        <f aca="false">DATE(AJ361+1,1,1)-1</f>
        <v>55884</v>
      </c>
      <c r="AK362" s="24" t="n">
        <f aca="false">DATE(AK361+1,1,1)-1</f>
        <v>56249</v>
      </c>
      <c r="AL362" s="24" t="n">
        <f aca="false">DATE(AL361+1,1,1)-1</f>
        <v>56614</v>
      </c>
      <c r="AM362" s="24" t="n">
        <f aca="false">DATE(AM361+1,1,1)-1</f>
        <v>56979</v>
      </c>
      <c r="AN362" s="24" t="n">
        <f aca="false">DATE(AN361+1,1,1)-1</f>
        <v>57345</v>
      </c>
      <c r="AO362" s="24" t="n">
        <f aca="false">DATE(AO361+1,1,1)-1</f>
        <v>57710</v>
      </c>
      <c r="AP362" s="24" t="n">
        <f aca="false">DATE(AP361+1,1,1)-1</f>
        <v>58075</v>
      </c>
      <c r="AQ362" s="24" t="n">
        <f aca="false">DATE(AQ361+1,1,1)-1</f>
        <v>58440</v>
      </c>
      <c r="AR362" s="24" t="n">
        <f aca="false">DATE(AR361+1,1,1)-1</f>
        <v>58806</v>
      </c>
      <c r="AS362" s="24" t="n">
        <f aca="false">DATE(AS361+1,1,1)-1</f>
        <v>59171</v>
      </c>
    </row>
    <row r="364" customFormat="false" ht="14.25" hidden="false" customHeight="false" outlineLevel="0" collapsed="false">
      <c r="B364" s="4" t="s">
        <v>3</v>
      </c>
      <c r="C364" s="4" t="s">
        <v>288</v>
      </c>
      <c r="D364" s="4"/>
      <c r="E364" s="5" t="s">
        <v>289</v>
      </c>
      <c r="F364" s="5"/>
      <c r="G364" s="5"/>
      <c r="H364" s="5" t="s">
        <v>8</v>
      </c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</row>
    <row r="365" customFormat="false" ht="14.25" hidden="false" customHeight="false" outlineLevel="0" collapsed="false">
      <c r="C365" s="6" t="s">
        <v>290</v>
      </c>
      <c r="D365" s="2" t="s">
        <v>291</v>
      </c>
      <c r="J365" s="74" t="n">
        <f aca="false">J$361-YEAR(Inputs!$E$26)</f>
        <v>-5</v>
      </c>
      <c r="K365" s="74" t="n">
        <f aca="false">K$361-YEAR(Inputs!$E$26)</f>
        <v>-4</v>
      </c>
      <c r="L365" s="74" t="n">
        <f aca="false">L$361-YEAR(Inputs!$E$26)</f>
        <v>-3</v>
      </c>
      <c r="M365" s="74" t="n">
        <f aca="false">M$361-YEAR(Inputs!$E$26)</f>
        <v>-2</v>
      </c>
      <c r="N365" s="74" t="n">
        <f aca="false">N$361-YEAR(Inputs!$E$26)</f>
        <v>-1</v>
      </c>
      <c r="O365" s="74" t="n">
        <f aca="false">O$361-YEAR(Inputs!$E$26)</f>
        <v>0</v>
      </c>
      <c r="P365" s="74" t="n">
        <f aca="false">P$361-YEAR(Inputs!$E$26)</f>
        <v>1</v>
      </c>
      <c r="Q365" s="74" t="n">
        <f aca="false">Q$361-YEAR(Inputs!$E$26)</f>
        <v>2</v>
      </c>
      <c r="R365" s="74" t="n">
        <f aca="false">R$361-YEAR(Inputs!$E$26)</f>
        <v>3</v>
      </c>
      <c r="S365" s="74" t="n">
        <f aca="false">S$361-YEAR(Inputs!$E$26)</f>
        <v>4</v>
      </c>
      <c r="T365" s="74" t="n">
        <f aca="false">T$361-YEAR(Inputs!$E$26)</f>
        <v>5</v>
      </c>
      <c r="U365" s="74" t="n">
        <f aca="false">U$361-YEAR(Inputs!$E$26)</f>
        <v>6</v>
      </c>
      <c r="V365" s="74" t="n">
        <f aca="false">V$361-YEAR(Inputs!$E$26)</f>
        <v>7</v>
      </c>
      <c r="W365" s="74" t="n">
        <f aca="false">W$361-YEAR(Inputs!$E$26)</f>
        <v>8</v>
      </c>
      <c r="X365" s="74" t="n">
        <f aca="false">X$361-YEAR(Inputs!$E$26)</f>
        <v>9</v>
      </c>
      <c r="Y365" s="74" t="n">
        <f aca="false">Y$361-YEAR(Inputs!$E$26)</f>
        <v>10</v>
      </c>
      <c r="Z365" s="74" t="n">
        <f aca="false">Z$361-YEAR(Inputs!$E$26)</f>
        <v>11</v>
      </c>
      <c r="AA365" s="74" t="n">
        <f aca="false">AA$361-YEAR(Inputs!$E$26)</f>
        <v>12</v>
      </c>
      <c r="AB365" s="74" t="n">
        <f aca="false">AB$361-YEAR(Inputs!$E$26)</f>
        <v>13</v>
      </c>
      <c r="AC365" s="74" t="n">
        <f aca="false">AC$361-YEAR(Inputs!$E$26)</f>
        <v>14</v>
      </c>
      <c r="AD365" s="74" t="n">
        <f aca="false">AD$361-YEAR(Inputs!$E$26)</f>
        <v>15</v>
      </c>
      <c r="AE365" s="74" t="n">
        <f aca="false">AE$361-YEAR(Inputs!$E$26)</f>
        <v>16</v>
      </c>
      <c r="AF365" s="74" t="n">
        <f aca="false">AF$361-YEAR(Inputs!$E$26)</f>
        <v>17</v>
      </c>
      <c r="AG365" s="74" t="n">
        <f aca="false">AG$361-YEAR(Inputs!$E$26)</f>
        <v>18</v>
      </c>
      <c r="AH365" s="74" t="n">
        <f aca="false">AH$361-YEAR(Inputs!$E$26)</f>
        <v>19</v>
      </c>
      <c r="AI365" s="74" t="n">
        <f aca="false">AI$361-YEAR(Inputs!$E$26)</f>
        <v>20</v>
      </c>
      <c r="AJ365" s="74" t="n">
        <f aca="false">AJ$361-YEAR(Inputs!$E$26)</f>
        <v>21</v>
      </c>
      <c r="AK365" s="74" t="n">
        <f aca="false">AK$361-YEAR(Inputs!$E$26)</f>
        <v>22</v>
      </c>
      <c r="AL365" s="74" t="n">
        <f aca="false">AL$361-YEAR(Inputs!$E$26)</f>
        <v>23</v>
      </c>
      <c r="AM365" s="74" t="n">
        <f aca="false">AM$361-YEAR(Inputs!$E$26)</f>
        <v>24</v>
      </c>
      <c r="AN365" s="74" t="n">
        <f aca="false">AN$361-YEAR(Inputs!$E$26)</f>
        <v>25</v>
      </c>
      <c r="AO365" s="74" t="n">
        <f aca="false">AO$361-YEAR(Inputs!$E$26)</f>
        <v>26</v>
      </c>
      <c r="AP365" s="74" t="n">
        <f aca="false">AP$361-YEAR(Inputs!$E$26)</f>
        <v>27</v>
      </c>
      <c r="AQ365" s="74" t="n">
        <f aca="false">AQ$361-YEAR(Inputs!$E$26)</f>
        <v>28</v>
      </c>
      <c r="AR365" s="74" t="n">
        <f aca="false">AR$361-YEAR(Inputs!$E$26)</f>
        <v>29</v>
      </c>
      <c r="AS365" s="74" t="n">
        <f aca="false">AS$361-YEAR(Inputs!$E$26)</f>
        <v>30</v>
      </c>
    </row>
    <row r="366" customFormat="false" ht="14.25" hidden="false" customHeight="false" outlineLevel="0" collapsed="false">
      <c r="C366" s="6" t="s">
        <v>292</v>
      </c>
      <c r="D366" s="2" t="s">
        <v>293</v>
      </c>
      <c r="E366" s="74" t="n">
        <f aca="false">DATEDIF(Inputs!$E$25,Inputs!$E$26,"m")</f>
        <v>24</v>
      </c>
      <c r="J366" s="74" t="n">
        <f aca="false">(J$361+1-YEAR(Inputs!$E$25))*Months_In_Year-MONTH(Inputs!$E$25)</f>
        <v>-30</v>
      </c>
      <c r="K366" s="74" t="n">
        <f aca="false">(K$361+1-YEAR(Inputs!$E$25))*Months_In_Year-MONTH(Inputs!$E$25)</f>
        <v>-18</v>
      </c>
      <c r="L366" s="74" t="n">
        <f aca="false">(L$361+1-YEAR(Inputs!$E$25))*Months_In_Year-MONTH(Inputs!$E$25)</f>
        <v>-6</v>
      </c>
      <c r="M366" s="74" t="n">
        <f aca="false">(M$361+1-YEAR(Inputs!$E$25))*Months_In_Year-MONTH(Inputs!$E$25)</f>
        <v>6</v>
      </c>
      <c r="N366" s="74" t="n">
        <f aca="false">(N$361+1-YEAR(Inputs!$E$25))*Months_In_Year-MONTH(Inputs!$E$25)</f>
        <v>18</v>
      </c>
      <c r="O366" s="74" t="n">
        <f aca="false">(O$361+1-YEAR(Inputs!$E$25))*Months_In_Year-MONTH(Inputs!$E$25)</f>
        <v>30</v>
      </c>
      <c r="P366" s="74" t="n">
        <f aca="false">(P$361+1-YEAR(Inputs!$E$25))*Months_In_Year-MONTH(Inputs!$E$25)</f>
        <v>42</v>
      </c>
      <c r="Q366" s="74" t="n">
        <f aca="false">(Q$361+1-YEAR(Inputs!$E$25))*Months_In_Year-MONTH(Inputs!$E$25)</f>
        <v>54</v>
      </c>
      <c r="R366" s="74" t="n">
        <f aca="false">(R$361+1-YEAR(Inputs!$E$25))*Months_In_Year-MONTH(Inputs!$E$25)</f>
        <v>66</v>
      </c>
      <c r="S366" s="74" t="n">
        <f aca="false">(S$361+1-YEAR(Inputs!$E$25))*Months_In_Year-MONTH(Inputs!$E$25)</f>
        <v>78</v>
      </c>
      <c r="T366" s="74" t="n">
        <f aca="false">(T$361+1-YEAR(Inputs!$E$25))*Months_In_Year-MONTH(Inputs!$E$25)</f>
        <v>90</v>
      </c>
      <c r="U366" s="74" t="n">
        <f aca="false">(U$361+1-YEAR(Inputs!$E$25))*Months_In_Year-MONTH(Inputs!$E$25)</f>
        <v>102</v>
      </c>
      <c r="V366" s="74" t="n">
        <f aca="false">(V$361+1-YEAR(Inputs!$E$25))*Months_In_Year-MONTH(Inputs!$E$25)</f>
        <v>114</v>
      </c>
      <c r="W366" s="74" t="n">
        <f aca="false">(W$361+1-YEAR(Inputs!$E$25))*Months_In_Year-MONTH(Inputs!$E$25)</f>
        <v>126</v>
      </c>
      <c r="X366" s="74" t="n">
        <f aca="false">(X$361+1-YEAR(Inputs!$E$25))*Months_In_Year-MONTH(Inputs!$E$25)</f>
        <v>138</v>
      </c>
      <c r="Y366" s="74" t="n">
        <f aca="false">(Y$361+1-YEAR(Inputs!$E$25))*Months_In_Year-MONTH(Inputs!$E$25)</f>
        <v>150</v>
      </c>
      <c r="Z366" s="74" t="n">
        <f aca="false">(Z$361+1-YEAR(Inputs!$E$25))*Months_In_Year-MONTH(Inputs!$E$25)</f>
        <v>162</v>
      </c>
      <c r="AA366" s="74" t="n">
        <f aca="false">(AA$361+1-YEAR(Inputs!$E$25))*Months_In_Year-MONTH(Inputs!$E$25)</f>
        <v>174</v>
      </c>
      <c r="AB366" s="74" t="n">
        <f aca="false">(AB$361+1-YEAR(Inputs!$E$25))*Months_In_Year-MONTH(Inputs!$E$25)</f>
        <v>186</v>
      </c>
      <c r="AC366" s="74" t="n">
        <f aca="false">(AC$361+1-YEAR(Inputs!$E$25))*Months_In_Year-MONTH(Inputs!$E$25)</f>
        <v>198</v>
      </c>
      <c r="AD366" s="74" t="n">
        <f aca="false">(AD$361+1-YEAR(Inputs!$E$25))*Months_In_Year-MONTH(Inputs!$E$25)</f>
        <v>210</v>
      </c>
      <c r="AE366" s="74" t="n">
        <f aca="false">(AE$361+1-YEAR(Inputs!$E$25))*Months_In_Year-MONTH(Inputs!$E$25)</f>
        <v>222</v>
      </c>
      <c r="AF366" s="74" t="n">
        <f aca="false">(AF$361+1-YEAR(Inputs!$E$25))*Months_In_Year-MONTH(Inputs!$E$25)</f>
        <v>234</v>
      </c>
      <c r="AG366" s="74" t="n">
        <f aca="false">(AG$361+1-YEAR(Inputs!$E$25))*Months_In_Year-MONTH(Inputs!$E$25)</f>
        <v>246</v>
      </c>
      <c r="AH366" s="74" t="n">
        <f aca="false">(AH$361+1-YEAR(Inputs!$E$25))*Months_In_Year-MONTH(Inputs!$E$25)</f>
        <v>258</v>
      </c>
      <c r="AI366" s="74" t="n">
        <f aca="false">(AI$361+1-YEAR(Inputs!$E$25))*Months_In_Year-MONTH(Inputs!$E$25)</f>
        <v>270</v>
      </c>
      <c r="AJ366" s="74" t="n">
        <f aca="false">(AJ$361+1-YEAR(Inputs!$E$25))*Months_In_Year-MONTH(Inputs!$E$25)</f>
        <v>282</v>
      </c>
      <c r="AK366" s="74" t="n">
        <f aca="false">(AK$361+1-YEAR(Inputs!$E$25))*Months_In_Year-MONTH(Inputs!$E$25)</f>
        <v>294</v>
      </c>
      <c r="AL366" s="74" t="n">
        <f aca="false">(AL$361+1-YEAR(Inputs!$E$25))*Months_In_Year-MONTH(Inputs!$E$25)</f>
        <v>306</v>
      </c>
      <c r="AM366" s="74" t="n">
        <f aca="false">(AM$361+1-YEAR(Inputs!$E$25))*Months_In_Year-MONTH(Inputs!$E$25)</f>
        <v>318</v>
      </c>
      <c r="AN366" s="74" t="n">
        <f aca="false">(AN$361+1-YEAR(Inputs!$E$25))*Months_In_Year-MONTH(Inputs!$E$25)</f>
        <v>330</v>
      </c>
      <c r="AO366" s="74" t="n">
        <f aca="false">(AO$361+1-YEAR(Inputs!$E$25))*Months_In_Year-MONTH(Inputs!$E$25)</f>
        <v>342</v>
      </c>
      <c r="AP366" s="74" t="n">
        <f aca="false">(AP$361+1-YEAR(Inputs!$E$25))*Months_In_Year-MONTH(Inputs!$E$25)</f>
        <v>354</v>
      </c>
      <c r="AQ366" s="74" t="n">
        <f aca="false">(AQ$361+1-YEAR(Inputs!$E$25))*Months_In_Year-MONTH(Inputs!$E$25)</f>
        <v>366</v>
      </c>
      <c r="AR366" s="74" t="n">
        <f aca="false">(AR$361+1-YEAR(Inputs!$E$25))*Months_In_Year-MONTH(Inputs!$E$25)</f>
        <v>378</v>
      </c>
      <c r="AS366" s="74" t="n">
        <f aca="false">(AS$361+1-YEAR(Inputs!$E$25))*Months_In_Year-MONTH(Inputs!$E$25)</f>
        <v>390</v>
      </c>
    </row>
    <row r="367" customFormat="false" ht="14.25" hidden="false" customHeight="false" outlineLevel="0" collapsed="false">
      <c r="C367" s="6" t="s">
        <v>294</v>
      </c>
      <c r="D367" s="2" t="s">
        <v>12</v>
      </c>
      <c r="H367" s="75" t="n">
        <f aca="false">SUM(J367:AS367)</f>
        <v>1</v>
      </c>
      <c r="J367" s="48" t="n">
        <f aca="false">MAX(0,MIN(J366,$E366)-MAX(J366-Months_In_Year,0))/$E366</f>
        <v>0</v>
      </c>
      <c r="K367" s="48" t="n">
        <f aca="false">MAX(0,MIN(K366,$E366)-MAX(K366-Months_In_Year,0))/$E366</f>
        <v>0</v>
      </c>
      <c r="L367" s="48" t="n">
        <f aca="false">MAX(0,MIN(L366,$E366)-MAX(L366-Months_In_Year,0))/$E366</f>
        <v>0</v>
      </c>
      <c r="M367" s="48" t="n">
        <f aca="false">MAX(0,MIN(M366,$E366)-MAX(M366-Months_In_Year,0))/$E366</f>
        <v>0.25</v>
      </c>
      <c r="N367" s="48" t="n">
        <f aca="false">MAX(0,MIN(N366,$E366)-MAX(N366-Months_In_Year,0))/$E366</f>
        <v>0.5</v>
      </c>
      <c r="O367" s="48" t="n">
        <f aca="false">MAX(0,MIN(O366,$E366)-MAX(O366-Months_In_Year,0))/$E366</f>
        <v>0.25</v>
      </c>
      <c r="P367" s="48" t="n">
        <f aca="false">MAX(0,MIN(P366,$E366)-MAX(P366-Months_In_Year,0))/$E366</f>
        <v>0</v>
      </c>
      <c r="Q367" s="48" t="n">
        <f aca="false">MAX(0,MIN(Q366,$E366)-MAX(Q366-Months_In_Year,0))/$E366</f>
        <v>0</v>
      </c>
      <c r="R367" s="48" t="n">
        <f aca="false">MAX(0,MIN(R366,$E366)-MAX(R366-Months_In_Year,0))/$E366</f>
        <v>0</v>
      </c>
      <c r="S367" s="48" t="n">
        <f aca="false">MAX(0,MIN(S366,$E366)-MAX(S366-Months_In_Year,0))/$E366</f>
        <v>0</v>
      </c>
      <c r="T367" s="48" t="n">
        <f aca="false">MAX(0,MIN(T366,$E366)-MAX(T366-Months_In_Year,0))/$E366</f>
        <v>0</v>
      </c>
      <c r="U367" s="48" t="n">
        <f aca="false">MAX(0,MIN(U366,$E366)-MAX(U366-Months_In_Year,0))/$E366</f>
        <v>0</v>
      </c>
      <c r="V367" s="48" t="n">
        <f aca="false">MAX(0,MIN(V366,$E366)-MAX(V366-Months_In_Year,0))/$E366</f>
        <v>0</v>
      </c>
      <c r="W367" s="48" t="n">
        <f aca="false">MAX(0,MIN(W366,$E366)-MAX(W366-Months_In_Year,0))/$E366</f>
        <v>0</v>
      </c>
      <c r="X367" s="48" t="n">
        <f aca="false">MAX(0,MIN(X366,$E366)-MAX(X366-Months_In_Year,0))/$E366</f>
        <v>0</v>
      </c>
      <c r="Y367" s="48" t="n">
        <f aca="false">MAX(0,MIN(Y366,$E366)-MAX(Y366-Months_In_Year,0))/$E366</f>
        <v>0</v>
      </c>
      <c r="Z367" s="48" t="n">
        <f aca="false">MAX(0,MIN(Z366,$E366)-MAX(Z366-Months_In_Year,0))/$E366</f>
        <v>0</v>
      </c>
      <c r="AA367" s="48" t="n">
        <f aca="false">MAX(0,MIN(AA366,$E366)-MAX(AA366-Months_In_Year,0))/$E366</f>
        <v>0</v>
      </c>
      <c r="AB367" s="48" t="n">
        <f aca="false">MAX(0,MIN(AB366,$E366)-MAX(AB366-Months_In_Year,0))/$E366</f>
        <v>0</v>
      </c>
      <c r="AC367" s="48" t="n">
        <f aca="false">MAX(0,MIN(AC366,$E366)-MAX(AC366-Months_In_Year,0))/$E366</f>
        <v>0</v>
      </c>
      <c r="AD367" s="48" t="n">
        <f aca="false">MAX(0,MIN(AD366,$E366)-MAX(AD366-Months_In_Year,0))/$E366</f>
        <v>0</v>
      </c>
      <c r="AE367" s="48" t="n">
        <f aca="false">MAX(0,MIN(AE366,$E366)-MAX(AE366-Months_In_Year,0))/$E366</f>
        <v>0</v>
      </c>
      <c r="AF367" s="48" t="n">
        <f aca="false">MAX(0,MIN(AF366,$E366)-MAX(AF366-Months_In_Year,0))/$E366</f>
        <v>0</v>
      </c>
      <c r="AG367" s="48" t="n">
        <f aca="false">MAX(0,MIN(AG366,$E366)-MAX(AG366-Months_In_Year,0))/$E366</f>
        <v>0</v>
      </c>
      <c r="AH367" s="48" t="n">
        <f aca="false">MAX(0,MIN(AH366,$E366)-MAX(AH366-Months_In_Year,0))/$E366</f>
        <v>0</v>
      </c>
      <c r="AI367" s="48" t="n">
        <f aca="false">MAX(0,MIN(AI366,$E366)-MAX(AI366-Months_In_Year,0))/$E366</f>
        <v>0</v>
      </c>
      <c r="AJ367" s="48" t="n">
        <f aca="false">MAX(0,MIN(AJ366,$E366)-MAX(AJ366-Months_In_Year,0))/$E366</f>
        <v>0</v>
      </c>
      <c r="AK367" s="48" t="n">
        <f aca="false">MAX(0,MIN(AK366,$E366)-MAX(AK366-Months_In_Year,0))/$E366</f>
        <v>0</v>
      </c>
      <c r="AL367" s="48" t="n">
        <f aca="false">MAX(0,MIN(AL366,$E366)-MAX(AL366-Months_In_Year,0))/$E366</f>
        <v>0</v>
      </c>
      <c r="AM367" s="48" t="n">
        <f aca="false">MAX(0,MIN(AM366,$E366)-MAX(AM366-Months_In_Year,0))/$E366</f>
        <v>0</v>
      </c>
      <c r="AN367" s="48" t="n">
        <f aca="false">MAX(0,MIN(AN366,$E366)-MAX(AN366-Months_In_Year,0))/$E366</f>
        <v>0</v>
      </c>
      <c r="AO367" s="48" t="n">
        <f aca="false">MAX(0,MIN(AO366,$E366)-MAX(AO366-Months_In_Year,0))/$E366</f>
        <v>0</v>
      </c>
      <c r="AP367" s="48" t="n">
        <f aca="false">MAX(0,MIN(AP366,$E366)-MAX(AP366-Months_In_Year,0))/$E366</f>
        <v>0</v>
      </c>
      <c r="AQ367" s="48" t="n">
        <f aca="false">MAX(0,MIN(AQ366,$E366)-MAX(AQ366-Months_In_Year,0))/$E366</f>
        <v>0</v>
      </c>
      <c r="AR367" s="48" t="n">
        <f aca="false">MAX(0,MIN(AR366,$E366)-MAX(AR366-Months_In_Year,0))/$E366</f>
        <v>0</v>
      </c>
      <c r="AS367" s="48" t="n">
        <f aca="false">MAX(0,MIN(AS366,$E366)-MAX(AS366-Months_In_Year,0))/$E366</f>
        <v>0</v>
      </c>
    </row>
    <row r="368" customFormat="false" ht="14.25" hidden="false" customHeight="false" outlineLevel="0" collapsed="false">
      <c r="C368" s="6" t="s">
        <v>295</v>
      </c>
      <c r="D368" s="2" t="s">
        <v>293</v>
      </c>
      <c r="E368" s="74" t="n">
        <f aca="false">Life*Months_In_Year</f>
        <v>360</v>
      </c>
      <c r="J368" s="74" t="n">
        <f aca="false">(J$361+1-YEAR(Inputs!$E$26))*Months_In_Year-MONTH(Inputs!$E$26)</f>
        <v>-54</v>
      </c>
      <c r="K368" s="74" t="n">
        <f aca="false">(K$361+1-YEAR(Inputs!$E$26))*Months_In_Year-MONTH(Inputs!$E$26)</f>
        <v>-42</v>
      </c>
      <c r="L368" s="74" t="n">
        <f aca="false">(L$361+1-YEAR(Inputs!$E$26))*Months_In_Year-MONTH(Inputs!$E$26)</f>
        <v>-30</v>
      </c>
      <c r="M368" s="74" t="n">
        <f aca="false">(M$361+1-YEAR(Inputs!$E$26))*Months_In_Year-MONTH(Inputs!$E$26)</f>
        <v>-18</v>
      </c>
      <c r="N368" s="74" t="n">
        <f aca="false">(N$361+1-YEAR(Inputs!$E$26))*Months_In_Year-MONTH(Inputs!$E$26)</f>
        <v>-6</v>
      </c>
      <c r="O368" s="74" t="n">
        <f aca="false">(O$361+1-YEAR(Inputs!$E$26))*Months_In_Year-MONTH(Inputs!$E$26)</f>
        <v>6</v>
      </c>
      <c r="P368" s="74" t="n">
        <f aca="false">(P$361+1-YEAR(Inputs!$E$26))*Months_In_Year-MONTH(Inputs!$E$26)</f>
        <v>18</v>
      </c>
      <c r="Q368" s="74" t="n">
        <f aca="false">(Q$361+1-YEAR(Inputs!$E$26))*Months_In_Year-MONTH(Inputs!$E$26)</f>
        <v>30</v>
      </c>
      <c r="R368" s="74" t="n">
        <f aca="false">(R$361+1-YEAR(Inputs!$E$26))*Months_In_Year-MONTH(Inputs!$E$26)</f>
        <v>42</v>
      </c>
      <c r="S368" s="74" t="n">
        <f aca="false">(S$361+1-YEAR(Inputs!$E$26))*Months_In_Year-MONTH(Inputs!$E$26)</f>
        <v>54</v>
      </c>
      <c r="T368" s="74" t="n">
        <f aca="false">(T$361+1-YEAR(Inputs!$E$26))*Months_In_Year-MONTH(Inputs!$E$26)</f>
        <v>66</v>
      </c>
      <c r="U368" s="74" t="n">
        <f aca="false">(U$361+1-YEAR(Inputs!$E$26))*Months_In_Year-MONTH(Inputs!$E$26)</f>
        <v>78</v>
      </c>
      <c r="V368" s="74" t="n">
        <f aca="false">(V$361+1-YEAR(Inputs!$E$26))*Months_In_Year-MONTH(Inputs!$E$26)</f>
        <v>90</v>
      </c>
      <c r="W368" s="74" t="n">
        <f aca="false">(W$361+1-YEAR(Inputs!$E$26))*Months_In_Year-MONTH(Inputs!$E$26)</f>
        <v>102</v>
      </c>
      <c r="X368" s="74" t="n">
        <f aca="false">(X$361+1-YEAR(Inputs!$E$26))*Months_In_Year-MONTH(Inputs!$E$26)</f>
        <v>114</v>
      </c>
      <c r="Y368" s="74" t="n">
        <f aca="false">(Y$361+1-YEAR(Inputs!$E$26))*Months_In_Year-MONTH(Inputs!$E$26)</f>
        <v>126</v>
      </c>
      <c r="Z368" s="74" t="n">
        <f aca="false">(Z$361+1-YEAR(Inputs!$E$26))*Months_In_Year-MONTH(Inputs!$E$26)</f>
        <v>138</v>
      </c>
      <c r="AA368" s="74" t="n">
        <f aca="false">(AA$361+1-YEAR(Inputs!$E$26))*Months_In_Year-MONTH(Inputs!$E$26)</f>
        <v>150</v>
      </c>
      <c r="AB368" s="74" t="n">
        <f aca="false">(AB$361+1-YEAR(Inputs!$E$26))*Months_In_Year-MONTH(Inputs!$E$26)</f>
        <v>162</v>
      </c>
      <c r="AC368" s="74" t="n">
        <f aca="false">(AC$361+1-YEAR(Inputs!$E$26))*Months_In_Year-MONTH(Inputs!$E$26)</f>
        <v>174</v>
      </c>
      <c r="AD368" s="74" t="n">
        <f aca="false">(AD$361+1-YEAR(Inputs!$E$26))*Months_In_Year-MONTH(Inputs!$E$26)</f>
        <v>186</v>
      </c>
      <c r="AE368" s="74" t="n">
        <f aca="false">(AE$361+1-YEAR(Inputs!$E$26))*Months_In_Year-MONTH(Inputs!$E$26)</f>
        <v>198</v>
      </c>
      <c r="AF368" s="74" t="n">
        <f aca="false">(AF$361+1-YEAR(Inputs!$E$26))*Months_In_Year-MONTH(Inputs!$E$26)</f>
        <v>210</v>
      </c>
      <c r="AG368" s="74" t="n">
        <f aca="false">(AG$361+1-YEAR(Inputs!$E$26))*Months_In_Year-MONTH(Inputs!$E$26)</f>
        <v>222</v>
      </c>
      <c r="AH368" s="74" t="n">
        <f aca="false">(AH$361+1-YEAR(Inputs!$E$26))*Months_In_Year-MONTH(Inputs!$E$26)</f>
        <v>234</v>
      </c>
      <c r="AI368" s="74" t="n">
        <f aca="false">(AI$361+1-YEAR(Inputs!$E$26))*Months_In_Year-MONTH(Inputs!$E$26)</f>
        <v>246</v>
      </c>
      <c r="AJ368" s="74" t="n">
        <f aca="false">(AJ$361+1-YEAR(Inputs!$E$26))*Months_In_Year-MONTH(Inputs!$E$26)</f>
        <v>258</v>
      </c>
      <c r="AK368" s="74" t="n">
        <f aca="false">(AK$361+1-YEAR(Inputs!$E$26))*Months_In_Year-MONTH(Inputs!$E$26)</f>
        <v>270</v>
      </c>
      <c r="AL368" s="74" t="n">
        <f aca="false">(AL$361+1-YEAR(Inputs!$E$26))*Months_In_Year-MONTH(Inputs!$E$26)</f>
        <v>282</v>
      </c>
      <c r="AM368" s="74" t="n">
        <f aca="false">(AM$361+1-YEAR(Inputs!$E$26))*Months_In_Year-MONTH(Inputs!$E$26)</f>
        <v>294</v>
      </c>
      <c r="AN368" s="74" t="n">
        <f aca="false">(AN$361+1-YEAR(Inputs!$E$26))*Months_In_Year-MONTH(Inputs!$E$26)</f>
        <v>306</v>
      </c>
      <c r="AO368" s="74" t="n">
        <f aca="false">(AO$361+1-YEAR(Inputs!$E$26))*Months_In_Year-MONTH(Inputs!$E$26)</f>
        <v>318</v>
      </c>
      <c r="AP368" s="74" t="n">
        <f aca="false">(AP$361+1-YEAR(Inputs!$E$26))*Months_In_Year-MONTH(Inputs!$E$26)</f>
        <v>330</v>
      </c>
      <c r="AQ368" s="74" t="n">
        <f aca="false">(AQ$361+1-YEAR(Inputs!$E$26))*Months_In_Year-MONTH(Inputs!$E$26)</f>
        <v>342</v>
      </c>
      <c r="AR368" s="74" t="n">
        <f aca="false">(AR$361+1-YEAR(Inputs!$E$26))*Months_In_Year-MONTH(Inputs!$E$26)</f>
        <v>354</v>
      </c>
      <c r="AS368" s="74" t="n">
        <f aca="false">(AS$361+1-YEAR(Inputs!$E$26))*Months_In_Year-MONTH(Inputs!$E$26)</f>
        <v>366</v>
      </c>
    </row>
    <row r="369" customFormat="false" ht="14.25" hidden="false" customHeight="false" outlineLevel="0" collapsed="false">
      <c r="C369" s="6" t="s">
        <v>296</v>
      </c>
      <c r="D369" s="2" t="s">
        <v>12</v>
      </c>
      <c r="H369" s="75" t="n">
        <f aca="false">SUM(J369:AS369)</f>
        <v>30</v>
      </c>
      <c r="J369" s="48" t="n">
        <f aca="false">MAX(0,MIN(J368,$E368)-MAX(J368-Months_In_Year,0))/Months_In_Year</f>
        <v>0</v>
      </c>
      <c r="K369" s="48" t="n">
        <f aca="false">MAX(0,MIN(K368,$E368)-MAX(K368-Months_In_Year,0))/Months_In_Year</f>
        <v>0</v>
      </c>
      <c r="L369" s="48" t="n">
        <f aca="false">MAX(0,MIN(L368,$E368)-MAX(L368-Months_In_Year,0))/Months_In_Year</f>
        <v>0</v>
      </c>
      <c r="M369" s="48" t="n">
        <f aca="false">MAX(0,MIN(M368,$E368)-MAX(M368-Months_In_Year,0))/Months_In_Year</f>
        <v>0</v>
      </c>
      <c r="N369" s="48" t="n">
        <f aca="false">MAX(0,MIN(N368,$E368)-MAX(N368-Months_In_Year,0))/Months_In_Year</f>
        <v>0</v>
      </c>
      <c r="O369" s="48" t="n">
        <f aca="false">MAX(0,MIN(O368,$E368)-MAX(O368-Months_In_Year,0))/Months_In_Year</f>
        <v>0.5</v>
      </c>
      <c r="P369" s="48" t="n">
        <f aca="false">MAX(0,MIN(P368,$E368)-MAX(P368-Months_In_Year,0))/Months_In_Year</f>
        <v>1</v>
      </c>
      <c r="Q369" s="48" t="n">
        <f aca="false">MAX(0,MIN(Q368,$E368)-MAX(Q368-Months_In_Year,0))/Months_In_Year</f>
        <v>1</v>
      </c>
      <c r="R369" s="48" t="n">
        <f aca="false">MAX(0,MIN(R368,$E368)-MAX(R368-Months_In_Year,0))/Months_In_Year</f>
        <v>1</v>
      </c>
      <c r="S369" s="48" t="n">
        <f aca="false">MAX(0,MIN(S368,$E368)-MAX(S368-Months_In_Year,0))/Months_In_Year</f>
        <v>1</v>
      </c>
      <c r="T369" s="48" t="n">
        <f aca="false">MAX(0,MIN(T368,$E368)-MAX(T368-Months_In_Year,0))/Months_In_Year</f>
        <v>1</v>
      </c>
      <c r="U369" s="48" t="n">
        <f aca="false">MAX(0,MIN(U368,$E368)-MAX(U368-Months_In_Year,0))/Months_In_Year</f>
        <v>1</v>
      </c>
      <c r="V369" s="48" t="n">
        <f aca="false">MAX(0,MIN(V368,$E368)-MAX(V368-Months_In_Year,0))/Months_In_Year</f>
        <v>1</v>
      </c>
      <c r="W369" s="48" t="n">
        <f aca="false">MAX(0,MIN(W368,$E368)-MAX(W368-Months_In_Year,0))/Months_In_Year</f>
        <v>1</v>
      </c>
      <c r="X369" s="48" t="n">
        <f aca="false">MAX(0,MIN(X368,$E368)-MAX(X368-Months_In_Year,0))/Months_In_Year</f>
        <v>1</v>
      </c>
      <c r="Y369" s="48" t="n">
        <f aca="false">MAX(0,MIN(Y368,$E368)-MAX(Y368-Months_In_Year,0))/Months_In_Year</f>
        <v>1</v>
      </c>
      <c r="Z369" s="48" t="n">
        <f aca="false">MAX(0,MIN(Z368,$E368)-MAX(Z368-Months_In_Year,0))/Months_In_Year</f>
        <v>1</v>
      </c>
      <c r="AA369" s="48" t="n">
        <f aca="false">MAX(0,MIN(AA368,$E368)-MAX(AA368-Months_In_Year,0))/Months_In_Year</f>
        <v>1</v>
      </c>
      <c r="AB369" s="48" t="n">
        <f aca="false">MAX(0,MIN(AB368,$E368)-MAX(AB368-Months_In_Year,0))/Months_In_Year</f>
        <v>1</v>
      </c>
      <c r="AC369" s="48" t="n">
        <f aca="false">MAX(0,MIN(AC368,$E368)-MAX(AC368-Months_In_Year,0))/Months_In_Year</f>
        <v>1</v>
      </c>
      <c r="AD369" s="48" t="n">
        <f aca="false">MAX(0,MIN(AD368,$E368)-MAX(AD368-Months_In_Year,0))/Months_In_Year</f>
        <v>1</v>
      </c>
      <c r="AE369" s="48" t="n">
        <f aca="false">MAX(0,MIN(AE368,$E368)-MAX(AE368-Months_In_Year,0))/Months_In_Year</f>
        <v>1</v>
      </c>
      <c r="AF369" s="48" t="n">
        <f aca="false">MAX(0,MIN(AF368,$E368)-MAX(AF368-Months_In_Year,0))/Months_In_Year</f>
        <v>1</v>
      </c>
      <c r="AG369" s="48" t="n">
        <f aca="false">MAX(0,MIN(AG368,$E368)-MAX(AG368-Months_In_Year,0))/Months_In_Year</f>
        <v>1</v>
      </c>
      <c r="AH369" s="48" t="n">
        <f aca="false">MAX(0,MIN(AH368,$E368)-MAX(AH368-Months_In_Year,0))/Months_In_Year</f>
        <v>1</v>
      </c>
      <c r="AI369" s="48" t="n">
        <f aca="false">MAX(0,MIN(AI368,$E368)-MAX(AI368-Months_In_Year,0))/Months_In_Year</f>
        <v>1</v>
      </c>
      <c r="AJ369" s="48" t="n">
        <f aca="false">MAX(0,MIN(AJ368,$E368)-MAX(AJ368-Months_In_Year,0))/Months_In_Year</f>
        <v>1</v>
      </c>
      <c r="AK369" s="48" t="n">
        <f aca="false">MAX(0,MIN(AK368,$E368)-MAX(AK368-Months_In_Year,0))/Months_In_Year</f>
        <v>1</v>
      </c>
      <c r="AL369" s="48" t="n">
        <f aca="false">MAX(0,MIN(AL368,$E368)-MAX(AL368-Months_In_Year,0))/Months_In_Year</f>
        <v>1</v>
      </c>
      <c r="AM369" s="48" t="n">
        <f aca="false">MAX(0,MIN(AM368,$E368)-MAX(AM368-Months_In_Year,0))/Months_In_Year</f>
        <v>1</v>
      </c>
      <c r="AN369" s="48" t="n">
        <f aca="false">MAX(0,MIN(AN368,$E368)-MAX(AN368-Months_In_Year,0))/Months_In_Year</f>
        <v>1</v>
      </c>
      <c r="AO369" s="48" t="n">
        <f aca="false">MAX(0,MIN(AO368,$E368)-MAX(AO368-Months_In_Year,0))/Months_In_Year</f>
        <v>1</v>
      </c>
      <c r="AP369" s="48" t="n">
        <f aca="false">MAX(0,MIN(AP368,$E368)-MAX(AP368-Months_In_Year,0))/Months_In_Year</f>
        <v>1</v>
      </c>
      <c r="AQ369" s="48" t="n">
        <f aca="false">MAX(0,MIN(AQ368,$E368)-MAX(AQ368-Months_In_Year,0))/Months_In_Year</f>
        <v>1</v>
      </c>
      <c r="AR369" s="48" t="n">
        <f aca="false">MAX(0,MIN(AR368,$E368)-MAX(AR368-Months_In_Year,0))/Months_In_Year</f>
        <v>1</v>
      </c>
      <c r="AS369" s="48" t="n">
        <f aca="false">MAX(0,MIN(AS368,$E368)-MAX(AS368-Months_In_Year,0))/Months_In_Year</f>
        <v>0.5</v>
      </c>
    </row>
    <row r="370" customFormat="false" ht="14.25" hidden="false" customHeight="false" outlineLevel="0" collapsed="false">
      <c r="C370" s="6" t="s">
        <v>297</v>
      </c>
      <c r="D370" s="2" t="s">
        <v>2</v>
      </c>
      <c r="J370" s="76" t="n">
        <f aca="false">N(J365=0)</f>
        <v>0</v>
      </c>
      <c r="K370" s="76" t="n">
        <f aca="false">N(K365=0)</f>
        <v>0</v>
      </c>
      <c r="L370" s="76" t="n">
        <f aca="false">N(L365=0)</f>
        <v>0</v>
      </c>
      <c r="M370" s="76" t="n">
        <f aca="false">N(M365=0)</f>
        <v>0</v>
      </c>
      <c r="N370" s="76" t="n">
        <f aca="false">N(N365=0)</f>
        <v>0</v>
      </c>
      <c r="O370" s="76" t="n">
        <f aca="false">N(O365=0)</f>
        <v>1</v>
      </c>
      <c r="P370" s="76" t="n">
        <f aca="false">N(P365=0)</f>
        <v>0</v>
      </c>
      <c r="Q370" s="76" t="n">
        <f aca="false">N(Q365=0)</f>
        <v>0</v>
      </c>
      <c r="R370" s="76" t="n">
        <f aca="false">N(R365=0)</f>
        <v>0</v>
      </c>
      <c r="S370" s="76" t="n">
        <f aca="false">N(S365=0)</f>
        <v>0</v>
      </c>
      <c r="T370" s="76" t="n">
        <f aca="false">N(T365=0)</f>
        <v>0</v>
      </c>
      <c r="U370" s="76" t="n">
        <f aca="false">N(U365=0)</f>
        <v>0</v>
      </c>
      <c r="V370" s="76" t="n">
        <f aca="false">N(V365=0)</f>
        <v>0</v>
      </c>
      <c r="W370" s="76" t="n">
        <f aca="false">N(W365=0)</f>
        <v>0</v>
      </c>
      <c r="X370" s="76" t="n">
        <f aca="false">N(X365=0)</f>
        <v>0</v>
      </c>
      <c r="Y370" s="76" t="n">
        <f aca="false">N(Y365=0)</f>
        <v>0</v>
      </c>
      <c r="Z370" s="76" t="n">
        <f aca="false">N(Z365=0)</f>
        <v>0</v>
      </c>
      <c r="AA370" s="76" t="n">
        <f aca="false">N(AA365=0)</f>
        <v>0</v>
      </c>
      <c r="AB370" s="76" t="n">
        <f aca="false">N(AB365=0)</f>
        <v>0</v>
      </c>
      <c r="AC370" s="76" t="n">
        <f aca="false">N(AC365=0)</f>
        <v>0</v>
      </c>
      <c r="AD370" s="76" t="n">
        <f aca="false">N(AD365=0)</f>
        <v>0</v>
      </c>
      <c r="AE370" s="76" t="n">
        <f aca="false">N(AE365=0)</f>
        <v>0</v>
      </c>
      <c r="AF370" s="76" t="n">
        <f aca="false">N(AF365=0)</f>
        <v>0</v>
      </c>
      <c r="AG370" s="76" t="n">
        <f aca="false">N(AG365=0)</f>
        <v>0</v>
      </c>
      <c r="AH370" s="76" t="n">
        <f aca="false">N(AH365=0)</f>
        <v>0</v>
      </c>
      <c r="AI370" s="76" t="n">
        <f aca="false">N(AI365=0)</f>
        <v>0</v>
      </c>
      <c r="AJ370" s="76" t="n">
        <f aca="false">N(AJ365=0)</f>
        <v>0</v>
      </c>
      <c r="AK370" s="76" t="n">
        <f aca="false">N(AK365=0)</f>
        <v>0</v>
      </c>
      <c r="AL370" s="76" t="n">
        <f aca="false">N(AL365=0)</f>
        <v>0</v>
      </c>
      <c r="AM370" s="76" t="n">
        <f aca="false">N(AM365=0)</f>
        <v>0</v>
      </c>
      <c r="AN370" s="76" t="n">
        <f aca="false">N(AN365=0)</f>
        <v>0</v>
      </c>
      <c r="AO370" s="76" t="n">
        <f aca="false">N(AO365=0)</f>
        <v>0</v>
      </c>
      <c r="AP370" s="76" t="n">
        <f aca="false">N(AP365=0)</f>
        <v>0</v>
      </c>
      <c r="AQ370" s="76" t="n">
        <f aca="false">N(AQ365=0)</f>
        <v>0</v>
      </c>
      <c r="AR370" s="76" t="n">
        <f aca="false">N(AR365=0)</f>
        <v>0</v>
      </c>
      <c r="AS370" s="76" t="n">
        <f aca="false">N(AS365=0)</f>
        <v>0</v>
      </c>
    </row>
    <row r="371" customFormat="false" ht="14.25" hidden="false" customHeight="false" outlineLevel="0" collapsed="false">
      <c r="C371" s="6" t="s">
        <v>298</v>
      </c>
      <c r="D371" s="2" t="s">
        <v>85</v>
      </c>
      <c r="H371" s="8" t="n">
        <f aca="false">SUM(J371:AS371)</f>
        <v>-20256.3995260274</v>
      </c>
      <c r="J371" s="8" t="n">
        <f aca="false">-($E$98+$E$68+$E$62+$E$63+$E$92)*(J$361=YEAR(Sale_Date))</f>
        <v>-0</v>
      </c>
      <c r="K371" s="8" t="n">
        <f aca="false">-($E$98+$E$68+$E$62+$E$63+$E$92)*(K$361=YEAR(Sale_Date))</f>
        <v>-0</v>
      </c>
      <c r="L371" s="8" t="n">
        <f aca="false">-($E$98+$E$68+$E$62+$E$63+$E$92)*(L$361=YEAR(Sale_Date))</f>
        <v>-0</v>
      </c>
      <c r="M371" s="8" t="n">
        <f aca="false">-($E$98+$E$68+$E$62+$E$63+$E$92)*(M$361=YEAR(Sale_Date))</f>
        <v>-20256.3995260274</v>
      </c>
      <c r="N371" s="8" t="n">
        <f aca="false">-($E$98+$E$68+$E$62+$E$63+$E$92)*(N$361=YEAR(Sale_Date))</f>
        <v>-0</v>
      </c>
      <c r="O371" s="8" t="n">
        <f aca="false">-($E$98+$E$68+$E$62+$E$63+$E$92)*(O$361=YEAR(Sale_Date))</f>
        <v>-0</v>
      </c>
      <c r="P371" s="8" t="n">
        <f aca="false">-($E$98+$E$68+$E$62+$E$63+$E$92)*(P$361=YEAR(Sale_Date))</f>
        <v>-0</v>
      </c>
      <c r="Q371" s="8" t="n">
        <f aca="false">-($E$98+$E$68+$E$62+$E$63+$E$92)*(Q$361=YEAR(Sale_Date))</f>
        <v>-0</v>
      </c>
      <c r="R371" s="8" t="n">
        <f aca="false">-($E$98+$E$68+$E$62+$E$63+$E$92)*(R$361=YEAR(Sale_Date))</f>
        <v>-0</v>
      </c>
      <c r="S371" s="8" t="n">
        <f aca="false">-($E$98+$E$68+$E$62+$E$63+$E$92)*(S$361=YEAR(Sale_Date))</f>
        <v>-0</v>
      </c>
      <c r="T371" s="8" t="n">
        <f aca="false">-($E$98+$E$68+$E$62+$E$63+$E$92)*(T$361=YEAR(Sale_Date))</f>
        <v>-0</v>
      </c>
      <c r="U371" s="8" t="n">
        <f aca="false">-($E$98+$E$68+$E$62+$E$63+$E$92)*(U$361=YEAR(Sale_Date))</f>
        <v>-0</v>
      </c>
      <c r="V371" s="8" t="n">
        <f aca="false">-($E$98+$E$68+$E$62+$E$63+$E$92)*(V$361=YEAR(Sale_Date))</f>
        <v>-0</v>
      </c>
      <c r="W371" s="8" t="n">
        <f aca="false">-($E$98+$E$68+$E$62+$E$63+$E$92)*(W$361=YEAR(Sale_Date))</f>
        <v>-0</v>
      </c>
      <c r="X371" s="8" t="n">
        <f aca="false">-($E$98+$E$68+$E$62+$E$63+$E$92)*(X$361=YEAR(Sale_Date))</f>
        <v>-0</v>
      </c>
      <c r="Y371" s="8" t="n">
        <f aca="false">-($E$98+$E$68+$E$62+$E$63+$E$92)*(Y$361=YEAR(Sale_Date))</f>
        <v>-0</v>
      </c>
      <c r="Z371" s="8" t="n">
        <f aca="false">-($E$98+$E$68+$E$62+$E$63+$E$92)*(Z$361=YEAR(Sale_Date))</f>
        <v>-0</v>
      </c>
      <c r="AA371" s="8" t="n">
        <f aca="false">-($E$98+$E$68+$E$62+$E$63+$E$92)*(AA$361=YEAR(Sale_Date))</f>
        <v>-0</v>
      </c>
      <c r="AB371" s="8" t="n">
        <f aca="false">-($E$98+$E$68+$E$62+$E$63+$E$92)*(AB$361=YEAR(Sale_Date))</f>
        <v>-0</v>
      </c>
      <c r="AC371" s="8" t="n">
        <f aca="false">-($E$98+$E$68+$E$62+$E$63+$E$92)*(AC$361=YEAR(Sale_Date))</f>
        <v>-0</v>
      </c>
      <c r="AD371" s="8" t="n">
        <f aca="false">-($E$98+$E$68+$E$62+$E$63+$E$92)*(AD$361=YEAR(Sale_Date))</f>
        <v>-0</v>
      </c>
      <c r="AE371" s="8" t="n">
        <f aca="false">-($E$98+$E$68+$E$62+$E$63+$E$92)*(AE$361=YEAR(Sale_Date))</f>
        <v>-0</v>
      </c>
      <c r="AF371" s="8" t="n">
        <f aca="false">-($E$98+$E$68+$E$62+$E$63+$E$92)*(AF$361=YEAR(Sale_Date))</f>
        <v>-0</v>
      </c>
      <c r="AG371" s="8" t="n">
        <f aca="false">-($E$98+$E$68+$E$62+$E$63+$E$92)*(AG$361=YEAR(Sale_Date))</f>
        <v>-0</v>
      </c>
      <c r="AH371" s="8" t="n">
        <f aca="false">-($E$98+$E$68+$E$62+$E$63+$E$92)*(AH$361=YEAR(Sale_Date))</f>
        <v>-0</v>
      </c>
      <c r="AI371" s="8" t="n">
        <f aca="false">-($E$98+$E$68+$E$62+$E$63+$E$92)*(AI$361=YEAR(Sale_Date))</f>
        <v>-0</v>
      </c>
      <c r="AJ371" s="8" t="n">
        <f aca="false">-($E$98+$E$68+$E$62+$E$63+$E$92)*(AJ$361=YEAR(Sale_Date))</f>
        <v>-0</v>
      </c>
      <c r="AK371" s="8" t="n">
        <f aca="false">-($E$98+$E$68+$E$62+$E$63+$E$92)*(AK$361=YEAR(Sale_Date))</f>
        <v>-0</v>
      </c>
      <c r="AL371" s="8" t="n">
        <f aca="false">-($E$98+$E$68+$E$62+$E$63+$E$92)*(AL$361=YEAR(Sale_Date))</f>
        <v>-0</v>
      </c>
      <c r="AM371" s="8" t="n">
        <f aca="false">-($E$98+$E$68+$E$62+$E$63+$E$92)*(AM$361=YEAR(Sale_Date))</f>
        <v>-0</v>
      </c>
      <c r="AN371" s="8" t="n">
        <f aca="false">-($E$98+$E$68+$E$62+$E$63+$E$92)*(AN$361=YEAR(Sale_Date))</f>
        <v>-0</v>
      </c>
      <c r="AO371" s="8" t="n">
        <f aca="false">-($E$98+$E$68+$E$62+$E$63+$E$92)*(AO$361=YEAR(Sale_Date))</f>
        <v>-0</v>
      </c>
      <c r="AP371" s="8" t="n">
        <f aca="false">-($E$98+$E$68+$E$62+$E$63+$E$92)*(AP$361=YEAR(Sale_Date))</f>
        <v>-0</v>
      </c>
      <c r="AQ371" s="8" t="n">
        <f aca="false">-($E$98+$E$68+$E$62+$E$63+$E$92)*(AQ$361=YEAR(Sale_Date))</f>
        <v>-0</v>
      </c>
      <c r="AR371" s="8" t="n">
        <f aca="false">-($E$98+$E$68+$E$62+$E$63+$E$92)*(AR$361=YEAR(Sale_Date))</f>
        <v>-0</v>
      </c>
      <c r="AS371" s="8" t="n">
        <f aca="false">-($E$98+$E$68+$E$62+$E$63+$E$92)*(AS$361=YEAR(Sale_Date))</f>
        <v>-0</v>
      </c>
    </row>
    <row r="372" customFormat="false" ht="14.25" hidden="false" customHeight="false" outlineLevel="0" collapsed="false">
      <c r="C372" s="6" t="s">
        <v>299</v>
      </c>
      <c r="D372" s="2" t="s">
        <v>85</v>
      </c>
      <c r="H372" s="8" t="n">
        <f aca="false">SUM(J372:AS372)</f>
        <v>1942.46575342466</v>
      </c>
      <c r="J372" s="8" t="n">
        <f aca="false">($E$62+$E$63)*(J$361=YEAR(Inputs!$E$27))</f>
        <v>0</v>
      </c>
      <c r="K372" s="8" t="n">
        <f aca="false">($E$62+$E$63)*(K$361=YEAR(Inputs!$E$27))</f>
        <v>0</v>
      </c>
      <c r="L372" s="8" t="n">
        <f aca="false">($E$62+$E$63)*(L$361=YEAR(Inputs!$E$27))</f>
        <v>0</v>
      </c>
      <c r="M372" s="8" t="n">
        <f aca="false">($E$62+$E$63)*(M$361=YEAR(Inputs!$E$27))</f>
        <v>0</v>
      </c>
      <c r="N372" s="8" t="n">
        <f aca="false">($E$62+$E$63)*(N$361=YEAR(Inputs!$E$27))</f>
        <v>0</v>
      </c>
      <c r="O372" s="8" t="n">
        <f aca="false">($E$62+$E$63)*(O$361=YEAR(Inputs!$E$27))</f>
        <v>0</v>
      </c>
      <c r="P372" s="8" t="n">
        <f aca="false">($E$62+$E$63)*(P$361=YEAR(Inputs!$E$27))</f>
        <v>0</v>
      </c>
      <c r="Q372" s="8" t="n">
        <f aca="false">($E$62+$E$63)*(Q$361=YEAR(Inputs!$E$27))</f>
        <v>1942.46575342466</v>
      </c>
      <c r="R372" s="8" t="n">
        <f aca="false">($E$62+$E$63)*(R$361=YEAR(Inputs!$E$27))</f>
        <v>0</v>
      </c>
      <c r="S372" s="8" t="n">
        <f aca="false">($E$62+$E$63)*(S$361=YEAR(Inputs!$E$27))</f>
        <v>0</v>
      </c>
      <c r="T372" s="8" t="n">
        <f aca="false">($E$62+$E$63)*(T$361=YEAR(Inputs!$E$27))</f>
        <v>0</v>
      </c>
      <c r="U372" s="8" t="n">
        <f aca="false">($E$62+$E$63)*(U$361=YEAR(Inputs!$E$27))</f>
        <v>0</v>
      </c>
      <c r="V372" s="8" t="n">
        <f aca="false">($E$62+$E$63)*(V$361=YEAR(Inputs!$E$27))</f>
        <v>0</v>
      </c>
      <c r="W372" s="8" t="n">
        <f aca="false">($E$62+$E$63)*(W$361=YEAR(Inputs!$E$27))</f>
        <v>0</v>
      </c>
      <c r="X372" s="8" t="n">
        <f aca="false">($E$62+$E$63)*(X$361=YEAR(Inputs!$E$27))</f>
        <v>0</v>
      </c>
      <c r="Y372" s="8" t="n">
        <f aca="false">($E$62+$E$63)*(Y$361=YEAR(Inputs!$E$27))</f>
        <v>0</v>
      </c>
      <c r="Z372" s="8" t="n">
        <f aca="false">($E$62+$E$63)*(Z$361=YEAR(Inputs!$E$27))</f>
        <v>0</v>
      </c>
      <c r="AA372" s="8" t="n">
        <f aca="false">($E$62+$E$63)*(AA$361=YEAR(Inputs!$E$27))</f>
        <v>0</v>
      </c>
      <c r="AB372" s="8" t="n">
        <f aca="false">($E$62+$E$63)*(AB$361=YEAR(Inputs!$E$27))</f>
        <v>0</v>
      </c>
      <c r="AC372" s="8" t="n">
        <f aca="false">($E$62+$E$63)*(AC$361=YEAR(Inputs!$E$27))</f>
        <v>0</v>
      </c>
      <c r="AD372" s="8" t="n">
        <f aca="false">($E$62+$E$63)*(AD$361=YEAR(Inputs!$E$27))</f>
        <v>0</v>
      </c>
      <c r="AE372" s="8" t="n">
        <f aca="false">($E$62+$E$63)*(AE$361=YEAR(Inputs!$E$27))</f>
        <v>0</v>
      </c>
      <c r="AF372" s="8" t="n">
        <f aca="false">($E$62+$E$63)*(AF$361=YEAR(Inputs!$E$27))</f>
        <v>0</v>
      </c>
      <c r="AG372" s="8" t="n">
        <f aca="false">($E$62+$E$63)*(AG$361=YEAR(Inputs!$E$27))</f>
        <v>0</v>
      </c>
      <c r="AH372" s="8" t="n">
        <f aca="false">($E$62+$E$63)*(AH$361=YEAR(Inputs!$E$27))</f>
        <v>0</v>
      </c>
      <c r="AI372" s="8" t="n">
        <f aca="false">($E$62+$E$63)*(AI$361=YEAR(Inputs!$E$27))</f>
        <v>0</v>
      </c>
      <c r="AJ372" s="8" t="n">
        <f aca="false">($E$62+$E$63)*(AJ$361=YEAR(Inputs!$E$27))</f>
        <v>0</v>
      </c>
      <c r="AK372" s="8" t="n">
        <f aca="false">($E$62+$E$63)*(AK$361=YEAR(Inputs!$E$27))</f>
        <v>0</v>
      </c>
      <c r="AL372" s="8" t="n">
        <f aca="false">($E$62+$E$63)*(AL$361=YEAR(Inputs!$E$27))</f>
        <v>0</v>
      </c>
      <c r="AM372" s="8" t="n">
        <f aca="false">($E$62+$E$63)*(AM$361=YEAR(Inputs!$E$27))</f>
        <v>0</v>
      </c>
      <c r="AN372" s="8" t="n">
        <f aca="false">($E$62+$E$63)*(AN$361=YEAR(Inputs!$E$27))</f>
        <v>0</v>
      </c>
      <c r="AO372" s="8" t="n">
        <f aca="false">($E$62+$E$63)*(AO$361=YEAR(Inputs!$E$27))</f>
        <v>0</v>
      </c>
      <c r="AP372" s="8" t="n">
        <f aca="false">($E$62+$E$63)*(AP$361=YEAR(Inputs!$E$27))</f>
        <v>0</v>
      </c>
      <c r="AQ372" s="8" t="n">
        <f aca="false">($E$62+$E$63)*(AQ$361=YEAR(Inputs!$E$27))</f>
        <v>0</v>
      </c>
      <c r="AR372" s="8" t="n">
        <f aca="false">($E$62+$E$63)*(AR$361=YEAR(Inputs!$E$27))</f>
        <v>0</v>
      </c>
      <c r="AS372" s="8" t="n">
        <f aca="false">($E$62+$E$63)*(AS$361=YEAR(Inputs!$E$27))</f>
        <v>0</v>
      </c>
    </row>
    <row r="373" customFormat="false" ht="14.25" hidden="false" customHeight="false" outlineLevel="0" collapsed="false">
      <c r="C373" s="6" t="s">
        <v>300</v>
      </c>
      <c r="D373" s="2" t="s">
        <v>85</v>
      </c>
      <c r="H373" s="8" t="n">
        <f aca="false">SUM(J373:AS373)</f>
        <v>-52778</v>
      </c>
      <c r="J373" s="8" t="n">
        <f aca="false">-$E$91*J367</f>
        <v>-0</v>
      </c>
      <c r="K373" s="8" t="n">
        <f aca="false">-$E$91*K367</f>
        <v>-0</v>
      </c>
      <c r="L373" s="8" t="n">
        <f aca="false">-$E$91*L367</f>
        <v>-0</v>
      </c>
      <c r="M373" s="8" t="n">
        <f aca="false">-$E$91*M367</f>
        <v>-13194.5</v>
      </c>
      <c r="N373" s="8" t="n">
        <f aca="false">-$E$91*N367</f>
        <v>-26389</v>
      </c>
      <c r="O373" s="8" t="n">
        <f aca="false">-$E$91*O367</f>
        <v>-13194.5</v>
      </c>
      <c r="P373" s="8" t="n">
        <f aca="false">-$E$91*P367</f>
        <v>-0</v>
      </c>
      <c r="Q373" s="8" t="n">
        <f aca="false">-$E$91*Q367</f>
        <v>-0</v>
      </c>
      <c r="R373" s="8" t="n">
        <f aca="false">-$E$91*R367</f>
        <v>-0</v>
      </c>
      <c r="S373" s="8" t="n">
        <f aca="false">-$E$91*S367</f>
        <v>-0</v>
      </c>
      <c r="T373" s="8" t="n">
        <f aca="false">-$E$91*T367</f>
        <v>-0</v>
      </c>
      <c r="U373" s="8" t="n">
        <f aca="false">-$E$91*U367</f>
        <v>-0</v>
      </c>
      <c r="V373" s="8" t="n">
        <f aca="false">-$E$91*V367</f>
        <v>-0</v>
      </c>
      <c r="W373" s="8" t="n">
        <f aca="false">-$E$91*W367</f>
        <v>-0</v>
      </c>
      <c r="X373" s="8" t="n">
        <f aca="false">-$E$91*X367</f>
        <v>-0</v>
      </c>
      <c r="Y373" s="8" t="n">
        <f aca="false">-$E$91*Y367</f>
        <v>-0</v>
      </c>
      <c r="Z373" s="8" t="n">
        <f aca="false">-$E$91*Z367</f>
        <v>-0</v>
      </c>
      <c r="AA373" s="8" t="n">
        <f aca="false">-$E$91*AA367</f>
        <v>-0</v>
      </c>
      <c r="AB373" s="8" t="n">
        <f aca="false">-$E$91*AB367</f>
        <v>-0</v>
      </c>
      <c r="AC373" s="8" t="n">
        <f aca="false">-$E$91*AC367</f>
        <v>-0</v>
      </c>
      <c r="AD373" s="8" t="n">
        <f aca="false">-$E$91*AD367</f>
        <v>-0</v>
      </c>
      <c r="AE373" s="8" t="n">
        <f aca="false">-$E$91*AE367</f>
        <v>-0</v>
      </c>
      <c r="AF373" s="8" t="n">
        <f aca="false">-$E$91*AF367</f>
        <v>-0</v>
      </c>
      <c r="AG373" s="8" t="n">
        <f aca="false">-$E$91*AG367</f>
        <v>-0</v>
      </c>
      <c r="AH373" s="8" t="n">
        <f aca="false">-$E$91*AH367</f>
        <v>-0</v>
      </c>
      <c r="AI373" s="8" t="n">
        <f aca="false">-$E$91*AI367</f>
        <v>-0</v>
      </c>
      <c r="AJ373" s="8" t="n">
        <f aca="false">-$E$91*AJ367</f>
        <v>-0</v>
      </c>
      <c r="AK373" s="8" t="n">
        <f aca="false">-$E$91*AK367</f>
        <v>-0</v>
      </c>
      <c r="AL373" s="8" t="n">
        <f aca="false">-$E$91*AL367</f>
        <v>-0</v>
      </c>
      <c r="AM373" s="8" t="n">
        <f aca="false">-$E$91*AM367</f>
        <v>-0</v>
      </c>
      <c r="AN373" s="8" t="n">
        <f aca="false">-$E$91*AN367</f>
        <v>-0</v>
      </c>
      <c r="AO373" s="8" t="n">
        <f aca="false">-$E$91*AO367</f>
        <v>-0</v>
      </c>
      <c r="AP373" s="8" t="n">
        <f aca="false">-$E$91*AP367</f>
        <v>-0</v>
      </c>
      <c r="AQ373" s="8" t="n">
        <f aca="false">-$E$91*AQ367</f>
        <v>-0</v>
      </c>
      <c r="AR373" s="8" t="n">
        <f aca="false">-$E$91*AR367</f>
        <v>-0</v>
      </c>
      <c r="AS373" s="8" t="n">
        <f aca="false">-$E$91*AS367</f>
        <v>-0</v>
      </c>
    </row>
    <row r="374" customFormat="false" ht="14.25" hidden="false" customHeight="false" outlineLevel="0" collapsed="false">
      <c r="C374" s="6" t="s">
        <v>301</v>
      </c>
      <c r="D374" s="2" t="s">
        <v>85</v>
      </c>
      <c r="H374" s="8" t="n">
        <f aca="false">SUM(J374:AS374)</f>
        <v>-1000</v>
      </c>
      <c r="J374" s="8" t="n">
        <f aca="false">-$E$96*J370</f>
        <v>-0</v>
      </c>
      <c r="K374" s="8" t="n">
        <f aca="false">-$E$96*K370</f>
        <v>-0</v>
      </c>
      <c r="L374" s="8" t="n">
        <f aca="false">-$E$96*L370</f>
        <v>-0</v>
      </c>
      <c r="M374" s="8" t="n">
        <f aca="false">-$E$96*M370</f>
        <v>-0</v>
      </c>
      <c r="N374" s="8" t="n">
        <f aca="false">-$E$96*N370</f>
        <v>-0</v>
      </c>
      <c r="O374" s="8" t="n">
        <f aca="false">-$E$96*O370</f>
        <v>-1000</v>
      </c>
      <c r="P374" s="8" t="n">
        <f aca="false">-$E$96*P370</f>
        <v>-0</v>
      </c>
      <c r="Q374" s="8" t="n">
        <f aca="false">-$E$96*Q370</f>
        <v>-0</v>
      </c>
      <c r="R374" s="8" t="n">
        <f aca="false">-$E$96*R370</f>
        <v>-0</v>
      </c>
      <c r="S374" s="8" t="n">
        <f aca="false">-$E$96*S370</f>
        <v>-0</v>
      </c>
      <c r="T374" s="8" t="n">
        <f aca="false">-$E$96*T370</f>
        <v>-0</v>
      </c>
      <c r="U374" s="8" t="n">
        <f aca="false">-$E$96*U370</f>
        <v>-0</v>
      </c>
      <c r="V374" s="8" t="n">
        <f aca="false">-$E$96*V370</f>
        <v>-0</v>
      </c>
      <c r="W374" s="8" t="n">
        <f aca="false">-$E$96*W370</f>
        <v>-0</v>
      </c>
      <c r="X374" s="8" t="n">
        <f aca="false">-$E$96*X370</f>
        <v>-0</v>
      </c>
      <c r="Y374" s="8" t="n">
        <f aca="false">-$E$96*Y370</f>
        <v>-0</v>
      </c>
      <c r="Z374" s="8" t="n">
        <f aca="false">-$E$96*Z370</f>
        <v>-0</v>
      </c>
      <c r="AA374" s="8" t="n">
        <f aca="false">-$E$96*AA370</f>
        <v>-0</v>
      </c>
      <c r="AB374" s="8" t="n">
        <f aca="false">-$E$96*AB370</f>
        <v>-0</v>
      </c>
      <c r="AC374" s="8" t="n">
        <f aca="false">-$E$96*AC370</f>
        <v>-0</v>
      </c>
      <c r="AD374" s="8" t="n">
        <f aca="false">-$E$96*AD370</f>
        <v>-0</v>
      </c>
      <c r="AE374" s="8" t="n">
        <f aca="false">-$E$96*AE370</f>
        <v>-0</v>
      </c>
      <c r="AF374" s="8" t="n">
        <f aca="false">-$E$96*AF370</f>
        <v>-0</v>
      </c>
      <c r="AG374" s="8" t="n">
        <f aca="false">-$E$96*AG370</f>
        <v>-0</v>
      </c>
      <c r="AH374" s="8" t="n">
        <f aca="false">-$E$96*AH370</f>
        <v>-0</v>
      </c>
      <c r="AI374" s="8" t="n">
        <f aca="false">-$E$96*AI370</f>
        <v>-0</v>
      </c>
      <c r="AJ374" s="8" t="n">
        <f aca="false">-$E$96*AJ370</f>
        <v>-0</v>
      </c>
      <c r="AK374" s="8" t="n">
        <f aca="false">-$E$96*AK370</f>
        <v>-0</v>
      </c>
      <c r="AL374" s="8" t="n">
        <f aca="false">-$E$96*AL370</f>
        <v>-0</v>
      </c>
      <c r="AM374" s="8" t="n">
        <f aca="false">-$E$96*AM370</f>
        <v>-0</v>
      </c>
      <c r="AN374" s="8" t="n">
        <f aca="false">-$E$96*AN370</f>
        <v>-0</v>
      </c>
      <c r="AO374" s="8" t="n">
        <f aca="false">-$E$96*AO370</f>
        <v>-0</v>
      </c>
      <c r="AP374" s="8" t="n">
        <f aca="false">-$E$96*AP370</f>
        <v>-0</v>
      </c>
      <c r="AQ374" s="8" t="n">
        <f aca="false">-$E$96*AQ370</f>
        <v>-0</v>
      </c>
      <c r="AR374" s="8" t="n">
        <f aca="false">-$E$96*AR370</f>
        <v>-0</v>
      </c>
      <c r="AS374" s="8" t="n">
        <f aca="false">-$E$96*AS370</f>
        <v>-0</v>
      </c>
    </row>
    <row r="375" customFormat="false" ht="14.25" hidden="false" customHeight="false" outlineLevel="0" collapsed="false">
      <c r="C375" s="1" t="s">
        <v>302</v>
      </c>
      <c r="D375" s="2" t="s">
        <v>85</v>
      </c>
      <c r="H375" s="15" t="n">
        <f aca="false">SUM(J375:AS375)</f>
        <v>-72091.9337726027</v>
      </c>
      <c r="J375" s="15" t="n">
        <f aca="false">SUM(J371:J374)</f>
        <v>0</v>
      </c>
      <c r="K375" s="15" t="n">
        <f aca="false">SUM(K371:K374)</f>
        <v>0</v>
      </c>
      <c r="L375" s="15" t="n">
        <f aca="false">SUM(L371:L374)</f>
        <v>0</v>
      </c>
      <c r="M375" s="15" t="n">
        <f aca="false">SUM(M371:M374)</f>
        <v>-33450.8995260274</v>
      </c>
      <c r="N375" s="15" t="n">
        <f aca="false">SUM(N371:N374)</f>
        <v>-26389</v>
      </c>
      <c r="O375" s="15" t="n">
        <f aca="false">SUM(O371:O374)</f>
        <v>-14194.5</v>
      </c>
      <c r="P375" s="15" t="n">
        <f aca="false">SUM(P371:P374)</f>
        <v>0</v>
      </c>
      <c r="Q375" s="15" t="n">
        <f aca="false">SUM(Q371:Q374)</f>
        <v>1942.46575342466</v>
      </c>
      <c r="R375" s="15" t="n">
        <f aca="false">SUM(R371:R374)</f>
        <v>0</v>
      </c>
      <c r="S375" s="15" t="n">
        <f aca="false">SUM(S371:S374)</f>
        <v>0</v>
      </c>
      <c r="T375" s="15" t="n">
        <f aca="false">SUM(T371:T374)</f>
        <v>0</v>
      </c>
      <c r="U375" s="15" t="n">
        <f aca="false">SUM(U371:U374)</f>
        <v>0</v>
      </c>
      <c r="V375" s="15" t="n">
        <f aca="false">SUM(V371:V374)</f>
        <v>0</v>
      </c>
      <c r="W375" s="15" t="n">
        <f aca="false">SUM(W371:W374)</f>
        <v>0</v>
      </c>
      <c r="X375" s="15" t="n">
        <f aca="false">SUM(X371:X374)</f>
        <v>0</v>
      </c>
      <c r="Y375" s="15" t="n">
        <f aca="false">SUM(Y371:Y374)</f>
        <v>0</v>
      </c>
      <c r="Z375" s="15" t="n">
        <f aca="false">SUM(Z371:Z374)</f>
        <v>0</v>
      </c>
      <c r="AA375" s="15" t="n">
        <f aca="false">SUM(AA371:AA374)</f>
        <v>0</v>
      </c>
      <c r="AB375" s="15" t="n">
        <f aca="false">SUM(AB371:AB374)</f>
        <v>0</v>
      </c>
      <c r="AC375" s="15" t="n">
        <f aca="false">SUM(AC371:AC374)</f>
        <v>0</v>
      </c>
      <c r="AD375" s="15" t="n">
        <f aca="false">SUM(AD371:AD374)</f>
        <v>0</v>
      </c>
      <c r="AE375" s="15" t="n">
        <f aca="false">SUM(AE371:AE374)</f>
        <v>0</v>
      </c>
      <c r="AF375" s="15" t="n">
        <f aca="false">SUM(AF371:AF374)</f>
        <v>0</v>
      </c>
      <c r="AG375" s="15" t="n">
        <f aca="false">SUM(AG371:AG374)</f>
        <v>0</v>
      </c>
      <c r="AH375" s="15" t="n">
        <f aca="false">SUM(AH371:AH374)</f>
        <v>0</v>
      </c>
      <c r="AI375" s="15" t="n">
        <f aca="false">SUM(AI371:AI374)</f>
        <v>0</v>
      </c>
      <c r="AJ375" s="15" t="n">
        <f aca="false">SUM(AJ371:AJ374)</f>
        <v>0</v>
      </c>
      <c r="AK375" s="15" t="n">
        <f aca="false">SUM(AK371:AK374)</f>
        <v>0</v>
      </c>
      <c r="AL375" s="15" t="n">
        <f aca="false">SUM(AL371:AL374)</f>
        <v>0</v>
      </c>
      <c r="AM375" s="15" t="n">
        <f aca="false">SUM(AM371:AM374)</f>
        <v>0</v>
      </c>
      <c r="AN375" s="15" t="n">
        <f aca="false">SUM(AN371:AN374)</f>
        <v>0</v>
      </c>
      <c r="AO375" s="15" t="n">
        <f aca="false">SUM(AO371:AO374)</f>
        <v>0</v>
      </c>
      <c r="AP375" s="15" t="n">
        <f aca="false">SUM(AP371:AP374)</f>
        <v>0</v>
      </c>
      <c r="AQ375" s="15" t="n">
        <f aca="false">SUM(AQ371:AQ374)</f>
        <v>0</v>
      </c>
      <c r="AR375" s="15" t="n">
        <f aca="false">SUM(AR371:AR374)</f>
        <v>0</v>
      </c>
      <c r="AS375" s="15" t="n">
        <f aca="false">SUM(AS371:AS374)</f>
        <v>0</v>
      </c>
    </row>
    <row r="376" customFormat="false" ht="14.25" hidden="false" customHeight="false" outlineLevel="0" collapsed="false">
      <c r="C376" s="6" t="s">
        <v>303</v>
      </c>
      <c r="D376" s="2" t="s">
        <v>3</v>
      </c>
      <c r="J376" s="77" t="n">
        <f aca="false">(1-Degradation)^MAX(J365-1,0)</f>
        <v>1</v>
      </c>
      <c r="K376" s="77" t="n">
        <f aca="false">(1-Degradation)^MAX(K365-1,0)</f>
        <v>1</v>
      </c>
      <c r="L376" s="77" t="n">
        <f aca="false">(1-Degradation)^MAX(L365-1,0)</f>
        <v>1</v>
      </c>
      <c r="M376" s="77" t="n">
        <f aca="false">(1-Degradation)^MAX(M365-1,0)</f>
        <v>1</v>
      </c>
      <c r="N376" s="77" t="n">
        <f aca="false">(1-Degradation)^MAX(N365-1,0)</f>
        <v>1</v>
      </c>
      <c r="O376" s="77" t="n">
        <f aca="false">(1-Degradation)^MAX(O365-1,0)</f>
        <v>1</v>
      </c>
      <c r="P376" s="77" t="n">
        <f aca="false">(1-Degradation)^MAX(P365-1,0)</f>
        <v>1</v>
      </c>
      <c r="Q376" s="77" t="n">
        <f aca="false">(1-Degradation)^MAX(Q365-1,0)</f>
        <v>0.997</v>
      </c>
      <c r="R376" s="77" t="n">
        <f aca="false">(1-Degradation)^MAX(R365-1,0)</f>
        <v>0.994009</v>
      </c>
      <c r="S376" s="77" t="n">
        <f aca="false">(1-Degradation)^MAX(S365-1,0)</f>
        <v>0.991026973</v>
      </c>
      <c r="T376" s="77" t="n">
        <f aca="false">(1-Degradation)^MAX(T365-1,0)</f>
        <v>0.988053892081</v>
      </c>
      <c r="U376" s="77" t="n">
        <f aca="false">(1-Degradation)^MAX(U365-1,0)</f>
        <v>0.985089730404757</v>
      </c>
      <c r="V376" s="77" t="n">
        <f aca="false">(1-Degradation)^MAX(V365-1,0)</f>
        <v>0.982134461213543</v>
      </c>
      <c r="W376" s="77" t="n">
        <f aca="false">(1-Degradation)^MAX(W365-1,0)</f>
        <v>0.979188057829902</v>
      </c>
      <c r="X376" s="77" t="n">
        <f aca="false">(1-Degradation)^MAX(X365-1,0)</f>
        <v>0.976250493656412</v>
      </c>
      <c r="Y376" s="77" t="n">
        <f aca="false">(1-Degradation)^MAX(Y365-1,0)</f>
        <v>0.973321742175443</v>
      </c>
      <c r="Z376" s="77" t="n">
        <f aca="false">(1-Degradation)^MAX(Z365-1,0)</f>
        <v>0.970401776948917</v>
      </c>
      <c r="AA376" s="77" t="n">
        <f aca="false">(1-Degradation)^MAX(AA365-1,0)</f>
        <v>0.96749057161807</v>
      </c>
      <c r="AB376" s="77" t="n">
        <f aca="false">(1-Degradation)^MAX(AB365-1,0)</f>
        <v>0.964588099903216</v>
      </c>
      <c r="AC376" s="77" t="n">
        <f aca="false">(1-Degradation)^MAX(AC365-1,0)</f>
        <v>0.961694335603506</v>
      </c>
      <c r="AD376" s="77" t="n">
        <f aca="false">(1-Degradation)^MAX(AD365-1,0)</f>
        <v>0.958809252596696</v>
      </c>
      <c r="AE376" s="77" t="n">
        <f aca="false">(1-Degradation)^MAX(AE365-1,0)</f>
        <v>0.955932824838906</v>
      </c>
      <c r="AF376" s="77" t="n">
        <f aca="false">(1-Degradation)^MAX(AF365-1,0)</f>
        <v>0.953065026364389</v>
      </c>
      <c r="AG376" s="77" t="n">
        <f aca="false">(1-Degradation)^MAX(AG365-1,0)</f>
        <v>0.950205831285296</v>
      </c>
      <c r="AH376" s="77" t="n">
        <f aca="false">(1-Degradation)^MAX(AH365-1,0)</f>
        <v>0.94735521379144</v>
      </c>
      <c r="AI376" s="77" t="n">
        <f aca="false">(1-Degradation)^MAX(AI365-1,0)</f>
        <v>0.944513148150066</v>
      </c>
      <c r="AJ376" s="77" t="n">
        <f aca="false">(1-Degradation)^MAX(AJ365-1,0)</f>
        <v>0.941679608705615</v>
      </c>
      <c r="AK376" s="77" t="n">
        <f aca="false">(1-Degradation)^MAX(AK365-1,0)</f>
        <v>0.938854569879498</v>
      </c>
      <c r="AL376" s="77" t="n">
        <f aca="false">(1-Degradation)^MAX(AL365-1,0)</f>
        <v>0.93603800616986</v>
      </c>
      <c r="AM376" s="77" t="n">
        <f aca="false">(1-Degradation)^MAX(AM365-1,0)</f>
        <v>0.93322989215135</v>
      </c>
      <c r="AN376" s="77" t="n">
        <f aca="false">(1-Degradation)^MAX(AN365-1,0)</f>
        <v>0.930430202474896</v>
      </c>
      <c r="AO376" s="77" t="n">
        <f aca="false">(1-Degradation)^MAX(AO365-1,0)</f>
        <v>0.927638911867472</v>
      </c>
      <c r="AP376" s="77" t="n">
        <f aca="false">(1-Degradation)^MAX(AP365-1,0)</f>
        <v>0.924855995131869</v>
      </c>
      <c r="AQ376" s="77" t="n">
        <f aca="false">(1-Degradation)^MAX(AQ365-1,0)</f>
        <v>0.922081427146474</v>
      </c>
      <c r="AR376" s="77" t="n">
        <f aca="false">(1-Degradation)^MAX(AR365-1,0)</f>
        <v>0.919315182865034</v>
      </c>
      <c r="AS376" s="77" t="n">
        <f aca="false">(1-Degradation)^MAX(AS365-1,0)</f>
        <v>0.916557237316439</v>
      </c>
    </row>
    <row r="377" customFormat="false" ht="14.25" hidden="false" customHeight="false" outlineLevel="0" collapsed="false">
      <c r="C377" s="6" t="s">
        <v>304</v>
      </c>
      <c r="D377" s="2" t="s">
        <v>305</v>
      </c>
      <c r="H377" s="17" t="n">
        <f aca="false">SUM(J377:AS377)</f>
        <v>3654.34185176978</v>
      </c>
      <c r="J377" s="17" t="n">
        <f aca="false">$E$46*$E$22*(1-Curtailment)*(1-Clipping)*J369*J376/Thousand</f>
        <v>0</v>
      </c>
      <c r="K377" s="17" t="n">
        <f aca="false">$E$46*$E$22*(1-Curtailment)*(1-Clipping)*K369*K376/Thousand</f>
        <v>0</v>
      </c>
      <c r="L377" s="17" t="n">
        <f aca="false">$E$46*$E$22*(1-Curtailment)*(1-Clipping)*L369*L376/Thousand</f>
        <v>0</v>
      </c>
      <c r="M377" s="17" t="n">
        <f aca="false">$E$46*$E$22*(1-Curtailment)*(1-Clipping)*M369*M376/Thousand</f>
        <v>0</v>
      </c>
      <c r="N377" s="17" t="n">
        <f aca="false">$E$46*$E$22*(1-Curtailment)*(1-Clipping)*N369*N376/Thousand</f>
        <v>0</v>
      </c>
      <c r="O377" s="17" t="n">
        <f aca="false">$E$46*$E$22*(1-Curtailment)*(1-Clipping)*O369*O376/Thousand</f>
        <v>63.504</v>
      </c>
      <c r="P377" s="17" t="n">
        <f aca="false">$E$46*$E$22*(1-Curtailment)*(1-Clipping)*P369*P376/Thousand</f>
        <v>127.008</v>
      </c>
      <c r="Q377" s="17" t="n">
        <f aca="false">$E$46*$E$22*(1-Curtailment)*(1-Clipping)*Q369*Q376/Thousand</f>
        <v>126.626976</v>
      </c>
      <c r="R377" s="17" t="n">
        <f aca="false">$E$46*$E$22*(1-Curtailment)*(1-Clipping)*R369*R376/Thousand</f>
        <v>126.247095072</v>
      </c>
      <c r="S377" s="17" t="n">
        <f aca="false">$E$46*$E$22*(1-Curtailment)*(1-Clipping)*S369*S376/Thousand</f>
        <v>125.868353786784</v>
      </c>
      <c r="T377" s="17" t="n">
        <f aca="false">$E$46*$E$22*(1-Curtailment)*(1-Clipping)*T369*T376/Thousand</f>
        <v>125.490748725424</v>
      </c>
      <c r="U377" s="17" t="n">
        <f aca="false">$E$46*$E$22*(1-Curtailment)*(1-Clipping)*U369*U376/Thousand</f>
        <v>125.114276479247</v>
      </c>
      <c r="V377" s="17" t="n">
        <f aca="false">$E$46*$E$22*(1-Curtailment)*(1-Clipping)*V369*V376/Thousand</f>
        <v>124.73893364981</v>
      </c>
      <c r="W377" s="17" t="n">
        <f aca="false">$E$46*$E$22*(1-Curtailment)*(1-Clipping)*W369*W376/Thousand</f>
        <v>124.36471684886</v>
      </c>
      <c r="X377" s="17" t="n">
        <f aca="false">$E$46*$E$22*(1-Curtailment)*(1-Clipping)*X369*X376/Thousand</f>
        <v>123.991622698314</v>
      </c>
      <c r="Y377" s="17" t="n">
        <f aca="false">$E$46*$E$22*(1-Curtailment)*(1-Clipping)*Y369*Y376/Thousand</f>
        <v>123.619647830219</v>
      </c>
      <c r="Z377" s="17" t="n">
        <f aca="false">$E$46*$E$22*(1-Curtailment)*(1-Clipping)*Z369*Z376/Thousand</f>
        <v>123.248788886728</v>
      </c>
      <c r="AA377" s="17" t="n">
        <f aca="false">$E$46*$E$22*(1-Curtailment)*(1-Clipping)*AA369*AA376/Thousand</f>
        <v>122.879042520068</v>
      </c>
      <c r="AB377" s="17" t="n">
        <f aca="false">$E$46*$E$22*(1-Curtailment)*(1-Clipping)*AB369*AB376/Thousand</f>
        <v>122.510405392508</v>
      </c>
      <c r="AC377" s="17" t="n">
        <f aca="false">$E$46*$E$22*(1-Curtailment)*(1-Clipping)*AC369*AC376/Thousand</f>
        <v>122.14287417633</v>
      </c>
      <c r="AD377" s="17" t="n">
        <f aca="false">$E$46*$E$22*(1-Curtailment)*(1-Clipping)*AD369*AD376/Thousand</f>
        <v>121.776445553801</v>
      </c>
      <c r="AE377" s="17" t="n">
        <f aca="false">$E$46*$E$22*(1-Curtailment)*(1-Clipping)*AE369*AE376/Thousand</f>
        <v>121.41111621714</v>
      </c>
      <c r="AF377" s="17" t="n">
        <f aca="false">$E$46*$E$22*(1-Curtailment)*(1-Clipping)*AF369*AF376/Thousand</f>
        <v>121.046882868488</v>
      </c>
      <c r="AG377" s="17" t="n">
        <f aca="false">$E$46*$E$22*(1-Curtailment)*(1-Clipping)*AG369*AG376/Thousand</f>
        <v>120.683742219883</v>
      </c>
      <c r="AH377" s="17" t="n">
        <f aca="false">$E$46*$E$22*(1-Curtailment)*(1-Clipping)*AH369*AH376/Thousand</f>
        <v>120.321690993223</v>
      </c>
      <c r="AI377" s="17" t="n">
        <f aca="false">$E$46*$E$22*(1-Curtailment)*(1-Clipping)*AI369*AI376/Thousand</f>
        <v>119.960725920244</v>
      </c>
      <c r="AJ377" s="17" t="n">
        <f aca="false">$E$46*$E$22*(1-Curtailment)*(1-Clipping)*AJ369*AJ376/Thousand</f>
        <v>119.600843742483</v>
      </c>
      <c r="AK377" s="17" t="n">
        <f aca="false">$E$46*$E$22*(1-Curtailment)*(1-Clipping)*AK369*AK376/Thousand</f>
        <v>119.242041211255</v>
      </c>
      <c r="AL377" s="17" t="n">
        <f aca="false">$E$46*$E$22*(1-Curtailment)*(1-Clipping)*AL369*AL376/Thousand</f>
        <v>118.884315087622</v>
      </c>
      <c r="AM377" s="17" t="n">
        <f aca="false">$E$46*$E$22*(1-Curtailment)*(1-Clipping)*AM369*AM376/Thousand</f>
        <v>118.527662142359</v>
      </c>
      <c r="AN377" s="17" t="n">
        <f aca="false">$E$46*$E$22*(1-Curtailment)*(1-Clipping)*AN369*AN376/Thousand</f>
        <v>118.172079155932</v>
      </c>
      <c r="AO377" s="17" t="n">
        <f aca="false">$E$46*$E$22*(1-Curtailment)*(1-Clipping)*AO369*AO376/Thousand</f>
        <v>117.817562918464</v>
      </c>
      <c r="AP377" s="17" t="n">
        <f aca="false">$E$46*$E$22*(1-Curtailment)*(1-Clipping)*AP369*AP376/Thousand</f>
        <v>117.464110229708</v>
      </c>
      <c r="AQ377" s="17" t="n">
        <f aca="false">$E$46*$E$22*(1-Curtailment)*(1-Clipping)*AQ369*AQ376/Thousand</f>
        <v>117.111717899019</v>
      </c>
      <c r="AR377" s="17" t="n">
        <f aca="false">$E$46*$E$22*(1-Curtailment)*(1-Clipping)*AR369*AR376/Thousand</f>
        <v>116.760382745322</v>
      </c>
      <c r="AS377" s="17" t="n">
        <f aca="false">$E$46*$E$22*(1-Curtailment)*(1-Clipping)*AS369*AS376/Thousand</f>
        <v>58.2050507985431</v>
      </c>
    </row>
    <row r="378" customFormat="false" ht="14.25" hidden="false" customHeight="false" outlineLevel="0" collapsed="false">
      <c r="C378" s="6" t="s">
        <v>306</v>
      </c>
      <c r="D378" s="2" t="s">
        <v>20</v>
      </c>
      <c r="J378" s="17" t="n">
        <f aca="false">Case_PPA*(1+PPA_Esc)^J365*(J369&gt;0)</f>
        <v>0</v>
      </c>
      <c r="K378" s="17" t="n">
        <f aca="false">Case_PPA*(1+PPA_Esc)^K365*(K369&gt;0)</f>
        <v>0</v>
      </c>
      <c r="L378" s="17" t="n">
        <f aca="false">Case_PPA*(1+PPA_Esc)^L365*(L369&gt;0)</f>
        <v>0</v>
      </c>
      <c r="M378" s="17" t="n">
        <f aca="false">Case_PPA*(1+PPA_Esc)^M365*(M369&gt;0)</f>
        <v>0</v>
      </c>
      <c r="N378" s="17" t="n">
        <f aca="false">Case_PPA*(1+PPA_Esc)^N365*(N369&gt;0)</f>
        <v>0</v>
      </c>
      <c r="O378" s="17" t="n">
        <f aca="false">Case_PPA*(1+PPA_Esc)^O365*(O369&gt;0)</f>
        <v>90</v>
      </c>
      <c r="P378" s="17" t="n">
        <f aca="false">Case_PPA*(1+PPA_Esc)^P365*(P369&gt;0)</f>
        <v>90.9</v>
      </c>
      <c r="Q378" s="17" t="n">
        <f aca="false">Case_PPA*(1+PPA_Esc)^Q365*(Q369&gt;0)</f>
        <v>91.809</v>
      </c>
      <c r="R378" s="17" t="n">
        <f aca="false">Case_PPA*(1+PPA_Esc)^R365*(R369&gt;0)</f>
        <v>92.72709</v>
      </c>
      <c r="S378" s="17" t="n">
        <f aca="false">Case_PPA*(1+PPA_Esc)^S365*(S369&gt;0)</f>
        <v>93.6543609</v>
      </c>
      <c r="T378" s="17" t="n">
        <f aca="false">Case_PPA*(1+PPA_Esc)^T365*(T369&gt;0)</f>
        <v>94.590904509</v>
      </c>
      <c r="U378" s="17" t="n">
        <f aca="false">Case_PPA*(1+PPA_Esc)^U365*(U369&gt;0)</f>
        <v>95.53681355409</v>
      </c>
      <c r="V378" s="17" t="n">
        <f aca="false">Case_PPA*(1+PPA_Esc)^V365*(V369&gt;0)</f>
        <v>96.4921816896309</v>
      </c>
      <c r="W378" s="17" t="n">
        <f aca="false">Case_PPA*(1+PPA_Esc)^W365*(W369&gt;0)</f>
        <v>97.4571035065272</v>
      </c>
      <c r="X378" s="17" t="n">
        <f aca="false">Case_PPA*(1+PPA_Esc)^X365*(X369&gt;0)</f>
        <v>98.4316745415925</v>
      </c>
      <c r="Y378" s="17" t="n">
        <f aca="false">Case_PPA*(1+PPA_Esc)^Y365*(Y369&gt;0)</f>
        <v>99.4159912870084</v>
      </c>
      <c r="Z378" s="17" t="n">
        <f aca="false">Case_PPA*(1+PPA_Esc)^Z365*(Z369&gt;0)</f>
        <v>100.410151199878</v>
      </c>
      <c r="AA378" s="17" t="n">
        <f aca="false">Case_PPA*(1+PPA_Esc)^AA365*(AA369&gt;0)</f>
        <v>101.414252711877</v>
      </c>
      <c r="AB378" s="17" t="n">
        <f aca="false">Case_PPA*(1+PPA_Esc)^AB365*(AB369&gt;0)</f>
        <v>102.428395238996</v>
      </c>
      <c r="AC378" s="17" t="n">
        <f aca="false">Case_PPA*(1+PPA_Esc)^AC365*(AC369&gt;0)</f>
        <v>103.452679191386</v>
      </c>
      <c r="AD378" s="17" t="n">
        <f aca="false">Case_PPA*(1+PPA_Esc)^AD365*(AD369&gt;0)</f>
        <v>104.4872059833</v>
      </c>
      <c r="AE378" s="17" t="n">
        <f aca="false">Case_PPA*(1+PPA_Esc)^AE365*(AE369&gt;0)</f>
        <v>105.532078043133</v>
      </c>
      <c r="AF378" s="17" t="n">
        <f aca="false">Case_PPA*(1+PPA_Esc)^AF365*(AF369&gt;0)</f>
        <v>106.587398823564</v>
      </c>
      <c r="AG378" s="17" t="n">
        <f aca="false">Case_PPA*(1+PPA_Esc)^AG365*(AG369&gt;0)</f>
        <v>107.6532728118</v>
      </c>
      <c r="AH378" s="17" t="n">
        <f aca="false">Case_PPA*(1+PPA_Esc)^AH365*(AH369&gt;0)</f>
        <v>108.729805539918</v>
      </c>
      <c r="AI378" s="17" t="n">
        <f aca="false">Case_PPA*(1+PPA_Esc)^AI365*(AI369&gt;0)</f>
        <v>109.817103595317</v>
      </c>
      <c r="AJ378" s="17" t="n">
        <f aca="false">Case_PPA*(1+PPA_Esc)^AJ365*(AJ369&gt;0)</f>
        <v>110.91527463127</v>
      </c>
      <c r="AK378" s="17" t="n">
        <f aca="false">Case_PPA*(1+PPA_Esc)^AK365*(AK369&gt;0)</f>
        <v>112.024427377583</v>
      </c>
      <c r="AL378" s="17" t="n">
        <f aca="false">Case_PPA*(1+PPA_Esc)^AL365*(AL369&gt;0)</f>
        <v>113.144671651359</v>
      </c>
      <c r="AM378" s="17" t="n">
        <f aca="false">Case_PPA*(1+PPA_Esc)^AM365*(AM369&gt;0)</f>
        <v>114.276118367872</v>
      </c>
      <c r="AN378" s="17" t="n">
        <f aca="false">Case_PPA*(1+PPA_Esc)^AN365*(AN369&gt;0)</f>
        <v>115.418879551551</v>
      </c>
      <c r="AO378" s="17" t="n">
        <f aca="false">Case_PPA*(1+PPA_Esc)^AO365*(AO369&gt;0)</f>
        <v>116.573068347067</v>
      </c>
      <c r="AP378" s="17" t="n">
        <f aca="false">Case_PPA*(1+PPA_Esc)^AP365*(AP369&gt;0)</f>
        <v>117.738799030537</v>
      </c>
      <c r="AQ378" s="17" t="n">
        <f aca="false">Case_PPA*(1+PPA_Esc)^AQ365*(AQ369&gt;0)</f>
        <v>118.916187020843</v>
      </c>
      <c r="AR378" s="17" t="n">
        <f aca="false">Case_PPA*(1+PPA_Esc)^AR365*(AR369&gt;0)</f>
        <v>120.105348891051</v>
      </c>
      <c r="AS378" s="17" t="n">
        <f aca="false">Case_PPA*(1+PPA_Esc)^AS365*(AS369&gt;0)</f>
        <v>121.306402379962</v>
      </c>
    </row>
    <row r="379" customFormat="false" ht="14.25" hidden="false" customHeight="false" outlineLevel="0" collapsed="false">
      <c r="C379" s="1" t="s">
        <v>158</v>
      </c>
      <c r="D379" s="2" t="s">
        <v>85</v>
      </c>
      <c r="H379" s="32" t="n">
        <f aca="false">SUM(J379:AS379)</f>
        <v>382397.730625247</v>
      </c>
      <c r="J379" s="32" t="n">
        <f aca="false">J377*J378</f>
        <v>0</v>
      </c>
      <c r="K379" s="32" t="n">
        <f aca="false">K377*K378</f>
        <v>0</v>
      </c>
      <c r="L379" s="32" t="n">
        <f aca="false">L377*L378</f>
        <v>0</v>
      </c>
      <c r="M379" s="32" t="n">
        <f aca="false">M377*M378</f>
        <v>0</v>
      </c>
      <c r="N379" s="32" t="n">
        <f aca="false">N377*N378</f>
        <v>0</v>
      </c>
      <c r="O379" s="32" t="n">
        <f aca="false">O377*O378</f>
        <v>5715.36</v>
      </c>
      <c r="P379" s="32" t="n">
        <f aca="false">P377*P378</f>
        <v>11545.0272</v>
      </c>
      <c r="Q379" s="32" t="n">
        <f aca="false">Q377*Q378</f>
        <v>11625.496039584</v>
      </c>
      <c r="R379" s="32" t="n">
        <f aca="false">R377*R378</f>
        <v>11706.5257469799</v>
      </c>
      <c r="S379" s="32" t="n">
        <f aca="false">S377*S378</f>
        <v>11788.1202314363</v>
      </c>
      <c r="T379" s="32" t="n">
        <f aca="false">T377*T378</f>
        <v>11870.2834294495</v>
      </c>
      <c r="U379" s="32" t="n">
        <f aca="false">U377*U378</f>
        <v>11953.0193049527</v>
      </c>
      <c r="V379" s="32" t="n">
        <f aca="false">V377*V378</f>
        <v>12036.3318495082</v>
      </c>
      <c r="W379" s="32" t="n">
        <f aca="false">W377*W378</f>
        <v>12120.2250824993</v>
      </c>
      <c r="X379" s="32" t="n">
        <f aca="false">X377*X378</f>
        <v>12204.7030513243</v>
      </c>
      <c r="Y379" s="32" t="n">
        <f aca="false">Y377*Y378</f>
        <v>12289.7698315921</v>
      </c>
      <c r="Z379" s="32" t="n">
        <f aca="false">Z377*Z378</f>
        <v>12375.4295273183</v>
      </c>
      <c r="AA379" s="32" t="n">
        <f aca="false">AA377*AA378</f>
        <v>12461.6862711237</v>
      </c>
      <c r="AB379" s="32" t="n">
        <f aca="false">AB377*AB378</f>
        <v>12548.5442244334</v>
      </c>
      <c r="AC379" s="32" t="n">
        <f aca="false">AC377*AC378</f>
        <v>12636.0075776777</v>
      </c>
      <c r="AD379" s="32" t="n">
        <f aca="false">AD377*AD378</f>
        <v>12724.0805504941</v>
      </c>
      <c r="AE379" s="32" t="n">
        <f aca="false">AE377*AE378</f>
        <v>12812.7673919311</v>
      </c>
      <c r="AF379" s="32" t="n">
        <f aca="false">AF377*AF378</f>
        <v>12902.0723806528</v>
      </c>
      <c r="AG379" s="32" t="n">
        <f aca="false">AG377*AG378</f>
        <v>12991.999825146</v>
      </c>
      <c r="AH379" s="32" t="n">
        <f aca="false">AH377*AH378</f>
        <v>13082.5540639272</v>
      </c>
      <c r="AI379" s="32" t="n">
        <f aca="false">AI377*AI378</f>
        <v>13173.7394657528</v>
      </c>
      <c r="AJ379" s="32" t="n">
        <f aca="false">AJ377*AJ378</f>
        <v>13265.5604298291</v>
      </c>
      <c r="AK379" s="32" t="n">
        <f aca="false">AK377*AK378</f>
        <v>13358.021386025</v>
      </c>
      <c r="AL379" s="32" t="n">
        <f aca="false">AL377*AL378</f>
        <v>13451.1267950856</v>
      </c>
      <c r="AM379" s="32" t="n">
        <f aca="false">AM377*AM378</f>
        <v>13544.8811488474</v>
      </c>
      <c r="AN379" s="32" t="n">
        <f aca="false">AN377*AN378</f>
        <v>13639.2889704548</v>
      </c>
      <c r="AO379" s="32" t="n">
        <f aca="false">AO377*AO378</f>
        <v>13734.3548145789</v>
      </c>
      <c r="AP379" s="32" t="n">
        <f aca="false">AP377*AP378</f>
        <v>13830.0832676365</v>
      </c>
      <c r="AQ379" s="32" t="n">
        <f aca="false">AQ377*AQ378</f>
        <v>13926.4789480119</v>
      </c>
      <c r="AR379" s="32" t="n">
        <f aca="false">AR377*AR378</f>
        <v>14023.5465062796</v>
      </c>
      <c r="AS379" s="32" t="n">
        <f aca="false">AS377*AS378</f>
        <v>7060.64531271418</v>
      </c>
    </row>
    <row r="380" customFormat="false" ht="14.25" hidden="false" customHeight="false" outlineLevel="0" collapsed="false">
      <c r="C380" s="6" t="s">
        <v>307</v>
      </c>
      <c r="D380" s="2" t="s">
        <v>3</v>
      </c>
      <c r="J380" s="77" t="n">
        <f aca="false">(1+Opex_Esc)^J365</f>
        <v>0.883854287609517</v>
      </c>
      <c r="K380" s="77" t="n">
        <f aca="false">(1+Opex_Esc)^K365</f>
        <v>0.905950644799755</v>
      </c>
      <c r="L380" s="77" t="n">
        <f aca="false">(1+Opex_Esc)^L365</f>
        <v>0.928599410919749</v>
      </c>
      <c r="M380" s="77" t="n">
        <f aca="false">(1+Opex_Esc)^M365</f>
        <v>0.951814396192743</v>
      </c>
      <c r="N380" s="77" t="n">
        <f aca="false">(1+Opex_Esc)^N365</f>
        <v>0.975609756097561</v>
      </c>
      <c r="O380" s="77" t="n">
        <f aca="false">(1+Opex_Esc)^O365</f>
        <v>1</v>
      </c>
      <c r="P380" s="77" t="n">
        <f aca="false">(1+Opex_Esc)^P365</f>
        <v>1.025</v>
      </c>
      <c r="Q380" s="77" t="n">
        <f aca="false">(1+Opex_Esc)^Q365</f>
        <v>1.050625</v>
      </c>
      <c r="R380" s="77" t="n">
        <f aca="false">(1+Opex_Esc)^R365</f>
        <v>1.076890625</v>
      </c>
      <c r="S380" s="77" t="n">
        <f aca="false">(1+Opex_Esc)^S365</f>
        <v>1.103812890625</v>
      </c>
      <c r="T380" s="77" t="n">
        <f aca="false">(1+Opex_Esc)^T365</f>
        <v>1.13140821289062</v>
      </c>
      <c r="U380" s="77" t="n">
        <f aca="false">(1+Opex_Esc)^U365</f>
        <v>1.15969341821289</v>
      </c>
      <c r="V380" s="77" t="n">
        <f aca="false">(1+Opex_Esc)^V365</f>
        <v>1.18868575366821</v>
      </c>
      <c r="W380" s="77" t="n">
        <f aca="false">(1+Opex_Esc)^W365</f>
        <v>1.21840289750992</v>
      </c>
      <c r="X380" s="77" t="n">
        <f aca="false">(1+Opex_Esc)^X365</f>
        <v>1.24886296994767</v>
      </c>
      <c r="Y380" s="77" t="n">
        <f aca="false">(1+Opex_Esc)^Y365</f>
        <v>1.28008454419636</v>
      </c>
      <c r="Z380" s="77" t="n">
        <f aca="false">(1+Opex_Esc)^Z365</f>
        <v>1.31208665780127</v>
      </c>
      <c r="AA380" s="77" t="n">
        <f aca="false">(1+Opex_Esc)^AA365</f>
        <v>1.3448888242463</v>
      </c>
      <c r="AB380" s="77" t="n">
        <f aca="false">(1+Opex_Esc)^AB365</f>
        <v>1.37851104485245</v>
      </c>
      <c r="AC380" s="77" t="n">
        <f aca="false">(1+Opex_Esc)^AC365</f>
        <v>1.41297382097377</v>
      </c>
      <c r="AD380" s="77" t="n">
        <f aca="false">(1+Opex_Esc)^AD365</f>
        <v>1.44829816649811</v>
      </c>
      <c r="AE380" s="77" t="n">
        <f aca="false">(1+Opex_Esc)^AE365</f>
        <v>1.48450562066056</v>
      </c>
      <c r="AF380" s="77" t="n">
        <f aca="false">(1+Opex_Esc)^AF365</f>
        <v>1.52161826117708</v>
      </c>
      <c r="AG380" s="77" t="n">
        <f aca="false">(1+Opex_Esc)^AG365</f>
        <v>1.5596587177065</v>
      </c>
      <c r="AH380" s="77" t="n">
        <f aca="false">(1+Opex_Esc)^AH365</f>
        <v>1.59865018564917</v>
      </c>
      <c r="AI380" s="77" t="n">
        <f aca="false">(1+Opex_Esc)^AI365</f>
        <v>1.63861644029039</v>
      </c>
      <c r="AJ380" s="77" t="n">
        <f aca="false">(1+Opex_Esc)^AJ365</f>
        <v>1.67958185129765</v>
      </c>
      <c r="AK380" s="77" t="n">
        <f aca="false">(1+Opex_Esc)^AK365</f>
        <v>1.7215713975801</v>
      </c>
      <c r="AL380" s="77" t="n">
        <f aca="false">(1+Opex_Esc)^AL365</f>
        <v>1.7646106825196</v>
      </c>
      <c r="AM380" s="77" t="n">
        <f aca="false">(1+Opex_Esc)^AM365</f>
        <v>1.80872594958259</v>
      </c>
      <c r="AN380" s="77" t="n">
        <f aca="false">(1+Opex_Esc)^AN365</f>
        <v>1.85394409832215</v>
      </c>
      <c r="AO380" s="77" t="n">
        <f aca="false">(1+Opex_Esc)^AO365</f>
        <v>1.90029270078021</v>
      </c>
      <c r="AP380" s="77" t="n">
        <f aca="false">(1+Opex_Esc)^AP365</f>
        <v>1.94780001829971</v>
      </c>
      <c r="AQ380" s="77" t="n">
        <f aca="false">(1+Opex_Esc)^AQ365</f>
        <v>1.9964950187572</v>
      </c>
      <c r="AR380" s="77" t="n">
        <f aca="false">(1+Opex_Esc)^AR365</f>
        <v>2.04640739422613</v>
      </c>
      <c r="AS380" s="77" t="n">
        <f aca="false">(1+Opex_Esc)^AS365</f>
        <v>2.09756757908179</v>
      </c>
    </row>
    <row r="381" customFormat="false" ht="14.25" hidden="false" customHeight="false" outlineLevel="0" collapsed="false">
      <c r="C381" s="6" t="s">
        <v>308</v>
      </c>
      <c r="D381" s="2" t="s">
        <v>85</v>
      </c>
      <c r="H381" s="8" t="n">
        <f aca="false">SUM(J381:AS381)</f>
        <v>-60009.5073862969</v>
      </c>
      <c r="J381" s="8" t="n">
        <f aca="false">-(Case_OM+SUM(Opex_Per_MW))*$E$46*J380*J369</f>
        <v>-0</v>
      </c>
      <c r="K381" s="8" t="n">
        <f aca="false">-(Case_OM+SUM(Opex_Per_MW))*$E$46*K380*K369</f>
        <v>-0</v>
      </c>
      <c r="L381" s="8" t="n">
        <f aca="false">-(Case_OM+SUM(Opex_Per_MW))*$E$46*L380*L369</f>
        <v>-0</v>
      </c>
      <c r="M381" s="8" t="n">
        <f aca="false">-(Case_OM+SUM(Opex_Per_MW))*$E$46*M380*M369</f>
        <v>-0</v>
      </c>
      <c r="N381" s="8" t="n">
        <f aca="false">-(Case_OM+SUM(Opex_Per_MW))*$E$46*N380*N369</f>
        <v>-0</v>
      </c>
      <c r="O381" s="8" t="n">
        <f aca="false">-(Case_OM+SUM(Opex_Per_MW))*$E$46*O380*O369</f>
        <v>-675</v>
      </c>
      <c r="P381" s="8" t="n">
        <f aca="false">-(Case_OM+SUM(Opex_Per_MW))*$E$46*P380*P369</f>
        <v>-1383.75</v>
      </c>
      <c r="Q381" s="8" t="n">
        <f aca="false">-(Case_OM+SUM(Opex_Per_MW))*$E$46*Q380*Q369</f>
        <v>-1418.34375</v>
      </c>
      <c r="R381" s="8" t="n">
        <f aca="false">-(Case_OM+SUM(Opex_Per_MW))*$E$46*R380*R369</f>
        <v>-1453.80234375</v>
      </c>
      <c r="S381" s="8" t="n">
        <f aca="false">-(Case_OM+SUM(Opex_Per_MW))*$E$46*S380*S369</f>
        <v>-1490.14740234375</v>
      </c>
      <c r="T381" s="8" t="n">
        <f aca="false">-(Case_OM+SUM(Opex_Per_MW))*$E$46*T380*T369</f>
        <v>-1527.40108740234</v>
      </c>
      <c r="U381" s="8" t="n">
        <f aca="false">-(Case_OM+SUM(Opex_Per_MW))*$E$46*U380*U369</f>
        <v>-1565.5861145874</v>
      </c>
      <c r="V381" s="8" t="n">
        <f aca="false">-(Case_OM+SUM(Opex_Per_MW))*$E$46*V380*V369</f>
        <v>-1604.72576745209</v>
      </c>
      <c r="W381" s="8" t="n">
        <f aca="false">-(Case_OM+SUM(Opex_Per_MW))*$E$46*W380*W369</f>
        <v>-1644.84391163839</v>
      </c>
      <c r="X381" s="8" t="n">
        <f aca="false">-(Case_OM+SUM(Opex_Per_MW))*$E$46*X380*X369</f>
        <v>-1685.96500942935</v>
      </c>
      <c r="Y381" s="8" t="n">
        <f aca="false">-(Case_OM+SUM(Opex_Per_MW))*$E$46*Y380*Y369</f>
        <v>-1728.11413466508</v>
      </c>
      <c r="Z381" s="8" t="n">
        <f aca="false">-(Case_OM+SUM(Opex_Per_MW))*$E$46*Z380*Z369</f>
        <v>-1771.31698803171</v>
      </c>
      <c r="AA381" s="8" t="n">
        <f aca="false">-(Case_OM+SUM(Opex_Per_MW))*$E$46*AA380*AA369</f>
        <v>-1815.5999127325</v>
      </c>
      <c r="AB381" s="8" t="n">
        <f aca="false">-(Case_OM+SUM(Opex_Per_MW))*$E$46*AB380*AB369</f>
        <v>-1860.98991055081</v>
      </c>
      <c r="AC381" s="8" t="n">
        <f aca="false">-(Case_OM+SUM(Opex_Per_MW))*$E$46*AC380*AC369</f>
        <v>-1907.51465831458</v>
      </c>
      <c r="AD381" s="8" t="n">
        <f aca="false">-(Case_OM+SUM(Opex_Per_MW))*$E$46*AD380*AD369</f>
        <v>-1955.20252477245</v>
      </c>
      <c r="AE381" s="8" t="n">
        <f aca="false">-(Case_OM+SUM(Opex_Per_MW))*$E$46*AE380*AE369</f>
        <v>-2004.08258789176</v>
      </c>
      <c r="AF381" s="8" t="n">
        <f aca="false">-(Case_OM+SUM(Opex_Per_MW))*$E$46*AF380*AF369</f>
        <v>-2054.18465258905</v>
      </c>
      <c r="AG381" s="8" t="n">
        <f aca="false">-(Case_OM+SUM(Opex_Per_MW))*$E$46*AG380*AG369</f>
        <v>-2105.53926890378</v>
      </c>
      <c r="AH381" s="8" t="n">
        <f aca="false">-(Case_OM+SUM(Opex_Per_MW))*$E$46*AH380*AH369</f>
        <v>-2158.17775062637</v>
      </c>
      <c r="AI381" s="8" t="n">
        <f aca="false">-(Case_OM+SUM(Opex_Per_MW))*$E$46*AI380*AI369</f>
        <v>-2212.13219439203</v>
      </c>
      <c r="AJ381" s="8" t="n">
        <f aca="false">-(Case_OM+SUM(Opex_Per_MW))*$E$46*AJ380*AJ369</f>
        <v>-2267.43549925183</v>
      </c>
      <c r="AK381" s="8" t="n">
        <f aca="false">-(Case_OM+SUM(Opex_Per_MW))*$E$46*AK380*AK369</f>
        <v>-2324.12138673313</v>
      </c>
      <c r="AL381" s="8" t="n">
        <f aca="false">-(Case_OM+SUM(Opex_Per_MW))*$E$46*AL380*AL369</f>
        <v>-2382.22442140146</v>
      </c>
      <c r="AM381" s="8" t="n">
        <f aca="false">-(Case_OM+SUM(Opex_Per_MW))*$E$46*AM380*AM369</f>
        <v>-2441.78003193649</v>
      </c>
      <c r="AN381" s="8" t="n">
        <f aca="false">-(Case_OM+SUM(Opex_Per_MW))*$E$46*AN380*AN369</f>
        <v>-2502.82453273491</v>
      </c>
      <c r="AO381" s="8" t="n">
        <f aca="false">-(Case_OM+SUM(Opex_Per_MW))*$E$46*AO380*AO369</f>
        <v>-2565.39514605328</v>
      </c>
      <c r="AP381" s="8" t="n">
        <f aca="false">-(Case_OM+SUM(Opex_Per_MW))*$E$46*AP380*AP369</f>
        <v>-2629.53002470461</v>
      </c>
      <c r="AQ381" s="8" t="n">
        <f aca="false">-(Case_OM+SUM(Opex_Per_MW))*$E$46*AQ380*AQ369</f>
        <v>-2695.26827532222</v>
      </c>
      <c r="AR381" s="8" t="n">
        <f aca="false">-(Case_OM+SUM(Opex_Per_MW))*$E$46*AR380*AR369</f>
        <v>-2762.64998220528</v>
      </c>
      <c r="AS381" s="8" t="n">
        <f aca="false">-(Case_OM+SUM(Opex_Per_MW))*$E$46*AS380*AS369</f>
        <v>-1415.85811588021</v>
      </c>
    </row>
    <row r="382" customFormat="false" ht="14.25" hidden="false" customHeight="false" outlineLevel="0" collapsed="false">
      <c r="C382" s="6" t="s">
        <v>309</v>
      </c>
      <c r="D382" s="2" t="s">
        <v>85</v>
      </c>
      <c r="H382" s="8" t="n">
        <f aca="false">SUM(J382:AS382)</f>
        <v>-1666.93076073047</v>
      </c>
      <c r="J382" s="8" t="n">
        <f aca="false">-Opex_Admin*$E$6/Lump_Basis*J380*J369</f>
        <v>-0</v>
      </c>
      <c r="K382" s="8" t="n">
        <f aca="false">-Opex_Admin*$E$6/Lump_Basis*K380*K369</f>
        <v>-0</v>
      </c>
      <c r="L382" s="8" t="n">
        <f aca="false">-Opex_Admin*$E$6/Lump_Basis*L380*L369</f>
        <v>-0</v>
      </c>
      <c r="M382" s="8" t="n">
        <f aca="false">-Opex_Admin*$E$6/Lump_Basis*M380*M369</f>
        <v>-0</v>
      </c>
      <c r="N382" s="8" t="n">
        <f aca="false">-Opex_Admin*$E$6/Lump_Basis*N380*N369</f>
        <v>-0</v>
      </c>
      <c r="O382" s="8" t="n">
        <f aca="false">-Opex_Admin*$E$6/Lump_Basis*O380*O369</f>
        <v>-18.75</v>
      </c>
      <c r="P382" s="8" t="n">
        <f aca="false">-Opex_Admin*$E$6/Lump_Basis*P380*P369</f>
        <v>-38.4375</v>
      </c>
      <c r="Q382" s="8" t="n">
        <f aca="false">-Opex_Admin*$E$6/Lump_Basis*Q380*Q369</f>
        <v>-39.3984375</v>
      </c>
      <c r="R382" s="8" t="n">
        <f aca="false">-Opex_Admin*$E$6/Lump_Basis*R380*R369</f>
        <v>-40.3833984375</v>
      </c>
      <c r="S382" s="8" t="n">
        <f aca="false">-Opex_Admin*$E$6/Lump_Basis*S380*S369</f>
        <v>-41.3929833984375</v>
      </c>
      <c r="T382" s="8" t="n">
        <f aca="false">-Opex_Admin*$E$6/Lump_Basis*T380*T369</f>
        <v>-42.4278079833984</v>
      </c>
      <c r="U382" s="8" t="n">
        <f aca="false">-Opex_Admin*$E$6/Lump_Basis*U380*U369</f>
        <v>-43.4885031829834</v>
      </c>
      <c r="V382" s="8" t="n">
        <f aca="false">-Opex_Admin*$E$6/Lump_Basis*V380*V369</f>
        <v>-44.575715762558</v>
      </c>
      <c r="W382" s="8" t="n">
        <f aca="false">-Opex_Admin*$E$6/Lump_Basis*W380*W369</f>
        <v>-45.6901086566219</v>
      </c>
      <c r="X382" s="8" t="n">
        <f aca="false">-Opex_Admin*$E$6/Lump_Basis*X380*X369</f>
        <v>-46.8323613730374</v>
      </c>
      <c r="Y382" s="8" t="n">
        <f aca="false">-Opex_Admin*$E$6/Lump_Basis*Y380*Y369</f>
        <v>-48.0031704073634</v>
      </c>
      <c r="Z382" s="8" t="n">
        <f aca="false">-Opex_Admin*$E$6/Lump_Basis*Z380*Z369</f>
        <v>-49.2032496675475</v>
      </c>
      <c r="AA382" s="8" t="n">
        <f aca="false">-Opex_Admin*$E$6/Lump_Basis*AA380*AA369</f>
        <v>-50.4333309092361</v>
      </c>
      <c r="AB382" s="8" t="n">
        <f aca="false">-Opex_Admin*$E$6/Lump_Basis*AB380*AB369</f>
        <v>-51.694164181967</v>
      </c>
      <c r="AC382" s="8" t="n">
        <f aca="false">-Opex_Admin*$E$6/Lump_Basis*AC380*AC369</f>
        <v>-52.9865182865162</v>
      </c>
      <c r="AD382" s="8" t="n">
        <f aca="false">-Opex_Admin*$E$6/Lump_Basis*AD380*AD369</f>
        <v>-54.3111812436791</v>
      </c>
      <c r="AE382" s="8" t="n">
        <f aca="false">-Opex_Admin*$E$6/Lump_Basis*AE380*AE369</f>
        <v>-55.6689607747711</v>
      </c>
      <c r="AF382" s="8" t="n">
        <f aca="false">-Opex_Admin*$E$6/Lump_Basis*AF380*AF369</f>
        <v>-57.0606847941404</v>
      </c>
      <c r="AG382" s="8" t="n">
        <f aca="false">-Opex_Admin*$E$6/Lump_Basis*AG380*AG369</f>
        <v>-58.4872019139939</v>
      </c>
      <c r="AH382" s="8" t="n">
        <f aca="false">-Opex_Admin*$E$6/Lump_Basis*AH380*AH369</f>
        <v>-59.9493819618437</v>
      </c>
      <c r="AI382" s="8" t="n">
        <f aca="false">-Opex_Admin*$E$6/Lump_Basis*AI380*AI369</f>
        <v>-61.4481165108898</v>
      </c>
      <c r="AJ382" s="8" t="n">
        <f aca="false">-Opex_Admin*$E$6/Lump_Basis*AJ380*AJ369</f>
        <v>-62.984319423662</v>
      </c>
      <c r="AK382" s="8" t="n">
        <f aca="false">-Opex_Admin*$E$6/Lump_Basis*AK380*AK369</f>
        <v>-64.5589274092536</v>
      </c>
      <c r="AL382" s="8" t="n">
        <f aca="false">-Opex_Admin*$E$6/Lump_Basis*AL380*AL369</f>
        <v>-66.1729005944849</v>
      </c>
      <c r="AM382" s="8" t="n">
        <f aca="false">-Opex_Admin*$E$6/Lump_Basis*AM380*AM369</f>
        <v>-67.827223109347</v>
      </c>
      <c r="AN382" s="8" t="n">
        <f aca="false">-Opex_Admin*$E$6/Lump_Basis*AN380*AN369</f>
        <v>-69.5229036870807</v>
      </c>
      <c r="AO382" s="8" t="n">
        <f aca="false">-Opex_Admin*$E$6/Lump_Basis*AO380*AO369</f>
        <v>-71.2609762792577</v>
      </c>
      <c r="AP382" s="8" t="n">
        <f aca="false">-Opex_Admin*$E$6/Lump_Basis*AP380*AP369</f>
        <v>-73.0425006862391</v>
      </c>
      <c r="AQ382" s="8" t="n">
        <f aca="false">-Opex_Admin*$E$6/Lump_Basis*AQ380*AQ369</f>
        <v>-74.8685632033951</v>
      </c>
      <c r="AR382" s="8" t="n">
        <f aca="false">-Opex_Admin*$E$6/Lump_Basis*AR380*AR369</f>
        <v>-76.74027728348</v>
      </c>
      <c r="AS382" s="8" t="n">
        <f aca="false">-Opex_Admin*$E$6/Lump_Basis*AS380*AS369</f>
        <v>-39.3293921077835</v>
      </c>
    </row>
    <row r="383" customFormat="false" ht="14.25" hidden="false" customHeight="false" outlineLevel="0" collapsed="false">
      <c r="C383" s="6" t="s">
        <v>310</v>
      </c>
      <c r="D383" s="2" t="s">
        <v>85</v>
      </c>
      <c r="H383" s="8" t="n">
        <f aca="false">SUM(J383:AS383)</f>
        <v>-26924.5113148159</v>
      </c>
      <c r="J383" s="8" t="n">
        <f aca="false">-J377*(Balancing+Grid_Charges)*J380</f>
        <v>-0</v>
      </c>
      <c r="K383" s="8" t="n">
        <f aca="false">-K377*(Balancing+Grid_Charges)*K380</f>
        <v>-0</v>
      </c>
      <c r="L383" s="8" t="n">
        <f aca="false">-L377*(Balancing+Grid_Charges)*L380</f>
        <v>-0</v>
      </c>
      <c r="M383" s="8" t="n">
        <f aca="false">-M377*(Balancing+Grid_Charges)*M380</f>
        <v>-0</v>
      </c>
      <c r="N383" s="8" t="n">
        <f aca="false">-N377*(Balancing+Grid_Charges)*N380</f>
        <v>-0</v>
      </c>
      <c r="O383" s="8" t="n">
        <f aca="false">-O377*(Balancing+Grid_Charges)*O380</f>
        <v>-317.52</v>
      </c>
      <c r="P383" s="8" t="n">
        <f aca="false">-P377*(Balancing+Grid_Charges)*P380</f>
        <v>-650.916</v>
      </c>
      <c r="Q383" s="8" t="n">
        <f aca="false">-Q377*(Balancing+Grid_Charges)*Q380</f>
        <v>-665.1873333</v>
      </c>
      <c r="R383" s="8" t="n">
        <f aca="false">-R377*(Balancing+Grid_Charges)*R380</f>
        <v>-679.771565582602</v>
      </c>
      <c r="S383" s="8" t="n">
        <f aca="false">-S377*(Balancing+Grid_Charges)*S380</f>
        <v>-694.675557158001</v>
      </c>
      <c r="T383" s="8" t="n">
        <f aca="false">-T377*(Balancing+Grid_Charges)*T380</f>
        <v>-709.90631874869</v>
      </c>
      <c r="U383" s="8" t="n">
        <f aca="false">-U377*(Balancing+Grid_Charges)*U380</f>
        <v>-725.471014787255</v>
      </c>
      <c r="V383" s="8" t="n">
        <f aca="false">-V377*(Balancing+Grid_Charges)*V380</f>
        <v>-741.376966786466</v>
      </c>
      <c r="W383" s="8" t="n">
        <f aca="false">-W377*(Balancing+Grid_Charges)*W380</f>
        <v>-757.631656783258</v>
      </c>
      <c r="X383" s="8" t="n">
        <f aca="false">-X377*(Balancing+Grid_Charges)*X380</f>
        <v>-774.242730858232</v>
      </c>
      <c r="Y383" s="8" t="n">
        <f aca="false">-Y377*(Balancing+Grid_Charges)*Y380</f>
        <v>-791.218002732298</v>
      </c>
      <c r="Z383" s="8" t="n">
        <f aca="false">-Z377*(Balancing+Grid_Charges)*Z380</f>
        <v>-808.565457442204</v>
      </c>
      <c r="AA383" s="8" t="n">
        <f aca="false">-AA377*(Balancing+Grid_Charges)*AA380</f>
        <v>-826.293255096624</v>
      </c>
      <c r="AB383" s="8" t="n">
        <f aca="false">-AB377*(Balancing+Grid_Charges)*AB380</f>
        <v>-844.409734714617</v>
      </c>
      <c r="AC383" s="8" t="n">
        <f aca="false">-AC377*(Balancing+Grid_Charges)*AC380</f>
        <v>-862.923418148235</v>
      </c>
      <c r="AD383" s="8" t="n">
        <f aca="false">-AD377*(Balancing+Grid_Charges)*AD380</f>
        <v>-881.843014091135</v>
      </c>
      <c r="AE383" s="8" t="n">
        <f aca="false">-AE377*(Balancing+Grid_Charges)*AE380</f>
        <v>-901.177422175083</v>
      </c>
      <c r="AF383" s="8" t="n">
        <f aca="false">-AF377*(Balancing+Grid_Charges)*AF380</f>
        <v>-920.935737156272</v>
      </c>
      <c r="AG383" s="8" t="n">
        <f aca="false">-AG377*(Balancing+Grid_Charges)*AG380</f>
        <v>-941.127253193423</v>
      </c>
      <c r="AH383" s="8" t="n">
        <f aca="false">-AH377*(Balancing+Grid_Charges)*AH380</f>
        <v>-961.761468219689</v>
      </c>
      <c r="AI383" s="8" t="n">
        <f aca="false">-AI377*(Balancing+Grid_Charges)*AI380</f>
        <v>-982.848088410405</v>
      </c>
      <c r="AJ383" s="8" t="n">
        <f aca="false">-AJ377*(Balancing+Grid_Charges)*AJ380</f>
        <v>-1004.3970327488</v>
      </c>
      <c r="AK383" s="8" t="n">
        <f aca="false">-AK377*(Balancing+Grid_Charges)*AK380</f>
        <v>-1026.41843769182</v>
      </c>
      <c r="AL383" s="8" t="n">
        <f aca="false">-AL377*(Balancing+Grid_Charges)*AL380</f>
        <v>-1048.92266193821</v>
      </c>
      <c r="AM383" s="8" t="n">
        <f aca="false">-AM377*(Balancing+Grid_Charges)*AM380</f>
        <v>-1071.92029130121</v>
      </c>
      <c r="AN383" s="8" t="n">
        <f aca="false">-AN377*(Balancing+Grid_Charges)*AN380</f>
        <v>-1095.42214368799</v>
      </c>
      <c r="AO383" s="8" t="n">
        <f aca="false">-AO377*(Balancing+Grid_Charges)*AO380</f>
        <v>-1119.43927418835</v>
      </c>
      <c r="AP383" s="8" t="n">
        <f aca="false">-AP377*(Balancing+Grid_Charges)*AP380</f>
        <v>-1143.98298027493</v>
      </c>
      <c r="AQ383" s="8" t="n">
        <f aca="false">-AQ377*(Balancing+Grid_Charges)*AQ380</f>
        <v>-1169.06480711745</v>
      </c>
      <c r="AR383" s="8" t="n">
        <f aca="false">-AR377*(Balancing+Grid_Charges)*AR380</f>
        <v>-1194.6965530135</v>
      </c>
      <c r="AS383" s="8" t="n">
        <f aca="false">-AS377*(Balancing+Grid_Charges)*AS380</f>
        <v>-610.445137469163</v>
      </c>
    </row>
    <row r="384" customFormat="false" ht="14.25" hidden="false" customHeight="false" outlineLevel="0" collapsed="false">
      <c r="C384" s="6" t="s">
        <v>311</v>
      </c>
      <c r="D384" s="2" t="s">
        <v>85</v>
      </c>
      <c r="H384" s="8" t="n">
        <f aca="false">SUM(J384:AS384)</f>
        <v>-382.397730625247</v>
      </c>
      <c r="J384" s="8" t="n">
        <f aca="false">-J379*MEKH_Fee</f>
        <v>-0</v>
      </c>
      <c r="K384" s="8" t="n">
        <f aca="false">-K379*MEKH_Fee</f>
        <v>-0</v>
      </c>
      <c r="L384" s="8" t="n">
        <f aca="false">-L379*MEKH_Fee</f>
        <v>-0</v>
      </c>
      <c r="M384" s="8" t="n">
        <f aca="false">-M379*MEKH_Fee</f>
        <v>-0</v>
      </c>
      <c r="N384" s="8" t="n">
        <f aca="false">-N379*MEKH_Fee</f>
        <v>-0</v>
      </c>
      <c r="O384" s="8" t="n">
        <f aca="false">-O379*MEKH_Fee</f>
        <v>-5.71536</v>
      </c>
      <c r="P384" s="8" t="n">
        <f aca="false">-P379*MEKH_Fee</f>
        <v>-11.5450272</v>
      </c>
      <c r="Q384" s="8" t="n">
        <f aca="false">-Q379*MEKH_Fee</f>
        <v>-11.625496039584</v>
      </c>
      <c r="R384" s="8" t="n">
        <f aca="false">-R379*MEKH_Fee</f>
        <v>-11.7065257469799</v>
      </c>
      <c r="S384" s="8" t="n">
        <f aca="false">-S379*MEKH_Fee</f>
        <v>-11.7881202314363</v>
      </c>
      <c r="T384" s="8" t="n">
        <f aca="false">-T379*MEKH_Fee</f>
        <v>-11.8702834294495</v>
      </c>
      <c r="U384" s="8" t="n">
        <f aca="false">-U379*MEKH_Fee</f>
        <v>-11.9530193049527</v>
      </c>
      <c r="V384" s="8" t="n">
        <f aca="false">-V379*MEKH_Fee</f>
        <v>-12.0363318495082</v>
      </c>
      <c r="W384" s="8" t="n">
        <f aca="false">-W379*MEKH_Fee</f>
        <v>-12.1202250824993</v>
      </c>
      <c r="X384" s="8" t="n">
        <f aca="false">-X379*MEKH_Fee</f>
        <v>-12.2047030513243</v>
      </c>
      <c r="Y384" s="8" t="n">
        <f aca="false">-Y379*MEKH_Fee</f>
        <v>-12.2897698315921</v>
      </c>
      <c r="Z384" s="8" t="n">
        <f aca="false">-Z379*MEKH_Fee</f>
        <v>-12.3754295273183</v>
      </c>
      <c r="AA384" s="8" t="n">
        <f aca="false">-AA379*MEKH_Fee</f>
        <v>-12.4616862711237</v>
      </c>
      <c r="AB384" s="8" t="n">
        <f aca="false">-AB379*MEKH_Fee</f>
        <v>-12.5485442244334</v>
      </c>
      <c r="AC384" s="8" t="n">
        <f aca="false">-AC379*MEKH_Fee</f>
        <v>-12.6360075776777</v>
      </c>
      <c r="AD384" s="8" t="n">
        <f aca="false">-AD379*MEKH_Fee</f>
        <v>-12.7240805504941</v>
      </c>
      <c r="AE384" s="8" t="n">
        <f aca="false">-AE379*MEKH_Fee</f>
        <v>-12.8127673919311</v>
      </c>
      <c r="AF384" s="8" t="n">
        <f aca="false">-AF379*MEKH_Fee</f>
        <v>-12.9020723806528</v>
      </c>
      <c r="AG384" s="8" t="n">
        <f aca="false">-AG379*MEKH_Fee</f>
        <v>-12.991999825146</v>
      </c>
      <c r="AH384" s="8" t="n">
        <f aca="false">-AH379*MEKH_Fee</f>
        <v>-13.0825540639272</v>
      </c>
      <c r="AI384" s="8" t="n">
        <f aca="false">-AI379*MEKH_Fee</f>
        <v>-13.1737394657528</v>
      </c>
      <c r="AJ384" s="8" t="n">
        <f aca="false">-AJ379*MEKH_Fee</f>
        <v>-13.2655604298291</v>
      </c>
      <c r="AK384" s="8" t="n">
        <f aca="false">-AK379*MEKH_Fee</f>
        <v>-13.358021386025</v>
      </c>
      <c r="AL384" s="8" t="n">
        <f aca="false">-AL379*MEKH_Fee</f>
        <v>-13.4511267950856</v>
      </c>
      <c r="AM384" s="8" t="n">
        <f aca="false">-AM379*MEKH_Fee</f>
        <v>-13.5448811488474</v>
      </c>
      <c r="AN384" s="8" t="n">
        <f aca="false">-AN379*MEKH_Fee</f>
        <v>-13.6392889704548</v>
      </c>
      <c r="AO384" s="8" t="n">
        <f aca="false">-AO379*MEKH_Fee</f>
        <v>-13.7343548145789</v>
      </c>
      <c r="AP384" s="8" t="n">
        <f aca="false">-AP379*MEKH_Fee</f>
        <v>-13.8300832676365</v>
      </c>
      <c r="AQ384" s="8" t="n">
        <f aca="false">-AQ379*MEKH_Fee</f>
        <v>-13.9264789480119</v>
      </c>
      <c r="AR384" s="8" t="n">
        <f aca="false">-AR379*MEKH_Fee</f>
        <v>-14.0235465062796</v>
      </c>
      <c r="AS384" s="8" t="n">
        <f aca="false">-AS379*MEKH_Fee</f>
        <v>-7.06064531271418</v>
      </c>
    </row>
    <row r="385" customFormat="false" ht="14.25" hidden="false" customHeight="false" outlineLevel="0" collapsed="false">
      <c r="C385" s="6" t="s">
        <v>312</v>
      </c>
      <c r="D385" s="2" t="s">
        <v>85</v>
      </c>
      <c r="H385" s="8" t="n">
        <f aca="false">SUM(J385:AS385)</f>
        <v>-4449.16735962342</v>
      </c>
      <c r="J385" s="8" t="n">
        <f aca="false">SUM(J381:J384)*Opex_Cont</f>
        <v>0</v>
      </c>
      <c r="K385" s="8" t="n">
        <f aca="false">SUM(K381:K384)*Opex_Cont</f>
        <v>0</v>
      </c>
      <c r="L385" s="8" t="n">
        <f aca="false">SUM(L381:L384)*Opex_Cont</f>
        <v>0</v>
      </c>
      <c r="M385" s="8" t="n">
        <f aca="false">SUM(M381:M384)*Opex_Cont</f>
        <v>0</v>
      </c>
      <c r="N385" s="8" t="n">
        <f aca="false">SUM(N381:N384)*Opex_Cont</f>
        <v>0</v>
      </c>
      <c r="O385" s="8" t="n">
        <f aca="false">SUM(O381:O384)*Opex_Cont</f>
        <v>-50.849268</v>
      </c>
      <c r="P385" s="8" t="n">
        <f aca="false">SUM(P381:P384)*Opex_Cont</f>
        <v>-104.23242636</v>
      </c>
      <c r="Q385" s="8" t="n">
        <f aca="false">SUM(Q381:Q384)*Opex_Cont</f>
        <v>-106.727750841979</v>
      </c>
      <c r="R385" s="8" t="n">
        <f aca="false">SUM(R381:R384)*Opex_Cont</f>
        <v>-109.283191675854</v>
      </c>
      <c r="S385" s="8" t="n">
        <f aca="false">SUM(S381:S384)*Opex_Cont</f>
        <v>-111.900203156581</v>
      </c>
      <c r="T385" s="8" t="n">
        <f aca="false">SUM(T381:T384)*Opex_Cont</f>
        <v>-114.580274878194</v>
      </c>
      <c r="U385" s="8" t="n">
        <f aca="false">SUM(U381:U384)*Opex_Cont</f>
        <v>-117.32493259313</v>
      </c>
      <c r="V385" s="8" t="n">
        <f aca="false">SUM(V381:V384)*Opex_Cont</f>
        <v>-120.135739092531</v>
      </c>
      <c r="W385" s="8" t="n">
        <f aca="false">SUM(W381:W384)*Opex_Cont</f>
        <v>-123.014295108038</v>
      </c>
      <c r="X385" s="8" t="n">
        <f aca="false">SUM(X381:X384)*Opex_Cont</f>
        <v>-125.962240235597</v>
      </c>
      <c r="Y385" s="8" t="n">
        <f aca="false">SUM(Y381:Y384)*Opex_Cont</f>
        <v>-128.981253881817</v>
      </c>
      <c r="Z385" s="8" t="n">
        <f aca="false">SUM(Z381:Z384)*Opex_Cont</f>
        <v>-132.073056233439</v>
      </c>
      <c r="AA385" s="8" t="n">
        <f aca="false">SUM(AA381:AA384)*Opex_Cont</f>
        <v>-135.239409250474</v>
      </c>
      <c r="AB385" s="8" t="n">
        <f aca="false">SUM(AB381:AB384)*Opex_Cont</f>
        <v>-138.482117683592</v>
      </c>
      <c r="AC385" s="8" t="n">
        <f aca="false">SUM(AC381:AC384)*Opex_Cont</f>
        <v>-141.803030116351</v>
      </c>
      <c r="AD385" s="8" t="n">
        <f aca="false">SUM(AD381:AD384)*Opex_Cont</f>
        <v>-145.204040032888</v>
      </c>
      <c r="AE385" s="8" t="n">
        <f aca="false">SUM(AE381:AE384)*Opex_Cont</f>
        <v>-148.687086911677</v>
      </c>
      <c r="AF385" s="8" t="n">
        <f aca="false">SUM(AF381:AF384)*Opex_Cont</f>
        <v>-152.254157346006</v>
      </c>
      <c r="AG385" s="8" t="n">
        <f aca="false">SUM(AG381:AG384)*Opex_Cont</f>
        <v>-155.907286191817</v>
      </c>
      <c r="AH385" s="8" t="n">
        <f aca="false">SUM(AH381:AH384)*Opex_Cont</f>
        <v>-159.648557743592</v>
      </c>
      <c r="AI385" s="8" t="n">
        <f aca="false">SUM(AI381:AI384)*Opex_Cont</f>
        <v>-163.480106938954</v>
      </c>
      <c r="AJ385" s="8" t="n">
        <f aca="false">SUM(AJ381:AJ384)*Opex_Cont</f>
        <v>-167.404120592706</v>
      </c>
      <c r="AK385" s="8" t="n">
        <f aca="false">SUM(AK381:AK384)*Opex_Cont</f>
        <v>-171.422838661011</v>
      </c>
      <c r="AL385" s="8" t="n">
        <f aca="false">SUM(AL381:AL384)*Opex_Cont</f>
        <v>-175.538555536462</v>
      </c>
      <c r="AM385" s="8" t="n">
        <f aca="false">SUM(AM381:AM384)*Opex_Cont</f>
        <v>-179.753621374795</v>
      </c>
      <c r="AN385" s="8" t="n">
        <f aca="false">SUM(AN381:AN384)*Opex_Cont</f>
        <v>-184.070443454021</v>
      </c>
      <c r="AO385" s="8" t="n">
        <f aca="false">SUM(AO381:AO384)*Opex_Cont</f>
        <v>-188.491487566773</v>
      </c>
      <c r="AP385" s="8" t="n">
        <f aca="false">SUM(AP381:AP384)*Opex_Cont</f>
        <v>-193.019279446671</v>
      </c>
      <c r="AQ385" s="8" t="n">
        <f aca="false">SUM(AQ381:AQ384)*Opex_Cont</f>
        <v>-197.656406229554</v>
      </c>
      <c r="AR385" s="8" t="n">
        <f aca="false">SUM(AR381:AR384)*Opex_Cont</f>
        <v>-202.405517950427</v>
      </c>
      <c r="AS385" s="8" t="n">
        <f aca="false">SUM(AS381:AS384)*Opex_Cont</f>
        <v>-103.634664538493</v>
      </c>
    </row>
    <row r="386" customFormat="false" ht="14.25" hidden="false" customHeight="false" outlineLevel="0" collapsed="false">
      <c r="C386" s="6" t="s">
        <v>313</v>
      </c>
      <c r="D386" s="2" t="s">
        <v>85</v>
      </c>
      <c r="H386" s="8" t="n">
        <f aca="false">SUM(J386:AS386)</f>
        <v>0</v>
      </c>
      <c r="J386" s="8" t="n">
        <f aca="false">-J377*$E$12</f>
        <v>-0</v>
      </c>
      <c r="K386" s="8" t="n">
        <f aca="false">-K377*$E$12</f>
        <v>-0</v>
      </c>
      <c r="L386" s="8" t="n">
        <f aca="false">-L377*$E$12</f>
        <v>-0</v>
      </c>
      <c r="M386" s="8" t="n">
        <f aca="false">-M377*$E$12</f>
        <v>-0</v>
      </c>
      <c r="N386" s="8" t="n">
        <f aca="false">-N377*$E$12</f>
        <v>-0</v>
      </c>
      <c r="O386" s="8" t="n">
        <f aca="false">-O377*$E$12</f>
        <v>-0</v>
      </c>
      <c r="P386" s="8" t="n">
        <f aca="false">-P377*$E$12</f>
        <v>-0</v>
      </c>
      <c r="Q386" s="8" t="n">
        <f aca="false">-Q377*$E$12</f>
        <v>-0</v>
      </c>
      <c r="R386" s="8" t="n">
        <f aca="false">-R377*$E$12</f>
        <v>-0</v>
      </c>
      <c r="S386" s="8" t="n">
        <f aca="false">-S377*$E$12</f>
        <v>-0</v>
      </c>
      <c r="T386" s="8" t="n">
        <f aca="false">-T377*$E$12</f>
        <v>-0</v>
      </c>
      <c r="U386" s="8" t="n">
        <f aca="false">-U377*$E$12</f>
        <v>-0</v>
      </c>
      <c r="V386" s="8" t="n">
        <f aca="false">-V377*$E$12</f>
        <v>-0</v>
      </c>
      <c r="W386" s="8" t="n">
        <f aca="false">-W377*$E$12</f>
        <v>-0</v>
      </c>
      <c r="X386" s="8" t="n">
        <f aca="false">-X377*$E$12</f>
        <v>-0</v>
      </c>
      <c r="Y386" s="8" t="n">
        <f aca="false">-Y377*$E$12</f>
        <v>-0</v>
      </c>
      <c r="Z386" s="8" t="n">
        <f aca="false">-Z377*$E$12</f>
        <v>-0</v>
      </c>
      <c r="AA386" s="8" t="n">
        <f aca="false">-AA377*$E$12</f>
        <v>-0</v>
      </c>
      <c r="AB386" s="8" t="n">
        <f aca="false">-AB377*$E$12</f>
        <v>-0</v>
      </c>
      <c r="AC386" s="8" t="n">
        <f aca="false">-AC377*$E$12</f>
        <v>-0</v>
      </c>
      <c r="AD386" s="8" t="n">
        <f aca="false">-AD377*$E$12</f>
        <v>-0</v>
      </c>
      <c r="AE386" s="8" t="n">
        <f aca="false">-AE377*$E$12</f>
        <v>-0</v>
      </c>
      <c r="AF386" s="8" t="n">
        <f aca="false">-AF377*$E$12</f>
        <v>-0</v>
      </c>
      <c r="AG386" s="8" t="n">
        <f aca="false">-AG377*$E$12</f>
        <v>-0</v>
      </c>
      <c r="AH386" s="8" t="n">
        <f aca="false">-AH377*$E$12</f>
        <v>-0</v>
      </c>
      <c r="AI386" s="8" t="n">
        <f aca="false">-AI377*$E$12</f>
        <v>-0</v>
      </c>
      <c r="AJ386" s="8" t="n">
        <f aca="false">-AJ377*$E$12</f>
        <v>-0</v>
      </c>
      <c r="AK386" s="8" t="n">
        <f aca="false">-AK377*$E$12</f>
        <v>-0</v>
      </c>
      <c r="AL386" s="8" t="n">
        <f aca="false">-AL377*$E$12</f>
        <v>-0</v>
      </c>
      <c r="AM386" s="8" t="n">
        <f aca="false">-AM377*$E$12</f>
        <v>-0</v>
      </c>
      <c r="AN386" s="8" t="n">
        <f aca="false">-AN377*$E$12</f>
        <v>-0</v>
      </c>
      <c r="AO386" s="8" t="n">
        <f aca="false">-AO377*$E$12</f>
        <v>-0</v>
      </c>
      <c r="AP386" s="8" t="n">
        <f aca="false">-AP377*$E$12</f>
        <v>-0</v>
      </c>
      <c r="AQ386" s="8" t="n">
        <f aca="false">-AQ377*$E$12</f>
        <v>-0</v>
      </c>
      <c r="AR386" s="8" t="n">
        <f aca="false">-AR377*$E$12</f>
        <v>-0</v>
      </c>
      <c r="AS386" s="8" t="n">
        <f aca="false">-AS377*$E$12</f>
        <v>-0</v>
      </c>
    </row>
    <row r="387" customFormat="false" ht="14.25" hidden="false" customHeight="false" outlineLevel="0" collapsed="false">
      <c r="C387" s="6" t="s">
        <v>314</v>
      </c>
      <c r="D387" s="2" t="s">
        <v>85</v>
      </c>
      <c r="H387" s="8" t="n">
        <f aca="false">SUM(J387:AS387)</f>
        <v>-7647.95461250493</v>
      </c>
      <c r="J387" s="8" t="n">
        <f aca="false">-J379*HIPA_Rate</f>
        <v>-0</v>
      </c>
      <c r="K387" s="8" t="n">
        <f aca="false">-K379*HIPA_Rate</f>
        <v>-0</v>
      </c>
      <c r="L387" s="8" t="n">
        <f aca="false">-L379*HIPA_Rate</f>
        <v>-0</v>
      </c>
      <c r="M387" s="8" t="n">
        <f aca="false">-M379*HIPA_Rate</f>
        <v>-0</v>
      </c>
      <c r="N387" s="8" t="n">
        <f aca="false">-N379*HIPA_Rate</f>
        <v>-0</v>
      </c>
      <c r="O387" s="8" t="n">
        <f aca="false">-O379*HIPA_Rate</f>
        <v>-114.3072</v>
      </c>
      <c r="P387" s="8" t="n">
        <f aca="false">-P379*HIPA_Rate</f>
        <v>-230.900544</v>
      </c>
      <c r="Q387" s="8" t="n">
        <f aca="false">-Q379*HIPA_Rate</f>
        <v>-232.50992079168</v>
      </c>
      <c r="R387" s="8" t="n">
        <f aca="false">-R379*HIPA_Rate</f>
        <v>-234.130514939598</v>
      </c>
      <c r="S387" s="8" t="n">
        <f aca="false">-S379*HIPA_Rate</f>
        <v>-235.762404628727</v>
      </c>
      <c r="T387" s="8" t="n">
        <f aca="false">-T379*HIPA_Rate</f>
        <v>-237.405668588989</v>
      </c>
      <c r="U387" s="8" t="n">
        <f aca="false">-U379*HIPA_Rate</f>
        <v>-239.060386099055</v>
      </c>
      <c r="V387" s="8" t="n">
        <f aca="false">-V379*HIPA_Rate</f>
        <v>-240.726636990165</v>
      </c>
      <c r="W387" s="8" t="n">
        <f aca="false">-W379*HIPA_Rate</f>
        <v>-242.404501649986</v>
      </c>
      <c r="X387" s="8" t="n">
        <f aca="false">-X379*HIPA_Rate</f>
        <v>-244.094061026487</v>
      </c>
      <c r="Y387" s="8" t="n">
        <f aca="false">-Y379*HIPA_Rate</f>
        <v>-245.795396631841</v>
      </c>
      <c r="Z387" s="8" t="n">
        <f aca="false">-Z379*HIPA_Rate</f>
        <v>-247.508590546365</v>
      </c>
      <c r="AA387" s="8" t="n">
        <f aca="false">-AA379*HIPA_Rate</f>
        <v>-249.233725422473</v>
      </c>
      <c r="AB387" s="8" t="n">
        <f aca="false">-AB379*HIPA_Rate</f>
        <v>-250.970884488668</v>
      </c>
      <c r="AC387" s="8" t="n">
        <f aca="false">-AC379*HIPA_Rate</f>
        <v>-252.720151553554</v>
      </c>
      <c r="AD387" s="8" t="n">
        <f aca="false">-AD379*HIPA_Rate</f>
        <v>-254.481611009882</v>
      </c>
      <c r="AE387" s="8" t="n">
        <f aca="false">-AE379*HIPA_Rate</f>
        <v>-256.255347838621</v>
      </c>
      <c r="AF387" s="8" t="n">
        <f aca="false">-AF379*HIPA_Rate</f>
        <v>-258.041447613056</v>
      </c>
      <c r="AG387" s="8" t="n">
        <f aca="false">-AG379*HIPA_Rate</f>
        <v>-259.83999650292</v>
      </c>
      <c r="AH387" s="8" t="n">
        <f aca="false">-AH379*HIPA_Rate</f>
        <v>-261.651081278545</v>
      </c>
      <c r="AI387" s="8" t="n">
        <f aca="false">-AI379*HIPA_Rate</f>
        <v>-263.474789315056</v>
      </c>
      <c r="AJ387" s="8" t="n">
        <f aca="false">-AJ379*HIPA_Rate</f>
        <v>-265.311208596582</v>
      </c>
      <c r="AK387" s="8" t="n">
        <f aca="false">-AK379*HIPA_Rate</f>
        <v>-267.1604277205</v>
      </c>
      <c r="AL387" s="8" t="n">
        <f aca="false">-AL379*HIPA_Rate</f>
        <v>-269.022535901712</v>
      </c>
      <c r="AM387" s="8" t="n">
        <f aca="false">-AM379*HIPA_Rate</f>
        <v>-270.897622976947</v>
      </c>
      <c r="AN387" s="8" t="n">
        <f aca="false">-AN379*HIPA_Rate</f>
        <v>-272.785779409097</v>
      </c>
      <c r="AO387" s="8" t="n">
        <f aca="false">-AO379*HIPA_Rate</f>
        <v>-274.687096291578</v>
      </c>
      <c r="AP387" s="8" t="n">
        <f aca="false">-AP379*HIPA_Rate</f>
        <v>-276.60166535273</v>
      </c>
      <c r="AQ387" s="8" t="n">
        <f aca="false">-AQ379*HIPA_Rate</f>
        <v>-278.529578960239</v>
      </c>
      <c r="AR387" s="8" t="n">
        <f aca="false">-AR379*HIPA_Rate</f>
        <v>-280.470930125592</v>
      </c>
      <c r="AS387" s="8" t="n">
        <f aca="false">-AS379*HIPA_Rate</f>
        <v>-141.212906254284</v>
      </c>
    </row>
    <row r="388" customFormat="false" ht="14.25" hidden="false" customHeight="false" outlineLevel="0" collapsed="false">
      <c r="C388" s="1" t="s">
        <v>315</v>
      </c>
      <c r="D388" s="2" t="s">
        <v>85</v>
      </c>
      <c r="H388" s="32" t="n">
        <f aca="false">SUM(J388:AS388)</f>
        <v>-101080.469164597</v>
      </c>
      <c r="J388" s="32" t="n">
        <f aca="false">SUM(J381:J387)</f>
        <v>0</v>
      </c>
      <c r="K388" s="32" t="n">
        <f aca="false">SUM(K381:K387)</f>
        <v>0</v>
      </c>
      <c r="L388" s="32" t="n">
        <f aca="false">SUM(L381:L387)</f>
        <v>0</v>
      </c>
      <c r="M388" s="32" t="n">
        <f aca="false">SUM(M381:M387)</f>
        <v>0</v>
      </c>
      <c r="N388" s="32" t="n">
        <f aca="false">SUM(N381:N387)</f>
        <v>0</v>
      </c>
      <c r="O388" s="32" t="n">
        <f aca="false">SUM(O381:O387)</f>
        <v>-1182.141828</v>
      </c>
      <c r="P388" s="32" t="n">
        <f aca="false">SUM(P381:P387)</f>
        <v>-2419.78149756</v>
      </c>
      <c r="Q388" s="32" t="n">
        <f aca="false">SUM(Q381:Q387)</f>
        <v>-2473.79268847324</v>
      </c>
      <c r="R388" s="32" t="n">
        <f aca="false">SUM(R381:R387)</f>
        <v>-2529.07754013253</v>
      </c>
      <c r="S388" s="32" t="n">
        <f aca="false">SUM(S381:S387)</f>
        <v>-2585.66667091693</v>
      </c>
      <c r="T388" s="32" t="n">
        <f aca="false">SUM(T381:T387)</f>
        <v>-2643.59144103106</v>
      </c>
      <c r="U388" s="32" t="n">
        <f aca="false">SUM(U381:U387)</f>
        <v>-2702.88397055478</v>
      </c>
      <c r="V388" s="32" t="n">
        <f aca="false">SUM(V381:V387)</f>
        <v>-2763.57715793331</v>
      </c>
      <c r="W388" s="32" t="n">
        <f aca="false">SUM(W381:W387)</f>
        <v>-2825.70469891879</v>
      </c>
      <c r="X388" s="32" t="n">
        <f aca="false">SUM(X381:X387)</f>
        <v>-2889.30110597403</v>
      </c>
      <c r="Y388" s="32" t="n">
        <f aca="false">SUM(Y381:Y387)</f>
        <v>-2954.40172814999</v>
      </c>
      <c r="Z388" s="32" t="n">
        <f aca="false">SUM(Z381:Z387)</f>
        <v>-3021.04277144858</v>
      </c>
      <c r="AA388" s="32" t="n">
        <f aca="false">SUM(AA381:AA387)</f>
        <v>-3089.26131968243</v>
      </c>
      <c r="AB388" s="32" t="n">
        <f aca="false">SUM(AB381:AB387)</f>
        <v>-3159.09535584409</v>
      </c>
      <c r="AC388" s="32" t="n">
        <f aca="false">SUM(AC381:AC387)</f>
        <v>-3230.58378399692</v>
      </c>
      <c r="AD388" s="32" t="n">
        <f aca="false">SUM(AD381:AD387)</f>
        <v>-3303.76645170053</v>
      </c>
      <c r="AE388" s="32" t="n">
        <f aca="false">SUM(AE381:AE387)</f>
        <v>-3378.68417298384</v>
      </c>
      <c r="AF388" s="32" t="n">
        <f aca="false">SUM(AF381:AF387)</f>
        <v>-3455.37875187918</v>
      </c>
      <c r="AG388" s="32" t="n">
        <f aca="false">SUM(AG381:AG387)</f>
        <v>-3533.89300653108</v>
      </c>
      <c r="AH388" s="32" t="n">
        <f aca="false">SUM(AH381:AH387)</f>
        <v>-3614.27079389397</v>
      </c>
      <c r="AI388" s="32" t="n">
        <f aca="false">SUM(AI381:AI387)</f>
        <v>-3696.55703503309</v>
      </c>
      <c r="AJ388" s="32" t="n">
        <f aca="false">SUM(AJ381:AJ387)</f>
        <v>-3780.79774104342</v>
      </c>
      <c r="AK388" s="32" t="n">
        <f aca="false">SUM(AK381:AK387)</f>
        <v>-3867.04003960174</v>
      </c>
      <c r="AL388" s="32" t="n">
        <f aca="false">SUM(AL381:AL387)</f>
        <v>-3955.33220216742</v>
      </c>
      <c r="AM388" s="32" t="n">
        <f aca="false">SUM(AM381:AM387)</f>
        <v>-4045.72367184764</v>
      </c>
      <c r="AN388" s="32" t="n">
        <f aca="false">SUM(AN381:AN387)</f>
        <v>-4138.26509194355</v>
      </c>
      <c r="AO388" s="32" t="n">
        <f aca="false">SUM(AO381:AO387)</f>
        <v>-4233.00833519381</v>
      </c>
      <c r="AP388" s="32" t="n">
        <f aca="false">SUM(AP381:AP387)</f>
        <v>-4330.00653373281</v>
      </c>
      <c r="AQ388" s="32" t="n">
        <f aca="false">SUM(AQ381:AQ387)</f>
        <v>-4429.31410978088</v>
      </c>
      <c r="AR388" s="32" t="n">
        <f aca="false">SUM(AR381:AR387)</f>
        <v>-4530.98680708456</v>
      </c>
      <c r="AS388" s="32" t="n">
        <f aca="false">SUM(AS381:AS387)</f>
        <v>-2317.54086156264</v>
      </c>
    </row>
    <row r="389" customFormat="false" ht="14.25" hidden="false" customHeight="false" outlineLevel="0" collapsed="false">
      <c r="C389" s="1" t="s">
        <v>160</v>
      </c>
      <c r="D389" s="2" t="s">
        <v>85</v>
      </c>
      <c r="H389" s="15" t="n">
        <f aca="false">SUM(J389:AS389)</f>
        <v>281317.26146065</v>
      </c>
      <c r="J389" s="15" t="n">
        <f aca="false">J379+J388</f>
        <v>0</v>
      </c>
      <c r="K389" s="15" t="n">
        <f aca="false">K379+K388</f>
        <v>0</v>
      </c>
      <c r="L389" s="15" t="n">
        <f aca="false">L379+L388</f>
        <v>0</v>
      </c>
      <c r="M389" s="15" t="n">
        <f aca="false">M379+M388</f>
        <v>0</v>
      </c>
      <c r="N389" s="15" t="n">
        <f aca="false">N379+N388</f>
        <v>0</v>
      </c>
      <c r="O389" s="15" t="n">
        <f aca="false">O379+O388</f>
        <v>4533.218172</v>
      </c>
      <c r="P389" s="15" t="n">
        <f aca="false">P379+P388</f>
        <v>9125.24570244</v>
      </c>
      <c r="Q389" s="15" t="n">
        <f aca="false">Q379+Q388</f>
        <v>9151.70335111076</v>
      </c>
      <c r="R389" s="15" t="n">
        <f aca="false">R379+R388</f>
        <v>9177.44820684737</v>
      </c>
      <c r="S389" s="15" t="n">
        <f aca="false">S379+S388</f>
        <v>9202.45356051942</v>
      </c>
      <c r="T389" s="15" t="n">
        <f aca="false">T379+T388</f>
        <v>9226.6919884184</v>
      </c>
      <c r="U389" s="15" t="n">
        <f aca="false">U379+U388</f>
        <v>9250.13533439795</v>
      </c>
      <c r="V389" s="15" t="n">
        <f aca="false">V379+V388</f>
        <v>9272.75469157493</v>
      </c>
      <c r="W389" s="15" t="n">
        <f aca="false">W379+W388</f>
        <v>9294.52038358052</v>
      </c>
      <c r="X389" s="15" t="n">
        <f aca="false">X379+X388</f>
        <v>9315.40194535031</v>
      </c>
      <c r="Y389" s="15" t="n">
        <f aca="false">Y379+Y388</f>
        <v>9335.36810344208</v>
      </c>
      <c r="Z389" s="15" t="n">
        <f aca="false">Z379+Z388</f>
        <v>9354.38675586968</v>
      </c>
      <c r="AA389" s="15" t="n">
        <f aca="false">AA379+AA388</f>
        <v>9372.42495144124</v>
      </c>
      <c r="AB389" s="15" t="n">
        <f aca="false">AB379+AB388</f>
        <v>9389.44886858932</v>
      </c>
      <c r="AC389" s="15" t="n">
        <f aca="false">AC379+AC388</f>
        <v>9405.42379368079</v>
      </c>
      <c r="AD389" s="15" t="n">
        <f aca="false">AD379+AD388</f>
        <v>9420.31409879359</v>
      </c>
      <c r="AE389" s="15" t="n">
        <f aca="false">AE379+AE388</f>
        <v>9434.08321894722</v>
      </c>
      <c r="AF389" s="15" t="n">
        <f aca="false">AF379+AF388</f>
        <v>9446.69362877364</v>
      </c>
      <c r="AG389" s="15" t="n">
        <f aca="false">AG379+AG388</f>
        <v>9458.1068186149</v>
      </c>
      <c r="AH389" s="15" t="n">
        <f aca="false">AH379+AH388</f>
        <v>9468.28327003328</v>
      </c>
      <c r="AI389" s="15" t="n">
        <f aca="false">AI379+AI388</f>
        <v>9477.18243071973</v>
      </c>
      <c r="AJ389" s="15" t="n">
        <f aca="false">AJ379+AJ388</f>
        <v>9484.7626887857</v>
      </c>
      <c r="AK389" s="15" t="n">
        <f aca="false">AK379+AK388</f>
        <v>9490.98134642328</v>
      </c>
      <c r="AL389" s="15" t="n">
        <f aca="false">AL379+AL388</f>
        <v>9495.7945929182</v>
      </c>
      <c r="AM389" s="15" t="n">
        <f aca="false">AM379+AM388</f>
        <v>9499.15747699973</v>
      </c>
      <c r="AN389" s="15" t="n">
        <f aca="false">AN379+AN388</f>
        <v>9501.02387851128</v>
      </c>
      <c r="AO389" s="15" t="n">
        <f aca="false">AO379+AO388</f>
        <v>9501.34647938509</v>
      </c>
      <c r="AP389" s="15" t="n">
        <f aca="false">AP379+AP388</f>
        <v>9500.07673390371</v>
      </c>
      <c r="AQ389" s="15" t="n">
        <f aca="false">AQ379+AQ388</f>
        <v>9497.16483823106</v>
      </c>
      <c r="AR389" s="15" t="n">
        <f aca="false">AR379+AR388</f>
        <v>9492.55969919502</v>
      </c>
      <c r="AS389" s="15" t="n">
        <f aca="false">AS379+AS388</f>
        <v>4743.10445115153</v>
      </c>
    </row>
    <row r="390" customFormat="false" ht="14.25" hidden="false" customHeight="false" outlineLevel="0" collapsed="false">
      <c r="C390" s="1" t="s">
        <v>316</v>
      </c>
      <c r="D390" s="2" t="s">
        <v>85</v>
      </c>
      <c r="H390" s="32" t="n">
        <f aca="false">SUM(J390:AS390)</f>
        <v>209225.327688047</v>
      </c>
      <c r="J390" s="32" t="n">
        <f aca="false">J375+J389</f>
        <v>0</v>
      </c>
      <c r="K390" s="32" t="n">
        <f aca="false">K375+K389</f>
        <v>0</v>
      </c>
      <c r="L390" s="32" t="n">
        <f aca="false">L375+L389</f>
        <v>0</v>
      </c>
      <c r="M390" s="32" t="n">
        <f aca="false">M375+M389</f>
        <v>-33450.8995260274</v>
      </c>
      <c r="N390" s="32" t="n">
        <f aca="false">N375+N389</f>
        <v>-26389</v>
      </c>
      <c r="O390" s="32" t="n">
        <f aca="false">O375+O389</f>
        <v>-9661.281828</v>
      </c>
      <c r="P390" s="32" t="n">
        <f aca="false">P375+P389</f>
        <v>9125.24570244</v>
      </c>
      <c r="Q390" s="32" t="n">
        <f aca="false">Q375+Q389</f>
        <v>11094.1691045354</v>
      </c>
      <c r="R390" s="32" t="n">
        <f aca="false">R375+R389</f>
        <v>9177.44820684737</v>
      </c>
      <c r="S390" s="32" t="n">
        <f aca="false">S375+S389</f>
        <v>9202.45356051942</v>
      </c>
      <c r="T390" s="32" t="n">
        <f aca="false">T375+T389</f>
        <v>9226.6919884184</v>
      </c>
      <c r="U390" s="32" t="n">
        <f aca="false">U375+U389</f>
        <v>9250.13533439795</v>
      </c>
      <c r="V390" s="32" t="n">
        <f aca="false">V375+V389</f>
        <v>9272.75469157493</v>
      </c>
      <c r="W390" s="32" t="n">
        <f aca="false">W375+W389</f>
        <v>9294.52038358052</v>
      </c>
      <c r="X390" s="32" t="n">
        <f aca="false">X375+X389</f>
        <v>9315.40194535031</v>
      </c>
      <c r="Y390" s="32" t="n">
        <f aca="false">Y375+Y389</f>
        <v>9335.36810344208</v>
      </c>
      <c r="Z390" s="32" t="n">
        <f aca="false">Z375+Z389</f>
        <v>9354.38675586968</v>
      </c>
      <c r="AA390" s="32" t="n">
        <f aca="false">AA375+AA389</f>
        <v>9372.42495144124</v>
      </c>
      <c r="AB390" s="32" t="n">
        <f aca="false">AB375+AB389</f>
        <v>9389.44886858932</v>
      </c>
      <c r="AC390" s="32" t="n">
        <f aca="false">AC375+AC389</f>
        <v>9405.42379368079</v>
      </c>
      <c r="AD390" s="32" t="n">
        <f aca="false">AD375+AD389</f>
        <v>9420.31409879359</v>
      </c>
      <c r="AE390" s="32" t="n">
        <f aca="false">AE375+AE389</f>
        <v>9434.08321894722</v>
      </c>
      <c r="AF390" s="32" t="n">
        <f aca="false">AF375+AF389</f>
        <v>9446.69362877364</v>
      </c>
      <c r="AG390" s="32" t="n">
        <f aca="false">AG375+AG389</f>
        <v>9458.1068186149</v>
      </c>
      <c r="AH390" s="32" t="n">
        <f aca="false">AH375+AH389</f>
        <v>9468.28327003328</v>
      </c>
      <c r="AI390" s="32" t="n">
        <f aca="false">AI375+AI389</f>
        <v>9477.18243071973</v>
      </c>
      <c r="AJ390" s="32" t="n">
        <f aca="false">AJ375+AJ389</f>
        <v>9484.7626887857</v>
      </c>
      <c r="AK390" s="32" t="n">
        <f aca="false">AK375+AK389</f>
        <v>9490.98134642328</v>
      </c>
      <c r="AL390" s="32" t="n">
        <f aca="false">AL375+AL389</f>
        <v>9495.7945929182</v>
      </c>
      <c r="AM390" s="32" t="n">
        <f aca="false">AM375+AM389</f>
        <v>9499.15747699973</v>
      </c>
      <c r="AN390" s="32" t="n">
        <f aca="false">AN375+AN389</f>
        <v>9501.02387851128</v>
      </c>
      <c r="AO390" s="32" t="n">
        <f aca="false">AO375+AO389</f>
        <v>9501.34647938509</v>
      </c>
      <c r="AP390" s="32" t="n">
        <f aca="false">AP375+AP389</f>
        <v>9500.07673390371</v>
      </c>
      <c r="AQ390" s="32" t="n">
        <f aca="false">AQ375+AQ389</f>
        <v>9497.16483823106</v>
      </c>
      <c r="AR390" s="32" t="n">
        <f aca="false">AR375+AR389</f>
        <v>9492.55969919502</v>
      </c>
      <c r="AS390" s="32" t="n">
        <f aca="false">AS375+AS389</f>
        <v>4743.10445115153</v>
      </c>
    </row>
    <row r="391" customFormat="false" ht="14.25" hidden="false" customHeight="false" outlineLevel="0" collapsed="false">
      <c r="C391" s="6" t="s">
        <v>317</v>
      </c>
      <c r="D391" s="2" t="s">
        <v>85</v>
      </c>
      <c r="H391" s="8" t="n">
        <f aca="false">SUM(J391:AS391)</f>
        <v>-72091.9337726027</v>
      </c>
      <c r="J391" s="8" t="n">
        <f aca="false">-$E$99/Tax_Dep_Life*(J365&gt;=0)*(J365&lt;Tax_Dep_Life)</f>
        <v>-0</v>
      </c>
      <c r="K391" s="8" t="n">
        <f aca="false">-$E$99/Tax_Dep_Life*(K365&gt;=0)*(K365&lt;Tax_Dep_Life)</f>
        <v>-0</v>
      </c>
      <c r="L391" s="8" t="n">
        <f aca="false">-$E$99/Tax_Dep_Life*(L365&gt;=0)*(L365&lt;Tax_Dep_Life)</f>
        <v>-0</v>
      </c>
      <c r="M391" s="8" t="n">
        <f aca="false">-$E$99/Tax_Dep_Life*(M365&gt;=0)*(M365&lt;Tax_Dep_Life)</f>
        <v>-0</v>
      </c>
      <c r="N391" s="8" t="n">
        <f aca="false">-$E$99/Tax_Dep_Life*(N365&gt;=0)*(N365&lt;Tax_Dep_Life)</f>
        <v>-0</v>
      </c>
      <c r="O391" s="8" t="n">
        <f aca="false">-$E$99/Tax_Dep_Life*(O365&gt;=0)*(O365&lt;Tax_Dep_Life)</f>
        <v>-3604.59668863014</v>
      </c>
      <c r="P391" s="8" t="n">
        <f aca="false">-$E$99/Tax_Dep_Life*(P365&gt;=0)*(P365&lt;Tax_Dep_Life)</f>
        <v>-3604.59668863014</v>
      </c>
      <c r="Q391" s="8" t="n">
        <f aca="false">-$E$99/Tax_Dep_Life*(Q365&gt;=0)*(Q365&lt;Tax_Dep_Life)</f>
        <v>-3604.59668863014</v>
      </c>
      <c r="R391" s="8" t="n">
        <f aca="false">-$E$99/Tax_Dep_Life*(R365&gt;=0)*(R365&lt;Tax_Dep_Life)</f>
        <v>-3604.59668863014</v>
      </c>
      <c r="S391" s="8" t="n">
        <f aca="false">-$E$99/Tax_Dep_Life*(S365&gt;=0)*(S365&lt;Tax_Dep_Life)</f>
        <v>-3604.59668863014</v>
      </c>
      <c r="T391" s="8" t="n">
        <f aca="false">-$E$99/Tax_Dep_Life*(T365&gt;=0)*(T365&lt;Tax_Dep_Life)</f>
        <v>-3604.59668863014</v>
      </c>
      <c r="U391" s="8" t="n">
        <f aca="false">-$E$99/Tax_Dep_Life*(U365&gt;=0)*(U365&lt;Tax_Dep_Life)</f>
        <v>-3604.59668863014</v>
      </c>
      <c r="V391" s="8" t="n">
        <f aca="false">-$E$99/Tax_Dep_Life*(V365&gt;=0)*(V365&lt;Tax_Dep_Life)</f>
        <v>-3604.59668863014</v>
      </c>
      <c r="W391" s="8" t="n">
        <f aca="false">-$E$99/Tax_Dep_Life*(W365&gt;=0)*(W365&lt;Tax_Dep_Life)</f>
        <v>-3604.59668863014</v>
      </c>
      <c r="X391" s="8" t="n">
        <f aca="false">-$E$99/Tax_Dep_Life*(X365&gt;=0)*(X365&lt;Tax_Dep_Life)</f>
        <v>-3604.59668863014</v>
      </c>
      <c r="Y391" s="8" t="n">
        <f aca="false">-$E$99/Tax_Dep_Life*(Y365&gt;=0)*(Y365&lt;Tax_Dep_Life)</f>
        <v>-3604.59668863014</v>
      </c>
      <c r="Z391" s="8" t="n">
        <f aca="false">-$E$99/Tax_Dep_Life*(Z365&gt;=0)*(Z365&lt;Tax_Dep_Life)</f>
        <v>-3604.59668863014</v>
      </c>
      <c r="AA391" s="8" t="n">
        <f aca="false">-$E$99/Tax_Dep_Life*(AA365&gt;=0)*(AA365&lt;Tax_Dep_Life)</f>
        <v>-3604.59668863014</v>
      </c>
      <c r="AB391" s="8" t="n">
        <f aca="false">-$E$99/Tax_Dep_Life*(AB365&gt;=0)*(AB365&lt;Tax_Dep_Life)</f>
        <v>-3604.59668863014</v>
      </c>
      <c r="AC391" s="8" t="n">
        <f aca="false">-$E$99/Tax_Dep_Life*(AC365&gt;=0)*(AC365&lt;Tax_Dep_Life)</f>
        <v>-3604.59668863014</v>
      </c>
      <c r="AD391" s="8" t="n">
        <f aca="false">-$E$99/Tax_Dep_Life*(AD365&gt;=0)*(AD365&lt;Tax_Dep_Life)</f>
        <v>-3604.59668863014</v>
      </c>
      <c r="AE391" s="8" t="n">
        <f aca="false">-$E$99/Tax_Dep_Life*(AE365&gt;=0)*(AE365&lt;Tax_Dep_Life)</f>
        <v>-3604.59668863014</v>
      </c>
      <c r="AF391" s="8" t="n">
        <f aca="false">-$E$99/Tax_Dep_Life*(AF365&gt;=0)*(AF365&lt;Tax_Dep_Life)</f>
        <v>-3604.59668863014</v>
      </c>
      <c r="AG391" s="8" t="n">
        <f aca="false">-$E$99/Tax_Dep_Life*(AG365&gt;=0)*(AG365&lt;Tax_Dep_Life)</f>
        <v>-3604.59668863014</v>
      </c>
      <c r="AH391" s="8" t="n">
        <f aca="false">-$E$99/Tax_Dep_Life*(AH365&gt;=0)*(AH365&lt;Tax_Dep_Life)</f>
        <v>-3604.59668863014</v>
      </c>
      <c r="AI391" s="8" t="n">
        <f aca="false">-$E$99/Tax_Dep_Life*(AI365&gt;=0)*(AI365&lt;Tax_Dep_Life)</f>
        <v>-0</v>
      </c>
      <c r="AJ391" s="8" t="n">
        <f aca="false">-$E$99/Tax_Dep_Life*(AJ365&gt;=0)*(AJ365&lt;Tax_Dep_Life)</f>
        <v>-0</v>
      </c>
      <c r="AK391" s="8" t="n">
        <f aca="false">-$E$99/Tax_Dep_Life*(AK365&gt;=0)*(AK365&lt;Tax_Dep_Life)</f>
        <v>-0</v>
      </c>
      <c r="AL391" s="8" t="n">
        <f aca="false">-$E$99/Tax_Dep_Life*(AL365&gt;=0)*(AL365&lt;Tax_Dep_Life)</f>
        <v>-0</v>
      </c>
      <c r="AM391" s="8" t="n">
        <f aca="false">-$E$99/Tax_Dep_Life*(AM365&gt;=0)*(AM365&lt;Tax_Dep_Life)</f>
        <v>-0</v>
      </c>
      <c r="AN391" s="8" t="n">
        <f aca="false">-$E$99/Tax_Dep_Life*(AN365&gt;=0)*(AN365&lt;Tax_Dep_Life)</f>
        <v>-0</v>
      </c>
      <c r="AO391" s="8" t="n">
        <f aca="false">-$E$99/Tax_Dep_Life*(AO365&gt;=0)*(AO365&lt;Tax_Dep_Life)</f>
        <v>-0</v>
      </c>
      <c r="AP391" s="8" t="n">
        <f aca="false">-$E$99/Tax_Dep_Life*(AP365&gt;=0)*(AP365&lt;Tax_Dep_Life)</f>
        <v>-0</v>
      </c>
      <c r="AQ391" s="8" t="n">
        <f aca="false">-$E$99/Tax_Dep_Life*(AQ365&gt;=0)*(AQ365&lt;Tax_Dep_Life)</f>
        <v>-0</v>
      </c>
      <c r="AR391" s="8" t="n">
        <f aca="false">-$E$99/Tax_Dep_Life*(AR365&gt;=0)*(AR365&lt;Tax_Dep_Life)</f>
        <v>-0</v>
      </c>
      <c r="AS391" s="8" t="n">
        <f aca="false">-$E$99/Tax_Dep_Life*(AS365&gt;=0)*(AS365&lt;Tax_Dep_Life)</f>
        <v>-0</v>
      </c>
    </row>
    <row r="392" customFormat="false" ht="14.25" hidden="false" customHeight="false" outlineLevel="0" collapsed="false">
      <c r="C392" s="6" t="s">
        <v>318</v>
      </c>
      <c r="D392" s="2" t="s">
        <v>85</v>
      </c>
      <c r="H392" s="8" t="n">
        <f aca="false">SUM(J392:AS392)</f>
        <v>-31383.7991532071</v>
      </c>
      <c r="J392" s="8" t="n">
        <f aca="false">-MAX(0,J389+J391)*CIT_Rate*(J369&gt;0)</f>
        <v>-0</v>
      </c>
      <c r="K392" s="8" t="n">
        <f aca="false">-MAX(0,K389+K391)*CIT_Rate*(K369&gt;0)</f>
        <v>-0</v>
      </c>
      <c r="L392" s="8" t="n">
        <f aca="false">-MAX(0,L389+L391)*CIT_Rate*(L369&gt;0)</f>
        <v>-0</v>
      </c>
      <c r="M392" s="8" t="n">
        <f aca="false">-MAX(0,M389+M391)*CIT_Rate*(M369&gt;0)</f>
        <v>-0</v>
      </c>
      <c r="N392" s="8" t="n">
        <f aca="false">-MAX(0,N389+N391)*CIT_Rate*(N369&gt;0)</f>
        <v>-0</v>
      </c>
      <c r="O392" s="8" t="n">
        <f aca="false">-MAX(0,O389+O391)*CIT_Rate*(O369&gt;0)</f>
        <v>-139.293222505479</v>
      </c>
      <c r="P392" s="8" t="n">
        <f aca="false">-MAX(0,P389+P391)*CIT_Rate*(P369&gt;0)</f>
        <v>-828.09735207148</v>
      </c>
      <c r="Q392" s="8" t="n">
        <f aca="false">-MAX(0,Q389+Q391)*CIT_Rate*(Q369&gt;0)</f>
        <v>-832.065999372093</v>
      </c>
      <c r="R392" s="8" t="n">
        <f aca="false">-MAX(0,R389+R391)*CIT_Rate*(R369&gt;0)</f>
        <v>-835.927727732585</v>
      </c>
      <c r="S392" s="8" t="n">
        <f aca="false">-MAX(0,S389+S391)*CIT_Rate*(S369&gt;0)</f>
        <v>-839.678530783392</v>
      </c>
      <c r="T392" s="8" t="n">
        <f aca="false">-MAX(0,T389+T391)*CIT_Rate*(T369&gt;0)</f>
        <v>-843.314294968239</v>
      </c>
      <c r="U392" s="8" t="n">
        <f aca="false">-MAX(0,U389+U391)*CIT_Rate*(U369&gt;0)</f>
        <v>-846.830796865172</v>
      </c>
      <c r="V392" s="8" t="n">
        <f aca="false">-MAX(0,V389+V391)*CIT_Rate*(V369&gt;0)</f>
        <v>-850.223700441719</v>
      </c>
      <c r="W392" s="8" t="n">
        <f aca="false">-MAX(0,W389+W391)*CIT_Rate*(W369&gt;0)</f>
        <v>-853.488554242558</v>
      </c>
      <c r="X392" s="8" t="n">
        <f aca="false">-MAX(0,X389+X391)*CIT_Rate*(X369&gt;0)</f>
        <v>-856.620788508026</v>
      </c>
      <c r="Y392" s="8" t="n">
        <f aca="false">-MAX(0,Y389+Y391)*CIT_Rate*(Y369&gt;0)</f>
        <v>-859.615712221791</v>
      </c>
      <c r="Z392" s="8" t="n">
        <f aca="false">-MAX(0,Z389+Z391)*CIT_Rate*(Z369&gt;0)</f>
        <v>-862.468510085932</v>
      </c>
      <c r="AA392" s="8" t="n">
        <f aca="false">-MAX(0,AA389+AA391)*CIT_Rate*(AA369&gt;0)</f>
        <v>-865.174239421666</v>
      </c>
      <c r="AB392" s="8" t="n">
        <f aca="false">-MAX(0,AB389+AB391)*CIT_Rate*(AB369&gt;0)</f>
        <v>-867.727826993877</v>
      </c>
      <c r="AC392" s="8" t="n">
        <f aca="false">-MAX(0,AC389+AC391)*CIT_Rate*(AC369&gt;0)</f>
        <v>-870.124065757598</v>
      </c>
      <c r="AD392" s="8" t="n">
        <f aca="false">-MAX(0,AD389+AD391)*CIT_Rate*(AD369&gt;0)</f>
        <v>-872.357611524519</v>
      </c>
      <c r="AE392" s="8" t="n">
        <f aca="false">-MAX(0,AE389+AE391)*CIT_Rate*(AE369&gt;0)</f>
        <v>-874.422979547563</v>
      </c>
      <c r="AF392" s="8" t="n">
        <f aca="false">-MAX(0,AF389+AF391)*CIT_Rate*(AF369&gt;0)</f>
        <v>-876.314541021526</v>
      </c>
      <c r="AG392" s="8" t="n">
        <f aca="false">-MAX(0,AG389+AG391)*CIT_Rate*(AG369&gt;0)</f>
        <v>-878.026519497714</v>
      </c>
      <c r="AH392" s="8" t="n">
        <f aca="false">-MAX(0,AH389+AH391)*CIT_Rate*(AH369&gt;0)</f>
        <v>-879.552987210471</v>
      </c>
      <c r="AI392" s="8" t="n">
        <f aca="false">-MAX(0,AI389+AI391)*CIT_Rate*(AI369&gt;0)</f>
        <v>-1421.57736460796</v>
      </c>
      <c r="AJ392" s="8" t="n">
        <f aca="false">-MAX(0,AJ389+AJ391)*CIT_Rate*(AJ369&gt;0)</f>
        <v>-1422.71440331785</v>
      </c>
      <c r="AK392" s="8" t="n">
        <f aca="false">-MAX(0,AK389+AK391)*CIT_Rate*(AK369&gt;0)</f>
        <v>-1423.64720196349</v>
      </c>
      <c r="AL392" s="8" t="n">
        <f aca="false">-MAX(0,AL389+AL391)*CIT_Rate*(AL369&gt;0)</f>
        <v>-1424.36918893773</v>
      </c>
      <c r="AM392" s="8" t="n">
        <f aca="false">-MAX(0,AM389+AM391)*CIT_Rate*(AM369&gt;0)</f>
        <v>-1424.87362154996</v>
      </c>
      <c r="AN392" s="8" t="n">
        <f aca="false">-MAX(0,AN389+AN391)*CIT_Rate*(AN369&gt;0)</f>
        <v>-1425.15358177669</v>
      </c>
      <c r="AO392" s="8" t="n">
        <f aca="false">-MAX(0,AO389+AO391)*CIT_Rate*(AO369&gt;0)</f>
        <v>-1425.20197190776</v>
      </c>
      <c r="AP392" s="8" t="n">
        <f aca="false">-MAX(0,AP389+AP391)*CIT_Rate*(AP369&gt;0)</f>
        <v>-1425.01151008556</v>
      </c>
      <c r="AQ392" s="8" t="n">
        <f aca="false">-MAX(0,AQ389+AQ391)*CIT_Rate*(AQ369&gt;0)</f>
        <v>-1424.57472573466</v>
      </c>
      <c r="AR392" s="8" t="n">
        <f aca="false">-MAX(0,AR389+AR391)*CIT_Rate*(AR369&gt;0)</f>
        <v>-1423.88395487925</v>
      </c>
      <c r="AS392" s="8" t="n">
        <f aca="false">-MAX(0,AS389+AS391)*CIT_Rate*(AS369&gt;0)</f>
        <v>-711.46566767273</v>
      </c>
    </row>
    <row r="393" customFormat="false" ht="14.25" hidden="false" customHeight="false" outlineLevel="0" collapsed="false">
      <c r="C393" s="1" t="s">
        <v>319</v>
      </c>
      <c r="D393" s="2" t="s">
        <v>85</v>
      </c>
      <c r="H393" s="32" t="n">
        <f aca="false">SUM(J393:AS393)</f>
        <v>177841.52853484</v>
      </c>
      <c r="J393" s="32" t="n">
        <f aca="false">J390+J392</f>
        <v>0</v>
      </c>
      <c r="K393" s="32" t="n">
        <f aca="false">K390+K392</f>
        <v>0</v>
      </c>
      <c r="L393" s="32" t="n">
        <f aca="false">L390+L392</f>
        <v>0</v>
      </c>
      <c r="M393" s="32" t="n">
        <f aca="false">M390+M392</f>
        <v>-33450.8995260274</v>
      </c>
      <c r="N393" s="32" t="n">
        <f aca="false">N390+N392</f>
        <v>-26389</v>
      </c>
      <c r="O393" s="32" t="n">
        <f aca="false">O390+O392</f>
        <v>-9800.57505050548</v>
      </c>
      <c r="P393" s="32" t="n">
        <f aca="false">P390+P392</f>
        <v>8297.14835036852</v>
      </c>
      <c r="Q393" s="32" t="n">
        <f aca="false">Q390+Q392</f>
        <v>10262.1031051633</v>
      </c>
      <c r="R393" s="32" t="n">
        <f aca="false">R390+R392</f>
        <v>8341.52047911478</v>
      </c>
      <c r="S393" s="32" t="n">
        <f aca="false">S390+S392</f>
        <v>8362.77502973603</v>
      </c>
      <c r="T393" s="32" t="n">
        <f aca="false">T390+T392</f>
        <v>8383.37769345016</v>
      </c>
      <c r="U393" s="32" t="n">
        <f aca="false">U390+U392</f>
        <v>8403.30453753278</v>
      </c>
      <c r="V393" s="32" t="n">
        <f aca="false">V390+V392</f>
        <v>8422.53099113321</v>
      </c>
      <c r="W393" s="32" t="n">
        <f aca="false">W390+W392</f>
        <v>8441.03182933797</v>
      </c>
      <c r="X393" s="32" t="n">
        <f aca="false">X390+X392</f>
        <v>8458.78115684229</v>
      </c>
      <c r="Y393" s="32" t="n">
        <f aca="false">Y390+Y392</f>
        <v>8475.75239122029</v>
      </c>
      <c r="Z393" s="32" t="n">
        <f aca="false">Z390+Z392</f>
        <v>8491.91824578375</v>
      </c>
      <c r="AA393" s="32" t="n">
        <f aca="false">AA390+AA392</f>
        <v>8507.25071201958</v>
      </c>
      <c r="AB393" s="32" t="n">
        <f aca="false">AB390+AB392</f>
        <v>8521.72104159544</v>
      </c>
      <c r="AC393" s="32" t="n">
        <f aca="false">AC390+AC392</f>
        <v>8535.29972792319</v>
      </c>
      <c r="AD393" s="32" t="n">
        <f aca="false">AD390+AD392</f>
        <v>8547.95648726908</v>
      </c>
      <c r="AE393" s="32" t="n">
        <f aca="false">AE390+AE392</f>
        <v>8559.66023939966</v>
      </c>
      <c r="AF393" s="32" t="n">
        <f aca="false">AF390+AF392</f>
        <v>8570.37908775212</v>
      </c>
      <c r="AG393" s="32" t="n">
        <f aca="false">AG390+AG392</f>
        <v>8580.08029911718</v>
      </c>
      <c r="AH393" s="32" t="n">
        <f aca="false">AH390+AH392</f>
        <v>8588.7302828228</v>
      </c>
      <c r="AI393" s="32" t="n">
        <f aca="false">AI390+AI392</f>
        <v>8055.60506611177</v>
      </c>
      <c r="AJ393" s="32" t="n">
        <f aca="false">AJ390+AJ392</f>
        <v>8062.04828546784</v>
      </c>
      <c r="AK393" s="32" t="n">
        <f aca="false">AK390+AK392</f>
        <v>8067.33414445979</v>
      </c>
      <c r="AL393" s="32" t="n">
        <f aca="false">AL390+AL392</f>
        <v>8071.42540398047</v>
      </c>
      <c r="AM393" s="32" t="n">
        <f aca="false">AM390+AM392</f>
        <v>8074.28385544977</v>
      </c>
      <c r="AN393" s="32" t="n">
        <f aca="false">AN390+AN392</f>
        <v>8075.87029673459</v>
      </c>
      <c r="AO393" s="32" t="n">
        <f aca="false">AO390+AO392</f>
        <v>8076.14450747733</v>
      </c>
      <c r="AP393" s="32" t="n">
        <f aca="false">AP390+AP392</f>
        <v>8075.06522381815</v>
      </c>
      <c r="AQ393" s="32" t="n">
        <f aca="false">AQ390+AQ392</f>
        <v>8072.5901124964</v>
      </c>
      <c r="AR393" s="32" t="n">
        <f aca="false">AR390+AR392</f>
        <v>8068.67574431577</v>
      </c>
      <c r="AS393" s="32" t="n">
        <f aca="false">AS390+AS392</f>
        <v>4031.6387834788</v>
      </c>
    </row>
    <row r="394" customFormat="false" ht="14.25" hidden="false" customHeight="false" outlineLevel="0" collapsed="false">
      <c r="C394" s="6" t="s">
        <v>320</v>
      </c>
      <c r="D394" s="2" t="s">
        <v>85</v>
      </c>
      <c r="H394" s="8" t="n">
        <f aca="false">SUM(J394:AS394)</f>
        <v>43255.1602635616</v>
      </c>
      <c r="J394" s="8" t="n">
        <f aca="false">$E$99*Gearing*J370</f>
        <v>0</v>
      </c>
      <c r="K394" s="8" t="n">
        <f aca="false">$E$99*Gearing*K370</f>
        <v>0</v>
      </c>
      <c r="L394" s="8" t="n">
        <f aca="false">$E$99*Gearing*L370</f>
        <v>0</v>
      </c>
      <c r="M394" s="8" t="n">
        <f aca="false">$E$99*Gearing*M370</f>
        <v>0</v>
      </c>
      <c r="N394" s="8" t="n">
        <f aca="false">$E$99*Gearing*N370</f>
        <v>0</v>
      </c>
      <c r="O394" s="8" t="n">
        <f aca="false">$E$99*Gearing*O370</f>
        <v>43255.1602635616</v>
      </c>
      <c r="P394" s="8" t="n">
        <f aca="false">$E$99*Gearing*P370</f>
        <v>0</v>
      </c>
      <c r="Q394" s="8" t="n">
        <f aca="false">$E$99*Gearing*Q370</f>
        <v>0</v>
      </c>
      <c r="R394" s="8" t="n">
        <f aca="false">$E$99*Gearing*R370</f>
        <v>0</v>
      </c>
      <c r="S394" s="8" t="n">
        <f aca="false">$E$99*Gearing*S370</f>
        <v>0</v>
      </c>
      <c r="T394" s="8" t="n">
        <f aca="false">$E$99*Gearing*T370</f>
        <v>0</v>
      </c>
      <c r="U394" s="8" t="n">
        <f aca="false">$E$99*Gearing*U370</f>
        <v>0</v>
      </c>
      <c r="V394" s="8" t="n">
        <f aca="false">$E$99*Gearing*V370</f>
        <v>0</v>
      </c>
      <c r="W394" s="8" t="n">
        <f aca="false">$E$99*Gearing*W370</f>
        <v>0</v>
      </c>
      <c r="X394" s="8" t="n">
        <f aca="false">$E$99*Gearing*X370</f>
        <v>0</v>
      </c>
      <c r="Y394" s="8" t="n">
        <f aca="false">$E$99*Gearing*Y370</f>
        <v>0</v>
      </c>
      <c r="Z394" s="8" t="n">
        <f aca="false">$E$99*Gearing*Z370</f>
        <v>0</v>
      </c>
      <c r="AA394" s="8" t="n">
        <f aca="false">$E$99*Gearing*AA370</f>
        <v>0</v>
      </c>
      <c r="AB394" s="8" t="n">
        <f aca="false">$E$99*Gearing*AB370</f>
        <v>0</v>
      </c>
      <c r="AC394" s="8" t="n">
        <f aca="false">$E$99*Gearing*AC370</f>
        <v>0</v>
      </c>
      <c r="AD394" s="8" t="n">
        <f aca="false">$E$99*Gearing*AD370</f>
        <v>0</v>
      </c>
      <c r="AE394" s="8" t="n">
        <f aca="false">$E$99*Gearing*AE370</f>
        <v>0</v>
      </c>
      <c r="AF394" s="8" t="n">
        <f aca="false">$E$99*Gearing*AF370</f>
        <v>0</v>
      </c>
      <c r="AG394" s="8" t="n">
        <f aca="false">$E$99*Gearing*AG370</f>
        <v>0</v>
      </c>
      <c r="AH394" s="8" t="n">
        <f aca="false">$E$99*Gearing*AH370</f>
        <v>0</v>
      </c>
      <c r="AI394" s="8" t="n">
        <f aca="false">$E$99*Gearing*AI370</f>
        <v>0</v>
      </c>
      <c r="AJ394" s="8" t="n">
        <f aca="false">$E$99*Gearing*AJ370</f>
        <v>0</v>
      </c>
      <c r="AK394" s="8" t="n">
        <f aca="false">$E$99*Gearing*AK370</f>
        <v>0</v>
      </c>
      <c r="AL394" s="8" t="n">
        <f aca="false">$E$99*Gearing*AL370</f>
        <v>0</v>
      </c>
      <c r="AM394" s="8" t="n">
        <f aca="false">$E$99*Gearing*AM370</f>
        <v>0</v>
      </c>
      <c r="AN394" s="8" t="n">
        <f aca="false">$E$99*Gearing*AN370</f>
        <v>0</v>
      </c>
      <c r="AO394" s="8" t="n">
        <f aca="false">$E$99*Gearing*AO370</f>
        <v>0</v>
      </c>
      <c r="AP394" s="8" t="n">
        <f aca="false">$E$99*Gearing*AP370</f>
        <v>0</v>
      </c>
      <c r="AQ394" s="8" t="n">
        <f aca="false">$E$99*Gearing*AQ370</f>
        <v>0</v>
      </c>
      <c r="AR394" s="8" t="n">
        <f aca="false">$E$99*Gearing*AR370</f>
        <v>0</v>
      </c>
      <c r="AS394" s="8" t="n">
        <f aca="false">$E$99*Gearing*AS370</f>
        <v>0</v>
      </c>
    </row>
    <row r="395" customFormat="false" ht="14.25" hidden="false" customHeight="false" outlineLevel="0" collapsed="false">
      <c r="C395" s="6" t="s">
        <v>321</v>
      </c>
      <c r="D395" s="2" t="s">
        <v>85</v>
      </c>
      <c r="H395" s="8" t="n">
        <f aca="false">SUM(J395:AS395)</f>
        <v>-62509.5163604402</v>
      </c>
      <c r="J395" s="8" t="n">
        <f aca="false">PMT(Debt_Rate,Debt_Tenor,$E$99*Gearing)*(J365&gt;=1)*(J365&lt;=Debt_Tenor)</f>
        <v>-0</v>
      </c>
      <c r="K395" s="8" t="n">
        <f aca="false">PMT(Debt_Rate,Debt_Tenor,$E$99*Gearing)*(K365&gt;=1)*(K365&lt;=Debt_Tenor)</f>
        <v>-0</v>
      </c>
      <c r="L395" s="8" t="n">
        <f aca="false">PMT(Debt_Rate,Debt_Tenor,$E$99*Gearing)*(L365&gt;=1)*(L365&lt;=Debt_Tenor)</f>
        <v>-0</v>
      </c>
      <c r="M395" s="8" t="n">
        <f aca="false">PMT(Debt_Rate,Debt_Tenor,$E$99*Gearing)*(M365&gt;=1)*(M365&lt;=Debt_Tenor)</f>
        <v>-0</v>
      </c>
      <c r="N395" s="8" t="n">
        <f aca="false">PMT(Debt_Rate,Debt_Tenor,$E$99*Gearing)*(N365&gt;=1)*(N365&lt;=Debt_Tenor)</f>
        <v>-0</v>
      </c>
      <c r="O395" s="8" t="n">
        <f aca="false">PMT(Debt_Rate,Debt_Tenor,$E$99*Gearing)*(O365&gt;=1)*(O365&lt;=Debt_Tenor)</f>
        <v>-0</v>
      </c>
      <c r="P395" s="8" t="n">
        <f aca="false">PMT(Debt_Rate,Debt_Tenor,$E$99*Gearing)*(P365&gt;=1)*(P365&lt;=Debt_Tenor)</f>
        <v>-4167.30109069602</v>
      </c>
      <c r="Q395" s="8" t="n">
        <f aca="false">PMT(Debt_Rate,Debt_Tenor,$E$99*Gearing)*(Q365&gt;=1)*(Q365&lt;=Debt_Tenor)</f>
        <v>-4167.30109069602</v>
      </c>
      <c r="R395" s="8" t="n">
        <f aca="false">PMT(Debt_Rate,Debt_Tenor,$E$99*Gearing)*(R365&gt;=1)*(R365&lt;=Debt_Tenor)</f>
        <v>-4167.30109069602</v>
      </c>
      <c r="S395" s="8" t="n">
        <f aca="false">PMT(Debt_Rate,Debt_Tenor,$E$99*Gearing)*(S365&gt;=1)*(S365&lt;=Debt_Tenor)</f>
        <v>-4167.30109069602</v>
      </c>
      <c r="T395" s="8" t="n">
        <f aca="false">PMT(Debt_Rate,Debt_Tenor,$E$99*Gearing)*(T365&gt;=1)*(T365&lt;=Debt_Tenor)</f>
        <v>-4167.30109069602</v>
      </c>
      <c r="U395" s="8" t="n">
        <f aca="false">PMT(Debt_Rate,Debt_Tenor,$E$99*Gearing)*(U365&gt;=1)*(U365&lt;=Debt_Tenor)</f>
        <v>-4167.30109069602</v>
      </c>
      <c r="V395" s="8" t="n">
        <f aca="false">PMT(Debt_Rate,Debt_Tenor,$E$99*Gearing)*(V365&gt;=1)*(V365&lt;=Debt_Tenor)</f>
        <v>-4167.30109069602</v>
      </c>
      <c r="W395" s="8" t="n">
        <f aca="false">PMT(Debt_Rate,Debt_Tenor,$E$99*Gearing)*(W365&gt;=1)*(W365&lt;=Debt_Tenor)</f>
        <v>-4167.30109069602</v>
      </c>
      <c r="X395" s="8" t="n">
        <f aca="false">PMT(Debt_Rate,Debt_Tenor,$E$99*Gearing)*(X365&gt;=1)*(X365&lt;=Debt_Tenor)</f>
        <v>-4167.30109069602</v>
      </c>
      <c r="Y395" s="8" t="n">
        <f aca="false">PMT(Debt_Rate,Debt_Tenor,$E$99*Gearing)*(Y365&gt;=1)*(Y365&lt;=Debt_Tenor)</f>
        <v>-4167.30109069602</v>
      </c>
      <c r="Z395" s="8" t="n">
        <f aca="false">PMT(Debt_Rate,Debt_Tenor,$E$99*Gearing)*(Z365&gt;=1)*(Z365&lt;=Debt_Tenor)</f>
        <v>-4167.30109069602</v>
      </c>
      <c r="AA395" s="8" t="n">
        <f aca="false">PMT(Debt_Rate,Debt_Tenor,$E$99*Gearing)*(AA365&gt;=1)*(AA365&lt;=Debt_Tenor)</f>
        <v>-4167.30109069602</v>
      </c>
      <c r="AB395" s="8" t="n">
        <f aca="false">PMT(Debt_Rate,Debt_Tenor,$E$99*Gearing)*(AB365&gt;=1)*(AB365&lt;=Debt_Tenor)</f>
        <v>-4167.30109069602</v>
      </c>
      <c r="AC395" s="8" t="n">
        <f aca="false">PMT(Debt_Rate,Debt_Tenor,$E$99*Gearing)*(AC365&gt;=1)*(AC365&lt;=Debt_Tenor)</f>
        <v>-4167.30109069602</v>
      </c>
      <c r="AD395" s="8" t="n">
        <f aca="false">PMT(Debt_Rate,Debt_Tenor,$E$99*Gearing)*(AD365&gt;=1)*(AD365&lt;=Debt_Tenor)</f>
        <v>-4167.30109069602</v>
      </c>
      <c r="AE395" s="8" t="n">
        <f aca="false">PMT(Debt_Rate,Debt_Tenor,$E$99*Gearing)*(AE365&gt;=1)*(AE365&lt;=Debt_Tenor)</f>
        <v>-0</v>
      </c>
      <c r="AF395" s="8" t="n">
        <f aca="false">PMT(Debt_Rate,Debt_Tenor,$E$99*Gearing)*(AF365&gt;=1)*(AF365&lt;=Debt_Tenor)</f>
        <v>-0</v>
      </c>
      <c r="AG395" s="8" t="n">
        <f aca="false">PMT(Debt_Rate,Debt_Tenor,$E$99*Gearing)*(AG365&gt;=1)*(AG365&lt;=Debt_Tenor)</f>
        <v>-0</v>
      </c>
      <c r="AH395" s="8" t="n">
        <f aca="false">PMT(Debt_Rate,Debt_Tenor,$E$99*Gearing)*(AH365&gt;=1)*(AH365&lt;=Debt_Tenor)</f>
        <v>-0</v>
      </c>
      <c r="AI395" s="8" t="n">
        <f aca="false">PMT(Debt_Rate,Debt_Tenor,$E$99*Gearing)*(AI365&gt;=1)*(AI365&lt;=Debt_Tenor)</f>
        <v>-0</v>
      </c>
      <c r="AJ395" s="8" t="n">
        <f aca="false">PMT(Debt_Rate,Debt_Tenor,$E$99*Gearing)*(AJ365&gt;=1)*(AJ365&lt;=Debt_Tenor)</f>
        <v>-0</v>
      </c>
      <c r="AK395" s="8" t="n">
        <f aca="false">PMT(Debt_Rate,Debt_Tenor,$E$99*Gearing)*(AK365&gt;=1)*(AK365&lt;=Debt_Tenor)</f>
        <v>-0</v>
      </c>
      <c r="AL395" s="8" t="n">
        <f aca="false">PMT(Debt_Rate,Debt_Tenor,$E$99*Gearing)*(AL365&gt;=1)*(AL365&lt;=Debt_Tenor)</f>
        <v>-0</v>
      </c>
      <c r="AM395" s="8" t="n">
        <f aca="false">PMT(Debt_Rate,Debt_Tenor,$E$99*Gearing)*(AM365&gt;=1)*(AM365&lt;=Debt_Tenor)</f>
        <v>-0</v>
      </c>
      <c r="AN395" s="8" t="n">
        <f aca="false">PMT(Debt_Rate,Debt_Tenor,$E$99*Gearing)*(AN365&gt;=1)*(AN365&lt;=Debt_Tenor)</f>
        <v>-0</v>
      </c>
      <c r="AO395" s="8" t="n">
        <f aca="false">PMT(Debt_Rate,Debt_Tenor,$E$99*Gearing)*(AO365&gt;=1)*(AO365&lt;=Debt_Tenor)</f>
        <v>-0</v>
      </c>
      <c r="AP395" s="8" t="n">
        <f aca="false">PMT(Debt_Rate,Debt_Tenor,$E$99*Gearing)*(AP365&gt;=1)*(AP365&lt;=Debt_Tenor)</f>
        <v>-0</v>
      </c>
      <c r="AQ395" s="8" t="n">
        <f aca="false">PMT(Debt_Rate,Debt_Tenor,$E$99*Gearing)*(AQ365&gt;=1)*(AQ365&lt;=Debt_Tenor)</f>
        <v>-0</v>
      </c>
      <c r="AR395" s="8" t="n">
        <f aca="false">PMT(Debt_Rate,Debt_Tenor,$E$99*Gearing)*(AR365&gt;=1)*(AR365&lt;=Debt_Tenor)</f>
        <v>-0</v>
      </c>
      <c r="AS395" s="8" t="n">
        <f aca="false">PMT(Debt_Rate,Debt_Tenor,$E$99*Gearing)*(AS365&gt;=1)*(AS365&lt;=Debt_Tenor)</f>
        <v>-0</v>
      </c>
    </row>
    <row r="396" customFormat="false" ht="14.25" hidden="false" customHeight="false" outlineLevel="0" collapsed="false">
      <c r="C396" s="6" t="s">
        <v>322</v>
      </c>
      <c r="D396" s="2" t="s">
        <v>85</v>
      </c>
      <c r="H396" s="8" t="n">
        <f aca="false">SUM(J396:AS396)</f>
        <v>-19254.3560968785</v>
      </c>
      <c r="J396" s="8" t="n">
        <f aca="false">-I398*Debt_Rate*(J365&gt;=1)</f>
        <v>-0</v>
      </c>
      <c r="K396" s="8" t="n">
        <f aca="false">-J398*Debt_Rate*(K365&gt;=1)</f>
        <v>-0</v>
      </c>
      <c r="L396" s="8" t="n">
        <f aca="false">-K398*Debt_Rate*(L365&gt;=1)</f>
        <v>-0</v>
      </c>
      <c r="M396" s="8" t="n">
        <f aca="false">-L398*Debt_Rate*(M365&gt;=1)</f>
        <v>-0</v>
      </c>
      <c r="N396" s="8" t="n">
        <f aca="false">-M398*Debt_Rate*(N365&gt;=1)</f>
        <v>-0</v>
      </c>
      <c r="O396" s="8" t="n">
        <f aca="false">-N398*Debt_Rate*(O365&gt;=1)</f>
        <v>-0</v>
      </c>
      <c r="P396" s="8" t="n">
        <f aca="false">-O398*Debt_Rate*(P365&gt;=1)</f>
        <v>-2162.75801317808</v>
      </c>
      <c r="Q396" s="8" t="n">
        <f aca="false">-P398*Debt_Rate*(Q365&gt;=1)</f>
        <v>-2062.53085930219</v>
      </c>
      <c r="R396" s="8" t="n">
        <f aca="false">-Q398*Debt_Rate*(R365&gt;=1)</f>
        <v>-1957.29234773249</v>
      </c>
      <c r="S396" s="8" t="n">
        <f aca="false">-R398*Debt_Rate*(S365&gt;=1)</f>
        <v>-1846.79191058432</v>
      </c>
      <c r="T396" s="8" t="n">
        <f aca="false">-S398*Debt_Rate*(T365&gt;=1)</f>
        <v>-1730.76645157873</v>
      </c>
      <c r="U396" s="8" t="n">
        <f aca="false">-T398*Debt_Rate*(U365&gt;=1)</f>
        <v>-1608.93971962287</v>
      </c>
      <c r="V396" s="8" t="n">
        <f aca="false">-U398*Debt_Rate*(V365&gt;=1)</f>
        <v>-1481.02165106921</v>
      </c>
      <c r="W396" s="8" t="n">
        <f aca="false">-V398*Debt_Rate*(W365&gt;=1)</f>
        <v>-1346.70767908787</v>
      </c>
      <c r="X396" s="8" t="n">
        <f aca="false">-W398*Debt_Rate*(X365&gt;=1)</f>
        <v>-1205.67800850746</v>
      </c>
      <c r="Y396" s="8" t="n">
        <f aca="false">-X398*Debt_Rate*(Y365&gt;=1)</f>
        <v>-1057.59685439804</v>
      </c>
      <c r="Z396" s="8" t="n">
        <f aca="false">-Y398*Debt_Rate*(Z365&gt;=1)</f>
        <v>-902.111642583137</v>
      </c>
      <c r="AA396" s="8" t="n">
        <f aca="false">-Z398*Debt_Rate*(AA365&gt;=1)</f>
        <v>-738.852170177494</v>
      </c>
      <c r="AB396" s="8" t="n">
        <f aca="false">-AA398*Debt_Rate*(AB365&gt;=1)</f>
        <v>-567.429724151567</v>
      </c>
      <c r="AC396" s="8" t="n">
        <f aca="false">-AB398*Debt_Rate*(AC365&gt;=1)</f>
        <v>-387.436155824345</v>
      </c>
      <c r="AD396" s="8" t="n">
        <f aca="false">-AC398*Debt_Rate*(AD365&gt;=1)</f>
        <v>-198.442909080761</v>
      </c>
      <c r="AE396" s="8" t="n">
        <f aca="false">-AD398*Debt_Rate*(AE365&gt;=1)</f>
        <v>1.36424205265939E-012</v>
      </c>
      <c r="AF396" s="8" t="n">
        <f aca="false">-AE398*Debt_Rate*(AF365&gt;=1)</f>
        <v>1.43245415529236E-012</v>
      </c>
      <c r="AG396" s="8" t="n">
        <f aca="false">-AF398*Debt_Rate*(AG365&gt;=1)</f>
        <v>1.50407686305698E-012</v>
      </c>
      <c r="AH396" s="8" t="n">
        <f aca="false">-AG398*Debt_Rate*(AH365&gt;=1)</f>
        <v>1.57928070620983E-012</v>
      </c>
      <c r="AI396" s="8" t="n">
        <f aca="false">-AH398*Debt_Rate*(AI365&gt;=1)</f>
        <v>1.65824474152032E-012</v>
      </c>
      <c r="AJ396" s="8" t="n">
        <f aca="false">-AI398*Debt_Rate*(AJ365&gt;=1)</f>
        <v>1.74115697859634E-012</v>
      </c>
      <c r="AK396" s="8" t="n">
        <f aca="false">-AJ398*Debt_Rate*(AK365&gt;=1)</f>
        <v>1.82821482752615E-012</v>
      </c>
      <c r="AL396" s="8" t="n">
        <f aca="false">-AK398*Debt_Rate*(AL365&gt;=1)</f>
        <v>1.91962556890246E-012</v>
      </c>
      <c r="AM396" s="8" t="n">
        <f aca="false">-AL398*Debt_Rate*(AM365&gt;=1)</f>
        <v>2.01560684734758E-012</v>
      </c>
      <c r="AN396" s="8" t="n">
        <f aca="false">-AM398*Debt_Rate*(AN365&gt;=1)</f>
        <v>2.11638718971496E-012</v>
      </c>
      <c r="AO396" s="8" t="n">
        <f aca="false">-AN398*Debt_Rate*(AO365&gt;=1)</f>
        <v>2.22220654920071E-012</v>
      </c>
      <c r="AP396" s="8" t="n">
        <f aca="false">-AO398*Debt_Rate*(AP365&gt;=1)</f>
        <v>2.33331687666075E-012</v>
      </c>
      <c r="AQ396" s="8" t="n">
        <f aca="false">-AP398*Debt_Rate*(AQ365&gt;=1)</f>
        <v>2.44998272049379E-012</v>
      </c>
      <c r="AR396" s="8" t="n">
        <f aca="false">-AQ398*Debt_Rate*(AR365&gt;=1)</f>
        <v>2.57248185651847E-012</v>
      </c>
      <c r="AS396" s="8" t="n">
        <f aca="false">-AR398*Debt_Rate*(AS365&gt;=1)</f>
        <v>2.7011059493444E-012</v>
      </c>
    </row>
    <row r="397" customFormat="false" ht="14.25" hidden="false" customHeight="false" outlineLevel="0" collapsed="false">
      <c r="C397" s="6" t="s">
        <v>323</v>
      </c>
      <c r="D397" s="2" t="s">
        <v>85</v>
      </c>
      <c r="H397" s="8" t="n">
        <f aca="false">SUM(J397:AS397)</f>
        <v>-43255.1602635617</v>
      </c>
      <c r="J397" s="8" t="n">
        <f aca="false">J395-J396</f>
        <v>0</v>
      </c>
      <c r="K397" s="8" t="n">
        <f aca="false">K395-K396</f>
        <v>0</v>
      </c>
      <c r="L397" s="8" t="n">
        <f aca="false">L395-L396</f>
        <v>0</v>
      </c>
      <c r="M397" s="8" t="n">
        <f aca="false">M395-M396</f>
        <v>0</v>
      </c>
      <c r="N397" s="8" t="n">
        <f aca="false">N395-N396</f>
        <v>0</v>
      </c>
      <c r="O397" s="8" t="n">
        <f aca="false">O395-O396</f>
        <v>0</v>
      </c>
      <c r="P397" s="8" t="n">
        <f aca="false">P395-P396</f>
        <v>-2004.54307751793</v>
      </c>
      <c r="Q397" s="8" t="n">
        <f aca="false">Q395-Q396</f>
        <v>-2104.77023139383</v>
      </c>
      <c r="R397" s="8" t="n">
        <f aca="false">R395-R396</f>
        <v>-2210.00874296352</v>
      </c>
      <c r="S397" s="8" t="n">
        <f aca="false">S395-S396</f>
        <v>-2320.5091801117</v>
      </c>
      <c r="T397" s="8" t="n">
        <f aca="false">T395-T396</f>
        <v>-2436.53463911728</v>
      </c>
      <c r="U397" s="8" t="n">
        <f aca="false">U395-U396</f>
        <v>-2558.36137107315</v>
      </c>
      <c r="V397" s="8" t="n">
        <f aca="false">V395-V396</f>
        <v>-2686.2794396268</v>
      </c>
      <c r="W397" s="8" t="n">
        <f aca="false">W395-W396</f>
        <v>-2820.59341160814</v>
      </c>
      <c r="X397" s="8" t="n">
        <f aca="false">X395-X396</f>
        <v>-2961.62308218855</v>
      </c>
      <c r="Y397" s="8" t="n">
        <f aca="false">Y395-Y396</f>
        <v>-3109.70423629798</v>
      </c>
      <c r="Z397" s="8" t="n">
        <f aca="false">Z395-Z396</f>
        <v>-3265.18944811288</v>
      </c>
      <c r="AA397" s="8" t="n">
        <f aca="false">AA395-AA396</f>
        <v>-3428.44892051852</v>
      </c>
      <c r="AB397" s="8" t="n">
        <f aca="false">AB395-AB396</f>
        <v>-3599.87136654445</v>
      </c>
      <c r="AC397" s="8" t="n">
        <f aca="false">AC395-AC396</f>
        <v>-3779.86493487167</v>
      </c>
      <c r="AD397" s="8" t="n">
        <f aca="false">AD395-AD396</f>
        <v>-3968.85818161525</v>
      </c>
      <c r="AE397" s="8" t="n">
        <f aca="false">AE395-AE396</f>
        <v>-1.36424205265939E-012</v>
      </c>
      <c r="AF397" s="8" t="n">
        <f aca="false">AF395-AF396</f>
        <v>-1.43245415529236E-012</v>
      </c>
      <c r="AG397" s="8" t="n">
        <f aca="false">AG395-AG396</f>
        <v>-1.50407686305698E-012</v>
      </c>
      <c r="AH397" s="8" t="n">
        <f aca="false">AH395-AH396</f>
        <v>-1.57928070620983E-012</v>
      </c>
      <c r="AI397" s="8" t="n">
        <f aca="false">AI395-AI396</f>
        <v>-1.65824474152032E-012</v>
      </c>
      <c r="AJ397" s="8" t="n">
        <f aca="false">AJ395-AJ396</f>
        <v>-1.74115697859634E-012</v>
      </c>
      <c r="AK397" s="8" t="n">
        <f aca="false">AK395-AK396</f>
        <v>-1.82821482752615E-012</v>
      </c>
      <c r="AL397" s="8" t="n">
        <f aca="false">AL395-AL396</f>
        <v>-1.91962556890246E-012</v>
      </c>
      <c r="AM397" s="8" t="n">
        <f aca="false">AM395-AM396</f>
        <v>-2.01560684734758E-012</v>
      </c>
      <c r="AN397" s="8" t="n">
        <f aca="false">AN395-AN396</f>
        <v>-2.11638718971496E-012</v>
      </c>
      <c r="AO397" s="8" t="n">
        <f aca="false">AO395-AO396</f>
        <v>-2.22220654920071E-012</v>
      </c>
      <c r="AP397" s="8" t="n">
        <f aca="false">AP395-AP396</f>
        <v>-2.33331687666075E-012</v>
      </c>
      <c r="AQ397" s="8" t="n">
        <f aca="false">AQ395-AQ396</f>
        <v>-2.44998272049379E-012</v>
      </c>
      <c r="AR397" s="8" t="n">
        <f aca="false">AR395-AR396</f>
        <v>-2.57248185651847E-012</v>
      </c>
      <c r="AS397" s="8" t="n">
        <f aca="false">AS395-AS396</f>
        <v>-2.7011059493444E-012</v>
      </c>
    </row>
    <row r="398" customFormat="false" ht="14.25" hidden="false" customHeight="false" outlineLevel="0" collapsed="false">
      <c r="C398" s="6" t="s">
        <v>324</v>
      </c>
      <c r="D398" s="2" t="s">
        <v>85</v>
      </c>
      <c r="H398" s="8"/>
      <c r="J398" s="8" t="n">
        <f aca="false">I398+J394+J397</f>
        <v>0</v>
      </c>
      <c r="K398" s="8" t="n">
        <f aca="false">J398+K394+K397</f>
        <v>0</v>
      </c>
      <c r="L398" s="8" t="n">
        <f aca="false">K398+L394+L397</f>
        <v>0</v>
      </c>
      <c r="M398" s="8" t="n">
        <f aca="false">L398+M394+M397</f>
        <v>0</v>
      </c>
      <c r="N398" s="8" t="n">
        <f aca="false">M398+N394+N397</f>
        <v>0</v>
      </c>
      <c r="O398" s="8" t="n">
        <f aca="false">N398+O394+O397</f>
        <v>43255.1602635616</v>
      </c>
      <c r="P398" s="8" t="n">
        <f aca="false">O398+P394+P397</f>
        <v>41250.6171860437</v>
      </c>
      <c r="Q398" s="8" t="n">
        <f aca="false">P398+Q394+Q397</f>
        <v>39145.8469546499</v>
      </c>
      <c r="R398" s="8" t="n">
        <f aca="false">Q398+R394+R397</f>
        <v>36935.8382116864</v>
      </c>
      <c r="S398" s="8" t="n">
        <f aca="false">R398+S394+S397</f>
        <v>34615.3290315747</v>
      </c>
      <c r="T398" s="8" t="n">
        <f aca="false">S398+T394+T397</f>
        <v>32178.7943924574</v>
      </c>
      <c r="U398" s="8" t="n">
        <f aca="false">T398+U394+U397</f>
        <v>29620.4330213842</v>
      </c>
      <c r="V398" s="8" t="n">
        <f aca="false">U398+V394+V397</f>
        <v>26934.1535817574</v>
      </c>
      <c r="W398" s="8" t="n">
        <f aca="false">V398+W394+W397</f>
        <v>24113.5601701493</v>
      </c>
      <c r="X398" s="8" t="n">
        <f aca="false">W398+X394+X397</f>
        <v>21151.9370879607</v>
      </c>
      <c r="Y398" s="8" t="n">
        <f aca="false">X398+Y394+Y397</f>
        <v>18042.2328516627</v>
      </c>
      <c r="Z398" s="8" t="n">
        <f aca="false">Y398+Z394+Z397</f>
        <v>14777.0434035499</v>
      </c>
      <c r="AA398" s="8" t="n">
        <f aca="false">Z398+AA394+AA397</f>
        <v>11348.5944830313</v>
      </c>
      <c r="AB398" s="8" t="n">
        <f aca="false">AA398+AB394+AB397</f>
        <v>7748.7231164869</v>
      </c>
      <c r="AC398" s="8" t="n">
        <f aca="false">AB398+AC394+AC397</f>
        <v>3968.85818161523</v>
      </c>
      <c r="AD398" s="8" t="n">
        <f aca="false">AC398+AD394+AD397</f>
        <v>-2.72848410531878E-011</v>
      </c>
      <c r="AE398" s="8" t="n">
        <f aca="false">AD398+AE394+AE397</f>
        <v>-2.86490831058472E-011</v>
      </c>
      <c r="AF398" s="8" t="n">
        <f aca="false">AE398+AF394+AF397</f>
        <v>-3.00815372611396E-011</v>
      </c>
      <c r="AG398" s="8" t="n">
        <f aca="false">AF398+AG394+AG397</f>
        <v>-3.15856141241966E-011</v>
      </c>
      <c r="AH398" s="8" t="n">
        <f aca="false">AG398+AH394+AH397</f>
        <v>-3.31648948304064E-011</v>
      </c>
      <c r="AI398" s="8" t="n">
        <f aca="false">AH398+AI394+AI397</f>
        <v>-3.48231395719267E-011</v>
      </c>
      <c r="AJ398" s="8" t="n">
        <f aca="false">AI398+AJ394+AJ397</f>
        <v>-3.65642965505231E-011</v>
      </c>
      <c r="AK398" s="8" t="n">
        <f aca="false">AJ398+AK394+AK397</f>
        <v>-3.83925113780492E-011</v>
      </c>
      <c r="AL398" s="8" t="n">
        <f aca="false">AK398+AL394+AL397</f>
        <v>-4.03121369469517E-011</v>
      </c>
      <c r="AM398" s="8" t="n">
        <f aca="false">AL398+AM394+AM397</f>
        <v>-4.23277437942993E-011</v>
      </c>
      <c r="AN398" s="8" t="n">
        <f aca="false">AM398+AN394+AN397</f>
        <v>-4.44441309840142E-011</v>
      </c>
      <c r="AO398" s="8" t="n">
        <f aca="false">AN398+AO394+AO397</f>
        <v>-4.6666337533215E-011</v>
      </c>
      <c r="AP398" s="8" t="n">
        <f aca="false">AO398+AP394+AP397</f>
        <v>-4.89996544098757E-011</v>
      </c>
      <c r="AQ398" s="8" t="n">
        <f aca="false">AP398+AQ394+AQ397</f>
        <v>-5.14496371303695E-011</v>
      </c>
      <c r="AR398" s="8" t="n">
        <f aca="false">AQ398+AR394+AR397</f>
        <v>-5.4022118986888E-011</v>
      </c>
      <c r="AS398" s="8" t="n">
        <f aca="false">AR398+AS394+AS397</f>
        <v>-5.67232249362324E-011</v>
      </c>
    </row>
    <row r="399" customFormat="false" ht="14.25" hidden="false" customHeight="false" outlineLevel="0" collapsed="false">
      <c r="C399" s="6" t="s">
        <v>325</v>
      </c>
      <c r="D399" s="2" t="s">
        <v>85</v>
      </c>
      <c r="H399" s="8" t="n">
        <f aca="false">SUM(J399:AS399)</f>
        <v>-28495.6457386753</v>
      </c>
      <c r="J399" s="8" t="n">
        <f aca="false">-MAX(0,J389+J391+J396)*CIT_Rate*(J369&gt;0)</f>
        <v>-0</v>
      </c>
      <c r="K399" s="8" t="n">
        <f aca="false">-MAX(0,K389+K391+K396)*CIT_Rate*(K369&gt;0)</f>
        <v>-0</v>
      </c>
      <c r="L399" s="8" t="n">
        <f aca="false">-MAX(0,L389+L391+L396)*CIT_Rate*(L369&gt;0)</f>
        <v>-0</v>
      </c>
      <c r="M399" s="8" t="n">
        <f aca="false">-MAX(0,M389+M391+M396)*CIT_Rate*(M369&gt;0)</f>
        <v>-0</v>
      </c>
      <c r="N399" s="8" t="n">
        <f aca="false">-MAX(0,N389+N391+N396)*CIT_Rate*(N369&gt;0)</f>
        <v>-0</v>
      </c>
      <c r="O399" s="8" t="n">
        <f aca="false">-MAX(0,O389+O391+O396)*CIT_Rate*(O369&gt;0)</f>
        <v>-139.293222505479</v>
      </c>
      <c r="P399" s="8" t="n">
        <f aca="false">-MAX(0,P389+P391+P396)*CIT_Rate*(P369&gt;0)</f>
        <v>-503.683650094767</v>
      </c>
      <c r="Q399" s="8" t="n">
        <f aca="false">-MAX(0,Q389+Q391+Q396)*CIT_Rate*(Q369&gt;0)</f>
        <v>-522.686370476765</v>
      </c>
      <c r="R399" s="8" t="n">
        <f aca="false">-MAX(0,R389+R391+R396)*CIT_Rate*(R369&gt;0)</f>
        <v>-542.333875572711</v>
      </c>
      <c r="S399" s="8" t="n">
        <f aca="false">-MAX(0,S389+S391+S396)*CIT_Rate*(S369&gt;0)</f>
        <v>-562.659744195745</v>
      </c>
      <c r="T399" s="8" t="n">
        <f aca="false">-MAX(0,T389+T391+T396)*CIT_Rate*(T369&gt;0)</f>
        <v>-583.699327231429</v>
      </c>
      <c r="U399" s="8" t="n">
        <f aca="false">-MAX(0,U389+U391+U396)*CIT_Rate*(U369&gt;0)</f>
        <v>-605.489838921742</v>
      </c>
      <c r="V399" s="8" t="n">
        <f aca="false">-MAX(0,V389+V391+V396)*CIT_Rate*(V369&gt;0)</f>
        <v>-628.070452781338</v>
      </c>
      <c r="W399" s="8" t="n">
        <f aca="false">-MAX(0,W389+W391+W396)*CIT_Rate*(W369&gt;0)</f>
        <v>-651.482402379378</v>
      </c>
      <c r="X399" s="8" t="n">
        <f aca="false">-MAX(0,X389+X391+X396)*CIT_Rate*(X369&gt;0)</f>
        <v>-675.769087231907</v>
      </c>
      <c r="Y399" s="8" t="n">
        <f aca="false">-MAX(0,Y389+Y391+Y396)*CIT_Rate*(Y369&gt;0)</f>
        <v>-700.976184062085</v>
      </c>
      <c r="Z399" s="8" t="n">
        <f aca="false">-MAX(0,Z389+Z391+Z396)*CIT_Rate*(Z369&gt;0)</f>
        <v>-727.151763698461</v>
      </c>
      <c r="AA399" s="8" t="n">
        <f aca="false">-MAX(0,AA389+AA391+AA396)*CIT_Rate*(AA369&gt;0)</f>
        <v>-754.346413895042</v>
      </c>
      <c r="AB399" s="8" t="n">
        <f aca="false">-MAX(0,AB389+AB391+AB396)*CIT_Rate*(AB369&gt;0)</f>
        <v>-782.613368371142</v>
      </c>
      <c r="AC399" s="8" t="n">
        <f aca="false">-MAX(0,AC389+AC391+AC396)*CIT_Rate*(AC369&gt;0)</f>
        <v>-812.008642383946</v>
      </c>
      <c r="AD399" s="8" t="n">
        <f aca="false">-MAX(0,AD389+AD391+AD396)*CIT_Rate*(AD369&gt;0)</f>
        <v>-842.591175162404</v>
      </c>
      <c r="AE399" s="8" t="n">
        <f aca="false">-MAX(0,AE389+AE391+AE396)*CIT_Rate*(AE369&gt;0)</f>
        <v>-874.422979547563</v>
      </c>
      <c r="AF399" s="8" t="n">
        <f aca="false">-MAX(0,AF389+AF391+AF396)*CIT_Rate*(AF369&gt;0)</f>
        <v>-876.314541021526</v>
      </c>
      <c r="AG399" s="8" t="n">
        <f aca="false">-MAX(0,AG389+AG391+AG396)*CIT_Rate*(AG369&gt;0)</f>
        <v>-878.026519497714</v>
      </c>
      <c r="AH399" s="8" t="n">
        <f aca="false">-MAX(0,AH389+AH391+AH396)*CIT_Rate*(AH369&gt;0)</f>
        <v>-879.552987210471</v>
      </c>
      <c r="AI399" s="8" t="n">
        <f aca="false">-MAX(0,AI389+AI391+AI396)*CIT_Rate*(AI369&gt;0)</f>
        <v>-1421.57736460796</v>
      </c>
      <c r="AJ399" s="8" t="n">
        <f aca="false">-MAX(0,AJ389+AJ391+AJ396)*CIT_Rate*(AJ369&gt;0)</f>
        <v>-1422.71440331785</v>
      </c>
      <c r="AK399" s="8" t="n">
        <f aca="false">-MAX(0,AK389+AK391+AK396)*CIT_Rate*(AK369&gt;0)</f>
        <v>-1423.64720196349</v>
      </c>
      <c r="AL399" s="8" t="n">
        <f aca="false">-MAX(0,AL389+AL391+AL396)*CIT_Rate*(AL369&gt;0)</f>
        <v>-1424.36918893773</v>
      </c>
      <c r="AM399" s="8" t="n">
        <f aca="false">-MAX(0,AM389+AM391+AM396)*CIT_Rate*(AM369&gt;0)</f>
        <v>-1424.87362154996</v>
      </c>
      <c r="AN399" s="8" t="n">
        <f aca="false">-MAX(0,AN389+AN391+AN396)*CIT_Rate*(AN369&gt;0)</f>
        <v>-1425.15358177669</v>
      </c>
      <c r="AO399" s="8" t="n">
        <f aca="false">-MAX(0,AO389+AO391+AO396)*CIT_Rate*(AO369&gt;0)</f>
        <v>-1425.20197190776</v>
      </c>
      <c r="AP399" s="8" t="n">
        <f aca="false">-MAX(0,AP389+AP391+AP396)*CIT_Rate*(AP369&gt;0)</f>
        <v>-1425.01151008556</v>
      </c>
      <c r="AQ399" s="8" t="n">
        <f aca="false">-MAX(0,AQ389+AQ391+AQ396)*CIT_Rate*(AQ369&gt;0)</f>
        <v>-1424.57472573466</v>
      </c>
      <c r="AR399" s="8" t="n">
        <f aca="false">-MAX(0,AR389+AR391+AR396)*CIT_Rate*(AR369&gt;0)</f>
        <v>-1423.88395487925</v>
      </c>
      <c r="AS399" s="8" t="n">
        <f aca="false">-MAX(0,AS389+AS391+AS396)*CIT_Rate*(AS369&gt;0)</f>
        <v>-711.46566767273</v>
      </c>
    </row>
    <row r="400" customFormat="false" ht="14.25" hidden="false" customHeight="false" outlineLevel="0" collapsed="false">
      <c r="C400" s="1" t="s">
        <v>163</v>
      </c>
      <c r="D400" s="2" t="s">
        <v>85</v>
      </c>
      <c r="H400" s="32" t="n">
        <f aca="false">SUM(J400:AS400)</f>
        <v>161475.325852493</v>
      </c>
      <c r="J400" s="32" t="n">
        <f aca="false">J390+J394+J395+J399</f>
        <v>0</v>
      </c>
      <c r="K400" s="32" t="n">
        <f aca="false">K390+K394+K395+K399</f>
        <v>0</v>
      </c>
      <c r="L400" s="32" t="n">
        <f aca="false">L390+L394+L395+L399</f>
        <v>0</v>
      </c>
      <c r="M400" s="32" t="n">
        <f aca="false">M390+M394+M395+M399</f>
        <v>-33450.8995260274</v>
      </c>
      <c r="N400" s="32" t="n">
        <f aca="false">N390+N394+N395+N399</f>
        <v>-26389</v>
      </c>
      <c r="O400" s="32" t="n">
        <f aca="false">O390+O394+O395+O399</f>
        <v>33454.5852130562</v>
      </c>
      <c r="P400" s="32" t="n">
        <f aca="false">P390+P394+P395+P399</f>
        <v>4454.26096164922</v>
      </c>
      <c r="Q400" s="32" t="n">
        <f aca="false">Q390+Q394+Q395+Q399</f>
        <v>6404.18164336263</v>
      </c>
      <c r="R400" s="32" t="n">
        <f aca="false">R390+R394+R395+R399</f>
        <v>4467.81324057864</v>
      </c>
      <c r="S400" s="32" t="n">
        <f aca="false">S390+S394+S395+S399</f>
        <v>4472.49272562766</v>
      </c>
      <c r="T400" s="32" t="n">
        <f aca="false">T390+T394+T395+T399</f>
        <v>4475.69157049095</v>
      </c>
      <c r="U400" s="32" t="n">
        <f aca="false">U390+U394+U395+U399</f>
        <v>4477.34440478019</v>
      </c>
      <c r="V400" s="32" t="n">
        <f aca="false">V390+V394+V395+V399</f>
        <v>4477.38314809758</v>
      </c>
      <c r="W400" s="32" t="n">
        <f aca="false">W390+W394+W395+W399</f>
        <v>4475.73689050513</v>
      </c>
      <c r="X400" s="32" t="n">
        <f aca="false">X390+X394+X395+X399</f>
        <v>4472.33176742239</v>
      </c>
      <c r="Y400" s="32" t="n">
        <f aca="false">Y390+Y394+Y395+Y399</f>
        <v>4467.09082868398</v>
      </c>
      <c r="Z400" s="32" t="n">
        <f aca="false">Z390+Z394+Z395+Z399</f>
        <v>4459.93390147521</v>
      </c>
      <c r="AA400" s="32" t="n">
        <f aca="false">AA390+AA394+AA395+AA399</f>
        <v>4450.77744685018</v>
      </c>
      <c r="AB400" s="32" t="n">
        <f aca="false">AB390+AB394+AB395+AB399</f>
        <v>4439.53440952216</v>
      </c>
      <c r="AC400" s="32" t="n">
        <f aca="false">AC390+AC394+AC395+AC399</f>
        <v>4426.11406060083</v>
      </c>
      <c r="AD400" s="32" t="n">
        <f aca="false">AD390+AD394+AD395+AD399</f>
        <v>4410.42183293517</v>
      </c>
      <c r="AE400" s="32" t="n">
        <f aca="false">AE390+AE394+AE395+AE399</f>
        <v>8559.66023939966</v>
      </c>
      <c r="AF400" s="32" t="n">
        <f aca="false">AF390+AF394+AF395+AF399</f>
        <v>8570.37908775212</v>
      </c>
      <c r="AG400" s="32" t="n">
        <f aca="false">AG390+AG394+AG395+AG399</f>
        <v>8580.08029911718</v>
      </c>
      <c r="AH400" s="32" t="n">
        <f aca="false">AH390+AH394+AH395+AH399</f>
        <v>8588.7302828228</v>
      </c>
      <c r="AI400" s="32" t="n">
        <f aca="false">AI390+AI394+AI395+AI399</f>
        <v>8055.60506611177</v>
      </c>
      <c r="AJ400" s="32" t="n">
        <f aca="false">AJ390+AJ394+AJ395+AJ399</f>
        <v>8062.04828546784</v>
      </c>
      <c r="AK400" s="32" t="n">
        <f aca="false">AK390+AK394+AK395+AK399</f>
        <v>8067.33414445979</v>
      </c>
      <c r="AL400" s="32" t="n">
        <f aca="false">AL390+AL394+AL395+AL399</f>
        <v>8071.42540398047</v>
      </c>
      <c r="AM400" s="32" t="n">
        <f aca="false">AM390+AM394+AM395+AM399</f>
        <v>8074.28385544977</v>
      </c>
      <c r="AN400" s="32" t="n">
        <f aca="false">AN390+AN394+AN395+AN399</f>
        <v>8075.87029673459</v>
      </c>
      <c r="AO400" s="32" t="n">
        <f aca="false">AO390+AO394+AO395+AO399</f>
        <v>8076.14450747733</v>
      </c>
      <c r="AP400" s="32" t="n">
        <f aca="false">AP390+AP394+AP395+AP399</f>
        <v>8075.06522381815</v>
      </c>
      <c r="AQ400" s="32" t="n">
        <f aca="false">AQ390+AQ394+AQ395+AQ399</f>
        <v>8072.5901124964</v>
      </c>
      <c r="AR400" s="32" t="n">
        <f aca="false">AR390+AR394+AR395+AR399</f>
        <v>8068.67574431577</v>
      </c>
      <c r="AS400" s="32" t="n">
        <f aca="false">AS390+AS394+AS395+AS399</f>
        <v>4031.6387834788</v>
      </c>
    </row>
    <row r="401" customFormat="false" ht="14.25" hidden="false" customHeight="false" outlineLevel="0" collapsed="false">
      <c r="C401" s="6" t="s">
        <v>326</v>
      </c>
      <c r="D401" s="2" t="s">
        <v>3</v>
      </c>
      <c r="H401" s="47" t="n">
        <f aca="false">MIN(J401:AS401)</f>
        <v>2.18972555710294</v>
      </c>
      <c r="J401" s="47" t="str">
        <f aca="false">IF(J395&lt;0,-J389/J395,"")</f>
        <v/>
      </c>
      <c r="K401" s="47" t="str">
        <f aca="false">IF(K395&lt;0,-K389/K395,"")</f>
        <v/>
      </c>
      <c r="L401" s="47" t="str">
        <f aca="false">IF(L395&lt;0,-L389/L395,"")</f>
        <v/>
      </c>
      <c r="M401" s="47" t="str">
        <f aca="false">IF(M395&lt;0,-M389/M395,"")</f>
        <v/>
      </c>
      <c r="N401" s="47" t="str">
        <f aca="false">IF(N395&lt;0,-N389/N395,"")</f>
        <v/>
      </c>
      <c r="O401" s="47" t="str">
        <f aca="false">IF(O395&lt;0,-O389/O395,"")</f>
        <v/>
      </c>
      <c r="P401" s="47" t="n">
        <f aca="false">IF(P395&lt;0,-P389/P395,"")</f>
        <v>2.18972555710294</v>
      </c>
      <c r="Q401" s="47" t="n">
        <f aca="false">IF(Q395&lt;0,-Q389/Q395,"")</f>
        <v>2.1960744260939</v>
      </c>
      <c r="R401" s="47" t="n">
        <f aca="false">IF(R395&lt;0,-R389/R395,"")</f>
        <v>2.20225225082418</v>
      </c>
      <c r="S401" s="47" t="n">
        <f aca="false">IF(S395&lt;0,-S389/S395,"")</f>
        <v>2.20825262207834</v>
      </c>
      <c r="T401" s="47" t="n">
        <f aca="false">IF(T395&lt;0,-T389/T395,"")</f>
        <v>2.21406895916834</v>
      </c>
      <c r="U401" s="47" t="n">
        <f aca="false">IF(U395&lt;0,-U389/U395,"")</f>
        <v>2.21969450564778</v>
      </c>
      <c r="V401" s="47" t="n">
        <f aca="false">IF(V395&lt;0,-V389/V395,"")</f>
        <v>2.2251223249209</v>
      </c>
      <c r="W401" s="47" t="n">
        <f aca="false">IF(W395&lt;0,-W389/W395,"")</f>
        <v>2.23034529574348</v>
      </c>
      <c r="X401" s="47" t="n">
        <f aca="false">IF(X395&lt;0,-X389/X395,"")</f>
        <v>2.23535610761316</v>
      </c>
      <c r="Y401" s="47" t="n">
        <f aca="false">IF(Y395&lt;0,-Y389/Y395,"")</f>
        <v>2.24014725604645</v>
      </c>
      <c r="Z401" s="47" t="n">
        <f aca="false">IF(Z395&lt;0,-Z389/Z395,"")</f>
        <v>2.24471103773962</v>
      </c>
      <c r="AA401" s="47" t="n">
        <f aca="false">IF(AA395&lt;0,-AA389/AA395,"")</f>
        <v>2.24903954561053</v>
      </c>
      <c r="AB401" s="47" t="n">
        <f aca="false">IF(AB395&lt;0,-AB389/AB395,"")</f>
        <v>2.25312466371877</v>
      </c>
      <c r="AC401" s="47" t="n">
        <f aca="false">IF(AC395&lt;0,-AC389/AC395,"")</f>
        <v>2.25695806206072</v>
      </c>
      <c r="AD401" s="47" t="n">
        <f aca="false">IF(AD395&lt;0,-AD389/AD395,"")</f>
        <v>2.26053119123683</v>
      </c>
      <c r="AE401" s="47" t="str">
        <f aca="false">IF(AE395&lt;0,-AE389/AE395,"")</f>
        <v/>
      </c>
      <c r="AF401" s="47" t="str">
        <f aca="false">IF(AF395&lt;0,-AF389/AF395,"")</f>
        <v/>
      </c>
      <c r="AG401" s="47" t="str">
        <f aca="false">IF(AG395&lt;0,-AG389/AG395,"")</f>
        <v/>
      </c>
      <c r="AH401" s="47" t="str">
        <f aca="false">IF(AH395&lt;0,-AH389/AH395,"")</f>
        <v/>
      </c>
      <c r="AI401" s="47" t="str">
        <f aca="false">IF(AI395&lt;0,-AI389/AI395,"")</f>
        <v/>
      </c>
      <c r="AJ401" s="47" t="str">
        <f aca="false">IF(AJ395&lt;0,-AJ389/AJ395,"")</f>
        <v/>
      </c>
      <c r="AK401" s="47" t="str">
        <f aca="false">IF(AK395&lt;0,-AK389/AK395,"")</f>
        <v/>
      </c>
      <c r="AL401" s="47" t="str">
        <f aca="false">IF(AL395&lt;0,-AL389/AL395,"")</f>
        <v/>
      </c>
      <c r="AM401" s="47" t="str">
        <f aca="false">IF(AM395&lt;0,-AM389/AM395,"")</f>
        <v/>
      </c>
      <c r="AN401" s="47" t="str">
        <f aca="false">IF(AN395&lt;0,-AN389/AN395,"")</f>
        <v/>
      </c>
      <c r="AO401" s="47" t="str">
        <f aca="false">IF(AO395&lt;0,-AO389/AO395,"")</f>
        <v/>
      </c>
      <c r="AP401" s="47" t="str">
        <f aca="false">IF(AP395&lt;0,-AP389/AP395,"")</f>
        <v/>
      </c>
      <c r="AQ401" s="47" t="str">
        <f aca="false">IF(AQ395&lt;0,-AQ389/AQ395,"")</f>
        <v/>
      </c>
      <c r="AR401" s="47" t="str">
        <f aca="false">IF(AR395&lt;0,-AR389/AR395,"")</f>
        <v/>
      </c>
      <c r="AS401" s="47" t="str">
        <f aca="false">IF(AS395&lt;0,-AS389/AS395,"")</f>
        <v/>
      </c>
    </row>
    <row r="402" customFormat="false" ht="14.25" hidden="false" customHeight="false" outlineLevel="0" collapsed="false">
      <c r="C402" s="6" t="s">
        <v>327</v>
      </c>
      <c r="D402" s="2" t="s">
        <v>3</v>
      </c>
      <c r="J402" s="77" t="n">
        <f aca="false">(1+Discount_Rate)^((Inputs!$E$26-J$362)/Days_In_Year)</f>
        <v>1.41371255107938</v>
      </c>
      <c r="K402" s="77" t="n">
        <f aca="false">(1+Discount_Rate)^((Inputs!$E$26-K$362)/Days_In_Year)</f>
        <v>1.30899310285128</v>
      </c>
      <c r="L402" s="77" t="n">
        <f aca="false">(1+Discount_Rate)^((Inputs!$E$26-L$362)/Days_In_Year)</f>
        <v>1.21177511843915</v>
      </c>
      <c r="M402" s="77" t="n">
        <f aca="false">(1+Discount_Rate)^((Inputs!$E$26-M$362)/Days_In_Year)</f>
        <v>1.12201399855477</v>
      </c>
      <c r="N402" s="77" t="n">
        <f aca="false">(1+Discount_Rate)^((Inputs!$E$26-N$362)/Days_In_Year)</f>
        <v>1.03890185051367</v>
      </c>
      <c r="O402" s="77" t="n">
        <f aca="false">(1+Discount_Rate)^((Inputs!$E$26-O$362)/Days_In_Year)</f>
        <v>0.961946157883031</v>
      </c>
      <c r="P402" s="77" t="n">
        <f aca="false">(1+Discount_Rate)^((Inputs!$E$26-P$362)/Days_In_Year)</f>
        <v>0.890503102622714</v>
      </c>
      <c r="Q402" s="77" t="n">
        <f aca="false">(1+Discount_Rate)^((Inputs!$E$26-Q$362)/Days_In_Year)</f>
        <v>0.824539909835846</v>
      </c>
      <c r="R402" s="77" t="n">
        <f aca="false">(1+Discount_Rate)^((Inputs!$E$26-R$362)/Days_In_Year)</f>
        <v>0.763462879477635</v>
      </c>
      <c r="S402" s="77" t="n">
        <f aca="false">(1+Discount_Rate)^((Inputs!$E$26-S$362)/Days_In_Year)</f>
        <v>0.706910073590403</v>
      </c>
      <c r="T402" s="77" t="n">
        <f aca="false">(1+Discount_Rate)^((Inputs!$E$26-T$362)/Days_In_Year)</f>
        <v>0.654408366464987</v>
      </c>
      <c r="U402" s="77" t="n">
        <f aca="false">(1+Discount_Rate)^((Inputs!$E$26-U$362)/Days_In_Year)</f>
        <v>0.605933672652766</v>
      </c>
      <c r="V402" s="77" t="n">
        <f aca="false">(1+Discount_Rate)^((Inputs!$E$26-V$362)/Days_In_Year)</f>
        <v>0.561049696900709</v>
      </c>
      <c r="W402" s="77" t="n">
        <f aca="false">(1+Discount_Rate)^((Inputs!$E$26-W$362)/Days_In_Year)</f>
        <v>0.519490460093249</v>
      </c>
      <c r="X402" s="77" t="n">
        <f aca="false">(1+Discount_Rate)^((Inputs!$E$26-X$362)/Days_In_Year)</f>
        <v>0.480908274028566</v>
      </c>
      <c r="Y402" s="77" t="n">
        <f aca="false">(1+Discount_Rate)^((Inputs!$E$26-Y$362)/Days_In_Year)</f>
        <v>0.445285438915339</v>
      </c>
      <c r="Z402" s="77" t="n">
        <f aca="false">(1+Discount_Rate)^((Inputs!$E$26-Z$362)/Days_In_Year)</f>
        <v>0.412301332329018</v>
      </c>
      <c r="AA402" s="77" t="n">
        <f aca="false">(1+Discount_Rate)^((Inputs!$E$26-AA$362)/Days_In_Year)</f>
        <v>0.381760492897239</v>
      </c>
      <c r="AB402" s="77" t="n">
        <f aca="false">(1+Discount_Rate)^((Inputs!$E$26-AB$362)/Days_In_Year)</f>
        <v>0.353407413292154</v>
      </c>
      <c r="AC402" s="77" t="n">
        <f aca="false">(1+Discount_Rate)^((Inputs!$E$26-AC$362)/Days_In_Year)</f>
        <v>0.327229086381624</v>
      </c>
      <c r="AD402" s="77" t="n">
        <f aca="false">(1+Discount_Rate)^((Inputs!$E$26-AD$362)/Days_In_Year)</f>
        <v>0.3029898947978</v>
      </c>
      <c r="AE402" s="77" t="n">
        <f aca="false">(1+Discount_Rate)^((Inputs!$E$26-AE$362)/Days_In_Year)</f>
        <v>0.280546198886852</v>
      </c>
      <c r="AF402" s="77" t="n">
        <f aca="false">(1+Discount_Rate)^((Inputs!$E$26-AF$362)/Days_In_Year)</f>
        <v>0.259710232730228</v>
      </c>
      <c r="AG402" s="77" t="n">
        <f aca="false">(1+Discount_Rate)^((Inputs!$E$26-AG$362)/Days_In_Year)</f>
        <v>0.240472437713174</v>
      </c>
      <c r="AH402" s="77" t="n">
        <f aca="false">(1+Discount_Rate)^((Inputs!$E$26-AH$362)/Days_In_Year)</f>
        <v>0.222659664549235</v>
      </c>
      <c r="AI402" s="77" t="n">
        <f aca="false">(1+Discount_Rate)^((Inputs!$E$26-AI$362)/Days_In_Year)</f>
        <v>0.206166356064106</v>
      </c>
      <c r="AJ402" s="77" t="n">
        <f aca="false">(1+Discount_Rate)^((Inputs!$E$26-AJ$362)/Days_In_Year)</f>
        <v>0.190854527799705</v>
      </c>
      <c r="AK402" s="77" t="n">
        <f aca="false">(1+Discount_Rate)^((Inputs!$E$26-AK$362)/Days_In_Year)</f>
        <v>0.176717155370097</v>
      </c>
      <c r="AL402" s="77" t="n">
        <f aca="false">(1+Discount_Rate)^((Inputs!$E$26-AL$362)/Days_In_Year)</f>
        <v>0.163626995713053</v>
      </c>
      <c r="AM402" s="77" t="n">
        <f aca="false">(1+Discount_Rate)^((Inputs!$E$26-AM$362)/Days_In_Year)</f>
        <v>0.151506477512086</v>
      </c>
      <c r="AN402" s="77" t="n">
        <f aca="false">(1+Discount_Rate)^((Inputs!$E$26-AN$362)/Days_In_Year)</f>
        <v>0.140254199454224</v>
      </c>
      <c r="AO402" s="77" t="n">
        <f aca="false">(1+Discount_Rate)^((Inputs!$E$26-AO$362)/Days_In_Year)</f>
        <v>0.129864999494652</v>
      </c>
      <c r="AP402" s="77" t="n">
        <f aca="false">(1+Discount_Rate)^((Inputs!$E$26-AP$362)/Days_In_Year)</f>
        <v>0.120245369902455</v>
      </c>
      <c r="AQ402" s="77" t="n">
        <f aca="false">(1+Discount_Rate)^((Inputs!$E$26-AQ$362)/Days_In_Year)</f>
        <v>0.111338305465236</v>
      </c>
      <c r="AR402" s="77" t="n">
        <f aca="false">(1+Discount_Rate)^((Inputs!$E$26-AR$362)/Days_In_Year)</f>
        <v>0.103069288904634</v>
      </c>
      <c r="AS402" s="77" t="n">
        <f aca="false">(1+Discount_Rate)^((Inputs!$E$26-AS$362)/Days_In_Year)</f>
        <v>0.0954345267635496</v>
      </c>
    </row>
    <row r="403" customFormat="false" ht="14.25" hidden="false" customHeight="false" outlineLevel="0" collapsed="false">
      <c r="C403" s="6" t="s">
        <v>328</v>
      </c>
      <c r="D403" s="2" t="s">
        <v>85</v>
      </c>
      <c r="H403" s="8" t="n">
        <f aca="false">SUM(J403:AS403)</f>
        <v>104654.654246613</v>
      </c>
      <c r="J403" s="8" t="n">
        <f aca="false">J389*J402</f>
        <v>0</v>
      </c>
      <c r="K403" s="8" t="n">
        <f aca="false">K389*K402</f>
        <v>0</v>
      </c>
      <c r="L403" s="8" t="n">
        <f aca="false">L389*L402</f>
        <v>0</v>
      </c>
      <c r="M403" s="8" t="n">
        <f aca="false">M389*M402</f>
        <v>0</v>
      </c>
      <c r="N403" s="8" t="n">
        <f aca="false">N389*N402</f>
        <v>0</v>
      </c>
      <c r="O403" s="8" t="n">
        <f aca="false">O389*O402</f>
        <v>4360.71180340094</v>
      </c>
      <c r="P403" s="8" t="n">
        <f aca="false">P389*P402</f>
        <v>8126.0596102174</v>
      </c>
      <c r="Q403" s="8" t="n">
        <f aca="false">Q389*Q402</f>
        <v>7545.94465596927</v>
      </c>
      <c r="R403" s="8" t="n">
        <f aca="false">R389*R402</f>
        <v>7006.64103425655</v>
      </c>
      <c r="S403" s="8" t="n">
        <f aca="false">S389*S402</f>
        <v>6505.30712367905</v>
      </c>
      <c r="T403" s="8" t="n">
        <f aca="false">T389*T402</f>
        <v>6038.02443201647</v>
      </c>
      <c r="U403" s="8" t="n">
        <f aca="false">U389*U402</f>
        <v>5604.96847570687</v>
      </c>
      <c r="V403" s="8" t="n">
        <f aca="false">V389*V402</f>
        <v>5202.47620914274</v>
      </c>
      <c r="W403" s="8" t="n">
        <f aca="false">W389*W402</f>
        <v>4828.41467041233</v>
      </c>
      <c r="X403" s="8" t="n">
        <f aca="false">X389*X402</f>
        <v>4479.85387142077</v>
      </c>
      <c r="Y403" s="8" t="n">
        <f aca="false">Y389*Y402</f>
        <v>4156.90348337746</v>
      </c>
      <c r="Z403" s="8" t="n">
        <f aca="false">Z389*Z402</f>
        <v>3856.82612256599</v>
      </c>
      <c r="AA403" s="8" t="n">
        <f aca="false">AA389*AA402</f>
        <v>3578.02156910459</v>
      </c>
      <c r="AB403" s="8" t="n">
        <f aca="false">AB389*AB402</f>
        <v>3318.30083688709</v>
      </c>
      <c r="AC403" s="8" t="n">
        <f aca="false">AC389*AC402</f>
        <v>3077.72823503815</v>
      </c>
      <c r="AD403" s="8" t="n">
        <f aca="false">AD389*AD402</f>
        <v>2854.2599777557</v>
      </c>
      <c r="AE403" s="8" t="n">
        <f aca="false">AE389*AE402</f>
        <v>2646.69618705788</v>
      </c>
      <c r="AF403" s="8" t="n">
        <f aca="false">AF389*AF402</f>
        <v>2453.40300085996</v>
      </c>
      <c r="AG403" s="8" t="n">
        <f aca="false">AG389*AG402</f>
        <v>2274.41400282392</v>
      </c>
      <c r="AH403" s="8" t="n">
        <f aca="false">AH389*AH402</f>
        <v>2108.20477676274</v>
      </c>
      <c r="AI403" s="8" t="n">
        <f aca="false">AI389*AI402</f>
        <v>1953.87616749626</v>
      </c>
      <c r="AJ403" s="8" t="n">
        <f aca="false">AJ389*AJ402</f>
        <v>1810.20990426045</v>
      </c>
      <c r="AK403" s="8" t="n">
        <f aca="false">AK389*AK402</f>
        <v>1677.21922521057</v>
      </c>
      <c r="AL403" s="8" t="n">
        <f aca="false">AL389*AL402</f>
        <v>1553.76834114745</v>
      </c>
      <c r="AM403" s="8" t="n">
        <f aca="false">AM389*AM402</f>
        <v>1439.18388867282</v>
      </c>
      <c r="AN403" s="8" t="n">
        <f aca="false">AN389*AN402</f>
        <v>1332.55849807606</v>
      </c>
      <c r="AO403" s="8" t="n">
        <f aca="false">AO389*AO402</f>
        <v>1233.89235574385</v>
      </c>
      <c r="AP403" s="8" t="n">
        <f aca="false">AP389*AP402</f>
        <v>1142.34024096996</v>
      </c>
      <c r="AQ403" s="8" t="n">
        <f aca="false">AQ389*AQ402</f>
        <v>1057.39823981267</v>
      </c>
      <c r="AR403" s="8" t="n">
        <f aca="false">AR389*AR402</f>
        <v>978.391378080813</v>
      </c>
      <c r="AS403" s="8" t="n">
        <f aca="false">AS389*AS402</f>
        <v>452.655928685732</v>
      </c>
    </row>
    <row r="404" customFormat="false" ht="14.25" hidden="false" customHeight="false" outlineLevel="0" collapsed="false">
      <c r="C404" s="1" t="s">
        <v>329</v>
      </c>
      <c r="D404" s="2" t="s">
        <v>85</v>
      </c>
      <c r="H404" s="32" t="n">
        <f aca="false">SUM(J404:AS404)</f>
        <v>32562.7204740098</v>
      </c>
      <c r="J404" s="32" t="n">
        <f aca="false">J375*(J365&lt;=0)+J370*($H403+$E$62+$E$63)</f>
        <v>0</v>
      </c>
      <c r="K404" s="32" t="n">
        <f aca="false">K375*(K365&lt;=0)+K370*($H403+$E$62+$E$63)</f>
        <v>0</v>
      </c>
      <c r="L404" s="32" t="n">
        <f aca="false">L375*(L365&lt;=0)+L370*($H403+$E$62+$E$63)</f>
        <v>0</v>
      </c>
      <c r="M404" s="32" t="n">
        <f aca="false">M375*(M365&lt;=0)+M370*($H403+$E$62+$E$63)</f>
        <v>-33450.8995260274</v>
      </c>
      <c r="N404" s="32" t="n">
        <f aca="false">N375*(N365&lt;=0)+N370*($H403+$E$62+$E$63)</f>
        <v>-26389</v>
      </c>
      <c r="O404" s="32" t="n">
        <f aca="false">O375*(O365&lt;=0)+O370*($H403+$E$62+$E$63)</f>
        <v>92402.6200000372</v>
      </c>
      <c r="P404" s="32" t="n">
        <f aca="false">P375*(P365&lt;=0)+P370*($H403+$E$62+$E$63)</f>
        <v>0</v>
      </c>
      <c r="Q404" s="32" t="n">
        <f aca="false">Q375*(Q365&lt;=0)+Q370*($H403+$E$62+$E$63)</f>
        <v>0</v>
      </c>
      <c r="R404" s="32" t="n">
        <f aca="false">R375*(R365&lt;=0)+R370*($H403+$E$62+$E$63)</f>
        <v>0</v>
      </c>
      <c r="S404" s="32" t="n">
        <f aca="false">S375*(S365&lt;=0)+S370*($H403+$E$62+$E$63)</f>
        <v>0</v>
      </c>
      <c r="T404" s="32" t="n">
        <f aca="false">T375*(T365&lt;=0)+T370*($H403+$E$62+$E$63)</f>
        <v>0</v>
      </c>
      <c r="U404" s="32" t="n">
        <f aca="false">U375*(U365&lt;=0)+U370*($H403+$E$62+$E$63)</f>
        <v>0</v>
      </c>
      <c r="V404" s="32" t="n">
        <f aca="false">V375*(V365&lt;=0)+V370*($H403+$E$62+$E$63)</f>
        <v>0</v>
      </c>
      <c r="W404" s="32" t="n">
        <f aca="false">W375*(W365&lt;=0)+W370*($H403+$E$62+$E$63)</f>
        <v>0</v>
      </c>
      <c r="X404" s="32" t="n">
        <f aca="false">X375*(X365&lt;=0)+X370*($H403+$E$62+$E$63)</f>
        <v>0</v>
      </c>
      <c r="Y404" s="32" t="n">
        <f aca="false">Y375*(Y365&lt;=0)+Y370*($H403+$E$62+$E$63)</f>
        <v>0</v>
      </c>
      <c r="Z404" s="32" t="n">
        <f aca="false">Z375*(Z365&lt;=0)+Z370*($H403+$E$62+$E$63)</f>
        <v>0</v>
      </c>
      <c r="AA404" s="32" t="n">
        <f aca="false">AA375*(AA365&lt;=0)+AA370*($H403+$E$62+$E$63)</f>
        <v>0</v>
      </c>
      <c r="AB404" s="32" t="n">
        <f aca="false">AB375*(AB365&lt;=0)+AB370*($H403+$E$62+$E$63)</f>
        <v>0</v>
      </c>
      <c r="AC404" s="32" t="n">
        <f aca="false">AC375*(AC365&lt;=0)+AC370*($H403+$E$62+$E$63)</f>
        <v>0</v>
      </c>
      <c r="AD404" s="32" t="n">
        <f aca="false">AD375*(AD365&lt;=0)+AD370*($H403+$E$62+$E$63)</f>
        <v>0</v>
      </c>
      <c r="AE404" s="32" t="n">
        <f aca="false">AE375*(AE365&lt;=0)+AE370*($H403+$E$62+$E$63)</f>
        <v>0</v>
      </c>
      <c r="AF404" s="32" t="n">
        <f aca="false">AF375*(AF365&lt;=0)+AF370*($H403+$E$62+$E$63)</f>
        <v>0</v>
      </c>
      <c r="AG404" s="32" t="n">
        <f aca="false">AG375*(AG365&lt;=0)+AG370*($H403+$E$62+$E$63)</f>
        <v>0</v>
      </c>
      <c r="AH404" s="32" t="n">
        <f aca="false">AH375*(AH365&lt;=0)+AH370*($H403+$E$62+$E$63)</f>
        <v>0</v>
      </c>
      <c r="AI404" s="32" t="n">
        <f aca="false">AI375*(AI365&lt;=0)+AI370*($H403+$E$62+$E$63)</f>
        <v>0</v>
      </c>
      <c r="AJ404" s="32" t="n">
        <f aca="false">AJ375*(AJ365&lt;=0)+AJ370*($H403+$E$62+$E$63)</f>
        <v>0</v>
      </c>
      <c r="AK404" s="32" t="n">
        <f aca="false">AK375*(AK365&lt;=0)+AK370*($H403+$E$62+$E$63)</f>
        <v>0</v>
      </c>
      <c r="AL404" s="32" t="n">
        <f aca="false">AL375*(AL365&lt;=0)+AL370*($H403+$E$62+$E$63)</f>
        <v>0</v>
      </c>
      <c r="AM404" s="32" t="n">
        <f aca="false">AM375*(AM365&lt;=0)+AM370*($H403+$E$62+$E$63)</f>
        <v>0</v>
      </c>
      <c r="AN404" s="32" t="n">
        <f aca="false">AN375*(AN365&lt;=0)+AN370*($H403+$E$62+$E$63)</f>
        <v>0</v>
      </c>
      <c r="AO404" s="32" t="n">
        <f aca="false">AO375*(AO365&lt;=0)+AO370*($H403+$E$62+$E$63)</f>
        <v>0</v>
      </c>
      <c r="AP404" s="32" t="n">
        <f aca="false">AP375*(AP365&lt;=0)+AP370*($H403+$E$62+$E$63)</f>
        <v>0</v>
      </c>
      <c r="AQ404" s="32" t="n">
        <f aca="false">AQ375*(AQ365&lt;=0)+AQ370*($H403+$E$62+$E$63)</f>
        <v>0</v>
      </c>
      <c r="AR404" s="32" t="n">
        <f aca="false">AR375*(AR365&lt;=0)+AR370*($H403+$E$62+$E$63)</f>
        <v>0</v>
      </c>
      <c r="AS404" s="32" t="n">
        <f aca="false">AS375*(AS365&lt;=0)+AS370*($H403+$E$62+$E$63)</f>
        <v>0</v>
      </c>
    </row>
    <row r="405" customFormat="false" ht="14.25" hidden="false" customHeight="false" outlineLevel="0" collapsed="false">
      <c r="C405" s="41" t="s">
        <v>330</v>
      </c>
      <c r="D405" s="42"/>
      <c r="E405" s="43"/>
      <c r="F405" s="43"/>
      <c r="G405" s="43"/>
      <c r="H405" s="43"/>
    </row>
    <row r="406" customFormat="false" ht="14.25" hidden="false" customHeight="false" outlineLevel="0" collapsed="false">
      <c r="C406" s="6" t="s">
        <v>331</v>
      </c>
      <c r="D406" s="2" t="s">
        <v>85</v>
      </c>
      <c r="H406" s="8"/>
      <c r="J406" s="8" t="n">
        <f aca="false">(I406*(1+Rate_Cash)-SUMPRODUCT($E344:$E349*$M344:$M349*(YEAR($J344:$J349)=J361)))*(J362&lt;$E190)*$E21</f>
        <v>404.929164946519</v>
      </c>
      <c r="K406" s="8" t="n">
        <f aca="false">(J406*(1+Rate_Cash)-SUMPRODUCT($E344:$E349*$M344:$M349*(YEAR($J344:$J349)=K361)))*(K362&lt;$E190)*$E21</f>
        <v>2874.39110197035</v>
      </c>
      <c r="L406" s="8" t="n">
        <f aca="false">(K406*(1+Rate_Cash)-SUMPRODUCT($E344:$E349*$M344:$M349*(YEAR($J344:$J349)=L361)))*(L362&lt;$E190)*$E21</f>
        <v>13614.1904191201</v>
      </c>
      <c r="M406" s="8" t="n">
        <f aca="false">(L406*(1+Rate_Cash)-SUMPRODUCT($E344:$E349*$M344:$M349*(YEAR($J344:$J349)=M361)))*(M362&lt;$E190)*$E21</f>
        <v>0</v>
      </c>
      <c r="N406" s="8" t="n">
        <f aca="false">(M406*(1+Rate_Cash)-SUMPRODUCT($E344:$E349*$M344:$M349*(YEAR($J344:$J349)=N361)))*(N362&lt;$E190)*$E21</f>
        <v>0</v>
      </c>
      <c r="O406" s="8" t="n">
        <f aca="false">(N406*(1+Rate_Cash)-SUMPRODUCT($E344:$E349*$M344:$M349*(YEAR($J344:$J349)=O361)))*(O362&lt;$E190)*$E21</f>
        <v>0</v>
      </c>
      <c r="P406" s="8" t="n">
        <f aca="false">(O406*(1+Rate_Cash)-SUMPRODUCT($E344:$E349*$M344:$M349*(YEAR($J344:$J349)=P361)))*(P362&lt;$E190)*$E21</f>
        <v>0</v>
      </c>
      <c r="Q406" s="8" t="n">
        <f aca="false">(P406*(1+Rate_Cash)-SUMPRODUCT($E344:$E349*$M344:$M349*(YEAR($J344:$J349)=Q361)))*(Q362&lt;$E190)*$E21</f>
        <v>0</v>
      </c>
      <c r="R406" s="8" t="n">
        <f aca="false">(Q406*(1+Rate_Cash)-SUMPRODUCT($E344:$E349*$M344:$M349*(YEAR($J344:$J349)=R361)))*(R362&lt;$E190)*$E21</f>
        <v>0</v>
      </c>
      <c r="S406" s="8" t="n">
        <f aca="false">(R406*(1+Rate_Cash)-SUMPRODUCT($E344:$E349*$M344:$M349*(YEAR($J344:$J349)=S361)))*(S362&lt;$E190)*$E21</f>
        <v>0</v>
      </c>
      <c r="T406" s="8" t="n">
        <f aca="false">(S406*(1+Rate_Cash)-SUMPRODUCT($E344:$E349*$M344:$M349*(YEAR($J344:$J349)=T361)))*(T362&lt;$E190)*$E21</f>
        <v>0</v>
      </c>
      <c r="U406" s="8" t="n">
        <f aca="false">(T406*(1+Rate_Cash)-SUMPRODUCT($E344:$E349*$M344:$M349*(YEAR($J344:$J349)=U361)))*(U362&lt;$E190)*$E21</f>
        <v>0</v>
      </c>
      <c r="V406" s="8" t="n">
        <f aca="false">(U406*(1+Rate_Cash)-SUMPRODUCT($E344:$E349*$M344:$M349*(YEAR($J344:$J349)=V361)))*(V362&lt;$E190)*$E21</f>
        <v>0</v>
      </c>
      <c r="W406" s="8" t="n">
        <f aca="false">(V406*(1+Rate_Cash)-SUMPRODUCT($E344:$E349*$M344:$M349*(YEAR($J344:$J349)=W361)))*(W362&lt;$E190)*$E21</f>
        <v>0</v>
      </c>
      <c r="X406" s="8" t="n">
        <f aca="false">(W406*(1+Rate_Cash)-SUMPRODUCT($E344:$E349*$M344:$M349*(YEAR($J344:$J349)=X361)))*(X362&lt;$E190)*$E21</f>
        <v>0</v>
      </c>
      <c r="Y406" s="8" t="n">
        <f aca="false">(X406*(1+Rate_Cash)-SUMPRODUCT($E344:$E349*$M344:$M349*(YEAR($J344:$J349)=Y361)))*(Y362&lt;$E190)*$E21</f>
        <v>0</v>
      </c>
      <c r="Z406" s="8" t="n">
        <f aca="false">(Y406*(1+Rate_Cash)-SUMPRODUCT($E344:$E349*$M344:$M349*(YEAR($J344:$J349)=Z361)))*(Z362&lt;$E190)*$E21</f>
        <v>0</v>
      </c>
      <c r="AA406" s="8" t="n">
        <f aca="false">(Z406*(1+Rate_Cash)-SUMPRODUCT($E344:$E349*$M344:$M349*(YEAR($J344:$J349)=AA361)))*(AA362&lt;$E190)*$E21</f>
        <v>0</v>
      </c>
      <c r="AB406" s="8" t="n">
        <f aca="false">(AA406*(1+Rate_Cash)-SUMPRODUCT($E344:$E349*$M344:$M349*(YEAR($J344:$J349)=AB361)))*(AB362&lt;$E190)*$E21</f>
        <v>0</v>
      </c>
      <c r="AC406" s="8" t="n">
        <f aca="false">(AB406*(1+Rate_Cash)-SUMPRODUCT($E344:$E349*$M344:$M349*(YEAR($J344:$J349)=AC361)))*(AC362&lt;$E190)*$E21</f>
        <v>0</v>
      </c>
      <c r="AD406" s="8" t="n">
        <f aca="false">(AC406*(1+Rate_Cash)-SUMPRODUCT($E344:$E349*$M344:$M349*(YEAR($J344:$J349)=AD361)))*(AD362&lt;$E190)*$E21</f>
        <v>0</v>
      </c>
      <c r="AE406" s="8" t="n">
        <f aca="false">(AD406*(1+Rate_Cash)-SUMPRODUCT($E344:$E349*$M344:$M349*(YEAR($J344:$J349)=AE361)))*(AE362&lt;$E190)*$E21</f>
        <v>0</v>
      </c>
      <c r="AF406" s="8" t="n">
        <f aca="false">(AE406*(1+Rate_Cash)-SUMPRODUCT($E344:$E349*$M344:$M349*(YEAR($J344:$J349)=AF361)))*(AF362&lt;$E190)*$E21</f>
        <v>0</v>
      </c>
      <c r="AG406" s="8" t="n">
        <f aca="false">(AF406*(1+Rate_Cash)-SUMPRODUCT($E344:$E349*$M344:$M349*(YEAR($J344:$J349)=AG361)))*(AG362&lt;$E190)*$E21</f>
        <v>0</v>
      </c>
      <c r="AH406" s="8" t="n">
        <f aca="false">(AG406*(1+Rate_Cash)-SUMPRODUCT($E344:$E349*$M344:$M349*(YEAR($J344:$J349)=AH361)))*(AH362&lt;$E190)*$E21</f>
        <v>0</v>
      </c>
      <c r="AI406" s="8" t="n">
        <f aca="false">(AH406*(1+Rate_Cash)-SUMPRODUCT($E344:$E349*$M344:$M349*(YEAR($J344:$J349)=AI361)))*(AI362&lt;$E190)*$E21</f>
        <v>0</v>
      </c>
      <c r="AJ406" s="8" t="n">
        <f aca="false">(AI406*(1+Rate_Cash)-SUMPRODUCT($E344:$E349*$M344:$M349*(YEAR($J344:$J349)=AJ361)))*(AJ362&lt;$E190)*$E21</f>
        <v>0</v>
      </c>
      <c r="AK406" s="8" t="n">
        <f aca="false">(AJ406*(1+Rate_Cash)-SUMPRODUCT($E344:$E349*$M344:$M349*(YEAR($J344:$J349)=AK361)))*(AK362&lt;$E190)*$E21</f>
        <v>0</v>
      </c>
      <c r="AL406" s="8" t="n">
        <f aca="false">(AK406*(1+Rate_Cash)-SUMPRODUCT($E344:$E349*$M344:$M349*(YEAR($J344:$J349)=AL361)))*(AL362&lt;$E190)*$E21</f>
        <v>0</v>
      </c>
      <c r="AM406" s="8" t="n">
        <f aca="false">(AL406*(1+Rate_Cash)-SUMPRODUCT($E344:$E349*$M344:$M349*(YEAR($J344:$J349)=AM361)))*(AM362&lt;$E190)*$E21</f>
        <v>0</v>
      </c>
      <c r="AN406" s="8" t="n">
        <f aca="false">(AM406*(1+Rate_Cash)-SUMPRODUCT($E344:$E349*$M344:$M349*(YEAR($J344:$J349)=AN361)))*(AN362&lt;$E190)*$E21</f>
        <v>0</v>
      </c>
      <c r="AO406" s="8" t="n">
        <f aca="false">(AN406*(1+Rate_Cash)-SUMPRODUCT($E344:$E349*$M344:$M349*(YEAR($J344:$J349)=AO361)))*(AO362&lt;$E190)*$E21</f>
        <v>0</v>
      </c>
      <c r="AP406" s="8" t="n">
        <f aca="false">(AO406*(1+Rate_Cash)-SUMPRODUCT($E344:$E349*$M344:$M349*(YEAR($J344:$J349)=AP361)))*(AP362&lt;$E190)*$E21</f>
        <v>0</v>
      </c>
      <c r="AQ406" s="8" t="n">
        <f aca="false">(AP406*(1+Rate_Cash)-SUMPRODUCT($E344:$E349*$M344:$M349*(YEAR($J344:$J349)=AQ361)))*(AQ362&lt;$E190)*$E21</f>
        <v>0</v>
      </c>
      <c r="AR406" s="8" t="n">
        <f aca="false">(AQ406*(1+Rate_Cash)-SUMPRODUCT($E344:$E349*$M344:$M349*(YEAR($J344:$J349)=AR361)))*(AR362&lt;$E190)*$E21</f>
        <v>0</v>
      </c>
      <c r="AS406" s="8" t="n">
        <f aca="false">(AR406*(1+Rate_Cash)-SUMPRODUCT($E344:$E349*$M344:$M349*(YEAR($J344:$J349)=AS361)))*(AS362&lt;$E190)*$E21</f>
        <v>0</v>
      </c>
    </row>
    <row r="407" customFormat="false" ht="14.25" hidden="false" customHeight="false" outlineLevel="0" collapsed="false">
      <c r="C407" s="6" t="s">
        <v>332</v>
      </c>
      <c r="D407" s="2" t="s">
        <v>85</v>
      </c>
      <c r="H407" s="8"/>
      <c r="J407" s="8" t="n">
        <f aca="false">(I407*(1+Rate_Devex)-SUMPRODUCT($E350:$E351*$M350:$M351*(YEAR($J350:$J351)=J361)))*(J362&lt;$E190)*$E21</f>
        <v>0</v>
      </c>
      <c r="K407" s="8" t="n">
        <f aca="false">(J407*(1+Rate_Devex)-SUMPRODUCT($E350:$E351*$M350:$M351*(YEAR($J350:$J351)=K361)))*(K362&lt;$E190)*$E21</f>
        <v>716.033459724017</v>
      </c>
      <c r="L407" s="8" t="n">
        <f aca="false">(K407*(1+Rate_Devex)-SUMPRODUCT($E350:$E351*$M350:$M351*(YEAR($J350:$J351)=L361)))*(L362&lt;$E190)*$E21</f>
        <v>981.326219036057</v>
      </c>
      <c r="M407" s="8" t="n">
        <f aca="false">(L407*(1+Rate_Devex)-SUMPRODUCT($E350:$E351*$M350:$M351*(YEAR($J350:$J351)=M361)))*(M362&lt;$E190)*$E21</f>
        <v>0</v>
      </c>
      <c r="N407" s="8" t="n">
        <f aca="false">(M407*(1+Rate_Devex)-SUMPRODUCT($E350:$E351*$M350:$M351*(YEAR($J350:$J351)=N361)))*(N362&lt;$E190)*$E21</f>
        <v>0</v>
      </c>
      <c r="O407" s="8" t="n">
        <f aca="false">(N407*(1+Rate_Devex)-SUMPRODUCT($E350:$E351*$M350:$M351*(YEAR($J350:$J351)=O361)))*(O362&lt;$E190)*$E21</f>
        <v>0</v>
      </c>
      <c r="P407" s="8" t="n">
        <f aca="false">(O407*(1+Rate_Devex)-SUMPRODUCT($E350:$E351*$M350:$M351*(YEAR($J350:$J351)=P361)))*(P362&lt;$E190)*$E21</f>
        <v>0</v>
      </c>
      <c r="Q407" s="8" t="n">
        <f aca="false">(P407*(1+Rate_Devex)-SUMPRODUCT($E350:$E351*$M350:$M351*(YEAR($J350:$J351)=Q361)))*(Q362&lt;$E190)*$E21</f>
        <v>0</v>
      </c>
      <c r="R407" s="8" t="n">
        <f aca="false">(Q407*(1+Rate_Devex)-SUMPRODUCT($E350:$E351*$M350:$M351*(YEAR($J350:$J351)=R361)))*(R362&lt;$E190)*$E21</f>
        <v>0</v>
      </c>
      <c r="S407" s="8" t="n">
        <f aca="false">(R407*(1+Rate_Devex)-SUMPRODUCT($E350:$E351*$M350:$M351*(YEAR($J350:$J351)=S361)))*(S362&lt;$E190)*$E21</f>
        <v>0</v>
      </c>
      <c r="T407" s="8" t="n">
        <f aca="false">(S407*(1+Rate_Devex)-SUMPRODUCT($E350:$E351*$M350:$M351*(YEAR($J350:$J351)=T361)))*(T362&lt;$E190)*$E21</f>
        <v>0</v>
      </c>
      <c r="U407" s="8" t="n">
        <f aca="false">(T407*(1+Rate_Devex)-SUMPRODUCT($E350:$E351*$M350:$M351*(YEAR($J350:$J351)=U361)))*(U362&lt;$E190)*$E21</f>
        <v>0</v>
      </c>
      <c r="V407" s="8" t="n">
        <f aca="false">(U407*(1+Rate_Devex)-SUMPRODUCT($E350:$E351*$M350:$M351*(YEAR($J350:$J351)=V361)))*(V362&lt;$E190)*$E21</f>
        <v>0</v>
      </c>
      <c r="W407" s="8" t="n">
        <f aca="false">(V407*(1+Rate_Devex)-SUMPRODUCT($E350:$E351*$M350:$M351*(YEAR($J350:$J351)=W361)))*(W362&lt;$E190)*$E21</f>
        <v>0</v>
      </c>
      <c r="X407" s="8" t="n">
        <f aca="false">(W407*(1+Rate_Devex)-SUMPRODUCT($E350:$E351*$M350:$M351*(YEAR($J350:$J351)=X361)))*(X362&lt;$E190)*$E21</f>
        <v>0</v>
      </c>
      <c r="Y407" s="8" t="n">
        <f aca="false">(X407*(1+Rate_Devex)-SUMPRODUCT($E350:$E351*$M350:$M351*(YEAR($J350:$J351)=Y361)))*(Y362&lt;$E190)*$E21</f>
        <v>0</v>
      </c>
      <c r="Z407" s="8" t="n">
        <f aca="false">(Y407*(1+Rate_Devex)-SUMPRODUCT($E350:$E351*$M350:$M351*(YEAR($J350:$J351)=Z361)))*(Z362&lt;$E190)*$E21</f>
        <v>0</v>
      </c>
      <c r="AA407" s="8" t="n">
        <f aca="false">(Z407*(1+Rate_Devex)-SUMPRODUCT($E350:$E351*$M350:$M351*(YEAR($J350:$J351)=AA361)))*(AA362&lt;$E190)*$E21</f>
        <v>0</v>
      </c>
      <c r="AB407" s="8" t="n">
        <f aca="false">(AA407*(1+Rate_Devex)-SUMPRODUCT($E350:$E351*$M350:$M351*(YEAR($J350:$J351)=AB361)))*(AB362&lt;$E190)*$E21</f>
        <v>0</v>
      </c>
      <c r="AC407" s="8" t="n">
        <f aca="false">(AB407*(1+Rate_Devex)-SUMPRODUCT($E350:$E351*$M350:$M351*(YEAR($J350:$J351)=AC361)))*(AC362&lt;$E190)*$E21</f>
        <v>0</v>
      </c>
      <c r="AD407" s="8" t="n">
        <f aca="false">(AC407*(1+Rate_Devex)-SUMPRODUCT($E350:$E351*$M350:$M351*(YEAR($J350:$J351)=AD361)))*(AD362&lt;$E190)*$E21</f>
        <v>0</v>
      </c>
      <c r="AE407" s="8" t="n">
        <f aca="false">(AD407*(1+Rate_Devex)-SUMPRODUCT($E350:$E351*$M350:$M351*(YEAR($J350:$J351)=AE361)))*(AE362&lt;$E190)*$E21</f>
        <v>0</v>
      </c>
      <c r="AF407" s="8" t="n">
        <f aca="false">(AE407*(1+Rate_Devex)-SUMPRODUCT($E350:$E351*$M350:$M351*(YEAR($J350:$J351)=AF361)))*(AF362&lt;$E190)*$E21</f>
        <v>0</v>
      </c>
      <c r="AG407" s="8" t="n">
        <f aca="false">(AF407*(1+Rate_Devex)-SUMPRODUCT($E350:$E351*$M350:$M351*(YEAR($J350:$J351)=AG361)))*(AG362&lt;$E190)*$E21</f>
        <v>0</v>
      </c>
      <c r="AH407" s="8" t="n">
        <f aca="false">(AG407*(1+Rate_Devex)-SUMPRODUCT($E350:$E351*$M350:$M351*(YEAR($J350:$J351)=AH361)))*(AH362&lt;$E190)*$E21</f>
        <v>0</v>
      </c>
      <c r="AI407" s="8" t="n">
        <f aca="false">(AH407*(1+Rate_Devex)-SUMPRODUCT($E350:$E351*$M350:$M351*(YEAR($J350:$J351)=AI361)))*(AI362&lt;$E190)*$E21</f>
        <v>0</v>
      </c>
      <c r="AJ407" s="8" t="n">
        <f aca="false">(AI407*(1+Rate_Devex)-SUMPRODUCT($E350:$E351*$M350:$M351*(YEAR($J350:$J351)=AJ361)))*(AJ362&lt;$E190)*$E21</f>
        <v>0</v>
      </c>
      <c r="AK407" s="8" t="n">
        <f aca="false">(AJ407*(1+Rate_Devex)-SUMPRODUCT($E350:$E351*$M350:$M351*(YEAR($J350:$J351)=AK361)))*(AK362&lt;$E190)*$E21</f>
        <v>0</v>
      </c>
      <c r="AL407" s="8" t="n">
        <f aca="false">(AK407*(1+Rate_Devex)-SUMPRODUCT($E350:$E351*$M350:$M351*(YEAR($J350:$J351)=AL361)))*(AL362&lt;$E190)*$E21</f>
        <v>0</v>
      </c>
      <c r="AM407" s="8" t="n">
        <f aca="false">(AL407*(1+Rate_Devex)-SUMPRODUCT($E350:$E351*$M350:$M351*(YEAR($J350:$J351)=AM361)))*(AM362&lt;$E190)*$E21</f>
        <v>0</v>
      </c>
      <c r="AN407" s="8" t="n">
        <f aca="false">(AM407*(1+Rate_Devex)-SUMPRODUCT($E350:$E351*$M350:$M351*(YEAR($J350:$J351)=AN361)))*(AN362&lt;$E190)*$E21</f>
        <v>0</v>
      </c>
      <c r="AO407" s="8" t="n">
        <f aca="false">(AN407*(1+Rate_Devex)-SUMPRODUCT($E350:$E351*$M350:$M351*(YEAR($J350:$J351)=AO361)))*(AO362&lt;$E190)*$E21</f>
        <v>0</v>
      </c>
      <c r="AP407" s="8" t="n">
        <f aca="false">(AO407*(1+Rate_Devex)-SUMPRODUCT($E350:$E351*$M350:$M351*(YEAR($J350:$J351)=AP361)))*(AP362&lt;$E190)*$E21</f>
        <v>0</v>
      </c>
      <c r="AQ407" s="8" t="n">
        <f aca="false">(AP407*(1+Rate_Devex)-SUMPRODUCT($E350:$E351*$M350:$M351*(YEAR($J350:$J351)=AQ361)))*(AQ362&lt;$E190)*$E21</f>
        <v>0</v>
      </c>
      <c r="AR407" s="8" t="n">
        <f aca="false">(AQ407*(1+Rate_Devex)-SUMPRODUCT($E350:$E351*$M350:$M351*(YEAR($J350:$J351)=AR361)))*(AR362&lt;$E190)*$E21</f>
        <v>0</v>
      </c>
      <c r="AS407" s="8" t="n">
        <f aca="false">(AR407*(1+Rate_Devex)-SUMPRODUCT($E350:$E351*$M350:$M351*(YEAR($J350:$J351)=AS361)))*(AS362&lt;$E190)*$E21</f>
        <v>0</v>
      </c>
    </row>
    <row r="408" customFormat="false" ht="14.25" hidden="false" customHeight="false" outlineLevel="0" collapsed="false">
      <c r="C408" s="6" t="s">
        <v>333</v>
      </c>
      <c r="D408" s="2" t="s">
        <v>85</v>
      </c>
      <c r="H408" s="8" t="n">
        <f aca="false">SUM(J408:AS408)</f>
        <v>13465.7175204585</v>
      </c>
      <c r="J408" s="8" t="n">
        <f aca="false">-SUMPRODUCT($E344:$E351*(YEAR($J344:$J351)=J361))*(J362&lt;$E190)*$E21</f>
        <v>396.712328767123</v>
      </c>
      <c r="K408" s="8" t="n">
        <f aca="false">-SUMPRODUCT($E344:$E351*(YEAR($J344:$J351)=K361))*(K362&lt;$E190)*$E21</f>
        <v>2871.50977525301</v>
      </c>
      <c r="L408" s="8" t="n">
        <f aca="false">-SUMPRODUCT($E344:$E351*(YEAR($J344:$J351)=L361))*(L362&lt;$E190)*$E21</f>
        <v>10197.4954164384</v>
      </c>
      <c r="M408" s="8" t="n">
        <f aca="false">-SUMPRODUCT($E344:$E351*(YEAR($J344:$J351)=M361))*(M362&lt;$E190)*$E21</f>
        <v>-0</v>
      </c>
      <c r="N408" s="8" t="n">
        <f aca="false">-SUMPRODUCT($E344:$E351*(YEAR($J344:$J351)=N361))*(N362&lt;$E190)*$E21</f>
        <v>-0</v>
      </c>
      <c r="O408" s="8" t="n">
        <f aca="false">-SUMPRODUCT($E344:$E351*(YEAR($J344:$J351)=O361))*(O362&lt;$E190)*$E21</f>
        <v>-0</v>
      </c>
      <c r="P408" s="8" t="n">
        <f aca="false">-SUMPRODUCT($E344:$E351*(YEAR($J344:$J351)=P361))*(P362&lt;$E190)*$E21</f>
        <v>-0</v>
      </c>
      <c r="Q408" s="8" t="n">
        <f aca="false">-SUMPRODUCT($E344:$E351*(YEAR($J344:$J351)=Q361))*(Q362&lt;$E190)*$E21</f>
        <v>-0</v>
      </c>
      <c r="R408" s="8" t="n">
        <f aca="false">-SUMPRODUCT($E344:$E351*(YEAR($J344:$J351)=R361))*(R362&lt;$E190)*$E21</f>
        <v>-0</v>
      </c>
      <c r="S408" s="8" t="n">
        <f aca="false">-SUMPRODUCT($E344:$E351*(YEAR($J344:$J351)=S361))*(S362&lt;$E190)*$E21</f>
        <v>-0</v>
      </c>
      <c r="T408" s="8" t="n">
        <f aca="false">-SUMPRODUCT($E344:$E351*(YEAR($J344:$J351)=T361))*(T362&lt;$E190)*$E21</f>
        <v>-0</v>
      </c>
      <c r="U408" s="8" t="n">
        <f aca="false">-SUMPRODUCT($E344:$E351*(YEAR($J344:$J351)=U361))*(U362&lt;$E190)*$E21</f>
        <v>-0</v>
      </c>
      <c r="V408" s="8" t="n">
        <f aca="false">-SUMPRODUCT($E344:$E351*(YEAR($J344:$J351)=V361))*(V362&lt;$E190)*$E21</f>
        <v>-0</v>
      </c>
      <c r="W408" s="8" t="n">
        <f aca="false">-SUMPRODUCT($E344:$E351*(YEAR($J344:$J351)=W361))*(W362&lt;$E190)*$E21</f>
        <v>-0</v>
      </c>
      <c r="X408" s="8" t="n">
        <f aca="false">-SUMPRODUCT($E344:$E351*(YEAR($J344:$J351)=X361))*(X362&lt;$E190)*$E21</f>
        <v>-0</v>
      </c>
      <c r="Y408" s="8" t="n">
        <f aca="false">-SUMPRODUCT($E344:$E351*(YEAR($J344:$J351)=Y361))*(Y362&lt;$E190)*$E21</f>
        <v>-0</v>
      </c>
      <c r="Z408" s="8" t="n">
        <f aca="false">-SUMPRODUCT($E344:$E351*(YEAR($J344:$J351)=Z361))*(Z362&lt;$E190)*$E21</f>
        <v>-0</v>
      </c>
      <c r="AA408" s="8" t="n">
        <f aca="false">-SUMPRODUCT($E344:$E351*(YEAR($J344:$J351)=AA361))*(AA362&lt;$E190)*$E21</f>
        <v>-0</v>
      </c>
      <c r="AB408" s="8" t="n">
        <f aca="false">-SUMPRODUCT($E344:$E351*(YEAR($J344:$J351)=AB361))*(AB362&lt;$E190)*$E21</f>
        <v>-0</v>
      </c>
      <c r="AC408" s="8" t="n">
        <f aca="false">-SUMPRODUCT($E344:$E351*(YEAR($J344:$J351)=AC361))*(AC362&lt;$E190)*$E21</f>
        <v>-0</v>
      </c>
      <c r="AD408" s="8" t="n">
        <f aca="false">-SUMPRODUCT($E344:$E351*(YEAR($J344:$J351)=AD361))*(AD362&lt;$E190)*$E21</f>
        <v>-0</v>
      </c>
      <c r="AE408" s="8" t="n">
        <f aca="false">-SUMPRODUCT($E344:$E351*(YEAR($J344:$J351)=AE361))*(AE362&lt;$E190)*$E21</f>
        <v>-0</v>
      </c>
      <c r="AF408" s="8" t="n">
        <f aca="false">-SUMPRODUCT($E344:$E351*(YEAR($J344:$J351)=AF361))*(AF362&lt;$E190)*$E21</f>
        <v>-0</v>
      </c>
      <c r="AG408" s="8" t="n">
        <f aca="false">-SUMPRODUCT($E344:$E351*(YEAR($J344:$J351)=AG361))*(AG362&lt;$E190)*$E21</f>
        <v>-0</v>
      </c>
      <c r="AH408" s="8" t="n">
        <f aca="false">-SUMPRODUCT($E344:$E351*(YEAR($J344:$J351)=AH361))*(AH362&lt;$E190)*$E21</f>
        <v>-0</v>
      </c>
      <c r="AI408" s="8" t="n">
        <f aca="false">-SUMPRODUCT($E344:$E351*(YEAR($J344:$J351)=AI361))*(AI362&lt;$E190)*$E21</f>
        <v>-0</v>
      </c>
      <c r="AJ408" s="8" t="n">
        <f aca="false">-SUMPRODUCT($E344:$E351*(YEAR($J344:$J351)=AJ361))*(AJ362&lt;$E190)*$E21</f>
        <v>-0</v>
      </c>
      <c r="AK408" s="8" t="n">
        <f aca="false">-SUMPRODUCT($E344:$E351*(YEAR($J344:$J351)=AK361))*(AK362&lt;$E190)*$E21</f>
        <v>-0</v>
      </c>
      <c r="AL408" s="8" t="n">
        <f aca="false">-SUMPRODUCT($E344:$E351*(YEAR($J344:$J351)=AL361))*(AL362&lt;$E190)*$E21</f>
        <v>-0</v>
      </c>
      <c r="AM408" s="8" t="n">
        <f aca="false">-SUMPRODUCT($E344:$E351*(YEAR($J344:$J351)=AM361))*(AM362&lt;$E190)*$E21</f>
        <v>-0</v>
      </c>
      <c r="AN408" s="8" t="n">
        <f aca="false">-SUMPRODUCT($E344:$E351*(YEAR($J344:$J351)=AN361))*(AN362&lt;$E190)*$E21</f>
        <v>-0</v>
      </c>
      <c r="AO408" s="8" t="n">
        <f aca="false">-SUMPRODUCT($E344:$E351*(YEAR($J344:$J351)=AO361))*(AO362&lt;$E190)*$E21</f>
        <v>-0</v>
      </c>
      <c r="AP408" s="8" t="n">
        <f aca="false">-SUMPRODUCT($E344:$E351*(YEAR($J344:$J351)=AP361))*(AP362&lt;$E190)*$E21</f>
        <v>-0</v>
      </c>
      <c r="AQ408" s="8" t="n">
        <f aca="false">-SUMPRODUCT($E344:$E351*(YEAR($J344:$J351)=AQ361))*(AQ362&lt;$E190)*$E21</f>
        <v>-0</v>
      </c>
      <c r="AR408" s="8" t="n">
        <f aca="false">-SUMPRODUCT($E344:$E351*(YEAR($J344:$J351)=AR361))*(AR362&lt;$E190)*$E21</f>
        <v>-0</v>
      </c>
      <c r="AS408" s="8" t="n">
        <f aca="false">-SUMPRODUCT($E344:$E351*(YEAR($J344:$J351)=AS361))*(AS362&lt;$E190)*$E21</f>
        <v>-0</v>
      </c>
    </row>
    <row r="409" customFormat="false" ht="14.25" hidden="false" customHeight="false" outlineLevel="0" collapsed="false">
      <c r="C409" s="6" t="s">
        <v>334</v>
      </c>
      <c r="D409" s="2" t="s">
        <v>85</v>
      </c>
      <c r="H409" s="8" t="n">
        <f aca="false">SUM(J409:AS409)</f>
        <v>1129.7991176977</v>
      </c>
      <c r="J409" s="8" t="n">
        <f aca="false">(J406+J407-I406-I407-J408)*(J362&lt;$E190)*$E21</f>
        <v>8.21683617939578</v>
      </c>
      <c r="K409" s="8" t="n">
        <f aca="false">(K406+K407-J406-J407-K408)*(K362&lt;$E190)*$E21</f>
        <v>313.985621494844</v>
      </c>
      <c r="L409" s="8" t="n">
        <f aca="false">(L406+L407-K406-K407-L408)*(L362&lt;$E190)*$E21</f>
        <v>807.596660023464</v>
      </c>
      <c r="M409" s="8" t="n">
        <f aca="false">(M406+M407-L406-L407-M408)*(M362&lt;$E190)*$E21</f>
        <v>-0</v>
      </c>
      <c r="N409" s="8" t="n">
        <f aca="false">(N406+N407-M406-M407-N408)*(N362&lt;$E190)*$E21</f>
        <v>0</v>
      </c>
      <c r="O409" s="8" t="n">
        <f aca="false">(O406+O407-N406-N407-O408)*(O362&lt;$E190)*$E21</f>
        <v>0</v>
      </c>
      <c r="P409" s="8" t="n">
        <f aca="false">(P406+P407-O406-O407-P408)*(P362&lt;$E190)*$E21</f>
        <v>0</v>
      </c>
      <c r="Q409" s="8" t="n">
        <f aca="false">(Q406+Q407-P406-P407-Q408)*(Q362&lt;$E190)*$E21</f>
        <v>0</v>
      </c>
      <c r="R409" s="8" t="n">
        <f aca="false">(R406+R407-Q406-Q407-R408)*(R362&lt;$E190)*$E21</f>
        <v>0</v>
      </c>
      <c r="S409" s="8" t="n">
        <f aca="false">(S406+S407-R406-R407-S408)*(S362&lt;$E190)*$E21</f>
        <v>0</v>
      </c>
      <c r="T409" s="8" t="n">
        <f aca="false">(T406+T407-S406-S407-T408)*(T362&lt;$E190)*$E21</f>
        <v>0</v>
      </c>
      <c r="U409" s="8" t="n">
        <f aca="false">(U406+U407-T406-T407-U408)*(U362&lt;$E190)*$E21</f>
        <v>0</v>
      </c>
      <c r="V409" s="8" t="n">
        <f aca="false">(V406+V407-U406-U407-V408)*(V362&lt;$E190)*$E21</f>
        <v>0</v>
      </c>
      <c r="W409" s="8" t="n">
        <f aca="false">(W406+W407-V406-V407-W408)*(W362&lt;$E190)*$E21</f>
        <v>0</v>
      </c>
      <c r="X409" s="8" t="n">
        <f aca="false">(X406+X407-W406-W407-X408)*(X362&lt;$E190)*$E21</f>
        <v>0</v>
      </c>
      <c r="Y409" s="8" t="n">
        <f aca="false">(Y406+Y407-X406-X407-Y408)*(Y362&lt;$E190)*$E21</f>
        <v>0</v>
      </c>
      <c r="Z409" s="8" t="n">
        <f aca="false">(Z406+Z407-Y406-Y407-Z408)*(Z362&lt;$E190)*$E21</f>
        <v>0</v>
      </c>
      <c r="AA409" s="8" t="n">
        <f aca="false">(AA406+AA407-Z406-Z407-AA408)*(AA362&lt;$E190)*$E21</f>
        <v>0</v>
      </c>
      <c r="AB409" s="8" t="n">
        <f aca="false">(AB406+AB407-AA406-AA407-AB408)*(AB362&lt;$E190)*$E21</f>
        <v>0</v>
      </c>
      <c r="AC409" s="8" t="n">
        <f aca="false">(AC406+AC407-AB406-AB407-AC408)*(AC362&lt;$E190)*$E21</f>
        <v>0</v>
      </c>
      <c r="AD409" s="8" t="n">
        <f aca="false">(AD406+AD407-AC406-AC407-AD408)*(AD362&lt;$E190)*$E21</f>
        <v>0</v>
      </c>
      <c r="AE409" s="8" t="n">
        <f aca="false">(AE406+AE407-AD406-AD407-AE408)*(AE362&lt;$E190)*$E21</f>
        <v>0</v>
      </c>
      <c r="AF409" s="8" t="n">
        <f aca="false">(AF406+AF407-AE406-AE407-AF408)*(AF362&lt;$E190)*$E21</f>
        <v>0</v>
      </c>
      <c r="AG409" s="8" t="n">
        <f aca="false">(AG406+AG407-AF406-AF407-AG408)*(AG362&lt;$E190)*$E21</f>
        <v>0</v>
      </c>
      <c r="AH409" s="8" t="n">
        <f aca="false">(AH406+AH407-AG406-AG407-AH408)*(AH362&lt;$E190)*$E21</f>
        <v>0</v>
      </c>
      <c r="AI409" s="8" t="n">
        <f aca="false">(AI406+AI407-AH406-AH407-AI408)*(AI362&lt;$E190)*$E21</f>
        <v>0</v>
      </c>
      <c r="AJ409" s="8" t="n">
        <f aca="false">(AJ406+AJ407-AI406-AI407-AJ408)*(AJ362&lt;$E190)*$E21</f>
        <v>0</v>
      </c>
      <c r="AK409" s="8" t="n">
        <f aca="false">(AK406+AK407-AJ406-AJ407-AK408)*(AK362&lt;$E190)*$E21</f>
        <v>0</v>
      </c>
      <c r="AL409" s="8" t="n">
        <f aca="false">(AL406+AL407-AK406-AK407-AL408)*(AL362&lt;$E190)*$E21</f>
        <v>0</v>
      </c>
      <c r="AM409" s="8" t="n">
        <f aca="false">(AM406+AM407-AL406-AL407-AM408)*(AM362&lt;$E190)*$E21</f>
        <v>0</v>
      </c>
      <c r="AN409" s="8" t="n">
        <f aca="false">(AN406+AN407-AM406-AM407-AN408)*(AN362&lt;$E190)*$E21</f>
        <v>0</v>
      </c>
      <c r="AO409" s="8" t="n">
        <f aca="false">(AO406+AO407-AN406-AN407-AO408)*(AO362&lt;$E190)*$E21</f>
        <v>0</v>
      </c>
      <c r="AP409" s="8" t="n">
        <f aca="false">(AP406+AP407-AO406-AO407-AP408)*(AP362&lt;$E190)*$E21</f>
        <v>0</v>
      </c>
      <c r="AQ409" s="8" t="n">
        <f aca="false">(AQ406+AQ407-AP406-AP407-AQ408)*(AQ362&lt;$E190)*$E21</f>
        <v>0</v>
      </c>
      <c r="AR409" s="8" t="n">
        <f aca="false">(AR406+AR407-AQ406-AQ407-AR408)*(AR362&lt;$E190)*$E21</f>
        <v>0</v>
      </c>
      <c r="AS409" s="8" t="n">
        <f aca="false">(AS406+AS407-AR406-AR407-AS408)*(AS362&lt;$E190)*$E21</f>
        <v>0</v>
      </c>
    </row>
    <row r="410" customFormat="false" ht="14.25" hidden="false" customHeight="false" outlineLevel="0" collapsed="false">
      <c r="C410" s="6" t="s">
        <v>335</v>
      </c>
      <c r="D410" s="2" t="s">
        <v>85</v>
      </c>
      <c r="H410" s="8"/>
      <c r="J410" s="8" t="n">
        <f aca="false">(I410*(1+Rate_Cash)-SUMPRODUCT($E290:$E293*$M290:$M293*(YEAR($J290:$J293)=J361)))*(J362&lt;$E225)*$E21</f>
        <v>404.929164946519</v>
      </c>
      <c r="K410" s="8" t="n">
        <f aca="false">(J410*(1+Rate_Cash)-SUMPRODUCT($E290:$E293*$M290:$M293*(YEAR($J290:$J293)=K361)))*(K362&lt;$E225)*$E21</f>
        <v>2874.39110197035</v>
      </c>
      <c r="L410" s="8" t="n">
        <f aca="false">(K410*(1+Rate_Cash)-SUMPRODUCT($E290:$E293*$M290:$M293*(YEAR($J290:$J293)=L361)))*(L362&lt;$E225)*$E21</f>
        <v>0</v>
      </c>
      <c r="M410" s="8" t="n">
        <f aca="false">(L410*(1+Rate_Cash)-SUMPRODUCT($E290:$E293*$M290:$M293*(YEAR($J290:$J293)=M361)))*(M362&lt;$E225)*$E21</f>
        <v>0</v>
      </c>
      <c r="N410" s="8" t="n">
        <f aca="false">(M410*(1+Rate_Cash)-SUMPRODUCT($E290:$E293*$M290:$M293*(YEAR($J290:$J293)=N361)))*(N362&lt;$E225)*$E21</f>
        <v>0</v>
      </c>
      <c r="O410" s="8" t="n">
        <f aca="false">(N410*(1+Rate_Cash)-SUMPRODUCT($E290:$E293*$M290:$M293*(YEAR($J290:$J293)=O361)))*(O362&lt;$E225)*$E21</f>
        <v>0</v>
      </c>
      <c r="P410" s="8" t="n">
        <f aca="false">(O410*(1+Rate_Cash)-SUMPRODUCT($E290:$E293*$M290:$M293*(YEAR($J290:$J293)=P361)))*(P362&lt;$E225)*$E21</f>
        <v>0</v>
      </c>
      <c r="Q410" s="8" t="n">
        <f aca="false">(P410*(1+Rate_Cash)-SUMPRODUCT($E290:$E293*$M290:$M293*(YEAR($J290:$J293)=Q361)))*(Q362&lt;$E225)*$E21</f>
        <v>0</v>
      </c>
      <c r="R410" s="8" t="n">
        <f aca="false">(Q410*(1+Rate_Cash)-SUMPRODUCT($E290:$E293*$M290:$M293*(YEAR($J290:$J293)=R361)))*(R362&lt;$E225)*$E21</f>
        <v>0</v>
      </c>
      <c r="S410" s="8" t="n">
        <f aca="false">(R410*(1+Rate_Cash)-SUMPRODUCT($E290:$E293*$M290:$M293*(YEAR($J290:$J293)=S361)))*(S362&lt;$E225)*$E21</f>
        <v>0</v>
      </c>
      <c r="T410" s="8" t="n">
        <f aca="false">(S410*(1+Rate_Cash)-SUMPRODUCT($E290:$E293*$M290:$M293*(YEAR($J290:$J293)=T361)))*(T362&lt;$E225)*$E21</f>
        <v>0</v>
      </c>
      <c r="U410" s="8" t="n">
        <f aca="false">(T410*(1+Rate_Cash)-SUMPRODUCT($E290:$E293*$M290:$M293*(YEAR($J290:$J293)=U361)))*(U362&lt;$E225)*$E21</f>
        <v>0</v>
      </c>
      <c r="V410" s="8" t="n">
        <f aca="false">(U410*(1+Rate_Cash)-SUMPRODUCT($E290:$E293*$M290:$M293*(YEAR($J290:$J293)=V361)))*(V362&lt;$E225)*$E21</f>
        <v>0</v>
      </c>
      <c r="W410" s="8" t="n">
        <f aca="false">(V410*(1+Rate_Cash)-SUMPRODUCT($E290:$E293*$M290:$M293*(YEAR($J290:$J293)=W361)))*(W362&lt;$E225)*$E21</f>
        <v>0</v>
      </c>
      <c r="X410" s="8" t="n">
        <f aca="false">(W410*(1+Rate_Cash)-SUMPRODUCT($E290:$E293*$M290:$M293*(YEAR($J290:$J293)=X361)))*(X362&lt;$E225)*$E21</f>
        <v>0</v>
      </c>
      <c r="Y410" s="8" t="n">
        <f aca="false">(X410*(1+Rate_Cash)-SUMPRODUCT($E290:$E293*$M290:$M293*(YEAR($J290:$J293)=Y361)))*(Y362&lt;$E225)*$E21</f>
        <v>0</v>
      </c>
      <c r="Z410" s="8" t="n">
        <f aca="false">(Y410*(1+Rate_Cash)-SUMPRODUCT($E290:$E293*$M290:$M293*(YEAR($J290:$J293)=Z361)))*(Z362&lt;$E225)*$E21</f>
        <v>0</v>
      </c>
      <c r="AA410" s="8" t="n">
        <f aca="false">(Z410*(1+Rate_Cash)-SUMPRODUCT($E290:$E293*$M290:$M293*(YEAR($J290:$J293)=AA361)))*(AA362&lt;$E225)*$E21</f>
        <v>0</v>
      </c>
      <c r="AB410" s="8" t="n">
        <f aca="false">(AA410*(1+Rate_Cash)-SUMPRODUCT($E290:$E293*$M290:$M293*(YEAR($J290:$J293)=AB361)))*(AB362&lt;$E225)*$E21</f>
        <v>0</v>
      </c>
      <c r="AC410" s="8" t="n">
        <f aca="false">(AB410*(1+Rate_Cash)-SUMPRODUCT($E290:$E293*$M290:$M293*(YEAR($J290:$J293)=AC361)))*(AC362&lt;$E225)*$E21</f>
        <v>0</v>
      </c>
      <c r="AD410" s="8" t="n">
        <f aca="false">(AC410*(1+Rate_Cash)-SUMPRODUCT($E290:$E293*$M290:$M293*(YEAR($J290:$J293)=AD361)))*(AD362&lt;$E225)*$E21</f>
        <v>0</v>
      </c>
      <c r="AE410" s="8" t="n">
        <f aca="false">(AD410*(1+Rate_Cash)-SUMPRODUCT($E290:$E293*$M290:$M293*(YEAR($J290:$J293)=AE361)))*(AE362&lt;$E225)*$E21</f>
        <v>0</v>
      </c>
      <c r="AF410" s="8" t="n">
        <f aca="false">(AE410*(1+Rate_Cash)-SUMPRODUCT($E290:$E293*$M290:$M293*(YEAR($J290:$J293)=AF361)))*(AF362&lt;$E225)*$E21</f>
        <v>0</v>
      </c>
      <c r="AG410" s="8" t="n">
        <f aca="false">(AF410*(1+Rate_Cash)-SUMPRODUCT($E290:$E293*$M290:$M293*(YEAR($J290:$J293)=AG361)))*(AG362&lt;$E225)*$E21</f>
        <v>0</v>
      </c>
      <c r="AH410" s="8" t="n">
        <f aca="false">(AG410*(1+Rate_Cash)-SUMPRODUCT($E290:$E293*$M290:$M293*(YEAR($J290:$J293)=AH361)))*(AH362&lt;$E225)*$E21</f>
        <v>0</v>
      </c>
      <c r="AI410" s="8" t="n">
        <f aca="false">(AH410*(1+Rate_Cash)-SUMPRODUCT($E290:$E293*$M290:$M293*(YEAR($J290:$J293)=AI361)))*(AI362&lt;$E225)*$E21</f>
        <v>0</v>
      </c>
      <c r="AJ410" s="8" t="n">
        <f aca="false">(AI410*(1+Rate_Cash)-SUMPRODUCT($E290:$E293*$M290:$M293*(YEAR($J290:$J293)=AJ361)))*(AJ362&lt;$E225)*$E21</f>
        <v>0</v>
      </c>
      <c r="AK410" s="8" t="n">
        <f aca="false">(AJ410*(1+Rate_Cash)-SUMPRODUCT($E290:$E293*$M290:$M293*(YEAR($J290:$J293)=AK361)))*(AK362&lt;$E225)*$E21</f>
        <v>0</v>
      </c>
      <c r="AL410" s="8" t="n">
        <f aca="false">(AK410*(1+Rate_Cash)-SUMPRODUCT($E290:$E293*$M290:$M293*(YEAR($J290:$J293)=AL361)))*(AL362&lt;$E225)*$E21</f>
        <v>0</v>
      </c>
      <c r="AM410" s="8" t="n">
        <f aca="false">(AL410*(1+Rate_Cash)-SUMPRODUCT($E290:$E293*$M290:$M293*(YEAR($J290:$J293)=AM361)))*(AM362&lt;$E225)*$E21</f>
        <v>0</v>
      </c>
      <c r="AN410" s="8" t="n">
        <f aca="false">(AM410*(1+Rate_Cash)-SUMPRODUCT($E290:$E293*$M290:$M293*(YEAR($J290:$J293)=AN361)))*(AN362&lt;$E225)*$E21</f>
        <v>0</v>
      </c>
      <c r="AO410" s="8" t="n">
        <f aca="false">(AN410*(1+Rate_Cash)-SUMPRODUCT($E290:$E293*$M290:$M293*(YEAR($J290:$J293)=AO361)))*(AO362&lt;$E225)*$E21</f>
        <v>0</v>
      </c>
      <c r="AP410" s="8" t="n">
        <f aca="false">(AO410*(1+Rate_Cash)-SUMPRODUCT($E290:$E293*$M290:$M293*(YEAR($J290:$J293)=AP361)))*(AP362&lt;$E225)*$E21</f>
        <v>0</v>
      </c>
      <c r="AQ410" s="8" t="n">
        <f aca="false">(AP410*(1+Rate_Cash)-SUMPRODUCT($E290:$E293*$M290:$M293*(YEAR($J290:$J293)=AQ361)))*(AQ362&lt;$E225)*$E21</f>
        <v>0</v>
      </c>
      <c r="AR410" s="8" t="n">
        <f aca="false">(AQ410*(1+Rate_Cash)-SUMPRODUCT($E290:$E293*$M290:$M293*(YEAR($J290:$J293)=AR361)))*(AR362&lt;$E225)*$E21</f>
        <v>0</v>
      </c>
      <c r="AS410" s="8" t="n">
        <f aca="false">(AR410*(1+Rate_Cash)-SUMPRODUCT($E290:$E293*$M290:$M293*(YEAR($J290:$J293)=AS361)))*(AS362&lt;$E225)*$E21</f>
        <v>0</v>
      </c>
    </row>
    <row r="411" customFormat="false" ht="14.25" hidden="false" customHeight="false" outlineLevel="0" collapsed="false">
      <c r="C411" s="6" t="s">
        <v>336</v>
      </c>
      <c r="D411" s="2" t="s">
        <v>85</v>
      </c>
      <c r="H411" s="8"/>
      <c r="J411" s="8" t="n">
        <f aca="false">(I411*(1+Rate_Devex)-SUMPRODUCT($E294:$E295*$M294:$M295*(YEAR($J294:$J295)=J361)))*(J362&lt;$E225)*$E21</f>
        <v>0</v>
      </c>
      <c r="K411" s="8" t="n">
        <f aca="false">(J411*(1+Rate_Devex)-SUMPRODUCT($E294:$E295*$M294:$M295*(YEAR($J294:$J295)=K361)))*(K362&lt;$E225)*$E21</f>
        <v>751.660032627003</v>
      </c>
      <c r="L411" s="8" t="n">
        <f aca="false">(K411*(1+Rate_Devex)-SUMPRODUCT($E294:$E295*$M294:$M295*(YEAR($J294:$J295)=L361)))*(L362&lt;$E225)*$E21</f>
        <v>0</v>
      </c>
      <c r="M411" s="8" t="n">
        <f aca="false">(L411*(1+Rate_Devex)-SUMPRODUCT($E294:$E295*$M294:$M295*(YEAR($J294:$J295)=M361)))*(M362&lt;$E225)*$E21</f>
        <v>0</v>
      </c>
      <c r="N411" s="8" t="n">
        <f aca="false">(M411*(1+Rate_Devex)-SUMPRODUCT($E294:$E295*$M294:$M295*(YEAR($J294:$J295)=N361)))*(N362&lt;$E225)*$E21</f>
        <v>0</v>
      </c>
      <c r="O411" s="8" t="n">
        <f aca="false">(N411*(1+Rate_Devex)-SUMPRODUCT($E294:$E295*$M294:$M295*(YEAR($J294:$J295)=O361)))*(O362&lt;$E225)*$E21</f>
        <v>0</v>
      </c>
      <c r="P411" s="8" t="n">
        <f aca="false">(O411*(1+Rate_Devex)-SUMPRODUCT($E294:$E295*$M294:$M295*(YEAR($J294:$J295)=P361)))*(P362&lt;$E225)*$E21</f>
        <v>0</v>
      </c>
      <c r="Q411" s="8" t="n">
        <f aca="false">(P411*(1+Rate_Devex)-SUMPRODUCT($E294:$E295*$M294:$M295*(YEAR($J294:$J295)=Q361)))*(Q362&lt;$E225)*$E21</f>
        <v>0</v>
      </c>
      <c r="R411" s="8" t="n">
        <f aca="false">(Q411*(1+Rate_Devex)-SUMPRODUCT($E294:$E295*$M294:$M295*(YEAR($J294:$J295)=R361)))*(R362&lt;$E225)*$E21</f>
        <v>0</v>
      </c>
      <c r="S411" s="8" t="n">
        <f aca="false">(R411*(1+Rate_Devex)-SUMPRODUCT($E294:$E295*$M294:$M295*(YEAR($J294:$J295)=S361)))*(S362&lt;$E225)*$E21</f>
        <v>0</v>
      </c>
      <c r="T411" s="8" t="n">
        <f aca="false">(S411*(1+Rate_Devex)-SUMPRODUCT($E294:$E295*$M294:$M295*(YEAR($J294:$J295)=T361)))*(T362&lt;$E225)*$E21</f>
        <v>0</v>
      </c>
      <c r="U411" s="8" t="n">
        <f aca="false">(T411*(1+Rate_Devex)-SUMPRODUCT($E294:$E295*$M294:$M295*(YEAR($J294:$J295)=U361)))*(U362&lt;$E225)*$E21</f>
        <v>0</v>
      </c>
      <c r="V411" s="8" t="n">
        <f aca="false">(U411*(1+Rate_Devex)-SUMPRODUCT($E294:$E295*$M294:$M295*(YEAR($J294:$J295)=V361)))*(V362&lt;$E225)*$E21</f>
        <v>0</v>
      </c>
      <c r="W411" s="8" t="n">
        <f aca="false">(V411*(1+Rate_Devex)-SUMPRODUCT($E294:$E295*$M294:$M295*(YEAR($J294:$J295)=W361)))*(W362&lt;$E225)*$E21</f>
        <v>0</v>
      </c>
      <c r="X411" s="8" t="n">
        <f aca="false">(W411*(1+Rate_Devex)-SUMPRODUCT($E294:$E295*$M294:$M295*(YEAR($J294:$J295)=X361)))*(X362&lt;$E225)*$E21</f>
        <v>0</v>
      </c>
      <c r="Y411" s="8" t="n">
        <f aca="false">(X411*(1+Rate_Devex)-SUMPRODUCT($E294:$E295*$M294:$M295*(YEAR($J294:$J295)=Y361)))*(Y362&lt;$E225)*$E21</f>
        <v>0</v>
      </c>
      <c r="Z411" s="8" t="n">
        <f aca="false">(Y411*(1+Rate_Devex)-SUMPRODUCT($E294:$E295*$M294:$M295*(YEAR($J294:$J295)=Z361)))*(Z362&lt;$E225)*$E21</f>
        <v>0</v>
      </c>
      <c r="AA411" s="8" t="n">
        <f aca="false">(Z411*(1+Rate_Devex)-SUMPRODUCT($E294:$E295*$M294:$M295*(YEAR($J294:$J295)=AA361)))*(AA362&lt;$E225)*$E21</f>
        <v>0</v>
      </c>
      <c r="AB411" s="8" t="n">
        <f aca="false">(AA411*(1+Rate_Devex)-SUMPRODUCT($E294:$E295*$M294:$M295*(YEAR($J294:$J295)=AB361)))*(AB362&lt;$E225)*$E21</f>
        <v>0</v>
      </c>
      <c r="AC411" s="8" t="n">
        <f aca="false">(AB411*(1+Rate_Devex)-SUMPRODUCT($E294:$E295*$M294:$M295*(YEAR($J294:$J295)=AC361)))*(AC362&lt;$E225)*$E21</f>
        <v>0</v>
      </c>
      <c r="AD411" s="8" t="n">
        <f aca="false">(AC411*(1+Rate_Devex)-SUMPRODUCT($E294:$E295*$M294:$M295*(YEAR($J294:$J295)=AD361)))*(AD362&lt;$E225)*$E21</f>
        <v>0</v>
      </c>
      <c r="AE411" s="8" t="n">
        <f aca="false">(AD411*(1+Rate_Devex)-SUMPRODUCT($E294:$E295*$M294:$M295*(YEAR($J294:$J295)=AE361)))*(AE362&lt;$E225)*$E21</f>
        <v>0</v>
      </c>
      <c r="AF411" s="8" t="n">
        <f aca="false">(AE411*(1+Rate_Devex)-SUMPRODUCT($E294:$E295*$M294:$M295*(YEAR($J294:$J295)=AF361)))*(AF362&lt;$E225)*$E21</f>
        <v>0</v>
      </c>
      <c r="AG411" s="8" t="n">
        <f aca="false">(AF411*(1+Rate_Devex)-SUMPRODUCT($E294:$E295*$M294:$M295*(YEAR($J294:$J295)=AG361)))*(AG362&lt;$E225)*$E21</f>
        <v>0</v>
      </c>
      <c r="AH411" s="8" t="n">
        <f aca="false">(AG411*(1+Rate_Devex)-SUMPRODUCT($E294:$E295*$M294:$M295*(YEAR($J294:$J295)=AH361)))*(AH362&lt;$E225)*$E21</f>
        <v>0</v>
      </c>
      <c r="AI411" s="8" t="n">
        <f aca="false">(AH411*(1+Rate_Devex)-SUMPRODUCT($E294:$E295*$M294:$M295*(YEAR($J294:$J295)=AI361)))*(AI362&lt;$E225)*$E21</f>
        <v>0</v>
      </c>
      <c r="AJ411" s="8" t="n">
        <f aca="false">(AI411*(1+Rate_Devex)-SUMPRODUCT($E294:$E295*$M294:$M295*(YEAR($J294:$J295)=AJ361)))*(AJ362&lt;$E225)*$E21</f>
        <v>0</v>
      </c>
      <c r="AK411" s="8" t="n">
        <f aca="false">(AJ411*(1+Rate_Devex)-SUMPRODUCT($E294:$E295*$M294:$M295*(YEAR($J294:$J295)=AK361)))*(AK362&lt;$E225)*$E21</f>
        <v>0</v>
      </c>
      <c r="AL411" s="8" t="n">
        <f aca="false">(AK411*(1+Rate_Devex)-SUMPRODUCT($E294:$E295*$M294:$M295*(YEAR($J294:$J295)=AL361)))*(AL362&lt;$E225)*$E21</f>
        <v>0</v>
      </c>
      <c r="AM411" s="8" t="n">
        <f aca="false">(AL411*(1+Rate_Devex)-SUMPRODUCT($E294:$E295*$M294:$M295*(YEAR($J294:$J295)=AM361)))*(AM362&lt;$E225)*$E21</f>
        <v>0</v>
      </c>
      <c r="AN411" s="8" t="n">
        <f aca="false">(AM411*(1+Rate_Devex)-SUMPRODUCT($E294:$E295*$M294:$M295*(YEAR($J294:$J295)=AN361)))*(AN362&lt;$E225)*$E21</f>
        <v>0</v>
      </c>
      <c r="AO411" s="8" t="n">
        <f aca="false">(AN411*(1+Rate_Devex)-SUMPRODUCT($E294:$E295*$M294:$M295*(YEAR($J294:$J295)=AO361)))*(AO362&lt;$E225)*$E21</f>
        <v>0</v>
      </c>
      <c r="AP411" s="8" t="n">
        <f aca="false">(AO411*(1+Rate_Devex)-SUMPRODUCT($E294:$E295*$M294:$M295*(YEAR($J294:$J295)=AP361)))*(AP362&lt;$E225)*$E21</f>
        <v>0</v>
      </c>
      <c r="AQ411" s="8" t="n">
        <f aca="false">(AP411*(1+Rate_Devex)-SUMPRODUCT($E294:$E295*$M294:$M295*(YEAR($J294:$J295)=AQ361)))*(AQ362&lt;$E225)*$E21</f>
        <v>0</v>
      </c>
      <c r="AR411" s="8" t="n">
        <f aca="false">(AQ411*(1+Rate_Devex)-SUMPRODUCT($E294:$E295*$M294:$M295*(YEAR($J294:$J295)=AR361)))*(AR362&lt;$E225)*$E21</f>
        <v>0</v>
      </c>
      <c r="AS411" s="8" t="n">
        <f aca="false">(AR411*(1+Rate_Devex)-SUMPRODUCT($E294:$E295*$M294:$M295*(YEAR($J294:$J295)=AS361)))*(AS362&lt;$E225)*$E21</f>
        <v>0</v>
      </c>
    </row>
    <row r="412" customFormat="false" ht="14.25" hidden="false" customHeight="false" outlineLevel="0" collapsed="false">
      <c r="C412" s="6" t="s">
        <v>337</v>
      </c>
      <c r="D412" s="2" t="s">
        <v>85</v>
      </c>
      <c r="H412" s="8" t="n">
        <f aca="false">SUM(J412:AS412)</f>
        <v>3291.64025470506</v>
      </c>
      <c r="J412" s="8" t="n">
        <f aca="false">-SUMPRODUCT($E290:$E295*(YEAR($J290:$J295)=J361))*(J362&lt;$E225)*$E21</f>
        <v>396.712328767123</v>
      </c>
      <c r="K412" s="8" t="n">
        <f aca="false">-SUMPRODUCT($E290:$E295*(YEAR($J290:$J295)=K361))*(K362&lt;$E225)*$E21</f>
        <v>2894.92792593794</v>
      </c>
      <c r="L412" s="8" t="n">
        <f aca="false">-SUMPRODUCT($E290:$E295*(YEAR($J290:$J295)=L361))*(L362&lt;$E225)*$E21</f>
        <v>-0</v>
      </c>
      <c r="M412" s="8" t="n">
        <f aca="false">-SUMPRODUCT($E290:$E295*(YEAR($J290:$J295)=M361))*(M362&lt;$E225)*$E21</f>
        <v>-0</v>
      </c>
      <c r="N412" s="8" t="n">
        <f aca="false">-SUMPRODUCT($E290:$E295*(YEAR($J290:$J295)=N361))*(N362&lt;$E225)*$E21</f>
        <v>-0</v>
      </c>
      <c r="O412" s="8" t="n">
        <f aca="false">-SUMPRODUCT($E290:$E295*(YEAR($J290:$J295)=O361))*(O362&lt;$E225)*$E21</f>
        <v>-0</v>
      </c>
      <c r="P412" s="8" t="n">
        <f aca="false">-SUMPRODUCT($E290:$E295*(YEAR($J290:$J295)=P361))*(P362&lt;$E225)*$E21</f>
        <v>-0</v>
      </c>
      <c r="Q412" s="8" t="n">
        <f aca="false">-SUMPRODUCT($E290:$E295*(YEAR($J290:$J295)=Q361))*(Q362&lt;$E225)*$E21</f>
        <v>-0</v>
      </c>
      <c r="R412" s="8" t="n">
        <f aca="false">-SUMPRODUCT($E290:$E295*(YEAR($J290:$J295)=R361))*(R362&lt;$E225)*$E21</f>
        <v>-0</v>
      </c>
      <c r="S412" s="8" t="n">
        <f aca="false">-SUMPRODUCT($E290:$E295*(YEAR($J290:$J295)=S361))*(S362&lt;$E225)*$E21</f>
        <v>-0</v>
      </c>
      <c r="T412" s="8" t="n">
        <f aca="false">-SUMPRODUCT($E290:$E295*(YEAR($J290:$J295)=T361))*(T362&lt;$E225)*$E21</f>
        <v>-0</v>
      </c>
      <c r="U412" s="8" t="n">
        <f aca="false">-SUMPRODUCT($E290:$E295*(YEAR($J290:$J295)=U361))*(U362&lt;$E225)*$E21</f>
        <v>-0</v>
      </c>
      <c r="V412" s="8" t="n">
        <f aca="false">-SUMPRODUCT($E290:$E295*(YEAR($J290:$J295)=V361))*(V362&lt;$E225)*$E21</f>
        <v>-0</v>
      </c>
      <c r="W412" s="8" t="n">
        <f aca="false">-SUMPRODUCT($E290:$E295*(YEAR($J290:$J295)=W361))*(W362&lt;$E225)*$E21</f>
        <v>-0</v>
      </c>
      <c r="X412" s="8" t="n">
        <f aca="false">-SUMPRODUCT($E290:$E295*(YEAR($J290:$J295)=X361))*(X362&lt;$E225)*$E21</f>
        <v>-0</v>
      </c>
      <c r="Y412" s="8" t="n">
        <f aca="false">-SUMPRODUCT($E290:$E295*(YEAR($J290:$J295)=Y361))*(Y362&lt;$E225)*$E21</f>
        <v>-0</v>
      </c>
      <c r="Z412" s="8" t="n">
        <f aca="false">-SUMPRODUCT($E290:$E295*(YEAR($J290:$J295)=Z361))*(Z362&lt;$E225)*$E21</f>
        <v>-0</v>
      </c>
      <c r="AA412" s="8" t="n">
        <f aca="false">-SUMPRODUCT($E290:$E295*(YEAR($J290:$J295)=AA361))*(AA362&lt;$E225)*$E21</f>
        <v>-0</v>
      </c>
      <c r="AB412" s="8" t="n">
        <f aca="false">-SUMPRODUCT($E290:$E295*(YEAR($J290:$J295)=AB361))*(AB362&lt;$E225)*$E21</f>
        <v>-0</v>
      </c>
      <c r="AC412" s="8" t="n">
        <f aca="false">-SUMPRODUCT($E290:$E295*(YEAR($J290:$J295)=AC361))*(AC362&lt;$E225)*$E21</f>
        <v>-0</v>
      </c>
      <c r="AD412" s="8" t="n">
        <f aca="false">-SUMPRODUCT($E290:$E295*(YEAR($J290:$J295)=AD361))*(AD362&lt;$E225)*$E21</f>
        <v>-0</v>
      </c>
      <c r="AE412" s="8" t="n">
        <f aca="false">-SUMPRODUCT($E290:$E295*(YEAR($J290:$J295)=AE361))*(AE362&lt;$E225)*$E21</f>
        <v>-0</v>
      </c>
      <c r="AF412" s="8" t="n">
        <f aca="false">-SUMPRODUCT($E290:$E295*(YEAR($J290:$J295)=AF361))*(AF362&lt;$E225)*$E21</f>
        <v>-0</v>
      </c>
      <c r="AG412" s="8" t="n">
        <f aca="false">-SUMPRODUCT($E290:$E295*(YEAR($J290:$J295)=AG361))*(AG362&lt;$E225)*$E21</f>
        <v>-0</v>
      </c>
      <c r="AH412" s="8" t="n">
        <f aca="false">-SUMPRODUCT($E290:$E295*(YEAR($J290:$J295)=AH361))*(AH362&lt;$E225)*$E21</f>
        <v>-0</v>
      </c>
      <c r="AI412" s="8" t="n">
        <f aca="false">-SUMPRODUCT($E290:$E295*(YEAR($J290:$J295)=AI361))*(AI362&lt;$E225)*$E21</f>
        <v>-0</v>
      </c>
      <c r="AJ412" s="8" t="n">
        <f aca="false">-SUMPRODUCT($E290:$E295*(YEAR($J290:$J295)=AJ361))*(AJ362&lt;$E225)*$E21</f>
        <v>-0</v>
      </c>
      <c r="AK412" s="8" t="n">
        <f aca="false">-SUMPRODUCT($E290:$E295*(YEAR($J290:$J295)=AK361))*(AK362&lt;$E225)*$E21</f>
        <v>-0</v>
      </c>
      <c r="AL412" s="8" t="n">
        <f aca="false">-SUMPRODUCT($E290:$E295*(YEAR($J290:$J295)=AL361))*(AL362&lt;$E225)*$E21</f>
        <v>-0</v>
      </c>
      <c r="AM412" s="8" t="n">
        <f aca="false">-SUMPRODUCT($E290:$E295*(YEAR($J290:$J295)=AM361))*(AM362&lt;$E225)*$E21</f>
        <v>-0</v>
      </c>
      <c r="AN412" s="8" t="n">
        <f aca="false">-SUMPRODUCT($E290:$E295*(YEAR($J290:$J295)=AN361))*(AN362&lt;$E225)*$E21</f>
        <v>-0</v>
      </c>
      <c r="AO412" s="8" t="n">
        <f aca="false">-SUMPRODUCT($E290:$E295*(YEAR($J290:$J295)=AO361))*(AO362&lt;$E225)*$E21</f>
        <v>-0</v>
      </c>
      <c r="AP412" s="8" t="n">
        <f aca="false">-SUMPRODUCT($E290:$E295*(YEAR($J290:$J295)=AP361))*(AP362&lt;$E225)*$E21</f>
        <v>-0</v>
      </c>
      <c r="AQ412" s="8" t="n">
        <f aca="false">-SUMPRODUCT($E290:$E295*(YEAR($J290:$J295)=AQ361))*(AQ362&lt;$E225)*$E21</f>
        <v>-0</v>
      </c>
      <c r="AR412" s="8" t="n">
        <f aca="false">-SUMPRODUCT($E290:$E295*(YEAR($J290:$J295)=AR361))*(AR362&lt;$E225)*$E21</f>
        <v>-0</v>
      </c>
      <c r="AS412" s="8" t="n">
        <f aca="false">-SUMPRODUCT($E290:$E295*(YEAR($J290:$J295)=AS361))*(AS362&lt;$E225)*$E21</f>
        <v>-0</v>
      </c>
    </row>
    <row r="413" customFormat="false" ht="14.25" hidden="false" customHeight="false" outlineLevel="0" collapsed="false">
      <c r="C413" s="6" t="s">
        <v>338</v>
      </c>
      <c r="D413" s="2" t="s">
        <v>85</v>
      </c>
      <c r="H413" s="8" t="n">
        <f aca="false">SUM(J413:AS413)</f>
        <v>334.410879892294</v>
      </c>
      <c r="J413" s="8" t="n">
        <f aca="false">(J410+J411-I410-I411-J412)*(J362&lt;$E225)*$E21</f>
        <v>8.21683617939578</v>
      </c>
      <c r="K413" s="8" t="n">
        <f aca="false">(K410+K411-J410-J411-K412)*(K362&lt;$E225)*$E21</f>
        <v>326.194043712898</v>
      </c>
      <c r="L413" s="8" t="n">
        <f aca="false">(L410+L411-K410-K411-L412)*(L362&lt;$E225)*$E21</f>
        <v>-0</v>
      </c>
      <c r="M413" s="8" t="n">
        <f aca="false">(M410+M411-L410-L411-M412)*(M362&lt;$E225)*$E21</f>
        <v>0</v>
      </c>
      <c r="N413" s="8" t="n">
        <f aca="false">(N410+N411-M410-M411-N412)*(N362&lt;$E225)*$E21</f>
        <v>0</v>
      </c>
      <c r="O413" s="8" t="n">
        <f aca="false">(O410+O411-N410-N411-O412)*(O362&lt;$E225)*$E21</f>
        <v>0</v>
      </c>
      <c r="P413" s="8" t="n">
        <f aca="false">(P410+P411-O410-O411-P412)*(P362&lt;$E225)*$E21</f>
        <v>0</v>
      </c>
      <c r="Q413" s="8" t="n">
        <f aca="false">(Q410+Q411-P410-P411-Q412)*(Q362&lt;$E225)*$E21</f>
        <v>0</v>
      </c>
      <c r="R413" s="8" t="n">
        <f aca="false">(R410+R411-Q410-Q411-R412)*(R362&lt;$E225)*$E21</f>
        <v>0</v>
      </c>
      <c r="S413" s="8" t="n">
        <f aca="false">(S410+S411-R410-R411-S412)*(S362&lt;$E225)*$E21</f>
        <v>0</v>
      </c>
      <c r="T413" s="8" t="n">
        <f aca="false">(T410+T411-S410-S411-T412)*(T362&lt;$E225)*$E21</f>
        <v>0</v>
      </c>
      <c r="U413" s="8" t="n">
        <f aca="false">(U410+U411-T410-T411-U412)*(U362&lt;$E225)*$E21</f>
        <v>0</v>
      </c>
      <c r="V413" s="8" t="n">
        <f aca="false">(V410+V411-U410-U411-V412)*(V362&lt;$E225)*$E21</f>
        <v>0</v>
      </c>
      <c r="W413" s="8" t="n">
        <f aca="false">(W410+W411-V410-V411-W412)*(W362&lt;$E225)*$E21</f>
        <v>0</v>
      </c>
      <c r="X413" s="8" t="n">
        <f aca="false">(X410+X411-W410-W411-X412)*(X362&lt;$E225)*$E21</f>
        <v>0</v>
      </c>
      <c r="Y413" s="8" t="n">
        <f aca="false">(Y410+Y411-X410-X411-Y412)*(Y362&lt;$E225)*$E21</f>
        <v>0</v>
      </c>
      <c r="Z413" s="8" t="n">
        <f aca="false">(Z410+Z411-Y410-Y411-Z412)*(Z362&lt;$E225)*$E21</f>
        <v>0</v>
      </c>
      <c r="AA413" s="8" t="n">
        <f aca="false">(AA410+AA411-Z410-Z411-AA412)*(AA362&lt;$E225)*$E21</f>
        <v>0</v>
      </c>
      <c r="AB413" s="8" t="n">
        <f aca="false">(AB410+AB411-AA410-AA411-AB412)*(AB362&lt;$E225)*$E21</f>
        <v>0</v>
      </c>
      <c r="AC413" s="8" t="n">
        <f aca="false">(AC410+AC411-AB410-AB411-AC412)*(AC362&lt;$E225)*$E21</f>
        <v>0</v>
      </c>
      <c r="AD413" s="8" t="n">
        <f aca="false">(AD410+AD411-AC410-AC411-AD412)*(AD362&lt;$E225)*$E21</f>
        <v>0</v>
      </c>
      <c r="AE413" s="8" t="n">
        <f aca="false">(AE410+AE411-AD410-AD411-AE412)*(AE362&lt;$E225)*$E21</f>
        <v>0</v>
      </c>
      <c r="AF413" s="8" t="n">
        <f aca="false">(AF410+AF411-AE410-AE411-AF412)*(AF362&lt;$E225)*$E21</f>
        <v>0</v>
      </c>
      <c r="AG413" s="8" t="n">
        <f aca="false">(AG410+AG411-AF410-AF411-AG412)*(AG362&lt;$E225)*$E21</f>
        <v>0</v>
      </c>
      <c r="AH413" s="8" t="n">
        <f aca="false">(AH410+AH411-AG410-AG411-AH412)*(AH362&lt;$E225)*$E21</f>
        <v>0</v>
      </c>
      <c r="AI413" s="8" t="n">
        <f aca="false">(AI410+AI411-AH410-AH411-AI412)*(AI362&lt;$E225)*$E21</f>
        <v>0</v>
      </c>
      <c r="AJ413" s="8" t="n">
        <f aca="false">(AJ410+AJ411-AI410-AI411-AJ412)*(AJ362&lt;$E225)*$E21</f>
        <v>0</v>
      </c>
      <c r="AK413" s="8" t="n">
        <f aca="false">(AK410+AK411-AJ410-AJ411-AK412)*(AK362&lt;$E225)*$E21</f>
        <v>0</v>
      </c>
      <c r="AL413" s="8" t="n">
        <f aca="false">(AL410+AL411-AK410-AK411-AL412)*(AL362&lt;$E225)*$E21</f>
        <v>0</v>
      </c>
      <c r="AM413" s="8" t="n">
        <f aca="false">(AM410+AM411-AL410-AL411-AM412)*(AM362&lt;$E225)*$E21</f>
        <v>0</v>
      </c>
      <c r="AN413" s="8" t="n">
        <f aca="false">(AN410+AN411-AM410-AM411-AN412)*(AN362&lt;$E225)*$E21</f>
        <v>0</v>
      </c>
      <c r="AO413" s="8" t="n">
        <f aca="false">(AO410+AO411-AN410-AN411-AO412)*(AO362&lt;$E225)*$E21</f>
        <v>0</v>
      </c>
      <c r="AP413" s="8" t="n">
        <f aca="false">(AP410+AP411-AO410-AO411-AP412)*(AP362&lt;$E225)*$E21</f>
        <v>0</v>
      </c>
      <c r="AQ413" s="8" t="n">
        <f aca="false">(AQ410+AQ411-AP410-AP411-AQ412)*(AQ362&lt;$E225)*$E21</f>
        <v>0</v>
      </c>
      <c r="AR413" s="8" t="n">
        <f aca="false">(AR410+AR411-AQ410-AQ411-AR412)*(AR362&lt;$E225)*$E21</f>
        <v>0</v>
      </c>
      <c r="AS413" s="8" t="n">
        <f aca="false">(AS410+AS411-AR410-AR411-AS412)*(AS362&lt;$E225)*$E21</f>
        <v>0</v>
      </c>
    </row>
    <row r="415" customFormat="false" ht="14.25" hidden="false" customHeight="false" outlineLevel="0" collapsed="false">
      <c r="B415" s="4" t="s">
        <v>3</v>
      </c>
      <c r="C415" s="4" t="s">
        <v>339</v>
      </c>
      <c r="D415" s="4"/>
      <c r="E415" s="5"/>
      <c r="F415" s="5" t="s">
        <v>289</v>
      </c>
      <c r="G415" s="5"/>
      <c r="H415" s="5" t="s">
        <v>8</v>
      </c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</row>
    <row r="416" customFormat="false" ht="14.25" hidden="false" customHeight="false" outlineLevel="0" collapsed="false">
      <c r="C416" s="6" t="s">
        <v>290</v>
      </c>
      <c r="D416" s="2" t="s">
        <v>291</v>
      </c>
      <c r="J416" s="74" t="n">
        <f aca="false">J$361-YEAR(Inputs!$F$26)</f>
        <v>-5</v>
      </c>
      <c r="K416" s="74" t="n">
        <f aca="false">K$361-YEAR(Inputs!$F$26)</f>
        <v>-4</v>
      </c>
      <c r="L416" s="74" t="n">
        <f aca="false">L$361-YEAR(Inputs!$F$26)</f>
        <v>-3</v>
      </c>
      <c r="M416" s="74" t="n">
        <f aca="false">M$361-YEAR(Inputs!$F$26)</f>
        <v>-2</v>
      </c>
      <c r="N416" s="74" t="n">
        <f aca="false">N$361-YEAR(Inputs!$F$26)</f>
        <v>-1</v>
      </c>
      <c r="O416" s="74" t="n">
        <f aca="false">O$361-YEAR(Inputs!$F$26)</f>
        <v>0</v>
      </c>
      <c r="P416" s="74" t="n">
        <f aca="false">P$361-YEAR(Inputs!$F$26)</f>
        <v>1</v>
      </c>
      <c r="Q416" s="74" t="n">
        <f aca="false">Q$361-YEAR(Inputs!$F$26)</f>
        <v>2</v>
      </c>
      <c r="R416" s="74" t="n">
        <f aca="false">R$361-YEAR(Inputs!$F$26)</f>
        <v>3</v>
      </c>
      <c r="S416" s="74" t="n">
        <f aca="false">S$361-YEAR(Inputs!$F$26)</f>
        <v>4</v>
      </c>
      <c r="T416" s="74" t="n">
        <f aca="false">T$361-YEAR(Inputs!$F$26)</f>
        <v>5</v>
      </c>
      <c r="U416" s="74" t="n">
        <f aca="false">U$361-YEAR(Inputs!$F$26)</f>
        <v>6</v>
      </c>
      <c r="V416" s="74" t="n">
        <f aca="false">V$361-YEAR(Inputs!$F$26)</f>
        <v>7</v>
      </c>
      <c r="W416" s="74" t="n">
        <f aca="false">W$361-YEAR(Inputs!$F$26)</f>
        <v>8</v>
      </c>
      <c r="X416" s="74" t="n">
        <f aca="false">X$361-YEAR(Inputs!$F$26)</f>
        <v>9</v>
      </c>
      <c r="Y416" s="74" t="n">
        <f aca="false">Y$361-YEAR(Inputs!$F$26)</f>
        <v>10</v>
      </c>
      <c r="Z416" s="74" t="n">
        <f aca="false">Z$361-YEAR(Inputs!$F$26)</f>
        <v>11</v>
      </c>
      <c r="AA416" s="74" t="n">
        <f aca="false">AA$361-YEAR(Inputs!$F$26)</f>
        <v>12</v>
      </c>
      <c r="AB416" s="74" t="n">
        <f aca="false">AB$361-YEAR(Inputs!$F$26)</f>
        <v>13</v>
      </c>
      <c r="AC416" s="74" t="n">
        <f aca="false">AC$361-YEAR(Inputs!$F$26)</f>
        <v>14</v>
      </c>
      <c r="AD416" s="74" t="n">
        <f aca="false">AD$361-YEAR(Inputs!$F$26)</f>
        <v>15</v>
      </c>
      <c r="AE416" s="74" t="n">
        <f aca="false">AE$361-YEAR(Inputs!$F$26)</f>
        <v>16</v>
      </c>
      <c r="AF416" s="74" t="n">
        <f aca="false">AF$361-YEAR(Inputs!$F$26)</f>
        <v>17</v>
      </c>
      <c r="AG416" s="74" t="n">
        <f aca="false">AG$361-YEAR(Inputs!$F$26)</f>
        <v>18</v>
      </c>
      <c r="AH416" s="74" t="n">
        <f aca="false">AH$361-YEAR(Inputs!$F$26)</f>
        <v>19</v>
      </c>
      <c r="AI416" s="74" t="n">
        <f aca="false">AI$361-YEAR(Inputs!$F$26)</f>
        <v>20</v>
      </c>
      <c r="AJ416" s="74" t="n">
        <f aca="false">AJ$361-YEAR(Inputs!$F$26)</f>
        <v>21</v>
      </c>
      <c r="AK416" s="74" t="n">
        <f aca="false">AK$361-YEAR(Inputs!$F$26)</f>
        <v>22</v>
      </c>
      <c r="AL416" s="74" t="n">
        <f aca="false">AL$361-YEAR(Inputs!$F$26)</f>
        <v>23</v>
      </c>
      <c r="AM416" s="74" t="n">
        <f aca="false">AM$361-YEAR(Inputs!$F$26)</f>
        <v>24</v>
      </c>
      <c r="AN416" s="74" t="n">
        <f aca="false">AN$361-YEAR(Inputs!$F$26)</f>
        <v>25</v>
      </c>
      <c r="AO416" s="74" t="n">
        <f aca="false">AO$361-YEAR(Inputs!$F$26)</f>
        <v>26</v>
      </c>
      <c r="AP416" s="74" t="n">
        <f aca="false">AP$361-YEAR(Inputs!$F$26)</f>
        <v>27</v>
      </c>
      <c r="AQ416" s="74" t="n">
        <f aca="false">AQ$361-YEAR(Inputs!$F$26)</f>
        <v>28</v>
      </c>
      <c r="AR416" s="74" t="n">
        <f aca="false">AR$361-YEAR(Inputs!$F$26)</f>
        <v>29</v>
      </c>
      <c r="AS416" s="74" t="n">
        <f aca="false">AS$361-YEAR(Inputs!$F$26)</f>
        <v>30</v>
      </c>
    </row>
    <row r="417" customFormat="false" ht="14.25" hidden="false" customHeight="false" outlineLevel="0" collapsed="false">
      <c r="C417" s="6" t="s">
        <v>292</v>
      </c>
      <c r="D417" s="2" t="s">
        <v>293</v>
      </c>
      <c r="F417" s="74" t="n">
        <f aca="false">DATEDIF(Inputs!$F$25,Inputs!$F$26,"m")</f>
        <v>24</v>
      </c>
      <c r="J417" s="74" t="n">
        <f aca="false">(J$361+1-YEAR(Inputs!$F$25))*Months_In_Year-MONTH(Inputs!$F$25)</f>
        <v>-30</v>
      </c>
      <c r="K417" s="74" t="n">
        <f aca="false">(K$361+1-YEAR(Inputs!$F$25))*Months_In_Year-MONTH(Inputs!$F$25)</f>
        <v>-18</v>
      </c>
      <c r="L417" s="74" t="n">
        <f aca="false">(L$361+1-YEAR(Inputs!$F$25))*Months_In_Year-MONTH(Inputs!$F$25)</f>
        <v>-6</v>
      </c>
      <c r="M417" s="74" t="n">
        <f aca="false">(M$361+1-YEAR(Inputs!$F$25))*Months_In_Year-MONTH(Inputs!$F$25)</f>
        <v>6</v>
      </c>
      <c r="N417" s="74" t="n">
        <f aca="false">(N$361+1-YEAR(Inputs!$F$25))*Months_In_Year-MONTH(Inputs!$F$25)</f>
        <v>18</v>
      </c>
      <c r="O417" s="74" t="n">
        <f aca="false">(O$361+1-YEAR(Inputs!$F$25))*Months_In_Year-MONTH(Inputs!$F$25)</f>
        <v>30</v>
      </c>
      <c r="P417" s="74" t="n">
        <f aca="false">(P$361+1-YEAR(Inputs!$F$25))*Months_In_Year-MONTH(Inputs!$F$25)</f>
        <v>42</v>
      </c>
      <c r="Q417" s="74" t="n">
        <f aca="false">(Q$361+1-YEAR(Inputs!$F$25))*Months_In_Year-MONTH(Inputs!$F$25)</f>
        <v>54</v>
      </c>
      <c r="R417" s="74" t="n">
        <f aca="false">(R$361+1-YEAR(Inputs!$F$25))*Months_In_Year-MONTH(Inputs!$F$25)</f>
        <v>66</v>
      </c>
      <c r="S417" s="74" t="n">
        <f aca="false">(S$361+1-YEAR(Inputs!$F$25))*Months_In_Year-MONTH(Inputs!$F$25)</f>
        <v>78</v>
      </c>
      <c r="T417" s="74" t="n">
        <f aca="false">(T$361+1-YEAR(Inputs!$F$25))*Months_In_Year-MONTH(Inputs!$F$25)</f>
        <v>90</v>
      </c>
      <c r="U417" s="74" t="n">
        <f aca="false">(U$361+1-YEAR(Inputs!$F$25))*Months_In_Year-MONTH(Inputs!$F$25)</f>
        <v>102</v>
      </c>
      <c r="V417" s="74" t="n">
        <f aca="false">(V$361+1-YEAR(Inputs!$F$25))*Months_In_Year-MONTH(Inputs!$F$25)</f>
        <v>114</v>
      </c>
      <c r="W417" s="74" t="n">
        <f aca="false">(W$361+1-YEAR(Inputs!$F$25))*Months_In_Year-MONTH(Inputs!$F$25)</f>
        <v>126</v>
      </c>
      <c r="X417" s="74" t="n">
        <f aca="false">(X$361+1-YEAR(Inputs!$F$25))*Months_In_Year-MONTH(Inputs!$F$25)</f>
        <v>138</v>
      </c>
      <c r="Y417" s="74" t="n">
        <f aca="false">(Y$361+1-YEAR(Inputs!$F$25))*Months_In_Year-MONTH(Inputs!$F$25)</f>
        <v>150</v>
      </c>
      <c r="Z417" s="74" t="n">
        <f aca="false">(Z$361+1-YEAR(Inputs!$F$25))*Months_In_Year-MONTH(Inputs!$F$25)</f>
        <v>162</v>
      </c>
      <c r="AA417" s="74" t="n">
        <f aca="false">(AA$361+1-YEAR(Inputs!$F$25))*Months_In_Year-MONTH(Inputs!$F$25)</f>
        <v>174</v>
      </c>
      <c r="AB417" s="74" t="n">
        <f aca="false">(AB$361+1-YEAR(Inputs!$F$25))*Months_In_Year-MONTH(Inputs!$F$25)</f>
        <v>186</v>
      </c>
      <c r="AC417" s="74" t="n">
        <f aca="false">(AC$361+1-YEAR(Inputs!$F$25))*Months_In_Year-MONTH(Inputs!$F$25)</f>
        <v>198</v>
      </c>
      <c r="AD417" s="74" t="n">
        <f aca="false">(AD$361+1-YEAR(Inputs!$F$25))*Months_In_Year-MONTH(Inputs!$F$25)</f>
        <v>210</v>
      </c>
      <c r="AE417" s="74" t="n">
        <f aca="false">(AE$361+1-YEAR(Inputs!$F$25))*Months_In_Year-MONTH(Inputs!$F$25)</f>
        <v>222</v>
      </c>
      <c r="AF417" s="74" t="n">
        <f aca="false">(AF$361+1-YEAR(Inputs!$F$25))*Months_In_Year-MONTH(Inputs!$F$25)</f>
        <v>234</v>
      </c>
      <c r="AG417" s="74" t="n">
        <f aca="false">(AG$361+1-YEAR(Inputs!$F$25))*Months_In_Year-MONTH(Inputs!$F$25)</f>
        <v>246</v>
      </c>
      <c r="AH417" s="74" t="n">
        <f aca="false">(AH$361+1-YEAR(Inputs!$F$25))*Months_In_Year-MONTH(Inputs!$F$25)</f>
        <v>258</v>
      </c>
      <c r="AI417" s="74" t="n">
        <f aca="false">(AI$361+1-YEAR(Inputs!$F$25))*Months_In_Year-MONTH(Inputs!$F$25)</f>
        <v>270</v>
      </c>
      <c r="AJ417" s="74" t="n">
        <f aca="false">(AJ$361+1-YEAR(Inputs!$F$25))*Months_In_Year-MONTH(Inputs!$F$25)</f>
        <v>282</v>
      </c>
      <c r="AK417" s="74" t="n">
        <f aca="false">(AK$361+1-YEAR(Inputs!$F$25))*Months_In_Year-MONTH(Inputs!$F$25)</f>
        <v>294</v>
      </c>
      <c r="AL417" s="74" t="n">
        <f aca="false">(AL$361+1-YEAR(Inputs!$F$25))*Months_In_Year-MONTH(Inputs!$F$25)</f>
        <v>306</v>
      </c>
      <c r="AM417" s="74" t="n">
        <f aca="false">(AM$361+1-YEAR(Inputs!$F$25))*Months_In_Year-MONTH(Inputs!$F$25)</f>
        <v>318</v>
      </c>
      <c r="AN417" s="74" t="n">
        <f aca="false">(AN$361+1-YEAR(Inputs!$F$25))*Months_In_Year-MONTH(Inputs!$F$25)</f>
        <v>330</v>
      </c>
      <c r="AO417" s="74" t="n">
        <f aca="false">(AO$361+1-YEAR(Inputs!$F$25))*Months_In_Year-MONTH(Inputs!$F$25)</f>
        <v>342</v>
      </c>
      <c r="AP417" s="74" t="n">
        <f aca="false">(AP$361+1-YEAR(Inputs!$F$25))*Months_In_Year-MONTH(Inputs!$F$25)</f>
        <v>354</v>
      </c>
      <c r="AQ417" s="74" t="n">
        <f aca="false">(AQ$361+1-YEAR(Inputs!$F$25))*Months_In_Year-MONTH(Inputs!$F$25)</f>
        <v>366</v>
      </c>
      <c r="AR417" s="74" t="n">
        <f aca="false">(AR$361+1-YEAR(Inputs!$F$25))*Months_In_Year-MONTH(Inputs!$F$25)</f>
        <v>378</v>
      </c>
      <c r="AS417" s="74" t="n">
        <f aca="false">(AS$361+1-YEAR(Inputs!$F$25))*Months_In_Year-MONTH(Inputs!$F$25)</f>
        <v>390</v>
      </c>
    </row>
    <row r="418" customFormat="false" ht="14.25" hidden="false" customHeight="false" outlineLevel="0" collapsed="false">
      <c r="C418" s="6" t="s">
        <v>294</v>
      </c>
      <c r="D418" s="2" t="s">
        <v>12</v>
      </c>
      <c r="H418" s="75" t="n">
        <f aca="false">SUM(J418:AS418)</f>
        <v>1</v>
      </c>
      <c r="J418" s="48" t="n">
        <f aca="false">MAX(0,MIN(J417,$F417)-MAX(J417-Months_In_Year,0))/$F417</f>
        <v>0</v>
      </c>
      <c r="K418" s="48" t="n">
        <f aca="false">MAX(0,MIN(K417,$F417)-MAX(K417-Months_In_Year,0))/$F417</f>
        <v>0</v>
      </c>
      <c r="L418" s="48" t="n">
        <f aca="false">MAX(0,MIN(L417,$F417)-MAX(L417-Months_In_Year,0))/$F417</f>
        <v>0</v>
      </c>
      <c r="M418" s="48" t="n">
        <f aca="false">MAX(0,MIN(M417,$F417)-MAX(M417-Months_In_Year,0))/$F417</f>
        <v>0.25</v>
      </c>
      <c r="N418" s="48" t="n">
        <f aca="false">MAX(0,MIN(N417,$F417)-MAX(N417-Months_In_Year,0))/$F417</f>
        <v>0.5</v>
      </c>
      <c r="O418" s="48" t="n">
        <f aca="false">MAX(0,MIN(O417,$F417)-MAX(O417-Months_In_Year,0))/$F417</f>
        <v>0.25</v>
      </c>
      <c r="P418" s="48" t="n">
        <f aca="false">MAX(0,MIN(P417,$F417)-MAX(P417-Months_In_Year,0))/$F417</f>
        <v>0</v>
      </c>
      <c r="Q418" s="48" t="n">
        <f aca="false">MAX(0,MIN(Q417,$F417)-MAX(Q417-Months_In_Year,0))/$F417</f>
        <v>0</v>
      </c>
      <c r="R418" s="48" t="n">
        <f aca="false">MAX(0,MIN(R417,$F417)-MAX(R417-Months_In_Year,0))/$F417</f>
        <v>0</v>
      </c>
      <c r="S418" s="48" t="n">
        <f aca="false">MAX(0,MIN(S417,$F417)-MAX(S417-Months_In_Year,0))/$F417</f>
        <v>0</v>
      </c>
      <c r="T418" s="48" t="n">
        <f aca="false">MAX(0,MIN(T417,$F417)-MAX(T417-Months_In_Year,0))/$F417</f>
        <v>0</v>
      </c>
      <c r="U418" s="48" t="n">
        <f aca="false">MAX(0,MIN(U417,$F417)-MAX(U417-Months_In_Year,0))/$F417</f>
        <v>0</v>
      </c>
      <c r="V418" s="48" t="n">
        <f aca="false">MAX(0,MIN(V417,$F417)-MAX(V417-Months_In_Year,0))/$F417</f>
        <v>0</v>
      </c>
      <c r="W418" s="48" t="n">
        <f aca="false">MAX(0,MIN(W417,$F417)-MAX(W417-Months_In_Year,0))/$F417</f>
        <v>0</v>
      </c>
      <c r="X418" s="48" t="n">
        <f aca="false">MAX(0,MIN(X417,$F417)-MAX(X417-Months_In_Year,0))/$F417</f>
        <v>0</v>
      </c>
      <c r="Y418" s="48" t="n">
        <f aca="false">MAX(0,MIN(Y417,$F417)-MAX(Y417-Months_In_Year,0))/$F417</f>
        <v>0</v>
      </c>
      <c r="Z418" s="48" t="n">
        <f aca="false">MAX(0,MIN(Z417,$F417)-MAX(Z417-Months_In_Year,0))/$F417</f>
        <v>0</v>
      </c>
      <c r="AA418" s="48" t="n">
        <f aca="false">MAX(0,MIN(AA417,$F417)-MAX(AA417-Months_In_Year,0))/$F417</f>
        <v>0</v>
      </c>
      <c r="AB418" s="48" t="n">
        <f aca="false">MAX(0,MIN(AB417,$F417)-MAX(AB417-Months_In_Year,0))/$F417</f>
        <v>0</v>
      </c>
      <c r="AC418" s="48" t="n">
        <f aca="false">MAX(0,MIN(AC417,$F417)-MAX(AC417-Months_In_Year,0))/$F417</f>
        <v>0</v>
      </c>
      <c r="AD418" s="48" t="n">
        <f aca="false">MAX(0,MIN(AD417,$F417)-MAX(AD417-Months_In_Year,0))/$F417</f>
        <v>0</v>
      </c>
      <c r="AE418" s="48" t="n">
        <f aca="false">MAX(0,MIN(AE417,$F417)-MAX(AE417-Months_In_Year,0))/$F417</f>
        <v>0</v>
      </c>
      <c r="AF418" s="48" t="n">
        <f aca="false">MAX(0,MIN(AF417,$F417)-MAX(AF417-Months_In_Year,0))/$F417</f>
        <v>0</v>
      </c>
      <c r="AG418" s="48" t="n">
        <f aca="false">MAX(0,MIN(AG417,$F417)-MAX(AG417-Months_In_Year,0))/$F417</f>
        <v>0</v>
      </c>
      <c r="AH418" s="48" t="n">
        <f aca="false">MAX(0,MIN(AH417,$F417)-MAX(AH417-Months_In_Year,0))/$F417</f>
        <v>0</v>
      </c>
      <c r="AI418" s="48" t="n">
        <f aca="false">MAX(0,MIN(AI417,$F417)-MAX(AI417-Months_In_Year,0))/$F417</f>
        <v>0</v>
      </c>
      <c r="AJ418" s="48" t="n">
        <f aca="false">MAX(0,MIN(AJ417,$F417)-MAX(AJ417-Months_In_Year,0))/$F417</f>
        <v>0</v>
      </c>
      <c r="AK418" s="48" t="n">
        <f aca="false">MAX(0,MIN(AK417,$F417)-MAX(AK417-Months_In_Year,0))/$F417</f>
        <v>0</v>
      </c>
      <c r="AL418" s="48" t="n">
        <f aca="false">MAX(0,MIN(AL417,$F417)-MAX(AL417-Months_In_Year,0))/$F417</f>
        <v>0</v>
      </c>
      <c r="AM418" s="48" t="n">
        <f aca="false">MAX(0,MIN(AM417,$F417)-MAX(AM417-Months_In_Year,0))/$F417</f>
        <v>0</v>
      </c>
      <c r="AN418" s="48" t="n">
        <f aca="false">MAX(0,MIN(AN417,$F417)-MAX(AN417-Months_In_Year,0))/$F417</f>
        <v>0</v>
      </c>
      <c r="AO418" s="48" t="n">
        <f aca="false">MAX(0,MIN(AO417,$F417)-MAX(AO417-Months_In_Year,0))/$F417</f>
        <v>0</v>
      </c>
      <c r="AP418" s="48" t="n">
        <f aca="false">MAX(0,MIN(AP417,$F417)-MAX(AP417-Months_In_Year,0))/$F417</f>
        <v>0</v>
      </c>
      <c r="AQ418" s="48" t="n">
        <f aca="false">MAX(0,MIN(AQ417,$F417)-MAX(AQ417-Months_In_Year,0))/$F417</f>
        <v>0</v>
      </c>
      <c r="AR418" s="48" t="n">
        <f aca="false">MAX(0,MIN(AR417,$F417)-MAX(AR417-Months_In_Year,0))/$F417</f>
        <v>0</v>
      </c>
      <c r="AS418" s="48" t="n">
        <f aca="false">MAX(0,MIN(AS417,$F417)-MAX(AS417-Months_In_Year,0))/$F417</f>
        <v>0</v>
      </c>
    </row>
    <row r="419" customFormat="false" ht="14.25" hidden="false" customHeight="false" outlineLevel="0" collapsed="false">
      <c r="C419" s="6" t="s">
        <v>295</v>
      </c>
      <c r="D419" s="2" t="s">
        <v>293</v>
      </c>
      <c r="F419" s="74" t="n">
        <f aca="false">Life*Months_In_Year</f>
        <v>360</v>
      </c>
      <c r="J419" s="74" t="n">
        <f aca="false">(J$361+1-YEAR(Inputs!$F$26))*Months_In_Year-MONTH(Inputs!$F$26)</f>
        <v>-54</v>
      </c>
      <c r="K419" s="74" t="n">
        <f aca="false">(K$361+1-YEAR(Inputs!$F$26))*Months_In_Year-MONTH(Inputs!$F$26)</f>
        <v>-42</v>
      </c>
      <c r="L419" s="74" t="n">
        <f aca="false">(L$361+1-YEAR(Inputs!$F$26))*Months_In_Year-MONTH(Inputs!$F$26)</f>
        <v>-30</v>
      </c>
      <c r="M419" s="74" t="n">
        <f aca="false">(M$361+1-YEAR(Inputs!$F$26))*Months_In_Year-MONTH(Inputs!$F$26)</f>
        <v>-18</v>
      </c>
      <c r="N419" s="74" t="n">
        <f aca="false">(N$361+1-YEAR(Inputs!$F$26))*Months_In_Year-MONTH(Inputs!$F$26)</f>
        <v>-6</v>
      </c>
      <c r="O419" s="74" t="n">
        <f aca="false">(O$361+1-YEAR(Inputs!$F$26))*Months_In_Year-MONTH(Inputs!$F$26)</f>
        <v>6</v>
      </c>
      <c r="P419" s="74" t="n">
        <f aca="false">(P$361+1-YEAR(Inputs!$F$26))*Months_In_Year-MONTH(Inputs!$F$26)</f>
        <v>18</v>
      </c>
      <c r="Q419" s="74" t="n">
        <f aca="false">(Q$361+1-YEAR(Inputs!$F$26))*Months_In_Year-MONTH(Inputs!$F$26)</f>
        <v>30</v>
      </c>
      <c r="R419" s="74" t="n">
        <f aca="false">(R$361+1-YEAR(Inputs!$F$26))*Months_In_Year-MONTH(Inputs!$F$26)</f>
        <v>42</v>
      </c>
      <c r="S419" s="74" t="n">
        <f aca="false">(S$361+1-YEAR(Inputs!$F$26))*Months_In_Year-MONTH(Inputs!$F$26)</f>
        <v>54</v>
      </c>
      <c r="T419" s="74" t="n">
        <f aca="false">(T$361+1-YEAR(Inputs!$F$26))*Months_In_Year-MONTH(Inputs!$F$26)</f>
        <v>66</v>
      </c>
      <c r="U419" s="74" t="n">
        <f aca="false">(U$361+1-YEAR(Inputs!$F$26))*Months_In_Year-MONTH(Inputs!$F$26)</f>
        <v>78</v>
      </c>
      <c r="V419" s="74" t="n">
        <f aca="false">(V$361+1-YEAR(Inputs!$F$26))*Months_In_Year-MONTH(Inputs!$F$26)</f>
        <v>90</v>
      </c>
      <c r="W419" s="74" t="n">
        <f aca="false">(W$361+1-YEAR(Inputs!$F$26))*Months_In_Year-MONTH(Inputs!$F$26)</f>
        <v>102</v>
      </c>
      <c r="X419" s="74" t="n">
        <f aca="false">(X$361+1-YEAR(Inputs!$F$26))*Months_In_Year-MONTH(Inputs!$F$26)</f>
        <v>114</v>
      </c>
      <c r="Y419" s="74" t="n">
        <f aca="false">(Y$361+1-YEAR(Inputs!$F$26))*Months_In_Year-MONTH(Inputs!$F$26)</f>
        <v>126</v>
      </c>
      <c r="Z419" s="74" t="n">
        <f aca="false">(Z$361+1-YEAR(Inputs!$F$26))*Months_In_Year-MONTH(Inputs!$F$26)</f>
        <v>138</v>
      </c>
      <c r="AA419" s="74" t="n">
        <f aca="false">(AA$361+1-YEAR(Inputs!$F$26))*Months_In_Year-MONTH(Inputs!$F$26)</f>
        <v>150</v>
      </c>
      <c r="AB419" s="74" t="n">
        <f aca="false">(AB$361+1-YEAR(Inputs!$F$26))*Months_In_Year-MONTH(Inputs!$F$26)</f>
        <v>162</v>
      </c>
      <c r="AC419" s="74" t="n">
        <f aca="false">(AC$361+1-YEAR(Inputs!$F$26))*Months_In_Year-MONTH(Inputs!$F$26)</f>
        <v>174</v>
      </c>
      <c r="AD419" s="74" t="n">
        <f aca="false">(AD$361+1-YEAR(Inputs!$F$26))*Months_In_Year-MONTH(Inputs!$F$26)</f>
        <v>186</v>
      </c>
      <c r="AE419" s="74" t="n">
        <f aca="false">(AE$361+1-YEAR(Inputs!$F$26))*Months_In_Year-MONTH(Inputs!$F$26)</f>
        <v>198</v>
      </c>
      <c r="AF419" s="74" t="n">
        <f aca="false">(AF$361+1-YEAR(Inputs!$F$26))*Months_In_Year-MONTH(Inputs!$F$26)</f>
        <v>210</v>
      </c>
      <c r="AG419" s="74" t="n">
        <f aca="false">(AG$361+1-YEAR(Inputs!$F$26))*Months_In_Year-MONTH(Inputs!$F$26)</f>
        <v>222</v>
      </c>
      <c r="AH419" s="74" t="n">
        <f aca="false">(AH$361+1-YEAR(Inputs!$F$26))*Months_In_Year-MONTH(Inputs!$F$26)</f>
        <v>234</v>
      </c>
      <c r="AI419" s="74" t="n">
        <f aca="false">(AI$361+1-YEAR(Inputs!$F$26))*Months_In_Year-MONTH(Inputs!$F$26)</f>
        <v>246</v>
      </c>
      <c r="AJ419" s="74" t="n">
        <f aca="false">(AJ$361+1-YEAR(Inputs!$F$26))*Months_In_Year-MONTH(Inputs!$F$26)</f>
        <v>258</v>
      </c>
      <c r="AK419" s="74" t="n">
        <f aca="false">(AK$361+1-YEAR(Inputs!$F$26))*Months_In_Year-MONTH(Inputs!$F$26)</f>
        <v>270</v>
      </c>
      <c r="AL419" s="74" t="n">
        <f aca="false">(AL$361+1-YEAR(Inputs!$F$26))*Months_In_Year-MONTH(Inputs!$F$26)</f>
        <v>282</v>
      </c>
      <c r="AM419" s="74" t="n">
        <f aca="false">(AM$361+1-YEAR(Inputs!$F$26))*Months_In_Year-MONTH(Inputs!$F$26)</f>
        <v>294</v>
      </c>
      <c r="AN419" s="74" t="n">
        <f aca="false">(AN$361+1-YEAR(Inputs!$F$26))*Months_In_Year-MONTH(Inputs!$F$26)</f>
        <v>306</v>
      </c>
      <c r="AO419" s="74" t="n">
        <f aca="false">(AO$361+1-YEAR(Inputs!$F$26))*Months_In_Year-MONTH(Inputs!$F$26)</f>
        <v>318</v>
      </c>
      <c r="AP419" s="74" t="n">
        <f aca="false">(AP$361+1-YEAR(Inputs!$F$26))*Months_In_Year-MONTH(Inputs!$F$26)</f>
        <v>330</v>
      </c>
      <c r="AQ419" s="74" t="n">
        <f aca="false">(AQ$361+1-YEAR(Inputs!$F$26))*Months_In_Year-MONTH(Inputs!$F$26)</f>
        <v>342</v>
      </c>
      <c r="AR419" s="74" t="n">
        <f aca="false">(AR$361+1-YEAR(Inputs!$F$26))*Months_In_Year-MONTH(Inputs!$F$26)</f>
        <v>354</v>
      </c>
      <c r="AS419" s="74" t="n">
        <f aca="false">(AS$361+1-YEAR(Inputs!$F$26))*Months_In_Year-MONTH(Inputs!$F$26)</f>
        <v>366</v>
      </c>
    </row>
    <row r="420" customFormat="false" ht="14.25" hidden="false" customHeight="false" outlineLevel="0" collapsed="false">
      <c r="C420" s="6" t="s">
        <v>296</v>
      </c>
      <c r="D420" s="2" t="s">
        <v>12</v>
      </c>
      <c r="H420" s="75" t="n">
        <f aca="false">SUM(J420:AS420)</f>
        <v>30</v>
      </c>
      <c r="J420" s="48" t="n">
        <f aca="false">MAX(0,MIN(J419,$F419)-MAX(J419-Months_In_Year,0))/Months_In_Year</f>
        <v>0</v>
      </c>
      <c r="K420" s="48" t="n">
        <f aca="false">MAX(0,MIN(K419,$F419)-MAX(K419-Months_In_Year,0))/Months_In_Year</f>
        <v>0</v>
      </c>
      <c r="L420" s="48" t="n">
        <f aca="false">MAX(0,MIN(L419,$F419)-MAX(L419-Months_In_Year,0))/Months_In_Year</f>
        <v>0</v>
      </c>
      <c r="M420" s="48" t="n">
        <f aca="false">MAX(0,MIN(M419,$F419)-MAX(M419-Months_In_Year,0))/Months_In_Year</f>
        <v>0</v>
      </c>
      <c r="N420" s="48" t="n">
        <f aca="false">MAX(0,MIN(N419,$F419)-MAX(N419-Months_In_Year,0))/Months_In_Year</f>
        <v>0</v>
      </c>
      <c r="O420" s="48" t="n">
        <f aca="false">MAX(0,MIN(O419,$F419)-MAX(O419-Months_In_Year,0))/Months_In_Year</f>
        <v>0.5</v>
      </c>
      <c r="P420" s="48" t="n">
        <f aca="false">MAX(0,MIN(P419,$F419)-MAX(P419-Months_In_Year,0))/Months_In_Year</f>
        <v>1</v>
      </c>
      <c r="Q420" s="48" t="n">
        <f aca="false">MAX(0,MIN(Q419,$F419)-MAX(Q419-Months_In_Year,0))/Months_In_Year</f>
        <v>1</v>
      </c>
      <c r="R420" s="48" t="n">
        <f aca="false">MAX(0,MIN(R419,$F419)-MAX(R419-Months_In_Year,0))/Months_In_Year</f>
        <v>1</v>
      </c>
      <c r="S420" s="48" t="n">
        <f aca="false">MAX(0,MIN(S419,$F419)-MAX(S419-Months_In_Year,0))/Months_In_Year</f>
        <v>1</v>
      </c>
      <c r="T420" s="48" t="n">
        <f aca="false">MAX(0,MIN(T419,$F419)-MAX(T419-Months_In_Year,0))/Months_In_Year</f>
        <v>1</v>
      </c>
      <c r="U420" s="48" t="n">
        <f aca="false">MAX(0,MIN(U419,$F419)-MAX(U419-Months_In_Year,0))/Months_In_Year</f>
        <v>1</v>
      </c>
      <c r="V420" s="48" t="n">
        <f aca="false">MAX(0,MIN(V419,$F419)-MAX(V419-Months_In_Year,0))/Months_In_Year</f>
        <v>1</v>
      </c>
      <c r="W420" s="48" t="n">
        <f aca="false">MAX(0,MIN(W419,$F419)-MAX(W419-Months_In_Year,0))/Months_In_Year</f>
        <v>1</v>
      </c>
      <c r="X420" s="48" t="n">
        <f aca="false">MAX(0,MIN(X419,$F419)-MAX(X419-Months_In_Year,0))/Months_In_Year</f>
        <v>1</v>
      </c>
      <c r="Y420" s="48" t="n">
        <f aca="false">MAX(0,MIN(Y419,$F419)-MAX(Y419-Months_In_Year,0))/Months_In_Year</f>
        <v>1</v>
      </c>
      <c r="Z420" s="48" t="n">
        <f aca="false">MAX(0,MIN(Z419,$F419)-MAX(Z419-Months_In_Year,0))/Months_In_Year</f>
        <v>1</v>
      </c>
      <c r="AA420" s="48" t="n">
        <f aca="false">MAX(0,MIN(AA419,$F419)-MAX(AA419-Months_In_Year,0))/Months_In_Year</f>
        <v>1</v>
      </c>
      <c r="AB420" s="48" t="n">
        <f aca="false">MAX(0,MIN(AB419,$F419)-MAX(AB419-Months_In_Year,0))/Months_In_Year</f>
        <v>1</v>
      </c>
      <c r="AC420" s="48" t="n">
        <f aca="false">MAX(0,MIN(AC419,$F419)-MAX(AC419-Months_In_Year,0))/Months_In_Year</f>
        <v>1</v>
      </c>
      <c r="AD420" s="48" t="n">
        <f aca="false">MAX(0,MIN(AD419,$F419)-MAX(AD419-Months_In_Year,0))/Months_In_Year</f>
        <v>1</v>
      </c>
      <c r="AE420" s="48" t="n">
        <f aca="false">MAX(0,MIN(AE419,$F419)-MAX(AE419-Months_In_Year,0))/Months_In_Year</f>
        <v>1</v>
      </c>
      <c r="AF420" s="48" t="n">
        <f aca="false">MAX(0,MIN(AF419,$F419)-MAX(AF419-Months_In_Year,0))/Months_In_Year</f>
        <v>1</v>
      </c>
      <c r="AG420" s="48" t="n">
        <f aca="false">MAX(0,MIN(AG419,$F419)-MAX(AG419-Months_In_Year,0))/Months_In_Year</f>
        <v>1</v>
      </c>
      <c r="AH420" s="48" t="n">
        <f aca="false">MAX(0,MIN(AH419,$F419)-MAX(AH419-Months_In_Year,0))/Months_In_Year</f>
        <v>1</v>
      </c>
      <c r="AI420" s="48" t="n">
        <f aca="false">MAX(0,MIN(AI419,$F419)-MAX(AI419-Months_In_Year,0))/Months_In_Year</f>
        <v>1</v>
      </c>
      <c r="AJ420" s="48" t="n">
        <f aca="false">MAX(0,MIN(AJ419,$F419)-MAX(AJ419-Months_In_Year,0))/Months_In_Year</f>
        <v>1</v>
      </c>
      <c r="AK420" s="48" t="n">
        <f aca="false">MAX(0,MIN(AK419,$F419)-MAX(AK419-Months_In_Year,0))/Months_In_Year</f>
        <v>1</v>
      </c>
      <c r="AL420" s="48" t="n">
        <f aca="false">MAX(0,MIN(AL419,$F419)-MAX(AL419-Months_In_Year,0))/Months_In_Year</f>
        <v>1</v>
      </c>
      <c r="AM420" s="48" t="n">
        <f aca="false">MAX(0,MIN(AM419,$F419)-MAX(AM419-Months_In_Year,0))/Months_In_Year</f>
        <v>1</v>
      </c>
      <c r="AN420" s="48" t="n">
        <f aca="false">MAX(0,MIN(AN419,$F419)-MAX(AN419-Months_In_Year,0))/Months_In_Year</f>
        <v>1</v>
      </c>
      <c r="AO420" s="48" t="n">
        <f aca="false">MAX(0,MIN(AO419,$F419)-MAX(AO419-Months_In_Year,0))/Months_In_Year</f>
        <v>1</v>
      </c>
      <c r="AP420" s="48" t="n">
        <f aca="false">MAX(0,MIN(AP419,$F419)-MAX(AP419-Months_In_Year,0))/Months_In_Year</f>
        <v>1</v>
      </c>
      <c r="AQ420" s="48" t="n">
        <f aca="false">MAX(0,MIN(AQ419,$F419)-MAX(AQ419-Months_In_Year,0))/Months_In_Year</f>
        <v>1</v>
      </c>
      <c r="AR420" s="48" t="n">
        <f aca="false">MAX(0,MIN(AR419,$F419)-MAX(AR419-Months_In_Year,0))/Months_In_Year</f>
        <v>1</v>
      </c>
      <c r="AS420" s="48" t="n">
        <f aca="false">MAX(0,MIN(AS419,$F419)-MAX(AS419-Months_In_Year,0))/Months_In_Year</f>
        <v>0.5</v>
      </c>
    </row>
    <row r="421" customFormat="false" ht="14.25" hidden="false" customHeight="false" outlineLevel="0" collapsed="false">
      <c r="C421" s="6" t="s">
        <v>297</v>
      </c>
      <c r="D421" s="2" t="s">
        <v>2</v>
      </c>
      <c r="J421" s="76" t="n">
        <f aca="false">N(J416=0)</f>
        <v>0</v>
      </c>
      <c r="K421" s="76" t="n">
        <f aca="false">N(K416=0)</f>
        <v>0</v>
      </c>
      <c r="L421" s="76" t="n">
        <f aca="false">N(L416=0)</f>
        <v>0</v>
      </c>
      <c r="M421" s="76" t="n">
        <f aca="false">N(M416=0)</f>
        <v>0</v>
      </c>
      <c r="N421" s="76" t="n">
        <f aca="false">N(N416=0)</f>
        <v>0</v>
      </c>
      <c r="O421" s="76" t="n">
        <f aca="false">N(O416=0)</f>
        <v>1</v>
      </c>
      <c r="P421" s="76" t="n">
        <f aca="false">N(P416=0)</f>
        <v>0</v>
      </c>
      <c r="Q421" s="76" t="n">
        <f aca="false">N(Q416=0)</f>
        <v>0</v>
      </c>
      <c r="R421" s="76" t="n">
        <f aca="false">N(R416=0)</f>
        <v>0</v>
      </c>
      <c r="S421" s="76" t="n">
        <f aca="false">N(S416=0)</f>
        <v>0</v>
      </c>
      <c r="T421" s="76" t="n">
        <f aca="false">N(T416=0)</f>
        <v>0</v>
      </c>
      <c r="U421" s="76" t="n">
        <f aca="false">N(U416=0)</f>
        <v>0</v>
      </c>
      <c r="V421" s="76" t="n">
        <f aca="false">N(V416=0)</f>
        <v>0</v>
      </c>
      <c r="W421" s="76" t="n">
        <f aca="false">N(W416=0)</f>
        <v>0</v>
      </c>
      <c r="X421" s="76" t="n">
        <f aca="false">N(X416=0)</f>
        <v>0</v>
      </c>
      <c r="Y421" s="76" t="n">
        <f aca="false">N(Y416=0)</f>
        <v>0</v>
      </c>
      <c r="Z421" s="76" t="n">
        <f aca="false">N(Z416=0)</f>
        <v>0</v>
      </c>
      <c r="AA421" s="76" t="n">
        <f aca="false">N(AA416=0)</f>
        <v>0</v>
      </c>
      <c r="AB421" s="76" t="n">
        <f aca="false">N(AB416=0)</f>
        <v>0</v>
      </c>
      <c r="AC421" s="76" t="n">
        <f aca="false">N(AC416=0)</f>
        <v>0</v>
      </c>
      <c r="AD421" s="76" t="n">
        <f aca="false">N(AD416=0)</f>
        <v>0</v>
      </c>
      <c r="AE421" s="76" t="n">
        <f aca="false">N(AE416=0)</f>
        <v>0</v>
      </c>
      <c r="AF421" s="76" t="n">
        <f aca="false">N(AF416=0)</f>
        <v>0</v>
      </c>
      <c r="AG421" s="76" t="n">
        <f aca="false">N(AG416=0)</f>
        <v>0</v>
      </c>
      <c r="AH421" s="76" t="n">
        <f aca="false">N(AH416=0)</f>
        <v>0</v>
      </c>
      <c r="AI421" s="76" t="n">
        <f aca="false">N(AI416=0)</f>
        <v>0</v>
      </c>
      <c r="AJ421" s="76" t="n">
        <f aca="false">N(AJ416=0)</f>
        <v>0</v>
      </c>
      <c r="AK421" s="76" t="n">
        <f aca="false">N(AK416=0)</f>
        <v>0</v>
      </c>
      <c r="AL421" s="76" t="n">
        <f aca="false">N(AL416=0)</f>
        <v>0</v>
      </c>
      <c r="AM421" s="76" t="n">
        <f aca="false">N(AM416=0)</f>
        <v>0</v>
      </c>
      <c r="AN421" s="76" t="n">
        <f aca="false">N(AN416=0)</f>
        <v>0</v>
      </c>
      <c r="AO421" s="76" t="n">
        <f aca="false">N(AO416=0)</f>
        <v>0</v>
      </c>
      <c r="AP421" s="76" t="n">
        <f aca="false">N(AP416=0)</f>
        <v>0</v>
      </c>
      <c r="AQ421" s="76" t="n">
        <f aca="false">N(AQ416=0)</f>
        <v>0</v>
      </c>
      <c r="AR421" s="76" t="n">
        <f aca="false">N(AR416=0)</f>
        <v>0</v>
      </c>
      <c r="AS421" s="76" t="n">
        <f aca="false">N(AS416=0)</f>
        <v>0</v>
      </c>
    </row>
    <row r="422" customFormat="false" ht="14.25" hidden="false" customHeight="false" outlineLevel="0" collapsed="false">
      <c r="C422" s="6" t="s">
        <v>298</v>
      </c>
      <c r="D422" s="2" t="s">
        <v>85</v>
      </c>
      <c r="H422" s="8" t="n">
        <f aca="false">SUM(J422:AS422)</f>
        <v>-14078.5797945205</v>
      </c>
      <c r="J422" s="8" t="n">
        <f aca="false">-($F$98+$F$68+$F$62+$F$63+$F$92)*(J$361=YEAR(Sale_Date))</f>
        <v>-0</v>
      </c>
      <c r="K422" s="8" t="n">
        <f aca="false">-($F$98+$F$68+$F$62+$F$63+$F$92)*(K$361=YEAR(Sale_Date))</f>
        <v>-0</v>
      </c>
      <c r="L422" s="8" t="n">
        <f aca="false">-($F$98+$F$68+$F$62+$F$63+$F$92)*(L$361=YEAR(Sale_Date))</f>
        <v>-0</v>
      </c>
      <c r="M422" s="8" t="n">
        <f aca="false">-($F$98+$F$68+$F$62+$F$63+$F$92)*(M$361=YEAR(Sale_Date))</f>
        <v>-14078.5797945205</v>
      </c>
      <c r="N422" s="8" t="n">
        <f aca="false">-($F$98+$F$68+$F$62+$F$63+$F$92)*(N$361=YEAR(Sale_Date))</f>
        <v>-0</v>
      </c>
      <c r="O422" s="8" t="n">
        <f aca="false">-($F$98+$F$68+$F$62+$F$63+$F$92)*(O$361=YEAR(Sale_Date))</f>
        <v>-0</v>
      </c>
      <c r="P422" s="8" t="n">
        <f aca="false">-($F$98+$F$68+$F$62+$F$63+$F$92)*(P$361=YEAR(Sale_Date))</f>
        <v>-0</v>
      </c>
      <c r="Q422" s="8" t="n">
        <f aca="false">-($F$98+$F$68+$F$62+$F$63+$F$92)*(Q$361=YEAR(Sale_Date))</f>
        <v>-0</v>
      </c>
      <c r="R422" s="8" t="n">
        <f aca="false">-($F$98+$F$68+$F$62+$F$63+$F$92)*(R$361=YEAR(Sale_Date))</f>
        <v>-0</v>
      </c>
      <c r="S422" s="8" t="n">
        <f aca="false">-($F$98+$F$68+$F$62+$F$63+$F$92)*(S$361=YEAR(Sale_Date))</f>
        <v>-0</v>
      </c>
      <c r="T422" s="8" t="n">
        <f aca="false">-($F$98+$F$68+$F$62+$F$63+$F$92)*(T$361=YEAR(Sale_Date))</f>
        <v>-0</v>
      </c>
      <c r="U422" s="8" t="n">
        <f aca="false">-($F$98+$F$68+$F$62+$F$63+$F$92)*(U$361=YEAR(Sale_Date))</f>
        <v>-0</v>
      </c>
      <c r="V422" s="8" t="n">
        <f aca="false">-($F$98+$F$68+$F$62+$F$63+$F$92)*(V$361=YEAR(Sale_Date))</f>
        <v>-0</v>
      </c>
      <c r="W422" s="8" t="n">
        <f aca="false">-($F$98+$F$68+$F$62+$F$63+$F$92)*(W$361=YEAR(Sale_Date))</f>
        <v>-0</v>
      </c>
      <c r="X422" s="8" t="n">
        <f aca="false">-($F$98+$F$68+$F$62+$F$63+$F$92)*(X$361=YEAR(Sale_Date))</f>
        <v>-0</v>
      </c>
      <c r="Y422" s="8" t="n">
        <f aca="false">-($F$98+$F$68+$F$62+$F$63+$F$92)*(Y$361=YEAR(Sale_Date))</f>
        <v>-0</v>
      </c>
      <c r="Z422" s="8" t="n">
        <f aca="false">-($F$98+$F$68+$F$62+$F$63+$F$92)*(Z$361=YEAR(Sale_Date))</f>
        <v>-0</v>
      </c>
      <c r="AA422" s="8" t="n">
        <f aca="false">-($F$98+$F$68+$F$62+$F$63+$F$92)*(AA$361=YEAR(Sale_Date))</f>
        <v>-0</v>
      </c>
      <c r="AB422" s="8" t="n">
        <f aca="false">-($F$98+$F$68+$F$62+$F$63+$F$92)*(AB$361=YEAR(Sale_Date))</f>
        <v>-0</v>
      </c>
      <c r="AC422" s="8" t="n">
        <f aca="false">-($F$98+$F$68+$F$62+$F$63+$F$92)*(AC$361=YEAR(Sale_Date))</f>
        <v>-0</v>
      </c>
      <c r="AD422" s="8" t="n">
        <f aca="false">-($F$98+$F$68+$F$62+$F$63+$F$92)*(AD$361=YEAR(Sale_Date))</f>
        <v>-0</v>
      </c>
      <c r="AE422" s="8" t="n">
        <f aca="false">-($F$98+$F$68+$F$62+$F$63+$F$92)*(AE$361=YEAR(Sale_Date))</f>
        <v>-0</v>
      </c>
      <c r="AF422" s="8" t="n">
        <f aca="false">-($F$98+$F$68+$F$62+$F$63+$F$92)*(AF$361=YEAR(Sale_Date))</f>
        <v>-0</v>
      </c>
      <c r="AG422" s="8" t="n">
        <f aca="false">-($F$98+$F$68+$F$62+$F$63+$F$92)*(AG$361=YEAR(Sale_Date))</f>
        <v>-0</v>
      </c>
      <c r="AH422" s="8" t="n">
        <f aca="false">-($F$98+$F$68+$F$62+$F$63+$F$92)*(AH$361=YEAR(Sale_Date))</f>
        <v>-0</v>
      </c>
      <c r="AI422" s="8" t="n">
        <f aca="false">-($F$98+$F$68+$F$62+$F$63+$F$92)*(AI$361=YEAR(Sale_Date))</f>
        <v>-0</v>
      </c>
      <c r="AJ422" s="8" t="n">
        <f aca="false">-($F$98+$F$68+$F$62+$F$63+$F$92)*(AJ$361=YEAR(Sale_Date))</f>
        <v>-0</v>
      </c>
      <c r="AK422" s="8" t="n">
        <f aca="false">-($F$98+$F$68+$F$62+$F$63+$F$92)*(AK$361=YEAR(Sale_Date))</f>
        <v>-0</v>
      </c>
      <c r="AL422" s="8" t="n">
        <f aca="false">-($F$98+$F$68+$F$62+$F$63+$F$92)*(AL$361=YEAR(Sale_Date))</f>
        <v>-0</v>
      </c>
      <c r="AM422" s="8" t="n">
        <f aca="false">-($F$98+$F$68+$F$62+$F$63+$F$92)*(AM$361=YEAR(Sale_Date))</f>
        <v>-0</v>
      </c>
      <c r="AN422" s="8" t="n">
        <f aca="false">-($F$98+$F$68+$F$62+$F$63+$F$92)*(AN$361=YEAR(Sale_Date))</f>
        <v>-0</v>
      </c>
      <c r="AO422" s="8" t="n">
        <f aca="false">-($F$98+$F$68+$F$62+$F$63+$F$92)*(AO$361=YEAR(Sale_Date))</f>
        <v>-0</v>
      </c>
      <c r="AP422" s="8" t="n">
        <f aca="false">-($F$98+$F$68+$F$62+$F$63+$F$92)*(AP$361=YEAR(Sale_Date))</f>
        <v>-0</v>
      </c>
      <c r="AQ422" s="8" t="n">
        <f aca="false">-($F$98+$F$68+$F$62+$F$63+$F$92)*(AQ$361=YEAR(Sale_Date))</f>
        <v>-0</v>
      </c>
      <c r="AR422" s="8" t="n">
        <f aca="false">-($F$98+$F$68+$F$62+$F$63+$F$92)*(AR$361=YEAR(Sale_Date))</f>
        <v>-0</v>
      </c>
      <c r="AS422" s="8" t="n">
        <f aca="false">-($F$98+$F$68+$F$62+$F$63+$F$92)*(AS$361=YEAR(Sale_Date))</f>
        <v>-0</v>
      </c>
    </row>
    <row r="423" customFormat="false" ht="14.25" hidden="false" customHeight="false" outlineLevel="0" collapsed="false">
      <c r="C423" s="6" t="s">
        <v>299</v>
      </c>
      <c r="D423" s="2" t="s">
        <v>85</v>
      </c>
      <c r="H423" s="8" t="n">
        <f aca="false">SUM(J423:AS423)</f>
        <v>2494.52054794521</v>
      </c>
      <c r="J423" s="8" t="n">
        <f aca="false">($F$62+$F$63)*(J$361=YEAR(Inputs!$F$27))</f>
        <v>0</v>
      </c>
      <c r="K423" s="8" t="n">
        <f aca="false">($F$62+$F$63)*(K$361=YEAR(Inputs!$F$27))</f>
        <v>0</v>
      </c>
      <c r="L423" s="8" t="n">
        <f aca="false">($F$62+$F$63)*(L$361=YEAR(Inputs!$F$27))</f>
        <v>0</v>
      </c>
      <c r="M423" s="8" t="n">
        <f aca="false">($F$62+$F$63)*(M$361=YEAR(Inputs!$F$27))</f>
        <v>0</v>
      </c>
      <c r="N423" s="8" t="n">
        <f aca="false">($F$62+$F$63)*(N$361=YEAR(Inputs!$F$27))</f>
        <v>0</v>
      </c>
      <c r="O423" s="8" t="n">
        <f aca="false">($F$62+$F$63)*(O$361=YEAR(Inputs!$F$27))</f>
        <v>0</v>
      </c>
      <c r="P423" s="8" t="n">
        <f aca="false">($F$62+$F$63)*(P$361=YEAR(Inputs!$F$27))</f>
        <v>0</v>
      </c>
      <c r="Q423" s="8" t="n">
        <f aca="false">($F$62+$F$63)*(Q$361=YEAR(Inputs!$F$27))</f>
        <v>2494.52054794521</v>
      </c>
      <c r="R423" s="8" t="n">
        <f aca="false">($F$62+$F$63)*(R$361=YEAR(Inputs!$F$27))</f>
        <v>0</v>
      </c>
      <c r="S423" s="8" t="n">
        <f aca="false">($F$62+$F$63)*(S$361=YEAR(Inputs!$F$27))</f>
        <v>0</v>
      </c>
      <c r="T423" s="8" t="n">
        <f aca="false">($F$62+$F$63)*(T$361=YEAR(Inputs!$F$27))</f>
        <v>0</v>
      </c>
      <c r="U423" s="8" t="n">
        <f aca="false">($F$62+$F$63)*(U$361=YEAR(Inputs!$F$27))</f>
        <v>0</v>
      </c>
      <c r="V423" s="8" t="n">
        <f aca="false">($F$62+$F$63)*(V$361=YEAR(Inputs!$F$27))</f>
        <v>0</v>
      </c>
      <c r="W423" s="8" t="n">
        <f aca="false">($F$62+$F$63)*(W$361=YEAR(Inputs!$F$27))</f>
        <v>0</v>
      </c>
      <c r="X423" s="8" t="n">
        <f aca="false">($F$62+$F$63)*(X$361=YEAR(Inputs!$F$27))</f>
        <v>0</v>
      </c>
      <c r="Y423" s="8" t="n">
        <f aca="false">($F$62+$F$63)*(Y$361=YEAR(Inputs!$F$27))</f>
        <v>0</v>
      </c>
      <c r="Z423" s="8" t="n">
        <f aca="false">($F$62+$F$63)*(Z$361=YEAR(Inputs!$F$27))</f>
        <v>0</v>
      </c>
      <c r="AA423" s="8" t="n">
        <f aca="false">($F$62+$F$63)*(AA$361=YEAR(Inputs!$F$27))</f>
        <v>0</v>
      </c>
      <c r="AB423" s="8" t="n">
        <f aca="false">($F$62+$F$63)*(AB$361=YEAR(Inputs!$F$27))</f>
        <v>0</v>
      </c>
      <c r="AC423" s="8" t="n">
        <f aca="false">($F$62+$F$63)*(AC$361=YEAR(Inputs!$F$27))</f>
        <v>0</v>
      </c>
      <c r="AD423" s="8" t="n">
        <f aca="false">($F$62+$F$63)*(AD$361=YEAR(Inputs!$F$27))</f>
        <v>0</v>
      </c>
      <c r="AE423" s="8" t="n">
        <f aca="false">($F$62+$F$63)*(AE$361=YEAR(Inputs!$F$27))</f>
        <v>0</v>
      </c>
      <c r="AF423" s="8" t="n">
        <f aca="false">($F$62+$F$63)*(AF$361=YEAR(Inputs!$F$27))</f>
        <v>0</v>
      </c>
      <c r="AG423" s="8" t="n">
        <f aca="false">($F$62+$F$63)*(AG$361=YEAR(Inputs!$F$27))</f>
        <v>0</v>
      </c>
      <c r="AH423" s="8" t="n">
        <f aca="false">($F$62+$F$63)*(AH$361=YEAR(Inputs!$F$27))</f>
        <v>0</v>
      </c>
      <c r="AI423" s="8" t="n">
        <f aca="false">($F$62+$F$63)*(AI$361=YEAR(Inputs!$F$27))</f>
        <v>0</v>
      </c>
      <c r="AJ423" s="8" t="n">
        <f aca="false">($F$62+$F$63)*(AJ$361=YEAR(Inputs!$F$27))</f>
        <v>0</v>
      </c>
      <c r="AK423" s="8" t="n">
        <f aca="false">($F$62+$F$63)*(AK$361=YEAR(Inputs!$F$27))</f>
        <v>0</v>
      </c>
      <c r="AL423" s="8" t="n">
        <f aca="false">($F$62+$F$63)*(AL$361=YEAR(Inputs!$F$27))</f>
        <v>0</v>
      </c>
      <c r="AM423" s="8" t="n">
        <f aca="false">($F$62+$F$63)*(AM$361=YEAR(Inputs!$F$27))</f>
        <v>0</v>
      </c>
      <c r="AN423" s="8" t="n">
        <f aca="false">($F$62+$F$63)*(AN$361=YEAR(Inputs!$F$27))</f>
        <v>0</v>
      </c>
      <c r="AO423" s="8" t="n">
        <f aca="false">($F$62+$F$63)*(AO$361=YEAR(Inputs!$F$27))</f>
        <v>0</v>
      </c>
      <c r="AP423" s="8" t="n">
        <f aca="false">($F$62+$F$63)*(AP$361=YEAR(Inputs!$F$27))</f>
        <v>0</v>
      </c>
      <c r="AQ423" s="8" t="n">
        <f aca="false">($F$62+$F$63)*(AQ$361=YEAR(Inputs!$F$27))</f>
        <v>0</v>
      </c>
      <c r="AR423" s="8" t="n">
        <f aca="false">($F$62+$F$63)*(AR$361=YEAR(Inputs!$F$27))</f>
        <v>0</v>
      </c>
      <c r="AS423" s="8" t="n">
        <f aca="false">($F$62+$F$63)*(AS$361=YEAR(Inputs!$F$27))</f>
        <v>0</v>
      </c>
    </row>
    <row r="424" customFormat="false" ht="14.25" hidden="false" customHeight="false" outlineLevel="0" collapsed="false">
      <c r="C424" s="6" t="s">
        <v>300</v>
      </c>
      <c r="D424" s="2" t="s">
        <v>85</v>
      </c>
      <c r="H424" s="8" t="n">
        <f aca="false">SUM(J424:AS424)</f>
        <v>-62716</v>
      </c>
      <c r="J424" s="8" t="n">
        <f aca="false">-$F$91*J418</f>
        <v>-0</v>
      </c>
      <c r="K424" s="8" t="n">
        <f aca="false">-$F$91*K418</f>
        <v>-0</v>
      </c>
      <c r="L424" s="8" t="n">
        <f aca="false">-$F$91*L418</f>
        <v>-0</v>
      </c>
      <c r="M424" s="8" t="n">
        <f aca="false">-$F$91*M418</f>
        <v>-15679</v>
      </c>
      <c r="N424" s="8" t="n">
        <f aca="false">-$F$91*N418</f>
        <v>-31358</v>
      </c>
      <c r="O424" s="8" t="n">
        <f aca="false">-$F$91*O418</f>
        <v>-15679</v>
      </c>
      <c r="P424" s="8" t="n">
        <f aca="false">-$F$91*P418</f>
        <v>-0</v>
      </c>
      <c r="Q424" s="8" t="n">
        <f aca="false">-$F$91*Q418</f>
        <v>-0</v>
      </c>
      <c r="R424" s="8" t="n">
        <f aca="false">-$F$91*R418</f>
        <v>-0</v>
      </c>
      <c r="S424" s="8" t="n">
        <f aca="false">-$F$91*S418</f>
        <v>-0</v>
      </c>
      <c r="T424" s="8" t="n">
        <f aca="false">-$F$91*T418</f>
        <v>-0</v>
      </c>
      <c r="U424" s="8" t="n">
        <f aca="false">-$F$91*U418</f>
        <v>-0</v>
      </c>
      <c r="V424" s="8" t="n">
        <f aca="false">-$F$91*V418</f>
        <v>-0</v>
      </c>
      <c r="W424" s="8" t="n">
        <f aca="false">-$F$91*W418</f>
        <v>-0</v>
      </c>
      <c r="X424" s="8" t="n">
        <f aca="false">-$F$91*X418</f>
        <v>-0</v>
      </c>
      <c r="Y424" s="8" t="n">
        <f aca="false">-$F$91*Y418</f>
        <v>-0</v>
      </c>
      <c r="Z424" s="8" t="n">
        <f aca="false">-$F$91*Z418</f>
        <v>-0</v>
      </c>
      <c r="AA424" s="8" t="n">
        <f aca="false">-$F$91*AA418</f>
        <v>-0</v>
      </c>
      <c r="AB424" s="8" t="n">
        <f aca="false">-$F$91*AB418</f>
        <v>-0</v>
      </c>
      <c r="AC424" s="8" t="n">
        <f aca="false">-$F$91*AC418</f>
        <v>-0</v>
      </c>
      <c r="AD424" s="8" t="n">
        <f aca="false">-$F$91*AD418</f>
        <v>-0</v>
      </c>
      <c r="AE424" s="8" t="n">
        <f aca="false">-$F$91*AE418</f>
        <v>-0</v>
      </c>
      <c r="AF424" s="8" t="n">
        <f aca="false">-$F$91*AF418</f>
        <v>-0</v>
      </c>
      <c r="AG424" s="8" t="n">
        <f aca="false">-$F$91*AG418</f>
        <v>-0</v>
      </c>
      <c r="AH424" s="8" t="n">
        <f aca="false">-$F$91*AH418</f>
        <v>-0</v>
      </c>
      <c r="AI424" s="8" t="n">
        <f aca="false">-$F$91*AI418</f>
        <v>-0</v>
      </c>
      <c r="AJ424" s="8" t="n">
        <f aca="false">-$F$91*AJ418</f>
        <v>-0</v>
      </c>
      <c r="AK424" s="8" t="n">
        <f aca="false">-$F$91*AK418</f>
        <v>-0</v>
      </c>
      <c r="AL424" s="8" t="n">
        <f aca="false">-$F$91*AL418</f>
        <v>-0</v>
      </c>
      <c r="AM424" s="8" t="n">
        <f aca="false">-$F$91*AM418</f>
        <v>-0</v>
      </c>
      <c r="AN424" s="8" t="n">
        <f aca="false">-$F$91*AN418</f>
        <v>-0</v>
      </c>
      <c r="AO424" s="8" t="n">
        <f aca="false">-$F$91*AO418</f>
        <v>-0</v>
      </c>
      <c r="AP424" s="8" t="n">
        <f aca="false">-$F$91*AP418</f>
        <v>-0</v>
      </c>
      <c r="AQ424" s="8" t="n">
        <f aca="false">-$F$91*AQ418</f>
        <v>-0</v>
      </c>
      <c r="AR424" s="8" t="n">
        <f aca="false">-$F$91*AR418</f>
        <v>-0</v>
      </c>
      <c r="AS424" s="8" t="n">
        <f aca="false">-$F$91*AS418</f>
        <v>-0</v>
      </c>
    </row>
    <row r="425" customFormat="false" ht="14.25" hidden="false" customHeight="false" outlineLevel="0" collapsed="false">
      <c r="C425" s="6" t="s">
        <v>301</v>
      </c>
      <c r="D425" s="2" t="s">
        <v>85</v>
      </c>
      <c r="H425" s="8" t="n">
        <f aca="false">SUM(J425:AS425)</f>
        <v>-2500</v>
      </c>
      <c r="J425" s="8" t="n">
        <f aca="false">-$F$96*J421</f>
        <v>-0</v>
      </c>
      <c r="K425" s="8" t="n">
        <f aca="false">-$F$96*K421</f>
        <v>-0</v>
      </c>
      <c r="L425" s="8" t="n">
        <f aca="false">-$F$96*L421</f>
        <v>-0</v>
      </c>
      <c r="M425" s="8" t="n">
        <f aca="false">-$F$96*M421</f>
        <v>-0</v>
      </c>
      <c r="N425" s="8" t="n">
        <f aca="false">-$F$96*N421</f>
        <v>-0</v>
      </c>
      <c r="O425" s="8" t="n">
        <f aca="false">-$F$96*O421</f>
        <v>-2500</v>
      </c>
      <c r="P425" s="8" t="n">
        <f aca="false">-$F$96*P421</f>
        <v>-0</v>
      </c>
      <c r="Q425" s="8" t="n">
        <f aca="false">-$F$96*Q421</f>
        <v>-0</v>
      </c>
      <c r="R425" s="8" t="n">
        <f aca="false">-$F$96*R421</f>
        <v>-0</v>
      </c>
      <c r="S425" s="8" t="n">
        <f aca="false">-$F$96*S421</f>
        <v>-0</v>
      </c>
      <c r="T425" s="8" t="n">
        <f aca="false">-$F$96*T421</f>
        <v>-0</v>
      </c>
      <c r="U425" s="8" t="n">
        <f aca="false">-$F$96*U421</f>
        <v>-0</v>
      </c>
      <c r="V425" s="8" t="n">
        <f aca="false">-$F$96*V421</f>
        <v>-0</v>
      </c>
      <c r="W425" s="8" t="n">
        <f aca="false">-$F$96*W421</f>
        <v>-0</v>
      </c>
      <c r="X425" s="8" t="n">
        <f aca="false">-$F$96*X421</f>
        <v>-0</v>
      </c>
      <c r="Y425" s="8" t="n">
        <f aca="false">-$F$96*Y421</f>
        <v>-0</v>
      </c>
      <c r="Z425" s="8" t="n">
        <f aca="false">-$F$96*Z421</f>
        <v>-0</v>
      </c>
      <c r="AA425" s="8" t="n">
        <f aca="false">-$F$96*AA421</f>
        <v>-0</v>
      </c>
      <c r="AB425" s="8" t="n">
        <f aca="false">-$F$96*AB421</f>
        <v>-0</v>
      </c>
      <c r="AC425" s="8" t="n">
        <f aca="false">-$F$96*AC421</f>
        <v>-0</v>
      </c>
      <c r="AD425" s="8" t="n">
        <f aca="false">-$F$96*AD421</f>
        <v>-0</v>
      </c>
      <c r="AE425" s="8" t="n">
        <f aca="false">-$F$96*AE421</f>
        <v>-0</v>
      </c>
      <c r="AF425" s="8" t="n">
        <f aca="false">-$F$96*AF421</f>
        <v>-0</v>
      </c>
      <c r="AG425" s="8" t="n">
        <f aca="false">-$F$96*AG421</f>
        <v>-0</v>
      </c>
      <c r="AH425" s="8" t="n">
        <f aca="false">-$F$96*AH421</f>
        <v>-0</v>
      </c>
      <c r="AI425" s="8" t="n">
        <f aca="false">-$F$96*AI421</f>
        <v>-0</v>
      </c>
      <c r="AJ425" s="8" t="n">
        <f aca="false">-$F$96*AJ421</f>
        <v>-0</v>
      </c>
      <c r="AK425" s="8" t="n">
        <f aca="false">-$F$96*AK421</f>
        <v>-0</v>
      </c>
      <c r="AL425" s="8" t="n">
        <f aca="false">-$F$96*AL421</f>
        <v>-0</v>
      </c>
      <c r="AM425" s="8" t="n">
        <f aca="false">-$F$96*AM421</f>
        <v>-0</v>
      </c>
      <c r="AN425" s="8" t="n">
        <f aca="false">-$F$96*AN421</f>
        <v>-0</v>
      </c>
      <c r="AO425" s="8" t="n">
        <f aca="false">-$F$96*AO421</f>
        <v>-0</v>
      </c>
      <c r="AP425" s="8" t="n">
        <f aca="false">-$F$96*AP421</f>
        <v>-0</v>
      </c>
      <c r="AQ425" s="8" t="n">
        <f aca="false">-$F$96*AQ421</f>
        <v>-0</v>
      </c>
      <c r="AR425" s="8" t="n">
        <f aca="false">-$F$96*AR421</f>
        <v>-0</v>
      </c>
      <c r="AS425" s="8" t="n">
        <f aca="false">-$F$96*AS421</f>
        <v>-0</v>
      </c>
    </row>
    <row r="426" customFormat="false" ht="14.25" hidden="false" customHeight="false" outlineLevel="0" collapsed="false">
      <c r="C426" s="1" t="s">
        <v>302</v>
      </c>
      <c r="D426" s="2" t="s">
        <v>85</v>
      </c>
      <c r="H426" s="15" t="n">
        <f aca="false">SUM(J426:AS426)</f>
        <v>-76800.0592465753</v>
      </c>
      <c r="J426" s="15" t="n">
        <f aca="false">SUM(J422:J425)</f>
        <v>0</v>
      </c>
      <c r="K426" s="15" t="n">
        <f aca="false">SUM(K422:K425)</f>
        <v>0</v>
      </c>
      <c r="L426" s="15" t="n">
        <f aca="false">SUM(L422:L425)</f>
        <v>0</v>
      </c>
      <c r="M426" s="15" t="n">
        <f aca="false">SUM(M422:M425)</f>
        <v>-29757.5797945206</v>
      </c>
      <c r="N426" s="15" t="n">
        <f aca="false">SUM(N422:N425)</f>
        <v>-31358</v>
      </c>
      <c r="O426" s="15" t="n">
        <f aca="false">SUM(O422:O425)</f>
        <v>-18179</v>
      </c>
      <c r="P426" s="15" t="n">
        <f aca="false">SUM(P422:P425)</f>
        <v>0</v>
      </c>
      <c r="Q426" s="15" t="n">
        <f aca="false">SUM(Q422:Q425)</f>
        <v>2494.52054794521</v>
      </c>
      <c r="R426" s="15" t="n">
        <f aca="false">SUM(R422:R425)</f>
        <v>0</v>
      </c>
      <c r="S426" s="15" t="n">
        <f aca="false">SUM(S422:S425)</f>
        <v>0</v>
      </c>
      <c r="T426" s="15" t="n">
        <f aca="false">SUM(T422:T425)</f>
        <v>0</v>
      </c>
      <c r="U426" s="15" t="n">
        <f aca="false">SUM(U422:U425)</f>
        <v>0</v>
      </c>
      <c r="V426" s="15" t="n">
        <f aca="false">SUM(V422:V425)</f>
        <v>0</v>
      </c>
      <c r="W426" s="15" t="n">
        <f aca="false">SUM(W422:W425)</f>
        <v>0</v>
      </c>
      <c r="X426" s="15" t="n">
        <f aca="false">SUM(X422:X425)</f>
        <v>0</v>
      </c>
      <c r="Y426" s="15" t="n">
        <f aca="false">SUM(Y422:Y425)</f>
        <v>0</v>
      </c>
      <c r="Z426" s="15" t="n">
        <f aca="false">SUM(Z422:Z425)</f>
        <v>0</v>
      </c>
      <c r="AA426" s="15" t="n">
        <f aca="false">SUM(AA422:AA425)</f>
        <v>0</v>
      </c>
      <c r="AB426" s="15" t="n">
        <f aca="false">SUM(AB422:AB425)</f>
        <v>0</v>
      </c>
      <c r="AC426" s="15" t="n">
        <f aca="false">SUM(AC422:AC425)</f>
        <v>0</v>
      </c>
      <c r="AD426" s="15" t="n">
        <f aca="false">SUM(AD422:AD425)</f>
        <v>0</v>
      </c>
      <c r="AE426" s="15" t="n">
        <f aca="false">SUM(AE422:AE425)</f>
        <v>0</v>
      </c>
      <c r="AF426" s="15" t="n">
        <f aca="false">SUM(AF422:AF425)</f>
        <v>0</v>
      </c>
      <c r="AG426" s="15" t="n">
        <f aca="false">SUM(AG422:AG425)</f>
        <v>0</v>
      </c>
      <c r="AH426" s="15" t="n">
        <f aca="false">SUM(AH422:AH425)</f>
        <v>0</v>
      </c>
      <c r="AI426" s="15" t="n">
        <f aca="false">SUM(AI422:AI425)</f>
        <v>0</v>
      </c>
      <c r="AJ426" s="15" t="n">
        <f aca="false">SUM(AJ422:AJ425)</f>
        <v>0</v>
      </c>
      <c r="AK426" s="15" t="n">
        <f aca="false">SUM(AK422:AK425)</f>
        <v>0</v>
      </c>
      <c r="AL426" s="15" t="n">
        <f aca="false">SUM(AL422:AL425)</f>
        <v>0</v>
      </c>
      <c r="AM426" s="15" t="n">
        <f aca="false">SUM(AM422:AM425)</f>
        <v>0</v>
      </c>
      <c r="AN426" s="15" t="n">
        <f aca="false">SUM(AN422:AN425)</f>
        <v>0</v>
      </c>
      <c r="AO426" s="15" t="n">
        <f aca="false">SUM(AO422:AO425)</f>
        <v>0</v>
      </c>
      <c r="AP426" s="15" t="n">
        <f aca="false">SUM(AP422:AP425)</f>
        <v>0</v>
      </c>
      <c r="AQ426" s="15" t="n">
        <f aca="false">SUM(AQ422:AQ425)</f>
        <v>0</v>
      </c>
      <c r="AR426" s="15" t="n">
        <f aca="false">SUM(AR422:AR425)</f>
        <v>0</v>
      </c>
      <c r="AS426" s="15" t="n">
        <f aca="false">SUM(AS422:AS425)</f>
        <v>0</v>
      </c>
    </row>
    <row r="427" customFormat="false" ht="14.25" hidden="false" customHeight="false" outlineLevel="0" collapsed="false">
      <c r="C427" s="6" t="s">
        <v>303</v>
      </c>
      <c r="D427" s="2" t="s">
        <v>3</v>
      </c>
      <c r="J427" s="77" t="n">
        <f aca="false">(1-Degradation)^MAX(J416-1,0)</f>
        <v>1</v>
      </c>
      <c r="K427" s="77" t="n">
        <f aca="false">(1-Degradation)^MAX(K416-1,0)</f>
        <v>1</v>
      </c>
      <c r="L427" s="77" t="n">
        <f aca="false">(1-Degradation)^MAX(L416-1,0)</f>
        <v>1</v>
      </c>
      <c r="M427" s="77" t="n">
        <f aca="false">(1-Degradation)^MAX(M416-1,0)</f>
        <v>1</v>
      </c>
      <c r="N427" s="77" t="n">
        <f aca="false">(1-Degradation)^MAX(N416-1,0)</f>
        <v>1</v>
      </c>
      <c r="O427" s="77" t="n">
        <f aca="false">(1-Degradation)^MAX(O416-1,0)</f>
        <v>1</v>
      </c>
      <c r="P427" s="77" t="n">
        <f aca="false">(1-Degradation)^MAX(P416-1,0)</f>
        <v>1</v>
      </c>
      <c r="Q427" s="77" t="n">
        <f aca="false">(1-Degradation)^MAX(Q416-1,0)</f>
        <v>0.997</v>
      </c>
      <c r="R427" s="77" t="n">
        <f aca="false">(1-Degradation)^MAX(R416-1,0)</f>
        <v>0.994009</v>
      </c>
      <c r="S427" s="77" t="n">
        <f aca="false">(1-Degradation)^MAX(S416-1,0)</f>
        <v>0.991026973</v>
      </c>
      <c r="T427" s="77" t="n">
        <f aca="false">(1-Degradation)^MAX(T416-1,0)</f>
        <v>0.988053892081</v>
      </c>
      <c r="U427" s="77" t="n">
        <f aca="false">(1-Degradation)^MAX(U416-1,0)</f>
        <v>0.985089730404757</v>
      </c>
      <c r="V427" s="77" t="n">
        <f aca="false">(1-Degradation)^MAX(V416-1,0)</f>
        <v>0.982134461213543</v>
      </c>
      <c r="W427" s="77" t="n">
        <f aca="false">(1-Degradation)^MAX(W416-1,0)</f>
        <v>0.979188057829902</v>
      </c>
      <c r="X427" s="77" t="n">
        <f aca="false">(1-Degradation)^MAX(X416-1,0)</f>
        <v>0.976250493656412</v>
      </c>
      <c r="Y427" s="77" t="n">
        <f aca="false">(1-Degradation)^MAX(Y416-1,0)</f>
        <v>0.973321742175443</v>
      </c>
      <c r="Z427" s="77" t="n">
        <f aca="false">(1-Degradation)^MAX(Z416-1,0)</f>
        <v>0.970401776948917</v>
      </c>
      <c r="AA427" s="77" t="n">
        <f aca="false">(1-Degradation)^MAX(AA416-1,0)</f>
        <v>0.96749057161807</v>
      </c>
      <c r="AB427" s="77" t="n">
        <f aca="false">(1-Degradation)^MAX(AB416-1,0)</f>
        <v>0.964588099903216</v>
      </c>
      <c r="AC427" s="77" t="n">
        <f aca="false">(1-Degradation)^MAX(AC416-1,0)</f>
        <v>0.961694335603506</v>
      </c>
      <c r="AD427" s="77" t="n">
        <f aca="false">(1-Degradation)^MAX(AD416-1,0)</f>
        <v>0.958809252596696</v>
      </c>
      <c r="AE427" s="77" t="n">
        <f aca="false">(1-Degradation)^MAX(AE416-1,0)</f>
        <v>0.955932824838906</v>
      </c>
      <c r="AF427" s="77" t="n">
        <f aca="false">(1-Degradation)^MAX(AF416-1,0)</f>
        <v>0.953065026364389</v>
      </c>
      <c r="AG427" s="77" t="n">
        <f aca="false">(1-Degradation)^MAX(AG416-1,0)</f>
        <v>0.950205831285296</v>
      </c>
      <c r="AH427" s="77" t="n">
        <f aca="false">(1-Degradation)^MAX(AH416-1,0)</f>
        <v>0.94735521379144</v>
      </c>
      <c r="AI427" s="77" t="n">
        <f aca="false">(1-Degradation)^MAX(AI416-1,0)</f>
        <v>0.944513148150066</v>
      </c>
      <c r="AJ427" s="77" t="n">
        <f aca="false">(1-Degradation)^MAX(AJ416-1,0)</f>
        <v>0.941679608705615</v>
      </c>
      <c r="AK427" s="77" t="n">
        <f aca="false">(1-Degradation)^MAX(AK416-1,0)</f>
        <v>0.938854569879498</v>
      </c>
      <c r="AL427" s="77" t="n">
        <f aca="false">(1-Degradation)^MAX(AL416-1,0)</f>
        <v>0.93603800616986</v>
      </c>
      <c r="AM427" s="77" t="n">
        <f aca="false">(1-Degradation)^MAX(AM416-1,0)</f>
        <v>0.93322989215135</v>
      </c>
      <c r="AN427" s="77" t="n">
        <f aca="false">(1-Degradation)^MAX(AN416-1,0)</f>
        <v>0.930430202474896</v>
      </c>
      <c r="AO427" s="77" t="n">
        <f aca="false">(1-Degradation)^MAX(AO416-1,0)</f>
        <v>0.927638911867472</v>
      </c>
      <c r="AP427" s="77" t="n">
        <f aca="false">(1-Degradation)^MAX(AP416-1,0)</f>
        <v>0.924855995131869</v>
      </c>
      <c r="AQ427" s="77" t="n">
        <f aca="false">(1-Degradation)^MAX(AQ416-1,0)</f>
        <v>0.922081427146474</v>
      </c>
      <c r="AR427" s="77" t="n">
        <f aca="false">(1-Degradation)^MAX(AR416-1,0)</f>
        <v>0.919315182865034</v>
      </c>
      <c r="AS427" s="77" t="n">
        <f aca="false">(1-Degradation)^MAX(AS416-1,0)</f>
        <v>0.916557237316439</v>
      </c>
    </row>
    <row r="428" customFormat="false" ht="14.25" hidden="false" customHeight="false" outlineLevel="0" collapsed="false">
      <c r="C428" s="6" t="s">
        <v>304</v>
      </c>
      <c r="D428" s="2" t="s">
        <v>305</v>
      </c>
      <c r="H428" s="17" t="n">
        <f aca="false">SUM(J428:AS428)</f>
        <v>4263.39882706474</v>
      </c>
      <c r="J428" s="17" t="n">
        <f aca="false">$F$46*$F$22*(1-Curtailment)*(1-Clipping)*J420*J427/Thousand</f>
        <v>0</v>
      </c>
      <c r="K428" s="17" t="n">
        <f aca="false">$F$46*$F$22*(1-Curtailment)*(1-Clipping)*K420*K427/Thousand</f>
        <v>0</v>
      </c>
      <c r="L428" s="17" t="n">
        <f aca="false">$F$46*$F$22*(1-Curtailment)*(1-Clipping)*L420*L427/Thousand</f>
        <v>0</v>
      </c>
      <c r="M428" s="17" t="n">
        <f aca="false">$F$46*$F$22*(1-Curtailment)*(1-Clipping)*M420*M427/Thousand</f>
        <v>0</v>
      </c>
      <c r="N428" s="17" t="n">
        <f aca="false">$F$46*$F$22*(1-Curtailment)*(1-Clipping)*N420*N427/Thousand</f>
        <v>0</v>
      </c>
      <c r="O428" s="17" t="n">
        <f aca="false">$F$46*$F$22*(1-Curtailment)*(1-Clipping)*O420*O427/Thousand</f>
        <v>74.088</v>
      </c>
      <c r="P428" s="17" t="n">
        <f aca="false">$F$46*$F$22*(1-Curtailment)*(1-Clipping)*P420*P427/Thousand</f>
        <v>148.176</v>
      </c>
      <c r="Q428" s="17" t="n">
        <f aca="false">$F$46*$F$22*(1-Curtailment)*(1-Clipping)*Q420*Q427/Thousand</f>
        <v>147.731472</v>
      </c>
      <c r="R428" s="17" t="n">
        <f aca="false">$F$46*$F$22*(1-Curtailment)*(1-Clipping)*R420*R427/Thousand</f>
        <v>147.288277584</v>
      </c>
      <c r="S428" s="17" t="n">
        <f aca="false">$F$46*$F$22*(1-Curtailment)*(1-Clipping)*S420*S427/Thousand</f>
        <v>146.846412751248</v>
      </c>
      <c r="T428" s="17" t="n">
        <f aca="false">$F$46*$F$22*(1-Curtailment)*(1-Clipping)*T420*T427/Thousand</f>
        <v>146.405873512994</v>
      </c>
      <c r="U428" s="17" t="n">
        <f aca="false">$F$46*$F$22*(1-Curtailment)*(1-Clipping)*U420*U427/Thousand</f>
        <v>145.966655892455</v>
      </c>
      <c r="V428" s="17" t="n">
        <f aca="false">$F$46*$F$22*(1-Curtailment)*(1-Clipping)*V420*V427/Thousand</f>
        <v>145.528755924778</v>
      </c>
      <c r="W428" s="17" t="n">
        <f aca="false">$F$46*$F$22*(1-Curtailment)*(1-Clipping)*W420*W427/Thousand</f>
        <v>145.092169657004</v>
      </c>
      <c r="X428" s="17" t="n">
        <f aca="false">$F$46*$F$22*(1-Curtailment)*(1-Clipping)*X420*X427/Thousand</f>
        <v>144.656893148033</v>
      </c>
      <c r="Y428" s="17" t="n">
        <f aca="false">$F$46*$F$22*(1-Curtailment)*(1-Clipping)*Y420*Y427/Thousand</f>
        <v>144.222922468588</v>
      </c>
      <c r="Z428" s="17" t="n">
        <f aca="false">$F$46*$F$22*(1-Curtailment)*(1-Clipping)*Z420*Z427/Thousand</f>
        <v>143.790253701183</v>
      </c>
      <c r="AA428" s="17" t="n">
        <f aca="false">$F$46*$F$22*(1-Curtailment)*(1-Clipping)*AA420*AA427/Thousand</f>
        <v>143.358882940079</v>
      </c>
      <c r="AB428" s="17" t="n">
        <f aca="false">$F$46*$F$22*(1-Curtailment)*(1-Clipping)*AB420*AB427/Thousand</f>
        <v>142.928806291259</v>
      </c>
      <c r="AC428" s="17" t="n">
        <f aca="false">$F$46*$F$22*(1-Curtailment)*(1-Clipping)*AC420*AC427/Thousand</f>
        <v>142.500019872385</v>
      </c>
      <c r="AD428" s="17" t="n">
        <f aca="false">$F$46*$F$22*(1-Curtailment)*(1-Clipping)*AD420*AD427/Thousand</f>
        <v>142.072519812768</v>
      </c>
      <c r="AE428" s="17" t="n">
        <f aca="false">$F$46*$F$22*(1-Curtailment)*(1-Clipping)*AE420*AE427/Thousand</f>
        <v>141.64630225333</v>
      </c>
      <c r="AF428" s="17" t="n">
        <f aca="false">$F$46*$F$22*(1-Curtailment)*(1-Clipping)*AF420*AF427/Thousand</f>
        <v>141.22136334657</v>
      </c>
      <c r="AG428" s="17" t="n">
        <f aca="false">$F$46*$F$22*(1-Curtailment)*(1-Clipping)*AG420*AG427/Thousand</f>
        <v>140.79769925653</v>
      </c>
      <c r="AH428" s="17" t="n">
        <f aca="false">$F$46*$F$22*(1-Curtailment)*(1-Clipping)*AH420*AH427/Thousand</f>
        <v>140.37530615876</v>
      </c>
      <c r="AI428" s="17" t="n">
        <f aca="false">$F$46*$F$22*(1-Curtailment)*(1-Clipping)*AI420*AI427/Thousand</f>
        <v>139.954180240284</v>
      </c>
      <c r="AJ428" s="17" t="n">
        <f aca="false">$F$46*$F$22*(1-Curtailment)*(1-Clipping)*AJ420*AJ427/Thousand</f>
        <v>139.534317699563</v>
      </c>
      <c r="AK428" s="17" t="n">
        <f aca="false">$F$46*$F$22*(1-Curtailment)*(1-Clipping)*AK420*AK427/Thousand</f>
        <v>139.115714746465</v>
      </c>
      <c r="AL428" s="17" t="n">
        <f aca="false">$F$46*$F$22*(1-Curtailment)*(1-Clipping)*AL420*AL427/Thousand</f>
        <v>138.698367602225</v>
      </c>
      <c r="AM428" s="17" t="n">
        <f aca="false">$F$46*$F$22*(1-Curtailment)*(1-Clipping)*AM420*AM427/Thousand</f>
        <v>138.282272499419</v>
      </c>
      <c r="AN428" s="17" t="n">
        <f aca="false">$F$46*$F$22*(1-Curtailment)*(1-Clipping)*AN420*AN427/Thousand</f>
        <v>137.86742568192</v>
      </c>
      <c r="AO428" s="17" t="n">
        <f aca="false">$F$46*$F$22*(1-Curtailment)*(1-Clipping)*AO420*AO427/Thousand</f>
        <v>137.453823404874</v>
      </c>
      <c r="AP428" s="17" t="n">
        <f aca="false">$F$46*$F$22*(1-Curtailment)*(1-Clipping)*AP420*AP427/Thousand</f>
        <v>137.04146193466</v>
      </c>
      <c r="AQ428" s="17" t="n">
        <f aca="false">$F$46*$F$22*(1-Curtailment)*(1-Clipping)*AQ420*AQ427/Thousand</f>
        <v>136.630337548856</v>
      </c>
      <c r="AR428" s="17" t="n">
        <f aca="false">$F$46*$F$22*(1-Curtailment)*(1-Clipping)*AR420*AR427/Thousand</f>
        <v>136.220446536209</v>
      </c>
      <c r="AS428" s="17" t="n">
        <f aca="false">$F$46*$F$22*(1-Curtailment)*(1-Clipping)*AS420*AS427/Thousand</f>
        <v>67.9058925983003</v>
      </c>
    </row>
    <row r="429" customFormat="false" ht="14.25" hidden="false" customHeight="false" outlineLevel="0" collapsed="false">
      <c r="C429" s="6" t="s">
        <v>306</v>
      </c>
      <c r="D429" s="2" t="s">
        <v>20</v>
      </c>
      <c r="J429" s="17" t="n">
        <f aca="false">Case_PPA*(1+PPA_Esc)^J416*(J420&gt;0)</f>
        <v>0</v>
      </c>
      <c r="K429" s="17" t="n">
        <f aca="false">Case_PPA*(1+PPA_Esc)^K416*(K420&gt;0)</f>
        <v>0</v>
      </c>
      <c r="L429" s="17" t="n">
        <f aca="false">Case_PPA*(1+PPA_Esc)^L416*(L420&gt;0)</f>
        <v>0</v>
      </c>
      <c r="M429" s="17" t="n">
        <f aca="false">Case_PPA*(1+PPA_Esc)^M416*(M420&gt;0)</f>
        <v>0</v>
      </c>
      <c r="N429" s="17" t="n">
        <f aca="false">Case_PPA*(1+PPA_Esc)^N416*(N420&gt;0)</f>
        <v>0</v>
      </c>
      <c r="O429" s="17" t="n">
        <f aca="false">Case_PPA*(1+PPA_Esc)^O416*(O420&gt;0)</f>
        <v>90</v>
      </c>
      <c r="P429" s="17" t="n">
        <f aca="false">Case_PPA*(1+PPA_Esc)^P416*(P420&gt;0)</f>
        <v>90.9</v>
      </c>
      <c r="Q429" s="17" t="n">
        <f aca="false">Case_PPA*(1+PPA_Esc)^Q416*(Q420&gt;0)</f>
        <v>91.809</v>
      </c>
      <c r="R429" s="17" t="n">
        <f aca="false">Case_PPA*(1+PPA_Esc)^R416*(R420&gt;0)</f>
        <v>92.72709</v>
      </c>
      <c r="S429" s="17" t="n">
        <f aca="false">Case_PPA*(1+PPA_Esc)^S416*(S420&gt;0)</f>
        <v>93.6543609</v>
      </c>
      <c r="T429" s="17" t="n">
        <f aca="false">Case_PPA*(1+PPA_Esc)^T416*(T420&gt;0)</f>
        <v>94.590904509</v>
      </c>
      <c r="U429" s="17" t="n">
        <f aca="false">Case_PPA*(1+PPA_Esc)^U416*(U420&gt;0)</f>
        <v>95.53681355409</v>
      </c>
      <c r="V429" s="17" t="n">
        <f aca="false">Case_PPA*(1+PPA_Esc)^V416*(V420&gt;0)</f>
        <v>96.4921816896309</v>
      </c>
      <c r="W429" s="17" t="n">
        <f aca="false">Case_PPA*(1+PPA_Esc)^W416*(W420&gt;0)</f>
        <v>97.4571035065272</v>
      </c>
      <c r="X429" s="17" t="n">
        <f aca="false">Case_PPA*(1+PPA_Esc)^X416*(X420&gt;0)</f>
        <v>98.4316745415925</v>
      </c>
      <c r="Y429" s="17" t="n">
        <f aca="false">Case_PPA*(1+PPA_Esc)^Y416*(Y420&gt;0)</f>
        <v>99.4159912870084</v>
      </c>
      <c r="Z429" s="17" t="n">
        <f aca="false">Case_PPA*(1+PPA_Esc)^Z416*(Z420&gt;0)</f>
        <v>100.410151199878</v>
      </c>
      <c r="AA429" s="17" t="n">
        <f aca="false">Case_PPA*(1+PPA_Esc)^AA416*(AA420&gt;0)</f>
        <v>101.414252711877</v>
      </c>
      <c r="AB429" s="17" t="n">
        <f aca="false">Case_PPA*(1+PPA_Esc)^AB416*(AB420&gt;0)</f>
        <v>102.428395238996</v>
      </c>
      <c r="AC429" s="17" t="n">
        <f aca="false">Case_PPA*(1+PPA_Esc)^AC416*(AC420&gt;0)</f>
        <v>103.452679191386</v>
      </c>
      <c r="AD429" s="17" t="n">
        <f aca="false">Case_PPA*(1+PPA_Esc)^AD416*(AD420&gt;0)</f>
        <v>104.4872059833</v>
      </c>
      <c r="AE429" s="17" t="n">
        <f aca="false">Case_PPA*(1+PPA_Esc)^AE416*(AE420&gt;0)</f>
        <v>105.532078043133</v>
      </c>
      <c r="AF429" s="17" t="n">
        <f aca="false">Case_PPA*(1+PPA_Esc)^AF416*(AF420&gt;0)</f>
        <v>106.587398823564</v>
      </c>
      <c r="AG429" s="17" t="n">
        <f aca="false">Case_PPA*(1+PPA_Esc)^AG416*(AG420&gt;0)</f>
        <v>107.6532728118</v>
      </c>
      <c r="AH429" s="17" t="n">
        <f aca="false">Case_PPA*(1+PPA_Esc)^AH416*(AH420&gt;0)</f>
        <v>108.729805539918</v>
      </c>
      <c r="AI429" s="17" t="n">
        <f aca="false">Case_PPA*(1+PPA_Esc)^AI416*(AI420&gt;0)</f>
        <v>109.817103595317</v>
      </c>
      <c r="AJ429" s="17" t="n">
        <f aca="false">Case_PPA*(1+PPA_Esc)^AJ416*(AJ420&gt;0)</f>
        <v>110.91527463127</v>
      </c>
      <c r="AK429" s="17" t="n">
        <f aca="false">Case_PPA*(1+PPA_Esc)^AK416*(AK420&gt;0)</f>
        <v>112.024427377583</v>
      </c>
      <c r="AL429" s="17" t="n">
        <f aca="false">Case_PPA*(1+PPA_Esc)^AL416*(AL420&gt;0)</f>
        <v>113.144671651359</v>
      </c>
      <c r="AM429" s="17" t="n">
        <f aca="false">Case_PPA*(1+PPA_Esc)^AM416*(AM420&gt;0)</f>
        <v>114.276118367872</v>
      </c>
      <c r="AN429" s="17" t="n">
        <f aca="false">Case_PPA*(1+PPA_Esc)^AN416*(AN420&gt;0)</f>
        <v>115.418879551551</v>
      </c>
      <c r="AO429" s="17" t="n">
        <f aca="false">Case_PPA*(1+PPA_Esc)^AO416*(AO420&gt;0)</f>
        <v>116.573068347067</v>
      </c>
      <c r="AP429" s="17" t="n">
        <f aca="false">Case_PPA*(1+PPA_Esc)^AP416*(AP420&gt;0)</f>
        <v>117.738799030537</v>
      </c>
      <c r="AQ429" s="17" t="n">
        <f aca="false">Case_PPA*(1+PPA_Esc)^AQ416*(AQ420&gt;0)</f>
        <v>118.916187020843</v>
      </c>
      <c r="AR429" s="17" t="n">
        <f aca="false">Case_PPA*(1+PPA_Esc)^AR416*(AR420&gt;0)</f>
        <v>120.105348891051</v>
      </c>
      <c r="AS429" s="17" t="n">
        <f aca="false">Case_PPA*(1+PPA_Esc)^AS416*(AS420&gt;0)</f>
        <v>121.306402379962</v>
      </c>
    </row>
    <row r="430" customFormat="false" ht="14.25" hidden="false" customHeight="false" outlineLevel="0" collapsed="false">
      <c r="C430" s="1" t="s">
        <v>158</v>
      </c>
      <c r="D430" s="2" t="s">
        <v>85</v>
      </c>
      <c r="H430" s="32" t="n">
        <f aca="false">SUM(J430:AS430)</f>
        <v>446130.685729454</v>
      </c>
      <c r="J430" s="32" t="n">
        <f aca="false">J428*J429</f>
        <v>0</v>
      </c>
      <c r="K430" s="32" t="n">
        <f aca="false">K428*K429</f>
        <v>0</v>
      </c>
      <c r="L430" s="32" t="n">
        <f aca="false">L428*L429</f>
        <v>0</v>
      </c>
      <c r="M430" s="32" t="n">
        <f aca="false">M428*M429</f>
        <v>0</v>
      </c>
      <c r="N430" s="32" t="n">
        <f aca="false">N428*N429</f>
        <v>0</v>
      </c>
      <c r="O430" s="32" t="n">
        <f aca="false">O428*O429</f>
        <v>6667.92</v>
      </c>
      <c r="P430" s="32" t="n">
        <f aca="false">P428*P429</f>
        <v>13469.1984</v>
      </c>
      <c r="Q430" s="32" t="n">
        <f aca="false">Q428*Q429</f>
        <v>13563.078712848</v>
      </c>
      <c r="R430" s="32" t="n">
        <f aca="false">R428*R429</f>
        <v>13657.6133714766</v>
      </c>
      <c r="S430" s="32" t="n">
        <f aca="false">S428*S429</f>
        <v>13752.8069366757</v>
      </c>
      <c r="T430" s="32" t="n">
        <f aca="false">T428*T429</f>
        <v>13848.6640010244</v>
      </c>
      <c r="U430" s="32" t="n">
        <f aca="false">U428*U429</f>
        <v>13945.1891891115</v>
      </c>
      <c r="V430" s="32" t="n">
        <f aca="false">V428*V429</f>
        <v>14042.3871577596</v>
      </c>
      <c r="W430" s="32" t="n">
        <f aca="false">W428*W429</f>
        <v>14140.2625962492</v>
      </c>
      <c r="X430" s="32" t="n">
        <f aca="false">X428*X429</f>
        <v>14238.8202265451</v>
      </c>
      <c r="Y430" s="32" t="n">
        <f aca="false">Y428*Y429</f>
        <v>14338.0648035241</v>
      </c>
      <c r="Z430" s="32" t="n">
        <f aca="false">Z428*Z429</f>
        <v>14438.0011152046</v>
      </c>
      <c r="AA430" s="32" t="n">
        <f aca="false">AA428*AA429</f>
        <v>14538.6339829776</v>
      </c>
      <c r="AB430" s="32" t="n">
        <f aca="false">AB428*AB429</f>
        <v>14639.968261839</v>
      </c>
      <c r="AC430" s="32" t="n">
        <f aca="false">AC428*AC429</f>
        <v>14742.008840624</v>
      </c>
      <c r="AD430" s="32" t="n">
        <f aca="false">AD428*AD429</f>
        <v>14844.7606422431</v>
      </c>
      <c r="AE430" s="32" t="n">
        <f aca="false">AE428*AE429</f>
        <v>14948.2286239196</v>
      </c>
      <c r="AF430" s="32" t="n">
        <f aca="false">AF428*AF429</f>
        <v>15052.4177774283</v>
      </c>
      <c r="AG430" s="32" t="n">
        <f aca="false">AG428*AG429</f>
        <v>15157.333129337</v>
      </c>
      <c r="AH430" s="32" t="n">
        <f aca="false">AH428*AH429</f>
        <v>15262.9797412485</v>
      </c>
      <c r="AI430" s="32" t="n">
        <f aca="false">AI428*AI429</f>
        <v>15369.362710045</v>
      </c>
      <c r="AJ430" s="32" t="n">
        <f aca="false">AJ428*AJ429</f>
        <v>15476.487168134</v>
      </c>
      <c r="AK430" s="32" t="n">
        <f aca="false">AK428*AK429</f>
        <v>15584.3582836959</v>
      </c>
      <c r="AL430" s="32" t="n">
        <f aca="false">AL428*AL429</f>
        <v>15692.9812609332</v>
      </c>
      <c r="AM430" s="32" t="n">
        <f aca="false">AM428*AM429</f>
        <v>15802.3613403219</v>
      </c>
      <c r="AN430" s="32" t="n">
        <f aca="false">AN428*AN429</f>
        <v>15912.503798864</v>
      </c>
      <c r="AO430" s="32" t="n">
        <f aca="false">AO428*AO429</f>
        <v>16023.4139503421</v>
      </c>
      <c r="AP430" s="32" t="n">
        <f aca="false">AP428*AP429</f>
        <v>16135.0971455759</v>
      </c>
      <c r="AQ430" s="32" t="n">
        <f aca="false">AQ428*AQ429</f>
        <v>16247.5587726806</v>
      </c>
      <c r="AR430" s="32" t="n">
        <f aca="false">AR428*AR429</f>
        <v>16360.8042573262</v>
      </c>
      <c r="AS430" s="32" t="n">
        <f aca="false">AS428*AS429</f>
        <v>8237.41953149987</v>
      </c>
    </row>
    <row r="431" customFormat="false" ht="14.25" hidden="false" customHeight="false" outlineLevel="0" collapsed="false">
      <c r="C431" s="6" t="s">
        <v>307</v>
      </c>
      <c r="D431" s="2" t="s">
        <v>3</v>
      </c>
      <c r="J431" s="77" t="n">
        <f aca="false">(1+Opex_Esc)^J416</f>
        <v>0.883854287609517</v>
      </c>
      <c r="K431" s="77" t="n">
        <f aca="false">(1+Opex_Esc)^K416</f>
        <v>0.905950644799755</v>
      </c>
      <c r="L431" s="77" t="n">
        <f aca="false">(1+Opex_Esc)^L416</f>
        <v>0.928599410919749</v>
      </c>
      <c r="M431" s="77" t="n">
        <f aca="false">(1+Opex_Esc)^M416</f>
        <v>0.951814396192743</v>
      </c>
      <c r="N431" s="77" t="n">
        <f aca="false">(1+Opex_Esc)^N416</f>
        <v>0.975609756097561</v>
      </c>
      <c r="O431" s="77" t="n">
        <f aca="false">(1+Opex_Esc)^O416</f>
        <v>1</v>
      </c>
      <c r="P431" s="77" t="n">
        <f aca="false">(1+Opex_Esc)^P416</f>
        <v>1.025</v>
      </c>
      <c r="Q431" s="77" t="n">
        <f aca="false">(1+Opex_Esc)^Q416</f>
        <v>1.050625</v>
      </c>
      <c r="R431" s="77" t="n">
        <f aca="false">(1+Opex_Esc)^R416</f>
        <v>1.076890625</v>
      </c>
      <c r="S431" s="77" t="n">
        <f aca="false">(1+Opex_Esc)^S416</f>
        <v>1.103812890625</v>
      </c>
      <c r="T431" s="77" t="n">
        <f aca="false">(1+Opex_Esc)^T416</f>
        <v>1.13140821289062</v>
      </c>
      <c r="U431" s="77" t="n">
        <f aca="false">(1+Opex_Esc)^U416</f>
        <v>1.15969341821289</v>
      </c>
      <c r="V431" s="77" t="n">
        <f aca="false">(1+Opex_Esc)^V416</f>
        <v>1.18868575366821</v>
      </c>
      <c r="W431" s="77" t="n">
        <f aca="false">(1+Opex_Esc)^W416</f>
        <v>1.21840289750992</v>
      </c>
      <c r="X431" s="77" t="n">
        <f aca="false">(1+Opex_Esc)^X416</f>
        <v>1.24886296994767</v>
      </c>
      <c r="Y431" s="77" t="n">
        <f aca="false">(1+Opex_Esc)^Y416</f>
        <v>1.28008454419636</v>
      </c>
      <c r="Z431" s="77" t="n">
        <f aca="false">(1+Opex_Esc)^Z416</f>
        <v>1.31208665780127</v>
      </c>
      <c r="AA431" s="77" t="n">
        <f aca="false">(1+Opex_Esc)^AA416</f>
        <v>1.3448888242463</v>
      </c>
      <c r="AB431" s="77" t="n">
        <f aca="false">(1+Opex_Esc)^AB416</f>
        <v>1.37851104485245</v>
      </c>
      <c r="AC431" s="77" t="n">
        <f aca="false">(1+Opex_Esc)^AC416</f>
        <v>1.41297382097377</v>
      </c>
      <c r="AD431" s="77" t="n">
        <f aca="false">(1+Opex_Esc)^AD416</f>
        <v>1.44829816649811</v>
      </c>
      <c r="AE431" s="77" t="n">
        <f aca="false">(1+Opex_Esc)^AE416</f>
        <v>1.48450562066056</v>
      </c>
      <c r="AF431" s="77" t="n">
        <f aca="false">(1+Opex_Esc)^AF416</f>
        <v>1.52161826117708</v>
      </c>
      <c r="AG431" s="77" t="n">
        <f aca="false">(1+Opex_Esc)^AG416</f>
        <v>1.5596587177065</v>
      </c>
      <c r="AH431" s="77" t="n">
        <f aca="false">(1+Opex_Esc)^AH416</f>
        <v>1.59865018564917</v>
      </c>
      <c r="AI431" s="77" t="n">
        <f aca="false">(1+Opex_Esc)^AI416</f>
        <v>1.63861644029039</v>
      </c>
      <c r="AJ431" s="77" t="n">
        <f aca="false">(1+Opex_Esc)^AJ416</f>
        <v>1.67958185129765</v>
      </c>
      <c r="AK431" s="77" t="n">
        <f aca="false">(1+Opex_Esc)^AK416</f>
        <v>1.7215713975801</v>
      </c>
      <c r="AL431" s="77" t="n">
        <f aca="false">(1+Opex_Esc)^AL416</f>
        <v>1.7646106825196</v>
      </c>
      <c r="AM431" s="77" t="n">
        <f aca="false">(1+Opex_Esc)^AM416</f>
        <v>1.80872594958259</v>
      </c>
      <c r="AN431" s="77" t="n">
        <f aca="false">(1+Opex_Esc)^AN416</f>
        <v>1.85394409832215</v>
      </c>
      <c r="AO431" s="77" t="n">
        <f aca="false">(1+Opex_Esc)^AO416</f>
        <v>1.90029270078021</v>
      </c>
      <c r="AP431" s="77" t="n">
        <f aca="false">(1+Opex_Esc)^AP416</f>
        <v>1.94780001829971</v>
      </c>
      <c r="AQ431" s="77" t="n">
        <f aca="false">(1+Opex_Esc)^AQ416</f>
        <v>1.9964950187572</v>
      </c>
      <c r="AR431" s="77" t="n">
        <f aca="false">(1+Opex_Esc)^AR416</f>
        <v>2.04640739422613</v>
      </c>
      <c r="AS431" s="77" t="n">
        <f aca="false">(1+Opex_Esc)^AS416</f>
        <v>2.09756757908179</v>
      </c>
    </row>
    <row r="432" customFormat="false" ht="14.25" hidden="false" customHeight="false" outlineLevel="0" collapsed="false">
      <c r="C432" s="6" t="s">
        <v>308</v>
      </c>
      <c r="D432" s="2" t="s">
        <v>85</v>
      </c>
      <c r="H432" s="8" t="n">
        <f aca="false">SUM(J432:AS432)</f>
        <v>-70011.0919506797</v>
      </c>
      <c r="J432" s="8" t="n">
        <f aca="false">-(Case_OM+SUM(Opex_Per_MW))*$F$46*J431*J420</f>
        <v>-0</v>
      </c>
      <c r="K432" s="8" t="n">
        <f aca="false">-(Case_OM+SUM(Opex_Per_MW))*$F$46*K431*K420</f>
        <v>-0</v>
      </c>
      <c r="L432" s="8" t="n">
        <f aca="false">-(Case_OM+SUM(Opex_Per_MW))*$F$46*L431*L420</f>
        <v>-0</v>
      </c>
      <c r="M432" s="8" t="n">
        <f aca="false">-(Case_OM+SUM(Opex_Per_MW))*$F$46*M431*M420</f>
        <v>-0</v>
      </c>
      <c r="N432" s="8" t="n">
        <f aca="false">-(Case_OM+SUM(Opex_Per_MW))*$F$46*N431*N420</f>
        <v>-0</v>
      </c>
      <c r="O432" s="8" t="n">
        <f aca="false">-(Case_OM+SUM(Opex_Per_MW))*$F$46*O431*O420</f>
        <v>-787.5</v>
      </c>
      <c r="P432" s="8" t="n">
        <f aca="false">-(Case_OM+SUM(Opex_Per_MW))*$F$46*P431*P420</f>
        <v>-1614.375</v>
      </c>
      <c r="Q432" s="8" t="n">
        <f aca="false">-(Case_OM+SUM(Opex_Per_MW))*$F$46*Q431*Q420</f>
        <v>-1654.734375</v>
      </c>
      <c r="R432" s="8" t="n">
        <f aca="false">-(Case_OM+SUM(Opex_Per_MW))*$F$46*R431*R420</f>
        <v>-1696.102734375</v>
      </c>
      <c r="S432" s="8" t="n">
        <f aca="false">-(Case_OM+SUM(Opex_Per_MW))*$F$46*S431*S420</f>
        <v>-1738.50530273437</v>
      </c>
      <c r="T432" s="8" t="n">
        <f aca="false">-(Case_OM+SUM(Opex_Per_MW))*$F$46*T431*T420</f>
        <v>-1781.96793530273</v>
      </c>
      <c r="U432" s="8" t="n">
        <f aca="false">-(Case_OM+SUM(Opex_Per_MW))*$F$46*U431*U420</f>
        <v>-1826.5171336853</v>
      </c>
      <c r="V432" s="8" t="n">
        <f aca="false">-(Case_OM+SUM(Opex_Per_MW))*$F$46*V431*V420</f>
        <v>-1872.18006202743</v>
      </c>
      <c r="W432" s="8" t="n">
        <f aca="false">-(Case_OM+SUM(Opex_Per_MW))*$F$46*W431*W420</f>
        <v>-1918.98456357812</v>
      </c>
      <c r="X432" s="8" t="n">
        <f aca="false">-(Case_OM+SUM(Opex_Per_MW))*$F$46*X431*X420</f>
        <v>-1966.95917766757</v>
      </c>
      <c r="Y432" s="8" t="n">
        <f aca="false">-(Case_OM+SUM(Opex_Per_MW))*$F$46*Y431*Y420</f>
        <v>-2016.13315710926</v>
      </c>
      <c r="Z432" s="8" t="n">
        <f aca="false">-(Case_OM+SUM(Opex_Per_MW))*$F$46*Z431*Z420</f>
        <v>-2066.53648603699</v>
      </c>
      <c r="AA432" s="8" t="n">
        <f aca="false">-(Case_OM+SUM(Opex_Per_MW))*$F$46*AA431*AA420</f>
        <v>-2118.19989818792</v>
      </c>
      <c r="AB432" s="8" t="n">
        <f aca="false">-(Case_OM+SUM(Opex_Per_MW))*$F$46*AB431*AB420</f>
        <v>-2171.15489564262</v>
      </c>
      <c r="AC432" s="8" t="n">
        <f aca="false">-(Case_OM+SUM(Opex_Per_MW))*$F$46*AC431*AC420</f>
        <v>-2225.43376803368</v>
      </c>
      <c r="AD432" s="8" t="n">
        <f aca="false">-(Case_OM+SUM(Opex_Per_MW))*$F$46*AD431*AD420</f>
        <v>-2281.06961223452</v>
      </c>
      <c r="AE432" s="8" t="n">
        <f aca="false">-(Case_OM+SUM(Opex_Per_MW))*$F$46*AE431*AE420</f>
        <v>-2338.09635254039</v>
      </c>
      <c r="AF432" s="8" t="n">
        <f aca="false">-(Case_OM+SUM(Opex_Per_MW))*$F$46*AF431*AF420</f>
        <v>-2396.5487613539</v>
      </c>
      <c r="AG432" s="8" t="n">
        <f aca="false">-(Case_OM+SUM(Opex_Per_MW))*$F$46*AG431*AG420</f>
        <v>-2456.46248038774</v>
      </c>
      <c r="AH432" s="8" t="n">
        <f aca="false">-(Case_OM+SUM(Opex_Per_MW))*$F$46*AH431*AH420</f>
        <v>-2517.87404239744</v>
      </c>
      <c r="AI432" s="8" t="n">
        <f aca="false">-(Case_OM+SUM(Opex_Per_MW))*$F$46*AI431*AI420</f>
        <v>-2580.82089345737</v>
      </c>
      <c r="AJ432" s="8" t="n">
        <f aca="false">-(Case_OM+SUM(Opex_Per_MW))*$F$46*AJ431*AJ420</f>
        <v>-2645.34141579381</v>
      </c>
      <c r="AK432" s="8" t="n">
        <f aca="false">-(Case_OM+SUM(Opex_Per_MW))*$F$46*AK431*AK420</f>
        <v>-2711.47495118865</v>
      </c>
      <c r="AL432" s="8" t="n">
        <f aca="false">-(Case_OM+SUM(Opex_Per_MW))*$F$46*AL431*AL420</f>
        <v>-2779.26182496837</v>
      </c>
      <c r="AM432" s="8" t="n">
        <f aca="false">-(Case_OM+SUM(Opex_Per_MW))*$F$46*AM431*AM420</f>
        <v>-2848.74337059257</v>
      </c>
      <c r="AN432" s="8" t="n">
        <f aca="false">-(Case_OM+SUM(Opex_Per_MW))*$F$46*AN431*AN420</f>
        <v>-2919.96195485739</v>
      </c>
      <c r="AO432" s="8" t="n">
        <f aca="false">-(Case_OM+SUM(Opex_Per_MW))*$F$46*AO431*AO420</f>
        <v>-2992.96100372882</v>
      </c>
      <c r="AP432" s="8" t="n">
        <f aca="false">-(Case_OM+SUM(Opex_Per_MW))*$F$46*AP431*AP420</f>
        <v>-3067.78502882204</v>
      </c>
      <c r="AQ432" s="8" t="n">
        <f aca="false">-(Case_OM+SUM(Opex_Per_MW))*$F$46*AQ431*AQ420</f>
        <v>-3144.47965454259</v>
      </c>
      <c r="AR432" s="8" t="n">
        <f aca="false">-(Case_OM+SUM(Opex_Per_MW))*$F$46*AR431*AR420</f>
        <v>-3223.09164590616</v>
      </c>
      <c r="AS432" s="8" t="n">
        <f aca="false">-(Case_OM+SUM(Opex_Per_MW))*$F$46*AS431*AS420</f>
        <v>-1651.83446852691</v>
      </c>
    </row>
    <row r="433" customFormat="false" ht="14.25" hidden="false" customHeight="false" outlineLevel="0" collapsed="false">
      <c r="C433" s="6" t="s">
        <v>309</v>
      </c>
      <c r="D433" s="2" t="s">
        <v>85</v>
      </c>
      <c r="H433" s="8" t="n">
        <f aca="false">SUM(J433:AS433)</f>
        <v>-1666.93076073047</v>
      </c>
      <c r="J433" s="8" t="n">
        <f aca="false">-Opex_Admin*$F$6/Lump_Basis*J431*J420</f>
        <v>-0</v>
      </c>
      <c r="K433" s="8" t="n">
        <f aca="false">-Opex_Admin*$F$6/Lump_Basis*K431*K420</f>
        <v>-0</v>
      </c>
      <c r="L433" s="8" t="n">
        <f aca="false">-Opex_Admin*$F$6/Lump_Basis*L431*L420</f>
        <v>-0</v>
      </c>
      <c r="M433" s="8" t="n">
        <f aca="false">-Opex_Admin*$F$6/Lump_Basis*M431*M420</f>
        <v>-0</v>
      </c>
      <c r="N433" s="8" t="n">
        <f aca="false">-Opex_Admin*$F$6/Lump_Basis*N431*N420</f>
        <v>-0</v>
      </c>
      <c r="O433" s="8" t="n">
        <f aca="false">-Opex_Admin*$F$6/Lump_Basis*O431*O420</f>
        <v>-18.75</v>
      </c>
      <c r="P433" s="8" t="n">
        <f aca="false">-Opex_Admin*$F$6/Lump_Basis*P431*P420</f>
        <v>-38.4375</v>
      </c>
      <c r="Q433" s="8" t="n">
        <f aca="false">-Opex_Admin*$F$6/Lump_Basis*Q431*Q420</f>
        <v>-39.3984375</v>
      </c>
      <c r="R433" s="8" t="n">
        <f aca="false">-Opex_Admin*$F$6/Lump_Basis*R431*R420</f>
        <v>-40.3833984375</v>
      </c>
      <c r="S433" s="8" t="n">
        <f aca="false">-Opex_Admin*$F$6/Lump_Basis*S431*S420</f>
        <v>-41.3929833984375</v>
      </c>
      <c r="T433" s="8" t="n">
        <f aca="false">-Opex_Admin*$F$6/Lump_Basis*T431*T420</f>
        <v>-42.4278079833984</v>
      </c>
      <c r="U433" s="8" t="n">
        <f aca="false">-Opex_Admin*$F$6/Lump_Basis*U431*U420</f>
        <v>-43.4885031829834</v>
      </c>
      <c r="V433" s="8" t="n">
        <f aca="false">-Opex_Admin*$F$6/Lump_Basis*V431*V420</f>
        <v>-44.575715762558</v>
      </c>
      <c r="W433" s="8" t="n">
        <f aca="false">-Opex_Admin*$F$6/Lump_Basis*W431*W420</f>
        <v>-45.6901086566219</v>
      </c>
      <c r="X433" s="8" t="n">
        <f aca="false">-Opex_Admin*$F$6/Lump_Basis*X431*X420</f>
        <v>-46.8323613730374</v>
      </c>
      <c r="Y433" s="8" t="n">
        <f aca="false">-Opex_Admin*$F$6/Lump_Basis*Y431*Y420</f>
        <v>-48.0031704073634</v>
      </c>
      <c r="Z433" s="8" t="n">
        <f aca="false">-Opex_Admin*$F$6/Lump_Basis*Z431*Z420</f>
        <v>-49.2032496675475</v>
      </c>
      <c r="AA433" s="8" t="n">
        <f aca="false">-Opex_Admin*$F$6/Lump_Basis*AA431*AA420</f>
        <v>-50.4333309092361</v>
      </c>
      <c r="AB433" s="8" t="n">
        <f aca="false">-Opex_Admin*$F$6/Lump_Basis*AB431*AB420</f>
        <v>-51.694164181967</v>
      </c>
      <c r="AC433" s="8" t="n">
        <f aca="false">-Opex_Admin*$F$6/Lump_Basis*AC431*AC420</f>
        <v>-52.9865182865162</v>
      </c>
      <c r="AD433" s="8" t="n">
        <f aca="false">-Opex_Admin*$F$6/Lump_Basis*AD431*AD420</f>
        <v>-54.3111812436791</v>
      </c>
      <c r="AE433" s="8" t="n">
        <f aca="false">-Opex_Admin*$F$6/Lump_Basis*AE431*AE420</f>
        <v>-55.6689607747711</v>
      </c>
      <c r="AF433" s="8" t="n">
        <f aca="false">-Opex_Admin*$F$6/Lump_Basis*AF431*AF420</f>
        <v>-57.0606847941404</v>
      </c>
      <c r="AG433" s="8" t="n">
        <f aca="false">-Opex_Admin*$F$6/Lump_Basis*AG431*AG420</f>
        <v>-58.4872019139939</v>
      </c>
      <c r="AH433" s="8" t="n">
        <f aca="false">-Opex_Admin*$F$6/Lump_Basis*AH431*AH420</f>
        <v>-59.9493819618437</v>
      </c>
      <c r="AI433" s="8" t="n">
        <f aca="false">-Opex_Admin*$F$6/Lump_Basis*AI431*AI420</f>
        <v>-61.4481165108898</v>
      </c>
      <c r="AJ433" s="8" t="n">
        <f aca="false">-Opex_Admin*$F$6/Lump_Basis*AJ431*AJ420</f>
        <v>-62.984319423662</v>
      </c>
      <c r="AK433" s="8" t="n">
        <f aca="false">-Opex_Admin*$F$6/Lump_Basis*AK431*AK420</f>
        <v>-64.5589274092536</v>
      </c>
      <c r="AL433" s="8" t="n">
        <f aca="false">-Opex_Admin*$F$6/Lump_Basis*AL431*AL420</f>
        <v>-66.1729005944849</v>
      </c>
      <c r="AM433" s="8" t="n">
        <f aca="false">-Opex_Admin*$F$6/Lump_Basis*AM431*AM420</f>
        <v>-67.827223109347</v>
      </c>
      <c r="AN433" s="8" t="n">
        <f aca="false">-Opex_Admin*$F$6/Lump_Basis*AN431*AN420</f>
        <v>-69.5229036870807</v>
      </c>
      <c r="AO433" s="8" t="n">
        <f aca="false">-Opex_Admin*$F$6/Lump_Basis*AO431*AO420</f>
        <v>-71.2609762792577</v>
      </c>
      <c r="AP433" s="8" t="n">
        <f aca="false">-Opex_Admin*$F$6/Lump_Basis*AP431*AP420</f>
        <v>-73.0425006862391</v>
      </c>
      <c r="AQ433" s="8" t="n">
        <f aca="false">-Opex_Admin*$F$6/Lump_Basis*AQ431*AQ420</f>
        <v>-74.8685632033951</v>
      </c>
      <c r="AR433" s="8" t="n">
        <f aca="false">-Opex_Admin*$F$6/Lump_Basis*AR431*AR420</f>
        <v>-76.74027728348</v>
      </c>
      <c r="AS433" s="8" t="n">
        <f aca="false">-Opex_Admin*$F$6/Lump_Basis*AS431*AS420</f>
        <v>-39.3293921077835</v>
      </c>
    </row>
    <row r="434" customFormat="false" ht="14.25" hidden="false" customHeight="false" outlineLevel="0" collapsed="false">
      <c r="C434" s="6" t="s">
        <v>310</v>
      </c>
      <c r="D434" s="2" t="s">
        <v>85</v>
      </c>
      <c r="H434" s="8" t="n">
        <f aca="false">SUM(J434:AS434)</f>
        <v>-31411.9298672852</v>
      </c>
      <c r="J434" s="8" t="n">
        <f aca="false">-J428*(Balancing+Grid_Charges)*J431</f>
        <v>-0</v>
      </c>
      <c r="K434" s="8" t="n">
        <f aca="false">-K428*(Balancing+Grid_Charges)*K431</f>
        <v>-0</v>
      </c>
      <c r="L434" s="8" t="n">
        <f aca="false">-L428*(Balancing+Grid_Charges)*L431</f>
        <v>-0</v>
      </c>
      <c r="M434" s="8" t="n">
        <f aca="false">-M428*(Balancing+Grid_Charges)*M431</f>
        <v>-0</v>
      </c>
      <c r="N434" s="8" t="n">
        <f aca="false">-N428*(Balancing+Grid_Charges)*N431</f>
        <v>-0</v>
      </c>
      <c r="O434" s="8" t="n">
        <f aca="false">-O428*(Balancing+Grid_Charges)*O431</f>
        <v>-370.44</v>
      </c>
      <c r="P434" s="8" t="n">
        <f aca="false">-P428*(Balancing+Grid_Charges)*P431</f>
        <v>-759.402</v>
      </c>
      <c r="Q434" s="8" t="n">
        <f aca="false">-Q428*(Balancing+Grid_Charges)*Q431</f>
        <v>-776.05188885</v>
      </c>
      <c r="R434" s="8" t="n">
        <f aca="false">-R428*(Balancing+Grid_Charges)*R431</f>
        <v>-793.066826513036</v>
      </c>
      <c r="S434" s="8" t="n">
        <f aca="false">-S428*(Balancing+Grid_Charges)*S431</f>
        <v>-810.454816684334</v>
      </c>
      <c r="T434" s="8" t="n">
        <f aca="false">-T428*(Balancing+Grid_Charges)*T431</f>
        <v>-828.224038540138</v>
      </c>
      <c r="U434" s="8" t="n">
        <f aca="false">-U428*(Balancing+Grid_Charges)*U431</f>
        <v>-846.382850585131</v>
      </c>
      <c r="V434" s="8" t="n">
        <f aca="false">-V428*(Balancing+Grid_Charges)*V431</f>
        <v>-864.93979458421</v>
      </c>
      <c r="W434" s="8" t="n">
        <f aca="false">-W428*(Balancing+Grid_Charges)*W431</f>
        <v>-883.903599580468</v>
      </c>
      <c r="X434" s="8" t="n">
        <f aca="false">-X428*(Balancing+Grid_Charges)*X431</f>
        <v>-903.28318600127</v>
      </c>
      <c r="Y434" s="8" t="n">
        <f aca="false">-Y428*(Balancing+Grid_Charges)*Y431</f>
        <v>-923.087669854348</v>
      </c>
      <c r="Z434" s="8" t="n">
        <f aca="false">-Z428*(Balancing+Grid_Charges)*Z431</f>
        <v>-943.326367015904</v>
      </c>
      <c r="AA434" s="8" t="n">
        <f aca="false">-AA428*(Balancing+Grid_Charges)*AA431</f>
        <v>-964.008797612728</v>
      </c>
      <c r="AB434" s="8" t="n">
        <f aca="false">-AB428*(Balancing+Grid_Charges)*AB431</f>
        <v>-985.144690500387</v>
      </c>
      <c r="AC434" s="8" t="n">
        <f aca="false">-AC428*(Balancing+Grid_Charges)*AC431</f>
        <v>-1006.74398783961</v>
      </c>
      <c r="AD434" s="8" t="n">
        <f aca="false">-AD428*(Balancing+Grid_Charges)*AD431</f>
        <v>-1028.81684977299</v>
      </c>
      <c r="AE434" s="8" t="n">
        <f aca="false">-AE428*(Balancing+Grid_Charges)*AE431</f>
        <v>-1051.37365920426</v>
      </c>
      <c r="AF434" s="8" t="n">
        <f aca="false">-AF428*(Balancing+Grid_Charges)*AF431</f>
        <v>-1074.42502668232</v>
      </c>
      <c r="AG434" s="8" t="n">
        <f aca="false">-AG428*(Balancing+Grid_Charges)*AG431</f>
        <v>-1097.98179539233</v>
      </c>
      <c r="AH434" s="8" t="n">
        <f aca="false">-AH428*(Balancing+Grid_Charges)*AH431</f>
        <v>-1122.0550462563</v>
      </c>
      <c r="AI434" s="8" t="n">
        <f aca="false">-AI428*(Balancing+Grid_Charges)*AI431</f>
        <v>-1146.65610314547</v>
      </c>
      <c r="AJ434" s="8" t="n">
        <f aca="false">-AJ428*(Balancing+Grid_Charges)*AJ431</f>
        <v>-1171.79653820694</v>
      </c>
      <c r="AK434" s="8" t="n">
        <f aca="false">-AK428*(Balancing+Grid_Charges)*AK431</f>
        <v>-1197.48817730712</v>
      </c>
      <c r="AL434" s="8" t="n">
        <f aca="false">-AL428*(Balancing+Grid_Charges)*AL431</f>
        <v>-1223.74310559458</v>
      </c>
      <c r="AM434" s="8" t="n">
        <f aca="false">-AM428*(Balancing+Grid_Charges)*AM431</f>
        <v>-1250.57367318474</v>
      </c>
      <c r="AN434" s="8" t="n">
        <f aca="false">-AN428*(Balancing+Grid_Charges)*AN431</f>
        <v>-1277.99250096932</v>
      </c>
      <c r="AO434" s="8" t="n">
        <f aca="false">-AO428*(Balancing+Grid_Charges)*AO431</f>
        <v>-1306.01248655307</v>
      </c>
      <c r="AP434" s="8" t="n">
        <f aca="false">-AP428*(Balancing+Grid_Charges)*AP431</f>
        <v>-1334.64681032075</v>
      </c>
      <c r="AQ434" s="8" t="n">
        <f aca="false">-AQ428*(Balancing+Grid_Charges)*AQ431</f>
        <v>-1363.90894163703</v>
      </c>
      <c r="AR434" s="8" t="n">
        <f aca="false">-AR428*(Balancing+Grid_Charges)*AR431</f>
        <v>-1393.81264518242</v>
      </c>
      <c r="AS434" s="8" t="n">
        <f aca="false">-AS428*(Balancing+Grid_Charges)*AS431</f>
        <v>-712.185993714023</v>
      </c>
    </row>
    <row r="435" customFormat="false" ht="14.25" hidden="false" customHeight="false" outlineLevel="0" collapsed="false">
      <c r="C435" s="6" t="s">
        <v>311</v>
      </c>
      <c r="D435" s="2" t="s">
        <v>85</v>
      </c>
      <c r="H435" s="8" t="n">
        <f aca="false">SUM(J435:AS435)</f>
        <v>-446.130685729454</v>
      </c>
      <c r="J435" s="8" t="n">
        <f aca="false">-J430*MEKH_Fee</f>
        <v>-0</v>
      </c>
      <c r="K435" s="8" t="n">
        <f aca="false">-K430*MEKH_Fee</f>
        <v>-0</v>
      </c>
      <c r="L435" s="8" t="n">
        <f aca="false">-L430*MEKH_Fee</f>
        <v>-0</v>
      </c>
      <c r="M435" s="8" t="n">
        <f aca="false">-M430*MEKH_Fee</f>
        <v>-0</v>
      </c>
      <c r="N435" s="8" t="n">
        <f aca="false">-N430*MEKH_Fee</f>
        <v>-0</v>
      </c>
      <c r="O435" s="8" t="n">
        <f aca="false">-O430*MEKH_Fee</f>
        <v>-6.66792</v>
      </c>
      <c r="P435" s="8" t="n">
        <f aca="false">-P430*MEKH_Fee</f>
        <v>-13.4691984</v>
      </c>
      <c r="Q435" s="8" t="n">
        <f aca="false">-Q430*MEKH_Fee</f>
        <v>-13.563078712848</v>
      </c>
      <c r="R435" s="8" t="n">
        <f aca="false">-R430*MEKH_Fee</f>
        <v>-13.6576133714766</v>
      </c>
      <c r="S435" s="8" t="n">
        <f aca="false">-S430*MEKH_Fee</f>
        <v>-13.7528069366757</v>
      </c>
      <c r="T435" s="8" t="n">
        <f aca="false">-T430*MEKH_Fee</f>
        <v>-13.8486640010244</v>
      </c>
      <c r="U435" s="8" t="n">
        <f aca="false">-U430*MEKH_Fee</f>
        <v>-13.9451891891115</v>
      </c>
      <c r="V435" s="8" t="n">
        <f aca="false">-V430*MEKH_Fee</f>
        <v>-14.0423871577596</v>
      </c>
      <c r="W435" s="8" t="n">
        <f aca="false">-W430*MEKH_Fee</f>
        <v>-14.1402625962492</v>
      </c>
      <c r="X435" s="8" t="n">
        <f aca="false">-X430*MEKH_Fee</f>
        <v>-14.2388202265451</v>
      </c>
      <c r="Y435" s="8" t="n">
        <f aca="false">-Y430*MEKH_Fee</f>
        <v>-14.3380648035241</v>
      </c>
      <c r="Z435" s="8" t="n">
        <f aca="false">-Z430*MEKH_Fee</f>
        <v>-14.4380011152046</v>
      </c>
      <c r="AA435" s="8" t="n">
        <f aca="false">-AA430*MEKH_Fee</f>
        <v>-14.5386339829776</v>
      </c>
      <c r="AB435" s="8" t="n">
        <f aca="false">-AB430*MEKH_Fee</f>
        <v>-14.639968261839</v>
      </c>
      <c r="AC435" s="8" t="n">
        <f aca="false">-AC430*MEKH_Fee</f>
        <v>-14.742008840624</v>
      </c>
      <c r="AD435" s="8" t="n">
        <f aca="false">-AD430*MEKH_Fee</f>
        <v>-14.8447606422431</v>
      </c>
      <c r="AE435" s="8" t="n">
        <f aca="false">-AE430*MEKH_Fee</f>
        <v>-14.9482286239196</v>
      </c>
      <c r="AF435" s="8" t="n">
        <f aca="false">-AF430*MEKH_Fee</f>
        <v>-15.0524177774283</v>
      </c>
      <c r="AG435" s="8" t="n">
        <f aca="false">-AG430*MEKH_Fee</f>
        <v>-15.157333129337</v>
      </c>
      <c r="AH435" s="8" t="n">
        <f aca="false">-AH430*MEKH_Fee</f>
        <v>-15.2629797412485</v>
      </c>
      <c r="AI435" s="8" t="n">
        <f aca="false">-AI430*MEKH_Fee</f>
        <v>-15.369362710045</v>
      </c>
      <c r="AJ435" s="8" t="n">
        <f aca="false">-AJ430*MEKH_Fee</f>
        <v>-15.476487168134</v>
      </c>
      <c r="AK435" s="8" t="n">
        <f aca="false">-AK430*MEKH_Fee</f>
        <v>-15.5843582836959</v>
      </c>
      <c r="AL435" s="8" t="n">
        <f aca="false">-AL430*MEKH_Fee</f>
        <v>-15.6929812609332</v>
      </c>
      <c r="AM435" s="8" t="n">
        <f aca="false">-AM430*MEKH_Fee</f>
        <v>-15.8023613403219</v>
      </c>
      <c r="AN435" s="8" t="n">
        <f aca="false">-AN430*MEKH_Fee</f>
        <v>-15.912503798864</v>
      </c>
      <c r="AO435" s="8" t="n">
        <f aca="false">-AO430*MEKH_Fee</f>
        <v>-16.0234139503421</v>
      </c>
      <c r="AP435" s="8" t="n">
        <f aca="false">-AP430*MEKH_Fee</f>
        <v>-16.1350971455759</v>
      </c>
      <c r="AQ435" s="8" t="n">
        <f aca="false">-AQ430*MEKH_Fee</f>
        <v>-16.2475587726806</v>
      </c>
      <c r="AR435" s="8" t="n">
        <f aca="false">-AR430*MEKH_Fee</f>
        <v>-16.3608042573262</v>
      </c>
      <c r="AS435" s="8" t="n">
        <f aca="false">-AS430*MEKH_Fee</f>
        <v>-8.23741953149987</v>
      </c>
    </row>
    <row r="436" customFormat="false" ht="14.25" hidden="false" customHeight="false" outlineLevel="0" collapsed="false">
      <c r="C436" s="6" t="s">
        <v>312</v>
      </c>
      <c r="D436" s="2" t="s">
        <v>85</v>
      </c>
      <c r="H436" s="8" t="n">
        <f aca="false">SUM(J436:AS436)</f>
        <v>-5176.80416322124</v>
      </c>
      <c r="J436" s="8" t="n">
        <f aca="false">SUM(J432:J435)*Opex_Cont</f>
        <v>0</v>
      </c>
      <c r="K436" s="8" t="n">
        <f aca="false">SUM(K432:K435)*Opex_Cont</f>
        <v>0</v>
      </c>
      <c r="L436" s="8" t="n">
        <f aca="false">SUM(L432:L435)*Opex_Cont</f>
        <v>0</v>
      </c>
      <c r="M436" s="8" t="n">
        <f aca="false">SUM(M432:M435)*Opex_Cont</f>
        <v>0</v>
      </c>
      <c r="N436" s="8" t="n">
        <f aca="false">SUM(N432:N435)*Opex_Cont</f>
        <v>0</v>
      </c>
      <c r="O436" s="8" t="n">
        <f aca="false">SUM(O432:O435)*Opex_Cont</f>
        <v>-59.167896</v>
      </c>
      <c r="P436" s="8" t="n">
        <f aca="false">SUM(P432:P435)*Opex_Cont</f>
        <v>-121.28418492</v>
      </c>
      <c r="Q436" s="8" t="n">
        <f aca="false">SUM(Q432:Q435)*Opex_Cont</f>
        <v>-124.187389003142</v>
      </c>
      <c r="R436" s="8" t="n">
        <f aca="false">SUM(R432:R435)*Opex_Cont</f>
        <v>-127.160528634851</v>
      </c>
      <c r="S436" s="8" t="n">
        <f aca="false">SUM(S432:S435)*Opex_Cont</f>
        <v>-130.205295487691</v>
      </c>
      <c r="T436" s="8" t="n">
        <f aca="false">SUM(T432:T435)*Opex_Cont</f>
        <v>-133.323422291365</v>
      </c>
      <c r="U436" s="8" t="n">
        <f aca="false">SUM(U432:U435)*Opex_Cont</f>
        <v>-136.516683832126</v>
      </c>
      <c r="V436" s="8" t="n">
        <f aca="false">SUM(V432:V435)*Opex_Cont</f>
        <v>-139.786897976598</v>
      </c>
      <c r="W436" s="8" t="n">
        <f aca="false">SUM(W432:W435)*Opex_Cont</f>
        <v>-143.135926720573</v>
      </c>
      <c r="X436" s="8" t="n">
        <f aca="false">SUM(X432:X435)*Opex_Cont</f>
        <v>-146.565677263421</v>
      </c>
      <c r="Y436" s="8" t="n">
        <f aca="false">SUM(Y432:Y435)*Opex_Cont</f>
        <v>-150.078103108725</v>
      </c>
      <c r="Z436" s="8" t="n">
        <f aca="false">SUM(Z432:Z435)*Opex_Cont</f>
        <v>-153.675205191783</v>
      </c>
      <c r="AA436" s="8" t="n">
        <f aca="false">SUM(AA432:AA435)*Opex_Cont</f>
        <v>-157.359033034643</v>
      </c>
      <c r="AB436" s="8" t="n">
        <f aca="false">SUM(AB432:AB435)*Opex_Cont</f>
        <v>-161.13168592934</v>
      </c>
      <c r="AC436" s="8" t="n">
        <f aca="false">SUM(AC432:AC435)*Opex_Cont</f>
        <v>-164.995314150021</v>
      </c>
      <c r="AD436" s="8" t="n">
        <f aca="false">SUM(AD432:AD435)*Opex_Cont</f>
        <v>-168.952120194672</v>
      </c>
      <c r="AE436" s="8" t="n">
        <f aca="false">SUM(AE432:AE435)*Opex_Cont</f>
        <v>-173.004360057167</v>
      </c>
      <c r="AF436" s="8" t="n">
        <f aca="false">SUM(AF432:AF435)*Opex_Cont</f>
        <v>-177.154344530389</v>
      </c>
      <c r="AG436" s="8" t="n">
        <f aca="false">SUM(AG432:AG435)*Opex_Cont</f>
        <v>-181.40444054117</v>
      </c>
      <c r="AH436" s="8" t="n">
        <f aca="false">SUM(AH432:AH435)*Opex_Cont</f>
        <v>-185.757072517842</v>
      </c>
      <c r="AI436" s="8" t="n">
        <f aca="false">SUM(AI432:AI435)*Opex_Cont</f>
        <v>-190.214723791189</v>
      </c>
      <c r="AJ436" s="8" t="n">
        <f aca="false">SUM(AJ432:AJ435)*Opex_Cont</f>
        <v>-194.779938029627</v>
      </c>
      <c r="AK436" s="8" t="n">
        <f aca="false">SUM(AK432:AK435)*Opex_Cont</f>
        <v>-199.455320709436</v>
      </c>
      <c r="AL436" s="8" t="n">
        <f aca="false">SUM(AL432:AL435)*Opex_Cont</f>
        <v>-204.243540620918</v>
      </c>
      <c r="AM436" s="8" t="n">
        <f aca="false">SUM(AM432:AM435)*Opex_Cont</f>
        <v>-209.147331411349</v>
      </c>
      <c r="AN436" s="8" t="n">
        <f aca="false">SUM(AN432:AN435)*Opex_Cont</f>
        <v>-214.169493165633</v>
      </c>
      <c r="AO436" s="8" t="n">
        <f aca="false">SUM(AO432:AO435)*Opex_Cont</f>
        <v>-219.312894025575</v>
      </c>
      <c r="AP436" s="8" t="n">
        <f aca="false">SUM(AP432:AP435)*Opex_Cont</f>
        <v>-224.58047184873</v>
      </c>
      <c r="AQ436" s="8" t="n">
        <f aca="false">SUM(AQ432:AQ435)*Opex_Cont</f>
        <v>-229.975235907785</v>
      </c>
      <c r="AR436" s="8" t="n">
        <f aca="false">SUM(AR432:AR435)*Opex_Cont</f>
        <v>-235.500268631469</v>
      </c>
      <c r="AS436" s="8" t="n">
        <f aca="false">SUM(AS432:AS435)*Opex_Cont</f>
        <v>-120.579363694011</v>
      </c>
    </row>
    <row r="437" customFormat="false" ht="14.25" hidden="false" customHeight="false" outlineLevel="0" collapsed="false">
      <c r="C437" s="6" t="s">
        <v>313</v>
      </c>
      <c r="D437" s="2" t="s">
        <v>85</v>
      </c>
      <c r="H437" s="8" t="n">
        <f aca="false">SUM(J437:AS437)</f>
        <v>-12790.1964811942</v>
      </c>
      <c r="J437" s="8" t="n">
        <f aca="false">-J428*$F$12</f>
        <v>-0</v>
      </c>
      <c r="K437" s="8" t="n">
        <f aca="false">-K428*$F$12</f>
        <v>-0</v>
      </c>
      <c r="L437" s="8" t="n">
        <f aca="false">-L428*$F$12</f>
        <v>-0</v>
      </c>
      <c r="M437" s="8" t="n">
        <f aca="false">-M428*$F$12</f>
        <v>-0</v>
      </c>
      <c r="N437" s="8" t="n">
        <f aca="false">-N428*$F$12</f>
        <v>-0</v>
      </c>
      <c r="O437" s="8" t="n">
        <f aca="false">-O428*$F$12</f>
        <v>-222.264</v>
      </c>
      <c r="P437" s="8" t="n">
        <f aca="false">-P428*$F$12</f>
        <v>-444.528</v>
      </c>
      <c r="Q437" s="8" t="n">
        <f aca="false">-Q428*$F$12</f>
        <v>-443.194416</v>
      </c>
      <c r="R437" s="8" t="n">
        <f aca="false">-R428*$F$12</f>
        <v>-441.864832752</v>
      </c>
      <c r="S437" s="8" t="n">
        <f aca="false">-S428*$F$12</f>
        <v>-440.539238253744</v>
      </c>
      <c r="T437" s="8" t="n">
        <f aca="false">-T428*$F$12</f>
        <v>-439.217620538983</v>
      </c>
      <c r="U437" s="8" t="n">
        <f aca="false">-U428*$F$12</f>
        <v>-437.899967677366</v>
      </c>
      <c r="V437" s="8" t="n">
        <f aca="false">-V428*$F$12</f>
        <v>-436.586267774334</v>
      </c>
      <c r="W437" s="8" t="n">
        <f aca="false">-W428*$F$12</f>
        <v>-435.276508971011</v>
      </c>
      <c r="X437" s="8" t="n">
        <f aca="false">-X428*$F$12</f>
        <v>-433.970679444098</v>
      </c>
      <c r="Y437" s="8" t="n">
        <f aca="false">-Y428*$F$12</f>
        <v>-432.668767405765</v>
      </c>
      <c r="Z437" s="8" t="n">
        <f aca="false">-Z428*$F$12</f>
        <v>-431.370761103548</v>
      </c>
      <c r="AA437" s="8" t="n">
        <f aca="false">-AA428*$F$12</f>
        <v>-430.076648820237</v>
      </c>
      <c r="AB437" s="8" t="n">
        <f aca="false">-AB428*$F$12</f>
        <v>-428.786418873777</v>
      </c>
      <c r="AC437" s="8" t="n">
        <f aca="false">-AC428*$F$12</f>
        <v>-427.500059617155</v>
      </c>
      <c r="AD437" s="8" t="n">
        <f aca="false">-AD428*$F$12</f>
        <v>-426.217559438304</v>
      </c>
      <c r="AE437" s="8" t="n">
        <f aca="false">-AE428*$F$12</f>
        <v>-424.938906759989</v>
      </c>
      <c r="AF437" s="8" t="n">
        <f aca="false">-AF428*$F$12</f>
        <v>-423.664090039709</v>
      </c>
      <c r="AG437" s="8" t="n">
        <f aca="false">-AG428*$F$12</f>
        <v>-422.39309776959</v>
      </c>
      <c r="AH437" s="8" t="n">
        <f aca="false">-AH428*$F$12</f>
        <v>-421.125918476281</v>
      </c>
      <c r="AI437" s="8" t="n">
        <f aca="false">-AI428*$F$12</f>
        <v>-419.862540720852</v>
      </c>
      <c r="AJ437" s="8" t="n">
        <f aca="false">-AJ428*$F$12</f>
        <v>-418.60295309869</v>
      </c>
      <c r="AK437" s="8" t="n">
        <f aca="false">-AK428*$F$12</f>
        <v>-417.347144239394</v>
      </c>
      <c r="AL437" s="8" t="n">
        <f aca="false">-AL428*$F$12</f>
        <v>-416.095102806675</v>
      </c>
      <c r="AM437" s="8" t="n">
        <f aca="false">-AM428*$F$12</f>
        <v>-414.846817498256</v>
      </c>
      <c r="AN437" s="8" t="n">
        <f aca="false">-AN428*$F$12</f>
        <v>-413.602277045761</v>
      </c>
      <c r="AO437" s="8" t="n">
        <f aca="false">-AO428*$F$12</f>
        <v>-412.361470214623</v>
      </c>
      <c r="AP437" s="8" t="n">
        <f aca="false">-AP428*$F$12</f>
        <v>-411.12438580398</v>
      </c>
      <c r="AQ437" s="8" t="n">
        <f aca="false">-AQ428*$F$12</f>
        <v>-409.891012646568</v>
      </c>
      <c r="AR437" s="8" t="n">
        <f aca="false">-AR428*$F$12</f>
        <v>-408.661339608628</v>
      </c>
      <c r="AS437" s="8" t="n">
        <f aca="false">-AS428*$F$12</f>
        <v>-203.717677794901</v>
      </c>
    </row>
    <row r="438" customFormat="false" ht="14.25" hidden="false" customHeight="false" outlineLevel="0" collapsed="false">
      <c r="C438" s="6" t="s">
        <v>314</v>
      </c>
      <c r="D438" s="2" t="s">
        <v>85</v>
      </c>
      <c r="H438" s="8" t="n">
        <f aca="false">SUM(J438:AS438)</f>
        <v>-8922.61371458909</v>
      </c>
      <c r="J438" s="8" t="n">
        <f aca="false">-J430*HIPA_Rate</f>
        <v>-0</v>
      </c>
      <c r="K438" s="8" t="n">
        <f aca="false">-K430*HIPA_Rate</f>
        <v>-0</v>
      </c>
      <c r="L438" s="8" t="n">
        <f aca="false">-L430*HIPA_Rate</f>
        <v>-0</v>
      </c>
      <c r="M438" s="8" t="n">
        <f aca="false">-M430*HIPA_Rate</f>
        <v>-0</v>
      </c>
      <c r="N438" s="8" t="n">
        <f aca="false">-N430*HIPA_Rate</f>
        <v>-0</v>
      </c>
      <c r="O438" s="8" t="n">
        <f aca="false">-O430*HIPA_Rate</f>
        <v>-133.3584</v>
      </c>
      <c r="P438" s="8" t="n">
        <f aca="false">-P430*HIPA_Rate</f>
        <v>-269.383968</v>
      </c>
      <c r="Q438" s="8" t="n">
        <f aca="false">-Q430*HIPA_Rate</f>
        <v>-271.26157425696</v>
      </c>
      <c r="R438" s="8" t="n">
        <f aca="false">-R430*HIPA_Rate</f>
        <v>-273.152267429531</v>
      </c>
      <c r="S438" s="8" t="n">
        <f aca="false">-S430*HIPA_Rate</f>
        <v>-275.056138733515</v>
      </c>
      <c r="T438" s="8" t="n">
        <f aca="false">-T430*HIPA_Rate</f>
        <v>-276.973280020488</v>
      </c>
      <c r="U438" s="8" t="n">
        <f aca="false">-U430*HIPA_Rate</f>
        <v>-278.90378378223</v>
      </c>
      <c r="V438" s="8" t="n">
        <f aca="false">-V430*HIPA_Rate</f>
        <v>-280.847743155192</v>
      </c>
      <c r="W438" s="8" t="n">
        <f aca="false">-W430*HIPA_Rate</f>
        <v>-282.805251924984</v>
      </c>
      <c r="X438" s="8" t="n">
        <f aca="false">-X430*HIPA_Rate</f>
        <v>-284.776404530901</v>
      </c>
      <c r="Y438" s="8" t="n">
        <f aca="false">-Y430*HIPA_Rate</f>
        <v>-286.761296070482</v>
      </c>
      <c r="Z438" s="8" t="n">
        <f aca="false">-Z430*HIPA_Rate</f>
        <v>-288.760022304093</v>
      </c>
      <c r="AA438" s="8" t="n">
        <f aca="false">-AA430*HIPA_Rate</f>
        <v>-290.772679659552</v>
      </c>
      <c r="AB438" s="8" t="n">
        <f aca="false">-AB430*HIPA_Rate</f>
        <v>-292.799365236779</v>
      </c>
      <c r="AC438" s="8" t="n">
        <f aca="false">-AC430*HIPA_Rate</f>
        <v>-294.84017681248</v>
      </c>
      <c r="AD438" s="8" t="n">
        <f aca="false">-AD430*HIPA_Rate</f>
        <v>-296.895212844863</v>
      </c>
      <c r="AE438" s="8" t="n">
        <f aca="false">-AE430*HIPA_Rate</f>
        <v>-298.964572478392</v>
      </c>
      <c r="AF438" s="8" t="n">
        <f aca="false">-AF430*HIPA_Rate</f>
        <v>-301.048355548566</v>
      </c>
      <c r="AG438" s="8" t="n">
        <f aca="false">-AG430*HIPA_Rate</f>
        <v>-303.146662586739</v>
      </c>
      <c r="AH438" s="8" t="n">
        <f aca="false">-AH430*HIPA_Rate</f>
        <v>-305.259594824969</v>
      </c>
      <c r="AI438" s="8" t="n">
        <f aca="false">-AI430*HIPA_Rate</f>
        <v>-307.387254200899</v>
      </c>
      <c r="AJ438" s="8" t="n">
        <f aca="false">-AJ430*HIPA_Rate</f>
        <v>-309.529743362679</v>
      </c>
      <c r="AK438" s="8" t="n">
        <f aca="false">-AK430*HIPA_Rate</f>
        <v>-311.687165673917</v>
      </c>
      <c r="AL438" s="8" t="n">
        <f aca="false">-AL430*HIPA_Rate</f>
        <v>-313.859625218664</v>
      </c>
      <c r="AM438" s="8" t="n">
        <f aca="false">-AM430*HIPA_Rate</f>
        <v>-316.047226806439</v>
      </c>
      <c r="AN438" s="8" t="n">
        <f aca="false">-AN430*HIPA_Rate</f>
        <v>-318.250075977279</v>
      </c>
      <c r="AO438" s="8" t="n">
        <f aca="false">-AO430*HIPA_Rate</f>
        <v>-320.468279006841</v>
      </c>
      <c r="AP438" s="8" t="n">
        <f aca="false">-AP430*HIPA_Rate</f>
        <v>-322.701942911519</v>
      </c>
      <c r="AQ438" s="8" t="n">
        <f aca="false">-AQ430*HIPA_Rate</f>
        <v>-324.951175453612</v>
      </c>
      <c r="AR438" s="8" t="n">
        <f aca="false">-AR430*HIPA_Rate</f>
        <v>-327.216085146524</v>
      </c>
      <c r="AS438" s="8" t="n">
        <f aca="false">-AS430*HIPA_Rate</f>
        <v>-164.748390629997</v>
      </c>
    </row>
    <row r="439" customFormat="false" ht="14.25" hidden="false" customHeight="false" outlineLevel="0" collapsed="false">
      <c r="C439" s="1" t="s">
        <v>315</v>
      </c>
      <c r="D439" s="2" t="s">
        <v>85</v>
      </c>
      <c r="H439" s="32" t="n">
        <f aca="false">SUM(J439:AS439)</f>
        <v>-130425.697623429</v>
      </c>
      <c r="J439" s="32" t="n">
        <f aca="false">SUM(J432:J438)</f>
        <v>0</v>
      </c>
      <c r="K439" s="32" t="n">
        <f aca="false">SUM(K432:K438)</f>
        <v>0</v>
      </c>
      <c r="L439" s="32" t="n">
        <f aca="false">SUM(L432:L438)</f>
        <v>0</v>
      </c>
      <c r="M439" s="32" t="n">
        <f aca="false">SUM(M432:M438)</f>
        <v>0</v>
      </c>
      <c r="N439" s="32" t="n">
        <f aca="false">SUM(N432:N438)</f>
        <v>0</v>
      </c>
      <c r="O439" s="32" t="n">
        <f aca="false">SUM(O432:O438)</f>
        <v>-1598.148216</v>
      </c>
      <c r="P439" s="32" t="n">
        <f aca="false">SUM(P432:P438)</f>
        <v>-3260.87985132</v>
      </c>
      <c r="Q439" s="32" t="n">
        <f aca="false">SUM(Q432:Q438)</f>
        <v>-3322.39115932295</v>
      </c>
      <c r="R439" s="32" t="n">
        <f aca="false">SUM(R432:R438)</f>
        <v>-3385.38820151339</v>
      </c>
      <c r="S439" s="32" t="n">
        <f aca="false">SUM(S432:S438)</f>
        <v>-3449.90658222877</v>
      </c>
      <c r="T439" s="32" t="n">
        <f aca="false">SUM(T432:T438)</f>
        <v>-3515.98276867813</v>
      </c>
      <c r="U439" s="32" t="n">
        <f aca="false">SUM(U432:U438)</f>
        <v>-3583.65411193425</v>
      </c>
      <c r="V439" s="32" t="n">
        <f aca="false">SUM(V432:V438)</f>
        <v>-3652.95886843809</v>
      </c>
      <c r="W439" s="32" t="n">
        <f aca="false">SUM(W432:W438)</f>
        <v>-3723.93622202803</v>
      </c>
      <c r="X439" s="32" t="n">
        <f aca="false">SUM(X432:X438)</f>
        <v>-3796.62630650685</v>
      </c>
      <c r="Y439" s="32" t="n">
        <f aca="false">SUM(Y432:Y438)</f>
        <v>-3871.07022875947</v>
      </c>
      <c r="Z439" s="32" t="n">
        <f aca="false">SUM(Z432:Z438)</f>
        <v>-3947.31009243507</v>
      </c>
      <c r="AA439" s="32" t="n">
        <f aca="false">SUM(AA432:AA438)</f>
        <v>-4025.38902220729</v>
      </c>
      <c r="AB439" s="32" t="n">
        <f aca="false">SUM(AB432:AB438)</f>
        <v>-4105.3511886267</v>
      </c>
      <c r="AC439" s="32" t="n">
        <f aca="false">SUM(AC432:AC438)</f>
        <v>-4187.24183358009</v>
      </c>
      <c r="AD439" s="32" t="n">
        <f aca="false">SUM(AD432:AD438)</f>
        <v>-4271.10729637127</v>
      </c>
      <c r="AE439" s="32" t="n">
        <f aca="false">SUM(AE432:AE438)</f>
        <v>-4356.99504043889</v>
      </c>
      <c r="AF439" s="32" t="n">
        <f aca="false">SUM(AF432:AF438)</f>
        <v>-4444.95368072645</v>
      </c>
      <c r="AG439" s="32" t="n">
        <f aca="false">SUM(AG432:AG438)</f>
        <v>-4535.0330117209</v>
      </c>
      <c r="AH439" s="32" t="n">
        <f aca="false">SUM(AH432:AH438)</f>
        <v>-4627.28403617592</v>
      </c>
      <c r="AI439" s="32" t="n">
        <f aca="false">SUM(AI432:AI438)</f>
        <v>-4721.75899453672</v>
      </c>
      <c r="AJ439" s="32" t="n">
        <f aca="false">SUM(AJ432:AJ438)</f>
        <v>-4818.51139508354</v>
      </c>
      <c r="AK439" s="32" t="n">
        <f aca="false">SUM(AK432:AK438)</f>
        <v>-4917.59604481147</v>
      </c>
      <c r="AL439" s="32" t="n">
        <f aca="false">SUM(AL432:AL438)</f>
        <v>-5019.06908106463</v>
      </c>
      <c r="AM439" s="32" t="n">
        <f aca="false">SUM(AM432:AM438)</f>
        <v>-5122.98800394303</v>
      </c>
      <c r="AN439" s="32" t="n">
        <f aca="false">SUM(AN432:AN438)</f>
        <v>-5229.41170950133</v>
      </c>
      <c r="AO439" s="32" t="n">
        <f aca="false">SUM(AO432:AO438)</f>
        <v>-5338.40052375853</v>
      </c>
      <c r="AP439" s="32" t="n">
        <f aca="false">SUM(AP432:AP438)</f>
        <v>-5450.01623753884</v>
      </c>
      <c r="AQ439" s="32" t="n">
        <f aca="false">SUM(AQ432:AQ438)</f>
        <v>-5564.32214216366</v>
      </c>
      <c r="AR439" s="32" t="n">
        <f aca="false">SUM(AR432:AR438)</f>
        <v>-5681.38306601601</v>
      </c>
      <c r="AS439" s="32" t="n">
        <f aca="false">SUM(AS432:AS438)</f>
        <v>-2900.63270599912</v>
      </c>
    </row>
    <row r="440" customFormat="false" ht="14.25" hidden="false" customHeight="false" outlineLevel="0" collapsed="false">
      <c r="C440" s="1" t="s">
        <v>160</v>
      </c>
      <c r="D440" s="2" t="s">
        <v>85</v>
      </c>
      <c r="H440" s="15" t="n">
        <f aca="false">SUM(J440:AS440)</f>
        <v>315704.988106025</v>
      </c>
      <c r="J440" s="15" t="n">
        <f aca="false">J430+J439</f>
        <v>0</v>
      </c>
      <c r="K440" s="15" t="n">
        <f aca="false">K430+K439</f>
        <v>0</v>
      </c>
      <c r="L440" s="15" t="n">
        <f aca="false">L430+L439</f>
        <v>0</v>
      </c>
      <c r="M440" s="15" t="n">
        <f aca="false">M430+M439</f>
        <v>0</v>
      </c>
      <c r="N440" s="15" t="n">
        <f aca="false">N430+N439</f>
        <v>0</v>
      </c>
      <c r="O440" s="15" t="n">
        <f aca="false">O430+O439</f>
        <v>5069.771784</v>
      </c>
      <c r="P440" s="15" t="n">
        <f aca="false">P430+P439</f>
        <v>10208.31854868</v>
      </c>
      <c r="Q440" s="15" t="n">
        <f aca="false">Q430+Q439</f>
        <v>10240.6875535251</v>
      </c>
      <c r="R440" s="15" t="n">
        <f aca="false">R430+R439</f>
        <v>10272.2251699632</v>
      </c>
      <c r="S440" s="15" t="n">
        <f aca="false">S430+S439</f>
        <v>10302.900354447</v>
      </c>
      <c r="T440" s="15" t="n">
        <f aca="false">T430+T439</f>
        <v>10332.6812323462</v>
      </c>
      <c r="U440" s="15" t="n">
        <f aca="false">U430+U439</f>
        <v>10361.5350771773</v>
      </c>
      <c r="V440" s="15" t="n">
        <f aca="false">V430+V439</f>
        <v>10389.4282893215</v>
      </c>
      <c r="W440" s="15" t="n">
        <f aca="false">W430+W439</f>
        <v>10416.3263742212</v>
      </c>
      <c r="X440" s="15" t="n">
        <f aca="false">X430+X439</f>
        <v>10442.1939200382</v>
      </c>
      <c r="Y440" s="15" t="n">
        <f aca="false">Y430+Y439</f>
        <v>10466.9945747646</v>
      </c>
      <c r="Z440" s="15" t="n">
        <f aca="false">Z430+Z439</f>
        <v>10490.6910227696</v>
      </c>
      <c r="AA440" s="15" t="n">
        <f aca="false">AA430+AA439</f>
        <v>10513.2449607703</v>
      </c>
      <c r="AB440" s="15" t="n">
        <f aca="false">AB430+AB439</f>
        <v>10534.6170732123</v>
      </c>
      <c r="AC440" s="15" t="n">
        <f aca="false">AC430+AC439</f>
        <v>10554.7670070439</v>
      </c>
      <c r="AD440" s="15" t="n">
        <f aca="false">AD430+AD439</f>
        <v>10573.6533458719</v>
      </c>
      <c r="AE440" s="15" t="n">
        <f aca="false">AE430+AE439</f>
        <v>10591.2335834807</v>
      </c>
      <c r="AF440" s="15" t="n">
        <f aca="false">AF430+AF439</f>
        <v>10607.4640967019</v>
      </c>
      <c r="AG440" s="15" t="n">
        <f aca="false">AG430+AG439</f>
        <v>10622.3001176161</v>
      </c>
      <c r="AH440" s="15" t="n">
        <f aca="false">AH430+AH439</f>
        <v>10635.6957050725</v>
      </c>
      <c r="AI440" s="15" t="n">
        <f aca="false">AI430+AI439</f>
        <v>10647.6037155082</v>
      </c>
      <c r="AJ440" s="15" t="n">
        <f aca="false">AJ430+AJ439</f>
        <v>10657.9757730504</v>
      </c>
      <c r="AK440" s="15" t="n">
        <f aca="false">AK430+AK439</f>
        <v>10666.7622388844</v>
      </c>
      <c r="AL440" s="15" t="n">
        <f aca="false">AL430+AL439</f>
        <v>10673.9121798686</v>
      </c>
      <c r="AM440" s="15" t="n">
        <f aca="false">AM430+AM439</f>
        <v>10679.3733363789</v>
      </c>
      <c r="AN440" s="15" t="n">
        <f aca="false">AN430+AN439</f>
        <v>10683.0920893626</v>
      </c>
      <c r="AO440" s="15" t="n">
        <f aca="false">AO430+AO439</f>
        <v>10685.0134265835</v>
      </c>
      <c r="AP440" s="15" t="n">
        <f aca="false">AP430+AP439</f>
        <v>10685.0809080371</v>
      </c>
      <c r="AQ440" s="15" t="n">
        <f aca="false">AQ430+AQ439</f>
        <v>10683.2366305169</v>
      </c>
      <c r="AR440" s="15" t="n">
        <f aca="false">AR430+AR439</f>
        <v>10679.4211913102</v>
      </c>
      <c r="AS440" s="15" t="n">
        <f aca="false">AS430+AS439</f>
        <v>5336.78682550075</v>
      </c>
    </row>
    <row r="441" customFormat="false" ht="14.25" hidden="false" customHeight="false" outlineLevel="0" collapsed="false">
      <c r="C441" s="1" t="s">
        <v>316</v>
      </c>
      <c r="D441" s="2" t="s">
        <v>85</v>
      </c>
      <c r="H441" s="32" t="n">
        <f aca="false">SUM(J441:AS441)</f>
        <v>238904.92885945</v>
      </c>
      <c r="J441" s="32" t="n">
        <f aca="false">J426+J440</f>
        <v>0</v>
      </c>
      <c r="K441" s="32" t="n">
        <f aca="false">K426+K440</f>
        <v>0</v>
      </c>
      <c r="L441" s="32" t="n">
        <f aca="false">L426+L440</f>
        <v>0</v>
      </c>
      <c r="M441" s="32" t="n">
        <f aca="false">M426+M440</f>
        <v>-29757.5797945206</v>
      </c>
      <c r="N441" s="32" t="n">
        <f aca="false">N426+N440</f>
        <v>-31358</v>
      </c>
      <c r="O441" s="32" t="n">
        <f aca="false">O426+O440</f>
        <v>-13109.228216</v>
      </c>
      <c r="P441" s="32" t="n">
        <f aca="false">P426+P440</f>
        <v>10208.31854868</v>
      </c>
      <c r="Q441" s="32" t="n">
        <f aca="false">Q426+Q440</f>
        <v>12735.2081014703</v>
      </c>
      <c r="R441" s="32" t="n">
        <f aca="false">R426+R440</f>
        <v>10272.2251699632</v>
      </c>
      <c r="S441" s="32" t="n">
        <f aca="false">S426+S440</f>
        <v>10302.900354447</v>
      </c>
      <c r="T441" s="32" t="n">
        <f aca="false">T426+T440</f>
        <v>10332.6812323462</v>
      </c>
      <c r="U441" s="32" t="n">
        <f aca="false">U426+U440</f>
        <v>10361.5350771773</v>
      </c>
      <c r="V441" s="32" t="n">
        <f aca="false">V426+V440</f>
        <v>10389.4282893215</v>
      </c>
      <c r="W441" s="32" t="n">
        <f aca="false">W426+W440</f>
        <v>10416.3263742212</v>
      </c>
      <c r="X441" s="32" t="n">
        <f aca="false">X426+X440</f>
        <v>10442.1939200382</v>
      </c>
      <c r="Y441" s="32" t="n">
        <f aca="false">Y426+Y440</f>
        <v>10466.9945747646</v>
      </c>
      <c r="Z441" s="32" t="n">
        <f aca="false">Z426+Z440</f>
        <v>10490.6910227696</v>
      </c>
      <c r="AA441" s="32" t="n">
        <f aca="false">AA426+AA440</f>
        <v>10513.2449607703</v>
      </c>
      <c r="AB441" s="32" t="n">
        <f aca="false">AB426+AB440</f>
        <v>10534.6170732123</v>
      </c>
      <c r="AC441" s="32" t="n">
        <f aca="false">AC426+AC440</f>
        <v>10554.7670070439</v>
      </c>
      <c r="AD441" s="32" t="n">
        <f aca="false">AD426+AD440</f>
        <v>10573.6533458719</v>
      </c>
      <c r="AE441" s="32" t="n">
        <f aca="false">AE426+AE440</f>
        <v>10591.2335834807</v>
      </c>
      <c r="AF441" s="32" t="n">
        <f aca="false">AF426+AF440</f>
        <v>10607.4640967019</v>
      </c>
      <c r="AG441" s="32" t="n">
        <f aca="false">AG426+AG440</f>
        <v>10622.3001176161</v>
      </c>
      <c r="AH441" s="32" t="n">
        <f aca="false">AH426+AH440</f>
        <v>10635.6957050725</v>
      </c>
      <c r="AI441" s="32" t="n">
        <f aca="false">AI426+AI440</f>
        <v>10647.6037155082</v>
      </c>
      <c r="AJ441" s="32" t="n">
        <f aca="false">AJ426+AJ440</f>
        <v>10657.9757730504</v>
      </c>
      <c r="AK441" s="32" t="n">
        <f aca="false">AK426+AK440</f>
        <v>10666.7622388844</v>
      </c>
      <c r="AL441" s="32" t="n">
        <f aca="false">AL426+AL440</f>
        <v>10673.9121798686</v>
      </c>
      <c r="AM441" s="32" t="n">
        <f aca="false">AM426+AM440</f>
        <v>10679.3733363789</v>
      </c>
      <c r="AN441" s="32" t="n">
        <f aca="false">AN426+AN440</f>
        <v>10683.0920893626</v>
      </c>
      <c r="AO441" s="32" t="n">
        <f aca="false">AO426+AO440</f>
        <v>10685.0134265835</v>
      </c>
      <c r="AP441" s="32" t="n">
        <f aca="false">AP426+AP440</f>
        <v>10685.0809080371</v>
      </c>
      <c r="AQ441" s="32" t="n">
        <f aca="false">AQ426+AQ440</f>
        <v>10683.2366305169</v>
      </c>
      <c r="AR441" s="32" t="n">
        <f aca="false">AR426+AR440</f>
        <v>10679.4211913102</v>
      </c>
      <c r="AS441" s="32" t="n">
        <f aca="false">AS426+AS440</f>
        <v>5336.78682550075</v>
      </c>
    </row>
    <row r="442" customFormat="false" ht="14.25" hidden="false" customHeight="false" outlineLevel="0" collapsed="false">
      <c r="C442" s="6" t="s">
        <v>317</v>
      </c>
      <c r="D442" s="2" t="s">
        <v>85</v>
      </c>
      <c r="H442" s="8" t="n">
        <f aca="false">SUM(J442:AS442)</f>
        <v>-76800.0592465753</v>
      </c>
      <c r="J442" s="8" t="n">
        <f aca="false">-$F$99/Tax_Dep_Life*(J416&gt;=0)*(J416&lt;Tax_Dep_Life)</f>
        <v>-0</v>
      </c>
      <c r="K442" s="8" t="n">
        <f aca="false">-$F$99/Tax_Dep_Life*(K416&gt;=0)*(K416&lt;Tax_Dep_Life)</f>
        <v>-0</v>
      </c>
      <c r="L442" s="8" t="n">
        <f aca="false">-$F$99/Tax_Dep_Life*(L416&gt;=0)*(L416&lt;Tax_Dep_Life)</f>
        <v>-0</v>
      </c>
      <c r="M442" s="8" t="n">
        <f aca="false">-$F$99/Tax_Dep_Life*(M416&gt;=0)*(M416&lt;Tax_Dep_Life)</f>
        <v>-0</v>
      </c>
      <c r="N442" s="8" t="n">
        <f aca="false">-$F$99/Tax_Dep_Life*(N416&gt;=0)*(N416&lt;Tax_Dep_Life)</f>
        <v>-0</v>
      </c>
      <c r="O442" s="8" t="n">
        <f aca="false">-$F$99/Tax_Dep_Life*(O416&gt;=0)*(O416&lt;Tax_Dep_Life)</f>
        <v>-3840.00296232877</v>
      </c>
      <c r="P442" s="8" t="n">
        <f aca="false">-$F$99/Tax_Dep_Life*(P416&gt;=0)*(P416&lt;Tax_Dep_Life)</f>
        <v>-3840.00296232877</v>
      </c>
      <c r="Q442" s="8" t="n">
        <f aca="false">-$F$99/Tax_Dep_Life*(Q416&gt;=0)*(Q416&lt;Tax_Dep_Life)</f>
        <v>-3840.00296232877</v>
      </c>
      <c r="R442" s="8" t="n">
        <f aca="false">-$F$99/Tax_Dep_Life*(R416&gt;=0)*(R416&lt;Tax_Dep_Life)</f>
        <v>-3840.00296232877</v>
      </c>
      <c r="S442" s="8" t="n">
        <f aca="false">-$F$99/Tax_Dep_Life*(S416&gt;=0)*(S416&lt;Tax_Dep_Life)</f>
        <v>-3840.00296232877</v>
      </c>
      <c r="T442" s="8" t="n">
        <f aca="false">-$F$99/Tax_Dep_Life*(T416&gt;=0)*(T416&lt;Tax_Dep_Life)</f>
        <v>-3840.00296232877</v>
      </c>
      <c r="U442" s="8" t="n">
        <f aca="false">-$F$99/Tax_Dep_Life*(U416&gt;=0)*(U416&lt;Tax_Dep_Life)</f>
        <v>-3840.00296232877</v>
      </c>
      <c r="V442" s="8" t="n">
        <f aca="false">-$F$99/Tax_Dep_Life*(V416&gt;=0)*(V416&lt;Tax_Dep_Life)</f>
        <v>-3840.00296232877</v>
      </c>
      <c r="W442" s="8" t="n">
        <f aca="false">-$F$99/Tax_Dep_Life*(W416&gt;=0)*(W416&lt;Tax_Dep_Life)</f>
        <v>-3840.00296232877</v>
      </c>
      <c r="X442" s="8" t="n">
        <f aca="false">-$F$99/Tax_Dep_Life*(X416&gt;=0)*(X416&lt;Tax_Dep_Life)</f>
        <v>-3840.00296232877</v>
      </c>
      <c r="Y442" s="8" t="n">
        <f aca="false">-$F$99/Tax_Dep_Life*(Y416&gt;=0)*(Y416&lt;Tax_Dep_Life)</f>
        <v>-3840.00296232877</v>
      </c>
      <c r="Z442" s="8" t="n">
        <f aca="false">-$F$99/Tax_Dep_Life*(Z416&gt;=0)*(Z416&lt;Tax_Dep_Life)</f>
        <v>-3840.00296232877</v>
      </c>
      <c r="AA442" s="8" t="n">
        <f aca="false">-$F$99/Tax_Dep_Life*(AA416&gt;=0)*(AA416&lt;Tax_Dep_Life)</f>
        <v>-3840.00296232877</v>
      </c>
      <c r="AB442" s="8" t="n">
        <f aca="false">-$F$99/Tax_Dep_Life*(AB416&gt;=0)*(AB416&lt;Tax_Dep_Life)</f>
        <v>-3840.00296232877</v>
      </c>
      <c r="AC442" s="8" t="n">
        <f aca="false">-$F$99/Tax_Dep_Life*(AC416&gt;=0)*(AC416&lt;Tax_Dep_Life)</f>
        <v>-3840.00296232877</v>
      </c>
      <c r="AD442" s="8" t="n">
        <f aca="false">-$F$99/Tax_Dep_Life*(AD416&gt;=0)*(AD416&lt;Tax_Dep_Life)</f>
        <v>-3840.00296232877</v>
      </c>
      <c r="AE442" s="8" t="n">
        <f aca="false">-$F$99/Tax_Dep_Life*(AE416&gt;=0)*(AE416&lt;Tax_Dep_Life)</f>
        <v>-3840.00296232877</v>
      </c>
      <c r="AF442" s="8" t="n">
        <f aca="false">-$F$99/Tax_Dep_Life*(AF416&gt;=0)*(AF416&lt;Tax_Dep_Life)</f>
        <v>-3840.00296232877</v>
      </c>
      <c r="AG442" s="8" t="n">
        <f aca="false">-$F$99/Tax_Dep_Life*(AG416&gt;=0)*(AG416&lt;Tax_Dep_Life)</f>
        <v>-3840.00296232877</v>
      </c>
      <c r="AH442" s="8" t="n">
        <f aca="false">-$F$99/Tax_Dep_Life*(AH416&gt;=0)*(AH416&lt;Tax_Dep_Life)</f>
        <v>-3840.00296232877</v>
      </c>
      <c r="AI442" s="8" t="n">
        <f aca="false">-$F$99/Tax_Dep_Life*(AI416&gt;=0)*(AI416&lt;Tax_Dep_Life)</f>
        <v>-0</v>
      </c>
      <c r="AJ442" s="8" t="n">
        <f aca="false">-$F$99/Tax_Dep_Life*(AJ416&gt;=0)*(AJ416&lt;Tax_Dep_Life)</f>
        <v>-0</v>
      </c>
      <c r="AK442" s="8" t="n">
        <f aca="false">-$F$99/Tax_Dep_Life*(AK416&gt;=0)*(AK416&lt;Tax_Dep_Life)</f>
        <v>-0</v>
      </c>
      <c r="AL442" s="8" t="n">
        <f aca="false">-$F$99/Tax_Dep_Life*(AL416&gt;=0)*(AL416&lt;Tax_Dep_Life)</f>
        <v>-0</v>
      </c>
      <c r="AM442" s="8" t="n">
        <f aca="false">-$F$99/Tax_Dep_Life*(AM416&gt;=0)*(AM416&lt;Tax_Dep_Life)</f>
        <v>-0</v>
      </c>
      <c r="AN442" s="8" t="n">
        <f aca="false">-$F$99/Tax_Dep_Life*(AN416&gt;=0)*(AN416&lt;Tax_Dep_Life)</f>
        <v>-0</v>
      </c>
      <c r="AO442" s="8" t="n">
        <f aca="false">-$F$99/Tax_Dep_Life*(AO416&gt;=0)*(AO416&lt;Tax_Dep_Life)</f>
        <v>-0</v>
      </c>
      <c r="AP442" s="8" t="n">
        <f aca="false">-$F$99/Tax_Dep_Life*(AP416&gt;=0)*(AP416&lt;Tax_Dep_Life)</f>
        <v>-0</v>
      </c>
      <c r="AQ442" s="8" t="n">
        <f aca="false">-$F$99/Tax_Dep_Life*(AQ416&gt;=0)*(AQ416&lt;Tax_Dep_Life)</f>
        <v>-0</v>
      </c>
      <c r="AR442" s="8" t="n">
        <f aca="false">-$F$99/Tax_Dep_Life*(AR416&gt;=0)*(AR416&lt;Tax_Dep_Life)</f>
        <v>-0</v>
      </c>
      <c r="AS442" s="8" t="n">
        <f aca="false">-$F$99/Tax_Dep_Life*(AS416&gt;=0)*(AS416&lt;Tax_Dep_Life)</f>
        <v>-0</v>
      </c>
    </row>
    <row r="443" customFormat="false" ht="14.25" hidden="false" customHeight="false" outlineLevel="0" collapsed="false">
      <c r="C443" s="6" t="s">
        <v>318</v>
      </c>
      <c r="D443" s="2" t="s">
        <v>85</v>
      </c>
      <c r="H443" s="8" t="n">
        <f aca="false">SUM(J443:AS443)</f>
        <v>-35835.7393289174</v>
      </c>
      <c r="J443" s="8" t="n">
        <f aca="false">-MAX(0,J440+J442)*CIT_Rate*(J420&gt;0)</f>
        <v>-0</v>
      </c>
      <c r="K443" s="8" t="n">
        <f aca="false">-MAX(0,K440+K442)*CIT_Rate*(K420&gt;0)</f>
        <v>-0</v>
      </c>
      <c r="L443" s="8" t="n">
        <f aca="false">-MAX(0,L440+L442)*CIT_Rate*(L420&gt;0)</f>
        <v>-0</v>
      </c>
      <c r="M443" s="8" t="n">
        <f aca="false">-MAX(0,M440+M442)*CIT_Rate*(M420&gt;0)</f>
        <v>-0</v>
      </c>
      <c r="N443" s="8" t="n">
        <f aca="false">-MAX(0,N440+N442)*CIT_Rate*(N420&gt;0)</f>
        <v>-0</v>
      </c>
      <c r="O443" s="8" t="n">
        <f aca="false">-MAX(0,O440+O442)*CIT_Rate*(O420&gt;0)</f>
        <v>-184.465323250685</v>
      </c>
      <c r="P443" s="8" t="n">
        <f aca="false">-MAX(0,P440+P442)*CIT_Rate*(P420&gt;0)</f>
        <v>-955.247337952685</v>
      </c>
      <c r="Q443" s="8" t="n">
        <f aca="false">-MAX(0,Q440+Q442)*CIT_Rate*(Q420&gt;0)</f>
        <v>-960.102688679442</v>
      </c>
      <c r="R443" s="8" t="n">
        <f aca="false">-MAX(0,R440+R442)*CIT_Rate*(R420&gt;0)</f>
        <v>-964.833331145159</v>
      </c>
      <c r="S443" s="8" t="n">
        <f aca="false">-MAX(0,S440+S442)*CIT_Rate*(S420&gt;0)</f>
        <v>-969.434608817731</v>
      </c>
      <c r="T443" s="8" t="n">
        <f aca="false">-MAX(0,T440+T442)*CIT_Rate*(T420&gt;0)</f>
        <v>-973.901740502622</v>
      </c>
      <c r="U443" s="8" t="n">
        <f aca="false">-MAX(0,U440+U442)*CIT_Rate*(U420&gt;0)</f>
        <v>-978.229817227275</v>
      </c>
      <c r="V443" s="8" t="n">
        <f aca="false">-MAX(0,V440+V442)*CIT_Rate*(V420&gt;0)</f>
        <v>-982.413799048915</v>
      </c>
      <c r="W443" s="8" t="n">
        <f aca="false">-MAX(0,W440+W442)*CIT_Rate*(W420&gt;0)</f>
        <v>-986.448511783862</v>
      </c>
      <c r="X443" s="8" t="n">
        <f aca="false">-MAX(0,X440+X442)*CIT_Rate*(X420&gt;0)</f>
        <v>-990.328643656417</v>
      </c>
      <c r="Y443" s="8" t="n">
        <f aca="false">-MAX(0,Y440+Y442)*CIT_Rate*(Y420&gt;0)</f>
        <v>-994.048741865376</v>
      </c>
      <c r="Z443" s="8" t="n">
        <f aca="false">-MAX(0,Z440+Z442)*CIT_Rate*(Z420&gt;0)</f>
        <v>-997.60320906612</v>
      </c>
      <c r="AA443" s="8" t="n">
        <f aca="false">-MAX(0,AA440+AA442)*CIT_Rate*(AA420&gt;0)</f>
        <v>-1000.98629976623</v>
      </c>
      <c r="AB443" s="8" t="n">
        <f aca="false">-MAX(0,AB440+AB442)*CIT_Rate*(AB420&gt;0)</f>
        <v>-1004.19211663253</v>
      </c>
      <c r="AC443" s="8" t="n">
        <f aca="false">-MAX(0,AC440+AC442)*CIT_Rate*(AC420&gt;0)</f>
        <v>-1007.21460670727</v>
      </c>
      <c r="AD443" s="8" t="n">
        <f aca="false">-MAX(0,AD440+AD442)*CIT_Rate*(AD420&gt;0)</f>
        <v>-1010.04755753146</v>
      </c>
      <c r="AE443" s="8" t="n">
        <f aca="false">-MAX(0,AE440+AE442)*CIT_Rate*(AE420&gt;0)</f>
        <v>-1012.68459317279</v>
      </c>
      <c r="AF443" s="8" t="n">
        <f aca="false">-MAX(0,AF440+AF442)*CIT_Rate*(AF420&gt;0)</f>
        <v>-1015.11917015596</v>
      </c>
      <c r="AG443" s="8" t="n">
        <f aca="false">-MAX(0,AG440+AG442)*CIT_Rate*(AG420&gt;0)</f>
        <v>-1017.3445732931</v>
      </c>
      <c r="AH443" s="8" t="n">
        <f aca="false">-MAX(0,AH440+AH442)*CIT_Rate*(AH420&gt;0)</f>
        <v>-1019.35391141156</v>
      </c>
      <c r="AI443" s="8" t="n">
        <f aca="false">-MAX(0,AI440+AI442)*CIT_Rate*(AI420&gt;0)</f>
        <v>-1597.14055732624</v>
      </c>
      <c r="AJ443" s="8" t="n">
        <f aca="false">-MAX(0,AJ440+AJ442)*CIT_Rate*(AJ420&gt;0)</f>
        <v>-1598.69636595756</v>
      </c>
      <c r="AK443" s="8" t="n">
        <f aca="false">-MAX(0,AK440+AK442)*CIT_Rate*(AK420&gt;0)</f>
        <v>-1600.01433583266</v>
      </c>
      <c r="AL443" s="8" t="n">
        <f aca="false">-MAX(0,AL440+AL442)*CIT_Rate*(AL420&gt;0)</f>
        <v>-1601.08682698029</v>
      </c>
      <c r="AM443" s="8" t="n">
        <f aca="false">-MAX(0,AM440+AM442)*CIT_Rate*(AM420&gt;0)</f>
        <v>-1601.90600045683</v>
      </c>
      <c r="AN443" s="8" t="n">
        <f aca="false">-MAX(0,AN440+AN442)*CIT_Rate*(AN420&gt;0)</f>
        <v>-1602.4638134044</v>
      </c>
      <c r="AO443" s="8" t="n">
        <f aca="false">-MAX(0,AO440+AO442)*CIT_Rate*(AO420&gt;0)</f>
        <v>-1602.75201398753</v>
      </c>
      <c r="AP443" s="8" t="n">
        <f aca="false">-MAX(0,AP440+AP442)*CIT_Rate*(AP420&gt;0)</f>
        <v>-1602.76213620557</v>
      </c>
      <c r="AQ443" s="8" t="n">
        <f aca="false">-MAX(0,AQ440+AQ442)*CIT_Rate*(AQ420&gt;0)</f>
        <v>-1602.48549457754</v>
      </c>
      <c r="AR443" s="8" t="n">
        <f aca="false">-MAX(0,AR440+AR442)*CIT_Rate*(AR420&gt;0)</f>
        <v>-1601.91317869653</v>
      </c>
      <c r="AS443" s="8" t="n">
        <f aca="false">-MAX(0,AS440+AS442)*CIT_Rate*(AS420&gt;0)</f>
        <v>-800.518023825112</v>
      </c>
    </row>
    <row r="444" customFormat="false" ht="14.25" hidden="false" customHeight="false" outlineLevel="0" collapsed="false">
      <c r="C444" s="1" t="s">
        <v>319</v>
      </c>
      <c r="D444" s="2" t="s">
        <v>85</v>
      </c>
      <c r="H444" s="32" t="n">
        <f aca="false">SUM(J444:AS444)</f>
        <v>203069.189530532</v>
      </c>
      <c r="J444" s="32" t="n">
        <f aca="false">J441+J443</f>
        <v>0</v>
      </c>
      <c r="K444" s="32" t="n">
        <f aca="false">K441+K443</f>
        <v>0</v>
      </c>
      <c r="L444" s="32" t="n">
        <f aca="false">L441+L443</f>
        <v>0</v>
      </c>
      <c r="M444" s="32" t="n">
        <f aca="false">M441+M443</f>
        <v>-29757.5797945206</v>
      </c>
      <c r="N444" s="32" t="n">
        <f aca="false">N441+N443</f>
        <v>-31358</v>
      </c>
      <c r="O444" s="32" t="n">
        <f aca="false">O441+O443</f>
        <v>-13293.6935392507</v>
      </c>
      <c r="P444" s="32" t="n">
        <f aca="false">P441+P443</f>
        <v>9253.07121072731</v>
      </c>
      <c r="Q444" s="32" t="n">
        <f aca="false">Q441+Q443</f>
        <v>11775.1054127908</v>
      </c>
      <c r="R444" s="32" t="n">
        <f aca="false">R441+R443</f>
        <v>9307.391838818</v>
      </c>
      <c r="S444" s="32" t="n">
        <f aca="false">S441+S443</f>
        <v>9333.46574562924</v>
      </c>
      <c r="T444" s="32" t="n">
        <f aca="false">T441+T443</f>
        <v>9358.77949184362</v>
      </c>
      <c r="U444" s="32" t="n">
        <f aca="false">U441+U443</f>
        <v>9383.30525994999</v>
      </c>
      <c r="V444" s="32" t="n">
        <f aca="false">V441+V443</f>
        <v>9407.01449027262</v>
      </c>
      <c r="W444" s="32" t="n">
        <f aca="false">W441+W443</f>
        <v>9429.87786243732</v>
      </c>
      <c r="X444" s="32" t="n">
        <f aca="false">X441+X443</f>
        <v>9451.8652763818</v>
      </c>
      <c r="Y444" s="32" t="n">
        <f aca="false">Y441+Y443</f>
        <v>9472.94583289924</v>
      </c>
      <c r="Z444" s="32" t="n">
        <f aca="false">Z441+Z443</f>
        <v>9493.08781370345</v>
      </c>
      <c r="AA444" s="32" t="n">
        <f aca="false">AA441+AA443</f>
        <v>9512.25866100409</v>
      </c>
      <c r="AB444" s="32" t="n">
        <f aca="false">AB441+AB443</f>
        <v>9530.42495657974</v>
      </c>
      <c r="AC444" s="32" t="n">
        <f aca="false">AC441+AC443</f>
        <v>9547.55240033664</v>
      </c>
      <c r="AD444" s="32" t="n">
        <f aca="false">AD441+AD443</f>
        <v>9563.6057883404</v>
      </c>
      <c r="AE444" s="32" t="n">
        <f aca="false">AE441+AE443</f>
        <v>9578.5489903079</v>
      </c>
      <c r="AF444" s="32" t="n">
        <f aca="false">AF441+AF443</f>
        <v>9592.34492654589</v>
      </c>
      <c r="AG444" s="32" t="n">
        <f aca="false">AG441+AG443</f>
        <v>9604.95554432298</v>
      </c>
      <c r="AH444" s="32" t="n">
        <f aca="false">AH441+AH443</f>
        <v>9616.34179366096</v>
      </c>
      <c r="AI444" s="32" t="n">
        <f aca="false">AI441+AI443</f>
        <v>9050.463158182</v>
      </c>
      <c r="AJ444" s="32" t="n">
        <f aca="false">AJ441+AJ443</f>
        <v>9059.27940709287</v>
      </c>
      <c r="AK444" s="32" t="n">
        <f aca="false">AK441+AK443</f>
        <v>9066.74790305173</v>
      </c>
      <c r="AL444" s="32" t="n">
        <f aca="false">AL441+AL443</f>
        <v>9072.8253528883</v>
      </c>
      <c r="AM444" s="32" t="n">
        <f aca="false">AM441+AM443</f>
        <v>9077.46733592206</v>
      </c>
      <c r="AN444" s="32" t="n">
        <f aca="false">AN441+AN443</f>
        <v>9080.62827595824</v>
      </c>
      <c r="AO444" s="32" t="n">
        <f aca="false">AO441+AO443</f>
        <v>9082.26141259599</v>
      </c>
      <c r="AP444" s="32" t="n">
        <f aca="false">AP441+AP443</f>
        <v>9082.31877183154</v>
      </c>
      <c r="AQ444" s="32" t="n">
        <f aca="false">AQ441+AQ443</f>
        <v>9080.75113593939</v>
      </c>
      <c r="AR444" s="32" t="n">
        <f aca="false">AR441+AR443</f>
        <v>9077.50801261365</v>
      </c>
      <c r="AS444" s="32" t="n">
        <f aca="false">AS441+AS443</f>
        <v>4536.26880167564</v>
      </c>
    </row>
    <row r="445" customFormat="false" ht="14.25" hidden="false" customHeight="false" outlineLevel="0" collapsed="false">
      <c r="C445" s="6" t="s">
        <v>320</v>
      </c>
      <c r="D445" s="2" t="s">
        <v>85</v>
      </c>
      <c r="H445" s="8" t="n">
        <f aca="false">SUM(J445:AS445)</f>
        <v>46080.0355479452</v>
      </c>
      <c r="J445" s="8" t="n">
        <f aca="false">$F$99*Gearing*J421</f>
        <v>0</v>
      </c>
      <c r="K445" s="8" t="n">
        <f aca="false">$F$99*Gearing*K421</f>
        <v>0</v>
      </c>
      <c r="L445" s="8" t="n">
        <f aca="false">$F$99*Gearing*L421</f>
        <v>0</v>
      </c>
      <c r="M445" s="8" t="n">
        <f aca="false">$F$99*Gearing*M421</f>
        <v>0</v>
      </c>
      <c r="N445" s="8" t="n">
        <f aca="false">$F$99*Gearing*N421</f>
        <v>0</v>
      </c>
      <c r="O445" s="8" t="n">
        <f aca="false">$F$99*Gearing*O421</f>
        <v>46080.0355479452</v>
      </c>
      <c r="P445" s="8" t="n">
        <f aca="false">$F$99*Gearing*P421</f>
        <v>0</v>
      </c>
      <c r="Q445" s="8" t="n">
        <f aca="false">$F$99*Gearing*Q421</f>
        <v>0</v>
      </c>
      <c r="R445" s="8" t="n">
        <f aca="false">$F$99*Gearing*R421</f>
        <v>0</v>
      </c>
      <c r="S445" s="8" t="n">
        <f aca="false">$F$99*Gearing*S421</f>
        <v>0</v>
      </c>
      <c r="T445" s="8" t="n">
        <f aca="false">$F$99*Gearing*T421</f>
        <v>0</v>
      </c>
      <c r="U445" s="8" t="n">
        <f aca="false">$F$99*Gearing*U421</f>
        <v>0</v>
      </c>
      <c r="V445" s="8" t="n">
        <f aca="false">$F$99*Gearing*V421</f>
        <v>0</v>
      </c>
      <c r="W445" s="8" t="n">
        <f aca="false">$F$99*Gearing*W421</f>
        <v>0</v>
      </c>
      <c r="X445" s="8" t="n">
        <f aca="false">$F$99*Gearing*X421</f>
        <v>0</v>
      </c>
      <c r="Y445" s="8" t="n">
        <f aca="false">$F$99*Gearing*Y421</f>
        <v>0</v>
      </c>
      <c r="Z445" s="8" t="n">
        <f aca="false">$F$99*Gearing*Z421</f>
        <v>0</v>
      </c>
      <c r="AA445" s="8" t="n">
        <f aca="false">$F$99*Gearing*AA421</f>
        <v>0</v>
      </c>
      <c r="AB445" s="8" t="n">
        <f aca="false">$F$99*Gearing*AB421</f>
        <v>0</v>
      </c>
      <c r="AC445" s="8" t="n">
        <f aca="false">$F$99*Gearing*AC421</f>
        <v>0</v>
      </c>
      <c r="AD445" s="8" t="n">
        <f aca="false">$F$99*Gearing*AD421</f>
        <v>0</v>
      </c>
      <c r="AE445" s="8" t="n">
        <f aca="false">$F$99*Gearing*AE421</f>
        <v>0</v>
      </c>
      <c r="AF445" s="8" t="n">
        <f aca="false">$F$99*Gearing*AF421</f>
        <v>0</v>
      </c>
      <c r="AG445" s="8" t="n">
        <f aca="false">$F$99*Gearing*AG421</f>
        <v>0</v>
      </c>
      <c r="AH445" s="8" t="n">
        <f aca="false">$F$99*Gearing*AH421</f>
        <v>0</v>
      </c>
      <c r="AI445" s="8" t="n">
        <f aca="false">$F$99*Gearing*AI421</f>
        <v>0</v>
      </c>
      <c r="AJ445" s="8" t="n">
        <f aca="false">$F$99*Gearing*AJ421</f>
        <v>0</v>
      </c>
      <c r="AK445" s="8" t="n">
        <f aca="false">$F$99*Gearing*AK421</f>
        <v>0</v>
      </c>
      <c r="AL445" s="8" t="n">
        <f aca="false">$F$99*Gearing*AL421</f>
        <v>0</v>
      </c>
      <c r="AM445" s="8" t="n">
        <f aca="false">$F$99*Gearing*AM421</f>
        <v>0</v>
      </c>
      <c r="AN445" s="8" t="n">
        <f aca="false">$F$99*Gearing*AN421</f>
        <v>0</v>
      </c>
      <c r="AO445" s="8" t="n">
        <f aca="false">$F$99*Gearing*AO421</f>
        <v>0</v>
      </c>
      <c r="AP445" s="8" t="n">
        <f aca="false">$F$99*Gearing*AP421</f>
        <v>0</v>
      </c>
      <c r="AQ445" s="8" t="n">
        <f aca="false">$F$99*Gearing*AQ421</f>
        <v>0</v>
      </c>
      <c r="AR445" s="8" t="n">
        <f aca="false">$F$99*Gearing*AR421</f>
        <v>0</v>
      </c>
      <c r="AS445" s="8" t="n">
        <f aca="false">$F$99*Gearing*AS421</f>
        <v>0</v>
      </c>
    </row>
    <row r="446" customFormat="false" ht="14.25" hidden="false" customHeight="false" outlineLevel="0" collapsed="false">
      <c r="C446" s="6" t="s">
        <v>321</v>
      </c>
      <c r="D446" s="2" t="s">
        <v>85</v>
      </c>
      <c r="H446" s="8" t="n">
        <f aca="false">SUM(J446:AS446)</f>
        <v>-66591.8405670651</v>
      </c>
      <c r="J446" s="8" t="n">
        <f aca="false">PMT(Debt_Rate,Debt_Tenor,$F$99*Gearing)*(J416&gt;=1)*(J416&lt;=Debt_Tenor)</f>
        <v>-0</v>
      </c>
      <c r="K446" s="8" t="n">
        <f aca="false">PMT(Debt_Rate,Debt_Tenor,$F$99*Gearing)*(K416&gt;=1)*(K416&lt;=Debt_Tenor)</f>
        <v>-0</v>
      </c>
      <c r="L446" s="8" t="n">
        <f aca="false">PMT(Debt_Rate,Debt_Tenor,$F$99*Gearing)*(L416&gt;=1)*(L416&lt;=Debt_Tenor)</f>
        <v>-0</v>
      </c>
      <c r="M446" s="8" t="n">
        <f aca="false">PMT(Debt_Rate,Debt_Tenor,$F$99*Gearing)*(M416&gt;=1)*(M416&lt;=Debt_Tenor)</f>
        <v>-0</v>
      </c>
      <c r="N446" s="8" t="n">
        <f aca="false">PMT(Debt_Rate,Debt_Tenor,$F$99*Gearing)*(N416&gt;=1)*(N416&lt;=Debt_Tenor)</f>
        <v>-0</v>
      </c>
      <c r="O446" s="8" t="n">
        <f aca="false">PMT(Debt_Rate,Debt_Tenor,$F$99*Gearing)*(O416&gt;=1)*(O416&lt;=Debt_Tenor)</f>
        <v>-0</v>
      </c>
      <c r="P446" s="8" t="n">
        <f aca="false">PMT(Debt_Rate,Debt_Tenor,$F$99*Gearing)*(P416&gt;=1)*(P416&lt;=Debt_Tenor)</f>
        <v>-4439.45603780434</v>
      </c>
      <c r="Q446" s="8" t="n">
        <f aca="false">PMT(Debt_Rate,Debt_Tenor,$F$99*Gearing)*(Q416&gt;=1)*(Q416&lt;=Debt_Tenor)</f>
        <v>-4439.45603780434</v>
      </c>
      <c r="R446" s="8" t="n">
        <f aca="false">PMT(Debt_Rate,Debt_Tenor,$F$99*Gearing)*(R416&gt;=1)*(R416&lt;=Debt_Tenor)</f>
        <v>-4439.45603780434</v>
      </c>
      <c r="S446" s="8" t="n">
        <f aca="false">PMT(Debt_Rate,Debt_Tenor,$F$99*Gearing)*(S416&gt;=1)*(S416&lt;=Debt_Tenor)</f>
        <v>-4439.45603780434</v>
      </c>
      <c r="T446" s="8" t="n">
        <f aca="false">PMT(Debt_Rate,Debt_Tenor,$F$99*Gearing)*(T416&gt;=1)*(T416&lt;=Debt_Tenor)</f>
        <v>-4439.45603780434</v>
      </c>
      <c r="U446" s="8" t="n">
        <f aca="false">PMT(Debt_Rate,Debt_Tenor,$F$99*Gearing)*(U416&gt;=1)*(U416&lt;=Debt_Tenor)</f>
        <v>-4439.45603780434</v>
      </c>
      <c r="V446" s="8" t="n">
        <f aca="false">PMT(Debt_Rate,Debt_Tenor,$F$99*Gearing)*(V416&gt;=1)*(V416&lt;=Debt_Tenor)</f>
        <v>-4439.45603780434</v>
      </c>
      <c r="W446" s="8" t="n">
        <f aca="false">PMT(Debt_Rate,Debt_Tenor,$F$99*Gearing)*(W416&gt;=1)*(W416&lt;=Debt_Tenor)</f>
        <v>-4439.45603780434</v>
      </c>
      <c r="X446" s="8" t="n">
        <f aca="false">PMT(Debt_Rate,Debt_Tenor,$F$99*Gearing)*(X416&gt;=1)*(X416&lt;=Debt_Tenor)</f>
        <v>-4439.45603780434</v>
      </c>
      <c r="Y446" s="8" t="n">
        <f aca="false">PMT(Debt_Rate,Debt_Tenor,$F$99*Gearing)*(Y416&gt;=1)*(Y416&lt;=Debt_Tenor)</f>
        <v>-4439.45603780434</v>
      </c>
      <c r="Z446" s="8" t="n">
        <f aca="false">PMT(Debt_Rate,Debt_Tenor,$F$99*Gearing)*(Z416&gt;=1)*(Z416&lt;=Debt_Tenor)</f>
        <v>-4439.45603780434</v>
      </c>
      <c r="AA446" s="8" t="n">
        <f aca="false">PMT(Debt_Rate,Debt_Tenor,$F$99*Gearing)*(AA416&gt;=1)*(AA416&lt;=Debt_Tenor)</f>
        <v>-4439.45603780434</v>
      </c>
      <c r="AB446" s="8" t="n">
        <f aca="false">PMT(Debt_Rate,Debt_Tenor,$F$99*Gearing)*(AB416&gt;=1)*(AB416&lt;=Debt_Tenor)</f>
        <v>-4439.45603780434</v>
      </c>
      <c r="AC446" s="8" t="n">
        <f aca="false">PMT(Debt_Rate,Debt_Tenor,$F$99*Gearing)*(AC416&gt;=1)*(AC416&lt;=Debt_Tenor)</f>
        <v>-4439.45603780434</v>
      </c>
      <c r="AD446" s="8" t="n">
        <f aca="false">PMT(Debt_Rate,Debt_Tenor,$F$99*Gearing)*(AD416&gt;=1)*(AD416&lt;=Debt_Tenor)</f>
        <v>-4439.45603780434</v>
      </c>
      <c r="AE446" s="8" t="n">
        <f aca="false">PMT(Debt_Rate,Debt_Tenor,$F$99*Gearing)*(AE416&gt;=1)*(AE416&lt;=Debt_Tenor)</f>
        <v>-0</v>
      </c>
      <c r="AF446" s="8" t="n">
        <f aca="false">PMT(Debt_Rate,Debt_Tenor,$F$99*Gearing)*(AF416&gt;=1)*(AF416&lt;=Debt_Tenor)</f>
        <v>-0</v>
      </c>
      <c r="AG446" s="8" t="n">
        <f aca="false">PMT(Debt_Rate,Debt_Tenor,$F$99*Gearing)*(AG416&gt;=1)*(AG416&lt;=Debt_Tenor)</f>
        <v>-0</v>
      </c>
      <c r="AH446" s="8" t="n">
        <f aca="false">PMT(Debt_Rate,Debt_Tenor,$F$99*Gearing)*(AH416&gt;=1)*(AH416&lt;=Debt_Tenor)</f>
        <v>-0</v>
      </c>
      <c r="AI446" s="8" t="n">
        <f aca="false">PMT(Debt_Rate,Debt_Tenor,$F$99*Gearing)*(AI416&gt;=1)*(AI416&lt;=Debt_Tenor)</f>
        <v>-0</v>
      </c>
      <c r="AJ446" s="8" t="n">
        <f aca="false">PMT(Debt_Rate,Debt_Tenor,$F$99*Gearing)*(AJ416&gt;=1)*(AJ416&lt;=Debt_Tenor)</f>
        <v>-0</v>
      </c>
      <c r="AK446" s="8" t="n">
        <f aca="false">PMT(Debt_Rate,Debt_Tenor,$F$99*Gearing)*(AK416&gt;=1)*(AK416&lt;=Debt_Tenor)</f>
        <v>-0</v>
      </c>
      <c r="AL446" s="8" t="n">
        <f aca="false">PMT(Debt_Rate,Debt_Tenor,$F$99*Gearing)*(AL416&gt;=1)*(AL416&lt;=Debt_Tenor)</f>
        <v>-0</v>
      </c>
      <c r="AM446" s="8" t="n">
        <f aca="false">PMT(Debt_Rate,Debt_Tenor,$F$99*Gearing)*(AM416&gt;=1)*(AM416&lt;=Debt_Tenor)</f>
        <v>-0</v>
      </c>
      <c r="AN446" s="8" t="n">
        <f aca="false">PMT(Debt_Rate,Debt_Tenor,$F$99*Gearing)*(AN416&gt;=1)*(AN416&lt;=Debt_Tenor)</f>
        <v>-0</v>
      </c>
      <c r="AO446" s="8" t="n">
        <f aca="false">PMT(Debt_Rate,Debt_Tenor,$F$99*Gearing)*(AO416&gt;=1)*(AO416&lt;=Debt_Tenor)</f>
        <v>-0</v>
      </c>
      <c r="AP446" s="8" t="n">
        <f aca="false">PMT(Debt_Rate,Debt_Tenor,$F$99*Gearing)*(AP416&gt;=1)*(AP416&lt;=Debt_Tenor)</f>
        <v>-0</v>
      </c>
      <c r="AQ446" s="8" t="n">
        <f aca="false">PMT(Debt_Rate,Debt_Tenor,$F$99*Gearing)*(AQ416&gt;=1)*(AQ416&lt;=Debt_Tenor)</f>
        <v>-0</v>
      </c>
      <c r="AR446" s="8" t="n">
        <f aca="false">PMT(Debt_Rate,Debt_Tenor,$F$99*Gearing)*(AR416&gt;=1)*(AR416&lt;=Debt_Tenor)</f>
        <v>-0</v>
      </c>
      <c r="AS446" s="8" t="n">
        <f aca="false">PMT(Debt_Rate,Debt_Tenor,$F$99*Gearing)*(AS416&gt;=1)*(AS416&lt;=Debt_Tenor)</f>
        <v>-0</v>
      </c>
    </row>
    <row r="447" customFormat="false" ht="14.25" hidden="false" customHeight="false" outlineLevel="0" collapsed="false">
      <c r="C447" s="6" t="s">
        <v>322</v>
      </c>
      <c r="D447" s="2" t="s">
        <v>85</v>
      </c>
      <c r="H447" s="8" t="n">
        <f aca="false">SUM(J447:AS447)</f>
        <v>-20511.8050191199</v>
      </c>
      <c r="J447" s="8" t="n">
        <f aca="false">-I449*Debt_Rate*(J416&gt;=1)</f>
        <v>-0</v>
      </c>
      <c r="K447" s="8" t="n">
        <f aca="false">-J449*Debt_Rate*(K416&gt;=1)</f>
        <v>-0</v>
      </c>
      <c r="L447" s="8" t="n">
        <f aca="false">-K449*Debt_Rate*(L416&gt;=1)</f>
        <v>-0</v>
      </c>
      <c r="M447" s="8" t="n">
        <f aca="false">-L449*Debt_Rate*(M416&gt;=1)</f>
        <v>-0</v>
      </c>
      <c r="N447" s="8" t="n">
        <f aca="false">-M449*Debt_Rate*(N416&gt;=1)</f>
        <v>-0</v>
      </c>
      <c r="O447" s="8" t="n">
        <f aca="false">-N449*Debt_Rate*(O416&gt;=1)</f>
        <v>-0</v>
      </c>
      <c r="P447" s="8" t="n">
        <f aca="false">-O449*Debt_Rate*(P416&gt;=1)</f>
        <v>-2304.00177739726</v>
      </c>
      <c r="Q447" s="8" t="n">
        <f aca="false">-P449*Debt_Rate*(Q416&gt;=1)</f>
        <v>-2197.22906437691</v>
      </c>
      <c r="R447" s="8" t="n">
        <f aca="false">-Q449*Debt_Rate*(R416&gt;=1)</f>
        <v>-2085.11771570553</v>
      </c>
      <c r="S447" s="8" t="n">
        <f aca="false">-R449*Debt_Rate*(S416&gt;=1)</f>
        <v>-1967.40079960059</v>
      </c>
      <c r="T447" s="8" t="n">
        <f aca="false">-S449*Debt_Rate*(T416&gt;=1)</f>
        <v>-1843.79803769041</v>
      </c>
      <c r="U447" s="8" t="n">
        <f aca="false">-T449*Debt_Rate*(U416&gt;=1)</f>
        <v>-1714.01513768471</v>
      </c>
      <c r="V447" s="8" t="n">
        <f aca="false">-U449*Debt_Rate*(V416&gt;=1)</f>
        <v>-1577.74309267873</v>
      </c>
      <c r="W447" s="8" t="n">
        <f aca="false">-V449*Debt_Rate*(W416&gt;=1)</f>
        <v>-1434.65744542245</v>
      </c>
      <c r="X447" s="8" t="n">
        <f aca="false">-W449*Debt_Rate*(X416&gt;=1)</f>
        <v>-1284.41751580335</v>
      </c>
      <c r="Y447" s="8" t="n">
        <f aca="false">-X449*Debt_Rate*(Y416&gt;=1)</f>
        <v>-1126.6655897033</v>
      </c>
      <c r="Z447" s="8" t="n">
        <f aca="false">-Y449*Debt_Rate*(Z416&gt;=1)</f>
        <v>-961.026067298251</v>
      </c>
      <c r="AA447" s="8" t="n">
        <f aca="false">-Z449*Debt_Rate*(AA416&gt;=1)</f>
        <v>-787.104568772946</v>
      </c>
      <c r="AB447" s="8" t="n">
        <f aca="false">-AA449*Debt_Rate*(AB416&gt;=1)</f>
        <v>-604.486995321376</v>
      </c>
      <c r="AC447" s="8" t="n">
        <f aca="false">-AB449*Debt_Rate*(AC416&gt;=1)</f>
        <v>-412.738543197228</v>
      </c>
      <c r="AD447" s="8" t="n">
        <f aca="false">-AC449*Debt_Rate*(AD416&gt;=1)</f>
        <v>-211.402668466872</v>
      </c>
      <c r="AE447" s="8" t="n">
        <f aca="false">-AD449*Debt_Rate*(AE416&gt;=1)</f>
        <v>1.36424205265939E-012</v>
      </c>
      <c r="AF447" s="8" t="n">
        <f aca="false">-AE449*Debt_Rate*(AF416&gt;=1)</f>
        <v>1.43245415529236E-012</v>
      </c>
      <c r="AG447" s="8" t="n">
        <f aca="false">-AF449*Debt_Rate*(AG416&gt;=1)</f>
        <v>1.50407686305698E-012</v>
      </c>
      <c r="AH447" s="8" t="n">
        <f aca="false">-AG449*Debt_Rate*(AH416&gt;=1)</f>
        <v>1.57928070620983E-012</v>
      </c>
      <c r="AI447" s="8" t="n">
        <f aca="false">-AH449*Debt_Rate*(AI416&gt;=1)</f>
        <v>1.65824474152032E-012</v>
      </c>
      <c r="AJ447" s="8" t="n">
        <f aca="false">-AI449*Debt_Rate*(AJ416&gt;=1)</f>
        <v>1.74115697859634E-012</v>
      </c>
      <c r="AK447" s="8" t="n">
        <f aca="false">-AJ449*Debt_Rate*(AK416&gt;=1)</f>
        <v>1.82821482752615E-012</v>
      </c>
      <c r="AL447" s="8" t="n">
        <f aca="false">-AK449*Debt_Rate*(AL416&gt;=1)</f>
        <v>1.91962556890246E-012</v>
      </c>
      <c r="AM447" s="8" t="n">
        <f aca="false">-AL449*Debt_Rate*(AM416&gt;=1)</f>
        <v>2.01560684734758E-012</v>
      </c>
      <c r="AN447" s="8" t="n">
        <f aca="false">-AM449*Debt_Rate*(AN416&gt;=1)</f>
        <v>2.11638718971496E-012</v>
      </c>
      <c r="AO447" s="8" t="n">
        <f aca="false">-AN449*Debt_Rate*(AO416&gt;=1)</f>
        <v>2.22220654920071E-012</v>
      </c>
      <c r="AP447" s="8" t="n">
        <f aca="false">-AO449*Debt_Rate*(AP416&gt;=1)</f>
        <v>2.33331687666075E-012</v>
      </c>
      <c r="AQ447" s="8" t="n">
        <f aca="false">-AP449*Debt_Rate*(AQ416&gt;=1)</f>
        <v>2.44998272049379E-012</v>
      </c>
      <c r="AR447" s="8" t="n">
        <f aca="false">-AQ449*Debt_Rate*(AR416&gt;=1)</f>
        <v>2.57248185651847E-012</v>
      </c>
      <c r="AS447" s="8" t="n">
        <f aca="false">-AR449*Debt_Rate*(AS416&gt;=1)</f>
        <v>2.7011059493444E-012</v>
      </c>
    </row>
    <row r="448" customFormat="false" ht="14.25" hidden="false" customHeight="false" outlineLevel="0" collapsed="false">
      <c r="C448" s="6" t="s">
        <v>323</v>
      </c>
      <c r="D448" s="2" t="s">
        <v>85</v>
      </c>
      <c r="H448" s="8" t="n">
        <f aca="false">SUM(J448:AS448)</f>
        <v>-46080.0355479453</v>
      </c>
      <c r="J448" s="8" t="n">
        <f aca="false">J446-J447</f>
        <v>0</v>
      </c>
      <c r="K448" s="8" t="n">
        <f aca="false">K446-K447</f>
        <v>0</v>
      </c>
      <c r="L448" s="8" t="n">
        <f aca="false">L446-L447</f>
        <v>0</v>
      </c>
      <c r="M448" s="8" t="n">
        <f aca="false">M446-M447</f>
        <v>0</v>
      </c>
      <c r="N448" s="8" t="n">
        <f aca="false">N446-N447</f>
        <v>0</v>
      </c>
      <c r="O448" s="8" t="n">
        <f aca="false">O446-O447</f>
        <v>0</v>
      </c>
      <c r="P448" s="8" t="n">
        <f aca="false">P446-P447</f>
        <v>-2135.45426040708</v>
      </c>
      <c r="Q448" s="8" t="n">
        <f aca="false">Q446-Q447</f>
        <v>-2242.22697342744</v>
      </c>
      <c r="R448" s="8" t="n">
        <f aca="false">R446-R447</f>
        <v>-2354.33832209881</v>
      </c>
      <c r="S448" s="8" t="n">
        <f aca="false">S446-S447</f>
        <v>-2472.05523820375</v>
      </c>
      <c r="T448" s="8" t="n">
        <f aca="false">T446-T447</f>
        <v>-2595.65800011394</v>
      </c>
      <c r="U448" s="8" t="n">
        <f aca="false">U446-U447</f>
        <v>-2725.44090011963</v>
      </c>
      <c r="V448" s="8" t="n">
        <f aca="false">V446-V447</f>
        <v>-2861.71294512561</v>
      </c>
      <c r="W448" s="8" t="n">
        <f aca="false">W446-W447</f>
        <v>-3004.7985923819</v>
      </c>
      <c r="X448" s="8" t="n">
        <f aca="false">X446-X447</f>
        <v>-3155.03852200099</v>
      </c>
      <c r="Y448" s="8" t="n">
        <f aca="false">Y446-Y447</f>
        <v>-3312.79044810104</v>
      </c>
      <c r="Z448" s="8" t="n">
        <f aca="false">Z446-Z447</f>
        <v>-3478.42997050609</v>
      </c>
      <c r="AA448" s="8" t="n">
        <f aca="false">AA446-AA447</f>
        <v>-3652.3514690314</v>
      </c>
      <c r="AB448" s="8" t="n">
        <f aca="false">AB446-AB447</f>
        <v>-3834.96904248297</v>
      </c>
      <c r="AC448" s="8" t="n">
        <f aca="false">AC446-AC447</f>
        <v>-4026.71749460711</v>
      </c>
      <c r="AD448" s="8" t="n">
        <f aca="false">AD446-AD447</f>
        <v>-4228.05336933747</v>
      </c>
      <c r="AE448" s="8" t="n">
        <f aca="false">AE446-AE447</f>
        <v>-1.36424205265939E-012</v>
      </c>
      <c r="AF448" s="8" t="n">
        <f aca="false">AF446-AF447</f>
        <v>-1.43245415529236E-012</v>
      </c>
      <c r="AG448" s="8" t="n">
        <f aca="false">AG446-AG447</f>
        <v>-1.50407686305698E-012</v>
      </c>
      <c r="AH448" s="8" t="n">
        <f aca="false">AH446-AH447</f>
        <v>-1.57928070620983E-012</v>
      </c>
      <c r="AI448" s="8" t="n">
        <f aca="false">AI446-AI447</f>
        <v>-1.65824474152032E-012</v>
      </c>
      <c r="AJ448" s="8" t="n">
        <f aca="false">AJ446-AJ447</f>
        <v>-1.74115697859634E-012</v>
      </c>
      <c r="AK448" s="8" t="n">
        <f aca="false">AK446-AK447</f>
        <v>-1.82821482752615E-012</v>
      </c>
      <c r="AL448" s="8" t="n">
        <f aca="false">AL446-AL447</f>
        <v>-1.91962556890246E-012</v>
      </c>
      <c r="AM448" s="8" t="n">
        <f aca="false">AM446-AM447</f>
        <v>-2.01560684734758E-012</v>
      </c>
      <c r="AN448" s="8" t="n">
        <f aca="false">AN446-AN447</f>
        <v>-2.11638718971496E-012</v>
      </c>
      <c r="AO448" s="8" t="n">
        <f aca="false">AO446-AO447</f>
        <v>-2.22220654920071E-012</v>
      </c>
      <c r="AP448" s="8" t="n">
        <f aca="false">AP446-AP447</f>
        <v>-2.33331687666075E-012</v>
      </c>
      <c r="AQ448" s="8" t="n">
        <f aca="false">AQ446-AQ447</f>
        <v>-2.44998272049379E-012</v>
      </c>
      <c r="AR448" s="8" t="n">
        <f aca="false">AR446-AR447</f>
        <v>-2.57248185651847E-012</v>
      </c>
      <c r="AS448" s="8" t="n">
        <f aca="false">AS446-AS447</f>
        <v>-2.7011059493444E-012</v>
      </c>
    </row>
    <row r="449" customFormat="false" ht="14.25" hidden="false" customHeight="false" outlineLevel="0" collapsed="false">
      <c r="C449" s="6" t="s">
        <v>324</v>
      </c>
      <c r="D449" s="2" t="s">
        <v>85</v>
      </c>
      <c r="H449" s="8"/>
      <c r="J449" s="8" t="n">
        <f aca="false">I449+J445+J448</f>
        <v>0</v>
      </c>
      <c r="K449" s="8" t="n">
        <f aca="false">J449+K445+K448</f>
        <v>0</v>
      </c>
      <c r="L449" s="8" t="n">
        <f aca="false">K449+L445+L448</f>
        <v>0</v>
      </c>
      <c r="M449" s="8" t="n">
        <f aca="false">L449+M445+M448</f>
        <v>0</v>
      </c>
      <c r="N449" s="8" t="n">
        <f aca="false">M449+N445+N448</f>
        <v>0</v>
      </c>
      <c r="O449" s="8" t="n">
        <f aca="false">N449+O445+O448</f>
        <v>46080.0355479452</v>
      </c>
      <c r="P449" s="8" t="n">
        <f aca="false">O449+P445+P448</f>
        <v>43944.5812875381</v>
      </c>
      <c r="Q449" s="8" t="n">
        <f aca="false">P449+Q445+Q448</f>
        <v>41702.3543141107</v>
      </c>
      <c r="R449" s="8" t="n">
        <f aca="false">Q449+R445+R448</f>
        <v>39348.0159920119</v>
      </c>
      <c r="S449" s="8" t="n">
        <f aca="false">R449+S445+S448</f>
        <v>36875.9607538081</v>
      </c>
      <c r="T449" s="8" t="n">
        <f aca="false">S449+T445+T448</f>
        <v>34280.3027536942</v>
      </c>
      <c r="U449" s="8" t="n">
        <f aca="false">T449+U445+U448</f>
        <v>31554.8618535746</v>
      </c>
      <c r="V449" s="8" t="n">
        <f aca="false">U449+V445+V448</f>
        <v>28693.1489084489</v>
      </c>
      <c r="W449" s="8" t="n">
        <f aca="false">V449+W445+W448</f>
        <v>25688.350316067</v>
      </c>
      <c r="X449" s="8" t="n">
        <f aca="false">W449+X445+X448</f>
        <v>22533.3117940661</v>
      </c>
      <c r="Y449" s="8" t="n">
        <f aca="false">X449+Y445+Y448</f>
        <v>19220.521345965</v>
      </c>
      <c r="Z449" s="8" t="n">
        <f aca="false">Y449+Z445+Z448</f>
        <v>15742.0913754589</v>
      </c>
      <c r="AA449" s="8" t="n">
        <f aca="false">Z449+AA445+AA448</f>
        <v>12089.7399064275</v>
      </c>
      <c r="AB449" s="8" t="n">
        <f aca="false">AA449+AB445+AB448</f>
        <v>8254.77086394456</v>
      </c>
      <c r="AC449" s="8" t="n">
        <f aca="false">AB449+AC445+AC448</f>
        <v>4228.05336933744</v>
      </c>
      <c r="AD449" s="8" t="n">
        <f aca="false">AC449+AD445+AD448</f>
        <v>-2.72848410531878E-011</v>
      </c>
      <c r="AE449" s="8" t="n">
        <f aca="false">AD449+AE445+AE448</f>
        <v>-2.86490831058472E-011</v>
      </c>
      <c r="AF449" s="8" t="n">
        <f aca="false">AE449+AF445+AF448</f>
        <v>-3.00815372611396E-011</v>
      </c>
      <c r="AG449" s="8" t="n">
        <f aca="false">AF449+AG445+AG448</f>
        <v>-3.15856141241966E-011</v>
      </c>
      <c r="AH449" s="8" t="n">
        <f aca="false">AG449+AH445+AH448</f>
        <v>-3.31648948304064E-011</v>
      </c>
      <c r="AI449" s="8" t="n">
        <f aca="false">AH449+AI445+AI448</f>
        <v>-3.48231395719267E-011</v>
      </c>
      <c r="AJ449" s="8" t="n">
        <f aca="false">AI449+AJ445+AJ448</f>
        <v>-3.65642965505231E-011</v>
      </c>
      <c r="AK449" s="8" t="n">
        <f aca="false">AJ449+AK445+AK448</f>
        <v>-3.83925113780492E-011</v>
      </c>
      <c r="AL449" s="8" t="n">
        <f aca="false">AK449+AL445+AL448</f>
        <v>-4.03121369469517E-011</v>
      </c>
      <c r="AM449" s="8" t="n">
        <f aca="false">AL449+AM445+AM448</f>
        <v>-4.23277437942993E-011</v>
      </c>
      <c r="AN449" s="8" t="n">
        <f aca="false">AM449+AN445+AN448</f>
        <v>-4.44441309840142E-011</v>
      </c>
      <c r="AO449" s="8" t="n">
        <f aca="false">AN449+AO445+AO448</f>
        <v>-4.6666337533215E-011</v>
      </c>
      <c r="AP449" s="8" t="n">
        <f aca="false">AO449+AP445+AP448</f>
        <v>-4.89996544098757E-011</v>
      </c>
      <c r="AQ449" s="8" t="n">
        <f aca="false">AP449+AQ445+AQ448</f>
        <v>-5.14496371303695E-011</v>
      </c>
      <c r="AR449" s="8" t="n">
        <f aca="false">AQ449+AR445+AR448</f>
        <v>-5.4022118986888E-011</v>
      </c>
      <c r="AS449" s="8" t="n">
        <f aca="false">AR449+AS445+AS448</f>
        <v>-5.67232249362324E-011</v>
      </c>
    </row>
    <row r="450" customFormat="false" ht="14.25" hidden="false" customHeight="false" outlineLevel="0" collapsed="false">
      <c r="C450" s="6" t="s">
        <v>325</v>
      </c>
      <c r="D450" s="2" t="s">
        <v>85</v>
      </c>
      <c r="H450" s="8" t="n">
        <f aca="false">SUM(J450:AS450)</f>
        <v>-32758.9685760495</v>
      </c>
      <c r="J450" s="8" t="n">
        <f aca="false">-MAX(0,J440+J442+J447)*CIT_Rate*(J420&gt;0)</f>
        <v>-0</v>
      </c>
      <c r="K450" s="8" t="n">
        <f aca="false">-MAX(0,K440+K442+K447)*CIT_Rate*(K420&gt;0)</f>
        <v>-0</v>
      </c>
      <c r="L450" s="8" t="n">
        <f aca="false">-MAX(0,L440+L442+L447)*CIT_Rate*(L420&gt;0)</f>
        <v>-0</v>
      </c>
      <c r="M450" s="8" t="n">
        <f aca="false">-MAX(0,M440+M442+M447)*CIT_Rate*(M420&gt;0)</f>
        <v>-0</v>
      </c>
      <c r="N450" s="8" t="n">
        <f aca="false">-MAX(0,N440+N442+N447)*CIT_Rate*(N420&gt;0)</f>
        <v>-0</v>
      </c>
      <c r="O450" s="8" t="n">
        <f aca="false">-MAX(0,O440+O442+O447)*CIT_Rate*(O420&gt;0)</f>
        <v>-184.465323250685</v>
      </c>
      <c r="P450" s="8" t="n">
        <f aca="false">-MAX(0,P440+P442+P447)*CIT_Rate*(P420&gt;0)</f>
        <v>-609.647071343096</v>
      </c>
      <c r="Q450" s="8" t="n">
        <f aca="false">-MAX(0,Q440+Q442+Q447)*CIT_Rate*(Q420&gt;0)</f>
        <v>-630.518329022906</v>
      </c>
      <c r="R450" s="8" t="n">
        <f aca="false">-MAX(0,R440+R442+R447)*CIT_Rate*(R420&gt;0)</f>
        <v>-652.065673789328</v>
      </c>
      <c r="S450" s="8" t="n">
        <f aca="false">-MAX(0,S440+S442+S447)*CIT_Rate*(S420&gt;0)</f>
        <v>-674.324488877641</v>
      </c>
      <c r="T450" s="8" t="n">
        <f aca="false">-MAX(0,T440+T442+T447)*CIT_Rate*(T420&gt;0)</f>
        <v>-697.332034849061</v>
      </c>
      <c r="U450" s="8" t="n">
        <f aca="false">-MAX(0,U440+U442+U447)*CIT_Rate*(U420&gt;0)</f>
        <v>-721.127546574568</v>
      </c>
      <c r="V450" s="8" t="n">
        <f aca="false">-MAX(0,V440+V442+V447)*CIT_Rate*(V420&gt;0)</f>
        <v>-745.752335147106</v>
      </c>
      <c r="W450" s="8" t="n">
        <f aca="false">-MAX(0,W440+W442+W447)*CIT_Rate*(W420&gt;0)</f>
        <v>-771.249894970495</v>
      </c>
      <c r="X450" s="8" t="n">
        <f aca="false">-MAX(0,X440+X442+X447)*CIT_Rate*(X420&gt;0)</f>
        <v>-797.666016285915</v>
      </c>
      <c r="Y450" s="8" t="n">
        <f aca="false">-MAX(0,Y440+Y442+Y447)*CIT_Rate*(Y420&gt;0)</f>
        <v>-825.048903409881</v>
      </c>
      <c r="Z450" s="8" t="n">
        <f aca="false">-MAX(0,Z440+Z442+Z447)*CIT_Rate*(Z420&gt;0)</f>
        <v>-853.449298971383</v>
      </c>
      <c r="AA450" s="8" t="n">
        <f aca="false">-MAX(0,AA440+AA442+AA447)*CIT_Rate*(AA420&gt;0)</f>
        <v>-882.920614450292</v>
      </c>
      <c r="AB450" s="8" t="n">
        <f aca="false">-MAX(0,AB440+AB442+AB447)*CIT_Rate*(AB420&gt;0)</f>
        <v>-913.519067334319</v>
      </c>
      <c r="AC450" s="8" t="n">
        <f aca="false">-MAX(0,AC440+AC442+AC447)*CIT_Rate*(AC420&gt;0)</f>
        <v>-945.303825227687</v>
      </c>
      <c r="AD450" s="8" t="n">
        <f aca="false">-MAX(0,AD440+AD442+AD447)*CIT_Rate*(AD420&gt;0)</f>
        <v>-978.337157261434</v>
      </c>
      <c r="AE450" s="8" t="n">
        <f aca="false">-MAX(0,AE440+AE442+AE447)*CIT_Rate*(AE420&gt;0)</f>
        <v>-1012.68459317279</v>
      </c>
      <c r="AF450" s="8" t="n">
        <f aca="false">-MAX(0,AF440+AF442+AF447)*CIT_Rate*(AF420&gt;0)</f>
        <v>-1015.11917015596</v>
      </c>
      <c r="AG450" s="8" t="n">
        <f aca="false">-MAX(0,AG440+AG442+AG447)*CIT_Rate*(AG420&gt;0)</f>
        <v>-1017.3445732931</v>
      </c>
      <c r="AH450" s="8" t="n">
        <f aca="false">-MAX(0,AH440+AH442+AH447)*CIT_Rate*(AH420&gt;0)</f>
        <v>-1019.35391141156</v>
      </c>
      <c r="AI450" s="8" t="n">
        <f aca="false">-MAX(0,AI440+AI442+AI447)*CIT_Rate*(AI420&gt;0)</f>
        <v>-1597.14055732624</v>
      </c>
      <c r="AJ450" s="8" t="n">
        <f aca="false">-MAX(0,AJ440+AJ442+AJ447)*CIT_Rate*(AJ420&gt;0)</f>
        <v>-1598.69636595756</v>
      </c>
      <c r="AK450" s="8" t="n">
        <f aca="false">-MAX(0,AK440+AK442+AK447)*CIT_Rate*(AK420&gt;0)</f>
        <v>-1600.01433583266</v>
      </c>
      <c r="AL450" s="8" t="n">
        <f aca="false">-MAX(0,AL440+AL442+AL447)*CIT_Rate*(AL420&gt;0)</f>
        <v>-1601.08682698029</v>
      </c>
      <c r="AM450" s="8" t="n">
        <f aca="false">-MAX(0,AM440+AM442+AM447)*CIT_Rate*(AM420&gt;0)</f>
        <v>-1601.90600045683</v>
      </c>
      <c r="AN450" s="8" t="n">
        <f aca="false">-MAX(0,AN440+AN442+AN447)*CIT_Rate*(AN420&gt;0)</f>
        <v>-1602.4638134044</v>
      </c>
      <c r="AO450" s="8" t="n">
        <f aca="false">-MAX(0,AO440+AO442+AO447)*CIT_Rate*(AO420&gt;0)</f>
        <v>-1602.75201398753</v>
      </c>
      <c r="AP450" s="8" t="n">
        <f aca="false">-MAX(0,AP440+AP442+AP447)*CIT_Rate*(AP420&gt;0)</f>
        <v>-1602.76213620557</v>
      </c>
      <c r="AQ450" s="8" t="n">
        <f aca="false">-MAX(0,AQ440+AQ442+AQ447)*CIT_Rate*(AQ420&gt;0)</f>
        <v>-1602.48549457754</v>
      </c>
      <c r="AR450" s="8" t="n">
        <f aca="false">-MAX(0,AR440+AR442+AR447)*CIT_Rate*(AR420&gt;0)</f>
        <v>-1601.91317869653</v>
      </c>
      <c r="AS450" s="8" t="n">
        <f aca="false">-MAX(0,AS440+AS442+AS447)*CIT_Rate*(AS420&gt;0)</f>
        <v>-800.518023825113</v>
      </c>
    </row>
    <row r="451" customFormat="false" ht="14.25" hidden="false" customHeight="false" outlineLevel="0" collapsed="false">
      <c r="C451" s="1" t="s">
        <v>163</v>
      </c>
      <c r="D451" s="2" t="s">
        <v>85</v>
      </c>
      <c r="H451" s="32" t="n">
        <f aca="false">SUM(J451:AS451)</f>
        <v>185634.15526428</v>
      </c>
      <c r="J451" s="32" t="n">
        <f aca="false">J441+J445+J446+J450</f>
        <v>0</v>
      </c>
      <c r="K451" s="32" t="n">
        <f aca="false">K441+K445+K446+K450</f>
        <v>0</v>
      </c>
      <c r="L451" s="32" t="n">
        <f aca="false">L441+L445+L446+L450</f>
        <v>0</v>
      </c>
      <c r="M451" s="32" t="n">
        <f aca="false">M441+M445+M446+M450</f>
        <v>-29757.5797945206</v>
      </c>
      <c r="N451" s="32" t="n">
        <f aca="false">N441+N445+N446+N450</f>
        <v>-31358</v>
      </c>
      <c r="O451" s="32" t="n">
        <f aca="false">O441+O445+O446+O450</f>
        <v>32786.3420086945</v>
      </c>
      <c r="P451" s="32" t="n">
        <f aca="false">P441+P445+P446+P450</f>
        <v>5159.21543953256</v>
      </c>
      <c r="Q451" s="32" t="n">
        <f aca="false">Q441+Q445+Q446+Q450</f>
        <v>7665.23373464301</v>
      </c>
      <c r="R451" s="32" t="n">
        <f aca="false">R441+R445+R446+R450</f>
        <v>5180.70345836949</v>
      </c>
      <c r="S451" s="32" t="n">
        <f aca="false">S441+S445+S446+S450</f>
        <v>5189.11982776499</v>
      </c>
      <c r="T451" s="32" t="n">
        <f aca="false">T441+T445+T446+T450</f>
        <v>5195.89315969284</v>
      </c>
      <c r="U451" s="32" t="n">
        <f aca="false">U441+U445+U446+U450</f>
        <v>5200.95149279836</v>
      </c>
      <c r="V451" s="32" t="n">
        <f aca="false">V441+V445+V446+V450</f>
        <v>5204.21991637009</v>
      </c>
      <c r="W451" s="32" t="n">
        <f aca="false">W441+W445+W446+W450</f>
        <v>5205.62044144634</v>
      </c>
      <c r="X451" s="32" t="n">
        <f aca="false">X441+X445+X446+X450</f>
        <v>5205.07186594796</v>
      </c>
      <c r="Y451" s="32" t="n">
        <f aca="false">Y441+Y445+Y446+Y450</f>
        <v>5202.48963355039</v>
      </c>
      <c r="Z451" s="32" t="n">
        <f aca="false">Z441+Z445+Z446+Z450</f>
        <v>5197.78568599385</v>
      </c>
      <c r="AA451" s="32" t="n">
        <f aca="false">AA441+AA445+AA446+AA450</f>
        <v>5190.86830851569</v>
      </c>
      <c r="AB451" s="32" t="n">
        <f aca="false">AB441+AB445+AB446+AB450</f>
        <v>5181.64196807361</v>
      </c>
      <c r="AC451" s="32" t="n">
        <f aca="false">AC441+AC445+AC446+AC450</f>
        <v>5170.00714401188</v>
      </c>
      <c r="AD451" s="32" t="n">
        <f aca="false">AD441+AD445+AD446+AD450</f>
        <v>5155.86015080609</v>
      </c>
      <c r="AE451" s="32" t="n">
        <f aca="false">AE441+AE445+AE446+AE450</f>
        <v>9578.5489903079</v>
      </c>
      <c r="AF451" s="32" t="n">
        <f aca="false">AF441+AF445+AF446+AF450</f>
        <v>9592.34492654589</v>
      </c>
      <c r="AG451" s="32" t="n">
        <f aca="false">AG441+AG445+AG446+AG450</f>
        <v>9604.95554432298</v>
      </c>
      <c r="AH451" s="32" t="n">
        <f aca="false">AH441+AH445+AH446+AH450</f>
        <v>9616.34179366096</v>
      </c>
      <c r="AI451" s="32" t="n">
        <f aca="false">AI441+AI445+AI446+AI450</f>
        <v>9050.463158182</v>
      </c>
      <c r="AJ451" s="32" t="n">
        <f aca="false">AJ441+AJ445+AJ446+AJ450</f>
        <v>9059.27940709287</v>
      </c>
      <c r="AK451" s="32" t="n">
        <f aca="false">AK441+AK445+AK446+AK450</f>
        <v>9066.74790305173</v>
      </c>
      <c r="AL451" s="32" t="n">
        <f aca="false">AL441+AL445+AL446+AL450</f>
        <v>9072.8253528883</v>
      </c>
      <c r="AM451" s="32" t="n">
        <f aca="false">AM441+AM445+AM446+AM450</f>
        <v>9077.46733592206</v>
      </c>
      <c r="AN451" s="32" t="n">
        <f aca="false">AN441+AN445+AN446+AN450</f>
        <v>9080.62827595824</v>
      </c>
      <c r="AO451" s="32" t="n">
        <f aca="false">AO441+AO445+AO446+AO450</f>
        <v>9082.26141259599</v>
      </c>
      <c r="AP451" s="32" t="n">
        <f aca="false">AP441+AP445+AP446+AP450</f>
        <v>9082.31877183154</v>
      </c>
      <c r="AQ451" s="32" t="n">
        <f aca="false">AQ441+AQ445+AQ446+AQ450</f>
        <v>9080.75113593939</v>
      </c>
      <c r="AR451" s="32" t="n">
        <f aca="false">AR441+AR445+AR446+AR450</f>
        <v>9077.50801261365</v>
      </c>
      <c r="AS451" s="32" t="n">
        <f aca="false">AS441+AS445+AS446+AS450</f>
        <v>4536.26880167564</v>
      </c>
    </row>
    <row r="452" customFormat="false" ht="14.25" hidden="false" customHeight="false" outlineLevel="0" collapsed="false">
      <c r="C452" s="6" t="s">
        <v>326</v>
      </c>
      <c r="D452" s="2" t="s">
        <v>3</v>
      </c>
      <c r="H452" s="47" t="n">
        <f aca="false">MIN(J452:AS452)</f>
        <v>2.29945255944663</v>
      </c>
      <c r="J452" s="47" t="str">
        <f aca="false">IF(J446&lt;0,-J440/J446,"")</f>
        <v/>
      </c>
      <c r="K452" s="47" t="str">
        <f aca="false">IF(K446&lt;0,-K440/K446,"")</f>
        <v/>
      </c>
      <c r="L452" s="47" t="str">
        <f aca="false">IF(L446&lt;0,-L440/L446,"")</f>
        <v/>
      </c>
      <c r="M452" s="47" t="str">
        <f aca="false">IF(M446&lt;0,-M440/M446,"")</f>
        <v/>
      </c>
      <c r="N452" s="47" t="str">
        <f aca="false">IF(N446&lt;0,-N440/N446,"")</f>
        <v/>
      </c>
      <c r="O452" s="47" t="str">
        <f aca="false">IF(O446&lt;0,-O440/O446,"")</f>
        <v/>
      </c>
      <c r="P452" s="47" t="n">
        <f aca="false">IF(P446&lt;0,-P440/P446,"")</f>
        <v>2.29945255944663</v>
      </c>
      <c r="Q452" s="47" t="n">
        <f aca="false">IF(Q446&lt;0,-Q440/Q446,"")</f>
        <v>2.3067437691285</v>
      </c>
      <c r="R452" s="47" t="n">
        <f aca="false">IF(R446&lt;0,-R440/R446,"")</f>
        <v>2.31384770622564</v>
      </c>
      <c r="S452" s="47" t="n">
        <f aca="false">IF(S446&lt;0,-S440/S446,"")</f>
        <v>2.32075737809143</v>
      </c>
      <c r="T452" s="47" t="n">
        <f aca="false">IF(T446&lt;0,-T440/T446,"")</f>
        <v>2.32746560487545</v>
      </c>
      <c r="U452" s="47" t="n">
        <f aca="false">IF(U446&lt;0,-U440/U446,"")</f>
        <v>2.33396501484489</v>
      </c>
      <c r="V452" s="47" t="n">
        <f aca="false">IF(V446&lt;0,-V440/V446,"")</f>
        <v>2.34024803959089</v>
      </c>
      <c r="W452" s="47" t="n">
        <f aca="false">IF(W446&lt;0,-W440/W446,"")</f>
        <v>2.34630690911693</v>
      </c>
      <c r="X452" s="47" t="n">
        <f aca="false">IF(X446&lt;0,-X440/X446,"")</f>
        <v>2.35213364680658</v>
      </c>
      <c r="Y452" s="47" t="n">
        <f aca="false">IF(Y446&lt;0,-Y440/Y446,"")</f>
        <v>2.35772006426746</v>
      </c>
      <c r="Z452" s="47" t="n">
        <f aca="false">IF(Z446&lt;0,-Z440/Z446,"")</f>
        <v>2.36305775604843</v>
      </c>
      <c r="AA452" s="47" t="n">
        <f aca="false">IF(AA446&lt;0,-AA440/AA446,"")</f>
        <v>2.36813809422696</v>
      </c>
      <c r="AB452" s="47" t="n">
        <f aca="false">IF(AB446&lt;0,-AB440/AB446,"")</f>
        <v>2.37295222286343</v>
      </c>
      <c r="AC452" s="47" t="n">
        <f aca="false">IF(AC446&lt;0,-AC440/AC446,"")</f>
        <v>2.37749105231912</v>
      </c>
      <c r="AD452" s="47" t="n">
        <f aca="false">IF(AD446&lt;0,-AD440/AD446,"")</f>
        <v>2.38174525343455</v>
      </c>
      <c r="AE452" s="47" t="str">
        <f aca="false">IF(AE446&lt;0,-AE440/AE446,"")</f>
        <v/>
      </c>
      <c r="AF452" s="47" t="str">
        <f aca="false">IF(AF446&lt;0,-AF440/AF446,"")</f>
        <v/>
      </c>
      <c r="AG452" s="47" t="str">
        <f aca="false">IF(AG446&lt;0,-AG440/AG446,"")</f>
        <v/>
      </c>
      <c r="AH452" s="47" t="str">
        <f aca="false">IF(AH446&lt;0,-AH440/AH446,"")</f>
        <v/>
      </c>
      <c r="AI452" s="47" t="str">
        <f aca="false">IF(AI446&lt;0,-AI440/AI446,"")</f>
        <v/>
      </c>
      <c r="AJ452" s="47" t="str">
        <f aca="false">IF(AJ446&lt;0,-AJ440/AJ446,"")</f>
        <v/>
      </c>
      <c r="AK452" s="47" t="str">
        <f aca="false">IF(AK446&lt;0,-AK440/AK446,"")</f>
        <v/>
      </c>
      <c r="AL452" s="47" t="str">
        <f aca="false">IF(AL446&lt;0,-AL440/AL446,"")</f>
        <v/>
      </c>
      <c r="AM452" s="47" t="str">
        <f aca="false">IF(AM446&lt;0,-AM440/AM446,"")</f>
        <v/>
      </c>
      <c r="AN452" s="47" t="str">
        <f aca="false">IF(AN446&lt;0,-AN440/AN446,"")</f>
        <v/>
      </c>
      <c r="AO452" s="47" t="str">
        <f aca="false">IF(AO446&lt;0,-AO440/AO446,"")</f>
        <v/>
      </c>
      <c r="AP452" s="47" t="str">
        <f aca="false">IF(AP446&lt;0,-AP440/AP446,"")</f>
        <v/>
      </c>
      <c r="AQ452" s="47" t="str">
        <f aca="false">IF(AQ446&lt;0,-AQ440/AQ446,"")</f>
        <v/>
      </c>
      <c r="AR452" s="47" t="str">
        <f aca="false">IF(AR446&lt;0,-AR440/AR446,"")</f>
        <v/>
      </c>
      <c r="AS452" s="47" t="str">
        <f aca="false">IF(AS446&lt;0,-AS440/AS446,"")</f>
        <v/>
      </c>
    </row>
    <row r="453" customFormat="false" ht="14.25" hidden="false" customHeight="false" outlineLevel="0" collapsed="false">
      <c r="C453" s="6" t="s">
        <v>327</v>
      </c>
      <c r="D453" s="2" t="s">
        <v>3</v>
      </c>
      <c r="J453" s="77" t="n">
        <f aca="false">(1+Discount_Rate)^((Inputs!$F$26-J$362)/Days_In_Year)</f>
        <v>1.41371255107938</v>
      </c>
      <c r="K453" s="77" t="n">
        <f aca="false">(1+Discount_Rate)^((Inputs!$F$26-K$362)/Days_In_Year)</f>
        <v>1.30899310285128</v>
      </c>
      <c r="L453" s="77" t="n">
        <f aca="false">(1+Discount_Rate)^((Inputs!$F$26-L$362)/Days_In_Year)</f>
        <v>1.21177511843915</v>
      </c>
      <c r="M453" s="77" t="n">
        <f aca="false">(1+Discount_Rate)^((Inputs!$F$26-M$362)/Days_In_Year)</f>
        <v>1.12201399855477</v>
      </c>
      <c r="N453" s="77" t="n">
        <f aca="false">(1+Discount_Rate)^((Inputs!$F$26-N$362)/Days_In_Year)</f>
        <v>1.03890185051367</v>
      </c>
      <c r="O453" s="77" t="n">
        <f aca="false">(1+Discount_Rate)^((Inputs!$F$26-O$362)/Days_In_Year)</f>
        <v>0.961946157883031</v>
      </c>
      <c r="P453" s="77" t="n">
        <f aca="false">(1+Discount_Rate)^((Inputs!$F$26-P$362)/Days_In_Year)</f>
        <v>0.890503102622714</v>
      </c>
      <c r="Q453" s="77" t="n">
        <f aca="false">(1+Discount_Rate)^((Inputs!$F$26-Q$362)/Days_In_Year)</f>
        <v>0.824539909835846</v>
      </c>
      <c r="R453" s="77" t="n">
        <f aca="false">(1+Discount_Rate)^((Inputs!$F$26-R$362)/Days_In_Year)</f>
        <v>0.763462879477635</v>
      </c>
      <c r="S453" s="77" t="n">
        <f aca="false">(1+Discount_Rate)^((Inputs!$F$26-S$362)/Days_In_Year)</f>
        <v>0.706910073590403</v>
      </c>
      <c r="T453" s="77" t="n">
        <f aca="false">(1+Discount_Rate)^((Inputs!$F$26-T$362)/Days_In_Year)</f>
        <v>0.654408366464987</v>
      </c>
      <c r="U453" s="77" t="n">
        <f aca="false">(1+Discount_Rate)^((Inputs!$F$26-U$362)/Days_In_Year)</f>
        <v>0.605933672652766</v>
      </c>
      <c r="V453" s="77" t="n">
        <f aca="false">(1+Discount_Rate)^((Inputs!$F$26-V$362)/Days_In_Year)</f>
        <v>0.561049696900709</v>
      </c>
      <c r="W453" s="77" t="n">
        <f aca="false">(1+Discount_Rate)^((Inputs!$F$26-W$362)/Days_In_Year)</f>
        <v>0.519490460093249</v>
      </c>
      <c r="X453" s="77" t="n">
        <f aca="false">(1+Discount_Rate)^((Inputs!$F$26-X$362)/Days_In_Year)</f>
        <v>0.480908274028566</v>
      </c>
      <c r="Y453" s="77" t="n">
        <f aca="false">(1+Discount_Rate)^((Inputs!$F$26-Y$362)/Days_In_Year)</f>
        <v>0.445285438915339</v>
      </c>
      <c r="Z453" s="77" t="n">
        <f aca="false">(1+Discount_Rate)^((Inputs!$F$26-Z$362)/Days_In_Year)</f>
        <v>0.412301332329018</v>
      </c>
      <c r="AA453" s="77" t="n">
        <f aca="false">(1+Discount_Rate)^((Inputs!$F$26-AA$362)/Days_In_Year)</f>
        <v>0.381760492897239</v>
      </c>
      <c r="AB453" s="77" t="n">
        <f aca="false">(1+Discount_Rate)^((Inputs!$F$26-AB$362)/Days_In_Year)</f>
        <v>0.353407413292154</v>
      </c>
      <c r="AC453" s="77" t="n">
        <f aca="false">(1+Discount_Rate)^((Inputs!$F$26-AC$362)/Days_In_Year)</f>
        <v>0.327229086381624</v>
      </c>
      <c r="AD453" s="77" t="n">
        <f aca="false">(1+Discount_Rate)^((Inputs!$F$26-AD$362)/Days_In_Year)</f>
        <v>0.3029898947978</v>
      </c>
      <c r="AE453" s="77" t="n">
        <f aca="false">(1+Discount_Rate)^((Inputs!$F$26-AE$362)/Days_In_Year)</f>
        <v>0.280546198886852</v>
      </c>
      <c r="AF453" s="77" t="n">
        <f aca="false">(1+Discount_Rate)^((Inputs!$F$26-AF$362)/Days_In_Year)</f>
        <v>0.259710232730228</v>
      </c>
      <c r="AG453" s="77" t="n">
        <f aca="false">(1+Discount_Rate)^((Inputs!$F$26-AG$362)/Days_In_Year)</f>
        <v>0.240472437713174</v>
      </c>
      <c r="AH453" s="77" t="n">
        <f aca="false">(1+Discount_Rate)^((Inputs!$F$26-AH$362)/Days_In_Year)</f>
        <v>0.222659664549235</v>
      </c>
      <c r="AI453" s="77" t="n">
        <f aca="false">(1+Discount_Rate)^((Inputs!$F$26-AI$362)/Days_In_Year)</f>
        <v>0.206166356064106</v>
      </c>
      <c r="AJ453" s="77" t="n">
        <f aca="false">(1+Discount_Rate)^((Inputs!$F$26-AJ$362)/Days_In_Year)</f>
        <v>0.190854527799705</v>
      </c>
      <c r="AK453" s="77" t="n">
        <f aca="false">(1+Discount_Rate)^((Inputs!$F$26-AK$362)/Days_In_Year)</f>
        <v>0.176717155370097</v>
      </c>
      <c r="AL453" s="77" t="n">
        <f aca="false">(1+Discount_Rate)^((Inputs!$F$26-AL$362)/Days_In_Year)</f>
        <v>0.163626995713053</v>
      </c>
      <c r="AM453" s="77" t="n">
        <f aca="false">(1+Discount_Rate)^((Inputs!$F$26-AM$362)/Days_In_Year)</f>
        <v>0.151506477512086</v>
      </c>
      <c r="AN453" s="77" t="n">
        <f aca="false">(1+Discount_Rate)^((Inputs!$F$26-AN$362)/Days_In_Year)</f>
        <v>0.140254199454224</v>
      </c>
      <c r="AO453" s="77" t="n">
        <f aca="false">(1+Discount_Rate)^((Inputs!$F$26-AO$362)/Days_In_Year)</f>
        <v>0.129864999494652</v>
      </c>
      <c r="AP453" s="77" t="n">
        <f aca="false">(1+Discount_Rate)^((Inputs!$F$26-AP$362)/Days_In_Year)</f>
        <v>0.120245369902455</v>
      </c>
      <c r="AQ453" s="77" t="n">
        <f aca="false">(1+Discount_Rate)^((Inputs!$F$26-AQ$362)/Days_In_Year)</f>
        <v>0.111338305465236</v>
      </c>
      <c r="AR453" s="77" t="n">
        <f aca="false">(1+Discount_Rate)^((Inputs!$F$26-AR$362)/Days_In_Year)</f>
        <v>0.103069288904634</v>
      </c>
      <c r="AS453" s="77" t="n">
        <f aca="false">(1+Discount_Rate)^((Inputs!$F$26-AS$362)/Days_In_Year)</f>
        <v>0.0954345267635496</v>
      </c>
    </row>
    <row r="454" customFormat="false" ht="14.25" hidden="false" customHeight="false" outlineLevel="0" collapsed="false">
      <c r="C454" s="6" t="s">
        <v>328</v>
      </c>
      <c r="D454" s="2" t="s">
        <v>85</v>
      </c>
      <c r="H454" s="8" t="n">
        <f aca="false">SUM(J454:AS454)</f>
        <v>117317.066600666</v>
      </c>
      <c r="J454" s="8" t="n">
        <f aca="false">J440*J453</f>
        <v>0</v>
      </c>
      <c r="K454" s="8" t="n">
        <f aca="false">K440*K453</f>
        <v>0</v>
      </c>
      <c r="L454" s="8" t="n">
        <f aca="false">L440*L453</f>
        <v>0</v>
      </c>
      <c r="M454" s="8" t="n">
        <f aca="false">M440*M453</f>
        <v>0</v>
      </c>
      <c r="N454" s="8" t="n">
        <f aca="false">N440*N453</f>
        <v>0</v>
      </c>
      <c r="O454" s="8" t="n">
        <f aca="false">O440*O453</f>
        <v>4876.8474889626</v>
      </c>
      <c r="P454" s="8" t="n">
        <f aca="false">P440*P453</f>
        <v>9090.53934016054</v>
      </c>
      <c r="Q454" s="8" t="n">
        <f aca="false">Q440*Q453</f>
        <v>8443.85559204061</v>
      </c>
      <c r="R454" s="8" t="n">
        <f aca="false">R440*R453</f>
        <v>7842.46260690271</v>
      </c>
      <c r="S454" s="8" t="n">
        <f aca="false">S440*S453</f>
        <v>7283.2240477567</v>
      </c>
      <c r="T454" s="8" t="n">
        <f aca="false">T440*T453</f>
        <v>6761.79304646313</v>
      </c>
      <c r="U454" s="8" t="n">
        <f aca="false">U440*U453</f>
        <v>6278.40300363448</v>
      </c>
      <c r="V454" s="8" t="n">
        <f aca="false">V440*V453</f>
        <v>5828.9855926955</v>
      </c>
      <c r="W454" s="8" t="n">
        <f aca="false">W440*W453</f>
        <v>5411.1821806256</v>
      </c>
      <c r="X454" s="8" t="n">
        <f aca="false">X440*X453</f>
        <v>5021.73745515717</v>
      </c>
      <c r="Y454" s="8" t="n">
        <f aca="false">Y440*Y453</f>
        <v>4660.80027334854</v>
      </c>
      <c r="Z454" s="8" t="n">
        <f aca="false">Z440*Z453</f>
        <v>4325.32588573996</v>
      </c>
      <c r="AA454" s="8" t="n">
        <f aca="false">AA440*AA453</f>
        <v>4013.54157817309</v>
      </c>
      <c r="AB454" s="8" t="n">
        <f aca="false">AB440*AB453</f>
        <v>3723.01176986731</v>
      </c>
      <c r="AC454" s="8" t="n">
        <f aca="false">AC440*AC453</f>
        <v>3453.82676468588</v>
      </c>
      <c r="AD454" s="8" t="n">
        <f aca="false">AD440*AD453</f>
        <v>3203.71011489412</v>
      </c>
      <c r="AE454" s="8" t="n">
        <f aca="false">AE440*AE453</f>
        <v>2971.33032336828</v>
      </c>
      <c r="AF454" s="8" t="n">
        <f aca="false">AF440*AF453</f>
        <v>2754.86696923197</v>
      </c>
      <c r="AG454" s="8" t="n">
        <f aca="false">AG440*AG453</f>
        <v>2554.37040340407</v>
      </c>
      <c r="AH454" s="8" t="n">
        <f aca="false">AH440*AH453</f>
        <v>2368.14043793919</v>
      </c>
      <c r="AI454" s="8" t="n">
        <f aca="false">AI440*AI453</f>
        <v>2195.17765884097</v>
      </c>
      <c r="AJ454" s="8" t="n">
        <f aca="false">AJ440*AJ453</f>
        <v>2034.12293346623</v>
      </c>
      <c r="AK454" s="8" t="n">
        <f aca="false">AK440*AK453</f>
        <v>1884.99987986481</v>
      </c>
      <c r="AL454" s="8" t="n">
        <f aca="false">AL440*AL453</f>
        <v>1746.54018249686</v>
      </c>
      <c r="AM454" s="8" t="n">
        <f aca="false">AM440*AM453</f>
        <v>1617.99423623126</v>
      </c>
      <c r="AN454" s="8" t="n">
        <f aca="false">AN440*AN453</f>
        <v>1498.34852868931</v>
      </c>
      <c r="AO454" s="8" t="n">
        <f aca="false">AO440*AO453</f>
        <v>1387.60926324361</v>
      </c>
      <c r="AP454" s="8" t="n">
        <f aca="false">AP440*AP453</f>
        <v>1284.83150622458</v>
      </c>
      <c r="AQ454" s="8" t="n">
        <f aca="false">AQ440*AQ453</f>
        <v>1189.4534633259</v>
      </c>
      <c r="AR454" s="8" t="n">
        <f aca="false">AR440*AR453</f>
        <v>1100.72034810141</v>
      </c>
      <c r="AS454" s="8" t="n">
        <f aca="false">AS440*AS453</f>
        <v>509.31372512961</v>
      </c>
    </row>
    <row r="455" customFormat="false" ht="14.25" hidden="false" customHeight="false" outlineLevel="0" collapsed="false">
      <c r="C455" s="1" t="s">
        <v>329</v>
      </c>
      <c r="D455" s="2" t="s">
        <v>85</v>
      </c>
      <c r="H455" s="32" t="n">
        <f aca="false">SUM(J455:AS455)</f>
        <v>40517.0073540907</v>
      </c>
      <c r="J455" s="32" t="n">
        <f aca="false">J426*(J416&lt;=0)+J421*($H454+$F$62+$F$63)</f>
        <v>0</v>
      </c>
      <c r="K455" s="32" t="n">
        <f aca="false">K426*(K416&lt;=0)+K421*($H454+$F$62+$F$63)</f>
        <v>0</v>
      </c>
      <c r="L455" s="32" t="n">
        <f aca="false">L426*(L416&lt;=0)+L421*($H454+$F$62+$F$63)</f>
        <v>0</v>
      </c>
      <c r="M455" s="32" t="n">
        <f aca="false">M426*(M416&lt;=0)+M421*($H454+$F$62+$F$63)</f>
        <v>-29757.5797945206</v>
      </c>
      <c r="N455" s="32" t="n">
        <f aca="false">N426*(N416&lt;=0)+N421*($H454+$F$62+$F$63)</f>
        <v>-31358</v>
      </c>
      <c r="O455" s="32" t="n">
        <f aca="false">O426*(O416&lt;=0)+O421*($H454+$F$62+$F$63)</f>
        <v>101632.587148611</v>
      </c>
      <c r="P455" s="32" t="n">
        <f aca="false">P426*(P416&lt;=0)+P421*($H454+$F$62+$F$63)</f>
        <v>0</v>
      </c>
      <c r="Q455" s="32" t="n">
        <f aca="false">Q426*(Q416&lt;=0)+Q421*($H454+$F$62+$F$63)</f>
        <v>0</v>
      </c>
      <c r="R455" s="32" t="n">
        <f aca="false">R426*(R416&lt;=0)+R421*($H454+$F$62+$F$63)</f>
        <v>0</v>
      </c>
      <c r="S455" s="32" t="n">
        <f aca="false">S426*(S416&lt;=0)+S421*($H454+$F$62+$F$63)</f>
        <v>0</v>
      </c>
      <c r="T455" s="32" t="n">
        <f aca="false">T426*(T416&lt;=0)+T421*($H454+$F$62+$F$63)</f>
        <v>0</v>
      </c>
      <c r="U455" s="32" t="n">
        <f aca="false">U426*(U416&lt;=0)+U421*($H454+$F$62+$F$63)</f>
        <v>0</v>
      </c>
      <c r="V455" s="32" t="n">
        <f aca="false">V426*(V416&lt;=0)+V421*($H454+$F$62+$F$63)</f>
        <v>0</v>
      </c>
      <c r="W455" s="32" t="n">
        <f aca="false">W426*(W416&lt;=0)+W421*($H454+$F$62+$F$63)</f>
        <v>0</v>
      </c>
      <c r="X455" s="32" t="n">
        <f aca="false">X426*(X416&lt;=0)+X421*($H454+$F$62+$F$63)</f>
        <v>0</v>
      </c>
      <c r="Y455" s="32" t="n">
        <f aca="false">Y426*(Y416&lt;=0)+Y421*($H454+$F$62+$F$63)</f>
        <v>0</v>
      </c>
      <c r="Z455" s="32" t="n">
        <f aca="false">Z426*(Z416&lt;=0)+Z421*($H454+$F$62+$F$63)</f>
        <v>0</v>
      </c>
      <c r="AA455" s="32" t="n">
        <f aca="false">AA426*(AA416&lt;=0)+AA421*($H454+$F$62+$F$63)</f>
        <v>0</v>
      </c>
      <c r="AB455" s="32" t="n">
        <f aca="false">AB426*(AB416&lt;=0)+AB421*($H454+$F$62+$F$63)</f>
        <v>0</v>
      </c>
      <c r="AC455" s="32" t="n">
        <f aca="false">AC426*(AC416&lt;=0)+AC421*($H454+$F$62+$F$63)</f>
        <v>0</v>
      </c>
      <c r="AD455" s="32" t="n">
        <f aca="false">AD426*(AD416&lt;=0)+AD421*($H454+$F$62+$F$63)</f>
        <v>0</v>
      </c>
      <c r="AE455" s="32" t="n">
        <f aca="false">AE426*(AE416&lt;=0)+AE421*($H454+$F$62+$F$63)</f>
        <v>0</v>
      </c>
      <c r="AF455" s="32" t="n">
        <f aca="false">AF426*(AF416&lt;=0)+AF421*($H454+$F$62+$F$63)</f>
        <v>0</v>
      </c>
      <c r="AG455" s="32" t="n">
        <f aca="false">AG426*(AG416&lt;=0)+AG421*($H454+$F$62+$F$63)</f>
        <v>0</v>
      </c>
      <c r="AH455" s="32" t="n">
        <f aca="false">AH426*(AH416&lt;=0)+AH421*($H454+$F$62+$F$63)</f>
        <v>0</v>
      </c>
      <c r="AI455" s="32" t="n">
        <f aca="false">AI426*(AI416&lt;=0)+AI421*($H454+$F$62+$F$63)</f>
        <v>0</v>
      </c>
      <c r="AJ455" s="32" t="n">
        <f aca="false">AJ426*(AJ416&lt;=0)+AJ421*($H454+$F$62+$F$63)</f>
        <v>0</v>
      </c>
      <c r="AK455" s="32" t="n">
        <f aca="false">AK426*(AK416&lt;=0)+AK421*($H454+$F$62+$F$63)</f>
        <v>0</v>
      </c>
      <c r="AL455" s="32" t="n">
        <f aca="false">AL426*(AL416&lt;=0)+AL421*($H454+$F$62+$F$63)</f>
        <v>0</v>
      </c>
      <c r="AM455" s="32" t="n">
        <f aca="false">AM426*(AM416&lt;=0)+AM421*($H454+$F$62+$F$63)</f>
        <v>0</v>
      </c>
      <c r="AN455" s="32" t="n">
        <f aca="false">AN426*(AN416&lt;=0)+AN421*($H454+$F$62+$F$63)</f>
        <v>0</v>
      </c>
      <c r="AO455" s="32" t="n">
        <f aca="false">AO426*(AO416&lt;=0)+AO421*($H454+$F$62+$F$63)</f>
        <v>0</v>
      </c>
      <c r="AP455" s="32" t="n">
        <f aca="false">AP426*(AP416&lt;=0)+AP421*($H454+$F$62+$F$63)</f>
        <v>0</v>
      </c>
      <c r="AQ455" s="32" t="n">
        <f aca="false">AQ426*(AQ416&lt;=0)+AQ421*($H454+$F$62+$F$63)</f>
        <v>0</v>
      </c>
      <c r="AR455" s="32" t="n">
        <f aca="false">AR426*(AR416&lt;=0)+AR421*($H454+$F$62+$F$63)</f>
        <v>0</v>
      </c>
      <c r="AS455" s="32" t="n">
        <f aca="false">AS426*(AS416&lt;=0)+AS421*($H454+$F$62+$F$63)</f>
        <v>0</v>
      </c>
    </row>
    <row r="456" customFormat="false" ht="14.25" hidden="false" customHeight="false" outlineLevel="0" collapsed="false">
      <c r="C456" s="41" t="s">
        <v>330</v>
      </c>
      <c r="D456" s="42"/>
      <c r="E456" s="43"/>
      <c r="F456" s="43"/>
      <c r="G456" s="43"/>
      <c r="H456" s="43"/>
    </row>
    <row r="457" customFormat="false" ht="14.25" hidden="false" customHeight="false" outlineLevel="0" collapsed="false">
      <c r="C457" s="6" t="s">
        <v>331</v>
      </c>
      <c r="D457" s="2" t="s">
        <v>85</v>
      </c>
      <c r="H457" s="8"/>
      <c r="J457" s="8" t="n">
        <f aca="false">(I457*(1+Rate_Cash)-SUMPRODUCT($F344:$F349*$N344:$N349*(YEAR($K344:$K349)=J361)))*(J362&lt;$F190)*$F21</f>
        <v>0</v>
      </c>
      <c r="K457" s="8" t="n">
        <f aca="false">(J457*(1+Rate_Cash)-SUMPRODUCT($F344:$F349*$N344:$N349*(YEAR($K344:$K349)=K361)))*(K362&lt;$F190)*$F21</f>
        <v>0</v>
      </c>
      <c r="L457" s="8" t="n">
        <f aca="false">(K457*(1+Rate_Cash)-SUMPRODUCT($F344:$F349*$N344:$N349*(YEAR($K344:$K349)=L361)))*(L362&lt;$F190)*$F21</f>
        <v>0</v>
      </c>
      <c r="M457" s="8" t="n">
        <f aca="false">(L457*(1+Rate_Cash)-SUMPRODUCT($F344:$F349*$N344:$N349*(YEAR($K344:$K349)=M361)))*(M362&lt;$F190)*$F21</f>
        <v>0</v>
      </c>
      <c r="N457" s="8" t="n">
        <f aca="false">(M457*(1+Rate_Cash)-SUMPRODUCT($F344:$F349*$N344:$N349*(YEAR($K344:$K349)=N361)))*(N362&lt;$F190)*$F21</f>
        <v>0</v>
      </c>
      <c r="O457" s="8" t="n">
        <f aca="false">(N457*(1+Rate_Cash)-SUMPRODUCT($F344:$F349*$N344:$N349*(YEAR($K344:$K349)=O361)))*(O362&lt;$F190)*$F21</f>
        <v>0</v>
      </c>
      <c r="P457" s="8" t="n">
        <f aca="false">(O457*(1+Rate_Cash)-SUMPRODUCT($F344:$F349*$N344:$N349*(YEAR($K344:$K349)=P361)))*(P362&lt;$F190)*$F21</f>
        <v>0</v>
      </c>
      <c r="Q457" s="8" t="n">
        <f aca="false">(P457*(1+Rate_Cash)-SUMPRODUCT($F344:$F349*$N344:$N349*(YEAR($K344:$K349)=Q361)))*(Q362&lt;$F190)*$F21</f>
        <v>0</v>
      </c>
      <c r="R457" s="8" t="n">
        <f aca="false">(Q457*(1+Rate_Cash)-SUMPRODUCT($F344:$F349*$N344:$N349*(YEAR($K344:$K349)=R361)))*(R362&lt;$F190)*$F21</f>
        <v>0</v>
      </c>
      <c r="S457" s="8" t="n">
        <f aca="false">(R457*(1+Rate_Cash)-SUMPRODUCT($F344:$F349*$N344:$N349*(YEAR($K344:$K349)=S361)))*(S362&lt;$F190)*$F21</f>
        <v>0</v>
      </c>
      <c r="T457" s="8" t="n">
        <f aca="false">(S457*(1+Rate_Cash)-SUMPRODUCT($F344:$F349*$N344:$N349*(YEAR($K344:$K349)=T361)))*(T362&lt;$F190)*$F21</f>
        <v>0</v>
      </c>
      <c r="U457" s="8" t="n">
        <f aca="false">(T457*(1+Rate_Cash)-SUMPRODUCT($F344:$F349*$N344:$N349*(YEAR($K344:$K349)=U361)))*(U362&lt;$F190)*$F21</f>
        <v>0</v>
      </c>
      <c r="V457" s="8" t="n">
        <f aca="false">(U457*(1+Rate_Cash)-SUMPRODUCT($F344:$F349*$N344:$N349*(YEAR($K344:$K349)=V361)))*(V362&lt;$F190)*$F21</f>
        <v>0</v>
      </c>
      <c r="W457" s="8" t="n">
        <f aca="false">(V457*(1+Rate_Cash)-SUMPRODUCT($F344:$F349*$N344:$N349*(YEAR($K344:$K349)=W361)))*(W362&lt;$F190)*$F21</f>
        <v>0</v>
      </c>
      <c r="X457" s="8" t="n">
        <f aca="false">(W457*(1+Rate_Cash)-SUMPRODUCT($F344:$F349*$N344:$N349*(YEAR($K344:$K349)=X361)))*(X362&lt;$F190)*$F21</f>
        <v>0</v>
      </c>
      <c r="Y457" s="8" t="n">
        <f aca="false">(X457*(1+Rate_Cash)-SUMPRODUCT($F344:$F349*$N344:$N349*(YEAR($K344:$K349)=Y361)))*(Y362&lt;$F190)*$F21</f>
        <v>0</v>
      </c>
      <c r="Z457" s="8" t="n">
        <f aca="false">(Y457*(1+Rate_Cash)-SUMPRODUCT($F344:$F349*$N344:$N349*(YEAR($K344:$K349)=Z361)))*(Z362&lt;$F190)*$F21</f>
        <v>0</v>
      </c>
      <c r="AA457" s="8" t="n">
        <f aca="false">(Z457*(1+Rate_Cash)-SUMPRODUCT($F344:$F349*$N344:$N349*(YEAR($K344:$K349)=AA361)))*(AA362&lt;$F190)*$F21</f>
        <v>0</v>
      </c>
      <c r="AB457" s="8" t="n">
        <f aca="false">(AA457*(1+Rate_Cash)-SUMPRODUCT($F344:$F349*$N344:$N349*(YEAR($K344:$K349)=AB361)))*(AB362&lt;$F190)*$F21</f>
        <v>0</v>
      </c>
      <c r="AC457" s="8" t="n">
        <f aca="false">(AB457*(1+Rate_Cash)-SUMPRODUCT($F344:$F349*$N344:$N349*(YEAR($K344:$K349)=AC361)))*(AC362&lt;$F190)*$F21</f>
        <v>0</v>
      </c>
      <c r="AD457" s="8" t="n">
        <f aca="false">(AC457*(1+Rate_Cash)-SUMPRODUCT($F344:$F349*$N344:$N349*(YEAR($K344:$K349)=AD361)))*(AD362&lt;$F190)*$F21</f>
        <v>0</v>
      </c>
      <c r="AE457" s="8" t="n">
        <f aca="false">(AD457*(1+Rate_Cash)-SUMPRODUCT($F344:$F349*$N344:$N349*(YEAR($K344:$K349)=AE361)))*(AE362&lt;$F190)*$F21</f>
        <v>0</v>
      </c>
      <c r="AF457" s="8" t="n">
        <f aca="false">(AE457*(1+Rate_Cash)-SUMPRODUCT($F344:$F349*$N344:$N349*(YEAR($K344:$K349)=AF361)))*(AF362&lt;$F190)*$F21</f>
        <v>0</v>
      </c>
      <c r="AG457" s="8" t="n">
        <f aca="false">(AF457*(1+Rate_Cash)-SUMPRODUCT($F344:$F349*$N344:$N349*(YEAR($K344:$K349)=AG361)))*(AG362&lt;$F190)*$F21</f>
        <v>0</v>
      </c>
      <c r="AH457" s="8" t="n">
        <f aca="false">(AG457*(1+Rate_Cash)-SUMPRODUCT($F344:$F349*$N344:$N349*(YEAR($K344:$K349)=AH361)))*(AH362&lt;$F190)*$F21</f>
        <v>0</v>
      </c>
      <c r="AI457" s="8" t="n">
        <f aca="false">(AH457*(1+Rate_Cash)-SUMPRODUCT($F344:$F349*$N344:$N349*(YEAR($K344:$K349)=AI361)))*(AI362&lt;$F190)*$F21</f>
        <v>0</v>
      </c>
      <c r="AJ457" s="8" t="n">
        <f aca="false">(AI457*(1+Rate_Cash)-SUMPRODUCT($F344:$F349*$N344:$N349*(YEAR($K344:$K349)=AJ361)))*(AJ362&lt;$F190)*$F21</f>
        <v>0</v>
      </c>
      <c r="AK457" s="8" t="n">
        <f aca="false">(AJ457*(1+Rate_Cash)-SUMPRODUCT($F344:$F349*$N344:$N349*(YEAR($K344:$K349)=AK361)))*(AK362&lt;$F190)*$F21</f>
        <v>0</v>
      </c>
      <c r="AL457" s="8" t="n">
        <f aca="false">(AK457*(1+Rate_Cash)-SUMPRODUCT($F344:$F349*$N344:$N349*(YEAR($K344:$K349)=AL361)))*(AL362&lt;$F190)*$F21</f>
        <v>0</v>
      </c>
      <c r="AM457" s="8" t="n">
        <f aca="false">(AL457*(1+Rate_Cash)-SUMPRODUCT($F344:$F349*$N344:$N349*(YEAR($K344:$K349)=AM361)))*(AM362&lt;$F190)*$F21</f>
        <v>0</v>
      </c>
      <c r="AN457" s="8" t="n">
        <f aca="false">(AM457*(1+Rate_Cash)-SUMPRODUCT($F344:$F349*$N344:$N349*(YEAR($K344:$K349)=AN361)))*(AN362&lt;$F190)*$F21</f>
        <v>0</v>
      </c>
      <c r="AO457" s="8" t="n">
        <f aca="false">(AN457*(1+Rate_Cash)-SUMPRODUCT($F344:$F349*$N344:$N349*(YEAR($K344:$K349)=AO361)))*(AO362&lt;$F190)*$F21</f>
        <v>0</v>
      </c>
      <c r="AP457" s="8" t="n">
        <f aca="false">(AO457*(1+Rate_Cash)-SUMPRODUCT($F344:$F349*$N344:$N349*(YEAR($K344:$K349)=AP361)))*(AP362&lt;$F190)*$F21</f>
        <v>0</v>
      </c>
      <c r="AQ457" s="8" t="n">
        <f aca="false">(AP457*(1+Rate_Cash)-SUMPRODUCT($F344:$F349*$N344:$N349*(YEAR($K344:$K349)=AQ361)))*(AQ362&lt;$F190)*$F21</f>
        <v>0</v>
      </c>
      <c r="AR457" s="8" t="n">
        <f aca="false">(AQ457*(1+Rate_Cash)-SUMPRODUCT($F344:$F349*$N344:$N349*(YEAR($K344:$K349)=AR361)))*(AR362&lt;$F190)*$F21</f>
        <v>0</v>
      </c>
      <c r="AS457" s="8" t="n">
        <f aca="false">(AR457*(1+Rate_Cash)-SUMPRODUCT($F344:$F349*$N344:$N349*(YEAR($K344:$K349)=AS361)))*(AS362&lt;$F190)*$F21</f>
        <v>0</v>
      </c>
    </row>
    <row r="458" customFormat="false" ht="14.25" hidden="false" customHeight="false" outlineLevel="0" collapsed="false">
      <c r="C458" s="6" t="s">
        <v>332</v>
      </c>
      <c r="D458" s="2" t="s">
        <v>85</v>
      </c>
      <c r="H458" s="8"/>
      <c r="J458" s="8" t="n">
        <f aca="false">(I458*(1+Rate_Devex)-SUMPRODUCT($F350:$F351*$N350:$N351*(YEAR($K350:$K351)=J361)))*(J362&lt;$F190)*$F21</f>
        <v>0</v>
      </c>
      <c r="K458" s="8" t="n">
        <f aca="false">(J458*(1+Rate_Devex)-SUMPRODUCT($F350:$F351*$N350:$N351*(YEAR($K350:$K351)=K361)))*(K362&lt;$F190)*$F21</f>
        <v>0</v>
      </c>
      <c r="L458" s="8" t="n">
        <f aca="false">(K458*(1+Rate_Devex)-SUMPRODUCT($F350:$F351*$N350:$N351*(YEAR($K350:$K351)=L361)))*(L362&lt;$F190)*$F21</f>
        <v>0</v>
      </c>
      <c r="M458" s="8" t="n">
        <f aca="false">(L458*(1+Rate_Devex)-SUMPRODUCT($F350:$F351*$N350:$N351*(YEAR($K350:$K351)=M361)))*(M362&lt;$F190)*$F21</f>
        <v>0</v>
      </c>
      <c r="N458" s="8" t="n">
        <f aca="false">(M458*(1+Rate_Devex)-SUMPRODUCT($F350:$F351*$N350:$N351*(YEAR($K350:$K351)=N361)))*(N362&lt;$F190)*$F21</f>
        <v>0</v>
      </c>
      <c r="O458" s="8" t="n">
        <f aca="false">(N458*(1+Rate_Devex)-SUMPRODUCT($F350:$F351*$N350:$N351*(YEAR($K350:$K351)=O361)))*(O362&lt;$F190)*$F21</f>
        <v>0</v>
      </c>
      <c r="P458" s="8" t="n">
        <f aca="false">(O458*(1+Rate_Devex)-SUMPRODUCT($F350:$F351*$N350:$N351*(YEAR($K350:$K351)=P361)))*(P362&lt;$F190)*$F21</f>
        <v>0</v>
      </c>
      <c r="Q458" s="8" t="n">
        <f aca="false">(P458*(1+Rate_Devex)-SUMPRODUCT($F350:$F351*$N350:$N351*(YEAR($K350:$K351)=Q361)))*(Q362&lt;$F190)*$F21</f>
        <v>0</v>
      </c>
      <c r="R458" s="8" t="n">
        <f aca="false">(Q458*(1+Rate_Devex)-SUMPRODUCT($F350:$F351*$N350:$N351*(YEAR($K350:$K351)=R361)))*(R362&lt;$F190)*$F21</f>
        <v>0</v>
      </c>
      <c r="S458" s="8" t="n">
        <f aca="false">(R458*(1+Rate_Devex)-SUMPRODUCT($F350:$F351*$N350:$N351*(YEAR($K350:$K351)=S361)))*(S362&lt;$F190)*$F21</f>
        <v>0</v>
      </c>
      <c r="T458" s="8" t="n">
        <f aca="false">(S458*(1+Rate_Devex)-SUMPRODUCT($F350:$F351*$N350:$N351*(YEAR($K350:$K351)=T361)))*(T362&lt;$F190)*$F21</f>
        <v>0</v>
      </c>
      <c r="U458" s="8" t="n">
        <f aca="false">(T458*(1+Rate_Devex)-SUMPRODUCT($F350:$F351*$N350:$N351*(YEAR($K350:$K351)=U361)))*(U362&lt;$F190)*$F21</f>
        <v>0</v>
      </c>
      <c r="V458" s="8" t="n">
        <f aca="false">(U458*(1+Rate_Devex)-SUMPRODUCT($F350:$F351*$N350:$N351*(YEAR($K350:$K351)=V361)))*(V362&lt;$F190)*$F21</f>
        <v>0</v>
      </c>
      <c r="W458" s="8" t="n">
        <f aca="false">(V458*(1+Rate_Devex)-SUMPRODUCT($F350:$F351*$N350:$N351*(YEAR($K350:$K351)=W361)))*(W362&lt;$F190)*$F21</f>
        <v>0</v>
      </c>
      <c r="X458" s="8" t="n">
        <f aca="false">(W458*(1+Rate_Devex)-SUMPRODUCT($F350:$F351*$N350:$N351*(YEAR($K350:$K351)=X361)))*(X362&lt;$F190)*$F21</f>
        <v>0</v>
      </c>
      <c r="Y458" s="8" t="n">
        <f aca="false">(X458*(1+Rate_Devex)-SUMPRODUCT($F350:$F351*$N350:$N351*(YEAR($K350:$K351)=Y361)))*(Y362&lt;$F190)*$F21</f>
        <v>0</v>
      </c>
      <c r="Z458" s="8" t="n">
        <f aca="false">(Y458*(1+Rate_Devex)-SUMPRODUCT($F350:$F351*$N350:$N351*(YEAR($K350:$K351)=Z361)))*(Z362&lt;$F190)*$F21</f>
        <v>0</v>
      </c>
      <c r="AA458" s="8" t="n">
        <f aca="false">(Z458*(1+Rate_Devex)-SUMPRODUCT($F350:$F351*$N350:$N351*(YEAR($K350:$K351)=AA361)))*(AA362&lt;$F190)*$F21</f>
        <v>0</v>
      </c>
      <c r="AB458" s="8" t="n">
        <f aca="false">(AA458*(1+Rate_Devex)-SUMPRODUCT($F350:$F351*$N350:$N351*(YEAR($K350:$K351)=AB361)))*(AB362&lt;$F190)*$F21</f>
        <v>0</v>
      </c>
      <c r="AC458" s="8" t="n">
        <f aca="false">(AB458*(1+Rate_Devex)-SUMPRODUCT($F350:$F351*$N350:$N351*(YEAR($K350:$K351)=AC361)))*(AC362&lt;$F190)*$F21</f>
        <v>0</v>
      </c>
      <c r="AD458" s="8" t="n">
        <f aca="false">(AC458*(1+Rate_Devex)-SUMPRODUCT($F350:$F351*$N350:$N351*(YEAR($K350:$K351)=AD361)))*(AD362&lt;$F190)*$F21</f>
        <v>0</v>
      </c>
      <c r="AE458" s="8" t="n">
        <f aca="false">(AD458*(1+Rate_Devex)-SUMPRODUCT($F350:$F351*$N350:$N351*(YEAR($K350:$K351)=AE361)))*(AE362&lt;$F190)*$F21</f>
        <v>0</v>
      </c>
      <c r="AF458" s="8" t="n">
        <f aca="false">(AE458*(1+Rate_Devex)-SUMPRODUCT($F350:$F351*$N350:$N351*(YEAR($K350:$K351)=AF361)))*(AF362&lt;$F190)*$F21</f>
        <v>0</v>
      </c>
      <c r="AG458" s="8" t="n">
        <f aca="false">(AF458*(1+Rate_Devex)-SUMPRODUCT($F350:$F351*$N350:$N351*(YEAR($K350:$K351)=AG361)))*(AG362&lt;$F190)*$F21</f>
        <v>0</v>
      </c>
      <c r="AH458" s="8" t="n">
        <f aca="false">(AG458*(1+Rate_Devex)-SUMPRODUCT($F350:$F351*$N350:$N351*(YEAR($K350:$K351)=AH361)))*(AH362&lt;$F190)*$F21</f>
        <v>0</v>
      </c>
      <c r="AI458" s="8" t="n">
        <f aca="false">(AH458*(1+Rate_Devex)-SUMPRODUCT($F350:$F351*$N350:$N351*(YEAR($K350:$K351)=AI361)))*(AI362&lt;$F190)*$F21</f>
        <v>0</v>
      </c>
      <c r="AJ458" s="8" t="n">
        <f aca="false">(AI458*(1+Rate_Devex)-SUMPRODUCT($F350:$F351*$N350:$N351*(YEAR($K350:$K351)=AJ361)))*(AJ362&lt;$F190)*$F21</f>
        <v>0</v>
      </c>
      <c r="AK458" s="8" t="n">
        <f aca="false">(AJ458*(1+Rate_Devex)-SUMPRODUCT($F350:$F351*$N350:$N351*(YEAR($K350:$K351)=AK361)))*(AK362&lt;$F190)*$F21</f>
        <v>0</v>
      </c>
      <c r="AL458" s="8" t="n">
        <f aca="false">(AK458*(1+Rate_Devex)-SUMPRODUCT($F350:$F351*$N350:$N351*(YEAR($K350:$K351)=AL361)))*(AL362&lt;$F190)*$F21</f>
        <v>0</v>
      </c>
      <c r="AM458" s="8" t="n">
        <f aca="false">(AL458*(1+Rate_Devex)-SUMPRODUCT($F350:$F351*$N350:$N351*(YEAR($K350:$K351)=AM361)))*(AM362&lt;$F190)*$F21</f>
        <v>0</v>
      </c>
      <c r="AN458" s="8" t="n">
        <f aca="false">(AM458*(1+Rate_Devex)-SUMPRODUCT($F350:$F351*$N350:$N351*(YEAR($K350:$K351)=AN361)))*(AN362&lt;$F190)*$F21</f>
        <v>0</v>
      </c>
      <c r="AO458" s="8" t="n">
        <f aca="false">(AN458*(1+Rate_Devex)-SUMPRODUCT($F350:$F351*$N350:$N351*(YEAR($K350:$K351)=AO361)))*(AO362&lt;$F190)*$F21</f>
        <v>0</v>
      </c>
      <c r="AP458" s="8" t="n">
        <f aca="false">(AO458*(1+Rate_Devex)-SUMPRODUCT($F350:$F351*$N350:$N351*(YEAR($K350:$K351)=AP361)))*(AP362&lt;$F190)*$F21</f>
        <v>0</v>
      </c>
      <c r="AQ458" s="8" t="n">
        <f aca="false">(AP458*(1+Rate_Devex)-SUMPRODUCT($F350:$F351*$N350:$N351*(YEAR($K350:$K351)=AQ361)))*(AQ362&lt;$F190)*$F21</f>
        <v>0</v>
      </c>
      <c r="AR458" s="8" t="n">
        <f aca="false">(AQ458*(1+Rate_Devex)-SUMPRODUCT($F350:$F351*$N350:$N351*(YEAR($K350:$K351)=AR361)))*(AR362&lt;$F190)*$F21</f>
        <v>0</v>
      </c>
      <c r="AS458" s="8" t="n">
        <f aca="false">(AR458*(1+Rate_Devex)-SUMPRODUCT($F350:$F351*$N350:$N351*(YEAR($K350:$K351)=AS361)))*(AS362&lt;$F190)*$F21</f>
        <v>0</v>
      </c>
    </row>
    <row r="459" customFormat="false" ht="14.25" hidden="false" customHeight="false" outlineLevel="0" collapsed="false">
      <c r="C459" s="6" t="s">
        <v>333</v>
      </c>
      <c r="D459" s="2" t="s">
        <v>85</v>
      </c>
      <c r="H459" s="8" t="n">
        <f aca="false">SUM(J459:AS459)</f>
        <v>0</v>
      </c>
      <c r="J459" s="8" t="n">
        <f aca="false">-SUMPRODUCT($F344:$F351*(YEAR($K344:$K351)=J361))*(J362&lt;$F190)*$F21</f>
        <v>0</v>
      </c>
      <c r="K459" s="8" t="n">
        <f aca="false">-SUMPRODUCT($F344:$F351*(YEAR($K344:$K351)=K361))*(K362&lt;$F190)*$F21</f>
        <v>0</v>
      </c>
      <c r="L459" s="8" t="n">
        <f aca="false">-SUMPRODUCT($F344:$F351*(YEAR($K344:$K351)=L361))*(L362&lt;$F190)*$F21</f>
        <v>0</v>
      </c>
      <c r="M459" s="8" t="n">
        <f aca="false">-SUMPRODUCT($F344:$F351*(YEAR($K344:$K351)=M361))*(M362&lt;$F190)*$F21</f>
        <v>-0</v>
      </c>
      <c r="N459" s="8" t="n">
        <f aca="false">-SUMPRODUCT($F344:$F351*(YEAR($K344:$K351)=N361))*(N362&lt;$F190)*$F21</f>
        <v>-0</v>
      </c>
      <c r="O459" s="8" t="n">
        <f aca="false">-SUMPRODUCT($F344:$F351*(YEAR($K344:$K351)=O361))*(O362&lt;$F190)*$F21</f>
        <v>-0</v>
      </c>
      <c r="P459" s="8" t="n">
        <f aca="false">-SUMPRODUCT($F344:$F351*(YEAR($K344:$K351)=P361))*(P362&lt;$F190)*$F21</f>
        <v>-0</v>
      </c>
      <c r="Q459" s="8" t="n">
        <f aca="false">-SUMPRODUCT($F344:$F351*(YEAR($K344:$K351)=Q361))*(Q362&lt;$F190)*$F21</f>
        <v>-0</v>
      </c>
      <c r="R459" s="8" t="n">
        <f aca="false">-SUMPRODUCT($F344:$F351*(YEAR($K344:$K351)=R361))*(R362&lt;$F190)*$F21</f>
        <v>-0</v>
      </c>
      <c r="S459" s="8" t="n">
        <f aca="false">-SUMPRODUCT($F344:$F351*(YEAR($K344:$K351)=S361))*(S362&lt;$F190)*$F21</f>
        <v>-0</v>
      </c>
      <c r="T459" s="8" t="n">
        <f aca="false">-SUMPRODUCT($F344:$F351*(YEAR($K344:$K351)=T361))*(T362&lt;$F190)*$F21</f>
        <v>-0</v>
      </c>
      <c r="U459" s="8" t="n">
        <f aca="false">-SUMPRODUCT($F344:$F351*(YEAR($K344:$K351)=U361))*(U362&lt;$F190)*$F21</f>
        <v>-0</v>
      </c>
      <c r="V459" s="8" t="n">
        <f aca="false">-SUMPRODUCT($F344:$F351*(YEAR($K344:$K351)=V361))*(V362&lt;$F190)*$F21</f>
        <v>-0</v>
      </c>
      <c r="W459" s="8" t="n">
        <f aca="false">-SUMPRODUCT($F344:$F351*(YEAR($K344:$K351)=W361))*(W362&lt;$F190)*$F21</f>
        <v>-0</v>
      </c>
      <c r="X459" s="8" t="n">
        <f aca="false">-SUMPRODUCT($F344:$F351*(YEAR($K344:$K351)=X361))*(X362&lt;$F190)*$F21</f>
        <v>-0</v>
      </c>
      <c r="Y459" s="8" t="n">
        <f aca="false">-SUMPRODUCT($F344:$F351*(YEAR($K344:$K351)=Y361))*(Y362&lt;$F190)*$F21</f>
        <v>-0</v>
      </c>
      <c r="Z459" s="8" t="n">
        <f aca="false">-SUMPRODUCT($F344:$F351*(YEAR($K344:$K351)=Z361))*(Z362&lt;$F190)*$F21</f>
        <v>-0</v>
      </c>
      <c r="AA459" s="8" t="n">
        <f aca="false">-SUMPRODUCT($F344:$F351*(YEAR($K344:$K351)=AA361))*(AA362&lt;$F190)*$F21</f>
        <v>-0</v>
      </c>
      <c r="AB459" s="8" t="n">
        <f aca="false">-SUMPRODUCT($F344:$F351*(YEAR($K344:$K351)=AB361))*(AB362&lt;$F190)*$F21</f>
        <v>-0</v>
      </c>
      <c r="AC459" s="8" t="n">
        <f aca="false">-SUMPRODUCT($F344:$F351*(YEAR($K344:$K351)=AC361))*(AC362&lt;$F190)*$F21</f>
        <v>-0</v>
      </c>
      <c r="AD459" s="8" t="n">
        <f aca="false">-SUMPRODUCT($F344:$F351*(YEAR($K344:$K351)=AD361))*(AD362&lt;$F190)*$F21</f>
        <v>-0</v>
      </c>
      <c r="AE459" s="8" t="n">
        <f aca="false">-SUMPRODUCT($F344:$F351*(YEAR($K344:$K351)=AE361))*(AE362&lt;$F190)*$F21</f>
        <v>-0</v>
      </c>
      <c r="AF459" s="8" t="n">
        <f aca="false">-SUMPRODUCT($F344:$F351*(YEAR($K344:$K351)=AF361))*(AF362&lt;$F190)*$F21</f>
        <v>-0</v>
      </c>
      <c r="AG459" s="8" t="n">
        <f aca="false">-SUMPRODUCT($F344:$F351*(YEAR($K344:$K351)=AG361))*(AG362&lt;$F190)*$F21</f>
        <v>-0</v>
      </c>
      <c r="AH459" s="8" t="n">
        <f aca="false">-SUMPRODUCT($F344:$F351*(YEAR($K344:$K351)=AH361))*(AH362&lt;$F190)*$F21</f>
        <v>-0</v>
      </c>
      <c r="AI459" s="8" t="n">
        <f aca="false">-SUMPRODUCT($F344:$F351*(YEAR($K344:$K351)=AI361))*(AI362&lt;$F190)*$F21</f>
        <v>-0</v>
      </c>
      <c r="AJ459" s="8" t="n">
        <f aca="false">-SUMPRODUCT($F344:$F351*(YEAR($K344:$K351)=AJ361))*(AJ362&lt;$F190)*$F21</f>
        <v>-0</v>
      </c>
      <c r="AK459" s="8" t="n">
        <f aca="false">-SUMPRODUCT($F344:$F351*(YEAR($K344:$K351)=AK361))*(AK362&lt;$F190)*$F21</f>
        <v>-0</v>
      </c>
      <c r="AL459" s="8" t="n">
        <f aca="false">-SUMPRODUCT($F344:$F351*(YEAR($K344:$K351)=AL361))*(AL362&lt;$F190)*$F21</f>
        <v>-0</v>
      </c>
      <c r="AM459" s="8" t="n">
        <f aca="false">-SUMPRODUCT($F344:$F351*(YEAR($K344:$K351)=AM361))*(AM362&lt;$F190)*$F21</f>
        <v>-0</v>
      </c>
      <c r="AN459" s="8" t="n">
        <f aca="false">-SUMPRODUCT($F344:$F351*(YEAR($K344:$K351)=AN361))*(AN362&lt;$F190)*$F21</f>
        <v>-0</v>
      </c>
      <c r="AO459" s="8" t="n">
        <f aca="false">-SUMPRODUCT($F344:$F351*(YEAR($K344:$K351)=AO361))*(AO362&lt;$F190)*$F21</f>
        <v>-0</v>
      </c>
      <c r="AP459" s="8" t="n">
        <f aca="false">-SUMPRODUCT($F344:$F351*(YEAR($K344:$K351)=AP361))*(AP362&lt;$F190)*$F21</f>
        <v>-0</v>
      </c>
      <c r="AQ459" s="8" t="n">
        <f aca="false">-SUMPRODUCT($F344:$F351*(YEAR($K344:$K351)=AQ361))*(AQ362&lt;$F190)*$F21</f>
        <v>-0</v>
      </c>
      <c r="AR459" s="8" t="n">
        <f aca="false">-SUMPRODUCT($F344:$F351*(YEAR($K344:$K351)=AR361))*(AR362&lt;$F190)*$F21</f>
        <v>-0</v>
      </c>
      <c r="AS459" s="8" t="n">
        <f aca="false">-SUMPRODUCT($F344:$F351*(YEAR($K344:$K351)=AS361))*(AS362&lt;$F190)*$F21</f>
        <v>-0</v>
      </c>
    </row>
    <row r="460" customFormat="false" ht="14.25" hidden="false" customHeight="false" outlineLevel="0" collapsed="false">
      <c r="C460" s="6" t="s">
        <v>334</v>
      </c>
      <c r="D460" s="2" t="s">
        <v>85</v>
      </c>
      <c r="H460" s="8" t="n">
        <f aca="false">SUM(J460:AS460)</f>
        <v>0</v>
      </c>
      <c r="J460" s="8" t="n">
        <f aca="false">(J457+J458-I457-I458-J459)*(J362&lt;$F190)*$F21</f>
        <v>0</v>
      </c>
      <c r="K460" s="8" t="n">
        <f aca="false">(K457+K458-J457-J458-K459)*(K362&lt;$F190)*$F21</f>
        <v>0</v>
      </c>
      <c r="L460" s="8" t="n">
        <f aca="false">(L457+L458-K457-K458-L459)*(L362&lt;$F190)*$F21</f>
        <v>0</v>
      </c>
      <c r="M460" s="8" t="n">
        <f aca="false">(M457+M458-L457-L458-M459)*(M362&lt;$F190)*$F21</f>
        <v>0</v>
      </c>
      <c r="N460" s="8" t="n">
        <f aca="false">(N457+N458-M457-M458-N459)*(N362&lt;$F190)*$F21</f>
        <v>0</v>
      </c>
      <c r="O460" s="8" t="n">
        <f aca="false">(O457+O458-N457-N458-O459)*(O362&lt;$F190)*$F21</f>
        <v>0</v>
      </c>
      <c r="P460" s="8" t="n">
        <f aca="false">(P457+P458-O457-O458-P459)*(P362&lt;$F190)*$F21</f>
        <v>0</v>
      </c>
      <c r="Q460" s="8" t="n">
        <f aca="false">(Q457+Q458-P457-P458-Q459)*(Q362&lt;$F190)*$F21</f>
        <v>0</v>
      </c>
      <c r="R460" s="8" t="n">
        <f aca="false">(R457+R458-Q457-Q458-R459)*(R362&lt;$F190)*$F21</f>
        <v>0</v>
      </c>
      <c r="S460" s="8" t="n">
        <f aca="false">(S457+S458-R457-R458-S459)*(S362&lt;$F190)*$F21</f>
        <v>0</v>
      </c>
      <c r="T460" s="8" t="n">
        <f aca="false">(T457+T458-S457-S458-T459)*(T362&lt;$F190)*$F21</f>
        <v>0</v>
      </c>
      <c r="U460" s="8" t="n">
        <f aca="false">(U457+U458-T457-T458-U459)*(U362&lt;$F190)*$F21</f>
        <v>0</v>
      </c>
      <c r="V460" s="8" t="n">
        <f aca="false">(V457+V458-U457-U458-V459)*(V362&lt;$F190)*$F21</f>
        <v>0</v>
      </c>
      <c r="W460" s="8" t="n">
        <f aca="false">(W457+W458-V457-V458-W459)*(W362&lt;$F190)*$F21</f>
        <v>0</v>
      </c>
      <c r="X460" s="8" t="n">
        <f aca="false">(X457+X458-W457-W458-X459)*(X362&lt;$F190)*$F21</f>
        <v>0</v>
      </c>
      <c r="Y460" s="8" t="n">
        <f aca="false">(Y457+Y458-X457-X458-Y459)*(Y362&lt;$F190)*$F21</f>
        <v>0</v>
      </c>
      <c r="Z460" s="8" t="n">
        <f aca="false">(Z457+Z458-Y457-Y458-Z459)*(Z362&lt;$F190)*$F21</f>
        <v>0</v>
      </c>
      <c r="AA460" s="8" t="n">
        <f aca="false">(AA457+AA458-Z457-Z458-AA459)*(AA362&lt;$F190)*$F21</f>
        <v>0</v>
      </c>
      <c r="AB460" s="8" t="n">
        <f aca="false">(AB457+AB458-AA457-AA458-AB459)*(AB362&lt;$F190)*$F21</f>
        <v>0</v>
      </c>
      <c r="AC460" s="8" t="n">
        <f aca="false">(AC457+AC458-AB457-AB458-AC459)*(AC362&lt;$F190)*$F21</f>
        <v>0</v>
      </c>
      <c r="AD460" s="8" t="n">
        <f aca="false">(AD457+AD458-AC457-AC458-AD459)*(AD362&lt;$F190)*$F21</f>
        <v>0</v>
      </c>
      <c r="AE460" s="8" t="n">
        <f aca="false">(AE457+AE458-AD457-AD458-AE459)*(AE362&lt;$F190)*$F21</f>
        <v>0</v>
      </c>
      <c r="AF460" s="8" t="n">
        <f aca="false">(AF457+AF458-AE457-AE458-AF459)*(AF362&lt;$F190)*$F21</f>
        <v>0</v>
      </c>
      <c r="AG460" s="8" t="n">
        <f aca="false">(AG457+AG458-AF457-AF458-AG459)*(AG362&lt;$F190)*$F21</f>
        <v>0</v>
      </c>
      <c r="AH460" s="8" t="n">
        <f aca="false">(AH457+AH458-AG457-AG458-AH459)*(AH362&lt;$F190)*$F21</f>
        <v>0</v>
      </c>
      <c r="AI460" s="8" t="n">
        <f aca="false">(AI457+AI458-AH457-AH458-AI459)*(AI362&lt;$F190)*$F21</f>
        <v>0</v>
      </c>
      <c r="AJ460" s="8" t="n">
        <f aca="false">(AJ457+AJ458-AI457-AI458-AJ459)*(AJ362&lt;$F190)*$F21</f>
        <v>0</v>
      </c>
      <c r="AK460" s="8" t="n">
        <f aca="false">(AK457+AK458-AJ457-AJ458-AK459)*(AK362&lt;$F190)*$F21</f>
        <v>0</v>
      </c>
      <c r="AL460" s="8" t="n">
        <f aca="false">(AL457+AL458-AK457-AK458-AL459)*(AL362&lt;$F190)*$F21</f>
        <v>0</v>
      </c>
      <c r="AM460" s="8" t="n">
        <f aca="false">(AM457+AM458-AL457-AL458-AM459)*(AM362&lt;$F190)*$F21</f>
        <v>0</v>
      </c>
      <c r="AN460" s="8" t="n">
        <f aca="false">(AN457+AN458-AM457-AM458-AN459)*(AN362&lt;$F190)*$F21</f>
        <v>0</v>
      </c>
      <c r="AO460" s="8" t="n">
        <f aca="false">(AO457+AO458-AN457-AN458-AO459)*(AO362&lt;$F190)*$F21</f>
        <v>0</v>
      </c>
      <c r="AP460" s="8" t="n">
        <f aca="false">(AP457+AP458-AO457-AO458-AP459)*(AP362&lt;$F190)*$F21</f>
        <v>0</v>
      </c>
      <c r="AQ460" s="8" t="n">
        <f aca="false">(AQ457+AQ458-AP457-AP458-AQ459)*(AQ362&lt;$F190)*$F21</f>
        <v>0</v>
      </c>
      <c r="AR460" s="8" t="n">
        <f aca="false">(AR457+AR458-AQ457-AQ458-AR459)*(AR362&lt;$F190)*$F21</f>
        <v>0</v>
      </c>
      <c r="AS460" s="8" t="n">
        <f aca="false">(AS457+AS458-AR457-AR458-AS459)*(AS362&lt;$F190)*$F21</f>
        <v>0</v>
      </c>
    </row>
    <row r="461" customFormat="false" ht="14.25" hidden="false" customHeight="false" outlineLevel="0" collapsed="false">
      <c r="C461" s="6" t="s">
        <v>335</v>
      </c>
      <c r="D461" s="2" t="s">
        <v>85</v>
      </c>
      <c r="H461" s="8"/>
      <c r="J461" s="8" t="n">
        <f aca="false">(I461*(1+Rate_Cash)-SUMPRODUCT($F290:$F293*$N290:$N293*(YEAR($K290:$K293)=J361)))*(J362&lt;$F225)*$F21</f>
        <v>0</v>
      </c>
      <c r="K461" s="8" t="n">
        <f aca="false">(J461*(1+Rate_Cash)-SUMPRODUCT($F290:$F293*$N290:$N293*(YEAR($K290:$K293)=K361)))*(K362&lt;$F225)*$F21</f>
        <v>0</v>
      </c>
      <c r="L461" s="8" t="n">
        <f aca="false">(K461*(1+Rate_Cash)-SUMPRODUCT($F290:$F293*$N290:$N293*(YEAR($K290:$K293)=L361)))*(L362&lt;$F225)*$F21</f>
        <v>0</v>
      </c>
      <c r="M461" s="8" t="n">
        <f aca="false">(L461*(1+Rate_Cash)-SUMPRODUCT($F290:$F293*$N290:$N293*(YEAR($K290:$K293)=M361)))*(M362&lt;$F225)*$F21</f>
        <v>0</v>
      </c>
      <c r="N461" s="8" t="n">
        <f aca="false">(M461*(1+Rate_Cash)-SUMPRODUCT($F290:$F293*$N290:$N293*(YEAR($K290:$K293)=N361)))*(N362&lt;$F225)*$F21</f>
        <v>0</v>
      </c>
      <c r="O461" s="8" t="n">
        <f aca="false">(N461*(1+Rate_Cash)-SUMPRODUCT($F290:$F293*$N290:$N293*(YEAR($K290:$K293)=O361)))*(O362&lt;$F225)*$F21</f>
        <v>0</v>
      </c>
      <c r="P461" s="8" t="n">
        <f aca="false">(O461*(1+Rate_Cash)-SUMPRODUCT($F290:$F293*$N290:$N293*(YEAR($K290:$K293)=P361)))*(P362&lt;$F225)*$F21</f>
        <v>0</v>
      </c>
      <c r="Q461" s="8" t="n">
        <f aca="false">(P461*(1+Rate_Cash)-SUMPRODUCT($F290:$F293*$N290:$N293*(YEAR($K290:$K293)=Q361)))*(Q362&lt;$F225)*$F21</f>
        <v>0</v>
      </c>
      <c r="R461" s="8" t="n">
        <f aca="false">(Q461*(1+Rate_Cash)-SUMPRODUCT($F290:$F293*$N290:$N293*(YEAR($K290:$K293)=R361)))*(R362&lt;$F225)*$F21</f>
        <v>0</v>
      </c>
      <c r="S461" s="8" t="n">
        <f aca="false">(R461*(1+Rate_Cash)-SUMPRODUCT($F290:$F293*$N290:$N293*(YEAR($K290:$K293)=S361)))*(S362&lt;$F225)*$F21</f>
        <v>0</v>
      </c>
      <c r="T461" s="8" t="n">
        <f aca="false">(S461*(1+Rate_Cash)-SUMPRODUCT($F290:$F293*$N290:$N293*(YEAR($K290:$K293)=T361)))*(T362&lt;$F225)*$F21</f>
        <v>0</v>
      </c>
      <c r="U461" s="8" t="n">
        <f aca="false">(T461*(1+Rate_Cash)-SUMPRODUCT($F290:$F293*$N290:$N293*(YEAR($K290:$K293)=U361)))*(U362&lt;$F225)*$F21</f>
        <v>0</v>
      </c>
      <c r="V461" s="8" t="n">
        <f aca="false">(U461*(1+Rate_Cash)-SUMPRODUCT($F290:$F293*$N290:$N293*(YEAR($K290:$K293)=V361)))*(V362&lt;$F225)*$F21</f>
        <v>0</v>
      </c>
      <c r="W461" s="8" t="n">
        <f aca="false">(V461*(1+Rate_Cash)-SUMPRODUCT($F290:$F293*$N290:$N293*(YEAR($K290:$K293)=W361)))*(W362&lt;$F225)*$F21</f>
        <v>0</v>
      </c>
      <c r="X461" s="8" t="n">
        <f aca="false">(W461*(1+Rate_Cash)-SUMPRODUCT($F290:$F293*$N290:$N293*(YEAR($K290:$K293)=X361)))*(X362&lt;$F225)*$F21</f>
        <v>0</v>
      </c>
      <c r="Y461" s="8" t="n">
        <f aca="false">(X461*(1+Rate_Cash)-SUMPRODUCT($F290:$F293*$N290:$N293*(YEAR($K290:$K293)=Y361)))*(Y362&lt;$F225)*$F21</f>
        <v>0</v>
      </c>
      <c r="Z461" s="8" t="n">
        <f aca="false">(Y461*(1+Rate_Cash)-SUMPRODUCT($F290:$F293*$N290:$N293*(YEAR($K290:$K293)=Z361)))*(Z362&lt;$F225)*$F21</f>
        <v>0</v>
      </c>
      <c r="AA461" s="8" t="n">
        <f aca="false">(Z461*(1+Rate_Cash)-SUMPRODUCT($F290:$F293*$N290:$N293*(YEAR($K290:$K293)=AA361)))*(AA362&lt;$F225)*$F21</f>
        <v>0</v>
      </c>
      <c r="AB461" s="8" t="n">
        <f aca="false">(AA461*(1+Rate_Cash)-SUMPRODUCT($F290:$F293*$N290:$N293*(YEAR($K290:$K293)=AB361)))*(AB362&lt;$F225)*$F21</f>
        <v>0</v>
      </c>
      <c r="AC461" s="8" t="n">
        <f aca="false">(AB461*(1+Rate_Cash)-SUMPRODUCT($F290:$F293*$N290:$N293*(YEAR($K290:$K293)=AC361)))*(AC362&lt;$F225)*$F21</f>
        <v>0</v>
      </c>
      <c r="AD461" s="8" t="n">
        <f aca="false">(AC461*(1+Rate_Cash)-SUMPRODUCT($F290:$F293*$N290:$N293*(YEAR($K290:$K293)=AD361)))*(AD362&lt;$F225)*$F21</f>
        <v>0</v>
      </c>
      <c r="AE461" s="8" t="n">
        <f aca="false">(AD461*(1+Rate_Cash)-SUMPRODUCT($F290:$F293*$N290:$N293*(YEAR($K290:$K293)=AE361)))*(AE362&lt;$F225)*$F21</f>
        <v>0</v>
      </c>
      <c r="AF461" s="8" t="n">
        <f aca="false">(AE461*(1+Rate_Cash)-SUMPRODUCT($F290:$F293*$N290:$N293*(YEAR($K290:$K293)=AF361)))*(AF362&lt;$F225)*$F21</f>
        <v>0</v>
      </c>
      <c r="AG461" s="8" t="n">
        <f aca="false">(AF461*(1+Rate_Cash)-SUMPRODUCT($F290:$F293*$N290:$N293*(YEAR($K290:$K293)=AG361)))*(AG362&lt;$F225)*$F21</f>
        <v>0</v>
      </c>
      <c r="AH461" s="8" t="n">
        <f aca="false">(AG461*(1+Rate_Cash)-SUMPRODUCT($F290:$F293*$N290:$N293*(YEAR($K290:$K293)=AH361)))*(AH362&lt;$F225)*$F21</f>
        <v>0</v>
      </c>
      <c r="AI461" s="8" t="n">
        <f aca="false">(AH461*(1+Rate_Cash)-SUMPRODUCT($F290:$F293*$N290:$N293*(YEAR($K290:$K293)=AI361)))*(AI362&lt;$F225)*$F21</f>
        <v>0</v>
      </c>
      <c r="AJ461" s="8" t="n">
        <f aca="false">(AI461*(1+Rate_Cash)-SUMPRODUCT($F290:$F293*$N290:$N293*(YEAR($K290:$K293)=AJ361)))*(AJ362&lt;$F225)*$F21</f>
        <v>0</v>
      </c>
      <c r="AK461" s="8" t="n">
        <f aca="false">(AJ461*(1+Rate_Cash)-SUMPRODUCT($F290:$F293*$N290:$N293*(YEAR($K290:$K293)=AK361)))*(AK362&lt;$F225)*$F21</f>
        <v>0</v>
      </c>
      <c r="AL461" s="8" t="n">
        <f aca="false">(AK461*(1+Rate_Cash)-SUMPRODUCT($F290:$F293*$N290:$N293*(YEAR($K290:$K293)=AL361)))*(AL362&lt;$F225)*$F21</f>
        <v>0</v>
      </c>
      <c r="AM461" s="8" t="n">
        <f aca="false">(AL461*(1+Rate_Cash)-SUMPRODUCT($F290:$F293*$N290:$N293*(YEAR($K290:$K293)=AM361)))*(AM362&lt;$F225)*$F21</f>
        <v>0</v>
      </c>
      <c r="AN461" s="8" t="n">
        <f aca="false">(AM461*(1+Rate_Cash)-SUMPRODUCT($F290:$F293*$N290:$N293*(YEAR($K290:$K293)=AN361)))*(AN362&lt;$F225)*$F21</f>
        <v>0</v>
      </c>
      <c r="AO461" s="8" t="n">
        <f aca="false">(AN461*(1+Rate_Cash)-SUMPRODUCT($F290:$F293*$N290:$N293*(YEAR($K290:$K293)=AO361)))*(AO362&lt;$F225)*$F21</f>
        <v>0</v>
      </c>
      <c r="AP461" s="8" t="n">
        <f aca="false">(AO461*(1+Rate_Cash)-SUMPRODUCT($F290:$F293*$N290:$N293*(YEAR($K290:$K293)=AP361)))*(AP362&lt;$F225)*$F21</f>
        <v>0</v>
      </c>
      <c r="AQ461" s="8" t="n">
        <f aca="false">(AP461*(1+Rate_Cash)-SUMPRODUCT($F290:$F293*$N290:$N293*(YEAR($K290:$K293)=AQ361)))*(AQ362&lt;$F225)*$F21</f>
        <v>0</v>
      </c>
      <c r="AR461" s="8" t="n">
        <f aca="false">(AQ461*(1+Rate_Cash)-SUMPRODUCT($F290:$F293*$N290:$N293*(YEAR($K290:$K293)=AR361)))*(AR362&lt;$F225)*$F21</f>
        <v>0</v>
      </c>
      <c r="AS461" s="8" t="n">
        <f aca="false">(AR461*(1+Rate_Cash)-SUMPRODUCT($F290:$F293*$N290:$N293*(YEAR($K290:$K293)=AS361)))*(AS362&lt;$F225)*$F21</f>
        <v>0</v>
      </c>
    </row>
    <row r="462" customFormat="false" ht="14.25" hidden="false" customHeight="false" outlineLevel="0" collapsed="false">
      <c r="C462" s="6" t="s">
        <v>336</v>
      </c>
      <c r="D462" s="2" t="s">
        <v>85</v>
      </c>
      <c r="H462" s="8"/>
      <c r="J462" s="8" t="n">
        <f aca="false">(I462*(1+Rate_Devex)-SUMPRODUCT($F294:$F295*$N294:$N295*(YEAR($K294:$K295)=J361)))*(J362&lt;$F225)*$F21</f>
        <v>0</v>
      </c>
      <c r="K462" s="8" t="n">
        <f aca="false">(J462*(1+Rate_Devex)-SUMPRODUCT($F294:$F295*$N294:$N295*(YEAR($K294:$K295)=K361)))*(K362&lt;$F225)*$F21</f>
        <v>0</v>
      </c>
      <c r="L462" s="8" t="n">
        <f aca="false">(K462*(1+Rate_Devex)-SUMPRODUCT($F294:$F295*$N294:$N295*(YEAR($K294:$K295)=L361)))*(L362&lt;$F225)*$F21</f>
        <v>0</v>
      </c>
      <c r="M462" s="8" t="n">
        <f aca="false">(L462*(1+Rate_Devex)-SUMPRODUCT($F294:$F295*$N294:$N295*(YEAR($K294:$K295)=M361)))*(M362&lt;$F225)*$F21</f>
        <v>0</v>
      </c>
      <c r="N462" s="8" t="n">
        <f aca="false">(M462*(1+Rate_Devex)-SUMPRODUCT($F294:$F295*$N294:$N295*(YEAR($K294:$K295)=N361)))*(N362&lt;$F225)*$F21</f>
        <v>0</v>
      </c>
      <c r="O462" s="8" t="n">
        <f aca="false">(N462*(1+Rate_Devex)-SUMPRODUCT($F294:$F295*$N294:$N295*(YEAR($K294:$K295)=O361)))*(O362&lt;$F225)*$F21</f>
        <v>0</v>
      </c>
      <c r="P462" s="8" t="n">
        <f aca="false">(O462*(1+Rate_Devex)-SUMPRODUCT($F294:$F295*$N294:$N295*(YEAR($K294:$K295)=P361)))*(P362&lt;$F225)*$F21</f>
        <v>0</v>
      </c>
      <c r="Q462" s="8" t="n">
        <f aca="false">(P462*(1+Rate_Devex)-SUMPRODUCT($F294:$F295*$N294:$N295*(YEAR($K294:$K295)=Q361)))*(Q362&lt;$F225)*$F21</f>
        <v>0</v>
      </c>
      <c r="R462" s="8" t="n">
        <f aca="false">(Q462*(1+Rate_Devex)-SUMPRODUCT($F294:$F295*$N294:$N295*(YEAR($K294:$K295)=R361)))*(R362&lt;$F225)*$F21</f>
        <v>0</v>
      </c>
      <c r="S462" s="8" t="n">
        <f aca="false">(R462*(1+Rate_Devex)-SUMPRODUCT($F294:$F295*$N294:$N295*(YEAR($K294:$K295)=S361)))*(S362&lt;$F225)*$F21</f>
        <v>0</v>
      </c>
      <c r="T462" s="8" t="n">
        <f aca="false">(S462*(1+Rate_Devex)-SUMPRODUCT($F294:$F295*$N294:$N295*(YEAR($K294:$K295)=T361)))*(T362&lt;$F225)*$F21</f>
        <v>0</v>
      </c>
      <c r="U462" s="8" t="n">
        <f aca="false">(T462*(1+Rate_Devex)-SUMPRODUCT($F294:$F295*$N294:$N295*(YEAR($K294:$K295)=U361)))*(U362&lt;$F225)*$F21</f>
        <v>0</v>
      </c>
      <c r="V462" s="8" t="n">
        <f aca="false">(U462*(1+Rate_Devex)-SUMPRODUCT($F294:$F295*$N294:$N295*(YEAR($K294:$K295)=V361)))*(V362&lt;$F225)*$F21</f>
        <v>0</v>
      </c>
      <c r="W462" s="8" t="n">
        <f aca="false">(V462*(1+Rate_Devex)-SUMPRODUCT($F294:$F295*$N294:$N295*(YEAR($K294:$K295)=W361)))*(W362&lt;$F225)*$F21</f>
        <v>0</v>
      </c>
      <c r="X462" s="8" t="n">
        <f aca="false">(W462*(1+Rate_Devex)-SUMPRODUCT($F294:$F295*$N294:$N295*(YEAR($K294:$K295)=X361)))*(X362&lt;$F225)*$F21</f>
        <v>0</v>
      </c>
      <c r="Y462" s="8" t="n">
        <f aca="false">(X462*(1+Rate_Devex)-SUMPRODUCT($F294:$F295*$N294:$N295*(YEAR($K294:$K295)=Y361)))*(Y362&lt;$F225)*$F21</f>
        <v>0</v>
      </c>
      <c r="Z462" s="8" t="n">
        <f aca="false">(Y462*(1+Rate_Devex)-SUMPRODUCT($F294:$F295*$N294:$N295*(YEAR($K294:$K295)=Z361)))*(Z362&lt;$F225)*$F21</f>
        <v>0</v>
      </c>
      <c r="AA462" s="8" t="n">
        <f aca="false">(Z462*(1+Rate_Devex)-SUMPRODUCT($F294:$F295*$N294:$N295*(YEAR($K294:$K295)=AA361)))*(AA362&lt;$F225)*$F21</f>
        <v>0</v>
      </c>
      <c r="AB462" s="8" t="n">
        <f aca="false">(AA462*(1+Rate_Devex)-SUMPRODUCT($F294:$F295*$N294:$N295*(YEAR($K294:$K295)=AB361)))*(AB362&lt;$F225)*$F21</f>
        <v>0</v>
      </c>
      <c r="AC462" s="8" t="n">
        <f aca="false">(AB462*(1+Rate_Devex)-SUMPRODUCT($F294:$F295*$N294:$N295*(YEAR($K294:$K295)=AC361)))*(AC362&lt;$F225)*$F21</f>
        <v>0</v>
      </c>
      <c r="AD462" s="8" t="n">
        <f aca="false">(AC462*(1+Rate_Devex)-SUMPRODUCT($F294:$F295*$N294:$N295*(YEAR($K294:$K295)=AD361)))*(AD362&lt;$F225)*$F21</f>
        <v>0</v>
      </c>
      <c r="AE462" s="8" t="n">
        <f aca="false">(AD462*(1+Rate_Devex)-SUMPRODUCT($F294:$F295*$N294:$N295*(YEAR($K294:$K295)=AE361)))*(AE362&lt;$F225)*$F21</f>
        <v>0</v>
      </c>
      <c r="AF462" s="8" t="n">
        <f aca="false">(AE462*(1+Rate_Devex)-SUMPRODUCT($F294:$F295*$N294:$N295*(YEAR($K294:$K295)=AF361)))*(AF362&lt;$F225)*$F21</f>
        <v>0</v>
      </c>
      <c r="AG462" s="8" t="n">
        <f aca="false">(AF462*(1+Rate_Devex)-SUMPRODUCT($F294:$F295*$N294:$N295*(YEAR($K294:$K295)=AG361)))*(AG362&lt;$F225)*$F21</f>
        <v>0</v>
      </c>
      <c r="AH462" s="8" t="n">
        <f aca="false">(AG462*(1+Rate_Devex)-SUMPRODUCT($F294:$F295*$N294:$N295*(YEAR($K294:$K295)=AH361)))*(AH362&lt;$F225)*$F21</f>
        <v>0</v>
      </c>
      <c r="AI462" s="8" t="n">
        <f aca="false">(AH462*(1+Rate_Devex)-SUMPRODUCT($F294:$F295*$N294:$N295*(YEAR($K294:$K295)=AI361)))*(AI362&lt;$F225)*$F21</f>
        <v>0</v>
      </c>
      <c r="AJ462" s="8" t="n">
        <f aca="false">(AI462*(1+Rate_Devex)-SUMPRODUCT($F294:$F295*$N294:$N295*(YEAR($K294:$K295)=AJ361)))*(AJ362&lt;$F225)*$F21</f>
        <v>0</v>
      </c>
      <c r="AK462" s="8" t="n">
        <f aca="false">(AJ462*(1+Rate_Devex)-SUMPRODUCT($F294:$F295*$N294:$N295*(YEAR($K294:$K295)=AK361)))*(AK362&lt;$F225)*$F21</f>
        <v>0</v>
      </c>
      <c r="AL462" s="8" t="n">
        <f aca="false">(AK462*(1+Rate_Devex)-SUMPRODUCT($F294:$F295*$N294:$N295*(YEAR($K294:$K295)=AL361)))*(AL362&lt;$F225)*$F21</f>
        <v>0</v>
      </c>
      <c r="AM462" s="8" t="n">
        <f aca="false">(AL462*(1+Rate_Devex)-SUMPRODUCT($F294:$F295*$N294:$N295*(YEAR($K294:$K295)=AM361)))*(AM362&lt;$F225)*$F21</f>
        <v>0</v>
      </c>
      <c r="AN462" s="8" t="n">
        <f aca="false">(AM462*(1+Rate_Devex)-SUMPRODUCT($F294:$F295*$N294:$N295*(YEAR($K294:$K295)=AN361)))*(AN362&lt;$F225)*$F21</f>
        <v>0</v>
      </c>
      <c r="AO462" s="8" t="n">
        <f aca="false">(AN462*(1+Rate_Devex)-SUMPRODUCT($F294:$F295*$N294:$N295*(YEAR($K294:$K295)=AO361)))*(AO362&lt;$F225)*$F21</f>
        <v>0</v>
      </c>
      <c r="AP462" s="8" t="n">
        <f aca="false">(AO462*(1+Rate_Devex)-SUMPRODUCT($F294:$F295*$N294:$N295*(YEAR($K294:$K295)=AP361)))*(AP362&lt;$F225)*$F21</f>
        <v>0</v>
      </c>
      <c r="AQ462" s="8" t="n">
        <f aca="false">(AP462*(1+Rate_Devex)-SUMPRODUCT($F294:$F295*$N294:$N295*(YEAR($K294:$K295)=AQ361)))*(AQ362&lt;$F225)*$F21</f>
        <v>0</v>
      </c>
      <c r="AR462" s="8" t="n">
        <f aca="false">(AQ462*(1+Rate_Devex)-SUMPRODUCT($F294:$F295*$N294:$N295*(YEAR($K294:$K295)=AR361)))*(AR362&lt;$F225)*$F21</f>
        <v>0</v>
      </c>
      <c r="AS462" s="8" t="n">
        <f aca="false">(AR462*(1+Rate_Devex)-SUMPRODUCT($F294:$F295*$N294:$N295*(YEAR($K294:$K295)=AS361)))*(AS362&lt;$F225)*$F21</f>
        <v>0</v>
      </c>
    </row>
    <row r="463" customFormat="false" ht="14.25" hidden="false" customHeight="false" outlineLevel="0" collapsed="false">
      <c r="C463" s="6" t="s">
        <v>337</v>
      </c>
      <c r="D463" s="2" t="s">
        <v>85</v>
      </c>
      <c r="H463" s="8" t="n">
        <f aca="false">SUM(J463:AS463)</f>
        <v>0</v>
      </c>
      <c r="J463" s="8" t="n">
        <f aca="false">-SUMPRODUCT($F290:$F295*(YEAR($K290:$K295)=J361))*(J362&lt;$F225)*$F21</f>
        <v>0</v>
      </c>
      <c r="K463" s="8" t="n">
        <f aca="false">-SUMPRODUCT($F290:$F295*(YEAR($K290:$K295)=K361))*(K362&lt;$F225)*$F21</f>
        <v>0</v>
      </c>
      <c r="L463" s="8" t="n">
        <f aca="false">-SUMPRODUCT($F290:$F295*(YEAR($K290:$K295)=L361))*(L362&lt;$F225)*$F21</f>
        <v>-0</v>
      </c>
      <c r="M463" s="8" t="n">
        <f aca="false">-SUMPRODUCT($F290:$F295*(YEAR($K290:$K295)=M361))*(M362&lt;$F225)*$F21</f>
        <v>-0</v>
      </c>
      <c r="N463" s="8" t="n">
        <f aca="false">-SUMPRODUCT($F290:$F295*(YEAR($K290:$K295)=N361))*(N362&lt;$F225)*$F21</f>
        <v>-0</v>
      </c>
      <c r="O463" s="8" t="n">
        <f aca="false">-SUMPRODUCT($F290:$F295*(YEAR($K290:$K295)=O361))*(O362&lt;$F225)*$F21</f>
        <v>-0</v>
      </c>
      <c r="P463" s="8" t="n">
        <f aca="false">-SUMPRODUCT($F290:$F295*(YEAR($K290:$K295)=P361))*(P362&lt;$F225)*$F21</f>
        <v>-0</v>
      </c>
      <c r="Q463" s="8" t="n">
        <f aca="false">-SUMPRODUCT($F290:$F295*(YEAR($K290:$K295)=Q361))*(Q362&lt;$F225)*$F21</f>
        <v>-0</v>
      </c>
      <c r="R463" s="8" t="n">
        <f aca="false">-SUMPRODUCT($F290:$F295*(YEAR($K290:$K295)=R361))*(R362&lt;$F225)*$F21</f>
        <v>-0</v>
      </c>
      <c r="S463" s="8" t="n">
        <f aca="false">-SUMPRODUCT($F290:$F295*(YEAR($K290:$K295)=S361))*(S362&lt;$F225)*$F21</f>
        <v>-0</v>
      </c>
      <c r="T463" s="8" t="n">
        <f aca="false">-SUMPRODUCT($F290:$F295*(YEAR($K290:$K295)=T361))*(T362&lt;$F225)*$F21</f>
        <v>-0</v>
      </c>
      <c r="U463" s="8" t="n">
        <f aca="false">-SUMPRODUCT($F290:$F295*(YEAR($K290:$K295)=U361))*(U362&lt;$F225)*$F21</f>
        <v>-0</v>
      </c>
      <c r="V463" s="8" t="n">
        <f aca="false">-SUMPRODUCT($F290:$F295*(YEAR($K290:$K295)=V361))*(V362&lt;$F225)*$F21</f>
        <v>-0</v>
      </c>
      <c r="W463" s="8" t="n">
        <f aca="false">-SUMPRODUCT($F290:$F295*(YEAR($K290:$K295)=W361))*(W362&lt;$F225)*$F21</f>
        <v>-0</v>
      </c>
      <c r="X463" s="8" t="n">
        <f aca="false">-SUMPRODUCT($F290:$F295*(YEAR($K290:$K295)=X361))*(X362&lt;$F225)*$F21</f>
        <v>-0</v>
      </c>
      <c r="Y463" s="8" t="n">
        <f aca="false">-SUMPRODUCT($F290:$F295*(YEAR($K290:$K295)=Y361))*(Y362&lt;$F225)*$F21</f>
        <v>-0</v>
      </c>
      <c r="Z463" s="8" t="n">
        <f aca="false">-SUMPRODUCT($F290:$F295*(YEAR($K290:$K295)=Z361))*(Z362&lt;$F225)*$F21</f>
        <v>-0</v>
      </c>
      <c r="AA463" s="8" t="n">
        <f aca="false">-SUMPRODUCT($F290:$F295*(YEAR($K290:$K295)=AA361))*(AA362&lt;$F225)*$F21</f>
        <v>-0</v>
      </c>
      <c r="AB463" s="8" t="n">
        <f aca="false">-SUMPRODUCT($F290:$F295*(YEAR($K290:$K295)=AB361))*(AB362&lt;$F225)*$F21</f>
        <v>-0</v>
      </c>
      <c r="AC463" s="8" t="n">
        <f aca="false">-SUMPRODUCT($F290:$F295*(YEAR($K290:$K295)=AC361))*(AC362&lt;$F225)*$F21</f>
        <v>-0</v>
      </c>
      <c r="AD463" s="8" t="n">
        <f aca="false">-SUMPRODUCT($F290:$F295*(YEAR($K290:$K295)=AD361))*(AD362&lt;$F225)*$F21</f>
        <v>-0</v>
      </c>
      <c r="AE463" s="8" t="n">
        <f aca="false">-SUMPRODUCT($F290:$F295*(YEAR($K290:$K295)=AE361))*(AE362&lt;$F225)*$F21</f>
        <v>-0</v>
      </c>
      <c r="AF463" s="8" t="n">
        <f aca="false">-SUMPRODUCT($F290:$F295*(YEAR($K290:$K295)=AF361))*(AF362&lt;$F225)*$F21</f>
        <v>-0</v>
      </c>
      <c r="AG463" s="8" t="n">
        <f aca="false">-SUMPRODUCT($F290:$F295*(YEAR($K290:$K295)=AG361))*(AG362&lt;$F225)*$F21</f>
        <v>-0</v>
      </c>
      <c r="AH463" s="8" t="n">
        <f aca="false">-SUMPRODUCT($F290:$F295*(YEAR($K290:$K295)=AH361))*(AH362&lt;$F225)*$F21</f>
        <v>-0</v>
      </c>
      <c r="AI463" s="8" t="n">
        <f aca="false">-SUMPRODUCT($F290:$F295*(YEAR($K290:$K295)=AI361))*(AI362&lt;$F225)*$F21</f>
        <v>-0</v>
      </c>
      <c r="AJ463" s="8" t="n">
        <f aca="false">-SUMPRODUCT($F290:$F295*(YEAR($K290:$K295)=AJ361))*(AJ362&lt;$F225)*$F21</f>
        <v>-0</v>
      </c>
      <c r="AK463" s="8" t="n">
        <f aca="false">-SUMPRODUCT($F290:$F295*(YEAR($K290:$K295)=AK361))*(AK362&lt;$F225)*$F21</f>
        <v>-0</v>
      </c>
      <c r="AL463" s="8" t="n">
        <f aca="false">-SUMPRODUCT($F290:$F295*(YEAR($K290:$K295)=AL361))*(AL362&lt;$F225)*$F21</f>
        <v>-0</v>
      </c>
      <c r="AM463" s="8" t="n">
        <f aca="false">-SUMPRODUCT($F290:$F295*(YEAR($K290:$K295)=AM361))*(AM362&lt;$F225)*$F21</f>
        <v>-0</v>
      </c>
      <c r="AN463" s="8" t="n">
        <f aca="false">-SUMPRODUCT($F290:$F295*(YEAR($K290:$K295)=AN361))*(AN362&lt;$F225)*$F21</f>
        <v>-0</v>
      </c>
      <c r="AO463" s="8" t="n">
        <f aca="false">-SUMPRODUCT($F290:$F295*(YEAR($K290:$K295)=AO361))*(AO362&lt;$F225)*$F21</f>
        <v>-0</v>
      </c>
      <c r="AP463" s="8" t="n">
        <f aca="false">-SUMPRODUCT($F290:$F295*(YEAR($K290:$K295)=AP361))*(AP362&lt;$F225)*$F21</f>
        <v>-0</v>
      </c>
      <c r="AQ463" s="8" t="n">
        <f aca="false">-SUMPRODUCT($F290:$F295*(YEAR($K290:$K295)=AQ361))*(AQ362&lt;$F225)*$F21</f>
        <v>-0</v>
      </c>
      <c r="AR463" s="8" t="n">
        <f aca="false">-SUMPRODUCT($F290:$F295*(YEAR($K290:$K295)=AR361))*(AR362&lt;$F225)*$F21</f>
        <v>-0</v>
      </c>
      <c r="AS463" s="8" t="n">
        <f aca="false">-SUMPRODUCT($F290:$F295*(YEAR($K290:$K295)=AS361))*(AS362&lt;$F225)*$F21</f>
        <v>-0</v>
      </c>
    </row>
    <row r="464" customFormat="false" ht="14.25" hidden="false" customHeight="false" outlineLevel="0" collapsed="false">
      <c r="C464" s="6" t="s">
        <v>338</v>
      </c>
      <c r="D464" s="2" t="s">
        <v>85</v>
      </c>
      <c r="H464" s="8" t="n">
        <f aca="false">SUM(J464:AS464)</f>
        <v>0</v>
      </c>
      <c r="J464" s="8" t="n">
        <f aca="false">(J461+J462-I461-I462-J463)*(J362&lt;$F225)*$F21</f>
        <v>0</v>
      </c>
      <c r="K464" s="8" t="n">
        <f aca="false">(K461+K462-J461-J462-K463)*(K362&lt;$F225)*$F21</f>
        <v>0</v>
      </c>
      <c r="L464" s="8" t="n">
        <f aca="false">(L461+L462-K461-K462-L463)*(L362&lt;$F225)*$F21</f>
        <v>0</v>
      </c>
      <c r="M464" s="8" t="n">
        <f aca="false">(M461+M462-L461-L462-M463)*(M362&lt;$F225)*$F21</f>
        <v>0</v>
      </c>
      <c r="N464" s="8" t="n">
        <f aca="false">(N461+N462-M461-M462-N463)*(N362&lt;$F225)*$F21</f>
        <v>0</v>
      </c>
      <c r="O464" s="8" t="n">
        <f aca="false">(O461+O462-N461-N462-O463)*(O362&lt;$F225)*$F21</f>
        <v>0</v>
      </c>
      <c r="P464" s="8" t="n">
        <f aca="false">(P461+P462-O461-O462-P463)*(P362&lt;$F225)*$F21</f>
        <v>0</v>
      </c>
      <c r="Q464" s="8" t="n">
        <f aca="false">(Q461+Q462-P461-P462-Q463)*(Q362&lt;$F225)*$F21</f>
        <v>0</v>
      </c>
      <c r="R464" s="8" t="n">
        <f aca="false">(R461+R462-Q461-Q462-R463)*(R362&lt;$F225)*$F21</f>
        <v>0</v>
      </c>
      <c r="S464" s="8" t="n">
        <f aca="false">(S461+S462-R461-R462-S463)*(S362&lt;$F225)*$F21</f>
        <v>0</v>
      </c>
      <c r="T464" s="8" t="n">
        <f aca="false">(T461+T462-S461-S462-T463)*(T362&lt;$F225)*$F21</f>
        <v>0</v>
      </c>
      <c r="U464" s="8" t="n">
        <f aca="false">(U461+U462-T461-T462-U463)*(U362&lt;$F225)*$F21</f>
        <v>0</v>
      </c>
      <c r="V464" s="8" t="n">
        <f aca="false">(V461+V462-U461-U462-V463)*(V362&lt;$F225)*$F21</f>
        <v>0</v>
      </c>
      <c r="W464" s="8" t="n">
        <f aca="false">(W461+W462-V461-V462-W463)*(W362&lt;$F225)*$F21</f>
        <v>0</v>
      </c>
      <c r="X464" s="8" t="n">
        <f aca="false">(X461+X462-W461-W462-X463)*(X362&lt;$F225)*$F21</f>
        <v>0</v>
      </c>
      <c r="Y464" s="8" t="n">
        <f aca="false">(Y461+Y462-X461-X462-Y463)*(Y362&lt;$F225)*$F21</f>
        <v>0</v>
      </c>
      <c r="Z464" s="8" t="n">
        <f aca="false">(Z461+Z462-Y461-Y462-Z463)*(Z362&lt;$F225)*$F21</f>
        <v>0</v>
      </c>
      <c r="AA464" s="8" t="n">
        <f aca="false">(AA461+AA462-Z461-Z462-AA463)*(AA362&lt;$F225)*$F21</f>
        <v>0</v>
      </c>
      <c r="AB464" s="8" t="n">
        <f aca="false">(AB461+AB462-AA461-AA462-AB463)*(AB362&lt;$F225)*$F21</f>
        <v>0</v>
      </c>
      <c r="AC464" s="8" t="n">
        <f aca="false">(AC461+AC462-AB461-AB462-AC463)*(AC362&lt;$F225)*$F21</f>
        <v>0</v>
      </c>
      <c r="AD464" s="8" t="n">
        <f aca="false">(AD461+AD462-AC461-AC462-AD463)*(AD362&lt;$F225)*$F21</f>
        <v>0</v>
      </c>
      <c r="AE464" s="8" t="n">
        <f aca="false">(AE461+AE462-AD461-AD462-AE463)*(AE362&lt;$F225)*$F21</f>
        <v>0</v>
      </c>
      <c r="AF464" s="8" t="n">
        <f aca="false">(AF461+AF462-AE461-AE462-AF463)*(AF362&lt;$F225)*$F21</f>
        <v>0</v>
      </c>
      <c r="AG464" s="8" t="n">
        <f aca="false">(AG461+AG462-AF461-AF462-AG463)*(AG362&lt;$F225)*$F21</f>
        <v>0</v>
      </c>
      <c r="AH464" s="8" t="n">
        <f aca="false">(AH461+AH462-AG461-AG462-AH463)*(AH362&lt;$F225)*$F21</f>
        <v>0</v>
      </c>
      <c r="AI464" s="8" t="n">
        <f aca="false">(AI461+AI462-AH461-AH462-AI463)*(AI362&lt;$F225)*$F21</f>
        <v>0</v>
      </c>
      <c r="AJ464" s="8" t="n">
        <f aca="false">(AJ461+AJ462-AI461-AI462-AJ463)*(AJ362&lt;$F225)*$F21</f>
        <v>0</v>
      </c>
      <c r="AK464" s="8" t="n">
        <f aca="false">(AK461+AK462-AJ461-AJ462-AK463)*(AK362&lt;$F225)*$F21</f>
        <v>0</v>
      </c>
      <c r="AL464" s="8" t="n">
        <f aca="false">(AL461+AL462-AK461-AK462-AL463)*(AL362&lt;$F225)*$F21</f>
        <v>0</v>
      </c>
      <c r="AM464" s="8" t="n">
        <f aca="false">(AM461+AM462-AL461-AL462-AM463)*(AM362&lt;$F225)*$F21</f>
        <v>0</v>
      </c>
      <c r="AN464" s="8" t="n">
        <f aca="false">(AN461+AN462-AM461-AM462-AN463)*(AN362&lt;$F225)*$F21</f>
        <v>0</v>
      </c>
      <c r="AO464" s="8" t="n">
        <f aca="false">(AO461+AO462-AN461-AN462-AO463)*(AO362&lt;$F225)*$F21</f>
        <v>0</v>
      </c>
      <c r="AP464" s="8" t="n">
        <f aca="false">(AP461+AP462-AO461-AO462-AP463)*(AP362&lt;$F225)*$F21</f>
        <v>0</v>
      </c>
      <c r="AQ464" s="8" t="n">
        <f aca="false">(AQ461+AQ462-AP461-AP462-AQ463)*(AQ362&lt;$F225)*$F21</f>
        <v>0</v>
      </c>
      <c r="AR464" s="8" t="n">
        <f aca="false">(AR461+AR462-AQ461-AQ462-AR463)*(AR362&lt;$F225)*$F21</f>
        <v>0</v>
      </c>
      <c r="AS464" s="8" t="n">
        <f aca="false">(AS461+AS462-AR461-AR462-AS463)*(AS362&lt;$F225)*$F21</f>
        <v>0</v>
      </c>
    </row>
    <row r="466" customFormat="false" ht="14.25" hidden="false" customHeight="false" outlineLevel="0" collapsed="false">
      <c r="B466" s="4" t="s">
        <v>3</v>
      </c>
      <c r="C466" s="4" t="s">
        <v>340</v>
      </c>
      <c r="D466" s="4"/>
      <c r="E466" s="5"/>
      <c r="F466" s="5"/>
      <c r="G466" s="5" t="s">
        <v>289</v>
      </c>
      <c r="H466" s="5" t="s">
        <v>8</v>
      </c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</row>
    <row r="467" customFormat="false" ht="14.25" hidden="false" customHeight="false" outlineLevel="0" collapsed="false">
      <c r="C467" s="6" t="s">
        <v>290</v>
      </c>
      <c r="D467" s="2" t="s">
        <v>291</v>
      </c>
      <c r="J467" s="74" t="n">
        <f aca="false">J$361-YEAR(Inputs!$G$26)</f>
        <v>-5</v>
      </c>
      <c r="K467" s="74" t="n">
        <f aca="false">K$361-YEAR(Inputs!$G$26)</f>
        <v>-4</v>
      </c>
      <c r="L467" s="74" t="n">
        <f aca="false">L$361-YEAR(Inputs!$G$26)</f>
        <v>-3</v>
      </c>
      <c r="M467" s="74" t="n">
        <f aca="false">M$361-YEAR(Inputs!$G$26)</f>
        <v>-2</v>
      </c>
      <c r="N467" s="74" t="n">
        <f aca="false">N$361-YEAR(Inputs!$G$26)</f>
        <v>-1</v>
      </c>
      <c r="O467" s="74" t="n">
        <f aca="false">O$361-YEAR(Inputs!$G$26)</f>
        <v>0</v>
      </c>
      <c r="P467" s="74" t="n">
        <f aca="false">P$361-YEAR(Inputs!$G$26)</f>
        <v>1</v>
      </c>
      <c r="Q467" s="74" t="n">
        <f aca="false">Q$361-YEAR(Inputs!$G$26)</f>
        <v>2</v>
      </c>
      <c r="R467" s="74" t="n">
        <f aca="false">R$361-YEAR(Inputs!$G$26)</f>
        <v>3</v>
      </c>
      <c r="S467" s="74" t="n">
        <f aca="false">S$361-YEAR(Inputs!$G$26)</f>
        <v>4</v>
      </c>
      <c r="T467" s="74" t="n">
        <f aca="false">T$361-YEAR(Inputs!$G$26)</f>
        <v>5</v>
      </c>
      <c r="U467" s="74" t="n">
        <f aca="false">U$361-YEAR(Inputs!$G$26)</f>
        <v>6</v>
      </c>
      <c r="V467" s="74" t="n">
        <f aca="false">V$361-YEAR(Inputs!$G$26)</f>
        <v>7</v>
      </c>
      <c r="W467" s="74" t="n">
        <f aca="false">W$361-YEAR(Inputs!$G$26)</f>
        <v>8</v>
      </c>
      <c r="X467" s="74" t="n">
        <f aca="false">X$361-YEAR(Inputs!$G$26)</f>
        <v>9</v>
      </c>
      <c r="Y467" s="74" t="n">
        <f aca="false">Y$361-YEAR(Inputs!$G$26)</f>
        <v>10</v>
      </c>
      <c r="Z467" s="74" t="n">
        <f aca="false">Z$361-YEAR(Inputs!$G$26)</f>
        <v>11</v>
      </c>
      <c r="AA467" s="74" t="n">
        <f aca="false">AA$361-YEAR(Inputs!$G$26)</f>
        <v>12</v>
      </c>
      <c r="AB467" s="74" t="n">
        <f aca="false">AB$361-YEAR(Inputs!$G$26)</f>
        <v>13</v>
      </c>
      <c r="AC467" s="74" t="n">
        <f aca="false">AC$361-YEAR(Inputs!$G$26)</f>
        <v>14</v>
      </c>
      <c r="AD467" s="74" t="n">
        <f aca="false">AD$361-YEAR(Inputs!$G$26)</f>
        <v>15</v>
      </c>
      <c r="AE467" s="74" t="n">
        <f aca="false">AE$361-YEAR(Inputs!$G$26)</f>
        <v>16</v>
      </c>
      <c r="AF467" s="74" t="n">
        <f aca="false">AF$361-YEAR(Inputs!$G$26)</f>
        <v>17</v>
      </c>
      <c r="AG467" s="74" t="n">
        <f aca="false">AG$361-YEAR(Inputs!$G$26)</f>
        <v>18</v>
      </c>
      <c r="AH467" s="74" t="n">
        <f aca="false">AH$361-YEAR(Inputs!$G$26)</f>
        <v>19</v>
      </c>
      <c r="AI467" s="74" t="n">
        <f aca="false">AI$361-YEAR(Inputs!$G$26)</f>
        <v>20</v>
      </c>
      <c r="AJ467" s="74" t="n">
        <f aca="false">AJ$361-YEAR(Inputs!$G$26)</f>
        <v>21</v>
      </c>
      <c r="AK467" s="74" t="n">
        <f aca="false">AK$361-YEAR(Inputs!$G$26)</f>
        <v>22</v>
      </c>
      <c r="AL467" s="74" t="n">
        <f aca="false">AL$361-YEAR(Inputs!$G$26)</f>
        <v>23</v>
      </c>
      <c r="AM467" s="74" t="n">
        <f aca="false">AM$361-YEAR(Inputs!$G$26)</f>
        <v>24</v>
      </c>
      <c r="AN467" s="74" t="n">
        <f aca="false">AN$361-YEAR(Inputs!$G$26)</f>
        <v>25</v>
      </c>
      <c r="AO467" s="74" t="n">
        <f aca="false">AO$361-YEAR(Inputs!$G$26)</f>
        <v>26</v>
      </c>
      <c r="AP467" s="74" t="n">
        <f aca="false">AP$361-YEAR(Inputs!$G$26)</f>
        <v>27</v>
      </c>
      <c r="AQ467" s="74" t="n">
        <f aca="false">AQ$361-YEAR(Inputs!$G$26)</f>
        <v>28</v>
      </c>
      <c r="AR467" s="74" t="n">
        <f aca="false">AR$361-YEAR(Inputs!$G$26)</f>
        <v>29</v>
      </c>
      <c r="AS467" s="74" t="n">
        <f aca="false">AS$361-YEAR(Inputs!$G$26)</f>
        <v>30</v>
      </c>
    </row>
    <row r="468" customFormat="false" ht="14.25" hidden="false" customHeight="false" outlineLevel="0" collapsed="false">
      <c r="C468" s="6" t="s">
        <v>292</v>
      </c>
      <c r="D468" s="2" t="s">
        <v>293</v>
      </c>
      <c r="G468" s="74" t="n">
        <f aca="false">DATEDIF(Inputs!$G$25,Inputs!$G$26,"m")</f>
        <v>24</v>
      </c>
      <c r="J468" s="74" t="n">
        <f aca="false">(J$361+1-YEAR(Inputs!$G$25))*Months_In_Year-MONTH(Inputs!$G$25)</f>
        <v>-30</v>
      </c>
      <c r="K468" s="74" t="n">
        <f aca="false">(K$361+1-YEAR(Inputs!$G$25))*Months_In_Year-MONTH(Inputs!$G$25)</f>
        <v>-18</v>
      </c>
      <c r="L468" s="74" t="n">
        <f aca="false">(L$361+1-YEAR(Inputs!$G$25))*Months_In_Year-MONTH(Inputs!$G$25)</f>
        <v>-6</v>
      </c>
      <c r="M468" s="74" t="n">
        <f aca="false">(M$361+1-YEAR(Inputs!$G$25))*Months_In_Year-MONTH(Inputs!$G$25)</f>
        <v>6</v>
      </c>
      <c r="N468" s="74" t="n">
        <f aca="false">(N$361+1-YEAR(Inputs!$G$25))*Months_In_Year-MONTH(Inputs!$G$25)</f>
        <v>18</v>
      </c>
      <c r="O468" s="74" t="n">
        <f aca="false">(O$361+1-YEAR(Inputs!$G$25))*Months_In_Year-MONTH(Inputs!$G$25)</f>
        <v>30</v>
      </c>
      <c r="P468" s="74" t="n">
        <f aca="false">(P$361+1-YEAR(Inputs!$G$25))*Months_In_Year-MONTH(Inputs!$G$25)</f>
        <v>42</v>
      </c>
      <c r="Q468" s="74" t="n">
        <f aca="false">(Q$361+1-YEAR(Inputs!$G$25))*Months_In_Year-MONTH(Inputs!$G$25)</f>
        <v>54</v>
      </c>
      <c r="R468" s="74" t="n">
        <f aca="false">(R$361+1-YEAR(Inputs!$G$25))*Months_In_Year-MONTH(Inputs!$G$25)</f>
        <v>66</v>
      </c>
      <c r="S468" s="74" t="n">
        <f aca="false">(S$361+1-YEAR(Inputs!$G$25))*Months_In_Year-MONTH(Inputs!$G$25)</f>
        <v>78</v>
      </c>
      <c r="T468" s="74" t="n">
        <f aca="false">(T$361+1-YEAR(Inputs!$G$25))*Months_In_Year-MONTH(Inputs!$G$25)</f>
        <v>90</v>
      </c>
      <c r="U468" s="74" t="n">
        <f aca="false">(U$361+1-YEAR(Inputs!$G$25))*Months_In_Year-MONTH(Inputs!$G$25)</f>
        <v>102</v>
      </c>
      <c r="V468" s="74" t="n">
        <f aca="false">(V$361+1-YEAR(Inputs!$G$25))*Months_In_Year-MONTH(Inputs!$G$25)</f>
        <v>114</v>
      </c>
      <c r="W468" s="74" t="n">
        <f aca="false">(W$361+1-YEAR(Inputs!$G$25))*Months_In_Year-MONTH(Inputs!$G$25)</f>
        <v>126</v>
      </c>
      <c r="X468" s="74" t="n">
        <f aca="false">(X$361+1-YEAR(Inputs!$G$25))*Months_In_Year-MONTH(Inputs!$G$25)</f>
        <v>138</v>
      </c>
      <c r="Y468" s="74" t="n">
        <f aca="false">(Y$361+1-YEAR(Inputs!$G$25))*Months_In_Year-MONTH(Inputs!$G$25)</f>
        <v>150</v>
      </c>
      <c r="Z468" s="74" t="n">
        <f aca="false">(Z$361+1-YEAR(Inputs!$G$25))*Months_In_Year-MONTH(Inputs!$G$25)</f>
        <v>162</v>
      </c>
      <c r="AA468" s="74" t="n">
        <f aca="false">(AA$361+1-YEAR(Inputs!$G$25))*Months_In_Year-MONTH(Inputs!$G$25)</f>
        <v>174</v>
      </c>
      <c r="AB468" s="74" t="n">
        <f aca="false">(AB$361+1-YEAR(Inputs!$G$25))*Months_In_Year-MONTH(Inputs!$G$25)</f>
        <v>186</v>
      </c>
      <c r="AC468" s="74" t="n">
        <f aca="false">(AC$361+1-YEAR(Inputs!$G$25))*Months_In_Year-MONTH(Inputs!$G$25)</f>
        <v>198</v>
      </c>
      <c r="AD468" s="74" t="n">
        <f aca="false">(AD$361+1-YEAR(Inputs!$G$25))*Months_In_Year-MONTH(Inputs!$G$25)</f>
        <v>210</v>
      </c>
      <c r="AE468" s="74" t="n">
        <f aca="false">(AE$361+1-YEAR(Inputs!$G$25))*Months_In_Year-MONTH(Inputs!$G$25)</f>
        <v>222</v>
      </c>
      <c r="AF468" s="74" t="n">
        <f aca="false">(AF$361+1-YEAR(Inputs!$G$25))*Months_In_Year-MONTH(Inputs!$G$25)</f>
        <v>234</v>
      </c>
      <c r="AG468" s="74" t="n">
        <f aca="false">(AG$361+1-YEAR(Inputs!$G$25))*Months_In_Year-MONTH(Inputs!$G$25)</f>
        <v>246</v>
      </c>
      <c r="AH468" s="74" t="n">
        <f aca="false">(AH$361+1-YEAR(Inputs!$G$25))*Months_In_Year-MONTH(Inputs!$G$25)</f>
        <v>258</v>
      </c>
      <c r="AI468" s="74" t="n">
        <f aca="false">(AI$361+1-YEAR(Inputs!$G$25))*Months_In_Year-MONTH(Inputs!$G$25)</f>
        <v>270</v>
      </c>
      <c r="AJ468" s="74" t="n">
        <f aca="false">(AJ$361+1-YEAR(Inputs!$G$25))*Months_In_Year-MONTH(Inputs!$G$25)</f>
        <v>282</v>
      </c>
      <c r="AK468" s="74" t="n">
        <f aca="false">(AK$361+1-YEAR(Inputs!$G$25))*Months_In_Year-MONTH(Inputs!$G$25)</f>
        <v>294</v>
      </c>
      <c r="AL468" s="74" t="n">
        <f aca="false">(AL$361+1-YEAR(Inputs!$G$25))*Months_In_Year-MONTH(Inputs!$G$25)</f>
        <v>306</v>
      </c>
      <c r="AM468" s="74" t="n">
        <f aca="false">(AM$361+1-YEAR(Inputs!$G$25))*Months_In_Year-MONTH(Inputs!$G$25)</f>
        <v>318</v>
      </c>
      <c r="AN468" s="74" t="n">
        <f aca="false">(AN$361+1-YEAR(Inputs!$G$25))*Months_In_Year-MONTH(Inputs!$G$25)</f>
        <v>330</v>
      </c>
      <c r="AO468" s="74" t="n">
        <f aca="false">(AO$361+1-YEAR(Inputs!$G$25))*Months_In_Year-MONTH(Inputs!$G$25)</f>
        <v>342</v>
      </c>
      <c r="AP468" s="74" t="n">
        <f aca="false">(AP$361+1-YEAR(Inputs!$G$25))*Months_In_Year-MONTH(Inputs!$G$25)</f>
        <v>354</v>
      </c>
      <c r="AQ468" s="74" t="n">
        <f aca="false">(AQ$361+1-YEAR(Inputs!$G$25))*Months_In_Year-MONTH(Inputs!$G$25)</f>
        <v>366</v>
      </c>
      <c r="AR468" s="74" t="n">
        <f aca="false">(AR$361+1-YEAR(Inputs!$G$25))*Months_In_Year-MONTH(Inputs!$G$25)</f>
        <v>378</v>
      </c>
      <c r="AS468" s="74" t="n">
        <f aca="false">(AS$361+1-YEAR(Inputs!$G$25))*Months_In_Year-MONTH(Inputs!$G$25)</f>
        <v>390</v>
      </c>
    </row>
    <row r="469" customFormat="false" ht="14.25" hidden="false" customHeight="false" outlineLevel="0" collapsed="false">
      <c r="C469" s="6" t="s">
        <v>294</v>
      </c>
      <c r="D469" s="2" t="s">
        <v>12</v>
      </c>
      <c r="H469" s="75" t="n">
        <f aca="false">SUM(J469:AS469)</f>
        <v>1</v>
      </c>
      <c r="J469" s="48" t="n">
        <f aca="false">MAX(0,MIN(J468,$G468)-MAX(J468-Months_In_Year,0))/$G468</f>
        <v>0</v>
      </c>
      <c r="K469" s="48" t="n">
        <f aca="false">MAX(0,MIN(K468,$G468)-MAX(K468-Months_In_Year,0))/$G468</f>
        <v>0</v>
      </c>
      <c r="L469" s="48" t="n">
        <f aca="false">MAX(0,MIN(L468,$G468)-MAX(L468-Months_In_Year,0))/$G468</f>
        <v>0</v>
      </c>
      <c r="M469" s="48" t="n">
        <f aca="false">MAX(0,MIN(M468,$G468)-MAX(M468-Months_In_Year,0))/$G468</f>
        <v>0.25</v>
      </c>
      <c r="N469" s="48" t="n">
        <f aca="false">MAX(0,MIN(N468,$G468)-MAX(N468-Months_In_Year,0))/$G468</f>
        <v>0.5</v>
      </c>
      <c r="O469" s="48" t="n">
        <f aca="false">MAX(0,MIN(O468,$G468)-MAX(O468-Months_In_Year,0))/$G468</f>
        <v>0.25</v>
      </c>
      <c r="P469" s="48" t="n">
        <f aca="false">MAX(0,MIN(P468,$G468)-MAX(P468-Months_In_Year,0))/$G468</f>
        <v>0</v>
      </c>
      <c r="Q469" s="48" t="n">
        <f aca="false">MAX(0,MIN(Q468,$G468)-MAX(Q468-Months_In_Year,0))/$G468</f>
        <v>0</v>
      </c>
      <c r="R469" s="48" t="n">
        <f aca="false">MAX(0,MIN(R468,$G468)-MAX(R468-Months_In_Year,0))/$G468</f>
        <v>0</v>
      </c>
      <c r="S469" s="48" t="n">
        <f aca="false">MAX(0,MIN(S468,$G468)-MAX(S468-Months_In_Year,0))/$G468</f>
        <v>0</v>
      </c>
      <c r="T469" s="48" t="n">
        <f aca="false">MAX(0,MIN(T468,$G468)-MAX(T468-Months_In_Year,0))/$G468</f>
        <v>0</v>
      </c>
      <c r="U469" s="48" t="n">
        <f aca="false">MAX(0,MIN(U468,$G468)-MAX(U468-Months_In_Year,0))/$G468</f>
        <v>0</v>
      </c>
      <c r="V469" s="48" t="n">
        <f aca="false">MAX(0,MIN(V468,$G468)-MAX(V468-Months_In_Year,0))/$G468</f>
        <v>0</v>
      </c>
      <c r="W469" s="48" t="n">
        <f aca="false">MAX(0,MIN(W468,$G468)-MAX(W468-Months_In_Year,0))/$G468</f>
        <v>0</v>
      </c>
      <c r="X469" s="48" t="n">
        <f aca="false">MAX(0,MIN(X468,$G468)-MAX(X468-Months_In_Year,0))/$G468</f>
        <v>0</v>
      </c>
      <c r="Y469" s="48" t="n">
        <f aca="false">MAX(0,MIN(Y468,$G468)-MAX(Y468-Months_In_Year,0))/$G468</f>
        <v>0</v>
      </c>
      <c r="Z469" s="48" t="n">
        <f aca="false">MAX(0,MIN(Z468,$G468)-MAX(Z468-Months_In_Year,0))/$G468</f>
        <v>0</v>
      </c>
      <c r="AA469" s="48" t="n">
        <f aca="false">MAX(0,MIN(AA468,$G468)-MAX(AA468-Months_In_Year,0))/$G468</f>
        <v>0</v>
      </c>
      <c r="AB469" s="48" t="n">
        <f aca="false">MAX(0,MIN(AB468,$G468)-MAX(AB468-Months_In_Year,0))/$G468</f>
        <v>0</v>
      </c>
      <c r="AC469" s="48" t="n">
        <f aca="false">MAX(0,MIN(AC468,$G468)-MAX(AC468-Months_In_Year,0))/$G468</f>
        <v>0</v>
      </c>
      <c r="AD469" s="48" t="n">
        <f aca="false">MAX(0,MIN(AD468,$G468)-MAX(AD468-Months_In_Year,0))/$G468</f>
        <v>0</v>
      </c>
      <c r="AE469" s="48" t="n">
        <f aca="false">MAX(0,MIN(AE468,$G468)-MAX(AE468-Months_In_Year,0))/$G468</f>
        <v>0</v>
      </c>
      <c r="AF469" s="48" t="n">
        <f aca="false">MAX(0,MIN(AF468,$G468)-MAX(AF468-Months_In_Year,0))/$G468</f>
        <v>0</v>
      </c>
      <c r="AG469" s="48" t="n">
        <f aca="false">MAX(0,MIN(AG468,$G468)-MAX(AG468-Months_In_Year,0))/$G468</f>
        <v>0</v>
      </c>
      <c r="AH469" s="48" t="n">
        <f aca="false">MAX(0,MIN(AH468,$G468)-MAX(AH468-Months_In_Year,0))/$G468</f>
        <v>0</v>
      </c>
      <c r="AI469" s="48" t="n">
        <f aca="false">MAX(0,MIN(AI468,$G468)-MAX(AI468-Months_In_Year,0))/$G468</f>
        <v>0</v>
      </c>
      <c r="AJ469" s="48" t="n">
        <f aca="false">MAX(0,MIN(AJ468,$G468)-MAX(AJ468-Months_In_Year,0))/$G468</f>
        <v>0</v>
      </c>
      <c r="AK469" s="48" t="n">
        <f aca="false">MAX(0,MIN(AK468,$G468)-MAX(AK468-Months_In_Year,0))/$G468</f>
        <v>0</v>
      </c>
      <c r="AL469" s="48" t="n">
        <f aca="false">MAX(0,MIN(AL468,$G468)-MAX(AL468-Months_In_Year,0))/$G468</f>
        <v>0</v>
      </c>
      <c r="AM469" s="48" t="n">
        <f aca="false">MAX(0,MIN(AM468,$G468)-MAX(AM468-Months_In_Year,0))/$G468</f>
        <v>0</v>
      </c>
      <c r="AN469" s="48" t="n">
        <f aca="false">MAX(0,MIN(AN468,$G468)-MAX(AN468-Months_In_Year,0))/$G468</f>
        <v>0</v>
      </c>
      <c r="AO469" s="48" t="n">
        <f aca="false">MAX(0,MIN(AO468,$G468)-MAX(AO468-Months_In_Year,0))/$G468</f>
        <v>0</v>
      </c>
      <c r="AP469" s="48" t="n">
        <f aca="false">MAX(0,MIN(AP468,$G468)-MAX(AP468-Months_In_Year,0))/$G468</f>
        <v>0</v>
      </c>
      <c r="AQ469" s="48" t="n">
        <f aca="false">MAX(0,MIN(AQ468,$G468)-MAX(AQ468-Months_In_Year,0))/$G468</f>
        <v>0</v>
      </c>
      <c r="AR469" s="48" t="n">
        <f aca="false">MAX(0,MIN(AR468,$G468)-MAX(AR468-Months_In_Year,0))/$G468</f>
        <v>0</v>
      </c>
      <c r="AS469" s="48" t="n">
        <f aca="false">MAX(0,MIN(AS468,$G468)-MAX(AS468-Months_In_Year,0))/$G468</f>
        <v>0</v>
      </c>
    </row>
    <row r="470" customFormat="false" ht="14.25" hidden="false" customHeight="false" outlineLevel="0" collapsed="false">
      <c r="C470" s="6" t="s">
        <v>295</v>
      </c>
      <c r="D470" s="2" t="s">
        <v>293</v>
      </c>
      <c r="G470" s="74" t="n">
        <f aca="false">Life*Months_In_Year</f>
        <v>360</v>
      </c>
      <c r="J470" s="74" t="n">
        <f aca="false">(J$361+1-YEAR(Inputs!$G$26))*Months_In_Year-MONTH(Inputs!$G$26)</f>
        <v>-54</v>
      </c>
      <c r="K470" s="74" t="n">
        <f aca="false">(K$361+1-YEAR(Inputs!$G$26))*Months_In_Year-MONTH(Inputs!$G$26)</f>
        <v>-42</v>
      </c>
      <c r="L470" s="74" t="n">
        <f aca="false">(L$361+1-YEAR(Inputs!$G$26))*Months_In_Year-MONTH(Inputs!$G$26)</f>
        <v>-30</v>
      </c>
      <c r="M470" s="74" t="n">
        <f aca="false">(M$361+1-YEAR(Inputs!$G$26))*Months_In_Year-MONTH(Inputs!$G$26)</f>
        <v>-18</v>
      </c>
      <c r="N470" s="74" t="n">
        <f aca="false">(N$361+1-YEAR(Inputs!$G$26))*Months_In_Year-MONTH(Inputs!$G$26)</f>
        <v>-6</v>
      </c>
      <c r="O470" s="74" t="n">
        <f aca="false">(O$361+1-YEAR(Inputs!$G$26))*Months_In_Year-MONTH(Inputs!$G$26)</f>
        <v>6</v>
      </c>
      <c r="P470" s="74" t="n">
        <f aca="false">(P$361+1-YEAR(Inputs!$G$26))*Months_In_Year-MONTH(Inputs!$G$26)</f>
        <v>18</v>
      </c>
      <c r="Q470" s="74" t="n">
        <f aca="false">(Q$361+1-YEAR(Inputs!$G$26))*Months_In_Year-MONTH(Inputs!$G$26)</f>
        <v>30</v>
      </c>
      <c r="R470" s="74" t="n">
        <f aca="false">(R$361+1-YEAR(Inputs!$G$26))*Months_In_Year-MONTH(Inputs!$G$26)</f>
        <v>42</v>
      </c>
      <c r="S470" s="74" t="n">
        <f aca="false">(S$361+1-YEAR(Inputs!$G$26))*Months_In_Year-MONTH(Inputs!$G$26)</f>
        <v>54</v>
      </c>
      <c r="T470" s="74" t="n">
        <f aca="false">(T$361+1-YEAR(Inputs!$G$26))*Months_In_Year-MONTH(Inputs!$G$26)</f>
        <v>66</v>
      </c>
      <c r="U470" s="74" t="n">
        <f aca="false">(U$361+1-YEAR(Inputs!$G$26))*Months_In_Year-MONTH(Inputs!$G$26)</f>
        <v>78</v>
      </c>
      <c r="V470" s="74" t="n">
        <f aca="false">(V$361+1-YEAR(Inputs!$G$26))*Months_In_Year-MONTH(Inputs!$G$26)</f>
        <v>90</v>
      </c>
      <c r="W470" s="74" t="n">
        <f aca="false">(W$361+1-YEAR(Inputs!$G$26))*Months_In_Year-MONTH(Inputs!$G$26)</f>
        <v>102</v>
      </c>
      <c r="X470" s="74" t="n">
        <f aca="false">(X$361+1-YEAR(Inputs!$G$26))*Months_In_Year-MONTH(Inputs!$G$26)</f>
        <v>114</v>
      </c>
      <c r="Y470" s="74" t="n">
        <f aca="false">(Y$361+1-YEAR(Inputs!$G$26))*Months_In_Year-MONTH(Inputs!$G$26)</f>
        <v>126</v>
      </c>
      <c r="Z470" s="74" t="n">
        <f aca="false">(Z$361+1-YEAR(Inputs!$G$26))*Months_In_Year-MONTH(Inputs!$G$26)</f>
        <v>138</v>
      </c>
      <c r="AA470" s="74" t="n">
        <f aca="false">(AA$361+1-YEAR(Inputs!$G$26))*Months_In_Year-MONTH(Inputs!$G$26)</f>
        <v>150</v>
      </c>
      <c r="AB470" s="74" t="n">
        <f aca="false">(AB$361+1-YEAR(Inputs!$G$26))*Months_In_Year-MONTH(Inputs!$G$26)</f>
        <v>162</v>
      </c>
      <c r="AC470" s="74" t="n">
        <f aca="false">(AC$361+1-YEAR(Inputs!$G$26))*Months_In_Year-MONTH(Inputs!$G$26)</f>
        <v>174</v>
      </c>
      <c r="AD470" s="74" t="n">
        <f aca="false">(AD$361+1-YEAR(Inputs!$G$26))*Months_In_Year-MONTH(Inputs!$G$26)</f>
        <v>186</v>
      </c>
      <c r="AE470" s="74" t="n">
        <f aca="false">(AE$361+1-YEAR(Inputs!$G$26))*Months_In_Year-MONTH(Inputs!$G$26)</f>
        <v>198</v>
      </c>
      <c r="AF470" s="74" t="n">
        <f aca="false">(AF$361+1-YEAR(Inputs!$G$26))*Months_In_Year-MONTH(Inputs!$G$26)</f>
        <v>210</v>
      </c>
      <c r="AG470" s="74" t="n">
        <f aca="false">(AG$361+1-YEAR(Inputs!$G$26))*Months_In_Year-MONTH(Inputs!$G$26)</f>
        <v>222</v>
      </c>
      <c r="AH470" s="74" t="n">
        <f aca="false">(AH$361+1-YEAR(Inputs!$G$26))*Months_In_Year-MONTH(Inputs!$G$26)</f>
        <v>234</v>
      </c>
      <c r="AI470" s="74" t="n">
        <f aca="false">(AI$361+1-YEAR(Inputs!$G$26))*Months_In_Year-MONTH(Inputs!$G$26)</f>
        <v>246</v>
      </c>
      <c r="AJ470" s="74" t="n">
        <f aca="false">(AJ$361+1-YEAR(Inputs!$G$26))*Months_In_Year-MONTH(Inputs!$G$26)</f>
        <v>258</v>
      </c>
      <c r="AK470" s="74" t="n">
        <f aca="false">(AK$361+1-YEAR(Inputs!$G$26))*Months_In_Year-MONTH(Inputs!$G$26)</f>
        <v>270</v>
      </c>
      <c r="AL470" s="74" t="n">
        <f aca="false">(AL$361+1-YEAR(Inputs!$G$26))*Months_In_Year-MONTH(Inputs!$G$26)</f>
        <v>282</v>
      </c>
      <c r="AM470" s="74" t="n">
        <f aca="false">(AM$361+1-YEAR(Inputs!$G$26))*Months_In_Year-MONTH(Inputs!$G$26)</f>
        <v>294</v>
      </c>
      <c r="AN470" s="74" t="n">
        <f aca="false">(AN$361+1-YEAR(Inputs!$G$26))*Months_In_Year-MONTH(Inputs!$G$26)</f>
        <v>306</v>
      </c>
      <c r="AO470" s="74" t="n">
        <f aca="false">(AO$361+1-YEAR(Inputs!$G$26))*Months_In_Year-MONTH(Inputs!$G$26)</f>
        <v>318</v>
      </c>
      <c r="AP470" s="74" t="n">
        <f aca="false">(AP$361+1-YEAR(Inputs!$G$26))*Months_In_Year-MONTH(Inputs!$G$26)</f>
        <v>330</v>
      </c>
      <c r="AQ470" s="74" t="n">
        <f aca="false">(AQ$361+1-YEAR(Inputs!$G$26))*Months_In_Year-MONTH(Inputs!$G$26)</f>
        <v>342</v>
      </c>
      <c r="AR470" s="74" t="n">
        <f aca="false">(AR$361+1-YEAR(Inputs!$G$26))*Months_In_Year-MONTH(Inputs!$G$26)</f>
        <v>354</v>
      </c>
      <c r="AS470" s="74" t="n">
        <f aca="false">(AS$361+1-YEAR(Inputs!$G$26))*Months_In_Year-MONTH(Inputs!$G$26)</f>
        <v>366</v>
      </c>
    </row>
    <row r="471" customFormat="false" ht="14.25" hidden="false" customHeight="false" outlineLevel="0" collapsed="false">
      <c r="C471" s="6" t="s">
        <v>296</v>
      </c>
      <c r="D471" s="2" t="s">
        <v>12</v>
      </c>
      <c r="H471" s="75" t="n">
        <f aca="false">SUM(J471:AS471)</f>
        <v>30</v>
      </c>
      <c r="J471" s="48" t="n">
        <f aca="false">MAX(0,MIN(J470,$G470)-MAX(J470-Months_In_Year,0))/Months_In_Year</f>
        <v>0</v>
      </c>
      <c r="K471" s="48" t="n">
        <f aca="false">MAX(0,MIN(K470,$G470)-MAX(K470-Months_In_Year,0))/Months_In_Year</f>
        <v>0</v>
      </c>
      <c r="L471" s="48" t="n">
        <f aca="false">MAX(0,MIN(L470,$G470)-MAX(L470-Months_In_Year,0))/Months_In_Year</f>
        <v>0</v>
      </c>
      <c r="M471" s="48" t="n">
        <f aca="false">MAX(0,MIN(M470,$G470)-MAX(M470-Months_In_Year,0))/Months_In_Year</f>
        <v>0</v>
      </c>
      <c r="N471" s="48" t="n">
        <f aca="false">MAX(0,MIN(N470,$G470)-MAX(N470-Months_In_Year,0))/Months_In_Year</f>
        <v>0</v>
      </c>
      <c r="O471" s="48" t="n">
        <f aca="false">MAX(0,MIN(O470,$G470)-MAX(O470-Months_In_Year,0))/Months_In_Year</f>
        <v>0.5</v>
      </c>
      <c r="P471" s="48" t="n">
        <f aca="false">MAX(0,MIN(P470,$G470)-MAX(P470-Months_In_Year,0))/Months_In_Year</f>
        <v>1</v>
      </c>
      <c r="Q471" s="48" t="n">
        <f aca="false">MAX(0,MIN(Q470,$G470)-MAX(Q470-Months_In_Year,0))/Months_In_Year</f>
        <v>1</v>
      </c>
      <c r="R471" s="48" t="n">
        <f aca="false">MAX(0,MIN(R470,$G470)-MAX(R470-Months_In_Year,0))/Months_In_Year</f>
        <v>1</v>
      </c>
      <c r="S471" s="48" t="n">
        <f aca="false">MAX(0,MIN(S470,$G470)-MAX(S470-Months_In_Year,0))/Months_In_Year</f>
        <v>1</v>
      </c>
      <c r="T471" s="48" t="n">
        <f aca="false">MAX(0,MIN(T470,$G470)-MAX(T470-Months_In_Year,0))/Months_In_Year</f>
        <v>1</v>
      </c>
      <c r="U471" s="48" t="n">
        <f aca="false">MAX(0,MIN(U470,$G470)-MAX(U470-Months_In_Year,0))/Months_In_Year</f>
        <v>1</v>
      </c>
      <c r="V471" s="48" t="n">
        <f aca="false">MAX(0,MIN(V470,$G470)-MAX(V470-Months_In_Year,0))/Months_In_Year</f>
        <v>1</v>
      </c>
      <c r="W471" s="48" t="n">
        <f aca="false">MAX(0,MIN(W470,$G470)-MAX(W470-Months_In_Year,0))/Months_In_Year</f>
        <v>1</v>
      </c>
      <c r="X471" s="48" t="n">
        <f aca="false">MAX(0,MIN(X470,$G470)-MAX(X470-Months_In_Year,0))/Months_In_Year</f>
        <v>1</v>
      </c>
      <c r="Y471" s="48" t="n">
        <f aca="false">MAX(0,MIN(Y470,$G470)-MAX(Y470-Months_In_Year,0))/Months_In_Year</f>
        <v>1</v>
      </c>
      <c r="Z471" s="48" t="n">
        <f aca="false">MAX(0,MIN(Z470,$G470)-MAX(Z470-Months_In_Year,0))/Months_In_Year</f>
        <v>1</v>
      </c>
      <c r="AA471" s="48" t="n">
        <f aca="false">MAX(0,MIN(AA470,$G470)-MAX(AA470-Months_In_Year,0))/Months_In_Year</f>
        <v>1</v>
      </c>
      <c r="AB471" s="48" t="n">
        <f aca="false">MAX(0,MIN(AB470,$G470)-MAX(AB470-Months_In_Year,0))/Months_In_Year</f>
        <v>1</v>
      </c>
      <c r="AC471" s="48" t="n">
        <f aca="false">MAX(0,MIN(AC470,$G470)-MAX(AC470-Months_In_Year,0))/Months_In_Year</f>
        <v>1</v>
      </c>
      <c r="AD471" s="48" t="n">
        <f aca="false">MAX(0,MIN(AD470,$G470)-MAX(AD470-Months_In_Year,0))/Months_In_Year</f>
        <v>1</v>
      </c>
      <c r="AE471" s="48" t="n">
        <f aca="false">MAX(0,MIN(AE470,$G470)-MAX(AE470-Months_In_Year,0))/Months_In_Year</f>
        <v>1</v>
      </c>
      <c r="AF471" s="48" t="n">
        <f aca="false">MAX(0,MIN(AF470,$G470)-MAX(AF470-Months_In_Year,0))/Months_In_Year</f>
        <v>1</v>
      </c>
      <c r="AG471" s="48" t="n">
        <f aca="false">MAX(0,MIN(AG470,$G470)-MAX(AG470-Months_In_Year,0))/Months_In_Year</f>
        <v>1</v>
      </c>
      <c r="AH471" s="48" t="n">
        <f aca="false">MAX(0,MIN(AH470,$G470)-MAX(AH470-Months_In_Year,0))/Months_In_Year</f>
        <v>1</v>
      </c>
      <c r="AI471" s="48" t="n">
        <f aca="false">MAX(0,MIN(AI470,$G470)-MAX(AI470-Months_In_Year,0))/Months_In_Year</f>
        <v>1</v>
      </c>
      <c r="AJ471" s="48" t="n">
        <f aca="false">MAX(0,MIN(AJ470,$G470)-MAX(AJ470-Months_In_Year,0))/Months_In_Year</f>
        <v>1</v>
      </c>
      <c r="AK471" s="48" t="n">
        <f aca="false">MAX(0,MIN(AK470,$G470)-MAX(AK470-Months_In_Year,0))/Months_In_Year</f>
        <v>1</v>
      </c>
      <c r="AL471" s="48" t="n">
        <f aca="false">MAX(0,MIN(AL470,$G470)-MAX(AL470-Months_In_Year,0))/Months_In_Year</f>
        <v>1</v>
      </c>
      <c r="AM471" s="48" t="n">
        <f aca="false">MAX(0,MIN(AM470,$G470)-MAX(AM470-Months_In_Year,0))/Months_In_Year</f>
        <v>1</v>
      </c>
      <c r="AN471" s="48" t="n">
        <f aca="false">MAX(0,MIN(AN470,$G470)-MAX(AN470-Months_In_Year,0))/Months_In_Year</f>
        <v>1</v>
      </c>
      <c r="AO471" s="48" t="n">
        <f aca="false">MAX(0,MIN(AO470,$G470)-MAX(AO470-Months_In_Year,0))/Months_In_Year</f>
        <v>1</v>
      </c>
      <c r="AP471" s="48" t="n">
        <f aca="false">MAX(0,MIN(AP470,$G470)-MAX(AP470-Months_In_Year,0))/Months_In_Year</f>
        <v>1</v>
      </c>
      <c r="AQ471" s="48" t="n">
        <f aca="false">MAX(0,MIN(AQ470,$G470)-MAX(AQ470-Months_In_Year,0))/Months_In_Year</f>
        <v>1</v>
      </c>
      <c r="AR471" s="48" t="n">
        <f aca="false">MAX(0,MIN(AR470,$G470)-MAX(AR470-Months_In_Year,0))/Months_In_Year</f>
        <v>1</v>
      </c>
      <c r="AS471" s="48" t="n">
        <f aca="false">MAX(0,MIN(AS470,$G470)-MAX(AS470-Months_In_Year,0))/Months_In_Year</f>
        <v>0.5</v>
      </c>
    </row>
    <row r="472" customFormat="false" ht="14.25" hidden="false" customHeight="false" outlineLevel="0" collapsed="false">
      <c r="C472" s="6" t="s">
        <v>297</v>
      </c>
      <c r="D472" s="2" t="s">
        <v>2</v>
      </c>
      <c r="J472" s="76" t="n">
        <f aca="false">N(J467=0)</f>
        <v>0</v>
      </c>
      <c r="K472" s="76" t="n">
        <f aca="false">N(K467=0)</f>
        <v>0</v>
      </c>
      <c r="L472" s="76" t="n">
        <f aca="false">N(L467=0)</f>
        <v>0</v>
      </c>
      <c r="M472" s="76" t="n">
        <f aca="false">N(M467=0)</f>
        <v>0</v>
      </c>
      <c r="N472" s="76" t="n">
        <f aca="false">N(N467=0)</f>
        <v>0</v>
      </c>
      <c r="O472" s="76" t="n">
        <f aca="false">N(O467=0)</f>
        <v>1</v>
      </c>
      <c r="P472" s="76" t="n">
        <f aca="false">N(P467=0)</f>
        <v>0</v>
      </c>
      <c r="Q472" s="76" t="n">
        <f aca="false">N(Q467=0)</f>
        <v>0</v>
      </c>
      <c r="R472" s="76" t="n">
        <f aca="false">N(R467=0)</f>
        <v>0</v>
      </c>
      <c r="S472" s="76" t="n">
        <f aca="false">N(S467=0)</f>
        <v>0</v>
      </c>
      <c r="T472" s="76" t="n">
        <f aca="false">N(T467=0)</f>
        <v>0</v>
      </c>
      <c r="U472" s="76" t="n">
        <f aca="false">N(U467=0)</f>
        <v>0</v>
      </c>
      <c r="V472" s="76" t="n">
        <f aca="false">N(V467=0)</f>
        <v>0</v>
      </c>
      <c r="W472" s="76" t="n">
        <f aca="false">N(W467=0)</f>
        <v>0</v>
      </c>
      <c r="X472" s="76" t="n">
        <f aca="false">N(X467=0)</f>
        <v>0</v>
      </c>
      <c r="Y472" s="76" t="n">
        <f aca="false">N(Y467=0)</f>
        <v>0</v>
      </c>
      <c r="Z472" s="76" t="n">
        <f aca="false">N(Z467=0)</f>
        <v>0</v>
      </c>
      <c r="AA472" s="76" t="n">
        <f aca="false">N(AA467=0)</f>
        <v>0</v>
      </c>
      <c r="AB472" s="76" t="n">
        <f aca="false">N(AB467=0)</f>
        <v>0</v>
      </c>
      <c r="AC472" s="76" t="n">
        <f aca="false">N(AC467=0)</f>
        <v>0</v>
      </c>
      <c r="AD472" s="76" t="n">
        <f aca="false">N(AD467=0)</f>
        <v>0</v>
      </c>
      <c r="AE472" s="76" t="n">
        <f aca="false">N(AE467=0)</f>
        <v>0</v>
      </c>
      <c r="AF472" s="76" t="n">
        <f aca="false">N(AF467=0)</f>
        <v>0</v>
      </c>
      <c r="AG472" s="76" t="n">
        <f aca="false">N(AG467=0)</f>
        <v>0</v>
      </c>
      <c r="AH472" s="76" t="n">
        <f aca="false">N(AH467=0)</f>
        <v>0</v>
      </c>
      <c r="AI472" s="76" t="n">
        <f aca="false">N(AI467=0)</f>
        <v>0</v>
      </c>
      <c r="AJ472" s="76" t="n">
        <f aca="false">N(AJ467=0)</f>
        <v>0</v>
      </c>
      <c r="AK472" s="76" t="n">
        <f aca="false">N(AK467=0)</f>
        <v>0</v>
      </c>
      <c r="AL472" s="76" t="n">
        <f aca="false">N(AL467=0)</f>
        <v>0</v>
      </c>
      <c r="AM472" s="76" t="n">
        <f aca="false">N(AM467=0)</f>
        <v>0</v>
      </c>
      <c r="AN472" s="76" t="n">
        <f aca="false">N(AN467=0)</f>
        <v>0</v>
      </c>
      <c r="AO472" s="76" t="n">
        <f aca="false">N(AO467=0)</f>
        <v>0</v>
      </c>
      <c r="AP472" s="76" t="n">
        <f aca="false">N(AP467=0)</f>
        <v>0</v>
      </c>
      <c r="AQ472" s="76" t="n">
        <f aca="false">N(AQ467=0)</f>
        <v>0</v>
      </c>
      <c r="AR472" s="76" t="n">
        <f aca="false">N(AR467=0)</f>
        <v>0</v>
      </c>
      <c r="AS472" s="76" t="n">
        <f aca="false">N(AS467=0)</f>
        <v>0</v>
      </c>
    </row>
    <row r="473" customFormat="false" ht="14.25" hidden="false" customHeight="false" outlineLevel="0" collapsed="false">
      <c r="C473" s="6" t="s">
        <v>298</v>
      </c>
      <c r="D473" s="2" t="s">
        <v>85</v>
      </c>
      <c r="H473" s="8" t="n">
        <f aca="false">SUM(J473:AS473)</f>
        <v>-14078.5797945205</v>
      </c>
      <c r="J473" s="8" t="n">
        <f aca="false">-($G$98+$G$68+$G$62+$G$63+$G$92)*(J$361=YEAR(Sale_Date))</f>
        <v>-0</v>
      </c>
      <c r="K473" s="8" t="n">
        <f aca="false">-($G$98+$G$68+$G$62+$G$63+$G$92)*(K$361=YEAR(Sale_Date))</f>
        <v>-0</v>
      </c>
      <c r="L473" s="8" t="n">
        <f aca="false">-($G$98+$G$68+$G$62+$G$63+$G$92)*(L$361=YEAR(Sale_Date))</f>
        <v>-0</v>
      </c>
      <c r="M473" s="8" t="n">
        <f aca="false">-($G$98+$G$68+$G$62+$G$63+$G$92)*(M$361=YEAR(Sale_Date))</f>
        <v>-14078.5797945205</v>
      </c>
      <c r="N473" s="8" t="n">
        <f aca="false">-($G$98+$G$68+$G$62+$G$63+$G$92)*(N$361=YEAR(Sale_Date))</f>
        <v>-0</v>
      </c>
      <c r="O473" s="8" t="n">
        <f aca="false">-($G$98+$G$68+$G$62+$G$63+$G$92)*(O$361=YEAR(Sale_Date))</f>
        <v>-0</v>
      </c>
      <c r="P473" s="8" t="n">
        <f aca="false">-($G$98+$G$68+$G$62+$G$63+$G$92)*(P$361=YEAR(Sale_Date))</f>
        <v>-0</v>
      </c>
      <c r="Q473" s="8" t="n">
        <f aca="false">-($G$98+$G$68+$G$62+$G$63+$G$92)*(Q$361=YEAR(Sale_Date))</f>
        <v>-0</v>
      </c>
      <c r="R473" s="8" t="n">
        <f aca="false">-($G$98+$G$68+$G$62+$G$63+$G$92)*(R$361=YEAR(Sale_Date))</f>
        <v>-0</v>
      </c>
      <c r="S473" s="8" t="n">
        <f aca="false">-($G$98+$G$68+$G$62+$G$63+$G$92)*(S$361=YEAR(Sale_Date))</f>
        <v>-0</v>
      </c>
      <c r="T473" s="8" t="n">
        <f aca="false">-($G$98+$G$68+$G$62+$G$63+$G$92)*(T$361=YEAR(Sale_Date))</f>
        <v>-0</v>
      </c>
      <c r="U473" s="8" t="n">
        <f aca="false">-($G$98+$G$68+$G$62+$G$63+$G$92)*(U$361=YEAR(Sale_Date))</f>
        <v>-0</v>
      </c>
      <c r="V473" s="8" t="n">
        <f aca="false">-($G$98+$G$68+$G$62+$G$63+$G$92)*(V$361=YEAR(Sale_Date))</f>
        <v>-0</v>
      </c>
      <c r="W473" s="8" t="n">
        <f aca="false">-($G$98+$G$68+$G$62+$G$63+$G$92)*(W$361=YEAR(Sale_Date))</f>
        <v>-0</v>
      </c>
      <c r="X473" s="8" t="n">
        <f aca="false">-($G$98+$G$68+$G$62+$G$63+$G$92)*(X$361=YEAR(Sale_Date))</f>
        <v>-0</v>
      </c>
      <c r="Y473" s="8" t="n">
        <f aca="false">-($G$98+$G$68+$G$62+$G$63+$G$92)*(Y$361=YEAR(Sale_Date))</f>
        <v>-0</v>
      </c>
      <c r="Z473" s="8" t="n">
        <f aca="false">-($G$98+$G$68+$G$62+$G$63+$G$92)*(Z$361=YEAR(Sale_Date))</f>
        <v>-0</v>
      </c>
      <c r="AA473" s="8" t="n">
        <f aca="false">-($G$98+$G$68+$G$62+$G$63+$G$92)*(AA$361=YEAR(Sale_Date))</f>
        <v>-0</v>
      </c>
      <c r="AB473" s="8" t="n">
        <f aca="false">-($G$98+$G$68+$G$62+$G$63+$G$92)*(AB$361=YEAR(Sale_Date))</f>
        <v>-0</v>
      </c>
      <c r="AC473" s="8" t="n">
        <f aca="false">-($G$98+$G$68+$G$62+$G$63+$G$92)*(AC$361=YEAR(Sale_Date))</f>
        <v>-0</v>
      </c>
      <c r="AD473" s="8" t="n">
        <f aca="false">-($G$98+$G$68+$G$62+$G$63+$G$92)*(AD$361=YEAR(Sale_Date))</f>
        <v>-0</v>
      </c>
      <c r="AE473" s="8" t="n">
        <f aca="false">-($G$98+$G$68+$G$62+$G$63+$G$92)*(AE$361=YEAR(Sale_Date))</f>
        <v>-0</v>
      </c>
      <c r="AF473" s="8" t="n">
        <f aca="false">-($G$98+$G$68+$G$62+$G$63+$G$92)*(AF$361=YEAR(Sale_Date))</f>
        <v>-0</v>
      </c>
      <c r="AG473" s="8" t="n">
        <f aca="false">-($G$98+$G$68+$G$62+$G$63+$G$92)*(AG$361=YEAR(Sale_Date))</f>
        <v>-0</v>
      </c>
      <c r="AH473" s="8" t="n">
        <f aca="false">-($G$98+$G$68+$G$62+$G$63+$G$92)*(AH$361=YEAR(Sale_Date))</f>
        <v>-0</v>
      </c>
      <c r="AI473" s="8" t="n">
        <f aca="false">-($G$98+$G$68+$G$62+$G$63+$G$92)*(AI$361=YEAR(Sale_Date))</f>
        <v>-0</v>
      </c>
      <c r="AJ473" s="8" t="n">
        <f aca="false">-($G$98+$G$68+$G$62+$G$63+$G$92)*(AJ$361=YEAR(Sale_Date))</f>
        <v>-0</v>
      </c>
      <c r="AK473" s="8" t="n">
        <f aca="false">-($G$98+$G$68+$G$62+$G$63+$G$92)*(AK$361=YEAR(Sale_Date))</f>
        <v>-0</v>
      </c>
      <c r="AL473" s="8" t="n">
        <f aca="false">-($G$98+$G$68+$G$62+$G$63+$G$92)*(AL$361=YEAR(Sale_Date))</f>
        <v>-0</v>
      </c>
      <c r="AM473" s="8" t="n">
        <f aca="false">-($G$98+$G$68+$G$62+$G$63+$G$92)*(AM$361=YEAR(Sale_Date))</f>
        <v>-0</v>
      </c>
      <c r="AN473" s="8" t="n">
        <f aca="false">-($G$98+$G$68+$G$62+$G$63+$G$92)*(AN$361=YEAR(Sale_Date))</f>
        <v>-0</v>
      </c>
      <c r="AO473" s="8" t="n">
        <f aca="false">-($G$98+$G$68+$G$62+$G$63+$G$92)*(AO$361=YEAR(Sale_Date))</f>
        <v>-0</v>
      </c>
      <c r="AP473" s="8" t="n">
        <f aca="false">-($G$98+$G$68+$G$62+$G$63+$G$92)*(AP$361=YEAR(Sale_Date))</f>
        <v>-0</v>
      </c>
      <c r="AQ473" s="8" t="n">
        <f aca="false">-($G$98+$G$68+$G$62+$G$63+$G$92)*(AQ$361=YEAR(Sale_Date))</f>
        <v>-0</v>
      </c>
      <c r="AR473" s="8" t="n">
        <f aca="false">-($G$98+$G$68+$G$62+$G$63+$G$92)*(AR$361=YEAR(Sale_Date))</f>
        <v>-0</v>
      </c>
      <c r="AS473" s="8" t="n">
        <f aca="false">-($G$98+$G$68+$G$62+$G$63+$G$92)*(AS$361=YEAR(Sale_Date))</f>
        <v>-0</v>
      </c>
    </row>
    <row r="474" customFormat="false" ht="14.25" hidden="false" customHeight="false" outlineLevel="0" collapsed="false">
      <c r="C474" s="6" t="s">
        <v>299</v>
      </c>
      <c r="D474" s="2" t="s">
        <v>85</v>
      </c>
      <c r="H474" s="8" t="n">
        <f aca="false">SUM(J474:AS474)</f>
        <v>2494.52054794521</v>
      </c>
      <c r="J474" s="8" t="n">
        <f aca="false">($G$62+$G$63)*(J$361=YEAR(Inputs!$G$27))</f>
        <v>0</v>
      </c>
      <c r="K474" s="8" t="n">
        <f aca="false">($G$62+$G$63)*(K$361=YEAR(Inputs!$G$27))</f>
        <v>0</v>
      </c>
      <c r="L474" s="8" t="n">
        <f aca="false">($G$62+$G$63)*(L$361=YEAR(Inputs!$G$27))</f>
        <v>0</v>
      </c>
      <c r="M474" s="8" t="n">
        <f aca="false">($G$62+$G$63)*(M$361=YEAR(Inputs!$G$27))</f>
        <v>0</v>
      </c>
      <c r="N474" s="8" t="n">
        <f aca="false">($G$62+$G$63)*(N$361=YEAR(Inputs!$G$27))</f>
        <v>0</v>
      </c>
      <c r="O474" s="8" t="n">
        <f aca="false">($G$62+$G$63)*(O$361=YEAR(Inputs!$G$27))</f>
        <v>0</v>
      </c>
      <c r="P474" s="8" t="n">
        <f aca="false">($G$62+$G$63)*(P$361=YEAR(Inputs!$G$27))</f>
        <v>0</v>
      </c>
      <c r="Q474" s="8" t="n">
        <f aca="false">($G$62+$G$63)*(Q$361=YEAR(Inputs!$G$27))</f>
        <v>2494.52054794521</v>
      </c>
      <c r="R474" s="8" t="n">
        <f aca="false">($G$62+$G$63)*(R$361=YEAR(Inputs!$G$27))</f>
        <v>0</v>
      </c>
      <c r="S474" s="8" t="n">
        <f aca="false">($G$62+$G$63)*(S$361=YEAR(Inputs!$G$27))</f>
        <v>0</v>
      </c>
      <c r="T474" s="8" t="n">
        <f aca="false">($G$62+$G$63)*(T$361=YEAR(Inputs!$G$27))</f>
        <v>0</v>
      </c>
      <c r="U474" s="8" t="n">
        <f aca="false">($G$62+$G$63)*(U$361=YEAR(Inputs!$G$27))</f>
        <v>0</v>
      </c>
      <c r="V474" s="8" t="n">
        <f aca="false">($G$62+$G$63)*(V$361=YEAR(Inputs!$G$27))</f>
        <v>0</v>
      </c>
      <c r="W474" s="8" t="n">
        <f aca="false">($G$62+$G$63)*(W$361=YEAR(Inputs!$G$27))</f>
        <v>0</v>
      </c>
      <c r="X474" s="8" t="n">
        <f aca="false">($G$62+$G$63)*(X$361=YEAR(Inputs!$G$27))</f>
        <v>0</v>
      </c>
      <c r="Y474" s="8" t="n">
        <f aca="false">($G$62+$G$63)*(Y$361=YEAR(Inputs!$G$27))</f>
        <v>0</v>
      </c>
      <c r="Z474" s="8" t="n">
        <f aca="false">($G$62+$G$63)*(Z$361=YEAR(Inputs!$G$27))</f>
        <v>0</v>
      </c>
      <c r="AA474" s="8" t="n">
        <f aca="false">($G$62+$G$63)*(AA$361=YEAR(Inputs!$G$27))</f>
        <v>0</v>
      </c>
      <c r="AB474" s="8" t="n">
        <f aca="false">($G$62+$G$63)*(AB$361=YEAR(Inputs!$G$27))</f>
        <v>0</v>
      </c>
      <c r="AC474" s="8" t="n">
        <f aca="false">($G$62+$G$63)*(AC$361=YEAR(Inputs!$G$27))</f>
        <v>0</v>
      </c>
      <c r="AD474" s="8" t="n">
        <f aca="false">($G$62+$G$63)*(AD$361=YEAR(Inputs!$G$27))</f>
        <v>0</v>
      </c>
      <c r="AE474" s="8" t="n">
        <f aca="false">($G$62+$G$63)*(AE$361=YEAR(Inputs!$G$27))</f>
        <v>0</v>
      </c>
      <c r="AF474" s="8" t="n">
        <f aca="false">($G$62+$G$63)*(AF$361=YEAR(Inputs!$G$27))</f>
        <v>0</v>
      </c>
      <c r="AG474" s="8" t="n">
        <f aca="false">($G$62+$G$63)*(AG$361=YEAR(Inputs!$G$27))</f>
        <v>0</v>
      </c>
      <c r="AH474" s="8" t="n">
        <f aca="false">($G$62+$G$63)*(AH$361=YEAR(Inputs!$G$27))</f>
        <v>0</v>
      </c>
      <c r="AI474" s="8" t="n">
        <f aca="false">($G$62+$G$63)*(AI$361=YEAR(Inputs!$G$27))</f>
        <v>0</v>
      </c>
      <c r="AJ474" s="8" t="n">
        <f aca="false">($G$62+$G$63)*(AJ$361=YEAR(Inputs!$G$27))</f>
        <v>0</v>
      </c>
      <c r="AK474" s="8" t="n">
        <f aca="false">($G$62+$G$63)*(AK$361=YEAR(Inputs!$G$27))</f>
        <v>0</v>
      </c>
      <c r="AL474" s="8" t="n">
        <f aca="false">($G$62+$G$63)*(AL$361=YEAR(Inputs!$G$27))</f>
        <v>0</v>
      </c>
      <c r="AM474" s="8" t="n">
        <f aca="false">($G$62+$G$63)*(AM$361=YEAR(Inputs!$G$27))</f>
        <v>0</v>
      </c>
      <c r="AN474" s="8" t="n">
        <f aca="false">($G$62+$G$63)*(AN$361=YEAR(Inputs!$G$27))</f>
        <v>0</v>
      </c>
      <c r="AO474" s="8" t="n">
        <f aca="false">($G$62+$G$63)*(AO$361=YEAR(Inputs!$G$27))</f>
        <v>0</v>
      </c>
      <c r="AP474" s="8" t="n">
        <f aca="false">($G$62+$G$63)*(AP$361=YEAR(Inputs!$G$27))</f>
        <v>0</v>
      </c>
      <c r="AQ474" s="8" t="n">
        <f aca="false">($G$62+$G$63)*(AQ$361=YEAR(Inputs!$G$27))</f>
        <v>0</v>
      </c>
      <c r="AR474" s="8" t="n">
        <f aca="false">($G$62+$G$63)*(AR$361=YEAR(Inputs!$G$27))</f>
        <v>0</v>
      </c>
      <c r="AS474" s="8" t="n">
        <f aca="false">($G$62+$G$63)*(AS$361=YEAR(Inputs!$G$27))</f>
        <v>0</v>
      </c>
    </row>
    <row r="475" customFormat="false" ht="14.25" hidden="false" customHeight="false" outlineLevel="0" collapsed="false">
      <c r="C475" s="6" t="s">
        <v>300</v>
      </c>
      <c r="D475" s="2" t="s">
        <v>85</v>
      </c>
      <c r="H475" s="8" t="n">
        <f aca="false">SUM(J475:AS475)</f>
        <v>-62716</v>
      </c>
      <c r="J475" s="8" t="n">
        <f aca="false">-$G$91*J469</f>
        <v>-0</v>
      </c>
      <c r="K475" s="8" t="n">
        <f aca="false">-$G$91*K469</f>
        <v>-0</v>
      </c>
      <c r="L475" s="8" t="n">
        <f aca="false">-$G$91*L469</f>
        <v>-0</v>
      </c>
      <c r="M475" s="8" t="n">
        <f aca="false">-$G$91*M469</f>
        <v>-15679</v>
      </c>
      <c r="N475" s="8" t="n">
        <f aca="false">-$G$91*N469</f>
        <v>-31358</v>
      </c>
      <c r="O475" s="8" t="n">
        <f aca="false">-$G$91*O469</f>
        <v>-15679</v>
      </c>
      <c r="P475" s="8" t="n">
        <f aca="false">-$G$91*P469</f>
        <v>-0</v>
      </c>
      <c r="Q475" s="8" t="n">
        <f aca="false">-$G$91*Q469</f>
        <v>-0</v>
      </c>
      <c r="R475" s="8" t="n">
        <f aca="false">-$G$91*R469</f>
        <v>-0</v>
      </c>
      <c r="S475" s="8" t="n">
        <f aca="false">-$G$91*S469</f>
        <v>-0</v>
      </c>
      <c r="T475" s="8" t="n">
        <f aca="false">-$G$91*T469</f>
        <v>-0</v>
      </c>
      <c r="U475" s="8" t="n">
        <f aca="false">-$G$91*U469</f>
        <v>-0</v>
      </c>
      <c r="V475" s="8" t="n">
        <f aca="false">-$G$91*V469</f>
        <v>-0</v>
      </c>
      <c r="W475" s="8" t="n">
        <f aca="false">-$G$91*W469</f>
        <v>-0</v>
      </c>
      <c r="X475" s="8" t="n">
        <f aca="false">-$G$91*X469</f>
        <v>-0</v>
      </c>
      <c r="Y475" s="8" t="n">
        <f aca="false">-$G$91*Y469</f>
        <v>-0</v>
      </c>
      <c r="Z475" s="8" t="n">
        <f aca="false">-$G$91*Z469</f>
        <v>-0</v>
      </c>
      <c r="AA475" s="8" t="n">
        <f aca="false">-$G$91*AA469</f>
        <v>-0</v>
      </c>
      <c r="AB475" s="8" t="n">
        <f aca="false">-$G$91*AB469</f>
        <v>-0</v>
      </c>
      <c r="AC475" s="8" t="n">
        <f aca="false">-$G$91*AC469</f>
        <v>-0</v>
      </c>
      <c r="AD475" s="8" t="n">
        <f aca="false">-$G$91*AD469</f>
        <v>-0</v>
      </c>
      <c r="AE475" s="8" t="n">
        <f aca="false">-$G$91*AE469</f>
        <v>-0</v>
      </c>
      <c r="AF475" s="8" t="n">
        <f aca="false">-$G$91*AF469</f>
        <v>-0</v>
      </c>
      <c r="AG475" s="8" t="n">
        <f aca="false">-$G$91*AG469</f>
        <v>-0</v>
      </c>
      <c r="AH475" s="8" t="n">
        <f aca="false">-$G$91*AH469</f>
        <v>-0</v>
      </c>
      <c r="AI475" s="8" t="n">
        <f aca="false">-$G$91*AI469</f>
        <v>-0</v>
      </c>
      <c r="AJ475" s="8" t="n">
        <f aca="false">-$G$91*AJ469</f>
        <v>-0</v>
      </c>
      <c r="AK475" s="8" t="n">
        <f aca="false">-$G$91*AK469</f>
        <v>-0</v>
      </c>
      <c r="AL475" s="8" t="n">
        <f aca="false">-$G$91*AL469</f>
        <v>-0</v>
      </c>
      <c r="AM475" s="8" t="n">
        <f aca="false">-$G$91*AM469</f>
        <v>-0</v>
      </c>
      <c r="AN475" s="8" t="n">
        <f aca="false">-$G$91*AN469</f>
        <v>-0</v>
      </c>
      <c r="AO475" s="8" t="n">
        <f aca="false">-$G$91*AO469</f>
        <v>-0</v>
      </c>
      <c r="AP475" s="8" t="n">
        <f aca="false">-$G$91*AP469</f>
        <v>-0</v>
      </c>
      <c r="AQ475" s="8" t="n">
        <f aca="false">-$G$91*AQ469</f>
        <v>-0</v>
      </c>
      <c r="AR475" s="8" t="n">
        <f aca="false">-$G$91*AR469</f>
        <v>-0</v>
      </c>
      <c r="AS475" s="8" t="n">
        <f aca="false">-$G$91*AS469</f>
        <v>-0</v>
      </c>
    </row>
    <row r="476" customFormat="false" ht="14.25" hidden="false" customHeight="false" outlineLevel="0" collapsed="false">
      <c r="C476" s="6" t="s">
        <v>301</v>
      </c>
      <c r="D476" s="2" t="s">
        <v>85</v>
      </c>
      <c r="H476" s="8" t="n">
        <f aca="false">SUM(J476:AS476)</f>
        <v>-2500</v>
      </c>
      <c r="J476" s="8" t="n">
        <f aca="false">-$G$96*J472</f>
        <v>-0</v>
      </c>
      <c r="K476" s="8" t="n">
        <f aca="false">-$G$96*K472</f>
        <v>-0</v>
      </c>
      <c r="L476" s="8" t="n">
        <f aca="false">-$G$96*L472</f>
        <v>-0</v>
      </c>
      <c r="M476" s="8" t="n">
        <f aca="false">-$G$96*M472</f>
        <v>-0</v>
      </c>
      <c r="N476" s="8" t="n">
        <f aca="false">-$G$96*N472</f>
        <v>-0</v>
      </c>
      <c r="O476" s="8" t="n">
        <f aca="false">-$G$96*O472</f>
        <v>-2500</v>
      </c>
      <c r="P476" s="8" t="n">
        <f aca="false">-$G$96*P472</f>
        <v>-0</v>
      </c>
      <c r="Q476" s="8" t="n">
        <f aca="false">-$G$96*Q472</f>
        <v>-0</v>
      </c>
      <c r="R476" s="8" t="n">
        <f aca="false">-$G$96*R472</f>
        <v>-0</v>
      </c>
      <c r="S476" s="8" t="n">
        <f aca="false">-$G$96*S472</f>
        <v>-0</v>
      </c>
      <c r="T476" s="8" t="n">
        <f aca="false">-$G$96*T472</f>
        <v>-0</v>
      </c>
      <c r="U476" s="8" t="n">
        <f aca="false">-$G$96*U472</f>
        <v>-0</v>
      </c>
      <c r="V476" s="8" t="n">
        <f aca="false">-$G$96*V472</f>
        <v>-0</v>
      </c>
      <c r="W476" s="8" t="n">
        <f aca="false">-$G$96*W472</f>
        <v>-0</v>
      </c>
      <c r="X476" s="8" t="n">
        <f aca="false">-$G$96*X472</f>
        <v>-0</v>
      </c>
      <c r="Y476" s="8" t="n">
        <f aca="false">-$G$96*Y472</f>
        <v>-0</v>
      </c>
      <c r="Z476" s="8" t="n">
        <f aca="false">-$G$96*Z472</f>
        <v>-0</v>
      </c>
      <c r="AA476" s="8" t="n">
        <f aca="false">-$G$96*AA472</f>
        <v>-0</v>
      </c>
      <c r="AB476" s="8" t="n">
        <f aca="false">-$G$96*AB472</f>
        <v>-0</v>
      </c>
      <c r="AC476" s="8" t="n">
        <f aca="false">-$G$96*AC472</f>
        <v>-0</v>
      </c>
      <c r="AD476" s="8" t="n">
        <f aca="false">-$G$96*AD472</f>
        <v>-0</v>
      </c>
      <c r="AE476" s="8" t="n">
        <f aca="false">-$G$96*AE472</f>
        <v>-0</v>
      </c>
      <c r="AF476" s="8" t="n">
        <f aca="false">-$G$96*AF472</f>
        <v>-0</v>
      </c>
      <c r="AG476" s="8" t="n">
        <f aca="false">-$G$96*AG472</f>
        <v>-0</v>
      </c>
      <c r="AH476" s="8" t="n">
        <f aca="false">-$G$96*AH472</f>
        <v>-0</v>
      </c>
      <c r="AI476" s="8" t="n">
        <f aca="false">-$G$96*AI472</f>
        <v>-0</v>
      </c>
      <c r="AJ476" s="8" t="n">
        <f aca="false">-$G$96*AJ472</f>
        <v>-0</v>
      </c>
      <c r="AK476" s="8" t="n">
        <f aca="false">-$G$96*AK472</f>
        <v>-0</v>
      </c>
      <c r="AL476" s="8" t="n">
        <f aca="false">-$G$96*AL472</f>
        <v>-0</v>
      </c>
      <c r="AM476" s="8" t="n">
        <f aca="false">-$G$96*AM472</f>
        <v>-0</v>
      </c>
      <c r="AN476" s="8" t="n">
        <f aca="false">-$G$96*AN472</f>
        <v>-0</v>
      </c>
      <c r="AO476" s="8" t="n">
        <f aca="false">-$G$96*AO472</f>
        <v>-0</v>
      </c>
      <c r="AP476" s="8" t="n">
        <f aca="false">-$G$96*AP472</f>
        <v>-0</v>
      </c>
      <c r="AQ476" s="8" t="n">
        <f aca="false">-$G$96*AQ472</f>
        <v>-0</v>
      </c>
      <c r="AR476" s="8" t="n">
        <f aca="false">-$G$96*AR472</f>
        <v>-0</v>
      </c>
      <c r="AS476" s="8" t="n">
        <f aca="false">-$G$96*AS472</f>
        <v>-0</v>
      </c>
    </row>
    <row r="477" customFormat="false" ht="14.25" hidden="false" customHeight="false" outlineLevel="0" collapsed="false">
      <c r="C477" s="1" t="s">
        <v>302</v>
      </c>
      <c r="D477" s="2" t="s">
        <v>85</v>
      </c>
      <c r="H477" s="15" t="n">
        <f aca="false">SUM(J477:AS477)</f>
        <v>-76800.0592465753</v>
      </c>
      <c r="J477" s="15" t="n">
        <f aca="false">SUM(J473:J476)</f>
        <v>0</v>
      </c>
      <c r="K477" s="15" t="n">
        <f aca="false">SUM(K473:K476)</f>
        <v>0</v>
      </c>
      <c r="L477" s="15" t="n">
        <f aca="false">SUM(L473:L476)</f>
        <v>0</v>
      </c>
      <c r="M477" s="15" t="n">
        <f aca="false">SUM(M473:M476)</f>
        <v>-29757.5797945206</v>
      </c>
      <c r="N477" s="15" t="n">
        <f aca="false">SUM(N473:N476)</f>
        <v>-31358</v>
      </c>
      <c r="O477" s="15" t="n">
        <f aca="false">SUM(O473:O476)</f>
        <v>-18179</v>
      </c>
      <c r="P477" s="15" t="n">
        <f aca="false">SUM(P473:P476)</f>
        <v>0</v>
      </c>
      <c r="Q477" s="15" t="n">
        <f aca="false">SUM(Q473:Q476)</f>
        <v>2494.52054794521</v>
      </c>
      <c r="R477" s="15" t="n">
        <f aca="false">SUM(R473:R476)</f>
        <v>0</v>
      </c>
      <c r="S477" s="15" t="n">
        <f aca="false">SUM(S473:S476)</f>
        <v>0</v>
      </c>
      <c r="T477" s="15" t="n">
        <f aca="false">SUM(T473:T476)</f>
        <v>0</v>
      </c>
      <c r="U477" s="15" t="n">
        <f aca="false">SUM(U473:U476)</f>
        <v>0</v>
      </c>
      <c r="V477" s="15" t="n">
        <f aca="false">SUM(V473:V476)</f>
        <v>0</v>
      </c>
      <c r="W477" s="15" t="n">
        <f aca="false">SUM(W473:W476)</f>
        <v>0</v>
      </c>
      <c r="X477" s="15" t="n">
        <f aca="false">SUM(X473:X476)</f>
        <v>0</v>
      </c>
      <c r="Y477" s="15" t="n">
        <f aca="false">SUM(Y473:Y476)</f>
        <v>0</v>
      </c>
      <c r="Z477" s="15" t="n">
        <f aca="false">SUM(Z473:Z476)</f>
        <v>0</v>
      </c>
      <c r="AA477" s="15" t="n">
        <f aca="false">SUM(AA473:AA476)</f>
        <v>0</v>
      </c>
      <c r="AB477" s="15" t="n">
        <f aca="false">SUM(AB473:AB476)</f>
        <v>0</v>
      </c>
      <c r="AC477" s="15" t="n">
        <f aca="false">SUM(AC473:AC476)</f>
        <v>0</v>
      </c>
      <c r="AD477" s="15" t="n">
        <f aca="false">SUM(AD473:AD476)</f>
        <v>0</v>
      </c>
      <c r="AE477" s="15" t="n">
        <f aca="false">SUM(AE473:AE476)</f>
        <v>0</v>
      </c>
      <c r="AF477" s="15" t="n">
        <f aca="false">SUM(AF473:AF476)</f>
        <v>0</v>
      </c>
      <c r="AG477" s="15" t="n">
        <f aca="false">SUM(AG473:AG476)</f>
        <v>0</v>
      </c>
      <c r="AH477" s="15" t="n">
        <f aca="false">SUM(AH473:AH476)</f>
        <v>0</v>
      </c>
      <c r="AI477" s="15" t="n">
        <f aca="false">SUM(AI473:AI476)</f>
        <v>0</v>
      </c>
      <c r="AJ477" s="15" t="n">
        <f aca="false">SUM(AJ473:AJ476)</f>
        <v>0</v>
      </c>
      <c r="AK477" s="15" t="n">
        <f aca="false">SUM(AK473:AK476)</f>
        <v>0</v>
      </c>
      <c r="AL477" s="15" t="n">
        <f aca="false">SUM(AL473:AL476)</f>
        <v>0</v>
      </c>
      <c r="AM477" s="15" t="n">
        <f aca="false">SUM(AM473:AM476)</f>
        <v>0</v>
      </c>
      <c r="AN477" s="15" t="n">
        <f aca="false">SUM(AN473:AN476)</f>
        <v>0</v>
      </c>
      <c r="AO477" s="15" t="n">
        <f aca="false">SUM(AO473:AO476)</f>
        <v>0</v>
      </c>
      <c r="AP477" s="15" t="n">
        <f aca="false">SUM(AP473:AP476)</f>
        <v>0</v>
      </c>
      <c r="AQ477" s="15" t="n">
        <f aca="false">SUM(AQ473:AQ476)</f>
        <v>0</v>
      </c>
      <c r="AR477" s="15" t="n">
        <f aca="false">SUM(AR473:AR476)</f>
        <v>0</v>
      </c>
      <c r="AS477" s="15" t="n">
        <f aca="false">SUM(AS473:AS476)</f>
        <v>0</v>
      </c>
    </row>
    <row r="478" customFormat="false" ht="14.25" hidden="false" customHeight="false" outlineLevel="0" collapsed="false">
      <c r="C478" s="6" t="s">
        <v>303</v>
      </c>
      <c r="D478" s="2" t="s">
        <v>3</v>
      </c>
      <c r="J478" s="77" t="n">
        <f aca="false">(1-Degradation)^MAX(J467-1,0)</f>
        <v>1</v>
      </c>
      <c r="K478" s="77" t="n">
        <f aca="false">(1-Degradation)^MAX(K467-1,0)</f>
        <v>1</v>
      </c>
      <c r="L478" s="77" t="n">
        <f aca="false">(1-Degradation)^MAX(L467-1,0)</f>
        <v>1</v>
      </c>
      <c r="M478" s="77" t="n">
        <f aca="false">(1-Degradation)^MAX(M467-1,0)</f>
        <v>1</v>
      </c>
      <c r="N478" s="77" t="n">
        <f aca="false">(1-Degradation)^MAX(N467-1,0)</f>
        <v>1</v>
      </c>
      <c r="O478" s="77" t="n">
        <f aca="false">(1-Degradation)^MAX(O467-1,0)</f>
        <v>1</v>
      </c>
      <c r="P478" s="77" t="n">
        <f aca="false">(1-Degradation)^MAX(P467-1,0)</f>
        <v>1</v>
      </c>
      <c r="Q478" s="77" t="n">
        <f aca="false">(1-Degradation)^MAX(Q467-1,0)</f>
        <v>0.997</v>
      </c>
      <c r="R478" s="77" t="n">
        <f aca="false">(1-Degradation)^MAX(R467-1,0)</f>
        <v>0.994009</v>
      </c>
      <c r="S478" s="77" t="n">
        <f aca="false">(1-Degradation)^MAX(S467-1,0)</f>
        <v>0.991026973</v>
      </c>
      <c r="T478" s="77" t="n">
        <f aca="false">(1-Degradation)^MAX(T467-1,0)</f>
        <v>0.988053892081</v>
      </c>
      <c r="U478" s="77" t="n">
        <f aca="false">(1-Degradation)^MAX(U467-1,0)</f>
        <v>0.985089730404757</v>
      </c>
      <c r="V478" s="77" t="n">
        <f aca="false">(1-Degradation)^MAX(V467-1,0)</f>
        <v>0.982134461213543</v>
      </c>
      <c r="W478" s="77" t="n">
        <f aca="false">(1-Degradation)^MAX(W467-1,0)</f>
        <v>0.979188057829902</v>
      </c>
      <c r="X478" s="77" t="n">
        <f aca="false">(1-Degradation)^MAX(X467-1,0)</f>
        <v>0.976250493656412</v>
      </c>
      <c r="Y478" s="77" t="n">
        <f aca="false">(1-Degradation)^MAX(Y467-1,0)</f>
        <v>0.973321742175443</v>
      </c>
      <c r="Z478" s="77" t="n">
        <f aca="false">(1-Degradation)^MAX(Z467-1,0)</f>
        <v>0.970401776948917</v>
      </c>
      <c r="AA478" s="77" t="n">
        <f aca="false">(1-Degradation)^MAX(AA467-1,0)</f>
        <v>0.96749057161807</v>
      </c>
      <c r="AB478" s="77" t="n">
        <f aca="false">(1-Degradation)^MAX(AB467-1,0)</f>
        <v>0.964588099903216</v>
      </c>
      <c r="AC478" s="77" t="n">
        <f aca="false">(1-Degradation)^MAX(AC467-1,0)</f>
        <v>0.961694335603506</v>
      </c>
      <c r="AD478" s="77" t="n">
        <f aca="false">(1-Degradation)^MAX(AD467-1,0)</f>
        <v>0.958809252596696</v>
      </c>
      <c r="AE478" s="77" t="n">
        <f aca="false">(1-Degradation)^MAX(AE467-1,0)</f>
        <v>0.955932824838906</v>
      </c>
      <c r="AF478" s="77" t="n">
        <f aca="false">(1-Degradation)^MAX(AF467-1,0)</f>
        <v>0.953065026364389</v>
      </c>
      <c r="AG478" s="77" t="n">
        <f aca="false">(1-Degradation)^MAX(AG467-1,0)</f>
        <v>0.950205831285296</v>
      </c>
      <c r="AH478" s="77" t="n">
        <f aca="false">(1-Degradation)^MAX(AH467-1,0)</f>
        <v>0.94735521379144</v>
      </c>
      <c r="AI478" s="77" t="n">
        <f aca="false">(1-Degradation)^MAX(AI467-1,0)</f>
        <v>0.944513148150066</v>
      </c>
      <c r="AJ478" s="77" t="n">
        <f aca="false">(1-Degradation)^MAX(AJ467-1,0)</f>
        <v>0.941679608705615</v>
      </c>
      <c r="AK478" s="77" t="n">
        <f aca="false">(1-Degradation)^MAX(AK467-1,0)</f>
        <v>0.938854569879498</v>
      </c>
      <c r="AL478" s="77" t="n">
        <f aca="false">(1-Degradation)^MAX(AL467-1,0)</f>
        <v>0.93603800616986</v>
      </c>
      <c r="AM478" s="77" t="n">
        <f aca="false">(1-Degradation)^MAX(AM467-1,0)</f>
        <v>0.93322989215135</v>
      </c>
      <c r="AN478" s="77" t="n">
        <f aca="false">(1-Degradation)^MAX(AN467-1,0)</f>
        <v>0.930430202474896</v>
      </c>
      <c r="AO478" s="77" t="n">
        <f aca="false">(1-Degradation)^MAX(AO467-1,0)</f>
        <v>0.927638911867472</v>
      </c>
      <c r="AP478" s="77" t="n">
        <f aca="false">(1-Degradation)^MAX(AP467-1,0)</f>
        <v>0.924855995131869</v>
      </c>
      <c r="AQ478" s="77" t="n">
        <f aca="false">(1-Degradation)^MAX(AQ467-1,0)</f>
        <v>0.922081427146474</v>
      </c>
      <c r="AR478" s="77" t="n">
        <f aca="false">(1-Degradation)^MAX(AR467-1,0)</f>
        <v>0.919315182865034</v>
      </c>
      <c r="AS478" s="77" t="n">
        <f aca="false">(1-Degradation)^MAX(AS467-1,0)</f>
        <v>0.916557237316439</v>
      </c>
    </row>
    <row r="479" customFormat="false" ht="14.25" hidden="false" customHeight="false" outlineLevel="0" collapsed="false">
      <c r="C479" s="6" t="s">
        <v>304</v>
      </c>
      <c r="D479" s="2" t="s">
        <v>305</v>
      </c>
      <c r="H479" s="17" t="n">
        <f aca="false">SUM(J479:AS479)</f>
        <v>4263.39882706474</v>
      </c>
      <c r="J479" s="17" t="n">
        <f aca="false">$G$46*$G$22*(1-Curtailment)*(1-Clipping)*J471*J478/Thousand</f>
        <v>0</v>
      </c>
      <c r="K479" s="17" t="n">
        <f aca="false">$G$46*$G$22*(1-Curtailment)*(1-Clipping)*K471*K478/Thousand</f>
        <v>0</v>
      </c>
      <c r="L479" s="17" t="n">
        <f aca="false">$G$46*$G$22*(1-Curtailment)*(1-Clipping)*L471*L478/Thousand</f>
        <v>0</v>
      </c>
      <c r="M479" s="17" t="n">
        <f aca="false">$G$46*$G$22*(1-Curtailment)*(1-Clipping)*M471*M478/Thousand</f>
        <v>0</v>
      </c>
      <c r="N479" s="17" t="n">
        <f aca="false">$G$46*$G$22*(1-Curtailment)*(1-Clipping)*N471*N478/Thousand</f>
        <v>0</v>
      </c>
      <c r="O479" s="17" t="n">
        <f aca="false">$G$46*$G$22*(1-Curtailment)*(1-Clipping)*O471*O478/Thousand</f>
        <v>74.088</v>
      </c>
      <c r="P479" s="17" t="n">
        <f aca="false">$G$46*$G$22*(1-Curtailment)*(1-Clipping)*P471*P478/Thousand</f>
        <v>148.176</v>
      </c>
      <c r="Q479" s="17" t="n">
        <f aca="false">$G$46*$G$22*(1-Curtailment)*(1-Clipping)*Q471*Q478/Thousand</f>
        <v>147.731472</v>
      </c>
      <c r="R479" s="17" t="n">
        <f aca="false">$G$46*$G$22*(1-Curtailment)*(1-Clipping)*R471*R478/Thousand</f>
        <v>147.288277584</v>
      </c>
      <c r="S479" s="17" t="n">
        <f aca="false">$G$46*$G$22*(1-Curtailment)*(1-Clipping)*S471*S478/Thousand</f>
        <v>146.846412751248</v>
      </c>
      <c r="T479" s="17" t="n">
        <f aca="false">$G$46*$G$22*(1-Curtailment)*(1-Clipping)*T471*T478/Thousand</f>
        <v>146.405873512994</v>
      </c>
      <c r="U479" s="17" t="n">
        <f aca="false">$G$46*$G$22*(1-Curtailment)*(1-Clipping)*U471*U478/Thousand</f>
        <v>145.966655892455</v>
      </c>
      <c r="V479" s="17" t="n">
        <f aca="false">$G$46*$G$22*(1-Curtailment)*(1-Clipping)*V471*V478/Thousand</f>
        <v>145.528755924778</v>
      </c>
      <c r="W479" s="17" t="n">
        <f aca="false">$G$46*$G$22*(1-Curtailment)*(1-Clipping)*W471*W478/Thousand</f>
        <v>145.092169657004</v>
      </c>
      <c r="X479" s="17" t="n">
        <f aca="false">$G$46*$G$22*(1-Curtailment)*(1-Clipping)*X471*X478/Thousand</f>
        <v>144.656893148033</v>
      </c>
      <c r="Y479" s="17" t="n">
        <f aca="false">$G$46*$G$22*(1-Curtailment)*(1-Clipping)*Y471*Y478/Thousand</f>
        <v>144.222922468588</v>
      </c>
      <c r="Z479" s="17" t="n">
        <f aca="false">$G$46*$G$22*(1-Curtailment)*(1-Clipping)*Z471*Z478/Thousand</f>
        <v>143.790253701183</v>
      </c>
      <c r="AA479" s="17" t="n">
        <f aca="false">$G$46*$G$22*(1-Curtailment)*(1-Clipping)*AA471*AA478/Thousand</f>
        <v>143.358882940079</v>
      </c>
      <c r="AB479" s="17" t="n">
        <f aca="false">$G$46*$G$22*(1-Curtailment)*(1-Clipping)*AB471*AB478/Thousand</f>
        <v>142.928806291259</v>
      </c>
      <c r="AC479" s="17" t="n">
        <f aca="false">$G$46*$G$22*(1-Curtailment)*(1-Clipping)*AC471*AC478/Thousand</f>
        <v>142.500019872385</v>
      </c>
      <c r="AD479" s="17" t="n">
        <f aca="false">$G$46*$G$22*(1-Curtailment)*(1-Clipping)*AD471*AD478/Thousand</f>
        <v>142.072519812768</v>
      </c>
      <c r="AE479" s="17" t="n">
        <f aca="false">$G$46*$G$22*(1-Curtailment)*(1-Clipping)*AE471*AE478/Thousand</f>
        <v>141.64630225333</v>
      </c>
      <c r="AF479" s="17" t="n">
        <f aca="false">$G$46*$G$22*(1-Curtailment)*(1-Clipping)*AF471*AF478/Thousand</f>
        <v>141.22136334657</v>
      </c>
      <c r="AG479" s="17" t="n">
        <f aca="false">$G$46*$G$22*(1-Curtailment)*(1-Clipping)*AG471*AG478/Thousand</f>
        <v>140.79769925653</v>
      </c>
      <c r="AH479" s="17" t="n">
        <f aca="false">$G$46*$G$22*(1-Curtailment)*(1-Clipping)*AH471*AH478/Thousand</f>
        <v>140.37530615876</v>
      </c>
      <c r="AI479" s="17" t="n">
        <f aca="false">$G$46*$G$22*(1-Curtailment)*(1-Clipping)*AI471*AI478/Thousand</f>
        <v>139.954180240284</v>
      </c>
      <c r="AJ479" s="17" t="n">
        <f aca="false">$G$46*$G$22*(1-Curtailment)*(1-Clipping)*AJ471*AJ478/Thousand</f>
        <v>139.534317699563</v>
      </c>
      <c r="AK479" s="17" t="n">
        <f aca="false">$G$46*$G$22*(1-Curtailment)*(1-Clipping)*AK471*AK478/Thousand</f>
        <v>139.115714746465</v>
      </c>
      <c r="AL479" s="17" t="n">
        <f aca="false">$G$46*$G$22*(1-Curtailment)*(1-Clipping)*AL471*AL478/Thousand</f>
        <v>138.698367602225</v>
      </c>
      <c r="AM479" s="17" t="n">
        <f aca="false">$G$46*$G$22*(1-Curtailment)*(1-Clipping)*AM471*AM478/Thousand</f>
        <v>138.282272499419</v>
      </c>
      <c r="AN479" s="17" t="n">
        <f aca="false">$G$46*$G$22*(1-Curtailment)*(1-Clipping)*AN471*AN478/Thousand</f>
        <v>137.86742568192</v>
      </c>
      <c r="AO479" s="17" t="n">
        <f aca="false">$G$46*$G$22*(1-Curtailment)*(1-Clipping)*AO471*AO478/Thousand</f>
        <v>137.453823404874</v>
      </c>
      <c r="AP479" s="17" t="n">
        <f aca="false">$G$46*$G$22*(1-Curtailment)*(1-Clipping)*AP471*AP478/Thousand</f>
        <v>137.04146193466</v>
      </c>
      <c r="AQ479" s="17" t="n">
        <f aca="false">$G$46*$G$22*(1-Curtailment)*(1-Clipping)*AQ471*AQ478/Thousand</f>
        <v>136.630337548856</v>
      </c>
      <c r="AR479" s="17" t="n">
        <f aca="false">$G$46*$G$22*(1-Curtailment)*(1-Clipping)*AR471*AR478/Thousand</f>
        <v>136.220446536209</v>
      </c>
      <c r="AS479" s="17" t="n">
        <f aca="false">$G$46*$G$22*(1-Curtailment)*(1-Clipping)*AS471*AS478/Thousand</f>
        <v>67.9058925983003</v>
      </c>
    </row>
    <row r="480" customFormat="false" ht="14.25" hidden="false" customHeight="false" outlineLevel="0" collapsed="false">
      <c r="C480" s="6" t="s">
        <v>306</v>
      </c>
      <c r="D480" s="2" t="s">
        <v>20</v>
      </c>
      <c r="J480" s="17" t="n">
        <f aca="false">Case_PPA*(1+PPA_Esc)^J467*(J471&gt;0)</f>
        <v>0</v>
      </c>
      <c r="K480" s="17" t="n">
        <f aca="false">Case_PPA*(1+PPA_Esc)^K467*(K471&gt;0)</f>
        <v>0</v>
      </c>
      <c r="L480" s="17" t="n">
        <f aca="false">Case_PPA*(1+PPA_Esc)^L467*(L471&gt;0)</f>
        <v>0</v>
      </c>
      <c r="M480" s="17" t="n">
        <f aca="false">Case_PPA*(1+PPA_Esc)^M467*(M471&gt;0)</f>
        <v>0</v>
      </c>
      <c r="N480" s="17" t="n">
        <f aca="false">Case_PPA*(1+PPA_Esc)^N467*(N471&gt;0)</f>
        <v>0</v>
      </c>
      <c r="O480" s="17" t="n">
        <f aca="false">Case_PPA*(1+PPA_Esc)^O467*(O471&gt;0)</f>
        <v>90</v>
      </c>
      <c r="P480" s="17" t="n">
        <f aca="false">Case_PPA*(1+PPA_Esc)^P467*(P471&gt;0)</f>
        <v>90.9</v>
      </c>
      <c r="Q480" s="17" t="n">
        <f aca="false">Case_PPA*(1+PPA_Esc)^Q467*(Q471&gt;0)</f>
        <v>91.809</v>
      </c>
      <c r="R480" s="17" t="n">
        <f aca="false">Case_PPA*(1+PPA_Esc)^R467*(R471&gt;0)</f>
        <v>92.72709</v>
      </c>
      <c r="S480" s="17" t="n">
        <f aca="false">Case_PPA*(1+PPA_Esc)^S467*(S471&gt;0)</f>
        <v>93.6543609</v>
      </c>
      <c r="T480" s="17" t="n">
        <f aca="false">Case_PPA*(1+PPA_Esc)^T467*(T471&gt;0)</f>
        <v>94.590904509</v>
      </c>
      <c r="U480" s="17" t="n">
        <f aca="false">Case_PPA*(1+PPA_Esc)^U467*(U471&gt;0)</f>
        <v>95.53681355409</v>
      </c>
      <c r="V480" s="17" t="n">
        <f aca="false">Case_PPA*(1+PPA_Esc)^V467*(V471&gt;0)</f>
        <v>96.4921816896309</v>
      </c>
      <c r="W480" s="17" t="n">
        <f aca="false">Case_PPA*(1+PPA_Esc)^W467*(W471&gt;0)</f>
        <v>97.4571035065272</v>
      </c>
      <c r="X480" s="17" t="n">
        <f aca="false">Case_PPA*(1+PPA_Esc)^X467*(X471&gt;0)</f>
        <v>98.4316745415925</v>
      </c>
      <c r="Y480" s="17" t="n">
        <f aca="false">Case_PPA*(1+PPA_Esc)^Y467*(Y471&gt;0)</f>
        <v>99.4159912870084</v>
      </c>
      <c r="Z480" s="17" t="n">
        <f aca="false">Case_PPA*(1+PPA_Esc)^Z467*(Z471&gt;0)</f>
        <v>100.410151199878</v>
      </c>
      <c r="AA480" s="17" t="n">
        <f aca="false">Case_PPA*(1+PPA_Esc)^AA467*(AA471&gt;0)</f>
        <v>101.414252711877</v>
      </c>
      <c r="AB480" s="17" t="n">
        <f aca="false">Case_PPA*(1+PPA_Esc)^AB467*(AB471&gt;0)</f>
        <v>102.428395238996</v>
      </c>
      <c r="AC480" s="17" t="n">
        <f aca="false">Case_PPA*(1+PPA_Esc)^AC467*(AC471&gt;0)</f>
        <v>103.452679191386</v>
      </c>
      <c r="AD480" s="17" t="n">
        <f aca="false">Case_PPA*(1+PPA_Esc)^AD467*(AD471&gt;0)</f>
        <v>104.4872059833</v>
      </c>
      <c r="AE480" s="17" t="n">
        <f aca="false">Case_PPA*(1+PPA_Esc)^AE467*(AE471&gt;0)</f>
        <v>105.532078043133</v>
      </c>
      <c r="AF480" s="17" t="n">
        <f aca="false">Case_PPA*(1+PPA_Esc)^AF467*(AF471&gt;0)</f>
        <v>106.587398823564</v>
      </c>
      <c r="AG480" s="17" t="n">
        <f aca="false">Case_PPA*(1+PPA_Esc)^AG467*(AG471&gt;0)</f>
        <v>107.6532728118</v>
      </c>
      <c r="AH480" s="17" t="n">
        <f aca="false">Case_PPA*(1+PPA_Esc)^AH467*(AH471&gt;0)</f>
        <v>108.729805539918</v>
      </c>
      <c r="AI480" s="17" t="n">
        <f aca="false">Case_PPA*(1+PPA_Esc)^AI467*(AI471&gt;0)</f>
        <v>109.817103595317</v>
      </c>
      <c r="AJ480" s="17" t="n">
        <f aca="false">Case_PPA*(1+PPA_Esc)^AJ467*(AJ471&gt;0)</f>
        <v>110.91527463127</v>
      </c>
      <c r="AK480" s="17" t="n">
        <f aca="false">Case_PPA*(1+PPA_Esc)^AK467*(AK471&gt;0)</f>
        <v>112.024427377583</v>
      </c>
      <c r="AL480" s="17" t="n">
        <f aca="false">Case_PPA*(1+PPA_Esc)^AL467*(AL471&gt;0)</f>
        <v>113.144671651359</v>
      </c>
      <c r="AM480" s="17" t="n">
        <f aca="false">Case_PPA*(1+PPA_Esc)^AM467*(AM471&gt;0)</f>
        <v>114.276118367872</v>
      </c>
      <c r="AN480" s="17" t="n">
        <f aca="false">Case_PPA*(1+PPA_Esc)^AN467*(AN471&gt;0)</f>
        <v>115.418879551551</v>
      </c>
      <c r="AO480" s="17" t="n">
        <f aca="false">Case_PPA*(1+PPA_Esc)^AO467*(AO471&gt;0)</f>
        <v>116.573068347067</v>
      </c>
      <c r="AP480" s="17" t="n">
        <f aca="false">Case_PPA*(1+PPA_Esc)^AP467*(AP471&gt;0)</f>
        <v>117.738799030537</v>
      </c>
      <c r="AQ480" s="17" t="n">
        <f aca="false">Case_PPA*(1+PPA_Esc)^AQ467*(AQ471&gt;0)</f>
        <v>118.916187020843</v>
      </c>
      <c r="AR480" s="17" t="n">
        <f aca="false">Case_PPA*(1+PPA_Esc)^AR467*(AR471&gt;0)</f>
        <v>120.105348891051</v>
      </c>
      <c r="AS480" s="17" t="n">
        <f aca="false">Case_PPA*(1+PPA_Esc)^AS467*(AS471&gt;0)</f>
        <v>121.306402379962</v>
      </c>
    </row>
    <row r="481" customFormat="false" ht="14.25" hidden="false" customHeight="false" outlineLevel="0" collapsed="false">
      <c r="C481" s="1" t="s">
        <v>158</v>
      </c>
      <c r="D481" s="2" t="s">
        <v>85</v>
      </c>
      <c r="H481" s="32" t="n">
        <f aca="false">SUM(J481:AS481)</f>
        <v>446130.685729454</v>
      </c>
      <c r="J481" s="32" t="n">
        <f aca="false">J479*J480</f>
        <v>0</v>
      </c>
      <c r="K481" s="32" t="n">
        <f aca="false">K479*K480</f>
        <v>0</v>
      </c>
      <c r="L481" s="32" t="n">
        <f aca="false">L479*L480</f>
        <v>0</v>
      </c>
      <c r="M481" s="32" t="n">
        <f aca="false">M479*M480</f>
        <v>0</v>
      </c>
      <c r="N481" s="32" t="n">
        <f aca="false">N479*N480</f>
        <v>0</v>
      </c>
      <c r="O481" s="32" t="n">
        <f aca="false">O479*O480</f>
        <v>6667.92</v>
      </c>
      <c r="P481" s="32" t="n">
        <f aca="false">P479*P480</f>
        <v>13469.1984</v>
      </c>
      <c r="Q481" s="32" t="n">
        <f aca="false">Q479*Q480</f>
        <v>13563.078712848</v>
      </c>
      <c r="R481" s="32" t="n">
        <f aca="false">R479*R480</f>
        <v>13657.6133714766</v>
      </c>
      <c r="S481" s="32" t="n">
        <f aca="false">S479*S480</f>
        <v>13752.8069366757</v>
      </c>
      <c r="T481" s="32" t="n">
        <f aca="false">T479*T480</f>
        <v>13848.6640010244</v>
      </c>
      <c r="U481" s="32" t="n">
        <f aca="false">U479*U480</f>
        <v>13945.1891891115</v>
      </c>
      <c r="V481" s="32" t="n">
        <f aca="false">V479*V480</f>
        <v>14042.3871577596</v>
      </c>
      <c r="W481" s="32" t="n">
        <f aca="false">W479*W480</f>
        <v>14140.2625962492</v>
      </c>
      <c r="X481" s="32" t="n">
        <f aca="false">X479*X480</f>
        <v>14238.8202265451</v>
      </c>
      <c r="Y481" s="32" t="n">
        <f aca="false">Y479*Y480</f>
        <v>14338.0648035241</v>
      </c>
      <c r="Z481" s="32" t="n">
        <f aca="false">Z479*Z480</f>
        <v>14438.0011152046</v>
      </c>
      <c r="AA481" s="32" t="n">
        <f aca="false">AA479*AA480</f>
        <v>14538.6339829776</v>
      </c>
      <c r="AB481" s="32" t="n">
        <f aca="false">AB479*AB480</f>
        <v>14639.968261839</v>
      </c>
      <c r="AC481" s="32" t="n">
        <f aca="false">AC479*AC480</f>
        <v>14742.008840624</v>
      </c>
      <c r="AD481" s="32" t="n">
        <f aca="false">AD479*AD480</f>
        <v>14844.7606422431</v>
      </c>
      <c r="AE481" s="32" t="n">
        <f aca="false">AE479*AE480</f>
        <v>14948.2286239196</v>
      </c>
      <c r="AF481" s="32" t="n">
        <f aca="false">AF479*AF480</f>
        <v>15052.4177774283</v>
      </c>
      <c r="AG481" s="32" t="n">
        <f aca="false">AG479*AG480</f>
        <v>15157.333129337</v>
      </c>
      <c r="AH481" s="32" t="n">
        <f aca="false">AH479*AH480</f>
        <v>15262.9797412485</v>
      </c>
      <c r="AI481" s="32" t="n">
        <f aca="false">AI479*AI480</f>
        <v>15369.362710045</v>
      </c>
      <c r="AJ481" s="32" t="n">
        <f aca="false">AJ479*AJ480</f>
        <v>15476.487168134</v>
      </c>
      <c r="AK481" s="32" t="n">
        <f aca="false">AK479*AK480</f>
        <v>15584.3582836959</v>
      </c>
      <c r="AL481" s="32" t="n">
        <f aca="false">AL479*AL480</f>
        <v>15692.9812609332</v>
      </c>
      <c r="AM481" s="32" t="n">
        <f aca="false">AM479*AM480</f>
        <v>15802.3613403219</v>
      </c>
      <c r="AN481" s="32" t="n">
        <f aca="false">AN479*AN480</f>
        <v>15912.503798864</v>
      </c>
      <c r="AO481" s="32" t="n">
        <f aca="false">AO479*AO480</f>
        <v>16023.4139503421</v>
      </c>
      <c r="AP481" s="32" t="n">
        <f aca="false">AP479*AP480</f>
        <v>16135.0971455759</v>
      </c>
      <c r="AQ481" s="32" t="n">
        <f aca="false">AQ479*AQ480</f>
        <v>16247.5587726806</v>
      </c>
      <c r="AR481" s="32" t="n">
        <f aca="false">AR479*AR480</f>
        <v>16360.8042573262</v>
      </c>
      <c r="AS481" s="32" t="n">
        <f aca="false">AS479*AS480</f>
        <v>8237.41953149987</v>
      </c>
    </row>
    <row r="482" customFormat="false" ht="14.25" hidden="false" customHeight="false" outlineLevel="0" collapsed="false">
      <c r="C482" s="6" t="s">
        <v>307</v>
      </c>
      <c r="D482" s="2" t="s">
        <v>3</v>
      </c>
      <c r="J482" s="77" t="n">
        <f aca="false">(1+Opex_Esc)^J467</f>
        <v>0.883854287609517</v>
      </c>
      <c r="K482" s="77" t="n">
        <f aca="false">(1+Opex_Esc)^K467</f>
        <v>0.905950644799755</v>
      </c>
      <c r="L482" s="77" t="n">
        <f aca="false">(1+Opex_Esc)^L467</f>
        <v>0.928599410919749</v>
      </c>
      <c r="M482" s="77" t="n">
        <f aca="false">(1+Opex_Esc)^M467</f>
        <v>0.951814396192743</v>
      </c>
      <c r="N482" s="77" t="n">
        <f aca="false">(1+Opex_Esc)^N467</f>
        <v>0.975609756097561</v>
      </c>
      <c r="O482" s="77" t="n">
        <f aca="false">(1+Opex_Esc)^O467</f>
        <v>1</v>
      </c>
      <c r="P482" s="77" t="n">
        <f aca="false">(1+Opex_Esc)^P467</f>
        <v>1.025</v>
      </c>
      <c r="Q482" s="77" t="n">
        <f aca="false">(1+Opex_Esc)^Q467</f>
        <v>1.050625</v>
      </c>
      <c r="R482" s="77" t="n">
        <f aca="false">(1+Opex_Esc)^R467</f>
        <v>1.076890625</v>
      </c>
      <c r="S482" s="77" t="n">
        <f aca="false">(1+Opex_Esc)^S467</f>
        <v>1.103812890625</v>
      </c>
      <c r="T482" s="77" t="n">
        <f aca="false">(1+Opex_Esc)^T467</f>
        <v>1.13140821289062</v>
      </c>
      <c r="U482" s="77" t="n">
        <f aca="false">(1+Opex_Esc)^U467</f>
        <v>1.15969341821289</v>
      </c>
      <c r="V482" s="77" t="n">
        <f aca="false">(1+Opex_Esc)^V467</f>
        <v>1.18868575366821</v>
      </c>
      <c r="W482" s="77" t="n">
        <f aca="false">(1+Opex_Esc)^W467</f>
        <v>1.21840289750992</v>
      </c>
      <c r="X482" s="77" t="n">
        <f aca="false">(1+Opex_Esc)^X467</f>
        <v>1.24886296994767</v>
      </c>
      <c r="Y482" s="77" t="n">
        <f aca="false">(1+Opex_Esc)^Y467</f>
        <v>1.28008454419636</v>
      </c>
      <c r="Z482" s="77" t="n">
        <f aca="false">(1+Opex_Esc)^Z467</f>
        <v>1.31208665780127</v>
      </c>
      <c r="AA482" s="77" t="n">
        <f aca="false">(1+Opex_Esc)^AA467</f>
        <v>1.3448888242463</v>
      </c>
      <c r="AB482" s="77" t="n">
        <f aca="false">(1+Opex_Esc)^AB467</f>
        <v>1.37851104485245</v>
      </c>
      <c r="AC482" s="77" t="n">
        <f aca="false">(1+Opex_Esc)^AC467</f>
        <v>1.41297382097377</v>
      </c>
      <c r="AD482" s="77" t="n">
        <f aca="false">(1+Opex_Esc)^AD467</f>
        <v>1.44829816649811</v>
      </c>
      <c r="AE482" s="77" t="n">
        <f aca="false">(1+Opex_Esc)^AE467</f>
        <v>1.48450562066056</v>
      </c>
      <c r="AF482" s="77" t="n">
        <f aca="false">(1+Opex_Esc)^AF467</f>
        <v>1.52161826117708</v>
      </c>
      <c r="AG482" s="77" t="n">
        <f aca="false">(1+Opex_Esc)^AG467</f>
        <v>1.5596587177065</v>
      </c>
      <c r="AH482" s="77" t="n">
        <f aca="false">(1+Opex_Esc)^AH467</f>
        <v>1.59865018564917</v>
      </c>
      <c r="AI482" s="77" t="n">
        <f aca="false">(1+Opex_Esc)^AI467</f>
        <v>1.63861644029039</v>
      </c>
      <c r="AJ482" s="77" t="n">
        <f aca="false">(1+Opex_Esc)^AJ467</f>
        <v>1.67958185129765</v>
      </c>
      <c r="AK482" s="77" t="n">
        <f aca="false">(1+Opex_Esc)^AK467</f>
        <v>1.7215713975801</v>
      </c>
      <c r="AL482" s="77" t="n">
        <f aca="false">(1+Opex_Esc)^AL467</f>
        <v>1.7646106825196</v>
      </c>
      <c r="AM482" s="77" t="n">
        <f aca="false">(1+Opex_Esc)^AM467</f>
        <v>1.80872594958259</v>
      </c>
      <c r="AN482" s="77" t="n">
        <f aca="false">(1+Opex_Esc)^AN467</f>
        <v>1.85394409832215</v>
      </c>
      <c r="AO482" s="77" t="n">
        <f aca="false">(1+Opex_Esc)^AO467</f>
        <v>1.90029270078021</v>
      </c>
      <c r="AP482" s="77" t="n">
        <f aca="false">(1+Opex_Esc)^AP467</f>
        <v>1.94780001829971</v>
      </c>
      <c r="AQ482" s="77" t="n">
        <f aca="false">(1+Opex_Esc)^AQ467</f>
        <v>1.9964950187572</v>
      </c>
      <c r="AR482" s="77" t="n">
        <f aca="false">(1+Opex_Esc)^AR467</f>
        <v>2.04640739422613</v>
      </c>
      <c r="AS482" s="77" t="n">
        <f aca="false">(1+Opex_Esc)^AS467</f>
        <v>2.09756757908179</v>
      </c>
    </row>
    <row r="483" customFormat="false" ht="14.25" hidden="false" customHeight="false" outlineLevel="0" collapsed="false">
      <c r="C483" s="6" t="s">
        <v>308</v>
      </c>
      <c r="D483" s="2" t="s">
        <v>85</v>
      </c>
      <c r="H483" s="8" t="n">
        <f aca="false">SUM(J483:AS483)</f>
        <v>-70011.0919506797</v>
      </c>
      <c r="J483" s="8" t="n">
        <f aca="false">-(Case_OM+SUM(Opex_Per_MW))*$G$46*J482*J471</f>
        <v>-0</v>
      </c>
      <c r="K483" s="8" t="n">
        <f aca="false">-(Case_OM+SUM(Opex_Per_MW))*$G$46*K482*K471</f>
        <v>-0</v>
      </c>
      <c r="L483" s="8" t="n">
        <f aca="false">-(Case_OM+SUM(Opex_Per_MW))*$G$46*L482*L471</f>
        <v>-0</v>
      </c>
      <c r="M483" s="8" t="n">
        <f aca="false">-(Case_OM+SUM(Opex_Per_MW))*$G$46*M482*M471</f>
        <v>-0</v>
      </c>
      <c r="N483" s="8" t="n">
        <f aca="false">-(Case_OM+SUM(Opex_Per_MW))*$G$46*N482*N471</f>
        <v>-0</v>
      </c>
      <c r="O483" s="8" t="n">
        <f aca="false">-(Case_OM+SUM(Opex_Per_MW))*$G$46*O482*O471</f>
        <v>-787.5</v>
      </c>
      <c r="P483" s="8" t="n">
        <f aca="false">-(Case_OM+SUM(Opex_Per_MW))*$G$46*P482*P471</f>
        <v>-1614.375</v>
      </c>
      <c r="Q483" s="8" t="n">
        <f aca="false">-(Case_OM+SUM(Opex_Per_MW))*$G$46*Q482*Q471</f>
        <v>-1654.734375</v>
      </c>
      <c r="R483" s="8" t="n">
        <f aca="false">-(Case_OM+SUM(Opex_Per_MW))*$G$46*R482*R471</f>
        <v>-1696.102734375</v>
      </c>
      <c r="S483" s="8" t="n">
        <f aca="false">-(Case_OM+SUM(Opex_Per_MW))*$G$46*S482*S471</f>
        <v>-1738.50530273437</v>
      </c>
      <c r="T483" s="8" t="n">
        <f aca="false">-(Case_OM+SUM(Opex_Per_MW))*$G$46*T482*T471</f>
        <v>-1781.96793530273</v>
      </c>
      <c r="U483" s="8" t="n">
        <f aca="false">-(Case_OM+SUM(Opex_Per_MW))*$G$46*U482*U471</f>
        <v>-1826.5171336853</v>
      </c>
      <c r="V483" s="8" t="n">
        <f aca="false">-(Case_OM+SUM(Opex_Per_MW))*$G$46*V482*V471</f>
        <v>-1872.18006202743</v>
      </c>
      <c r="W483" s="8" t="n">
        <f aca="false">-(Case_OM+SUM(Opex_Per_MW))*$G$46*W482*W471</f>
        <v>-1918.98456357812</v>
      </c>
      <c r="X483" s="8" t="n">
        <f aca="false">-(Case_OM+SUM(Opex_Per_MW))*$G$46*X482*X471</f>
        <v>-1966.95917766757</v>
      </c>
      <c r="Y483" s="8" t="n">
        <f aca="false">-(Case_OM+SUM(Opex_Per_MW))*$G$46*Y482*Y471</f>
        <v>-2016.13315710926</v>
      </c>
      <c r="Z483" s="8" t="n">
        <f aca="false">-(Case_OM+SUM(Opex_Per_MW))*$G$46*Z482*Z471</f>
        <v>-2066.53648603699</v>
      </c>
      <c r="AA483" s="8" t="n">
        <f aca="false">-(Case_OM+SUM(Opex_Per_MW))*$G$46*AA482*AA471</f>
        <v>-2118.19989818792</v>
      </c>
      <c r="AB483" s="8" t="n">
        <f aca="false">-(Case_OM+SUM(Opex_Per_MW))*$G$46*AB482*AB471</f>
        <v>-2171.15489564262</v>
      </c>
      <c r="AC483" s="8" t="n">
        <f aca="false">-(Case_OM+SUM(Opex_Per_MW))*$G$46*AC482*AC471</f>
        <v>-2225.43376803368</v>
      </c>
      <c r="AD483" s="8" t="n">
        <f aca="false">-(Case_OM+SUM(Opex_Per_MW))*$G$46*AD482*AD471</f>
        <v>-2281.06961223452</v>
      </c>
      <c r="AE483" s="8" t="n">
        <f aca="false">-(Case_OM+SUM(Opex_Per_MW))*$G$46*AE482*AE471</f>
        <v>-2338.09635254039</v>
      </c>
      <c r="AF483" s="8" t="n">
        <f aca="false">-(Case_OM+SUM(Opex_Per_MW))*$G$46*AF482*AF471</f>
        <v>-2396.5487613539</v>
      </c>
      <c r="AG483" s="8" t="n">
        <f aca="false">-(Case_OM+SUM(Opex_Per_MW))*$G$46*AG482*AG471</f>
        <v>-2456.46248038774</v>
      </c>
      <c r="AH483" s="8" t="n">
        <f aca="false">-(Case_OM+SUM(Opex_Per_MW))*$G$46*AH482*AH471</f>
        <v>-2517.87404239744</v>
      </c>
      <c r="AI483" s="8" t="n">
        <f aca="false">-(Case_OM+SUM(Opex_Per_MW))*$G$46*AI482*AI471</f>
        <v>-2580.82089345737</v>
      </c>
      <c r="AJ483" s="8" t="n">
        <f aca="false">-(Case_OM+SUM(Opex_Per_MW))*$G$46*AJ482*AJ471</f>
        <v>-2645.34141579381</v>
      </c>
      <c r="AK483" s="8" t="n">
        <f aca="false">-(Case_OM+SUM(Opex_Per_MW))*$G$46*AK482*AK471</f>
        <v>-2711.47495118865</v>
      </c>
      <c r="AL483" s="8" t="n">
        <f aca="false">-(Case_OM+SUM(Opex_Per_MW))*$G$46*AL482*AL471</f>
        <v>-2779.26182496837</v>
      </c>
      <c r="AM483" s="8" t="n">
        <f aca="false">-(Case_OM+SUM(Opex_Per_MW))*$G$46*AM482*AM471</f>
        <v>-2848.74337059257</v>
      </c>
      <c r="AN483" s="8" t="n">
        <f aca="false">-(Case_OM+SUM(Opex_Per_MW))*$G$46*AN482*AN471</f>
        <v>-2919.96195485739</v>
      </c>
      <c r="AO483" s="8" t="n">
        <f aca="false">-(Case_OM+SUM(Opex_Per_MW))*$G$46*AO482*AO471</f>
        <v>-2992.96100372882</v>
      </c>
      <c r="AP483" s="8" t="n">
        <f aca="false">-(Case_OM+SUM(Opex_Per_MW))*$G$46*AP482*AP471</f>
        <v>-3067.78502882204</v>
      </c>
      <c r="AQ483" s="8" t="n">
        <f aca="false">-(Case_OM+SUM(Opex_Per_MW))*$G$46*AQ482*AQ471</f>
        <v>-3144.47965454259</v>
      </c>
      <c r="AR483" s="8" t="n">
        <f aca="false">-(Case_OM+SUM(Opex_Per_MW))*$G$46*AR482*AR471</f>
        <v>-3223.09164590616</v>
      </c>
      <c r="AS483" s="8" t="n">
        <f aca="false">-(Case_OM+SUM(Opex_Per_MW))*$G$46*AS482*AS471</f>
        <v>-1651.83446852691</v>
      </c>
    </row>
    <row r="484" customFormat="false" ht="14.25" hidden="false" customHeight="false" outlineLevel="0" collapsed="false">
      <c r="C484" s="6" t="s">
        <v>309</v>
      </c>
      <c r="D484" s="2" t="s">
        <v>85</v>
      </c>
      <c r="H484" s="8" t="n">
        <f aca="false">SUM(J484:AS484)</f>
        <v>-1666.93076073047</v>
      </c>
      <c r="J484" s="8" t="n">
        <f aca="false">-Opex_Admin*$G$6/Lump_Basis*J482*J471</f>
        <v>-0</v>
      </c>
      <c r="K484" s="8" t="n">
        <f aca="false">-Opex_Admin*$G$6/Lump_Basis*K482*K471</f>
        <v>-0</v>
      </c>
      <c r="L484" s="8" t="n">
        <f aca="false">-Opex_Admin*$G$6/Lump_Basis*L482*L471</f>
        <v>-0</v>
      </c>
      <c r="M484" s="8" t="n">
        <f aca="false">-Opex_Admin*$G$6/Lump_Basis*M482*M471</f>
        <v>-0</v>
      </c>
      <c r="N484" s="8" t="n">
        <f aca="false">-Opex_Admin*$G$6/Lump_Basis*N482*N471</f>
        <v>-0</v>
      </c>
      <c r="O484" s="8" t="n">
        <f aca="false">-Opex_Admin*$G$6/Lump_Basis*O482*O471</f>
        <v>-18.75</v>
      </c>
      <c r="P484" s="8" t="n">
        <f aca="false">-Opex_Admin*$G$6/Lump_Basis*P482*P471</f>
        <v>-38.4375</v>
      </c>
      <c r="Q484" s="8" t="n">
        <f aca="false">-Opex_Admin*$G$6/Lump_Basis*Q482*Q471</f>
        <v>-39.3984375</v>
      </c>
      <c r="R484" s="8" t="n">
        <f aca="false">-Opex_Admin*$G$6/Lump_Basis*R482*R471</f>
        <v>-40.3833984375</v>
      </c>
      <c r="S484" s="8" t="n">
        <f aca="false">-Opex_Admin*$G$6/Lump_Basis*S482*S471</f>
        <v>-41.3929833984375</v>
      </c>
      <c r="T484" s="8" t="n">
        <f aca="false">-Opex_Admin*$G$6/Lump_Basis*T482*T471</f>
        <v>-42.4278079833984</v>
      </c>
      <c r="U484" s="8" t="n">
        <f aca="false">-Opex_Admin*$G$6/Lump_Basis*U482*U471</f>
        <v>-43.4885031829834</v>
      </c>
      <c r="V484" s="8" t="n">
        <f aca="false">-Opex_Admin*$G$6/Lump_Basis*V482*V471</f>
        <v>-44.575715762558</v>
      </c>
      <c r="W484" s="8" t="n">
        <f aca="false">-Opex_Admin*$G$6/Lump_Basis*W482*W471</f>
        <v>-45.6901086566219</v>
      </c>
      <c r="X484" s="8" t="n">
        <f aca="false">-Opex_Admin*$G$6/Lump_Basis*X482*X471</f>
        <v>-46.8323613730374</v>
      </c>
      <c r="Y484" s="8" t="n">
        <f aca="false">-Opex_Admin*$G$6/Lump_Basis*Y482*Y471</f>
        <v>-48.0031704073634</v>
      </c>
      <c r="Z484" s="8" t="n">
        <f aca="false">-Opex_Admin*$G$6/Lump_Basis*Z482*Z471</f>
        <v>-49.2032496675475</v>
      </c>
      <c r="AA484" s="8" t="n">
        <f aca="false">-Opex_Admin*$G$6/Lump_Basis*AA482*AA471</f>
        <v>-50.4333309092361</v>
      </c>
      <c r="AB484" s="8" t="n">
        <f aca="false">-Opex_Admin*$G$6/Lump_Basis*AB482*AB471</f>
        <v>-51.694164181967</v>
      </c>
      <c r="AC484" s="8" t="n">
        <f aca="false">-Opex_Admin*$G$6/Lump_Basis*AC482*AC471</f>
        <v>-52.9865182865162</v>
      </c>
      <c r="AD484" s="8" t="n">
        <f aca="false">-Opex_Admin*$G$6/Lump_Basis*AD482*AD471</f>
        <v>-54.3111812436791</v>
      </c>
      <c r="AE484" s="8" t="n">
        <f aca="false">-Opex_Admin*$G$6/Lump_Basis*AE482*AE471</f>
        <v>-55.6689607747711</v>
      </c>
      <c r="AF484" s="8" t="n">
        <f aca="false">-Opex_Admin*$G$6/Lump_Basis*AF482*AF471</f>
        <v>-57.0606847941404</v>
      </c>
      <c r="AG484" s="8" t="n">
        <f aca="false">-Opex_Admin*$G$6/Lump_Basis*AG482*AG471</f>
        <v>-58.4872019139939</v>
      </c>
      <c r="AH484" s="8" t="n">
        <f aca="false">-Opex_Admin*$G$6/Lump_Basis*AH482*AH471</f>
        <v>-59.9493819618437</v>
      </c>
      <c r="AI484" s="8" t="n">
        <f aca="false">-Opex_Admin*$G$6/Lump_Basis*AI482*AI471</f>
        <v>-61.4481165108898</v>
      </c>
      <c r="AJ484" s="8" t="n">
        <f aca="false">-Opex_Admin*$G$6/Lump_Basis*AJ482*AJ471</f>
        <v>-62.984319423662</v>
      </c>
      <c r="AK484" s="8" t="n">
        <f aca="false">-Opex_Admin*$G$6/Lump_Basis*AK482*AK471</f>
        <v>-64.5589274092536</v>
      </c>
      <c r="AL484" s="8" t="n">
        <f aca="false">-Opex_Admin*$G$6/Lump_Basis*AL482*AL471</f>
        <v>-66.1729005944849</v>
      </c>
      <c r="AM484" s="8" t="n">
        <f aca="false">-Opex_Admin*$G$6/Lump_Basis*AM482*AM471</f>
        <v>-67.827223109347</v>
      </c>
      <c r="AN484" s="8" t="n">
        <f aca="false">-Opex_Admin*$G$6/Lump_Basis*AN482*AN471</f>
        <v>-69.5229036870807</v>
      </c>
      <c r="AO484" s="8" t="n">
        <f aca="false">-Opex_Admin*$G$6/Lump_Basis*AO482*AO471</f>
        <v>-71.2609762792577</v>
      </c>
      <c r="AP484" s="8" t="n">
        <f aca="false">-Opex_Admin*$G$6/Lump_Basis*AP482*AP471</f>
        <v>-73.0425006862391</v>
      </c>
      <c r="AQ484" s="8" t="n">
        <f aca="false">-Opex_Admin*$G$6/Lump_Basis*AQ482*AQ471</f>
        <v>-74.8685632033951</v>
      </c>
      <c r="AR484" s="8" t="n">
        <f aca="false">-Opex_Admin*$G$6/Lump_Basis*AR482*AR471</f>
        <v>-76.74027728348</v>
      </c>
      <c r="AS484" s="8" t="n">
        <f aca="false">-Opex_Admin*$G$6/Lump_Basis*AS482*AS471</f>
        <v>-39.3293921077835</v>
      </c>
    </row>
    <row r="485" customFormat="false" ht="14.25" hidden="false" customHeight="false" outlineLevel="0" collapsed="false">
      <c r="C485" s="6" t="s">
        <v>310</v>
      </c>
      <c r="D485" s="2" t="s">
        <v>85</v>
      </c>
      <c r="H485" s="8" t="n">
        <f aca="false">SUM(J485:AS485)</f>
        <v>-31411.9298672852</v>
      </c>
      <c r="J485" s="8" t="n">
        <f aca="false">-J479*(Balancing+Grid_Charges)*J482</f>
        <v>-0</v>
      </c>
      <c r="K485" s="8" t="n">
        <f aca="false">-K479*(Balancing+Grid_Charges)*K482</f>
        <v>-0</v>
      </c>
      <c r="L485" s="8" t="n">
        <f aca="false">-L479*(Balancing+Grid_Charges)*L482</f>
        <v>-0</v>
      </c>
      <c r="M485" s="8" t="n">
        <f aca="false">-M479*(Balancing+Grid_Charges)*M482</f>
        <v>-0</v>
      </c>
      <c r="N485" s="8" t="n">
        <f aca="false">-N479*(Balancing+Grid_Charges)*N482</f>
        <v>-0</v>
      </c>
      <c r="O485" s="8" t="n">
        <f aca="false">-O479*(Balancing+Grid_Charges)*O482</f>
        <v>-370.44</v>
      </c>
      <c r="P485" s="8" t="n">
        <f aca="false">-P479*(Balancing+Grid_Charges)*P482</f>
        <v>-759.402</v>
      </c>
      <c r="Q485" s="8" t="n">
        <f aca="false">-Q479*(Balancing+Grid_Charges)*Q482</f>
        <v>-776.05188885</v>
      </c>
      <c r="R485" s="8" t="n">
        <f aca="false">-R479*(Balancing+Grid_Charges)*R482</f>
        <v>-793.066826513036</v>
      </c>
      <c r="S485" s="8" t="n">
        <f aca="false">-S479*(Balancing+Grid_Charges)*S482</f>
        <v>-810.454816684334</v>
      </c>
      <c r="T485" s="8" t="n">
        <f aca="false">-T479*(Balancing+Grid_Charges)*T482</f>
        <v>-828.224038540138</v>
      </c>
      <c r="U485" s="8" t="n">
        <f aca="false">-U479*(Balancing+Grid_Charges)*U482</f>
        <v>-846.382850585131</v>
      </c>
      <c r="V485" s="8" t="n">
        <f aca="false">-V479*(Balancing+Grid_Charges)*V482</f>
        <v>-864.93979458421</v>
      </c>
      <c r="W485" s="8" t="n">
        <f aca="false">-W479*(Balancing+Grid_Charges)*W482</f>
        <v>-883.903599580468</v>
      </c>
      <c r="X485" s="8" t="n">
        <f aca="false">-X479*(Balancing+Grid_Charges)*X482</f>
        <v>-903.28318600127</v>
      </c>
      <c r="Y485" s="8" t="n">
        <f aca="false">-Y479*(Balancing+Grid_Charges)*Y482</f>
        <v>-923.087669854348</v>
      </c>
      <c r="Z485" s="8" t="n">
        <f aca="false">-Z479*(Balancing+Grid_Charges)*Z482</f>
        <v>-943.326367015904</v>
      </c>
      <c r="AA485" s="8" t="n">
        <f aca="false">-AA479*(Balancing+Grid_Charges)*AA482</f>
        <v>-964.008797612728</v>
      </c>
      <c r="AB485" s="8" t="n">
        <f aca="false">-AB479*(Balancing+Grid_Charges)*AB482</f>
        <v>-985.144690500387</v>
      </c>
      <c r="AC485" s="8" t="n">
        <f aca="false">-AC479*(Balancing+Grid_Charges)*AC482</f>
        <v>-1006.74398783961</v>
      </c>
      <c r="AD485" s="8" t="n">
        <f aca="false">-AD479*(Balancing+Grid_Charges)*AD482</f>
        <v>-1028.81684977299</v>
      </c>
      <c r="AE485" s="8" t="n">
        <f aca="false">-AE479*(Balancing+Grid_Charges)*AE482</f>
        <v>-1051.37365920426</v>
      </c>
      <c r="AF485" s="8" t="n">
        <f aca="false">-AF479*(Balancing+Grid_Charges)*AF482</f>
        <v>-1074.42502668232</v>
      </c>
      <c r="AG485" s="8" t="n">
        <f aca="false">-AG479*(Balancing+Grid_Charges)*AG482</f>
        <v>-1097.98179539233</v>
      </c>
      <c r="AH485" s="8" t="n">
        <f aca="false">-AH479*(Balancing+Grid_Charges)*AH482</f>
        <v>-1122.0550462563</v>
      </c>
      <c r="AI485" s="8" t="n">
        <f aca="false">-AI479*(Balancing+Grid_Charges)*AI482</f>
        <v>-1146.65610314547</v>
      </c>
      <c r="AJ485" s="8" t="n">
        <f aca="false">-AJ479*(Balancing+Grid_Charges)*AJ482</f>
        <v>-1171.79653820694</v>
      </c>
      <c r="AK485" s="8" t="n">
        <f aca="false">-AK479*(Balancing+Grid_Charges)*AK482</f>
        <v>-1197.48817730712</v>
      </c>
      <c r="AL485" s="8" t="n">
        <f aca="false">-AL479*(Balancing+Grid_Charges)*AL482</f>
        <v>-1223.74310559458</v>
      </c>
      <c r="AM485" s="8" t="n">
        <f aca="false">-AM479*(Balancing+Grid_Charges)*AM482</f>
        <v>-1250.57367318474</v>
      </c>
      <c r="AN485" s="8" t="n">
        <f aca="false">-AN479*(Balancing+Grid_Charges)*AN482</f>
        <v>-1277.99250096932</v>
      </c>
      <c r="AO485" s="8" t="n">
        <f aca="false">-AO479*(Balancing+Grid_Charges)*AO482</f>
        <v>-1306.01248655307</v>
      </c>
      <c r="AP485" s="8" t="n">
        <f aca="false">-AP479*(Balancing+Grid_Charges)*AP482</f>
        <v>-1334.64681032075</v>
      </c>
      <c r="AQ485" s="8" t="n">
        <f aca="false">-AQ479*(Balancing+Grid_Charges)*AQ482</f>
        <v>-1363.90894163703</v>
      </c>
      <c r="AR485" s="8" t="n">
        <f aca="false">-AR479*(Balancing+Grid_Charges)*AR482</f>
        <v>-1393.81264518242</v>
      </c>
      <c r="AS485" s="8" t="n">
        <f aca="false">-AS479*(Balancing+Grid_Charges)*AS482</f>
        <v>-712.185993714023</v>
      </c>
    </row>
    <row r="486" customFormat="false" ht="14.25" hidden="false" customHeight="false" outlineLevel="0" collapsed="false">
      <c r="C486" s="6" t="s">
        <v>311</v>
      </c>
      <c r="D486" s="2" t="s">
        <v>85</v>
      </c>
      <c r="H486" s="8" t="n">
        <f aca="false">SUM(J486:AS486)</f>
        <v>-446.130685729454</v>
      </c>
      <c r="J486" s="8" t="n">
        <f aca="false">-J481*MEKH_Fee</f>
        <v>-0</v>
      </c>
      <c r="K486" s="8" t="n">
        <f aca="false">-K481*MEKH_Fee</f>
        <v>-0</v>
      </c>
      <c r="L486" s="8" t="n">
        <f aca="false">-L481*MEKH_Fee</f>
        <v>-0</v>
      </c>
      <c r="M486" s="8" t="n">
        <f aca="false">-M481*MEKH_Fee</f>
        <v>-0</v>
      </c>
      <c r="N486" s="8" t="n">
        <f aca="false">-N481*MEKH_Fee</f>
        <v>-0</v>
      </c>
      <c r="O486" s="8" t="n">
        <f aca="false">-O481*MEKH_Fee</f>
        <v>-6.66792</v>
      </c>
      <c r="P486" s="8" t="n">
        <f aca="false">-P481*MEKH_Fee</f>
        <v>-13.4691984</v>
      </c>
      <c r="Q486" s="8" t="n">
        <f aca="false">-Q481*MEKH_Fee</f>
        <v>-13.563078712848</v>
      </c>
      <c r="R486" s="8" t="n">
        <f aca="false">-R481*MEKH_Fee</f>
        <v>-13.6576133714766</v>
      </c>
      <c r="S486" s="8" t="n">
        <f aca="false">-S481*MEKH_Fee</f>
        <v>-13.7528069366757</v>
      </c>
      <c r="T486" s="8" t="n">
        <f aca="false">-T481*MEKH_Fee</f>
        <v>-13.8486640010244</v>
      </c>
      <c r="U486" s="8" t="n">
        <f aca="false">-U481*MEKH_Fee</f>
        <v>-13.9451891891115</v>
      </c>
      <c r="V486" s="8" t="n">
        <f aca="false">-V481*MEKH_Fee</f>
        <v>-14.0423871577596</v>
      </c>
      <c r="W486" s="8" t="n">
        <f aca="false">-W481*MEKH_Fee</f>
        <v>-14.1402625962492</v>
      </c>
      <c r="X486" s="8" t="n">
        <f aca="false">-X481*MEKH_Fee</f>
        <v>-14.2388202265451</v>
      </c>
      <c r="Y486" s="8" t="n">
        <f aca="false">-Y481*MEKH_Fee</f>
        <v>-14.3380648035241</v>
      </c>
      <c r="Z486" s="8" t="n">
        <f aca="false">-Z481*MEKH_Fee</f>
        <v>-14.4380011152046</v>
      </c>
      <c r="AA486" s="8" t="n">
        <f aca="false">-AA481*MEKH_Fee</f>
        <v>-14.5386339829776</v>
      </c>
      <c r="AB486" s="8" t="n">
        <f aca="false">-AB481*MEKH_Fee</f>
        <v>-14.639968261839</v>
      </c>
      <c r="AC486" s="8" t="n">
        <f aca="false">-AC481*MEKH_Fee</f>
        <v>-14.742008840624</v>
      </c>
      <c r="AD486" s="8" t="n">
        <f aca="false">-AD481*MEKH_Fee</f>
        <v>-14.8447606422431</v>
      </c>
      <c r="AE486" s="8" t="n">
        <f aca="false">-AE481*MEKH_Fee</f>
        <v>-14.9482286239196</v>
      </c>
      <c r="AF486" s="8" t="n">
        <f aca="false">-AF481*MEKH_Fee</f>
        <v>-15.0524177774283</v>
      </c>
      <c r="AG486" s="8" t="n">
        <f aca="false">-AG481*MEKH_Fee</f>
        <v>-15.157333129337</v>
      </c>
      <c r="AH486" s="8" t="n">
        <f aca="false">-AH481*MEKH_Fee</f>
        <v>-15.2629797412485</v>
      </c>
      <c r="AI486" s="8" t="n">
        <f aca="false">-AI481*MEKH_Fee</f>
        <v>-15.369362710045</v>
      </c>
      <c r="AJ486" s="8" t="n">
        <f aca="false">-AJ481*MEKH_Fee</f>
        <v>-15.476487168134</v>
      </c>
      <c r="AK486" s="8" t="n">
        <f aca="false">-AK481*MEKH_Fee</f>
        <v>-15.5843582836959</v>
      </c>
      <c r="AL486" s="8" t="n">
        <f aca="false">-AL481*MEKH_Fee</f>
        <v>-15.6929812609332</v>
      </c>
      <c r="AM486" s="8" t="n">
        <f aca="false">-AM481*MEKH_Fee</f>
        <v>-15.8023613403219</v>
      </c>
      <c r="AN486" s="8" t="n">
        <f aca="false">-AN481*MEKH_Fee</f>
        <v>-15.912503798864</v>
      </c>
      <c r="AO486" s="8" t="n">
        <f aca="false">-AO481*MEKH_Fee</f>
        <v>-16.0234139503421</v>
      </c>
      <c r="AP486" s="8" t="n">
        <f aca="false">-AP481*MEKH_Fee</f>
        <v>-16.1350971455759</v>
      </c>
      <c r="AQ486" s="8" t="n">
        <f aca="false">-AQ481*MEKH_Fee</f>
        <v>-16.2475587726806</v>
      </c>
      <c r="AR486" s="8" t="n">
        <f aca="false">-AR481*MEKH_Fee</f>
        <v>-16.3608042573262</v>
      </c>
      <c r="AS486" s="8" t="n">
        <f aca="false">-AS481*MEKH_Fee</f>
        <v>-8.23741953149987</v>
      </c>
    </row>
    <row r="487" customFormat="false" ht="14.25" hidden="false" customHeight="false" outlineLevel="0" collapsed="false">
      <c r="C487" s="6" t="s">
        <v>312</v>
      </c>
      <c r="D487" s="2" t="s">
        <v>85</v>
      </c>
      <c r="H487" s="8" t="n">
        <f aca="false">SUM(J487:AS487)</f>
        <v>-5176.80416322124</v>
      </c>
      <c r="J487" s="8" t="n">
        <f aca="false">SUM(J483:J486)*Opex_Cont</f>
        <v>0</v>
      </c>
      <c r="K487" s="8" t="n">
        <f aca="false">SUM(K483:K486)*Opex_Cont</f>
        <v>0</v>
      </c>
      <c r="L487" s="8" t="n">
        <f aca="false">SUM(L483:L486)*Opex_Cont</f>
        <v>0</v>
      </c>
      <c r="M487" s="8" t="n">
        <f aca="false">SUM(M483:M486)*Opex_Cont</f>
        <v>0</v>
      </c>
      <c r="N487" s="8" t="n">
        <f aca="false">SUM(N483:N486)*Opex_Cont</f>
        <v>0</v>
      </c>
      <c r="O487" s="8" t="n">
        <f aca="false">SUM(O483:O486)*Opex_Cont</f>
        <v>-59.167896</v>
      </c>
      <c r="P487" s="8" t="n">
        <f aca="false">SUM(P483:P486)*Opex_Cont</f>
        <v>-121.28418492</v>
      </c>
      <c r="Q487" s="8" t="n">
        <f aca="false">SUM(Q483:Q486)*Opex_Cont</f>
        <v>-124.187389003142</v>
      </c>
      <c r="R487" s="8" t="n">
        <f aca="false">SUM(R483:R486)*Opex_Cont</f>
        <v>-127.160528634851</v>
      </c>
      <c r="S487" s="8" t="n">
        <f aca="false">SUM(S483:S486)*Opex_Cont</f>
        <v>-130.205295487691</v>
      </c>
      <c r="T487" s="8" t="n">
        <f aca="false">SUM(T483:T486)*Opex_Cont</f>
        <v>-133.323422291365</v>
      </c>
      <c r="U487" s="8" t="n">
        <f aca="false">SUM(U483:U486)*Opex_Cont</f>
        <v>-136.516683832126</v>
      </c>
      <c r="V487" s="8" t="n">
        <f aca="false">SUM(V483:V486)*Opex_Cont</f>
        <v>-139.786897976598</v>
      </c>
      <c r="W487" s="8" t="n">
        <f aca="false">SUM(W483:W486)*Opex_Cont</f>
        <v>-143.135926720573</v>
      </c>
      <c r="X487" s="8" t="n">
        <f aca="false">SUM(X483:X486)*Opex_Cont</f>
        <v>-146.565677263421</v>
      </c>
      <c r="Y487" s="8" t="n">
        <f aca="false">SUM(Y483:Y486)*Opex_Cont</f>
        <v>-150.078103108725</v>
      </c>
      <c r="Z487" s="8" t="n">
        <f aca="false">SUM(Z483:Z486)*Opex_Cont</f>
        <v>-153.675205191783</v>
      </c>
      <c r="AA487" s="8" t="n">
        <f aca="false">SUM(AA483:AA486)*Opex_Cont</f>
        <v>-157.359033034643</v>
      </c>
      <c r="AB487" s="8" t="n">
        <f aca="false">SUM(AB483:AB486)*Opex_Cont</f>
        <v>-161.13168592934</v>
      </c>
      <c r="AC487" s="8" t="n">
        <f aca="false">SUM(AC483:AC486)*Opex_Cont</f>
        <v>-164.995314150021</v>
      </c>
      <c r="AD487" s="8" t="n">
        <f aca="false">SUM(AD483:AD486)*Opex_Cont</f>
        <v>-168.952120194672</v>
      </c>
      <c r="AE487" s="8" t="n">
        <f aca="false">SUM(AE483:AE486)*Opex_Cont</f>
        <v>-173.004360057167</v>
      </c>
      <c r="AF487" s="8" t="n">
        <f aca="false">SUM(AF483:AF486)*Opex_Cont</f>
        <v>-177.154344530389</v>
      </c>
      <c r="AG487" s="8" t="n">
        <f aca="false">SUM(AG483:AG486)*Opex_Cont</f>
        <v>-181.40444054117</v>
      </c>
      <c r="AH487" s="8" t="n">
        <f aca="false">SUM(AH483:AH486)*Opex_Cont</f>
        <v>-185.757072517842</v>
      </c>
      <c r="AI487" s="8" t="n">
        <f aca="false">SUM(AI483:AI486)*Opex_Cont</f>
        <v>-190.214723791189</v>
      </c>
      <c r="AJ487" s="8" t="n">
        <f aca="false">SUM(AJ483:AJ486)*Opex_Cont</f>
        <v>-194.779938029627</v>
      </c>
      <c r="AK487" s="8" t="n">
        <f aca="false">SUM(AK483:AK486)*Opex_Cont</f>
        <v>-199.455320709436</v>
      </c>
      <c r="AL487" s="8" t="n">
        <f aca="false">SUM(AL483:AL486)*Opex_Cont</f>
        <v>-204.243540620918</v>
      </c>
      <c r="AM487" s="8" t="n">
        <f aca="false">SUM(AM483:AM486)*Opex_Cont</f>
        <v>-209.147331411349</v>
      </c>
      <c r="AN487" s="8" t="n">
        <f aca="false">SUM(AN483:AN486)*Opex_Cont</f>
        <v>-214.169493165633</v>
      </c>
      <c r="AO487" s="8" t="n">
        <f aca="false">SUM(AO483:AO486)*Opex_Cont</f>
        <v>-219.312894025575</v>
      </c>
      <c r="AP487" s="8" t="n">
        <f aca="false">SUM(AP483:AP486)*Opex_Cont</f>
        <v>-224.58047184873</v>
      </c>
      <c r="AQ487" s="8" t="n">
        <f aca="false">SUM(AQ483:AQ486)*Opex_Cont</f>
        <v>-229.975235907785</v>
      </c>
      <c r="AR487" s="8" t="n">
        <f aca="false">SUM(AR483:AR486)*Opex_Cont</f>
        <v>-235.500268631469</v>
      </c>
      <c r="AS487" s="8" t="n">
        <f aca="false">SUM(AS483:AS486)*Opex_Cont</f>
        <v>-120.579363694011</v>
      </c>
    </row>
    <row r="488" customFormat="false" ht="14.25" hidden="false" customHeight="false" outlineLevel="0" collapsed="false">
      <c r="C488" s="6" t="s">
        <v>313</v>
      </c>
      <c r="D488" s="2" t="s">
        <v>85</v>
      </c>
      <c r="H488" s="8" t="n">
        <f aca="false">SUM(J488:AS488)</f>
        <v>-12790.1964811942</v>
      </c>
      <c r="J488" s="8" t="n">
        <f aca="false">-J479*$G$12</f>
        <v>-0</v>
      </c>
      <c r="K488" s="8" t="n">
        <f aca="false">-K479*$G$12</f>
        <v>-0</v>
      </c>
      <c r="L488" s="8" t="n">
        <f aca="false">-L479*$G$12</f>
        <v>-0</v>
      </c>
      <c r="M488" s="8" t="n">
        <f aca="false">-M479*$G$12</f>
        <v>-0</v>
      </c>
      <c r="N488" s="8" t="n">
        <f aca="false">-N479*$G$12</f>
        <v>-0</v>
      </c>
      <c r="O488" s="8" t="n">
        <f aca="false">-O479*$G$12</f>
        <v>-222.264</v>
      </c>
      <c r="P488" s="8" t="n">
        <f aca="false">-P479*$G$12</f>
        <v>-444.528</v>
      </c>
      <c r="Q488" s="8" t="n">
        <f aca="false">-Q479*$G$12</f>
        <v>-443.194416</v>
      </c>
      <c r="R488" s="8" t="n">
        <f aca="false">-R479*$G$12</f>
        <v>-441.864832752</v>
      </c>
      <c r="S488" s="8" t="n">
        <f aca="false">-S479*$G$12</f>
        <v>-440.539238253744</v>
      </c>
      <c r="T488" s="8" t="n">
        <f aca="false">-T479*$G$12</f>
        <v>-439.217620538983</v>
      </c>
      <c r="U488" s="8" t="n">
        <f aca="false">-U479*$G$12</f>
        <v>-437.899967677366</v>
      </c>
      <c r="V488" s="8" t="n">
        <f aca="false">-V479*$G$12</f>
        <v>-436.586267774334</v>
      </c>
      <c r="W488" s="8" t="n">
        <f aca="false">-W479*$G$12</f>
        <v>-435.276508971011</v>
      </c>
      <c r="X488" s="8" t="n">
        <f aca="false">-X479*$G$12</f>
        <v>-433.970679444098</v>
      </c>
      <c r="Y488" s="8" t="n">
        <f aca="false">-Y479*$G$12</f>
        <v>-432.668767405765</v>
      </c>
      <c r="Z488" s="8" t="n">
        <f aca="false">-Z479*$G$12</f>
        <v>-431.370761103548</v>
      </c>
      <c r="AA488" s="8" t="n">
        <f aca="false">-AA479*$G$12</f>
        <v>-430.076648820237</v>
      </c>
      <c r="AB488" s="8" t="n">
        <f aca="false">-AB479*$G$12</f>
        <v>-428.786418873777</v>
      </c>
      <c r="AC488" s="8" t="n">
        <f aca="false">-AC479*$G$12</f>
        <v>-427.500059617155</v>
      </c>
      <c r="AD488" s="8" t="n">
        <f aca="false">-AD479*$G$12</f>
        <v>-426.217559438304</v>
      </c>
      <c r="AE488" s="8" t="n">
        <f aca="false">-AE479*$G$12</f>
        <v>-424.938906759989</v>
      </c>
      <c r="AF488" s="8" t="n">
        <f aca="false">-AF479*$G$12</f>
        <v>-423.664090039709</v>
      </c>
      <c r="AG488" s="8" t="n">
        <f aca="false">-AG479*$G$12</f>
        <v>-422.39309776959</v>
      </c>
      <c r="AH488" s="8" t="n">
        <f aca="false">-AH479*$G$12</f>
        <v>-421.125918476281</v>
      </c>
      <c r="AI488" s="8" t="n">
        <f aca="false">-AI479*$G$12</f>
        <v>-419.862540720852</v>
      </c>
      <c r="AJ488" s="8" t="n">
        <f aca="false">-AJ479*$G$12</f>
        <v>-418.60295309869</v>
      </c>
      <c r="AK488" s="8" t="n">
        <f aca="false">-AK479*$G$12</f>
        <v>-417.347144239394</v>
      </c>
      <c r="AL488" s="8" t="n">
        <f aca="false">-AL479*$G$12</f>
        <v>-416.095102806675</v>
      </c>
      <c r="AM488" s="8" t="n">
        <f aca="false">-AM479*$G$12</f>
        <v>-414.846817498256</v>
      </c>
      <c r="AN488" s="8" t="n">
        <f aca="false">-AN479*$G$12</f>
        <v>-413.602277045761</v>
      </c>
      <c r="AO488" s="8" t="n">
        <f aca="false">-AO479*$G$12</f>
        <v>-412.361470214623</v>
      </c>
      <c r="AP488" s="8" t="n">
        <f aca="false">-AP479*$G$12</f>
        <v>-411.12438580398</v>
      </c>
      <c r="AQ488" s="8" t="n">
        <f aca="false">-AQ479*$G$12</f>
        <v>-409.891012646568</v>
      </c>
      <c r="AR488" s="8" t="n">
        <f aca="false">-AR479*$G$12</f>
        <v>-408.661339608628</v>
      </c>
      <c r="AS488" s="8" t="n">
        <f aca="false">-AS479*$G$12</f>
        <v>-203.717677794901</v>
      </c>
    </row>
    <row r="489" customFormat="false" ht="14.25" hidden="false" customHeight="false" outlineLevel="0" collapsed="false">
      <c r="C489" s="6" t="s">
        <v>314</v>
      </c>
      <c r="D489" s="2" t="s">
        <v>85</v>
      </c>
      <c r="H489" s="8" t="n">
        <f aca="false">SUM(J489:AS489)</f>
        <v>-8922.61371458909</v>
      </c>
      <c r="J489" s="8" t="n">
        <f aca="false">-J481*HIPA_Rate</f>
        <v>-0</v>
      </c>
      <c r="K489" s="8" t="n">
        <f aca="false">-K481*HIPA_Rate</f>
        <v>-0</v>
      </c>
      <c r="L489" s="8" t="n">
        <f aca="false">-L481*HIPA_Rate</f>
        <v>-0</v>
      </c>
      <c r="M489" s="8" t="n">
        <f aca="false">-M481*HIPA_Rate</f>
        <v>-0</v>
      </c>
      <c r="N489" s="8" t="n">
        <f aca="false">-N481*HIPA_Rate</f>
        <v>-0</v>
      </c>
      <c r="O489" s="8" t="n">
        <f aca="false">-O481*HIPA_Rate</f>
        <v>-133.3584</v>
      </c>
      <c r="P489" s="8" t="n">
        <f aca="false">-P481*HIPA_Rate</f>
        <v>-269.383968</v>
      </c>
      <c r="Q489" s="8" t="n">
        <f aca="false">-Q481*HIPA_Rate</f>
        <v>-271.26157425696</v>
      </c>
      <c r="R489" s="8" t="n">
        <f aca="false">-R481*HIPA_Rate</f>
        <v>-273.152267429531</v>
      </c>
      <c r="S489" s="8" t="n">
        <f aca="false">-S481*HIPA_Rate</f>
        <v>-275.056138733515</v>
      </c>
      <c r="T489" s="8" t="n">
        <f aca="false">-T481*HIPA_Rate</f>
        <v>-276.973280020488</v>
      </c>
      <c r="U489" s="8" t="n">
        <f aca="false">-U481*HIPA_Rate</f>
        <v>-278.90378378223</v>
      </c>
      <c r="V489" s="8" t="n">
        <f aca="false">-V481*HIPA_Rate</f>
        <v>-280.847743155192</v>
      </c>
      <c r="W489" s="8" t="n">
        <f aca="false">-W481*HIPA_Rate</f>
        <v>-282.805251924984</v>
      </c>
      <c r="X489" s="8" t="n">
        <f aca="false">-X481*HIPA_Rate</f>
        <v>-284.776404530901</v>
      </c>
      <c r="Y489" s="8" t="n">
        <f aca="false">-Y481*HIPA_Rate</f>
        <v>-286.761296070482</v>
      </c>
      <c r="Z489" s="8" t="n">
        <f aca="false">-Z481*HIPA_Rate</f>
        <v>-288.760022304093</v>
      </c>
      <c r="AA489" s="8" t="n">
        <f aca="false">-AA481*HIPA_Rate</f>
        <v>-290.772679659552</v>
      </c>
      <c r="AB489" s="8" t="n">
        <f aca="false">-AB481*HIPA_Rate</f>
        <v>-292.799365236779</v>
      </c>
      <c r="AC489" s="8" t="n">
        <f aca="false">-AC481*HIPA_Rate</f>
        <v>-294.84017681248</v>
      </c>
      <c r="AD489" s="8" t="n">
        <f aca="false">-AD481*HIPA_Rate</f>
        <v>-296.895212844863</v>
      </c>
      <c r="AE489" s="8" t="n">
        <f aca="false">-AE481*HIPA_Rate</f>
        <v>-298.964572478392</v>
      </c>
      <c r="AF489" s="8" t="n">
        <f aca="false">-AF481*HIPA_Rate</f>
        <v>-301.048355548566</v>
      </c>
      <c r="AG489" s="8" t="n">
        <f aca="false">-AG481*HIPA_Rate</f>
        <v>-303.146662586739</v>
      </c>
      <c r="AH489" s="8" t="n">
        <f aca="false">-AH481*HIPA_Rate</f>
        <v>-305.259594824969</v>
      </c>
      <c r="AI489" s="8" t="n">
        <f aca="false">-AI481*HIPA_Rate</f>
        <v>-307.387254200899</v>
      </c>
      <c r="AJ489" s="8" t="n">
        <f aca="false">-AJ481*HIPA_Rate</f>
        <v>-309.529743362679</v>
      </c>
      <c r="AK489" s="8" t="n">
        <f aca="false">-AK481*HIPA_Rate</f>
        <v>-311.687165673917</v>
      </c>
      <c r="AL489" s="8" t="n">
        <f aca="false">-AL481*HIPA_Rate</f>
        <v>-313.859625218664</v>
      </c>
      <c r="AM489" s="8" t="n">
        <f aca="false">-AM481*HIPA_Rate</f>
        <v>-316.047226806439</v>
      </c>
      <c r="AN489" s="8" t="n">
        <f aca="false">-AN481*HIPA_Rate</f>
        <v>-318.250075977279</v>
      </c>
      <c r="AO489" s="8" t="n">
        <f aca="false">-AO481*HIPA_Rate</f>
        <v>-320.468279006841</v>
      </c>
      <c r="AP489" s="8" t="n">
        <f aca="false">-AP481*HIPA_Rate</f>
        <v>-322.701942911519</v>
      </c>
      <c r="AQ489" s="8" t="n">
        <f aca="false">-AQ481*HIPA_Rate</f>
        <v>-324.951175453612</v>
      </c>
      <c r="AR489" s="8" t="n">
        <f aca="false">-AR481*HIPA_Rate</f>
        <v>-327.216085146524</v>
      </c>
      <c r="AS489" s="8" t="n">
        <f aca="false">-AS481*HIPA_Rate</f>
        <v>-164.748390629997</v>
      </c>
    </row>
    <row r="490" customFormat="false" ht="14.25" hidden="false" customHeight="false" outlineLevel="0" collapsed="false">
      <c r="C490" s="1" t="s">
        <v>315</v>
      </c>
      <c r="D490" s="2" t="s">
        <v>85</v>
      </c>
      <c r="H490" s="32" t="n">
        <f aca="false">SUM(J490:AS490)</f>
        <v>-130425.697623429</v>
      </c>
      <c r="J490" s="32" t="n">
        <f aca="false">SUM(J483:J489)</f>
        <v>0</v>
      </c>
      <c r="K490" s="32" t="n">
        <f aca="false">SUM(K483:K489)</f>
        <v>0</v>
      </c>
      <c r="L490" s="32" t="n">
        <f aca="false">SUM(L483:L489)</f>
        <v>0</v>
      </c>
      <c r="M490" s="32" t="n">
        <f aca="false">SUM(M483:M489)</f>
        <v>0</v>
      </c>
      <c r="N490" s="32" t="n">
        <f aca="false">SUM(N483:N489)</f>
        <v>0</v>
      </c>
      <c r="O490" s="32" t="n">
        <f aca="false">SUM(O483:O489)</f>
        <v>-1598.148216</v>
      </c>
      <c r="P490" s="32" t="n">
        <f aca="false">SUM(P483:P489)</f>
        <v>-3260.87985132</v>
      </c>
      <c r="Q490" s="32" t="n">
        <f aca="false">SUM(Q483:Q489)</f>
        <v>-3322.39115932295</v>
      </c>
      <c r="R490" s="32" t="n">
        <f aca="false">SUM(R483:R489)</f>
        <v>-3385.38820151339</v>
      </c>
      <c r="S490" s="32" t="n">
        <f aca="false">SUM(S483:S489)</f>
        <v>-3449.90658222877</v>
      </c>
      <c r="T490" s="32" t="n">
        <f aca="false">SUM(T483:T489)</f>
        <v>-3515.98276867813</v>
      </c>
      <c r="U490" s="32" t="n">
        <f aca="false">SUM(U483:U489)</f>
        <v>-3583.65411193425</v>
      </c>
      <c r="V490" s="32" t="n">
        <f aca="false">SUM(V483:V489)</f>
        <v>-3652.95886843809</v>
      </c>
      <c r="W490" s="32" t="n">
        <f aca="false">SUM(W483:W489)</f>
        <v>-3723.93622202803</v>
      </c>
      <c r="X490" s="32" t="n">
        <f aca="false">SUM(X483:X489)</f>
        <v>-3796.62630650685</v>
      </c>
      <c r="Y490" s="32" t="n">
        <f aca="false">SUM(Y483:Y489)</f>
        <v>-3871.07022875947</v>
      </c>
      <c r="Z490" s="32" t="n">
        <f aca="false">SUM(Z483:Z489)</f>
        <v>-3947.31009243507</v>
      </c>
      <c r="AA490" s="32" t="n">
        <f aca="false">SUM(AA483:AA489)</f>
        <v>-4025.38902220729</v>
      </c>
      <c r="AB490" s="32" t="n">
        <f aca="false">SUM(AB483:AB489)</f>
        <v>-4105.3511886267</v>
      </c>
      <c r="AC490" s="32" t="n">
        <f aca="false">SUM(AC483:AC489)</f>
        <v>-4187.24183358009</v>
      </c>
      <c r="AD490" s="32" t="n">
        <f aca="false">SUM(AD483:AD489)</f>
        <v>-4271.10729637127</v>
      </c>
      <c r="AE490" s="32" t="n">
        <f aca="false">SUM(AE483:AE489)</f>
        <v>-4356.99504043889</v>
      </c>
      <c r="AF490" s="32" t="n">
        <f aca="false">SUM(AF483:AF489)</f>
        <v>-4444.95368072645</v>
      </c>
      <c r="AG490" s="32" t="n">
        <f aca="false">SUM(AG483:AG489)</f>
        <v>-4535.0330117209</v>
      </c>
      <c r="AH490" s="32" t="n">
        <f aca="false">SUM(AH483:AH489)</f>
        <v>-4627.28403617592</v>
      </c>
      <c r="AI490" s="32" t="n">
        <f aca="false">SUM(AI483:AI489)</f>
        <v>-4721.75899453672</v>
      </c>
      <c r="AJ490" s="32" t="n">
        <f aca="false">SUM(AJ483:AJ489)</f>
        <v>-4818.51139508354</v>
      </c>
      <c r="AK490" s="32" t="n">
        <f aca="false">SUM(AK483:AK489)</f>
        <v>-4917.59604481147</v>
      </c>
      <c r="AL490" s="32" t="n">
        <f aca="false">SUM(AL483:AL489)</f>
        <v>-5019.06908106463</v>
      </c>
      <c r="AM490" s="32" t="n">
        <f aca="false">SUM(AM483:AM489)</f>
        <v>-5122.98800394303</v>
      </c>
      <c r="AN490" s="32" t="n">
        <f aca="false">SUM(AN483:AN489)</f>
        <v>-5229.41170950133</v>
      </c>
      <c r="AO490" s="32" t="n">
        <f aca="false">SUM(AO483:AO489)</f>
        <v>-5338.40052375853</v>
      </c>
      <c r="AP490" s="32" t="n">
        <f aca="false">SUM(AP483:AP489)</f>
        <v>-5450.01623753884</v>
      </c>
      <c r="AQ490" s="32" t="n">
        <f aca="false">SUM(AQ483:AQ489)</f>
        <v>-5564.32214216366</v>
      </c>
      <c r="AR490" s="32" t="n">
        <f aca="false">SUM(AR483:AR489)</f>
        <v>-5681.38306601601</v>
      </c>
      <c r="AS490" s="32" t="n">
        <f aca="false">SUM(AS483:AS489)</f>
        <v>-2900.63270599912</v>
      </c>
    </row>
    <row r="491" customFormat="false" ht="14.25" hidden="false" customHeight="false" outlineLevel="0" collapsed="false">
      <c r="C491" s="1" t="s">
        <v>160</v>
      </c>
      <c r="D491" s="2" t="s">
        <v>85</v>
      </c>
      <c r="H491" s="15" t="n">
        <f aca="false">SUM(J491:AS491)</f>
        <v>315704.988106025</v>
      </c>
      <c r="J491" s="15" t="n">
        <f aca="false">J481+J490</f>
        <v>0</v>
      </c>
      <c r="K491" s="15" t="n">
        <f aca="false">K481+K490</f>
        <v>0</v>
      </c>
      <c r="L491" s="15" t="n">
        <f aca="false">L481+L490</f>
        <v>0</v>
      </c>
      <c r="M491" s="15" t="n">
        <f aca="false">M481+M490</f>
        <v>0</v>
      </c>
      <c r="N491" s="15" t="n">
        <f aca="false">N481+N490</f>
        <v>0</v>
      </c>
      <c r="O491" s="15" t="n">
        <f aca="false">O481+O490</f>
        <v>5069.771784</v>
      </c>
      <c r="P491" s="15" t="n">
        <f aca="false">P481+P490</f>
        <v>10208.31854868</v>
      </c>
      <c r="Q491" s="15" t="n">
        <f aca="false">Q481+Q490</f>
        <v>10240.6875535251</v>
      </c>
      <c r="R491" s="15" t="n">
        <f aca="false">R481+R490</f>
        <v>10272.2251699632</v>
      </c>
      <c r="S491" s="15" t="n">
        <f aca="false">S481+S490</f>
        <v>10302.900354447</v>
      </c>
      <c r="T491" s="15" t="n">
        <f aca="false">T481+T490</f>
        <v>10332.6812323462</v>
      </c>
      <c r="U491" s="15" t="n">
        <f aca="false">U481+U490</f>
        <v>10361.5350771773</v>
      </c>
      <c r="V491" s="15" t="n">
        <f aca="false">V481+V490</f>
        <v>10389.4282893215</v>
      </c>
      <c r="W491" s="15" t="n">
        <f aca="false">W481+W490</f>
        <v>10416.3263742212</v>
      </c>
      <c r="X491" s="15" t="n">
        <f aca="false">X481+X490</f>
        <v>10442.1939200382</v>
      </c>
      <c r="Y491" s="15" t="n">
        <f aca="false">Y481+Y490</f>
        <v>10466.9945747646</v>
      </c>
      <c r="Z491" s="15" t="n">
        <f aca="false">Z481+Z490</f>
        <v>10490.6910227696</v>
      </c>
      <c r="AA491" s="15" t="n">
        <f aca="false">AA481+AA490</f>
        <v>10513.2449607703</v>
      </c>
      <c r="AB491" s="15" t="n">
        <f aca="false">AB481+AB490</f>
        <v>10534.6170732123</v>
      </c>
      <c r="AC491" s="15" t="n">
        <f aca="false">AC481+AC490</f>
        <v>10554.7670070439</v>
      </c>
      <c r="AD491" s="15" t="n">
        <f aca="false">AD481+AD490</f>
        <v>10573.6533458719</v>
      </c>
      <c r="AE491" s="15" t="n">
        <f aca="false">AE481+AE490</f>
        <v>10591.2335834807</v>
      </c>
      <c r="AF491" s="15" t="n">
        <f aca="false">AF481+AF490</f>
        <v>10607.4640967019</v>
      </c>
      <c r="AG491" s="15" t="n">
        <f aca="false">AG481+AG490</f>
        <v>10622.3001176161</v>
      </c>
      <c r="AH491" s="15" t="n">
        <f aca="false">AH481+AH490</f>
        <v>10635.6957050725</v>
      </c>
      <c r="AI491" s="15" t="n">
        <f aca="false">AI481+AI490</f>
        <v>10647.6037155082</v>
      </c>
      <c r="AJ491" s="15" t="n">
        <f aca="false">AJ481+AJ490</f>
        <v>10657.9757730504</v>
      </c>
      <c r="AK491" s="15" t="n">
        <f aca="false">AK481+AK490</f>
        <v>10666.7622388844</v>
      </c>
      <c r="AL491" s="15" t="n">
        <f aca="false">AL481+AL490</f>
        <v>10673.9121798686</v>
      </c>
      <c r="AM491" s="15" t="n">
        <f aca="false">AM481+AM490</f>
        <v>10679.3733363789</v>
      </c>
      <c r="AN491" s="15" t="n">
        <f aca="false">AN481+AN490</f>
        <v>10683.0920893626</v>
      </c>
      <c r="AO491" s="15" t="n">
        <f aca="false">AO481+AO490</f>
        <v>10685.0134265835</v>
      </c>
      <c r="AP491" s="15" t="n">
        <f aca="false">AP481+AP490</f>
        <v>10685.0809080371</v>
      </c>
      <c r="AQ491" s="15" t="n">
        <f aca="false">AQ481+AQ490</f>
        <v>10683.2366305169</v>
      </c>
      <c r="AR491" s="15" t="n">
        <f aca="false">AR481+AR490</f>
        <v>10679.4211913102</v>
      </c>
      <c r="AS491" s="15" t="n">
        <f aca="false">AS481+AS490</f>
        <v>5336.78682550075</v>
      </c>
    </row>
    <row r="492" customFormat="false" ht="14.25" hidden="false" customHeight="false" outlineLevel="0" collapsed="false">
      <c r="C492" s="1" t="s">
        <v>316</v>
      </c>
      <c r="D492" s="2" t="s">
        <v>85</v>
      </c>
      <c r="H492" s="32" t="n">
        <f aca="false">SUM(J492:AS492)</f>
        <v>238904.92885945</v>
      </c>
      <c r="J492" s="32" t="n">
        <f aca="false">J477+J491</f>
        <v>0</v>
      </c>
      <c r="K492" s="32" t="n">
        <f aca="false">K477+K491</f>
        <v>0</v>
      </c>
      <c r="L492" s="32" t="n">
        <f aca="false">L477+L491</f>
        <v>0</v>
      </c>
      <c r="M492" s="32" t="n">
        <f aca="false">M477+M491</f>
        <v>-29757.5797945206</v>
      </c>
      <c r="N492" s="32" t="n">
        <f aca="false">N477+N491</f>
        <v>-31358</v>
      </c>
      <c r="O492" s="32" t="n">
        <f aca="false">O477+O491</f>
        <v>-13109.228216</v>
      </c>
      <c r="P492" s="32" t="n">
        <f aca="false">P477+P491</f>
        <v>10208.31854868</v>
      </c>
      <c r="Q492" s="32" t="n">
        <f aca="false">Q477+Q491</f>
        <v>12735.2081014703</v>
      </c>
      <c r="R492" s="32" t="n">
        <f aca="false">R477+R491</f>
        <v>10272.2251699632</v>
      </c>
      <c r="S492" s="32" t="n">
        <f aca="false">S477+S491</f>
        <v>10302.900354447</v>
      </c>
      <c r="T492" s="32" t="n">
        <f aca="false">T477+T491</f>
        <v>10332.6812323462</v>
      </c>
      <c r="U492" s="32" t="n">
        <f aca="false">U477+U491</f>
        <v>10361.5350771773</v>
      </c>
      <c r="V492" s="32" t="n">
        <f aca="false">V477+V491</f>
        <v>10389.4282893215</v>
      </c>
      <c r="W492" s="32" t="n">
        <f aca="false">W477+W491</f>
        <v>10416.3263742212</v>
      </c>
      <c r="X492" s="32" t="n">
        <f aca="false">X477+X491</f>
        <v>10442.1939200382</v>
      </c>
      <c r="Y492" s="32" t="n">
        <f aca="false">Y477+Y491</f>
        <v>10466.9945747646</v>
      </c>
      <c r="Z492" s="32" t="n">
        <f aca="false">Z477+Z491</f>
        <v>10490.6910227696</v>
      </c>
      <c r="AA492" s="32" t="n">
        <f aca="false">AA477+AA491</f>
        <v>10513.2449607703</v>
      </c>
      <c r="AB492" s="32" t="n">
        <f aca="false">AB477+AB491</f>
        <v>10534.6170732123</v>
      </c>
      <c r="AC492" s="32" t="n">
        <f aca="false">AC477+AC491</f>
        <v>10554.7670070439</v>
      </c>
      <c r="AD492" s="32" t="n">
        <f aca="false">AD477+AD491</f>
        <v>10573.6533458719</v>
      </c>
      <c r="AE492" s="32" t="n">
        <f aca="false">AE477+AE491</f>
        <v>10591.2335834807</v>
      </c>
      <c r="AF492" s="32" t="n">
        <f aca="false">AF477+AF491</f>
        <v>10607.4640967019</v>
      </c>
      <c r="AG492" s="32" t="n">
        <f aca="false">AG477+AG491</f>
        <v>10622.3001176161</v>
      </c>
      <c r="AH492" s="32" t="n">
        <f aca="false">AH477+AH491</f>
        <v>10635.6957050725</v>
      </c>
      <c r="AI492" s="32" t="n">
        <f aca="false">AI477+AI491</f>
        <v>10647.6037155082</v>
      </c>
      <c r="AJ492" s="32" t="n">
        <f aca="false">AJ477+AJ491</f>
        <v>10657.9757730504</v>
      </c>
      <c r="AK492" s="32" t="n">
        <f aca="false">AK477+AK491</f>
        <v>10666.7622388844</v>
      </c>
      <c r="AL492" s="32" t="n">
        <f aca="false">AL477+AL491</f>
        <v>10673.9121798686</v>
      </c>
      <c r="AM492" s="32" t="n">
        <f aca="false">AM477+AM491</f>
        <v>10679.3733363789</v>
      </c>
      <c r="AN492" s="32" t="n">
        <f aca="false">AN477+AN491</f>
        <v>10683.0920893626</v>
      </c>
      <c r="AO492" s="32" t="n">
        <f aca="false">AO477+AO491</f>
        <v>10685.0134265835</v>
      </c>
      <c r="AP492" s="32" t="n">
        <f aca="false">AP477+AP491</f>
        <v>10685.0809080371</v>
      </c>
      <c r="AQ492" s="32" t="n">
        <f aca="false">AQ477+AQ491</f>
        <v>10683.2366305169</v>
      </c>
      <c r="AR492" s="32" t="n">
        <f aca="false">AR477+AR491</f>
        <v>10679.4211913102</v>
      </c>
      <c r="AS492" s="32" t="n">
        <f aca="false">AS477+AS491</f>
        <v>5336.78682550075</v>
      </c>
    </row>
    <row r="493" customFormat="false" ht="14.25" hidden="false" customHeight="false" outlineLevel="0" collapsed="false">
      <c r="C493" s="6" t="s">
        <v>317</v>
      </c>
      <c r="D493" s="2" t="s">
        <v>85</v>
      </c>
      <c r="H493" s="8" t="n">
        <f aca="false">SUM(J493:AS493)</f>
        <v>-76800.0592465753</v>
      </c>
      <c r="J493" s="8" t="n">
        <f aca="false">-$G$99/Tax_Dep_Life*(J467&gt;=0)*(J467&lt;Tax_Dep_Life)</f>
        <v>-0</v>
      </c>
      <c r="K493" s="8" t="n">
        <f aca="false">-$G$99/Tax_Dep_Life*(K467&gt;=0)*(K467&lt;Tax_Dep_Life)</f>
        <v>-0</v>
      </c>
      <c r="L493" s="8" t="n">
        <f aca="false">-$G$99/Tax_Dep_Life*(L467&gt;=0)*(L467&lt;Tax_Dep_Life)</f>
        <v>-0</v>
      </c>
      <c r="M493" s="8" t="n">
        <f aca="false">-$G$99/Tax_Dep_Life*(M467&gt;=0)*(M467&lt;Tax_Dep_Life)</f>
        <v>-0</v>
      </c>
      <c r="N493" s="8" t="n">
        <f aca="false">-$G$99/Tax_Dep_Life*(N467&gt;=0)*(N467&lt;Tax_Dep_Life)</f>
        <v>-0</v>
      </c>
      <c r="O493" s="8" t="n">
        <f aca="false">-$G$99/Tax_Dep_Life*(O467&gt;=0)*(O467&lt;Tax_Dep_Life)</f>
        <v>-3840.00296232877</v>
      </c>
      <c r="P493" s="8" t="n">
        <f aca="false">-$G$99/Tax_Dep_Life*(P467&gt;=0)*(P467&lt;Tax_Dep_Life)</f>
        <v>-3840.00296232877</v>
      </c>
      <c r="Q493" s="8" t="n">
        <f aca="false">-$G$99/Tax_Dep_Life*(Q467&gt;=0)*(Q467&lt;Tax_Dep_Life)</f>
        <v>-3840.00296232877</v>
      </c>
      <c r="R493" s="8" t="n">
        <f aca="false">-$G$99/Tax_Dep_Life*(R467&gt;=0)*(R467&lt;Tax_Dep_Life)</f>
        <v>-3840.00296232877</v>
      </c>
      <c r="S493" s="8" t="n">
        <f aca="false">-$G$99/Tax_Dep_Life*(S467&gt;=0)*(S467&lt;Tax_Dep_Life)</f>
        <v>-3840.00296232877</v>
      </c>
      <c r="T493" s="8" t="n">
        <f aca="false">-$G$99/Tax_Dep_Life*(T467&gt;=0)*(T467&lt;Tax_Dep_Life)</f>
        <v>-3840.00296232877</v>
      </c>
      <c r="U493" s="8" t="n">
        <f aca="false">-$G$99/Tax_Dep_Life*(U467&gt;=0)*(U467&lt;Tax_Dep_Life)</f>
        <v>-3840.00296232877</v>
      </c>
      <c r="V493" s="8" t="n">
        <f aca="false">-$G$99/Tax_Dep_Life*(V467&gt;=0)*(V467&lt;Tax_Dep_Life)</f>
        <v>-3840.00296232877</v>
      </c>
      <c r="W493" s="8" t="n">
        <f aca="false">-$G$99/Tax_Dep_Life*(W467&gt;=0)*(W467&lt;Tax_Dep_Life)</f>
        <v>-3840.00296232877</v>
      </c>
      <c r="X493" s="8" t="n">
        <f aca="false">-$G$99/Tax_Dep_Life*(X467&gt;=0)*(X467&lt;Tax_Dep_Life)</f>
        <v>-3840.00296232877</v>
      </c>
      <c r="Y493" s="8" t="n">
        <f aca="false">-$G$99/Tax_Dep_Life*(Y467&gt;=0)*(Y467&lt;Tax_Dep_Life)</f>
        <v>-3840.00296232877</v>
      </c>
      <c r="Z493" s="8" t="n">
        <f aca="false">-$G$99/Tax_Dep_Life*(Z467&gt;=0)*(Z467&lt;Tax_Dep_Life)</f>
        <v>-3840.00296232877</v>
      </c>
      <c r="AA493" s="8" t="n">
        <f aca="false">-$G$99/Tax_Dep_Life*(AA467&gt;=0)*(AA467&lt;Tax_Dep_Life)</f>
        <v>-3840.00296232877</v>
      </c>
      <c r="AB493" s="8" t="n">
        <f aca="false">-$G$99/Tax_Dep_Life*(AB467&gt;=0)*(AB467&lt;Tax_Dep_Life)</f>
        <v>-3840.00296232877</v>
      </c>
      <c r="AC493" s="8" t="n">
        <f aca="false">-$G$99/Tax_Dep_Life*(AC467&gt;=0)*(AC467&lt;Tax_Dep_Life)</f>
        <v>-3840.00296232877</v>
      </c>
      <c r="AD493" s="8" t="n">
        <f aca="false">-$G$99/Tax_Dep_Life*(AD467&gt;=0)*(AD467&lt;Tax_Dep_Life)</f>
        <v>-3840.00296232877</v>
      </c>
      <c r="AE493" s="8" t="n">
        <f aca="false">-$G$99/Tax_Dep_Life*(AE467&gt;=0)*(AE467&lt;Tax_Dep_Life)</f>
        <v>-3840.00296232877</v>
      </c>
      <c r="AF493" s="8" t="n">
        <f aca="false">-$G$99/Tax_Dep_Life*(AF467&gt;=0)*(AF467&lt;Tax_Dep_Life)</f>
        <v>-3840.00296232877</v>
      </c>
      <c r="AG493" s="8" t="n">
        <f aca="false">-$G$99/Tax_Dep_Life*(AG467&gt;=0)*(AG467&lt;Tax_Dep_Life)</f>
        <v>-3840.00296232877</v>
      </c>
      <c r="AH493" s="8" t="n">
        <f aca="false">-$G$99/Tax_Dep_Life*(AH467&gt;=0)*(AH467&lt;Tax_Dep_Life)</f>
        <v>-3840.00296232877</v>
      </c>
      <c r="AI493" s="8" t="n">
        <f aca="false">-$G$99/Tax_Dep_Life*(AI467&gt;=0)*(AI467&lt;Tax_Dep_Life)</f>
        <v>-0</v>
      </c>
      <c r="AJ493" s="8" t="n">
        <f aca="false">-$G$99/Tax_Dep_Life*(AJ467&gt;=0)*(AJ467&lt;Tax_Dep_Life)</f>
        <v>-0</v>
      </c>
      <c r="AK493" s="8" t="n">
        <f aca="false">-$G$99/Tax_Dep_Life*(AK467&gt;=0)*(AK467&lt;Tax_Dep_Life)</f>
        <v>-0</v>
      </c>
      <c r="AL493" s="8" t="n">
        <f aca="false">-$G$99/Tax_Dep_Life*(AL467&gt;=0)*(AL467&lt;Tax_Dep_Life)</f>
        <v>-0</v>
      </c>
      <c r="AM493" s="8" t="n">
        <f aca="false">-$G$99/Tax_Dep_Life*(AM467&gt;=0)*(AM467&lt;Tax_Dep_Life)</f>
        <v>-0</v>
      </c>
      <c r="AN493" s="8" t="n">
        <f aca="false">-$G$99/Tax_Dep_Life*(AN467&gt;=0)*(AN467&lt;Tax_Dep_Life)</f>
        <v>-0</v>
      </c>
      <c r="AO493" s="8" t="n">
        <f aca="false">-$G$99/Tax_Dep_Life*(AO467&gt;=0)*(AO467&lt;Tax_Dep_Life)</f>
        <v>-0</v>
      </c>
      <c r="AP493" s="8" t="n">
        <f aca="false">-$G$99/Tax_Dep_Life*(AP467&gt;=0)*(AP467&lt;Tax_Dep_Life)</f>
        <v>-0</v>
      </c>
      <c r="AQ493" s="8" t="n">
        <f aca="false">-$G$99/Tax_Dep_Life*(AQ467&gt;=0)*(AQ467&lt;Tax_Dep_Life)</f>
        <v>-0</v>
      </c>
      <c r="AR493" s="8" t="n">
        <f aca="false">-$G$99/Tax_Dep_Life*(AR467&gt;=0)*(AR467&lt;Tax_Dep_Life)</f>
        <v>-0</v>
      </c>
      <c r="AS493" s="8" t="n">
        <f aca="false">-$G$99/Tax_Dep_Life*(AS467&gt;=0)*(AS467&lt;Tax_Dep_Life)</f>
        <v>-0</v>
      </c>
    </row>
    <row r="494" customFormat="false" ht="14.25" hidden="false" customHeight="false" outlineLevel="0" collapsed="false">
      <c r="C494" s="6" t="s">
        <v>318</v>
      </c>
      <c r="D494" s="2" t="s">
        <v>85</v>
      </c>
      <c r="H494" s="8" t="n">
        <f aca="false">SUM(J494:AS494)</f>
        <v>-35835.7393289174</v>
      </c>
      <c r="J494" s="8" t="n">
        <f aca="false">-MAX(0,J491+J493)*CIT_Rate*(J471&gt;0)</f>
        <v>-0</v>
      </c>
      <c r="K494" s="8" t="n">
        <f aca="false">-MAX(0,K491+K493)*CIT_Rate*(K471&gt;0)</f>
        <v>-0</v>
      </c>
      <c r="L494" s="8" t="n">
        <f aca="false">-MAX(0,L491+L493)*CIT_Rate*(L471&gt;0)</f>
        <v>-0</v>
      </c>
      <c r="M494" s="8" t="n">
        <f aca="false">-MAX(0,M491+M493)*CIT_Rate*(M471&gt;0)</f>
        <v>-0</v>
      </c>
      <c r="N494" s="8" t="n">
        <f aca="false">-MAX(0,N491+N493)*CIT_Rate*(N471&gt;0)</f>
        <v>-0</v>
      </c>
      <c r="O494" s="8" t="n">
        <f aca="false">-MAX(0,O491+O493)*CIT_Rate*(O471&gt;0)</f>
        <v>-184.465323250685</v>
      </c>
      <c r="P494" s="8" t="n">
        <f aca="false">-MAX(0,P491+P493)*CIT_Rate*(P471&gt;0)</f>
        <v>-955.247337952685</v>
      </c>
      <c r="Q494" s="8" t="n">
        <f aca="false">-MAX(0,Q491+Q493)*CIT_Rate*(Q471&gt;0)</f>
        <v>-960.102688679442</v>
      </c>
      <c r="R494" s="8" t="n">
        <f aca="false">-MAX(0,R491+R493)*CIT_Rate*(R471&gt;0)</f>
        <v>-964.833331145159</v>
      </c>
      <c r="S494" s="8" t="n">
        <f aca="false">-MAX(0,S491+S493)*CIT_Rate*(S471&gt;0)</f>
        <v>-969.434608817731</v>
      </c>
      <c r="T494" s="8" t="n">
        <f aca="false">-MAX(0,T491+T493)*CIT_Rate*(T471&gt;0)</f>
        <v>-973.901740502622</v>
      </c>
      <c r="U494" s="8" t="n">
        <f aca="false">-MAX(0,U491+U493)*CIT_Rate*(U471&gt;0)</f>
        <v>-978.229817227275</v>
      </c>
      <c r="V494" s="8" t="n">
        <f aca="false">-MAX(0,V491+V493)*CIT_Rate*(V471&gt;0)</f>
        <v>-982.413799048915</v>
      </c>
      <c r="W494" s="8" t="n">
        <f aca="false">-MAX(0,W491+W493)*CIT_Rate*(W471&gt;0)</f>
        <v>-986.448511783862</v>
      </c>
      <c r="X494" s="8" t="n">
        <f aca="false">-MAX(0,X491+X493)*CIT_Rate*(X471&gt;0)</f>
        <v>-990.328643656417</v>
      </c>
      <c r="Y494" s="8" t="n">
        <f aca="false">-MAX(0,Y491+Y493)*CIT_Rate*(Y471&gt;0)</f>
        <v>-994.048741865376</v>
      </c>
      <c r="Z494" s="8" t="n">
        <f aca="false">-MAX(0,Z491+Z493)*CIT_Rate*(Z471&gt;0)</f>
        <v>-997.60320906612</v>
      </c>
      <c r="AA494" s="8" t="n">
        <f aca="false">-MAX(0,AA491+AA493)*CIT_Rate*(AA471&gt;0)</f>
        <v>-1000.98629976623</v>
      </c>
      <c r="AB494" s="8" t="n">
        <f aca="false">-MAX(0,AB491+AB493)*CIT_Rate*(AB471&gt;0)</f>
        <v>-1004.19211663253</v>
      </c>
      <c r="AC494" s="8" t="n">
        <f aca="false">-MAX(0,AC491+AC493)*CIT_Rate*(AC471&gt;0)</f>
        <v>-1007.21460670727</v>
      </c>
      <c r="AD494" s="8" t="n">
        <f aca="false">-MAX(0,AD491+AD493)*CIT_Rate*(AD471&gt;0)</f>
        <v>-1010.04755753146</v>
      </c>
      <c r="AE494" s="8" t="n">
        <f aca="false">-MAX(0,AE491+AE493)*CIT_Rate*(AE471&gt;0)</f>
        <v>-1012.68459317279</v>
      </c>
      <c r="AF494" s="8" t="n">
        <f aca="false">-MAX(0,AF491+AF493)*CIT_Rate*(AF471&gt;0)</f>
        <v>-1015.11917015596</v>
      </c>
      <c r="AG494" s="8" t="n">
        <f aca="false">-MAX(0,AG491+AG493)*CIT_Rate*(AG471&gt;0)</f>
        <v>-1017.3445732931</v>
      </c>
      <c r="AH494" s="8" t="n">
        <f aca="false">-MAX(0,AH491+AH493)*CIT_Rate*(AH471&gt;0)</f>
        <v>-1019.35391141156</v>
      </c>
      <c r="AI494" s="8" t="n">
        <f aca="false">-MAX(0,AI491+AI493)*CIT_Rate*(AI471&gt;0)</f>
        <v>-1597.14055732624</v>
      </c>
      <c r="AJ494" s="8" t="n">
        <f aca="false">-MAX(0,AJ491+AJ493)*CIT_Rate*(AJ471&gt;0)</f>
        <v>-1598.69636595756</v>
      </c>
      <c r="AK494" s="8" t="n">
        <f aca="false">-MAX(0,AK491+AK493)*CIT_Rate*(AK471&gt;0)</f>
        <v>-1600.01433583266</v>
      </c>
      <c r="AL494" s="8" t="n">
        <f aca="false">-MAX(0,AL491+AL493)*CIT_Rate*(AL471&gt;0)</f>
        <v>-1601.08682698029</v>
      </c>
      <c r="AM494" s="8" t="n">
        <f aca="false">-MAX(0,AM491+AM493)*CIT_Rate*(AM471&gt;0)</f>
        <v>-1601.90600045683</v>
      </c>
      <c r="AN494" s="8" t="n">
        <f aca="false">-MAX(0,AN491+AN493)*CIT_Rate*(AN471&gt;0)</f>
        <v>-1602.4638134044</v>
      </c>
      <c r="AO494" s="8" t="n">
        <f aca="false">-MAX(0,AO491+AO493)*CIT_Rate*(AO471&gt;0)</f>
        <v>-1602.75201398753</v>
      </c>
      <c r="AP494" s="8" t="n">
        <f aca="false">-MAX(0,AP491+AP493)*CIT_Rate*(AP471&gt;0)</f>
        <v>-1602.76213620557</v>
      </c>
      <c r="AQ494" s="8" t="n">
        <f aca="false">-MAX(0,AQ491+AQ493)*CIT_Rate*(AQ471&gt;0)</f>
        <v>-1602.48549457754</v>
      </c>
      <c r="AR494" s="8" t="n">
        <f aca="false">-MAX(0,AR491+AR493)*CIT_Rate*(AR471&gt;0)</f>
        <v>-1601.91317869653</v>
      </c>
      <c r="AS494" s="8" t="n">
        <f aca="false">-MAX(0,AS491+AS493)*CIT_Rate*(AS471&gt;0)</f>
        <v>-800.518023825112</v>
      </c>
    </row>
    <row r="495" customFormat="false" ht="14.25" hidden="false" customHeight="false" outlineLevel="0" collapsed="false">
      <c r="C495" s="1" t="s">
        <v>319</v>
      </c>
      <c r="D495" s="2" t="s">
        <v>85</v>
      </c>
      <c r="H495" s="32" t="n">
        <f aca="false">SUM(J495:AS495)</f>
        <v>203069.189530532</v>
      </c>
      <c r="J495" s="32" t="n">
        <f aca="false">J492+J494</f>
        <v>0</v>
      </c>
      <c r="K495" s="32" t="n">
        <f aca="false">K492+K494</f>
        <v>0</v>
      </c>
      <c r="L495" s="32" t="n">
        <f aca="false">L492+L494</f>
        <v>0</v>
      </c>
      <c r="M495" s="32" t="n">
        <f aca="false">M492+M494</f>
        <v>-29757.5797945206</v>
      </c>
      <c r="N495" s="32" t="n">
        <f aca="false">N492+N494</f>
        <v>-31358</v>
      </c>
      <c r="O495" s="32" t="n">
        <f aca="false">O492+O494</f>
        <v>-13293.6935392507</v>
      </c>
      <c r="P495" s="32" t="n">
        <f aca="false">P492+P494</f>
        <v>9253.07121072731</v>
      </c>
      <c r="Q495" s="32" t="n">
        <f aca="false">Q492+Q494</f>
        <v>11775.1054127908</v>
      </c>
      <c r="R495" s="32" t="n">
        <f aca="false">R492+R494</f>
        <v>9307.391838818</v>
      </c>
      <c r="S495" s="32" t="n">
        <f aca="false">S492+S494</f>
        <v>9333.46574562924</v>
      </c>
      <c r="T495" s="32" t="n">
        <f aca="false">T492+T494</f>
        <v>9358.77949184362</v>
      </c>
      <c r="U495" s="32" t="n">
        <f aca="false">U492+U494</f>
        <v>9383.30525994999</v>
      </c>
      <c r="V495" s="32" t="n">
        <f aca="false">V492+V494</f>
        <v>9407.01449027262</v>
      </c>
      <c r="W495" s="32" t="n">
        <f aca="false">W492+W494</f>
        <v>9429.87786243732</v>
      </c>
      <c r="X495" s="32" t="n">
        <f aca="false">X492+X494</f>
        <v>9451.8652763818</v>
      </c>
      <c r="Y495" s="32" t="n">
        <f aca="false">Y492+Y494</f>
        <v>9472.94583289924</v>
      </c>
      <c r="Z495" s="32" t="n">
        <f aca="false">Z492+Z494</f>
        <v>9493.08781370345</v>
      </c>
      <c r="AA495" s="32" t="n">
        <f aca="false">AA492+AA494</f>
        <v>9512.25866100409</v>
      </c>
      <c r="AB495" s="32" t="n">
        <f aca="false">AB492+AB494</f>
        <v>9530.42495657974</v>
      </c>
      <c r="AC495" s="32" t="n">
        <f aca="false">AC492+AC494</f>
        <v>9547.55240033664</v>
      </c>
      <c r="AD495" s="32" t="n">
        <f aca="false">AD492+AD494</f>
        <v>9563.6057883404</v>
      </c>
      <c r="AE495" s="32" t="n">
        <f aca="false">AE492+AE494</f>
        <v>9578.5489903079</v>
      </c>
      <c r="AF495" s="32" t="n">
        <f aca="false">AF492+AF494</f>
        <v>9592.34492654589</v>
      </c>
      <c r="AG495" s="32" t="n">
        <f aca="false">AG492+AG494</f>
        <v>9604.95554432298</v>
      </c>
      <c r="AH495" s="32" t="n">
        <f aca="false">AH492+AH494</f>
        <v>9616.34179366096</v>
      </c>
      <c r="AI495" s="32" t="n">
        <f aca="false">AI492+AI494</f>
        <v>9050.463158182</v>
      </c>
      <c r="AJ495" s="32" t="n">
        <f aca="false">AJ492+AJ494</f>
        <v>9059.27940709287</v>
      </c>
      <c r="AK495" s="32" t="n">
        <f aca="false">AK492+AK494</f>
        <v>9066.74790305173</v>
      </c>
      <c r="AL495" s="32" t="n">
        <f aca="false">AL492+AL494</f>
        <v>9072.8253528883</v>
      </c>
      <c r="AM495" s="32" t="n">
        <f aca="false">AM492+AM494</f>
        <v>9077.46733592206</v>
      </c>
      <c r="AN495" s="32" t="n">
        <f aca="false">AN492+AN494</f>
        <v>9080.62827595824</v>
      </c>
      <c r="AO495" s="32" t="n">
        <f aca="false">AO492+AO494</f>
        <v>9082.26141259599</v>
      </c>
      <c r="AP495" s="32" t="n">
        <f aca="false">AP492+AP494</f>
        <v>9082.31877183154</v>
      </c>
      <c r="AQ495" s="32" t="n">
        <f aca="false">AQ492+AQ494</f>
        <v>9080.75113593939</v>
      </c>
      <c r="AR495" s="32" t="n">
        <f aca="false">AR492+AR494</f>
        <v>9077.50801261365</v>
      </c>
      <c r="AS495" s="32" t="n">
        <f aca="false">AS492+AS494</f>
        <v>4536.26880167564</v>
      </c>
    </row>
    <row r="496" customFormat="false" ht="14.25" hidden="false" customHeight="false" outlineLevel="0" collapsed="false">
      <c r="C496" s="6" t="s">
        <v>320</v>
      </c>
      <c r="D496" s="2" t="s">
        <v>85</v>
      </c>
      <c r="H496" s="8" t="n">
        <f aca="false">SUM(J496:AS496)</f>
        <v>46080.0355479452</v>
      </c>
      <c r="J496" s="8" t="n">
        <f aca="false">$G$99*Gearing*J472</f>
        <v>0</v>
      </c>
      <c r="K496" s="8" t="n">
        <f aca="false">$G$99*Gearing*K472</f>
        <v>0</v>
      </c>
      <c r="L496" s="8" t="n">
        <f aca="false">$G$99*Gearing*L472</f>
        <v>0</v>
      </c>
      <c r="M496" s="8" t="n">
        <f aca="false">$G$99*Gearing*M472</f>
        <v>0</v>
      </c>
      <c r="N496" s="8" t="n">
        <f aca="false">$G$99*Gearing*N472</f>
        <v>0</v>
      </c>
      <c r="O496" s="8" t="n">
        <f aca="false">$G$99*Gearing*O472</f>
        <v>46080.0355479452</v>
      </c>
      <c r="P496" s="8" t="n">
        <f aca="false">$G$99*Gearing*P472</f>
        <v>0</v>
      </c>
      <c r="Q496" s="8" t="n">
        <f aca="false">$G$99*Gearing*Q472</f>
        <v>0</v>
      </c>
      <c r="R496" s="8" t="n">
        <f aca="false">$G$99*Gearing*R472</f>
        <v>0</v>
      </c>
      <c r="S496" s="8" t="n">
        <f aca="false">$G$99*Gearing*S472</f>
        <v>0</v>
      </c>
      <c r="T496" s="8" t="n">
        <f aca="false">$G$99*Gearing*T472</f>
        <v>0</v>
      </c>
      <c r="U496" s="8" t="n">
        <f aca="false">$G$99*Gearing*U472</f>
        <v>0</v>
      </c>
      <c r="V496" s="8" t="n">
        <f aca="false">$G$99*Gearing*V472</f>
        <v>0</v>
      </c>
      <c r="W496" s="8" t="n">
        <f aca="false">$G$99*Gearing*W472</f>
        <v>0</v>
      </c>
      <c r="X496" s="8" t="n">
        <f aca="false">$G$99*Gearing*X472</f>
        <v>0</v>
      </c>
      <c r="Y496" s="8" t="n">
        <f aca="false">$G$99*Gearing*Y472</f>
        <v>0</v>
      </c>
      <c r="Z496" s="8" t="n">
        <f aca="false">$G$99*Gearing*Z472</f>
        <v>0</v>
      </c>
      <c r="AA496" s="8" t="n">
        <f aca="false">$G$99*Gearing*AA472</f>
        <v>0</v>
      </c>
      <c r="AB496" s="8" t="n">
        <f aca="false">$G$99*Gearing*AB472</f>
        <v>0</v>
      </c>
      <c r="AC496" s="8" t="n">
        <f aca="false">$G$99*Gearing*AC472</f>
        <v>0</v>
      </c>
      <c r="AD496" s="8" t="n">
        <f aca="false">$G$99*Gearing*AD472</f>
        <v>0</v>
      </c>
      <c r="AE496" s="8" t="n">
        <f aca="false">$G$99*Gearing*AE472</f>
        <v>0</v>
      </c>
      <c r="AF496" s="8" t="n">
        <f aca="false">$G$99*Gearing*AF472</f>
        <v>0</v>
      </c>
      <c r="AG496" s="8" t="n">
        <f aca="false">$G$99*Gearing*AG472</f>
        <v>0</v>
      </c>
      <c r="AH496" s="8" t="n">
        <f aca="false">$G$99*Gearing*AH472</f>
        <v>0</v>
      </c>
      <c r="AI496" s="8" t="n">
        <f aca="false">$G$99*Gearing*AI472</f>
        <v>0</v>
      </c>
      <c r="AJ496" s="8" t="n">
        <f aca="false">$G$99*Gearing*AJ472</f>
        <v>0</v>
      </c>
      <c r="AK496" s="8" t="n">
        <f aca="false">$G$99*Gearing*AK472</f>
        <v>0</v>
      </c>
      <c r="AL496" s="8" t="n">
        <f aca="false">$G$99*Gearing*AL472</f>
        <v>0</v>
      </c>
      <c r="AM496" s="8" t="n">
        <f aca="false">$G$99*Gearing*AM472</f>
        <v>0</v>
      </c>
      <c r="AN496" s="8" t="n">
        <f aca="false">$G$99*Gearing*AN472</f>
        <v>0</v>
      </c>
      <c r="AO496" s="8" t="n">
        <f aca="false">$G$99*Gearing*AO472</f>
        <v>0</v>
      </c>
      <c r="AP496" s="8" t="n">
        <f aca="false">$G$99*Gearing*AP472</f>
        <v>0</v>
      </c>
      <c r="AQ496" s="8" t="n">
        <f aca="false">$G$99*Gearing*AQ472</f>
        <v>0</v>
      </c>
      <c r="AR496" s="8" t="n">
        <f aca="false">$G$99*Gearing*AR472</f>
        <v>0</v>
      </c>
      <c r="AS496" s="8" t="n">
        <f aca="false">$G$99*Gearing*AS472</f>
        <v>0</v>
      </c>
    </row>
    <row r="497" customFormat="false" ht="14.25" hidden="false" customHeight="false" outlineLevel="0" collapsed="false">
      <c r="C497" s="6" t="s">
        <v>321</v>
      </c>
      <c r="D497" s="2" t="s">
        <v>85</v>
      </c>
      <c r="H497" s="8" t="n">
        <f aca="false">SUM(J497:AS497)</f>
        <v>-66591.8405670651</v>
      </c>
      <c r="J497" s="8" t="n">
        <f aca="false">PMT(Debt_Rate,Debt_Tenor,$G$99*Gearing)*(J467&gt;=1)*(J467&lt;=Debt_Tenor)</f>
        <v>-0</v>
      </c>
      <c r="K497" s="8" t="n">
        <f aca="false">PMT(Debt_Rate,Debt_Tenor,$G$99*Gearing)*(K467&gt;=1)*(K467&lt;=Debt_Tenor)</f>
        <v>-0</v>
      </c>
      <c r="L497" s="8" t="n">
        <f aca="false">PMT(Debt_Rate,Debt_Tenor,$G$99*Gearing)*(L467&gt;=1)*(L467&lt;=Debt_Tenor)</f>
        <v>-0</v>
      </c>
      <c r="M497" s="8" t="n">
        <f aca="false">PMT(Debt_Rate,Debt_Tenor,$G$99*Gearing)*(M467&gt;=1)*(M467&lt;=Debt_Tenor)</f>
        <v>-0</v>
      </c>
      <c r="N497" s="8" t="n">
        <f aca="false">PMT(Debt_Rate,Debt_Tenor,$G$99*Gearing)*(N467&gt;=1)*(N467&lt;=Debt_Tenor)</f>
        <v>-0</v>
      </c>
      <c r="O497" s="8" t="n">
        <f aca="false">PMT(Debt_Rate,Debt_Tenor,$G$99*Gearing)*(O467&gt;=1)*(O467&lt;=Debt_Tenor)</f>
        <v>-0</v>
      </c>
      <c r="P497" s="8" t="n">
        <f aca="false">PMT(Debt_Rate,Debt_Tenor,$G$99*Gearing)*(P467&gt;=1)*(P467&lt;=Debt_Tenor)</f>
        <v>-4439.45603780434</v>
      </c>
      <c r="Q497" s="8" t="n">
        <f aca="false">PMT(Debt_Rate,Debt_Tenor,$G$99*Gearing)*(Q467&gt;=1)*(Q467&lt;=Debt_Tenor)</f>
        <v>-4439.45603780434</v>
      </c>
      <c r="R497" s="8" t="n">
        <f aca="false">PMT(Debt_Rate,Debt_Tenor,$G$99*Gearing)*(R467&gt;=1)*(R467&lt;=Debt_Tenor)</f>
        <v>-4439.45603780434</v>
      </c>
      <c r="S497" s="8" t="n">
        <f aca="false">PMT(Debt_Rate,Debt_Tenor,$G$99*Gearing)*(S467&gt;=1)*(S467&lt;=Debt_Tenor)</f>
        <v>-4439.45603780434</v>
      </c>
      <c r="T497" s="8" t="n">
        <f aca="false">PMT(Debt_Rate,Debt_Tenor,$G$99*Gearing)*(T467&gt;=1)*(T467&lt;=Debt_Tenor)</f>
        <v>-4439.45603780434</v>
      </c>
      <c r="U497" s="8" t="n">
        <f aca="false">PMT(Debt_Rate,Debt_Tenor,$G$99*Gearing)*(U467&gt;=1)*(U467&lt;=Debt_Tenor)</f>
        <v>-4439.45603780434</v>
      </c>
      <c r="V497" s="8" t="n">
        <f aca="false">PMT(Debt_Rate,Debt_Tenor,$G$99*Gearing)*(V467&gt;=1)*(V467&lt;=Debt_Tenor)</f>
        <v>-4439.45603780434</v>
      </c>
      <c r="W497" s="8" t="n">
        <f aca="false">PMT(Debt_Rate,Debt_Tenor,$G$99*Gearing)*(W467&gt;=1)*(W467&lt;=Debt_Tenor)</f>
        <v>-4439.45603780434</v>
      </c>
      <c r="X497" s="8" t="n">
        <f aca="false">PMT(Debt_Rate,Debt_Tenor,$G$99*Gearing)*(X467&gt;=1)*(X467&lt;=Debt_Tenor)</f>
        <v>-4439.45603780434</v>
      </c>
      <c r="Y497" s="8" t="n">
        <f aca="false">PMT(Debt_Rate,Debt_Tenor,$G$99*Gearing)*(Y467&gt;=1)*(Y467&lt;=Debt_Tenor)</f>
        <v>-4439.45603780434</v>
      </c>
      <c r="Z497" s="8" t="n">
        <f aca="false">PMT(Debt_Rate,Debt_Tenor,$G$99*Gearing)*(Z467&gt;=1)*(Z467&lt;=Debt_Tenor)</f>
        <v>-4439.45603780434</v>
      </c>
      <c r="AA497" s="8" t="n">
        <f aca="false">PMT(Debt_Rate,Debt_Tenor,$G$99*Gearing)*(AA467&gt;=1)*(AA467&lt;=Debt_Tenor)</f>
        <v>-4439.45603780434</v>
      </c>
      <c r="AB497" s="8" t="n">
        <f aca="false">PMT(Debt_Rate,Debt_Tenor,$G$99*Gearing)*(AB467&gt;=1)*(AB467&lt;=Debt_Tenor)</f>
        <v>-4439.45603780434</v>
      </c>
      <c r="AC497" s="8" t="n">
        <f aca="false">PMT(Debt_Rate,Debt_Tenor,$G$99*Gearing)*(AC467&gt;=1)*(AC467&lt;=Debt_Tenor)</f>
        <v>-4439.45603780434</v>
      </c>
      <c r="AD497" s="8" t="n">
        <f aca="false">PMT(Debt_Rate,Debt_Tenor,$G$99*Gearing)*(AD467&gt;=1)*(AD467&lt;=Debt_Tenor)</f>
        <v>-4439.45603780434</v>
      </c>
      <c r="AE497" s="8" t="n">
        <f aca="false">PMT(Debt_Rate,Debt_Tenor,$G$99*Gearing)*(AE467&gt;=1)*(AE467&lt;=Debt_Tenor)</f>
        <v>-0</v>
      </c>
      <c r="AF497" s="8" t="n">
        <f aca="false">PMT(Debt_Rate,Debt_Tenor,$G$99*Gearing)*(AF467&gt;=1)*(AF467&lt;=Debt_Tenor)</f>
        <v>-0</v>
      </c>
      <c r="AG497" s="8" t="n">
        <f aca="false">PMT(Debt_Rate,Debt_Tenor,$G$99*Gearing)*(AG467&gt;=1)*(AG467&lt;=Debt_Tenor)</f>
        <v>-0</v>
      </c>
      <c r="AH497" s="8" t="n">
        <f aca="false">PMT(Debt_Rate,Debt_Tenor,$G$99*Gearing)*(AH467&gt;=1)*(AH467&lt;=Debt_Tenor)</f>
        <v>-0</v>
      </c>
      <c r="AI497" s="8" t="n">
        <f aca="false">PMT(Debt_Rate,Debt_Tenor,$G$99*Gearing)*(AI467&gt;=1)*(AI467&lt;=Debt_Tenor)</f>
        <v>-0</v>
      </c>
      <c r="AJ497" s="8" t="n">
        <f aca="false">PMT(Debt_Rate,Debt_Tenor,$G$99*Gearing)*(AJ467&gt;=1)*(AJ467&lt;=Debt_Tenor)</f>
        <v>-0</v>
      </c>
      <c r="AK497" s="8" t="n">
        <f aca="false">PMT(Debt_Rate,Debt_Tenor,$G$99*Gearing)*(AK467&gt;=1)*(AK467&lt;=Debt_Tenor)</f>
        <v>-0</v>
      </c>
      <c r="AL497" s="8" t="n">
        <f aca="false">PMT(Debt_Rate,Debt_Tenor,$G$99*Gearing)*(AL467&gt;=1)*(AL467&lt;=Debt_Tenor)</f>
        <v>-0</v>
      </c>
      <c r="AM497" s="8" t="n">
        <f aca="false">PMT(Debt_Rate,Debt_Tenor,$G$99*Gearing)*(AM467&gt;=1)*(AM467&lt;=Debt_Tenor)</f>
        <v>-0</v>
      </c>
      <c r="AN497" s="8" t="n">
        <f aca="false">PMT(Debt_Rate,Debt_Tenor,$G$99*Gearing)*(AN467&gt;=1)*(AN467&lt;=Debt_Tenor)</f>
        <v>-0</v>
      </c>
      <c r="AO497" s="8" t="n">
        <f aca="false">PMT(Debt_Rate,Debt_Tenor,$G$99*Gearing)*(AO467&gt;=1)*(AO467&lt;=Debt_Tenor)</f>
        <v>-0</v>
      </c>
      <c r="AP497" s="8" t="n">
        <f aca="false">PMT(Debt_Rate,Debt_Tenor,$G$99*Gearing)*(AP467&gt;=1)*(AP467&lt;=Debt_Tenor)</f>
        <v>-0</v>
      </c>
      <c r="AQ497" s="8" t="n">
        <f aca="false">PMT(Debt_Rate,Debt_Tenor,$G$99*Gearing)*(AQ467&gt;=1)*(AQ467&lt;=Debt_Tenor)</f>
        <v>-0</v>
      </c>
      <c r="AR497" s="8" t="n">
        <f aca="false">PMT(Debt_Rate,Debt_Tenor,$G$99*Gearing)*(AR467&gt;=1)*(AR467&lt;=Debt_Tenor)</f>
        <v>-0</v>
      </c>
      <c r="AS497" s="8" t="n">
        <f aca="false">PMT(Debt_Rate,Debt_Tenor,$G$99*Gearing)*(AS467&gt;=1)*(AS467&lt;=Debt_Tenor)</f>
        <v>-0</v>
      </c>
    </row>
    <row r="498" customFormat="false" ht="14.25" hidden="false" customHeight="false" outlineLevel="0" collapsed="false">
      <c r="C498" s="6" t="s">
        <v>322</v>
      </c>
      <c r="D498" s="2" t="s">
        <v>85</v>
      </c>
      <c r="H498" s="8" t="n">
        <f aca="false">SUM(J498:AS498)</f>
        <v>-20511.8050191199</v>
      </c>
      <c r="J498" s="8" t="n">
        <f aca="false">-I500*Debt_Rate*(J467&gt;=1)</f>
        <v>-0</v>
      </c>
      <c r="K498" s="8" t="n">
        <f aca="false">-J500*Debt_Rate*(K467&gt;=1)</f>
        <v>-0</v>
      </c>
      <c r="L498" s="8" t="n">
        <f aca="false">-K500*Debt_Rate*(L467&gt;=1)</f>
        <v>-0</v>
      </c>
      <c r="M498" s="8" t="n">
        <f aca="false">-L500*Debt_Rate*(M467&gt;=1)</f>
        <v>-0</v>
      </c>
      <c r="N498" s="8" t="n">
        <f aca="false">-M500*Debt_Rate*(N467&gt;=1)</f>
        <v>-0</v>
      </c>
      <c r="O498" s="8" t="n">
        <f aca="false">-N500*Debt_Rate*(O467&gt;=1)</f>
        <v>-0</v>
      </c>
      <c r="P498" s="8" t="n">
        <f aca="false">-O500*Debt_Rate*(P467&gt;=1)</f>
        <v>-2304.00177739726</v>
      </c>
      <c r="Q498" s="8" t="n">
        <f aca="false">-P500*Debt_Rate*(Q467&gt;=1)</f>
        <v>-2197.22906437691</v>
      </c>
      <c r="R498" s="8" t="n">
        <f aca="false">-Q500*Debt_Rate*(R467&gt;=1)</f>
        <v>-2085.11771570553</v>
      </c>
      <c r="S498" s="8" t="n">
        <f aca="false">-R500*Debt_Rate*(S467&gt;=1)</f>
        <v>-1967.40079960059</v>
      </c>
      <c r="T498" s="8" t="n">
        <f aca="false">-S500*Debt_Rate*(T467&gt;=1)</f>
        <v>-1843.79803769041</v>
      </c>
      <c r="U498" s="8" t="n">
        <f aca="false">-T500*Debt_Rate*(U467&gt;=1)</f>
        <v>-1714.01513768471</v>
      </c>
      <c r="V498" s="8" t="n">
        <f aca="false">-U500*Debt_Rate*(V467&gt;=1)</f>
        <v>-1577.74309267873</v>
      </c>
      <c r="W498" s="8" t="n">
        <f aca="false">-V500*Debt_Rate*(W467&gt;=1)</f>
        <v>-1434.65744542245</v>
      </c>
      <c r="X498" s="8" t="n">
        <f aca="false">-W500*Debt_Rate*(X467&gt;=1)</f>
        <v>-1284.41751580335</v>
      </c>
      <c r="Y498" s="8" t="n">
        <f aca="false">-X500*Debt_Rate*(Y467&gt;=1)</f>
        <v>-1126.6655897033</v>
      </c>
      <c r="Z498" s="8" t="n">
        <f aca="false">-Y500*Debt_Rate*(Z467&gt;=1)</f>
        <v>-961.026067298251</v>
      </c>
      <c r="AA498" s="8" t="n">
        <f aca="false">-Z500*Debt_Rate*(AA467&gt;=1)</f>
        <v>-787.104568772946</v>
      </c>
      <c r="AB498" s="8" t="n">
        <f aca="false">-AA500*Debt_Rate*(AB467&gt;=1)</f>
        <v>-604.486995321376</v>
      </c>
      <c r="AC498" s="8" t="n">
        <f aca="false">-AB500*Debt_Rate*(AC467&gt;=1)</f>
        <v>-412.738543197228</v>
      </c>
      <c r="AD498" s="8" t="n">
        <f aca="false">-AC500*Debt_Rate*(AD467&gt;=1)</f>
        <v>-211.402668466872</v>
      </c>
      <c r="AE498" s="8" t="n">
        <f aca="false">-AD500*Debt_Rate*(AE467&gt;=1)</f>
        <v>1.36424205265939E-012</v>
      </c>
      <c r="AF498" s="8" t="n">
        <f aca="false">-AE500*Debt_Rate*(AF467&gt;=1)</f>
        <v>1.43245415529236E-012</v>
      </c>
      <c r="AG498" s="8" t="n">
        <f aca="false">-AF500*Debt_Rate*(AG467&gt;=1)</f>
        <v>1.50407686305698E-012</v>
      </c>
      <c r="AH498" s="8" t="n">
        <f aca="false">-AG500*Debt_Rate*(AH467&gt;=1)</f>
        <v>1.57928070620983E-012</v>
      </c>
      <c r="AI498" s="8" t="n">
        <f aca="false">-AH500*Debt_Rate*(AI467&gt;=1)</f>
        <v>1.65824474152032E-012</v>
      </c>
      <c r="AJ498" s="8" t="n">
        <f aca="false">-AI500*Debt_Rate*(AJ467&gt;=1)</f>
        <v>1.74115697859634E-012</v>
      </c>
      <c r="AK498" s="8" t="n">
        <f aca="false">-AJ500*Debt_Rate*(AK467&gt;=1)</f>
        <v>1.82821482752615E-012</v>
      </c>
      <c r="AL498" s="8" t="n">
        <f aca="false">-AK500*Debt_Rate*(AL467&gt;=1)</f>
        <v>1.91962556890246E-012</v>
      </c>
      <c r="AM498" s="8" t="n">
        <f aca="false">-AL500*Debt_Rate*(AM467&gt;=1)</f>
        <v>2.01560684734758E-012</v>
      </c>
      <c r="AN498" s="8" t="n">
        <f aca="false">-AM500*Debt_Rate*(AN467&gt;=1)</f>
        <v>2.11638718971496E-012</v>
      </c>
      <c r="AO498" s="8" t="n">
        <f aca="false">-AN500*Debt_Rate*(AO467&gt;=1)</f>
        <v>2.22220654920071E-012</v>
      </c>
      <c r="AP498" s="8" t="n">
        <f aca="false">-AO500*Debt_Rate*(AP467&gt;=1)</f>
        <v>2.33331687666075E-012</v>
      </c>
      <c r="AQ498" s="8" t="n">
        <f aca="false">-AP500*Debt_Rate*(AQ467&gt;=1)</f>
        <v>2.44998272049379E-012</v>
      </c>
      <c r="AR498" s="8" t="n">
        <f aca="false">-AQ500*Debt_Rate*(AR467&gt;=1)</f>
        <v>2.57248185651847E-012</v>
      </c>
      <c r="AS498" s="8" t="n">
        <f aca="false">-AR500*Debt_Rate*(AS467&gt;=1)</f>
        <v>2.7011059493444E-012</v>
      </c>
    </row>
    <row r="499" customFormat="false" ht="14.25" hidden="false" customHeight="false" outlineLevel="0" collapsed="false">
      <c r="C499" s="6" t="s">
        <v>323</v>
      </c>
      <c r="D499" s="2" t="s">
        <v>85</v>
      </c>
      <c r="H499" s="8" t="n">
        <f aca="false">SUM(J499:AS499)</f>
        <v>-46080.0355479453</v>
      </c>
      <c r="J499" s="8" t="n">
        <f aca="false">J497-J498</f>
        <v>0</v>
      </c>
      <c r="K499" s="8" t="n">
        <f aca="false">K497-K498</f>
        <v>0</v>
      </c>
      <c r="L499" s="8" t="n">
        <f aca="false">L497-L498</f>
        <v>0</v>
      </c>
      <c r="M499" s="8" t="n">
        <f aca="false">M497-M498</f>
        <v>0</v>
      </c>
      <c r="N499" s="8" t="n">
        <f aca="false">N497-N498</f>
        <v>0</v>
      </c>
      <c r="O499" s="8" t="n">
        <f aca="false">O497-O498</f>
        <v>0</v>
      </c>
      <c r="P499" s="8" t="n">
        <f aca="false">P497-P498</f>
        <v>-2135.45426040708</v>
      </c>
      <c r="Q499" s="8" t="n">
        <f aca="false">Q497-Q498</f>
        <v>-2242.22697342744</v>
      </c>
      <c r="R499" s="8" t="n">
        <f aca="false">R497-R498</f>
        <v>-2354.33832209881</v>
      </c>
      <c r="S499" s="8" t="n">
        <f aca="false">S497-S498</f>
        <v>-2472.05523820375</v>
      </c>
      <c r="T499" s="8" t="n">
        <f aca="false">T497-T498</f>
        <v>-2595.65800011394</v>
      </c>
      <c r="U499" s="8" t="n">
        <f aca="false">U497-U498</f>
        <v>-2725.44090011963</v>
      </c>
      <c r="V499" s="8" t="n">
        <f aca="false">V497-V498</f>
        <v>-2861.71294512561</v>
      </c>
      <c r="W499" s="8" t="n">
        <f aca="false">W497-W498</f>
        <v>-3004.7985923819</v>
      </c>
      <c r="X499" s="8" t="n">
        <f aca="false">X497-X498</f>
        <v>-3155.03852200099</v>
      </c>
      <c r="Y499" s="8" t="n">
        <f aca="false">Y497-Y498</f>
        <v>-3312.79044810104</v>
      </c>
      <c r="Z499" s="8" t="n">
        <f aca="false">Z497-Z498</f>
        <v>-3478.42997050609</v>
      </c>
      <c r="AA499" s="8" t="n">
        <f aca="false">AA497-AA498</f>
        <v>-3652.3514690314</v>
      </c>
      <c r="AB499" s="8" t="n">
        <f aca="false">AB497-AB498</f>
        <v>-3834.96904248297</v>
      </c>
      <c r="AC499" s="8" t="n">
        <f aca="false">AC497-AC498</f>
        <v>-4026.71749460711</v>
      </c>
      <c r="AD499" s="8" t="n">
        <f aca="false">AD497-AD498</f>
        <v>-4228.05336933747</v>
      </c>
      <c r="AE499" s="8" t="n">
        <f aca="false">AE497-AE498</f>
        <v>-1.36424205265939E-012</v>
      </c>
      <c r="AF499" s="8" t="n">
        <f aca="false">AF497-AF498</f>
        <v>-1.43245415529236E-012</v>
      </c>
      <c r="AG499" s="8" t="n">
        <f aca="false">AG497-AG498</f>
        <v>-1.50407686305698E-012</v>
      </c>
      <c r="AH499" s="8" t="n">
        <f aca="false">AH497-AH498</f>
        <v>-1.57928070620983E-012</v>
      </c>
      <c r="AI499" s="8" t="n">
        <f aca="false">AI497-AI498</f>
        <v>-1.65824474152032E-012</v>
      </c>
      <c r="AJ499" s="8" t="n">
        <f aca="false">AJ497-AJ498</f>
        <v>-1.74115697859634E-012</v>
      </c>
      <c r="AK499" s="8" t="n">
        <f aca="false">AK497-AK498</f>
        <v>-1.82821482752615E-012</v>
      </c>
      <c r="AL499" s="8" t="n">
        <f aca="false">AL497-AL498</f>
        <v>-1.91962556890246E-012</v>
      </c>
      <c r="AM499" s="8" t="n">
        <f aca="false">AM497-AM498</f>
        <v>-2.01560684734758E-012</v>
      </c>
      <c r="AN499" s="8" t="n">
        <f aca="false">AN497-AN498</f>
        <v>-2.11638718971496E-012</v>
      </c>
      <c r="AO499" s="8" t="n">
        <f aca="false">AO497-AO498</f>
        <v>-2.22220654920071E-012</v>
      </c>
      <c r="AP499" s="8" t="n">
        <f aca="false">AP497-AP498</f>
        <v>-2.33331687666075E-012</v>
      </c>
      <c r="AQ499" s="8" t="n">
        <f aca="false">AQ497-AQ498</f>
        <v>-2.44998272049379E-012</v>
      </c>
      <c r="AR499" s="8" t="n">
        <f aca="false">AR497-AR498</f>
        <v>-2.57248185651847E-012</v>
      </c>
      <c r="AS499" s="8" t="n">
        <f aca="false">AS497-AS498</f>
        <v>-2.7011059493444E-012</v>
      </c>
    </row>
    <row r="500" customFormat="false" ht="14.25" hidden="false" customHeight="false" outlineLevel="0" collapsed="false">
      <c r="C500" s="6" t="s">
        <v>324</v>
      </c>
      <c r="D500" s="2" t="s">
        <v>85</v>
      </c>
      <c r="H500" s="8"/>
      <c r="J500" s="8" t="n">
        <f aca="false">I500+J496+J499</f>
        <v>0</v>
      </c>
      <c r="K500" s="8" t="n">
        <f aca="false">J500+K496+K499</f>
        <v>0</v>
      </c>
      <c r="L500" s="8" t="n">
        <f aca="false">K500+L496+L499</f>
        <v>0</v>
      </c>
      <c r="M500" s="8" t="n">
        <f aca="false">L500+M496+M499</f>
        <v>0</v>
      </c>
      <c r="N500" s="8" t="n">
        <f aca="false">M500+N496+N499</f>
        <v>0</v>
      </c>
      <c r="O500" s="8" t="n">
        <f aca="false">N500+O496+O499</f>
        <v>46080.0355479452</v>
      </c>
      <c r="P500" s="8" t="n">
        <f aca="false">O500+P496+P499</f>
        <v>43944.5812875381</v>
      </c>
      <c r="Q500" s="8" t="n">
        <f aca="false">P500+Q496+Q499</f>
        <v>41702.3543141107</v>
      </c>
      <c r="R500" s="8" t="n">
        <f aca="false">Q500+R496+R499</f>
        <v>39348.0159920119</v>
      </c>
      <c r="S500" s="8" t="n">
        <f aca="false">R500+S496+S499</f>
        <v>36875.9607538081</v>
      </c>
      <c r="T500" s="8" t="n">
        <f aca="false">S500+T496+T499</f>
        <v>34280.3027536942</v>
      </c>
      <c r="U500" s="8" t="n">
        <f aca="false">T500+U496+U499</f>
        <v>31554.8618535746</v>
      </c>
      <c r="V500" s="8" t="n">
        <f aca="false">U500+V496+V499</f>
        <v>28693.1489084489</v>
      </c>
      <c r="W500" s="8" t="n">
        <f aca="false">V500+W496+W499</f>
        <v>25688.350316067</v>
      </c>
      <c r="X500" s="8" t="n">
        <f aca="false">W500+X496+X499</f>
        <v>22533.3117940661</v>
      </c>
      <c r="Y500" s="8" t="n">
        <f aca="false">X500+Y496+Y499</f>
        <v>19220.521345965</v>
      </c>
      <c r="Z500" s="8" t="n">
        <f aca="false">Y500+Z496+Z499</f>
        <v>15742.0913754589</v>
      </c>
      <c r="AA500" s="8" t="n">
        <f aca="false">Z500+AA496+AA499</f>
        <v>12089.7399064275</v>
      </c>
      <c r="AB500" s="8" t="n">
        <f aca="false">AA500+AB496+AB499</f>
        <v>8254.77086394456</v>
      </c>
      <c r="AC500" s="8" t="n">
        <f aca="false">AB500+AC496+AC499</f>
        <v>4228.05336933744</v>
      </c>
      <c r="AD500" s="8" t="n">
        <f aca="false">AC500+AD496+AD499</f>
        <v>-2.72848410531878E-011</v>
      </c>
      <c r="AE500" s="8" t="n">
        <f aca="false">AD500+AE496+AE499</f>
        <v>-2.86490831058472E-011</v>
      </c>
      <c r="AF500" s="8" t="n">
        <f aca="false">AE500+AF496+AF499</f>
        <v>-3.00815372611396E-011</v>
      </c>
      <c r="AG500" s="8" t="n">
        <f aca="false">AF500+AG496+AG499</f>
        <v>-3.15856141241966E-011</v>
      </c>
      <c r="AH500" s="8" t="n">
        <f aca="false">AG500+AH496+AH499</f>
        <v>-3.31648948304064E-011</v>
      </c>
      <c r="AI500" s="8" t="n">
        <f aca="false">AH500+AI496+AI499</f>
        <v>-3.48231395719267E-011</v>
      </c>
      <c r="AJ500" s="8" t="n">
        <f aca="false">AI500+AJ496+AJ499</f>
        <v>-3.65642965505231E-011</v>
      </c>
      <c r="AK500" s="8" t="n">
        <f aca="false">AJ500+AK496+AK499</f>
        <v>-3.83925113780492E-011</v>
      </c>
      <c r="AL500" s="8" t="n">
        <f aca="false">AK500+AL496+AL499</f>
        <v>-4.03121369469517E-011</v>
      </c>
      <c r="AM500" s="8" t="n">
        <f aca="false">AL500+AM496+AM499</f>
        <v>-4.23277437942993E-011</v>
      </c>
      <c r="AN500" s="8" t="n">
        <f aca="false">AM500+AN496+AN499</f>
        <v>-4.44441309840142E-011</v>
      </c>
      <c r="AO500" s="8" t="n">
        <f aca="false">AN500+AO496+AO499</f>
        <v>-4.6666337533215E-011</v>
      </c>
      <c r="AP500" s="8" t="n">
        <f aca="false">AO500+AP496+AP499</f>
        <v>-4.89996544098757E-011</v>
      </c>
      <c r="AQ500" s="8" t="n">
        <f aca="false">AP500+AQ496+AQ499</f>
        <v>-5.14496371303695E-011</v>
      </c>
      <c r="AR500" s="8" t="n">
        <f aca="false">AQ500+AR496+AR499</f>
        <v>-5.4022118986888E-011</v>
      </c>
      <c r="AS500" s="8" t="n">
        <f aca="false">AR500+AS496+AS499</f>
        <v>-5.67232249362324E-011</v>
      </c>
    </row>
    <row r="501" customFormat="false" ht="14.25" hidden="false" customHeight="false" outlineLevel="0" collapsed="false">
      <c r="C501" s="6" t="s">
        <v>325</v>
      </c>
      <c r="D501" s="2" t="s">
        <v>85</v>
      </c>
      <c r="H501" s="8" t="n">
        <f aca="false">SUM(J501:AS501)</f>
        <v>-32758.9685760495</v>
      </c>
      <c r="J501" s="8" t="n">
        <f aca="false">-MAX(0,J491+J493+J498)*CIT_Rate*(J471&gt;0)</f>
        <v>-0</v>
      </c>
      <c r="K501" s="8" t="n">
        <f aca="false">-MAX(0,K491+K493+K498)*CIT_Rate*(K471&gt;0)</f>
        <v>-0</v>
      </c>
      <c r="L501" s="8" t="n">
        <f aca="false">-MAX(0,L491+L493+L498)*CIT_Rate*(L471&gt;0)</f>
        <v>-0</v>
      </c>
      <c r="M501" s="8" t="n">
        <f aca="false">-MAX(0,M491+M493+M498)*CIT_Rate*(M471&gt;0)</f>
        <v>-0</v>
      </c>
      <c r="N501" s="8" t="n">
        <f aca="false">-MAX(0,N491+N493+N498)*CIT_Rate*(N471&gt;0)</f>
        <v>-0</v>
      </c>
      <c r="O501" s="8" t="n">
        <f aca="false">-MAX(0,O491+O493+O498)*CIT_Rate*(O471&gt;0)</f>
        <v>-184.465323250685</v>
      </c>
      <c r="P501" s="8" t="n">
        <f aca="false">-MAX(0,P491+P493+P498)*CIT_Rate*(P471&gt;0)</f>
        <v>-609.647071343096</v>
      </c>
      <c r="Q501" s="8" t="n">
        <f aca="false">-MAX(0,Q491+Q493+Q498)*CIT_Rate*(Q471&gt;0)</f>
        <v>-630.518329022906</v>
      </c>
      <c r="R501" s="8" t="n">
        <f aca="false">-MAX(0,R491+R493+R498)*CIT_Rate*(R471&gt;0)</f>
        <v>-652.065673789328</v>
      </c>
      <c r="S501" s="8" t="n">
        <f aca="false">-MAX(0,S491+S493+S498)*CIT_Rate*(S471&gt;0)</f>
        <v>-674.324488877641</v>
      </c>
      <c r="T501" s="8" t="n">
        <f aca="false">-MAX(0,T491+T493+T498)*CIT_Rate*(T471&gt;0)</f>
        <v>-697.332034849061</v>
      </c>
      <c r="U501" s="8" t="n">
        <f aca="false">-MAX(0,U491+U493+U498)*CIT_Rate*(U471&gt;0)</f>
        <v>-721.127546574568</v>
      </c>
      <c r="V501" s="8" t="n">
        <f aca="false">-MAX(0,V491+V493+V498)*CIT_Rate*(V471&gt;0)</f>
        <v>-745.752335147106</v>
      </c>
      <c r="W501" s="8" t="n">
        <f aca="false">-MAX(0,W491+W493+W498)*CIT_Rate*(W471&gt;0)</f>
        <v>-771.249894970495</v>
      </c>
      <c r="X501" s="8" t="n">
        <f aca="false">-MAX(0,X491+X493+X498)*CIT_Rate*(X471&gt;0)</f>
        <v>-797.666016285915</v>
      </c>
      <c r="Y501" s="8" t="n">
        <f aca="false">-MAX(0,Y491+Y493+Y498)*CIT_Rate*(Y471&gt;0)</f>
        <v>-825.048903409881</v>
      </c>
      <c r="Z501" s="8" t="n">
        <f aca="false">-MAX(0,Z491+Z493+Z498)*CIT_Rate*(Z471&gt;0)</f>
        <v>-853.449298971383</v>
      </c>
      <c r="AA501" s="8" t="n">
        <f aca="false">-MAX(0,AA491+AA493+AA498)*CIT_Rate*(AA471&gt;0)</f>
        <v>-882.920614450292</v>
      </c>
      <c r="AB501" s="8" t="n">
        <f aca="false">-MAX(0,AB491+AB493+AB498)*CIT_Rate*(AB471&gt;0)</f>
        <v>-913.519067334319</v>
      </c>
      <c r="AC501" s="8" t="n">
        <f aca="false">-MAX(0,AC491+AC493+AC498)*CIT_Rate*(AC471&gt;0)</f>
        <v>-945.303825227687</v>
      </c>
      <c r="AD501" s="8" t="n">
        <f aca="false">-MAX(0,AD491+AD493+AD498)*CIT_Rate*(AD471&gt;0)</f>
        <v>-978.337157261434</v>
      </c>
      <c r="AE501" s="8" t="n">
        <f aca="false">-MAX(0,AE491+AE493+AE498)*CIT_Rate*(AE471&gt;0)</f>
        <v>-1012.68459317279</v>
      </c>
      <c r="AF501" s="8" t="n">
        <f aca="false">-MAX(0,AF491+AF493+AF498)*CIT_Rate*(AF471&gt;0)</f>
        <v>-1015.11917015596</v>
      </c>
      <c r="AG501" s="8" t="n">
        <f aca="false">-MAX(0,AG491+AG493+AG498)*CIT_Rate*(AG471&gt;0)</f>
        <v>-1017.3445732931</v>
      </c>
      <c r="AH501" s="8" t="n">
        <f aca="false">-MAX(0,AH491+AH493+AH498)*CIT_Rate*(AH471&gt;0)</f>
        <v>-1019.35391141156</v>
      </c>
      <c r="AI501" s="8" t="n">
        <f aca="false">-MAX(0,AI491+AI493+AI498)*CIT_Rate*(AI471&gt;0)</f>
        <v>-1597.14055732624</v>
      </c>
      <c r="AJ501" s="8" t="n">
        <f aca="false">-MAX(0,AJ491+AJ493+AJ498)*CIT_Rate*(AJ471&gt;0)</f>
        <v>-1598.69636595756</v>
      </c>
      <c r="AK501" s="8" t="n">
        <f aca="false">-MAX(0,AK491+AK493+AK498)*CIT_Rate*(AK471&gt;0)</f>
        <v>-1600.01433583266</v>
      </c>
      <c r="AL501" s="8" t="n">
        <f aca="false">-MAX(0,AL491+AL493+AL498)*CIT_Rate*(AL471&gt;0)</f>
        <v>-1601.08682698029</v>
      </c>
      <c r="AM501" s="8" t="n">
        <f aca="false">-MAX(0,AM491+AM493+AM498)*CIT_Rate*(AM471&gt;0)</f>
        <v>-1601.90600045683</v>
      </c>
      <c r="AN501" s="8" t="n">
        <f aca="false">-MAX(0,AN491+AN493+AN498)*CIT_Rate*(AN471&gt;0)</f>
        <v>-1602.4638134044</v>
      </c>
      <c r="AO501" s="8" t="n">
        <f aca="false">-MAX(0,AO491+AO493+AO498)*CIT_Rate*(AO471&gt;0)</f>
        <v>-1602.75201398753</v>
      </c>
      <c r="AP501" s="8" t="n">
        <f aca="false">-MAX(0,AP491+AP493+AP498)*CIT_Rate*(AP471&gt;0)</f>
        <v>-1602.76213620557</v>
      </c>
      <c r="AQ501" s="8" t="n">
        <f aca="false">-MAX(0,AQ491+AQ493+AQ498)*CIT_Rate*(AQ471&gt;0)</f>
        <v>-1602.48549457754</v>
      </c>
      <c r="AR501" s="8" t="n">
        <f aca="false">-MAX(0,AR491+AR493+AR498)*CIT_Rate*(AR471&gt;0)</f>
        <v>-1601.91317869653</v>
      </c>
      <c r="AS501" s="8" t="n">
        <f aca="false">-MAX(0,AS491+AS493+AS498)*CIT_Rate*(AS471&gt;0)</f>
        <v>-800.518023825113</v>
      </c>
    </row>
    <row r="502" customFormat="false" ht="14.25" hidden="false" customHeight="false" outlineLevel="0" collapsed="false">
      <c r="C502" s="1" t="s">
        <v>163</v>
      </c>
      <c r="D502" s="2" t="s">
        <v>85</v>
      </c>
      <c r="H502" s="32" t="n">
        <f aca="false">SUM(J502:AS502)</f>
        <v>185634.15526428</v>
      </c>
      <c r="J502" s="32" t="n">
        <f aca="false">J492+J496+J497+J501</f>
        <v>0</v>
      </c>
      <c r="K502" s="32" t="n">
        <f aca="false">K492+K496+K497+K501</f>
        <v>0</v>
      </c>
      <c r="L502" s="32" t="n">
        <f aca="false">L492+L496+L497+L501</f>
        <v>0</v>
      </c>
      <c r="M502" s="32" t="n">
        <f aca="false">M492+M496+M497+M501</f>
        <v>-29757.5797945206</v>
      </c>
      <c r="N502" s="32" t="n">
        <f aca="false">N492+N496+N497+N501</f>
        <v>-31358</v>
      </c>
      <c r="O502" s="32" t="n">
        <f aca="false">O492+O496+O497+O501</f>
        <v>32786.3420086945</v>
      </c>
      <c r="P502" s="32" t="n">
        <f aca="false">P492+P496+P497+P501</f>
        <v>5159.21543953256</v>
      </c>
      <c r="Q502" s="32" t="n">
        <f aca="false">Q492+Q496+Q497+Q501</f>
        <v>7665.23373464301</v>
      </c>
      <c r="R502" s="32" t="n">
        <f aca="false">R492+R496+R497+R501</f>
        <v>5180.70345836949</v>
      </c>
      <c r="S502" s="32" t="n">
        <f aca="false">S492+S496+S497+S501</f>
        <v>5189.11982776499</v>
      </c>
      <c r="T502" s="32" t="n">
        <f aca="false">T492+T496+T497+T501</f>
        <v>5195.89315969284</v>
      </c>
      <c r="U502" s="32" t="n">
        <f aca="false">U492+U496+U497+U501</f>
        <v>5200.95149279836</v>
      </c>
      <c r="V502" s="32" t="n">
        <f aca="false">V492+V496+V497+V501</f>
        <v>5204.21991637009</v>
      </c>
      <c r="W502" s="32" t="n">
        <f aca="false">W492+W496+W497+W501</f>
        <v>5205.62044144634</v>
      </c>
      <c r="X502" s="32" t="n">
        <f aca="false">X492+X496+X497+X501</f>
        <v>5205.07186594796</v>
      </c>
      <c r="Y502" s="32" t="n">
        <f aca="false">Y492+Y496+Y497+Y501</f>
        <v>5202.48963355039</v>
      </c>
      <c r="Z502" s="32" t="n">
        <f aca="false">Z492+Z496+Z497+Z501</f>
        <v>5197.78568599385</v>
      </c>
      <c r="AA502" s="32" t="n">
        <f aca="false">AA492+AA496+AA497+AA501</f>
        <v>5190.86830851569</v>
      </c>
      <c r="AB502" s="32" t="n">
        <f aca="false">AB492+AB496+AB497+AB501</f>
        <v>5181.64196807361</v>
      </c>
      <c r="AC502" s="32" t="n">
        <f aca="false">AC492+AC496+AC497+AC501</f>
        <v>5170.00714401188</v>
      </c>
      <c r="AD502" s="32" t="n">
        <f aca="false">AD492+AD496+AD497+AD501</f>
        <v>5155.86015080609</v>
      </c>
      <c r="AE502" s="32" t="n">
        <f aca="false">AE492+AE496+AE497+AE501</f>
        <v>9578.5489903079</v>
      </c>
      <c r="AF502" s="32" t="n">
        <f aca="false">AF492+AF496+AF497+AF501</f>
        <v>9592.34492654589</v>
      </c>
      <c r="AG502" s="32" t="n">
        <f aca="false">AG492+AG496+AG497+AG501</f>
        <v>9604.95554432298</v>
      </c>
      <c r="AH502" s="32" t="n">
        <f aca="false">AH492+AH496+AH497+AH501</f>
        <v>9616.34179366096</v>
      </c>
      <c r="AI502" s="32" t="n">
        <f aca="false">AI492+AI496+AI497+AI501</f>
        <v>9050.463158182</v>
      </c>
      <c r="AJ502" s="32" t="n">
        <f aca="false">AJ492+AJ496+AJ497+AJ501</f>
        <v>9059.27940709287</v>
      </c>
      <c r="AK502" s="32" t="n">
        <f aca="false">AK492+AK496+AK497+AK501</f>
        <v>9066.74790305173</v>
      </c>
      <c r="AL502" s="32" t="n">
        <f aca="false">AL492+AL496+AL497+AL501</f>
        <v>9072.8253528883</v>
      </c>
      <c r="AM502" s="32" t="n">
        <f aca="false">AM492+AM496+AM497+AM501</f>
        <v>9077.46733592206</v>
      </c>
      <c r="AN502" s="32" t="n">
        <f aca="false">AN492+AN496+AN497+AN501</f>
        <v>9080.62827595824</v>
      </c>
      <c r="AO502" s="32" t="n">
        <f aca="false">AO492+AO496+AO497+AO501</f>
        <v>9082.26141259599</v>
      </c>
      <c r="AP502" s="32" t="n">
        <f aca="false">AP492+AP496+AP497+AP501</f>
        <v>9082.31877183154</v>
      </c>
      <c r="AQ502" s="32" t="n">
        <f aca="false">AQ492+AQ496+AQ497+AQ501</f>
        <v>9080.75113593939</v>
      </c>
      <c r="AR502" s="32" t="n">
        <f aca="false">AR492+AR496+AR497+AR501</f>
        <v>9077.50801261365</v>
      </c>
      <c r="AS502" s="32" t="n">
        <f aca="false">AS492+AS496+AS497+AS501</f>
        <v>4536.26880167564</v>
      </c>
    </row>
    <row r="503" customFormat="false" ht="14.25" hidden="false" customHeight="false" outlineLevel="0" collapsed="false">
      <c r="C503" s="6" t="s">
        <v>326</v>
      </c>
      <c r="D503" s="2" t="s">
        <v>3</v>
      </c>
      <c r="H503" s="47" t="n">
        <f aca="false">MIN(J503:AS503)</f>
        <v>2.29945255944663</v>
      </c>
      <c r="J503" s="47" t="str">
        <f aca="false">IF(J497&lt;0,-J491/J497,"")</f>
        <v/>
      </c>
      <c r="K503" s="47" t="str">
        <f aca="false">IF(K497&lt;0,-K491/K497,"")</f>
        <v/>
      </c>
      <c r="L503" s="47" t="str">
        <f aca="false">IF(L497&lt;0,-L491/L497,"")</f>
        <v/>
      </c>
      <c r="M503" s="47" t="str">
        <f aca="false">IF(M497&lt;0,-M491/M497,"")</f>
        <v/>
      </c>
      <c r="N503" s="47" t="str">
        <f aca="false">IF(N497&lt;0,-N491/N497,"")</f>
        <v/>
      </c>
      <c r="O503" s="47" t="str">
        <f aca="false">IF(O497&lt;0,-O491/O497,"")</f>
        <v/>
      </c>
      <c r="P503" s="47" t="n">
        <f aca="false">IF(P497&lt;0,-P491/P497,"")</f>
        <v>2.29945255944663</v>
      </c>
      <c r="Q503" s="47" t="n">
        <f aca="false">IF(Q497&lt;0,-Q491/Q497,"")</f>
        <v>2.3067437691285</v>
      </c>
      <c r="R503" s="47" t="n">
        <f aca="false">IF(R497&lt;0,-R491/R497,"")</f>
        <v>2.31384770622564</v>
      </c>
      <c r="S503" s="47" t="n">
        <f aca="false">IF(S497&lt;0,-S491/S497,"")</f>
        <v>2.32075737809143</v>
      </c>
      <c r="T503" s="47" t="n">
        <f aca="false">IF(T497&lt;0,-T491/T497,"")</f>
        <v>2.32746560487545</v>
      </c>
      <c r="U503" s="47" t="n">
        <f aca="false">IF(U497&lt;0,-U491/U497,"")</f>
        <v>2.33396501484489</v>
      </c>
      <c r="V503" s="47" t="n">
        <f aca="false">IF(V497&lt;0,-V491/V497,"")</f>
        <v>2.34024803959089</v>
      </c>
      <c r="W503" s="47" t="n">
        <f aca="false">IF(W497&lt;0,-W491/W497,"")</f>
        <v>2.34630690911693</v>
      </c>
      <c r="X503" s="47" t="n">
        <f aca="false">IF(X497&lt;0,-X491/X497,"")</f>
        <v>2.35213364680658</v>
      </c>
      <c r="Y503" s="47" t="n">
        <f aca="false">IF(Y497&lt;0,-Y491/Y497,"")</f>
        <v>2.35772006426746</v>
      </c>
      <c r="Z503" s="47" t="n">
        <f aca="false">IF(Z497&lt;0,-Z491/Z497,"")</f>
        <v>2.36305775604843</v>
      </c>
      <c r="AA503" s="47" t="n">
        <f aca="false">IF(AA497&lt;0,-AA491/AA497,"")</f>
        <v>2.36813809422696</v>
      </c>
      <c r="AB503" s="47" t="n">
        <f aca="false">IF(AB497&lt;0,-AB491/AB497,"")</f>
        <v>2.37295222286343</v>
      </c>
      <c r="AC503" s="47" t="n">
        <f aca="false">IF(AC497&lt;0,-AC491/AC497,"")</f>
        <v>2.37749105231912</v>
      </c>
      <c r="AD503" s="47" t="n">
        <f aca="false">IF(AD497&lt;0,-AD491/AD497,"")</f>
        <v>2.38174525343455</v>
      </c>
      <c r="AE503" s="47" t="str">
        <f aca="false">IF(AE497&lt;0,-AE491/AE497,"")</f>
        <v/>
      </c>
      <c r="AF503" s="47" t="str">
        <f aca="false">IF(AF497&lt;0,-AF491/AF497,"")</f>
        <v/>
      </c>
      <c r="AG503" s="47" t="str">
        <f aca="false">IF(AG497&lt;0,-AG491/AG497,"")</f>
        <v/>
      </c>
      <c r="AH503" s="47" t="str">
        <f aca="false">IF(AH497&lt;0,-AH491/AH497,"")</f>
        <v/>
      </c>
      <c r="AI503" s="47" t="str">
        <f aca="false">IF(AI497&lt;0,-AI491/AI497,"")</f>
        <v/>
      </c>
      <c r="AJ503" s="47" t="str">
        <f aca="false">IF(AJ497&lt;0,-AJ491/AJ497,"")</f>
        <v/>
      </c>
      <c r="AK503" s="47" t="str">
        <f aca="false">IF(AK497&lt;0,-AK491/AK497,"")</f>
        <v/>
      </c>
      <c r="AL503" s="47" t="str">
        <f aca="false">IF(AL497&lt;0,-AL491/AL497,"")</f>
        <v/>
      </c>
      <c r="AM503" s="47" t="str">
        <f aca="false">IF(AM497&lt;0,-AM491/AM497,"")</f>
        <v/>
      </c>
      <c r="AN503" s="47" t="str">
        <f aca="false">IF(AN497&lt;0,-AN491/AN497,"")</f>
        <v/>
      </c>
      <c r="AO503" s="47" t="str">
        <f aca="false">IF(AO497&lt;0,-AO491/AO497,"")</f>
        <v/>
      </c>
      <c r="AP503" s="47" t="str">
        <f aca="false">IF(AP497&lt;0,-AP491/AP497,"")</f>
        <v/>
      </c>
      <c r="AQ503" s="47" t="str">
        <f aca="false">IF(AQ497&lt;0,-AQ491/AQ497,"")</f>
        <v/>
      </c>
      <c r="AR503" s="47" t="str">
        <f aca="false">IF(AR497&lt;0,-AR491/AR497,"")</f>
        <v/>
      </c>
      <c r="AS503" s="47" t="str">
        <f aca="false">IF(AS497&lt;0,-AS491/AS497,"")</f>
        <v/>
      </c>
    </row>
    <row r="504" customFormat="false" ht="14.25" hidden="false" customHeight="false" outlineLevel="0" collapsed="false">
      <c r="C504" s="6" t="s">
        <v>327</v>
      </c>
      <c r="D504" s="2" t="s">
        <v>3</v>
      </c>
      <c r="J504" s="77" t="n">
        <f aca="false">(1+Discount_Rate)^((Inputs!$G$26-J$362)/Days_In_Year)</f>
        <v>1.41371255107938</v>
      </c>
      <c r="K504" s="77" t="n">
        <f aca="false">(1+Discount_Rate)^((Inputs!$G$26-K$362)/Days_In_Year)</f>
        <v>1.30899310285128</v>
      </c>
      <c r="L504" s="77" t="n">
        <f aca="false">(1+Discount_Rate)^((Inputs!$G$26-L$362)/Days_In_Year)</f>
        <v>1.21177511843915</v>
      </c>
      <c r="M504" s="77" t="n">
        <f aca="false">(1+Discount_Rate)^((Inputs!$G$26-M$362)/Days_In_Year)</f>
        <v>1.12201399855477</v>
      </c>
      <c r="N504" s="77" t="n">
        <f aca="false">(1+Discount_Rate)^((Inputs!$G$26-N$362)/Days_In_Year)</f>
        <v>1.03890185051367</v>
      </c>
      <c r="O504" s="77" t="n">
        <f aca="false">(1+Discount_Rate)^((Inputs!$G$26-O$362)/Days_In_Year)</f>
        <v>0.961946157883031</v>
      </c>
      <c r="P504" s="77" t="n">
        <f aca="false">(1+Discount_Rate)^((Inputs!$G$26-P$362)/Days_In_Year)</f>
        <v>0.890503102622714</v>
      </c>
      <c r="Q504" s="77" t="n">
        <f aca="false">(1+Discount_Rate)^((Inputs!$G$26-Q$362)/Days_In_Year)</f>
        <v>0.824539909835846</v>
      </c>
      <c r="R504" s="77" t="n">
        <f aca="false">(1+Discount_Rate)^((Inputs!$G$26-R$362)/Days_In_Year)</f>
        <v>0.763462879477635</v>
      </c>
      <c r="S504" s="77" t="n">
        <f aca="false">(1+Discount_Rate)^((Inputs!$G$26-S$362)/Days_In_Year)</f>
        <v>0.706910073590403</v>
      </c>
      <c r="T504" s="77" t="n">
        <f aca="false">(1+Discount_Rate)^((Inputs!$G$26-T$362)/Days_In_Year)</f>
        <v>0.654408366464987</v>
      </c>
      <c r="U504" s="77" t="n">
        <f aca="false">(1+Discount_Rate)^((Inputs!$G$26-U$362)/Days_In_Year)</f>
        <v>0.605933672652766</v>
      </c>
      <c r="V504" s="77" t="n">
        <f aca="false">(1+Discount_Rate)^((Inputs!$G$26-V$362)/Days_In_Year)</f>
        <v>0.561049696900709</v>
      </c>
      <c r="W504" s="77" t="n">
        <f aca="false">(1+Discount_Rate)^((Inputs!$G$26-W$362)/Days_In_Year)</f>
        <v>0.519490460093249</v>
      </c>
      <c r="X504" s="77" t="n">
        <f aca="false">(1+Discount_Rate)^((Inputs!$G$26-X$362)/Days_In_Year)</f>
        <v>0.480908274028566</v>
      </c>
      <c r="Y504" s="77" t="n">
        <f aca="false">(1+Discount_Rate)^((Inputs!$G$26-Y$362)/Days_In_Year)</f>
        <v>0.445285438915339</v>
      </c>
      <c r="Z504" s="77" t="n">
        <f aca="false">(1+Discount_Rate)^((Inputs!$G$26-Z$362)/Days_In_Year)</f>
        <v>0.412301332329018</v>
      </c>
      <c r="AA504" s="77" t="n">
        <f aca="false">(1+Discount_Rate)^((Inputs!$G$26-AA$362)/Days_In_Year)</f>
        <v>0.381760492897239</v>
      </c>
      <c r="AB504" s="77" t="n">
        <f aca="false">(1+Discount_Rate)^((Inputs!$G$26-AB$362)/Days_In_Year)</f>
        <v>0.353407413292154</v>
      </c>
      <c r="AC504" s="77" t="n">
        <f aca="false">(1+Discount_Rate)^((Inputs!$G$26-AC$362)/Days_In_Year)</f>
        <v>0.327229086381624</v>
      </c>
      <c r="AD504" s="77" t="n">
        <f aca="false">(1+Discount_Rate)^((Inputs!$G$26-AD$362)/Days_In_Year)</f>
        <v>0.3029898947978</v>
      </c>
      <c r="AE504" s="77" t="n">
        <f aca="false">(1+Discount_Rate)^((Inputs!$G$26-AE$362)/Days_In_Year)</f>
        <v>0.280546198886852</v>
      </c>
      <c r="AF504" s="77" t="n">
        <f aca="false">(1+Discount_Rate)^((Inputs!$G$26-AF$362)/Days_In_Year)</f>
        <v>0.259710232730228</v>
      </c>
      <c r="AG504" s="77" t="n">
        <f aca="false">(1+Discount_Rate)^((Inputs!$G$26-AG$362)/Days_In_Year)</f>
        <v>0.240472437713174</v>
      </c>
      <c r="AH504" s="77" t="n">
        <f aca="false">(1+Discount_Rate)^((Inputs!$G$26-AH$362)/Days_In_Year)</f>
        <v>0.222659664549235</v>
      </c>
      <c r="AI504" s="77" t="n">
        <f aca="false">(1+Discount_Rate)^((Inputs!$G$26-AI$362)/Days_In_Year)</f>
        <v>0.206166356064106</v>
      </c>
      <c r="AJ504" s="77" t="n">
        <f aca="false">(1+Discount_Rate)^((Inputs!$G$26-AJ$362)/Days_In_Year)</f>
        <v>0.190854527799705</v>
      </c>
      <c r="AK504" s="77" t="n">
        <f aca="false">(1+Discount_Rate)^((Inputs!$G$26-AK$362)/Days_In_Year)</f>
        <v>0.176717155370097</v>
      </c>
      <c r="AL504" s="77" t="n">
        <f aca="false">(1+Discount_Rate)^((Inputs!$G$26-AL$362)/Days_In_Year)</f>
        <v>0.163626995713053</v>
      </c>
      <c r="AM504" s="77" t="n">
        <f aca="false">(1+Discount_Rate)^((Inputs!$G$26-AM$362)/Days_In_Year)</f>
        <v>0.151506477512086</v>
      </c>
      <c r="AN504" s="77" t="n">
        <f aca="false">(1+Discount_Rate)^((Inputs!$G$26-AN$362)/Days_In_Year)</f>
        <v>0.140254199454224</v>
      </c>
      <c r="AO504" s="77" t="n">
        <f aca="false">(1+Discount_Rate)^((Inputs!$G$26-AO$362)/Days_In_Year)</f>
        <v>0.129864999494652</v>
      </c>
      <c r="AP504" s="77" t="n">
        <f aca="false">(1+Discount_Rate)^((Inputs!$G$26-AP$362)/Days_In_Year)</f>
        <v>0.120245369902455</v>
      </c>
      <c r="AQ504" s="77" t="n">
        <f aca="false">(1+Discount_Rate)^((Inputs!$G$26-AQ$362)/Days_In_Year)</f>
        <v>0.111338305465236</v>
      </c>
      <c r="AR504" s="77" t="n">
        <f aca="false">(1+Discount_Rate)^((Inputs!$G$26-AR$362)/Days_In_Year)</f>
        <v>0.103069288904634</v>
      </c>
      <c r="AS504" s="77" t="n">
        <f aca="false">(1+Discount_Rate)^((Inputs!$G$26-AS$362)/Days_In_Year)</f>
        <v>0.0954345267635496</v>
      </c>
    </row>
    <row r="505" customFormat="false" ht="14.25" hidden="false" customHeight="false" outlineLevel="0" collapsed="false">
      <c r="C505" s="6" t="s">
        <v>328</v>
      </c>
      <c r="D505" s="2" t="s">
        <v>85</v>
      </c>
      <c r="H505" s="8" t="n">
        <f aca="false">SUM(J505:AS505)</f>
        <v>117317.066600666</v>
      </c>
      <c r="J505" s="8" t="n">
        <f aca="false">J491*J504</f>
        <v>0</v>
      </c>
      <c r="K505" s="8" t="n">
        <f aca="false">K491*K504</f>
        <v>0</v>
      </c>
      <c r="L505" s="8" t="n">
        <f aca="false">L491*L504</f>
        <v>0</v>
      </c>
      <c r="M505" s="8" t="n">
        <f aca="false">M491*M504</f>
        <v>0</v>
      </c>
      <c r="N505" s="8" t="n">
        <f aca="false">N491*N504</f>
        <v>0</v>
      </c>
      <c r="O505" s="8" t="n">
        <f aca="false">O491*O504</f>
        <v>4876.8474889626</v>
      </c>
      <c r="P505" s="8" t="n">
        <f aca="false">P491*P504</f>
        <v>9090.53934016054</v>
      </c>
      <c r="Q505" s="8" t="n">
        <f aca="false">Q491*Q504</f>
        <v>8443.85559204061</v>
      </c>
      <c r="R505" s="8" t="n">
        <f aca="false">R491*R504</f>
        <v>7842.46260690271</v>
      </c>
      <c r="S505" s="8" t="n">
        <f aca="false">S491*S504</f>
        <v>7283.2240477567</v>
      </c>
      <c r="T505" s="8" t="n">
        <f aca="false">T491*T504</f>
        <v>6761.79304646313</v>
      </c>
      <c r="U505" s="8" t="n">
        <f aca="false">U491*U504</f>
        <v>6278.40300363448</v>
      </c>
      <c r="V505" s="8" t="n">
        <f aca="false">V491*V504</f>
        <v>5828.9855926955</v>
      </c>
      <c r="W505" s="8" t="n">
        <f aca="false">W491*W504</f>
        <v>5411.1821806256</v>
      </c>
      <c r="X505" s="8" t="n">
        <f aca="false">X491*X504</f>
        <v>5021.73745515717</v>
      </c>
      <c r="Y505" s="8" t="n">
        <f aca="false">Y491*Y504</f>
        <v>4660.80027334854</v>
      </c>
      <c r="Z505" s="8" t="n">
        <f aca="false">Z491*Z504</f>
        <v>4325.32588573996</v>
      </c>
      <c r="AA505" s="8" t="n">
        <f aca="false">AA491*AA504</f>
        <v>4013.54157817309</v>
      </c>
      <c r="AB505" s="8" t="n">
        <f aca="false">AB491*AB504</f>
        <v>3723.01176986731</v>
      </c>
      <c r="AC505" s="8" t="n">
        <f aca="false">AC491*AC504</f>
        <v>3453.82676468588</v>
      </c>
      <c r="AD505" s="8" t="n">
        <f aca="false">AD491*AD504</f>
        <v>3203.71011489412</v>
      </c>
      <c r="AE505" s="8" t="n">
        <f aca="false">AE491*AE504</f>
        <v>2971.33032336828</v>
      </c>
      <c r="AF505" s="8" t="n">
        <f aca="false">AF491*AF504</f>
        <v>2754.86696923197</v>
      </c>
      <c r="AG505" s="8" t="n">
        <f aca="false">AG491*AG504</f>
        <v>2554.37040340407</v>
      </c>
      <c r="AH505" s="8" t="n">
        <f aca="false">AH491*AH504</f>
        <v>2368.14043793919</v>
      </c>
      <c r="AI505" s="8" t="n">
        <f aca="false">AI491*AI504</f>
        <v>2195.17765884097</v>
      </c>
      <c r="AJ505" s="8" t="n">
        <f aca="false">AJ491*AJ504</f>
        <v>2034.12293346623</v>
      </c>
      <c r="AK505" s="8" t="n">
        <f aca="false">AK491*AK504</f>
        <v>1884.99987986481</v>
      </c>
      <c r="AL505" s="8" t="n">
        <f aca="false">AL491*AL504</f>
        <v>1746.54018249686</v>
      </c>
      <c r="AM505" s="8" t="n">
        <f aca="false">AM491*AM504</f>
        <v>1617.99423623126</v>
      </c>
      <c r="AN505" s="8" t="n">
        <f aca="false">AN491*AN504</f>
        <v>1498.34852868931</v>
      </c>
      <c r="AO505" s="8" t="n">
        <f aca="false">AO491*AO504</f>
        <v>1387.60926324361</v>
      </c>
      <c r="AP505" s="8" t="n">
        <f aca="false">AP491*AP504</f>
        <v>1284.83150622458</v>
      </c>
      <c r="AQ505" s="8" t="n">
        <f aca="false">AQ491*AQ504</f>
        <v>1189.4534633259</v>
      </c>
      <c r="AR505" s="8" t="n">
        <f aca="false">AR491*AR504</f>
        <v>1100.72034810141</v>
      </c>
      <c r="AS505" s="8" t="n">
        <f aca="false">AS491*AS504</f>
        <v>509.31372512961</v>
      </c>
    </row>
    <row r="506" customFormat="false" ht="14.25" hidden="false" customHeight="false" outlineLevel="0" collapsed="false">
      <c r="C506" s="1" t="s">
        <v>329</v>
      </c>
      <c r="D506" s="2" t="s">
        <v>85</v>
      </c>
      <c r="H506" s="32" t="n">
        <f aca="false">SUM(J506:AS506)</f>
        <v>40517.0073540907</v>
      </c>
      <c r="J506" s="32" t="n">
        <f aca="false">J477*(J467&lt;=0)+J472*($H505+$G$62+$G$63)</f>
        <v>0</v>
      </c>
      <c r="K506" s="32" t="n">
        <f aca="false">K477*(K467&lt;=0)+K472*($H505+$G$62+$G$63)</f>
        <v>0</v>
      </c>
      <c r="L506" s="32" t="n">
        <f aca="false">L477*(L467&lt;=0)+L472*($H505+$G$62+$G$63)</f>
        <v>0</v>
      </c>
      <c r="M506" s="32" t="n">
        <f aca="false">M477*(M467&lt;=0)+M472*($H505+$G$62+$G$63)</f>
        <v>-29757.5797945206</v>
      </c>
      <c r="N506" s="32" t="n">
        <f aca="false">N477*(N467&lt;=0)+N472*($H505+$G$62+$G$63)</f>
        <v>-31358</v>
      </c>
      <c r="O506" s="32" t="n">
        <f aca="false">O477*(O467&lt;=0)+O472*($H505+$G$62+$G$63)</f>
        <v>101632.587148611</v>
      </c>
      <c r="P506" s="32" t="n">
        <f aca="false">P477*(P467&lt;=0)+P472*($H505+$G$62+$G$63)</f>
        <v>0</v>
      </c>
      <c r="Q506" s="32" t="n">
        <f aca="false">Q477*(Q467&lt;=0)+Q472*($H505+$G$62+$G$63)</f>
        <v>0</v>
      </c>
      <c r="R506" s="32" t="n">
        <f aca="false">R477*(R467&lt;=0)+R472*($H505+$G$62+$G$63)</f>
        <v>0</v>
      </c>
      <c r="S506" s="32" t="n">
        <f aca="false">S477*(S467&lt;=0)+S472*($H505+$G$62+$G$63)</f>
        <v>0</v>
      </c>
      <c r="T506" s="32" t="n">
        <f aca="false">T477*(T467&lt;=0)+T472*($H505+$G$62+$G$63)</f>
        <v>0</v>
      </c>
      <c r="U506" s="32" t="n">
        <f aca="false">U477*(U467&lt;=0)+U472*($H505+$G$62+$G$63)</f>
        <v>0</v>
      </c>
      <c r="V506" s="32" t="n">
        <f aca="false">V477*(V467&lt;=0)+V472*($H505+$G$62+$G$63)</f>
        <v>0</v>
      </c>
      <c r="W506" s="32" t="n">
        <f aca="false">W477*(W467&lt;=0)+W472*($H505+$G$62+$G$63)</f>
        <v>0</v>
      </c>
      <c r="X506" s="32" t="n">
        <f aca="false">X477*(X467&lt;=0)+X472*($H505+$G$62+$G$63)</f>
        <v>0</v>
      </c>
      <c r="Y506" s="32" t="n">
        <f aca="false">Y477*(Y467&lt;=0)+Y472*($H505+$G$62+$G$63)</f>
        <v>0</v>
      </c>
      <c r="Z506" s="32" t="n">
        <f aca="false">Z477*(Z467&lt;=0)+Z472*($H505+$G$62+$G$63)</f>
        <v>0</v>
      </c>
      <c r="AA506" s="32" t="n">
        <f aca="false">AA477*(AA467&lt;=0)+AA472*($H505+$G$62+$G$63)</f>
        <v>0</v>
      </c>
      <c r="AB506" s="32" t="n">
        <f aca="false">AB477*(AB467&lt;=0)+AB472*($H505+$G$62+$G$63)</f>
        <v>0</v>
      </c>
      <c r="AC506" s="32" t="n">
        <f aca="false">AC477*(AC467&lt;=0)+AC472*($H505+$G$62+$G$63)</f>
        <v>0</v>
      </c>
      <c r="AD506" s="32" t="n">
        <f aca="false">AD477*(AD467&lt;=0)+AD472*($H505+$G$62+$G$63)</f>
        <v>0</v>
      </c>
      <c r="AE506" s="32" t="n">
        <f aca="false">AE477*(AE467&lt;=0)+AE472*($H505+$G$62+$G$63)</f>
        <v>0</v>
      </c>
      <c r="AF506" s="32" t="n">
        <f aca="false">AF477*(AF467&lt;=0)+AF472*($H505+$G$62+$G$63)</f>
        <v>0</v>
      </c>
      <c r="AG506" s="32" t="n">
        <f aca="false">AG477*(AG467&lt;=0)+AG472*($H505+$G$62+$G$63)</f>
        <v>0</v>
      </c>
      <c r="AH506" s="32" t="n">
        <f aca="false">AH477*(AH467&lt;=0)+AH472*($H505+$G$62+$G$63)</f>
        <v>0</v>
      </c>
      <c r="AI506" s="32" t="n">
        <f aca="false">AI477*(AI467&lt;=0)+AI472*($H505+$G$62+$G$63)</f>
        <v>0</v>
      </c>
      <c r="AJ506" s="32" t="n">
        <f aca="false">AJ477*(AJ467&lt;=0)+AJ472*($H505+$G$62+$G$63)</f>
        <v>0</v>
      </c>
      <c r="AK506" s="32" t="n">
        <f aca="false">AK477*(AK467&lt;=0)+AK472*($H505+$G$62+$G$63)</f>
        <v>0</v>
      </c>
      <c r="AL506" s="32" t="n">
        <f aca="false">AL477*(AL467&lt;=0)+AL472*($H505+$G$62+$G$63)</f>
        <v>0</v>
      </c>
      <c r="AM506" s="32" t="n">
        <f aca="false">AM477*(AM467&lt;=0)+AM472*($H505+$G$62+$G$63)</f>
        <v>0</v>
      </c>
      <c r="AN506" s="32" t="n">
        <f aca="false">AN477*(AN467&lt;=0)+AN472*($H505+$G$62+$G$63)</f>
        <v>0</v>
      </c>
      <c r="AO506" s="32" t="n">
        <f aca="false">AO477*(AO467&lt;=0)+AO472*($H505+$G$62+$G$63)</f>
        <v>0</v>
      </c>
      <c r="AP506" s="32" t="n">
        <f aca="false">AP477*(AP467&lt;=0)+AP472*($H505+$G$62+$G$63)</f>
        <v>0</v>
      </c>
      <c r="AQ506" s="32" t="n">
        <f aca="false">AQ477*(AQ467&lt;=0)+AQ472*($H505+$G$62+$G$63)</f>
        <v>0</v>
      </c>
      <c r="AR506" s="32" t="n">
        <f aca="false">AR477*(AR467&lt;=0)+AR472*($H505+$G$62+$G$63)</f>
        <v>0</v>
      </c>
      <c r="AS506" s="32" t="n">
        <f aca="false">AS477*(AS467&lt;=0)+AS472*($H505+$G$62+$G$63)</f>
        <v>0</v>
      </c>
    </row>
    <row r="507" customFormat="false" ht="14.25" hidden="false" customHeight="false" outlineLevel="0" collapsed="false">
      <c r="C507" s="41" t="s">
        <v>330</v>
      </c>
      <c r="D507" s="42"/>
      <c r="E507" s="43"/>
      <c r="F507" s="43"/>
      <c r="G507" s="43"/>
      <c r="H507" s="43"/>
    </row>
    <row r="508" customFormat="false" ht="14.25" hidden="false" customHeight="false" outlineLevel="0" collapsed="false">
      <c r="C508" s="6" t="s">
        <v>331</v>
      </c>
      <c r="D508" s="2" t="s">
        <v>85</v>
      </c>
      <c r="H508" s="8"/>
      <c r="J508" s="8" t="n">
        <f aca="false">(I508*(1+Rate_Cash)-SUMPRODUCT($G344:$G349*$O344:$O349*(YEAR($L344:$L349)=J361)))*(J362&lt;$G190)*$G21</f>
        <v>0</v>
      </c>
      <c r="K508" s="8" t="n">
        <f aca="false">(J508*(1+Rate_Cash)-SUMPRODUCT($G344:$G349*$O344:$O349*(YEAR($L344:$L349)=K361)))*(K362&lt;$G190)*$G21</f>
        <v>0</v>
      </c>
      <c r="L508" s="8" t="n">
        <f aca="false">(K508*(1+Rate_Cash)-SUMPRODUCT($G344:$G349*$O344:$O349*(YEAR($L344:$L349)=L361)))*(L362&lt;$G190)*$G21</f>
        <v>0</v>
      </c>
      <c r="M508" s="8" t="n">
        <f aca="false">(L508*(1+Rate_Cash)-SUMPRODUCT($G344:$G349*$O344:$O349*(YEAR($L344:$L349)=M361)))*(M362&lt;$G190)*$G21</f>
        <v>0</v>
      </c>
      <c r="N508" s="8" t="n">
        <f aca="false">(M508*(1+Rate_Cash)-SUMPRODUCT($G344:$G349*$O344:$O349*(YEAR($L344:$L349)=N361)))*(N362&lt;$G190)*$G21</f>
        <v>0</v>
      </c>
      <c r="O508" s="8" t="n">
        <f aca="false">(N508*(1+Rate_Cash)-SUMPRODUCT($G344:$G349*$O344:$O349*(YEAR($L344:$L349)=O361)))*(O362&lt;$G190)*$G21</f>
        <v>0</v>
      </c>
      <c r="P508" s="8" t="n">
        <f aca="false">(O508*(1+Rate_Cash)-SUMPRODUCT($G344:$G349*$O344:$O349*(YEAR($L344:$L349)=P361)))*(P362&lt;$G190)*$G21</f>
        <v>0</v>
      </c>
      <c r="Q508" s="8" t="n">
        <f aca="false">(P508*(1+Rate_Cash)-SUMPRODUCT($G344:$G349*$O344:$O349*(YEAR($L344:$L349)=Q361)))*(Q362&lt;$G190)*$G21</f>
        <v>0</v>
      </c>
      <c r="R508" s="8" t="n">
        <f aca="false">(Q508*(1+Rate_Cash)-SUMPRODUCT($G344:$G349*$O344:$O349*(YEAR($L344:$L349)=R361)))*(R362&lt;$G190)*$G21</f>
        <v>0</v>
      </c>
      <c r="S508" s="8" t="n">
        <f aca="false">(R508*(1+Rate_Cash)-SUMPRODUCT($G344:$G349*$O344:$O349*(YEAR($L344:$L349)=S361)))*(S362&lt;$G190)*$G21</f>
        <v>0</v>
      </c>
      <c r="T508" s="8" t="n">
        <f aca="false">(S508*(1+Rate_Cash)-SUMPRODUCT($G344:$G349*$O344:$O349*(YEAR($L344:$L349)=T361)))*(T362&lt;$G190)*$G21</f>
        <v>0</v>
      </c>
      <c r="U508" s="8" t="n">
        <f aca="false">(T508*(1+Rate_Cash)-SUMPRODUCT($G344:$G349*$O344:$O349*(YEAR($L344:$L349)=U361)))*(U362&lt;$G190)*$G21</f>
        <v>0</v>
      </c>
      <c r="V508" s="8" t="n">
        <f aca="false">(U508*(1+Rate_Cash)-SUMPRODUCT($G344:$G349*$O344:$O349*(YEAR($L344:$L349)=V361)))*(V362&lt;$G190)*$G21</f>
        <v>0</v>
      </c>
      <c r="W508" s="8" t="n">
        <f aca="false">(V508*(1+Rate_Cash)-SUMPRODUCT($G344:$G349*$O344:$O349*(YEAR($L344:$L349)=W361)))*(W362&lt;$G190)*$G21</f>
        <v>0</v>
      </c>
      <c r="X508" s="8" t="n">
        <f aca="false">(W508*(1+Rate_Cash)-SUMPRODUCT($G344:$G349*$O344:$O349*(YEAR($L344:$L349)=X361)))*(X362&lt;$G190)*$G21</f>
        <v>0</v>
      </c>
      <c r="Y508" s="8" t="n">
        <f aca="false">(X508*(1+Rate_Cash)-SUMPRODUCT($G344:$G349*$O344:$O349*(YEAR($L344:$L349)=Y361)))*(Y362&lt;$G190)*$G21</f>
        <v>0</v>
      </c>
      <c r="Z508" s="8" t="n">
        <f aca="false">(Y508*(1+Rate_Cash)-SUMPRODUCT($G344:$G349*$O344:$O349*(YEAR($L344:$L349)=Z361)))*(Z362&lt;$G190)*$G21</f>
        <v>0</v>
      </c>
      <c r="AA508" s="8" t="n">
        <f aca="false">(Z508*(1+Rate_Cash)-SUMPRODUCT($G344:$G349*$O344:$O349*(YEAR($L344:$L349)=AA361)))*(AA362&lt;$G190)*$G21</f>
        <v>0</v>
      </c>
      <c r="AB508" s="8" t="n">
        <f aca="false">(AA508*(1+Rate_Cash)-SUMPRODUCT($G344:$G349*$O344:$O349*(YEAR($L344:$L349)=AB361)))*(AB362&lt;$G190)*$G21</f>
        <v>0</v>
      </c>
      <c r="AC508" s="8" t="n">
        <f aca="false">(AB508*(1+Rate_Cash)-SUMPRODUCT($G344:$G349*$O344:$O349*(YEAR($L344:$L349)=AC361)))*(AC362&lt;$G190)*$G21</f>
        <v>0</v>
      </c>
      <c r="AD508" s="8" t="n">
        <f aca="false">(AC508*(1+Rate_Cash)-SUMPRODUCT($G344:$G349*$O344:$O349*(YEAR($L344:$L349)=AD361)))*(AD362&lt;$G190)*$G21</f>
        <v>0</v>
      </c>
      <c r="AE508" s="8" t="n">
        <f aca="false">(AD508*(1+Rate_Cash)-SUMPRODUCT($G344:$G349*$O344:$O349*(YEAR($L344:$L349)=AE361)))*(AE362&lt;$G190)*$G21</f>
        <v>0</v>
      </c>
      <c r="AF508" s="8" t="n">
        <f aca="false">(AE508*(1+Rate_Cash)-SUMPRODUCT($G344:$G349*$O344:$O349*(YEAR($L344:$L349)=AF361)))*(AF362&lt;$G190)*$G21</f>
        <v>0</v>
      </c>
      <c r="AG508" s="8" t="n">
        <f aca="false">(AF508*(1+Rate_Cash)-SUMPRODUCT($G344:$G349*$O344:$O349*(YEAR($L344:$L349)=AG361)))*(AG362&lt;$G190)*$G21</f>
        <v>0</v>
      </c>
      <c r="AH508" s="8" t="n">
        <f aca="false">(AG508*(1+Rate_Cash)-SUMPRODUCT($G344:$G349*$O344:$O349*(YEAR($L344:$L349)=AH361)))*(AH362&lt;$G190)*$G21</f>
        <v>0</v>
      </c>
      <c r="AI508" s="8" t="n">
        <f aca="false">(AH508*(1+Rate_Cash)-SUMPRODUCT($G344:$G349*$O344:$O349*(YEAR($L344:$L349)=AI361)))*(AI362&lt;$G190)*$G21</f>
        <v>0</v>
      </c>
      <c r="AJ508" s="8" t="n">
        <f aca="false">(AI508*(1+Rate_Cash)-SUMPRODUCT($G344:$G349*$O344:$O349*(YEAR($L344:$L349)=AJ361)))*(AJ362&lt;$G190)*$G21</f>
        <v>0</v>
      </c>
      <c r="AK508" s="8" t="n">
        <f aca="false">(AJ508*(1+Rate_Cash)-SUMPRODUCT($G344:$G349*$O344:$O349*(YEAR($L344:$L349)=AK361)))*(AK362&lt;$G190)*$G21</f>
        <v>0</v>
      </c>
      <c r="AL508" s="8" t="n">
        <f aca="false">(AK508*(1+Rate_Cash)-SUMPRODUCT($G344:$G349*$O344:$O349*(YEAR($L344:$L349)=AL361)))*(AL362&lt;$G190)*$G21</f>
        <v>0</v>
      </c>
      <c r="AM508" s="8" t="n">
        <f aca="false">(AL508*(1+Rate_Cash)-SUMPRODUCT($G344:$G349*$O344:$O349*(YEAR($L344:$L349)=AM361)))*(AM362&lt;$G190)*$G21</f>
        <v>0</v>
      </c>
      <c r="AN508" s="8" t="n">
        <f aca="false">(AM508*(1+Rate_Cash)-SUMPRODUCT($G344:$G349*$O344:$O349*(YEAR($L344:$L349)=AN361)))*(AN362&lt;$G190)*$G21</f>
        <v>0</v>
      </c>
      <c r="AO508" s="8" t="n">
        <f aca="false">(AN508*(1+Rate_Cash)-SUMPRODUCT($G344:$G349*$O344:$O349*(YEAR($L344:$L349)=AO361)))*(AO362&lt;$G190)*$G21</f>
        <v>0</v>
      </c>
      <c r="AP508" s="8" t="n">
        <f aca="false">(AO508*(1+Rate_Cash)-SUMPRODUCT($G344:$G349*$O344:$O349*(YEAR($L344:$L349)=AP361)))*(AP362&lt;$G190)*$G21</f>
        <v>0</v>
      </c>
      <c r="AQ508" s="8" t="n">
        <f aca="false">(AP508*(1+Rate_Cash)-SUMPRODUCT($G344:$G349*$O344:$O349*(YEAR($L344:$L349)=AQ361)))*(AQ362&lt;$G190)*$G21</f>
        <v>0</v>
      </c>
      <c r="AR508" s="8" t="n">
        <f aca="false">(AQ508*(1+Rate_Cash)-SUMPRODUCT($G344:$G349*$O344:$O349*(YEAR($L344:$L349)=AR361)))*(AR362&lt;$G190)*$G21</f>
        <v>0</v>
      </c>
      <c r="AS508" s="8" t="n">
        <f aca="false">(AR508*(1+Rate_Cash)-SUMPRODUCT($G344:$G349*$O344:$O349*(YEAR($L344:$L349)=AS361)))*(AS362&lt;$G190)*$G21</f>
        <v>0</v>
      </c>
    </row>
    <row r="509" customFormat="false" ht="14.25" hidden="false" customHeight="false" outlineLevel="0" collapsed="false">
      <c r="C509" s="6" t="s">
        <v>332</v>
      </c>
      <c r="D509" s="2" t="s">
        <v>85</v>
      </c>
      <c r="H509" s="8"/>
      <c r="J509" s="8" t="n">
        <f aca="false">(I509*(1+Rate_Devex)-SUMPRODUCT($G350:$G351*$O350:$O351*(YEAR($L350:$L351)=J361)))*(J362&lt;$G190)*$G21</f>
        <v>0</v>
      </c>
      <c r="K509" s="8" t="n">
        <f aca="false">(J509*(1+Rate_Devex)-SUMPRODUCT($G350:$G351*$O350:$O351*(YEAR($L350:$L351)=K361)))*(K362&lt;$G190)*$G21</f>
        <v>0</v>
      </c>
      <c r="L509" s="8" t="n">
        <f aca="false">(K509*(1+Rate_Devex)-SUMPRODUCT($G350:$G351*$O350:$O351*(YEAR($L350:$L351)=L361)))*(L362&lt;$G190)*$G21</f>
        <v>0</v>
      </c>
      <c r="M509" s="8" t="n">
        <f aca="false">(L509*(1+Rate_Devex)-SUMPRODUCT($G350:$G351*$O350:$O351*(YEAR($L350:$L351)=M361)))*(M362&lt;$G190)*$G21</f>
        <v>0</v>
      </c>
      <c r="N509" s="8" t="n">
        <f aca="false">(M509*(1+Rate_Devex)-SUMPRODUCT($G350:$G351*$O350:$O351*(YEAR($L350:$L351)=N361)))*(N362&lt;$G190)*$G21</f>
        <v>0</v>
      </c>
      <c r="O509" s="8" t="n">
        <f aca="false">(N509*(1+Rate_Devex)-SUMPRODUCT($G350:$G351*$O350:$O351*(YEAR($L350:$L351)=O361)))*(O362&lt;$G190)*$G21</f>
        <v>0</v>
      </c>
      <c r="P509" s="8" t="n">
        <f aca="false">(O509*(1+Rate_Devex)-SUMPRODUCT($G350:$G351*$O350:$O351*(YEAR($L350:$L351)=P361)))*(P362&lt;$G190)*$G21</f>
        <v>0</v>
      </c>
      <c r="Q509" s="8" t="n">
        <f aca="false">(P509*(1+Rate_Devex)-SUMPRODUCT($G350:$G351*$O350:$O351*(YEAR($L350:$L351)=Q361)))*(Q362&lt;$G190)*$G21</f>
        <v>0</v>
      </c>
      <c r="R509" s="8" t="n">
        <f aca="false">(Q509*(1+Rate_Devex)-SUMPRODUCT($G350:$G351*$O350:$O351*(YEAR($L350:$L351)=R361)))*(R362&lt;$G190)*$G21</f>
        <v>0</v>
      </c>
      <c r="S509" s="8" t="n">
        <f aca="false">(R509*(1+Rate_Devex)-SUMPRODUCT($G350:$G351*$O350:$O351*(YEAR($L350:$L351)=S361)))*(S362&lt;$G190)*$G21</f>
        <v>0</v>
      </c>
      <c r="T509" s="8" t="n">
        <f aca="false">(S509*(1+Rate_Devex)-SUMPRODUCT($G350:$G351*$O350:$O351*(YEAR($L350:$L351)=T361)))*(T362&lt;$G190)*$G21</f>
        <v>0</v>
      </c>
      <c r="U509" s="8" t="n">
        <f aca="false">(T509*(1+Rate_Devex)-SUMPRODUCT($G350:$G351*$O350:$O351*(YEAR($L350:$L351)=U361)))*(U362&lt;$G190)*$G21</f>
        <v>0</v>
      </c>
      <c r="V509" s="8" t="n">
        <f aca="false">(U509*(1+Rate_Devex)-SUMPRODUCT($G350:$G351*$O350:$O351*(YEAR($L350:$L351)=V361)))*(V362&lt;$G190)*$G21</f>
        <v>0</v>
      </c>
      <c r="W509" s="8" t="n">
        <f aca="false">(V509*(1+Rate_Devex)-SUMPRODUCT($G350:$G351*$O350:$O351*(YEAR($L350:$L351)=W361)))*(W362&lt;$G190)*$G21</f>
        <v>0</v>
      </c>
      <c r="X509" s="8" t="n">
        <f aca="false">(W509*(1+Rate_Devex)-SUMPRODUCT($G350:$G351*$O350:$O351*(YEAR($L350:$L351)=X361)))*(X362&lt;$G190)*$G21</f>
        <v>0</v>
      </c>
      <c r="Y509" s="8" t="n">
        <f aca="false">(X509*(1+Rate_Devex)-SUMPRODUCT($G350:$G351*$O350:$O351*(YEAR($L350:$L351)=Y361)))*(Y362&lt;$G190)*$G21</f>
        <v>0</v>
      </c>
      <c r="Z509" s="8" t="n">
        <f aca="false">(Y509*(1+Rate_Devex)-SUMPRODUCT($G350:$G351*$O350:$O351*(YEAR($L350:$L351)=Z361)))*(Z362&lt;$G190)*$G21</f>
        <v>0</v>
      </c>
      <c r="AA509" s="8" t="n">
        <f aca="false">(Z509*(1+Rate_Devex)-SUMPRODUCT($G350:$G351*$O350:$O351*(YEAR($L350:$L351)=AA361)))*(AA362&lt;$G190)*$G21</f>
        <v>0</v>
      </c>
      <c r="AB509" s="8" t="n">
        <f aca="false">(AA509*(1+Rate_Devex)-SUMPRODUCT($G350:$G351*$O350:$O351*(YEAR($L350:$L351)=AB361)))*(AB362&lt;$G190)*$G21</f>
        <v>0</v>
      </c>
      <c r="AC509" s="8" t="n">
        <f aca="false">(AB509*(1+Rate_Devex)-SUMPRODUCT($G350:$G351*$O350:$O351*(YEAR($L350:$L351)=AC361)))*(AC362&lt;$G190)*$G21</f>
        <v>0</v>
      </c>
      <c r="AD509" s="8" t="n">
        <f aca="false">(AC509*(1+Rate_Devex)-SUMPRODUCT($G350:$G351*$O350:$O351*(YEAR($L350:$L351)=AD361)))*(AD362&lt;$G190)*$G21</f>
        <v>0</v>
      </c>
      <c r="AE509" s="8" t="n">
        <f aca="false">(AD509*(1+Rate_Devex)-SUMPRODUCT($G350:$G351*$O350:$O351*(YEAR($L350:$L351)=AE361)))*(AE362&lt;$G190)*$G21</f>
        <v>0</v>
      </c>
      <c r="AF509" s="8" t="n">
        <f aca="false">(AE509*(1+Rate_Devex)-SUMPRODUCT($G350:$G351*$O350:$O351*(YEAR($L350:$L351)=AF361)))*(AF362&lt;$G190)*$G21</f>
        <v>0</v>
      </c>
      <c r="AG509" s="8" t="n">
        <f aca="false">(AF509*(1+Rate_Devex)-SUMPRODUCT($G350:$G351*$O350:$O351*(YEAR($L350:$L351)=AG361)))*(AG362&lt;$G190)*$G21</f>
        <v>0</v>
      </c>
      <c r="AH509" s="8" t="n">
        <f aca="false">(AG509*(1+Rate_Devex)-SUMPRODUCT($G350:$G351*$O350:$O351*(YEAR($L350:$L351)=AH361)))*(AH362&lt;$G190)*$G21</f>
        <v>0</v>
      </c>
      <c r="AI509" s="8" t="n">
        <f aca="false">(AH509*(1+Rate_Devex)-SUMPRODUCT($G350:$G351*$O350:$O351*(YEAR($L350:$L351)=AI361)))*(AI362&lt;$G190)*$G21</f>
        <v>0</v>
      </c>
      <c r="AJ509" s="8" t="n">
        <f aca="false">(AI509*(1+Rate_Devex)-SUMPRODUCT($G350:$G351*$O350:$O351*(YEAR($L350:$L351)=AJ361)))*(AJ362&lt;$G190)*$G21</f>
        <v>0</v>
      </c>
      <c r="AK509" s="8" t="n">
        <f aca="false">(AJ509*(1+Rate_Devex)-SUMPRODUCT($G350:$G351*$O350:$O351*(YEAR($L350:$L351)=AK361)))*(AK362&lt;$G190)*$G21</f>
        <v>0</v>
      </c>
      <c r="AL509" s="8" t="n">
        <f aca="false">(AK509*(1+Rate_Devex)-SUMPRODUCT($G350:$G351*$O350:$O351*(YEAR($L350:$L351)=AL361)))*(AL362&lt;$G190)*$G21</f>
        <v>0</v>
      </c>
      <c r="AM509" s="8" t="n">
        <f aca="false">(AL509*(1+Rate_Devex)-SUMPRODUCT($G350:$G351*$O350:$O351*(YEAR($L350:$L351)=AM361)))*(AM362&lt;$G190)*$G21</f>
        <v>0</v>
      </c>
      <c r="AN509" s="8" t="n">
        <f aca="false">(AM509*(1+Rate_Devex)-SUMPRODUCT($G350:$G351*$O350:$O351*(YEAR($L350:$L351)=AN361)))*(AN362&lt;$G190)*$G21</f>
        <v>0</v>
      </c>
      <c r="AO509" s="8" t="n">
        <f aca="false">(AN509*(1+Rate_Devex)-SUMPRODUCT($G350:$G351*$O350:$O351*(YEAR($L350:$L351)=AO361)))*(AO362&lt;$G190)*$G21</f>
        <v>0</v>
      </c>
      <c r="AP509" s="8" t="n">
        <f aca="false">(AO509*(1+Rate_Devex)-SUMPRODUCT($G350:$G351*$O350:$O351*(YEAR($L350:$L351)=AP361)))*(AP362&lt;$G190)*$G21</f>
        <v>0</v>
      </c>
      <c r="AQ509" s="8" t="n">
        <f aca="false">(AP509*(1+Rate_Devex)-SUMPRODUCT($G350:$G351*$O350:$O351*(YEAR($L350:$L351)=AQ361)))*(AQ362&lt;$G190)*$G21</f>
        <v>0</v>
      </c>
      <c r="AR509" s="8" t="n">
        <f aca="false">(AQ509*(1+Rate_Devex)-SUMPRODUCT($G350:$G351*$O350:$O351*(YEAR($L350:$L351)=AR361)))*(AR362&lt;$G190)*$G21</f>
        <v>0</v>
      </c>
      <c r="AS509" s="8" t="n">
        <f aca="false">(AR509*(1+Rate_Devex)-SUMPRODUCT($G350:$G351*$O350:$O351*(YEAR($L350:$L351)=AS361)))*(AS362&lt;$G190)*$G21</f>
        <v>0</v>
      </c>
    </row>
    <row r="510" customFormat="false" ht="14.25" hidden="false" customHeight="false" outlineLevel="0" collapsed="false">
      <c r="C510" s="6" t="s">
        <v>333</v>
      </c>
      <c r="D510" s="2" t="s">
        <v>85</v>
      </c>
      <c r="H510" s="8" t="n">
        <f aca="false">SUM(J510:AS510)</f>
        <v>0</v>
      </c>
      <c r="J510" s="8" t="n">
        <f aca="false">-SUMPRODUCT($G344:$G351*(YEAR($L344:$L351)=J361))*(J362&lt;$G190)*$G21</f>
        <v>0</v>
      </c>
      <c r="K510" s="8" t="n">
        <f aca="false">-SUMPRODUCT($G344:$G351*(YEAR($L344:$L351)=K361))*(K362&lt;$G190)*$G21</f>
        <v>0</v>
      </c>
      <c r="L510" s="8" t="n">
        <f aca="false">-SUMPRODUCT($G344:$G351*(YEAR($L344:$L351)=L361))*(L362&lt;$G190)*$G21</f>
        <v>0</v>
      </c>
      <c r="M510" s="8" t="n">
        <f aca="false">-SUMPRODUCT($G344:$G351*(YEAR($L344:$L351)=M361))*(M362&lt;$G190)*$G21</f>
        <v>-0</v>
      </c>
      <c r="N510" s="8" t="n">
        <f aca="false">-SUMPRODUCT($G344:$G351*(YEAR($L344:$L351)=N361))*(N362&lt;$G190)*$G21</f>
        <v>-0</v>
      </c>
      <c r="O510" s="8" t="n">
        <f aca="false">-SUMPRODUCT($G344:$G351*(YEAR($L344:$L351)=O361))*(O362&lt;$G190)*$G21</f>
        <v>-0</v>
      </c>
      <c r="P510" s="8" t="n">
        <f aca="false">-SUMPRODUCT($G344:$G351*(YEAR($L344:$L351)=P361))*(P362&lt;$G190)*$G21</f>
        <v>-0</v>
      </c>
      <c r="Q510" s="8" t="n">
        <f aca="false">-SUMPRODUCT($G344:$G351*(YEAR($L344:$L351)=Q361))*(Q362&lt;$G190)*$G21</f>
        <v>-0</v>
      </c>
      <c r="R510" s="8" t="n">
        <f aca="false">-SUMPRODUCT($G344:$G351*(YEAR($L344:$L351)=R361))*(R362&lt;$G190)*$G21</f>
        <v>-0</v>
      </c>
      <c r="S510" s="8" t="n">
        <f aca="false">-SUMPRODUCT($G344:$G351*(YEAR($L344:$L351)=S361))*(S362&lt;$G190)*$G21</f>
        <v>-0</v>
      </c>
      <c r="T510" s="8" t="n">
        <f aca="false">-SUMPRODUCT($G344:$G351*(YEAR($L344:$L351)=T361))*(T362&lt;$G190)*$G21</f>
        <v>-0</v>
      </c>
      <c r="U510" s="8" t="n">
        <f aca="false">-SUMPRODUCT($G344:$G351*(YEAR($L344:$L351)=U361))*(U362&lt;$G190)*$G21</f>
        <v>-0</v>
      </c>
      <c r="V510" s="8" t="n">
        <f aca="false">-SUMPRODUCT($G344:$G351*(YEAR($L344:$L351)=V361))*(V362&lt;$G190)*$G21</f>
        <v>-0</v>
      </c>
      <c r="W510" s="8" t="n">
        <f aca="false">-SUMPRODUCT($G344:$G351*(YEAR($L344:$L351)=W361))*(W362&lt;$G190)*$G21</f>
        <v>-0</v>
      </c>
      <c r="X510" s="8" t="n">
        <f aca="false">-SUMPRODUCT($G344:$G351*(YEAR($L344:$L351)=X361))*(X362&lt;$G190)*$G21</f>
        <v>-0</v>
      </c>
      <c r="Y510" s="8" t="n">
        <f aca="false">-SUMPRODUCT($G344:$G351*(YEAR($L344:$L351)=Y361))*(Y362&lt;$G190)*$G21</f>
        <v>-0</v>
      </c>
      <c r="Z510" s="8" t="n">
        <f aca="false">-SUMPRODUCT($G344:$G351*(YEAR($L344:$L351)=Z361))*(Z362&lt;$G190)*$G21</f>
        <v>-0</v>
      </c>
      <c r="AA510" s="8" t="n">
        <f aca="false">-SUMPRODUCT($G344:$G351*(YEAR($L344:$L351)=AA361))*(AA362&lt;$G190)*$G21</f>
        <v>-0</v>
      </c>
      <c r="AB510" s="8" t="n">
        <f aca="false">-SUMPRODUCT($G344:$G351*(YEAR($L344:$L351)=AB361))*(AB362&lt;$G190)*$G21</f>
        <v>-0</v>
      </c>
      <c r="AC510" s="8" t="n">
        <f aca="false">-SUMPRODUCT($G344:$G351*(YEAR($L344:$L351)=AC361))*(AC362&lt;$G190)*$G21</f>
        <v>-0</v>
      </c>
      <c r="AD510" s="8" t="n">
        <f aca="false">-SUMPRODUCT($G344:$G351*(YEAR($L344:$L351)=AD361))*(AD362&lt;$G190)*$G21</f>
        <v>-0</v>
      </c>
      <c r="AE510" s="8" t="n">
        <f aca="false">-SUMPRODUCT($G344:$G351*(YEAR($L344:$L351)=AE361))*(AE362&lt;$G190)*$G21</f>
        <v>-0</v>
      </c>
      <c r="AF510" s="8" t="n">
        <f aca="false">-SUMPRODUCT($G344:$G351*(YEAR($L344:$L351)=AF361))*(AF362&lt;$G190)*$G21</f>
        <v>-0</v>
      </c>
      <c r="AG510" s="8" t="n">
        <f aca="false">-SUMPRODUCT($G344:$G351*(YEAR($L344:$L351)=AG361))*(AG362&lt;$G190)*$G21</f>
        <v>-0</v>
      </c>
      <c r="AH510" s="8" t="n">
        <f aca="false">-SUMPRODUCT($G344:$G351*(YEAR($L344:$L351)=AH361))*(AH362&lt;$G190)*$G21</f>
        <v>-0</v>
      </c>
      <c r="AI510" s="8" t="n">
        <f aca="false">-SUMPRODUCT($G344:$G351*(YEAR($L344:$L351)=AI361))*(AI362&lt;$G190)*$G21</f>
        <v>-0</v>
      </c>
      <c r="AJ510" s="8" t="n">
        <f aca="false">-SUMPRODUCT($G344:$G351*(YEAR($L344:$L351)=AJ361))*(AJ362&lt;$G190)*$G21</f>
        <v>-0</v>
      </c>
      <c r="AK510" s="8" t="n">
        <f aca="false">-SUMPRODUCT($G344:$G351*(YEAR($L344:$L351)=AK361))*(AK362&lt;$G190)*$G21</f>
        <v>-0</v>
      </c>
      <c r="AL510" s="8" t="n">
        <f aca="false">-SUMPRODUCT($G344:$G351*(YEAR($L344:$L351)=AL361))*(AL362&lt;$G190)*$G21</f>
        <v>-0</v>
      </c>
      <c r="AM510" s="8" t="n">
        <f aca="false">-SUMPRODUCT($G344:$G351*(YEAR($L344:$L351)=AM361))*(AM362&lt;$G190)*$G21</f>
        <v>-0</v>
      </c>
      <c r="AN510" s="8" t="n">
        <f aca="false">-SUMPRODUCT($G344:$G351*(YEAR($L344:$L351)=AN361))*(AN362&lt;$G190)*$G21</f>
        <v>-0</v>
      </c>
      <c r="AO510" s="8" t="n">
        <f aca="false">-SUMPRODUCT($G344:$G351*(YEAR($L344:$L351)=AO361))*(AO362&lt;$G190)*$G21</f>
        <v>-0</v>
      </c>
      <c r="AP510" s="8" t="n">
        <f aca="false">-SUMPRODUCT($G344:$G351*(YEAR($L344:$L351)=AP361))*(AP362&lt;$G190)*$G21</f>
        <v>-0</v>
      </c>
      <c r="AQ510" s="8" t="n">
        <f aca="false">-SUMPRODUCT($G344:$G351*(YEAR($L344:$L351)=AQ361))*(AQ362&lt;$G190)*$G21</f>
        <v>-0</v>
      </c>
      <c r="AR510" s="8" t="n">
        <f aca="false">-SUMPRODUCT($G344:$G351*(YEAR($L344:$L351)=AR361))*(AR362&lt;$G190)*$G21</f>
        <v>-0</v>
      </c>
      <c r="AS510" s="8" t="n">
        <f aca="false">-SUMPRODUCT($G344:$G351*(YEAR($L344:$L351)=AS361))*(AS362&lt;$G190)*$G21</f>
        <v>-0</v>
      </c>
    </row>
    <row r="511" customFormat="false" ht="14.25" hidden="false" customHeight="false" outlineLevel="0" collapsed="false">
      <c r="C511" s="6" t="s">
        <v>334</v>
      </c>
      <c r="D511" s="2" t="s">
        <v>85</v>
      </c>
      <c r="H511" s="8" t="n">
        <f aca="false">SUM(J511:AS511)</f>
        <v>0</v>
      </c>
      <c r="J511" s="8" t="n">
        <f aca="false">(J508+J509-I508-I509-J510)*(J362&lt;$G190)*$G21</f>
        <v>0</v>
      </c>
      <c r="K511" s="8" t="n">
        <f aca="false">(K508+K509-J508-J509-K510)*(K362&lt;$G190)*$G21</f>
        <v>0</v>
      </c>
      <c r="L511" s="8" t="n">
        <f aca="false">(L508+L509-K508-K509-L510)*(L362&lt;$G190)*$G21</f>
        <v>0</v>
      </c>
      <c r="M511" s="8" t="n">
        <f aca="false">(M508+M509-L508-L509-M510)*(M362&lt;$G190)*$G21</f>
        <v>0</v>
      </c>
      <c r="N511" s="8" t="n">
        <f aca="false">(N508+N509-M508-M509-N510)*(N362&lt;$G190)*$G21</f>
        <v>0</v>
      </c>
      <c r="O511" s="8" t="n">
        <f aca="false">(O508+O509-N508-N509-O510)*(O362&lt;$G190)*$G21</f>
        <v>0</v>
      </c>
      <c r="P511" s="8" t="n">
        <f aca="false">(P508+P509-O508-O509-P510)*(P362&lt;$G190)*$G21</f>
        <v>0</v>
      </c>
      <c r="Q511" s="8" t="n">
        <f aca="false">(Q508+Q509-P508-P509-Q510)*(Q362&lt;$G190)*$G21</f>
        <v>0</v>
      </c>
      <c r="R511" s="8" t="n">
        <f aca="false">(R508+R509-Q508-Q509-R510)*(R362&lt;$G190)*$G21</f>
        <v>0</v>
      </c>
      <c r="S511" s="8" t="n">
        <f aca="false">(S508+S509-R508-R509-S510)*(S362&lt;$G190)*$G21</f>
        <v>0</v>
      </c>
      <c r="T511" s="8" t="n">
        <f aca="false">(T508+T509-S508-S509-T510)*(T362&lt;$G190)*$G21</f>
        <v>0</v>
      </c>
      <c r="U511" s="8" t="n">
        <f aca="false">(U508+U509-T508-T509-U510)*(U362&lt;$G190)*$G21</f>
        <v>0</v>
      </c>
      <c r="V511" s="8" t="n">
        <f aca="false">(V508+V509-U508-U509-V510)*(V362&lt;$G190)*$G21</f>
        <v>0</v>
      </c>
      <c r="W511" s="8" t="n">
        <f aca="false">(W508+W509-V508-V509-W510)*(W362&lt;$G190)*$G21</f>
        <v>0</v>
      </c>
      <c r="X511" s="8" t="n">
        <f aca="false">(X508+X509-W508-W509-X510)*(X362&lt;$G190)*$G21</f>
        <v>0</v>
      </c>
      <c r="Y511" s="8" t="n">
        <f aca="false">(Y508+Y509-X508-X509-Y510)*(Y362&lt;$G190)*$G21</f>
        <v>0</v>
      </c>
      <c r="Z511" s="8" t="n">
        <f aca="false">(Z508+Z509-Y508-Y509-Z510)*(Z362&lt;$G190)*$G21</f>
        <v>0</v>
      </c>
      <c r="AA511" s="8" t="n">
        <f aca="false">(AA508+AA509-Z508-Z509-AA510)*(AA362&lt;$G190)*$G21</f>
        <v>0</v>
      </c>
      <c r="AB511" s="8" t="n">
        <f aca="false">(AB508+AB509-AA508-AA509-AB510)*(AB362&lt;$G190)*$G21</f>
        <v>0</v>
      </c>
      <c r="AC511" s="8" t="n">
        <f aca="false">(AC508+AC509-AB508-AB509-AC510)*(AC362&lt;$G190)*$G21</f>
        <v>0</v>
      </c>
      <c r="AD511" s="8" t="n">
        <f aca="false">(AD508+AD509-AC508-AC509-AD510)*(AD362&lt;$G190)*$G21</f>
        <v>0</v>
      </c>
      <c r="AE511" s="8" t="n">
        <f aca="false">(AE508+AE509-AD508-AD509-AE510)*(AE362&lt;$G190)*$G21</f>
        <v>0</v>
      </c>
      <c r="AF511" s="8" t="n">
        <f aca="false">(AF508+AF509-AE508-AE509-AF510)*(AF362&lt;$G190)*$G21</f>
        <v>0</v>
      </c>
      <c r="AG511" s="8" t="n">
        <f aca="false">(AG508+AG509-AF508-AF509-AG510)*(AG362&lt;$G190)*$G21</f>
        <v>0</v>
      </c>
      <c r="AH511" s="8" t="n">
        <f aca="false">(AH508+AH509-AG508-AG509-AH510)*(AH362&lt;$G190)*$G21</f>
        <v>0</v>
      </c>
      <c r="AI511" s="8" t="n">
        <f aca="false">(AI508+AI509-AH508-AH509-AI510)*(AI362&lt;$G190)*$G21</f>
        <v>0</v>
      </c>
      <c r="AJ511" s="8" t="n">
        <f aca="false">(AJ508+AJ509-AI508-AI509-AJ510)*(AJ362&lt;$G190)*$G21</f>
        <v>0</v>
      </c>
      <c r="AK511" s="8" t="n">
        <f aca="false">(AK508+AK509-AJ508-AJ509-AK510)*(AK362&lt;$G190)*$G21</f>
        <v>0</v>
      </c>
      <c r="AL511" s="8" t="n">
        <f aca="false">(AL508+AL509-AK508-AK509-AL510)*(AL362&lt;$G190)*$G21</f>
        <v>0</v>
      </c>
      <c r="AM511" s="8" t="n">
        <f aca="false">(AM508+AM509-AL508-AL509-AM510)*(AM362&lt;$G190)*$G21</f>
        <v>0</v>
      </c>
      <c r="AN511" s="8" t="n">
        <f aca="false">(AN508+AN509-AM508-AM509-AN510)*(AN362&lt;$G190)*$G21</f>
        <v>0</v>
      </c>
      <c r="AO511" s="8" t="n">
        <f aca="false">(AO508+AO509-AN508-AN509-AO510)*(AO362&lt;$G190)*$G21</f>
        <v>0</v>
      </c>
      <c r="AP511" s="8" t="n">
        <f aca="false">(AP508+AP509-AO508-AO509-AP510)*(AP362&lt;$G190)*$G21</f>
        <v>0</v>
      </c>
      <c r="AQ511" s="8" t="n">
        <f aca="false">(AQ508+AQ509-AP508-AP509-AQ510)*(AQ362&lt;$G190)*$G21</f>
        <v>0</v>
      </c>
      <c r="AR511" s="8" t="n">
        <f aca="false">(AR508+AR509-AQ508-AQ509-AR510)*(AR362&lt;$G190)*$G21</f>
        <v>0</v>
      </c>
      <c r="AS511" s="8" t="n">
        <f aca="false">(AS508+AS509-AR508-AR509-AS510)*(AS362&lt;$G190)*$G21</f>
        <v>0</v>
      </c>
    </row>
    <row r="512" customFormat="false" ht="14.25" hidden="false" customHeight="false" outlineLevel="0" collapsed="false">
      <c r="C512" s="6" t="s">
        <v>335</v>
      </c>
      <c r="D512" s="2" t="s">
        <v>85</v>
      </c>
      <c r="H512" s="8"/>
      <c r="J512" s="8" t="n">
        <f aca="false">(I512*(1+Rate_Cash)-SUMPRODUCT($G290:$G293*$O290:$O293*(YEAR($L290:$L293)=J361)))*(J362&lt;$G225)*$G21</f>
        <v>0</v>
      </c>
      <c r="K512" s="8" t="n">
        <f aca="false">(J512*(1+Rate_Cash)-SUMPRODUCT($G290:$G293*$O290:$O293*(YEAR($L290:$L293)=K361)))*(K362&lt;$G225)*$G21</f>
        <v>0</v>
      </c>
      <c r="L512" s="8" t="n">
        <f aca="false">(K512*(1+Rate_Cash)-SUMPRODUCT($G290:$G293*$O290:$O293*(YEAR($L290:$L293)=L361)))*(L362&lt;$G225)*$G21</f>
        <v>0</v>
      </c>
      <c r="M512" s="8" t="n">
        <f aca="false">(L512*(1+Rate_Cash)-SUMPRODUCT($G290:$G293*$O290:$O293*(YEAR($L290:$L293)=M361)))*(M362&lt;$G225)*$G21</f>
        <v>0</v>
      </c>
      <c r="N512" s="8" t="n">
        <f aca="false">(M512*(1+Rate_Cash)-SUMPRODUCT($G290:$G293*$O290:$O293*(YEAR($L290:$L293)=N361)))*(N362&lt;$G225)*$G21</f>
        <v>0</v>
      </c>
      <c r="O512" s="8" t="n">
        <f aca="false">(N512*(1+Rate_Cash)-SUMPRODUCT($G290:$G293*$O290:$O293*(YEAR($L290:$L293)=O361)))*(O362&lt;$G225)*$G21</f>
        <v>0</v>
      </c>
      <c r="P512" s="8" t="n">
        <f aca="false">(O512*(1+Rate_Cash)-SUMPRODUCT($G290:$G293*$O290:$O293*(YEAR($L290:$L293)=P361)))*(P362&lt;$G225)*$G21</f>
        <v>0</v>
      </c>
      <c r="Q512" s="8" t="n">
        <f aca="false">(P512*(1+Rate_Cash)-SUMPRODUCT($G290:$G293*$O290:$O293*(YEAR($L290:$L293)=Q361)))*(Q362&lt;$G225)*$G21</f>
        <v>0</v>
      </c>
      <c r="R512" s="8" t="n">
        <f aca="false">(Q512*(1+Rate_Cash)-SUMPRODUCT($G290:$G293*$O290:$O293*(YEAR($L290:$L293)=R361)))*(R362&lt;$G225)*$G21</f>
        <v>0</v>
      </c>
      <c r="S512" s="8" t="n">
        <f aca="false">(R512*(1+Rate_Cash)-SUMPRODUCT($G290:$G293*$O290:$O293*(YEAR($L290:$L293)=S361)))*(S362&lt;$G225)*$G21</f>
        <v>0</v>
      </c>
      <c r="T512" s="8" t="n">
        <f aca="false">(S512*(1+Rate_Cash)-SUMPRODUCT($G290:$G293*$O290:$O293*(YEAR($L290:$L293)=T361)))*(T362&lt;$G225)*$G21</f>
        <v>0</v>
      </c>
      <c r="U512" s="8" t="n">
        <f aca="false">(T512*(1+Rate_Cash)-SUMPRODUCT($G290:$G293*$O290:$O293*(YEAR($L290:$L293)=U361)))*(U362&lt;$G225)*$G21</f>
        <v>0</v>
      </c>
      <c r="V512" s="8" t="n">
        <f aca="false">(U512*(1+Rate_Cash)-SUMPRODUCT($G290:$G293*$O290:$O293*(YEAR($L290:$L293)=V361)))*(V362&lt;$G225)*$G21</f>
        <v>0</v>
      </c>
      <c r="W512" s="8" t="n">
        <f aca="false">(V512*(1+Rate_Cash)-SUMPRODUCT($G290:$G293*$O290:$O293*(YEAR($L290:$L293)=W361)))*(W362&lt;$G225)*$G21</f>
        <v>0</v>
      </c>
      <c r="X512" s="8" t="n">
        <f aca="false">(W512*(1+Rate_Cash)-SUMPRODUCT($G290:$G293*$O290:$O293*(YEAR($L290:$L293)=X361)))*(X362&lt;$G225)*$G21</f>
        <v>0</v>
      </c>
      <c r="Y512" s="8" t="n">
        <f aca="false">(X512*(1+Rate_Cash)-SUMPRODUCT($G290:$G293*$O290:$O293*(YEAR($L290:$L293)=Y361)))*(Y362&lt;$G225)*$G21</f>
        <v>0</v>
      </c>
      <c r="Z512" s="8" t="n">
        <f aca="false">(Y512*(1+Rate_Cash)-SUMPRODUCT($G290:$G293*$O290:$O293*(YEAR($L290:$L293)=Z361)))*(Z362&lt;$G225)*$G21</f>
        <v>0</v>
      </c>
      <c r="AA512" s="8" t="n">
        <f aca="false">(Z512*(1+Rate_Cash)-SUMPRODUCT($G290:$G293*$O290:$O293*(YEAR($L290:$L293)=AA361)))*(AA362&lt;$G225)*$G21</f>
        <v>0</v>
      </c>
      <c r="AB512" s="8" t="n">
        <f aca="false">(AA512*(1+Rate_Cash)-SUMPRODUCT($G290:$G293*$O290:$O293*(YEAR($L290:$L293)=AB361)))*(AB362&lt;$G225)*$G21</f>
        <v>0</v>
      </c>
      <c r="AC512" s="8" t="n">
        <f aca="false">(AB512*(1+Rate_Cash)-SUMPRODUCT($G290:$G293*$O290:$O293*(YEAR($L290:$L293)=AC361)))*(AC362&lt;$G225)*$G21</f>
        <v>0</v>
      </c>
      <c r="AD512" s="8" t="n">
        <f aca="false">(AC512*(1+Rate_Cash)-SUMPRODUCT($G290:$G293*$O290:$O293*(YEAR($L290:$L293)=AD361)))*(AD362&lt;$G225)*$G21</f>
        <v>0</v>
      </c>
      <c r="AE512" s="8" t="n">
        <f aca="false">(AD512*(1+Rate_Cash)-SUMPRODUCT($G290:$G293*$O290:$O293*(YEAR($L290:$L293)=AE361)))*(AE362&lt;$G225)*$G21</f>
        <v>0</v>
      </c>
      <c r="AF512" s="8" t="n">
        <f aca="false">(AE512*(1+Rate_Cash)-SUMPRODUCT($G290:$G293*$O290:$O293*(YEAR($L290:$L293)=AF361)))*(AF362&lt;$G225)*$G21</f>
        <v>0</v>
      </c>
      <c r="AG512" s="8" t="n">
        <f aca="false">(AF512*(1+Rate_Cash)-SUMPRODUCT($G290:$G293*$O290:$O293*(YEAR($L290:$L293)=AG361)))*(AG362&lt;$G225)*$G21</f>
        <v>0</v>
      </c>
      <c r="AH512" s="8" t="n">
        <f aca="false">(AG512*(1+Rate_Cash)-SUMPRODUCT($G290:$G293*$O290:$O293*(YEAR($L290:$L293)=AH361)))*(AH362&lt;$G225)*$G21</f>
        <v>0</v>
      </c>
      <c r="AI512" s="8" t="n">
        <f aca="false">(AH512*(1+Rate_Cash)-SUMPRODUCT($G290:$G293*$O290:$O293*(YEAR($L290:$L293)=AI361)))*(AI362&lt;$G225)*$G21</f>
        <v>0</v>
      </c>
      <c r="AJ512" s="8" t="n">
        <f aca="false">(AI512*(1+Rate_Cash)-SUMPRODUCT($G290:$G293*$O290:$O293*(YEAR($L290:$L293)=AJ361)))*(AJ362&lt;$G225)*$G21</f>
        <v>0</v>
      </c>
      <c r="AK512" s="8" t="n">
        <f aca="false">(AJ512*(1+Rate_Cash)-SUMPRODUCT($G290:$G293*$O290:$O293*(YEAR($L290:$L293)=AK361)))*(AK362&lt;$G225)*$G21</f>
        <v>0</v>
      </c>
      <c r="AL512" s="8" t="n">
        <f aca="false">(AK512*(1+Rate_Cash)-SUMPRODUCT($G290:$G293*$O290:$O293*(YEAR($L290:$L293)=AL361)))*(AL362&lt;$G225)*$G21</f>
        <v>0</v>
      </c>
      <c r="AM512" s="8" t="n">
        <f aca="false">(AL512*(1+Rate_Cash)-SUMPRODUCT($G290:$G293*$O290:$O293*(YEAR($L290:$L293)=AM361)))*(AM362&lt;$G225)*$G21</f>
        <v>0</v>
      </c>
      <c r="AN512" s="8" t="n">
        <f aca="false">(AM512*(1+Rate_Cash)-SUMPRODUCT($G290:$G293*$O290:$O293*(YEAR($L290:$L293)=AN361)))*(AN362&lt;$G225)*$G21</f>
        <v>0</v>
      </c>
      <c r="AO512" s="8" t="n">
        <f aca="false">(AN512*(1+Rate_Cash)-SUMPRODUCT($G290:$G293*$O290:$O293*(YEAR($L290:$L293)=AO361)))*(AO362&lt;$G225)*$G21</f>
        <v>0</v>
      </c>
      <c r="AP512" s="8" t="n">
        <f aca="false">(AO512*(1+Rate_Cash)-SUMPRODUCT($G290:$G293*$O290:$O293*(YEAR($L290:$L293)=AP361)))*(AP362&lt;$G225)*$G21</f>
        <v>0</v>
      </c>
      <c r="AQ512" s="8" t="n">
        <f aca="false">(AP512*(1+Rate_Cash)-SUMPRODUCT($G290:$G293*$O290:$O293*(YEAR($L290:$L293)=AQ361)))*(AQ362&lt;$G225)*$G21</f>
        <v>0</v>
      </c>
      <c r="AR512" s="8" t="n">
        <f aca="false">(AQ512*(1+Rate_Cash)-SUMPRODUCT($G290:$G293*$O290:$O293*(YEAR($L290:$L293)=AR361)))*(AR362&lt;$G225)*$G21</f>
        <v>0</v>
      </c>
      <c r="AS512" s="8" t="n">
        <f aca="false">(AR512*(1+Rate_Cash)-SUMPRODUCT($G290:$G293*$O290:$O293*(YEAR($L290:$L293)=AS361)))*(AS362&lt;$G225)*$G21</f>
        <v>0</v>
      </c>
    </row>
    <row r="513" customFormat="false" ht="14.25" hidden="false" customHeight="false" outlineLevel="0" collapsed="false">
      <c r="C513" s="6" t="s">
        <v>336</v>
      </c>
      <c r="D513" s="2" t="s">
        <v>85</v>
      </c>
      <c r="H513" s="8"/>
      <c r="J513" s="8" t="n">
        <f aca="false">(I513*(1+Rate_Devex)-SUMPRODUCT($G294:$G295*$O294:$O295*(YEAR($L294:$L295)=J361)))*(J362&lt;$G225)*$G21</f>
        <v>0</v>
      </c>
      <c r="K513" s="8" t="n">
        <f aca="false">(J513*(1+Rate_Devex)-SUMPRODUCT($G294:$G295*$O294:$O295*(YEAR($L294:$L295)=K361)))*(K362&lt;$G225)*$G21</f>
        <v>0</v>
      </c>
      <c r="L513" s="8" t="n">
        <f aca="false">(K513*(1+Rate_Devex)-SUMPRODUCT($G294:$G295*$O294:$O295*(YEAR($L294:$L295)=L361)))*(L362&lt;$G225)*$G21</f>
        <v>0</v>
      </c>
      <c r="M513" s="8" t="n">
        <f aca="false">(L513*(1+Rate_Devex)-SUMPRODUCT($G294:$G295*$O294:$O295*(YEAR($L294:$L295)=M361)))*(M362&lt;$G225)*$G21</f>
        <v>0</v>
      </c>
      <c r="N513" s="8" t="n">
        <f aca="false">(M513*(1+Rate_Devex)-SUMPRODUCT($G294:$G295*$O294:$O295*(YEAR($L294:$L295)=N361)))*(N362&lt;$G225)*$G21</f>
        <v>0</v>
      </c>
      <c r="O513" s="8" t="n">
        <f aca="false">(N513*(1+Rate_Devex)-SUMPRODUCT($G294:$G295*$O294:$O295*(YEAR($L294:$L295)=O361)))*(O362&lt;$G225)*$G21</f>
        <v>0</v>
      </c>
      <c r="P513" s="8" t="n">
        <f aca="false">(O513*(1+Rate_Devex)-SUMPRODUCT($G294:$G295*$O294:$O295*(YEAR($L294:$L295)=P361)))*(P362&lt;$G225)*$G21</f>
        <v>0</v>
      </c>
      <c r="Q513" s="8" t="n">
        <f aca="false">(P513*(1+Rate_Devex)-SUMPRODUCT($G294:$G295*$O294:$O295*(YEAR($L294:$L295)=Q361)))*(Q362&lt;$G225)*$G21</f>
        <v>0</v>
      </c>
      <c r="R513" s="8" t="n">
        <f aca="false">(Q513*(1+Rate_Devex)-SUMPRODUCT($G294:$G295*$O294:$O295*(YEAR($L294:$L295)=R361)))*(R362&lt;$G225)*$G21</f>
        <v>0</v>
      </c>
      <c r="S513" s="8" t="n">
        <f aca="false">(R513*(1+Rate_Devex)-SUMPRODUCT($G294:$G295*$O294:$O295*(YEAR($L294:$L295)=S361)))*(S362&lt;$G225)*$G21</f>
        <v>0</v>
      </c>
      <c r="T513" s="8" t="n">
        <f aca="false">(S513*(1+Rate_Devex)-SUMPRODUCT($G294:$G295*$O294:$O295*(YEAR($L294:$L295)=T361)))*(T362&lt;$G225)*$G21</f>
        <v>0</v>
      </c>
      <c r="U513" s="8" t="n">
        <f aca="false">(T513*(1+Rate_Devex)-SUMPRODUCT($G294:$G295*$O294:$O295*(YEAR($L294:$L295)=U361)))*(U362&lt;$G225)*$G21</f>
        <v>0</v>
      </c>
      <c r="V513" s="8" t="n">
        <f aca="false">(U513*(1+Rate_Devex)-SUMPRODUCT($G294:$G295*$O294:$O295*(YEAR($L294:$L295)=V361)))*(V362&lt;$G225)*$G21</f>
        <v>0</v>
      </c>
      <c r="W513" s="8" t="n">
        <f aca="false">(V513*(1+Rate_Devex)-SUMPRODUCT($G294:$G295*$O294:$O295*(YEAR($L294:$L295)=W361)))*(W362&lt;$G225)*$G21</f>
        <v>0</v>
      </c>
      <c r="X513" s="8" t="n">
        <f aca="false">(W513*(1+Rate_Devex)-SUMPRODUCT($G294:$G295*$O294:$O295*(YEAR($L294:$L295)=X361)))*(X362&lt;$G225)*$G21</f>
        <v>0</v>
      </c>
      <c r="Y513" s="8" t="n">
        <f aca="false">(X513*(1+Rate_Devex)-SUMPRODUCT($G294:$G295*$O294:$O295*(YEAR($L294:$L295)=Y361)))*(Y362&lt;$G225)*$G21</f>
        <v>0</v>
      </c>
      <c r="Z513" s="8" t="n">
        <f aca="false">(Y513*(1+Rate_Devex)-SUMPRODUCT($G294:$G295*$O294:$O295*(YEAR($L294:$L295)=Z361)))*(Z362&lt;$G225)*$G21</f>
        <v>0</v>
      </c>
      <c r="AA513" s="8" t="n">
        <f aca="false">(Z513*(1+Rate_Devex)-SUMPRODUCT($G294:$G295*$O294:$O295*(YEAR($L294:$L295)=AA361)))*(AA362&lt;$G225)*$G21</f>
        <v>0</v>
      </c>
      <c r="AB513" s="8" t="n">
        <f aca="false">(AA513*(1+Rate_Devex)-SUMPRODUCT($G294:$G295*$O294:$O295*(YEAR($L294:$L295)=AB361)))*(AB362&lt;$G225)*$G21</f>
        <v>0</v>
      </c>
      <c r="AC513" s="8" t="n">
        <f aca="false">(AB513*(1+Rate_Devex)-SUMPRODUCT($G294:$G295*$O294:$O295*(YEAR($L294:$L295)=AC361)))*(AC362&lt;$G225)*$G21</f>
        <v>0</v>
      </c>
      <c r="AD513" s="8" t="n">
        <f aca="false">(AC513*(1+Rate_Devex)-SUMPRODUCT($G294:$G295*$O294:$O295*(YEAR($L294:$L295)=AD361)))*(AD362&lt;$G225)*$G21</f>
        <v>0</v>
      </c>
      <c r="AE513" s="8" t="n">
        <f aca="false">(AD513*(1+Rate_Devex)-SUMPRODUCT($G294:$G295*$O294:$O295*(YEAR($L294:$L295)=AE361)))*(AE362&lt;$G225)*$G21</f>
        <v>0</v>
      </c>
      <c r="AF513" s="8" t="n">
        <f aca="false">(AE513*(1+Rate_Devex)-SUMPRODUCT($G294:$G295*$O294:$O295*(YEAR($L294:$L295)=AF361)))*(AF362&lt;$G225)*$G21</f>
        <v>0</v>
      </c>
      <c r="AG513" s="8" t="n">
        <f aca="false">(AF513*(1+Rate_Devex)-SUMPRODUCT($G294:$G295*$O294:$O295*(YEAR($L294:$L295)=AG361)))*(AG362&lt;$G225)*$G21</f>
        <v>0</v>
      </c>
      <c r="AH513" s="8" t="n">
        <f aca="false">(AG513*(1+Rate_Devex)-SUMPRODUCT($G294:$G295*$O294:$O295*(YEAR($L294:$L295)=AH361)))*(AH362&lt;$G225)*$G21</f>
        <v>0</v>
      </c>
      <c r="AI513" s="8" t="n">
        <f aca="false">(AH513*(1+Rate_Devex)-SUMPRODUCT($G294:$G295*$O294:$O295*(YEAR($L294:$L295)=AI361)))*(AI362&lt;$G225)*$G21</f>
        <v>0</v>
      </c>
      <c r="AJ513" s="8" t="n">
        <f aca="false">(AI513*(1+Rate_Devex)-SUMPRODUCT($G294:$G295*$O294:$O295*(YEAR($L294:$L295)=AJ361)))*(AJ362&lt;$G225)*$G21</f>
        <v>0</v>
      </c>
      <c r="AK513" s="8" t="n">
        <f aca="false">(AJ513*(1+Rate_Devex)-SUMPRODUCT($G294:$G295*$O294:$O295*(YEAR($L294:$L295)=AK361)))*(AK362&lt;$G225)*$G21</f>
        <v>0</v>
      </c>
      <c r="AL513" s="8" t="n">
        <f aca="false">(AK513*(1+Rate_Devex)-SUMPRODUCT($G294:$G295*$O294:$O295*(YEAR($L294:$L295)=AL361)))*(AL362&lt;$G225)*$G21</f>
        <v>0</v>
      </c>
      <c r="AM513" s="8" t="n">
        <f aca="false">(AL513*(1+Rate_Devex)-SUMPRODUCT($G294:$G295*$O294:$O295*(YEAR($L294:$L295)=AM361)))*(AM362&lt;$G225)*$G21</f>
        <v>0</v>
      </c>
      <c r="AN513" s="8" t="n">
        <f aca="false">(AM513*(1+Rate_Devex)-SUMPRODUCT($G294:$G295*$O294:$O295*(YEAR($L294:$L295)=AN361)))*(AN362&lt;$G225)*$G21</f>
        <v>0</v>
      </c>
      <c r="AO513" s="8" t="n">
        <f aca="false">(AN513*(1+Rate_Devex)-SUMPRODUCT($G294:$G295*$O294:$O295*(YEAR($L294:$L295)=AO361)))*(AO362&lt;$G225)*$G21</f>
        <v>0</v>
      </c>
      <c r="AP513" s="8" t="n">
        <f aca="false">(AO513*(1+Rate_Devex)-SUMPRODUCT($G294:$G295*$O294:$O295*(YEAR($L294:$L295)=AP361)))*(AP362&lt;$G225)*$G21</f>
        <v>0</v>
      </c>
      <c r="AQ513" s="8" t="n">
        <f aca="false">(AP513*(1+Rate_Devex)-SUMPRODUCT($G294:$G295*$O294:$O295*(YEAR($L294:$L295)=AQ361)))*(AQ362&lt;$G225)*$G21</f>
        <v>0</v>
      </c>
      <c r="AR513" s="8" t="n">
        <f aca="false">(AQ513*(1+Rate_Devex)-SUMPRODUCT($G294:$G295*$O294:$O295*(YEAR($L294:$L295)=AR361)))*(AR362&lt;$G225)*$G21</f>
        <v>0</v>
      </c>
      <c r="AS513" s="8" t="n">
        <f aca="false">(AR513*(1+Rate_Devex)-SUMPRODUCT($G294:$G295*$O294:$O295*(YEAR($L294:$L295)=AS361)))*(AS362&lt;$G225)*$G21</f>
        <v>0</v>
      </c>
    </row>
    <row r="514" customFormat="false" ht="14.25" hidden="false" customHeight="false" outlineLevel="0" collapsed="false">
      <c r="C514" s="6" t="s">
        <v>337</v>
      </c>
      <c r="D514" s="2" t="s">
        <v>85</v>
      </c>
      <c r="H514" s="8" t="n">
        <f aca="false">SUM(J514:AS514)</f>
        <v>0</v>
      </c>
      <c r="J514" s="8" t="n">
        <f aca="false">-SUMPRODUCT($G290:$G295*(YEAR($L290:$L295)=J361))*(J362&lt;$G225)*$G21</f>
        <v>0</v>
      </c>
      <c r="K514" s="8" t="n">
        <f aca="false">-SUMPRODUCT($G290:$G295*(YEAR($L290:$L295)=K361))*(K362&lt;$G225)*$G21</f>
        <v>0</v>
      </c>
      <c r="L514" s="8" t="n">
        <f aca="false">-SUMPRODUCT($G290:$G295*(YEAR($L290:$L295)=L361))*(L362&lt;$G225)*$G21</f>
        <v>-0</v>
      </c>
      <c r="M514" s="8" t="n">
        <f aca="false">-SUMPRODUCT($G290:$G295*(YEAR($L290:$L295)=M361))*(M362&lt;$G225)*$G21</f>
        <v>-0</v>
      </c>
      <c r="N514" s="8" t="n">
        <f aca="false">-SUMPRODUCT($G290:$G295*(YEAR($L290:$L295)=N361))*(N362&lt;$G225)*$G21</f>
        <v>-0</v>
      </c>
      <c r="O514" s="8" t="n">
        <f aca="false">-SUMPRODUCT($G290:$G295*(YEAR($L290:$L295)=O361))*(O362&lt;$G225)*$G21</f>
        <v>-0</v>
      </c>
      <c r="P514" s="8" t="n">
        <f aca="false">-SUMPRODUCT($G290:$G295*(YEAR($L290:$L295)=P361))*(P362&lt;$G225)*$G21</f>
        <v>-0</v>
      </c>
      <c r="Q514" s="8" t="n">
        <f aca="false">-SUMPRODUCT($G290:$G295*(YEAR($L290:$L295)=Q361))*(Q362&lt;$G225)*$G21</f>
        <v>-0</v>
      </c>
      <c r="R514" s="8" t="n">
        <f aca="false">-SUMPRODUCT($G290:$G295*(YEAR($L290:$L295)=R361))*(R362&lt;$G225)*$G21</f>
        <v>-0</v>
      </c>
      <c r="S514" s="8" t="n">
        <f aca="false">-SUMPRODUCT($G290:$G295*(YEAR($L290:$L295)=S361))*(S362&lt;$G225)*$G21</f>
        <v>-0</v>
      </c>
      <c r="T514" s="8" t="n">
        <f aca="false">-SUMPRODUCT($G290:$G295*(YEAR($L290:$L295)=T361))*(T362&lt;$G225)*$G21</f>
        <v>-0</v>
      </c>
      <c r="U514" s="8" t="n">
        <f aca="false">-SUMPRODUCT($G290:$G295*(YEAR($L290:$L295)=U361))*(U362&lt;$G225)*$G21</f>
        <v>-0</v>
      </c>
      <c r="V514" s="8" t="n">
        <f aca="false">-SUMPRODUCT($G290:$G295*(YEAR($L290:$L295)=V361))*(V362&lt;$G225)*$G21</f>
        <v>-0</v>
      </c>
      <c r="W514" s="8" t="n">
        <f aca="false">-SUMPRODUCT($G290:$G295*(YEAR($L290:$L295)=W361))*(W362&lt;$G225)*$G21</f>
        <v>-0</v>
      </c>
      <c r="X514" s="8" t="n">
        <f aca="false">-SUMPRODUCT($G290:$G295*(YEAR($L290:$L295)=X361))*(X362&lt;$G225)*$G21</f>
        <v>-0</v>
      </c>
      <c r="Y514" s="8" t="n">
        <f aca="false">-SUMPRODUCT($G290:$G295*(YEAR($L290:$L295)=Y361))*(Y362&lt;$G225)*$G21</f>
        <v>-0</v>
      </c>
      <c r="Z514" s="8" t="n">
        <f aca="false">-SUMPRODUCT($G290:$G295*(YEAR($L290:$L295)=Z361))*(Z362&lt;$G225)*$G21</f>
        <v>-0</v>
      </c>
      <c r="AA514" s="8" t="n">
        <f aca="false">-SUMPRODUCT($G290:$G295*(YEAR($L290:$L295)=AA361))*(AA362&lt;$G225)*$G21</f>
        <v>-0</v>
      </c>
      <c r="AB514" s="8" t="n">
        <f aca="false">-SUMPRODUCT($G290:$G295*(YEAR($L290:$L295)=AB361))*(AB362&lt;$G225)*$G21</f>
        <v>-0</v>
      </c>
      <c r="AC514" s="8" t="n">
        <f aca="false">-SUMPRODUCT($G290:$G295*(YEAR($L290:$L295)=AC361))*(AC362&lt;$G225)*$G21</f>
        <v>-0</v>
      </c>
      <c r="AD514" s="8" t="n">
        <f aca="false">-SUMPRODUCT($G290:$G295*(YEAR($L290:$L295)=AD361))*(AD362&lt;$G225)*$G21</f>
        <v>-0</v>
      </c>
      <c r="AE514" s="8" t="n">
        <f aca="false">-SUMPRODUCT($G290:$G295*(YEAR($L290:$L295)=AE361))*(AE362&lt;$G225)*$G21</f>
        <v>-0</v>
      </c>
      <c r="AF514" s="8" t="n">
        <f aca="false">-SUMPRODUCT($G290:$G295*(YEAR($L290:$L295)=AF361))*(AF362&lt;$G225)*$G21</f>
        <v>-0</v>
      </c>
      <c r="AG514" s="8" t="n">
        <f aca="false">-SUMPRODUCT($G290:$G295*(YEAR($L290:$L295)=AG361))*(AG362&lt;$G225)*$G21</f>
        <v>-0</v>
      </c>
      <c r="AH514" s="8" t="n">
        <f aca="false">-SUMPRODUCT($G290:$G295*(YEAR($L290:$L295)=AH361))*(AH362&lt;$G225)*$G21</f>
        <v>-0</v>
      </c>
      <c r="AI514" s="8" t="n">
        <f aca="false">-SUMPRODUCT($G290:$G295*(YEAR($L290:$L295)=AI361))*(AI362&lt;$G225)*$G21</f>
        <v>-0</v>
      </c>
      <c r="AJ514" s="8" t="n">
        <f aca="false">-SUMPRODUCT($G290:$G295*(YEAR($L290:$L295)=AJ361))*(AJ362&lt;$G225)*$G21</f>
        <v>-0</v>
      </c>
      <c r="AK514" s="8" t="n">
        <f aca="false">-SUMPRODUCT($G290:$G295*(YEAR($L290:$L295)=AK361))*(AK362&lt;$G225)*$G21</f>
        <v>-0</v>
      </c>
      <c r="AL514" s="8" t="n">
        <f aca="false">-SUMPRODUCT($G290:$G295*(YEAR($L290:$L295)=AL361))*(AL362&lt;$G225)*$G21</f>
        <v>-0</v>
      </c>
      <c r="AM514" s="8" t="n">
        <f aca="false">-SUMPRODUCT($G290:$G295*(YEAR($L290:$L295)=AM361))*(AM362&lt;$G225)*$G21</f>
        <v>-0</v>
      </c>
      <c r="AN514" s="8" t="n">
        <f aca="false">-SUMPRODUCT($G290:$G295*(YEAR($L290:$L295)=AN361))*(AN362&lt;$G225)*$G21</f>
        <v>-0</v>
      </c>
      <c r="AO514" s="8" t="n">
        <f aca="false">-SUMPRODUCT($G290:$G295*(YEAR($L290:$L295)=AO361))*(AO362&lt;$G225)*$G21</f>
        <v>-0</v>
      </c>
      <c r="AP514" s="8" t="n">
        <f aca="false">-SUMPRODUCT($G290:$G295*(YEAR($L290:$L295)=AP361))*(AP362&lt;$G225)*$G21</f>
        <v>-0</v>
      </c>
      <c r="AQ514" s="8" t="n">
        <f aca="false">-SUMPRODUCT($G290:$G295*(YEAR($L290:$L295)=AQ361))*(AQ362&lt;$G225)*$G21</f>
        <v>-0</v>
      </c>
      <c r="AR514" s="8" t="n">
        <f aca="false">-SUMPRODUCT($G290:$G295*(YEAR($L290:$L295)=AR361))*(AR362&lt;$G225)*$G21</f>
        <v>-0</v>
      </c>
      <c r="AS514" s="8" t="n">
        <f aca="false">-SUMPRODUCT($G290:$G295*(YEAR($L290:$L295)=AS361))*(AS362&lt;$G225)*$G21</f>
        <v>-0</v>
      </c>
    </row>
    <row r="515" customFormat="false" ht="14.25" hidden="false" customHeight="false" outlineLevel="0" collapsed="false">
      <c r="C515" s="6" t="s">
        <v>338</v>
      </c>
      <c r="D515" s="2" t="s">
        <v>85</v>
      </c>
      <c r="H515" s="8" t="n">
        <f aca="false">SUM(J515:AS515)</f>
        <v>0</v>
      </c>
      <c r="J515" s="8" t="n">
        <f aca="false">(J512+J513-I512-I513-J514)*(J362&lt;$G225)*$G21</f>
        <v>0</v>
      </c>
      <c r="K515" s="8" t="n">
        <f aca="false">(K512+K513-J512-J513-K514)*(K362&lt;$G225)*$G21</f>
        <v>0</v>
      </c>
      <c r="L515" s="8" t="n">
        <f aca="false">(L512+L513-K512-K513-L514)*(L362&lt;$G225)*$G21</f>
        <v>0</v>
      </c>
      <c r="M515" s="8" t="n">
        <f aca="false">(M512+M513-L512-L513-M514)*(M362&lt;$G225)*$G21</f>
        <v>0</v>
      </c>
      <c r="N515" s="8" t="n">
        <f aca="false">(N512+N513-M512-M513-N514)*(N362&lt;$G225)*$G21</f>
        <v>0</v>
      </c>
      <c r="O515" s="8" t="n">
        <f aca="false">(O512+O513-N512-N513-O514)*(O362&lt;$G225)*$G21</f>
        <v>0</v>
      </c>
      <c r="P515" s="8" t="n">
        <f aca="false">(P512+P513-O512-O513-P514)*(P362&lt;$G225)*$G21</f>
        <v>0</v>
      </c>
      <c r="Q515" s="8" t="n">
        <f aca="false">(Q512+Q513-P512-P513-Q514)*(Q362&lt;$G225)*$G21</f>
        <v>0</v>
      </c>
      <c r="R515" s="8" t="n">
        <f aca="false">(R512+R513-Q512-Q513-R514)*(R362&lt;$G225)*$G21</f>
        <v>0</v>
      </c>
      <c r="S515" s="8" t="n">
        <f aca="false">(S512+S513-R512-R513-S514)*(S362&lt;$G225)*$G21</f>
        <v>0</v>
      </c>
      <c r="T515" s="8" t="n">
        <f aca="false">(T512+T513-S512-S513-T514)*(T362&lt;$G225)*$G21</f>
        <v>0</v>
      </c>
      <c r="U515" s="8" t="n">
        <f aca="false">(U512+U513-T512-T513-U514)*(U362&lt;$G225)*$G21</f>
        <v>0</v>
      </c>
      <c r="V515" s="8" t="n">
        <f aca="false">(V512+V513-U512-U513-V514)*(V362&lt;$G225)*$G21</f>
        <v>0</v>
      </c>
      <c r="W515" s="8" t="n">
        <f aca="false">(W512+W513-V512-V513-W514)*(W362&lt;$G225)*$G21</f>
        <v>0</v>
      </c>
      <c r="X515" s="8" t="n">
        <f aca="false">(X512+X513-W512-W513-X514)*(X362&lt;$G225)*$G21</f>
        <v>0</v>
      </c>
      <c r="Y515" s="8" t="n">
        <f aca="false">(Y512+Y513-X512-X513-Y514)*(Y362&lt;$G225)*$G21</f>
        <v>0</v>
      </c>
      <c r="Z515" s="8" t="n">
        <f aca="false">(Z512+Z513-Y512-Y513-Z514)*(Z362&lt;$G225)*$G21</f>
        <v>0</v>
      </c>
      <c r="AA515" s="8" t="n">
        <f aca="false">(AA512+AA513-Z512-Z513-AA514)*(AA362&lt;$G225)*$G21</f>
        <v>0</v>
      </c>
      <c r="AB515" s="8" t="n">
        <f aca="false">(AB512+AB513-AA512-AA513-AB514)*(AB362&lt;$G225)*$G21</f>
        <v>0</v>
      </c>
      <c r="AC515" s="8" t="n">
        <f aca="false">(AC512+AC513-AB512-AB513-AC514)*(AC362&lt;$G225)*$G21</f>
        <v>0</v>
      </c>
      <c r="AD515" s="8" t="n">
        <f aca="false">(AD512+AD513-AC512-AC513-AD514)*(AD362&lt;$G225)*$G21</f>
        <v>0</v>
      </c>
      <c r="AE515" s="8" t="n">
        <f aca="false">(AE512+AE513-AD512-AD513-AE514)*(AE362&lt;$G225)*$G21</f>
        <v>0</v>
      </c>
      <c r="AF515" s="8" t="n">
        <f aca="false">(AF512+AF513-AE512-AE513-AF514)*(AF362&lt;$G225)*$G21</f>
        <v>0</v>
      </c>
      <c r="AG515" s="8" t="n">
        <f aca="false">(AG512+AG513-AF512-AF513-AG514)*(AG362&lt;$G225)*$G21</f>
        <v>0</v>
      </c>
      <c r="AH515" s="8" t="n">
        <f aca="false">(AH512+AH513-AG512-AG513-AH514)*(AH362&lt;$G225)*$G21</f>
        <v>0</v>
      </c>
      <c r="AI515" s="8" t="n">
        <f aca="false">(AI512+AI513-AH512-AH513-AI514)*(AI362&lt;$G225)*$G21</f>
        <v>0</v>
      </c>
      <c r="AJ515" s="8" t="n">
        <f aca="false">(AJ512+AJ513-AI512-AI513-AJ514)*(AJ362&lt;$G225)*$G21</f>
        <v>0</v>
      </c>
      <c r="AK515" s="8" t="n">
        <f aca="false">(AK512+AK513-AJ512-AJ513-AK514)*(AK362&lt;$G225)*$G21</f>
        <v>0</v>
      </c>
      <c r="AL515" s="8" t="n">
        <f aca="false">(AL512+AL513-AK512-AK513-AL514)*(AL362&lt;$G225)*$G21</f>
        <v>0</v>
      </c>
      <c r="AM515" s="8" t="n">
        <f aca="false">(AM512+AM513-AL512-AL513-AM514)*(AM362&lt;$G225)*$G21</f>
        <v>0</v>
      </c>
      <c r="AN515" s="8" t="n">
        <f aca="false">(AN512+AN513-AM512-AM513-AN514)*(AN362&lt;$G225)*$G21</f>
        <v>0</v>
      </c>
      <c r="AO515" s="8" t="n">
        <f aca="false">(AO512+AO513-AN512-AN513-AO514)*(AO362&lt;$G225)*$G21</f>
        <v>0</v>
      </c>
      <c r="AP515" s="8" t="n">
        <f aca="false">(AP512+AP513-AO512-AO513-AP514)*(AP362&lt;$G225)*$G21</f>
        <v>0</v>
      </c>
      <c r="AQ515" s="8" t="n">
        <f aca="false">(AQ512+AQ513-AP512-AP513-AQ514)*(AQ362&lt;$G225)*$G21</f>
        <v>0</v>
      </c>
      <c r="AR515" s="8" t="n">
        <f aca="false">(AR512+AR513-AQ512-AQ513-AR514)*(AR362&lt;$G225)*$G21</f>
        <v>0</v>
      </c>
      <c r="AS515" s="8" t="n">
        <f aca="false">(AS512+AS513-AR512-AR513-AS514)*(AS362&lt;$G225)*$G21</f>
        <v>0</v>
      </c>
    </row>
    <row r="517" customFormat="false" ht="14.25" hidden="false" customHeight="false" outlineLevel="0" collapsed="false">
      <c r="B517" s="4" t="s">
        <v>3</v>
      </c>
      <c r="C517" s="4" t="s">
        <v>341</v>
      </c>
      <c r="D517" s="4" t="s">
        <v>85</v>
      </c>
      <c r="E517" s="5" t="s">
        <v>5</v>
      </c>
      <c r="F517" s="5" t="s">
        <v>6</v>
      </c>
      <c r="G517" s="5" t="s">
        <v>7</v>
      </c>
      <c r="H517" s="5" t="s">
        <v>8</v>
      </c>
    </row>
    <row r="518" customFormat="false" ht="14.25" hidden="false" customHeight="false" outlineLevel="0" collapsed="false">
      <c r="C518" s="6" t="s">
        <v>259</v>
      </c>
      <c r="D518" s="2" t="s">
        <v>85</v>
      </c>
      <c r="E518" s="8" t="n">
        <f aca="false">-MAX(0,$H$404)*CIT_Rate*(1-Share_Exempt)</f>
        <v>-0</v>
      </c>
      <c r="F518" s="8" t="n">
        <f aca="false">-MAX(0,$H$455)*CIT_Rate*(1-Share_Exempt)</f>
        <v>-0</v>
      </c>
      <c r="G518" s="8" t="n">
        <f aca="false">-MAX(0,$H$506)*CIT_Rate*(1-Share_Exempt)</f>
        <v>-0</v>
      </c>
      <c r="H518" s="8" t="n">
        <f aca="false">SUM(E518:G518)</f>
        <v>0</v>
      </c>
    </row>
    <row r="519" customFormat="false" ht="14.25" hidden="false" customHeight="false" outlineLevel="0" collapsed="false">
      <c r="C519" s="1" t="s">
        <v>342</v>
      </c>
      <c r="D519" s="2" t="s">
        <v>85</v>
      </c>
      <c r="E519" s="15" t="n">
        <f aca="false">$H$404+E518</f>
        <v>32562.7204740098</v>
      </c>
      <c r="F519" s="15" t="n">
        <f aca="false">$H$455+F518</f>
        <v>40517.0073540907</v>
      </c>
      <c r="G519" s="15" t="n">
        <f aca="false">$H$506+G518</f>
        <v>40517.0073540907</v>
      </c>
      <c r="H519" s="15" t="n">
        <f aca="false">SUM(E519:G519)</f>
        <v>113596.735182191</v>
      </c>
    </row>
    <row r="521" customFormat="false" ht="14.25" hidden="false" customHeight="false" outlineLevel="0" collapsed="false">
      <c r="B521" s="4" t="s">
        <v>3</v>
      </c>
      <c r="C521" s="4" t="s">
        <v>343</v>
      </c>
      <c r="D521" s="4"/>
      <c r="E521" s="5" t="s">
        <v>5</v>
      </c>
      <c r="F521" s="5" t="s">
        <v>6</v>
      </c>
      <c r="G521" s="5" t="s">
        <v>7</v>
      </c>
      <c r="H521" s="5" t="s">
        <v>8</v>
      </c>
    </row>
    <row r="522" customFormat="false" ht="14.25" hidden="false" customHeight="false" outlineLevel="0" collapsed="false">
      <c r="C522" s="6" t="s">
        <v>344</v>
      </c>
      <c r="D522" s="2" t="s">
        <v>2</v>
      </c>
      <c r="E522" s="76" t="n">
        <f aca="false">(ABS(SUM(E343:E356)-E339)&gt;Tolerance)*1</f>
        <v>0</v>
      </c>
      <c r="F522" s="76" t="n">
        <f aca="false">(ABS(SUM(F343:F356)-F339)&gt;Tolerance)*1</f>
        <v>0</v>
      </c>
      <c r="G522" s="76" t="n">
        <f aca="false">(ABS(SUM(G343:G356)-G339)&gt;Tolerance)*1</f>
        <v>0</v>
      </c>
      <c r="H522" s="76" t="n">
        <f aca="false">SUM(E522:G522)</f>
        <v>0</v>
      </c>
    </row>
    <row r="523" customFormat="false" ht="14.25" hidden="false" customHeight="false" outlineLevel="0" collapsed="false">
      <c r="C523" s="6" t="s">
        <v>345</v>
      </c>
      <c r="D523" s="2" t="s">
        <v>2</v>
      </c>
      <c r="E523" s="76" t="n">
        <f aca="false">(YEAR(MAX(Inputs!E$21:E$24,$J$55:$J$56))&gt;=YEAR(E190))*1</f>
        <v>0</v>
      </c>
      <c r="F523" s="76" t="n">
        <f aca="false">(YEAR(MAX(Inputs!F$21:F$24,$J$55:$J$56))&gt;=YEAR(F190))*1</f>
        <v>0</v>
      </c>
      <c r="G523" s="76" t="n">
        <f aca="false">(YEAR(MAX(Inputs!G$21:G$24,$J$55:$J$56))&gt;=YEAR(G190))*1</f>
        <v>0</v>
      </c>
      <c r="H523" s="76" t="n">
        <f aca="false">SUM(E523:G523)</f>
        <v>0</v>
      </c>
    </row>
    <row r="524" customFormat="false" ht="14.25" hidden="false" customHeight="false" outlineLevel="0" collapsed="false">
      <c r="C524" s="6" t="s">
        <v>346</v>
      </c>
      <c r="D524" s="2" t="s">
        <v>2</v>
      </c>
      <c r="E524" s="76" t="n">
        <f aca="false">N(AND(E17&lt;&gt;"EU",E17&lt;&gt;"CN"))</f>
        <v>0</v>
      </c>
      <c r="F524" s="76" t="n">
        <f aca="false">N(AND(F17&lt;&gt;"EU",F17&lt;&gt;"CN"))</f>
        <v>0</v>
      </c>
      <c r="G524" s="76" t="n">
        <f aca="false">N(AND(G17&lt;&gt;"EU",G17&lt;&gt;"CN"))</f>
        <v>0</v>
      </c>
      <c r="H524" s="76" t="n">
        <f aca="false">SUM(E524:G524)</f>
        <v>0</v>
      </c>
    </row>
    <row r="525" customFormat="false" ht="14.25" hidden="false" customHeight="false" outlineLevel="0" collapsed="false">
      <c r="C525" s="6" t="s">
        <v>347</v>
      </c>
      <c r="D525" s="2" t="s">
        <v>2</v>
      </c>
      <c r="E525" s="76" t="n">
        <f aca="false">(ABS(SUM(Devex_HUF)/FX/Thousand*Inputs!E$18-E68-E67)&gt;Tolerance)*1</f>
        <v>0</v>
      </c>
      <c r="F525" s="76" t="n">
        <f aca="false">(ABS(SUM(Devex_HUF)/FX/Thousand*Inputs!F$18-F68-F67)&gt;Tolerance)*1</f>
        <v>0</v>
      </c>
      <c r="G525" s="76" t="n">
        <f aca="false">(ABS(SUM(Devex_HUF)/FX/Thousand*Inputs!G$18-G68-G67)&gt;Tolerance)*1</f>
        <v>0</v>
      </c>
      <c r="H525" s="76" t="n">
        <f aca="false">SUM(E525:G525)</f>
        <v>0</v>
      </c>
    </row>
    <row r="526" customFormat="false" ht="14.25" hidden="false" customHeight="false" outlineLevel="0" collapsed="false">
      <c r="C526" s="6" t="s">
        <v>348</v>
      </c>
      <c r="D526" s="2" t="s">
        <v>2</v>
      </c>
      <c r="E526" s="76" t="n">
        <f aca="false">N(ABS(E91+$H$373)&gt;Tolerance)</f>
        <v>0</v>
      </c>
      <c r="F526" s="76" t="n">
        <f aca="false">N(ABS(F91+$H$424)&gt;Tolerance)</f>
        <v>0</v>
      </c>
      <c r="G526" s="76" t="n">
        <f aca="false">N(ABS(G91+$H$475)&gt;Tolerance)</f>
        <v>0</v>
      </c>
      <c r="H526" s="76" t="n">
        <f aca="false">SUM(E526:G526)</f>
        <v>0</v>
      </c>
    </row>
    <row r="527" customFormat="false" ht="14.25" hidden="false" customHeight="false" outlineLevel="0" collapsed="false">
      <c r="C527" s="6" t="s">
        <v>349</v>
      </c>
      <c r="D527" s="2" t="s">
        <v>2</v>
      </c>
      <c r="E527" s="76" t="n">
        <f aca="false">N(ABS(E99+$H$375)&gt;Tolerance)</f>
        <v>0</v>
      </c>
      <c r="F527" s="76" t="n">
        <f aca="false">N(ABS(F99+$H$426)&gt;Tolerance)</f>
        <v>0</v>
      </c>
      <c r="G527" s="76" t="n">
        <f aca="false">N(ABS(G99+$H$477)&gt;Tolerance)</f>
        <v>0</v>
      </c>
      <c r="H527" s="76" t="n">
        <f aca="false">SUM(E527:G527)</f>
        <v>0</v>
      </c>
    </row>
    <row r="528" customFormat="false" ht="14.25" hidden="false" customHeight="false" outlineLevel="0" collapsed="false">
      <c r="C528" s="6" t="s">
        <v>350</v>
      </c>
      <c r="D528" s="2" t="s">
        <v>2</v>
      </c>
      <c r="E528" s="76" t="n">
        <f aca="false">N(ABS($H$369-Life)&gt;Tolerance)</f>
        <v>0</v>
      </c>
      <c r="F528" s="76" t="n">
        <f aca="false">N(ABS($H$420-Life)&gt;Tolerance)</f>
        <v>0</v>
      </c>
      <c r="G528" s="76" t="n">
        <f aca="false">N(ABS($H$471-Life)&gt;Tolerance)</f>
        <v>0</v>
      </c>
      <c r="H528" s="76" t="n">
        <f aca="false">SUM(E528:G528)</f>
        <v>0</v>
      </c>
    </row>
    <row r="529" customFormat="false" ht="14.25" hidden="false" customHeight="false" outlineLevel="0" collapsed="false">
      <c r="C529" s="6" t="s">
        <v>351</v>
      </c>
      <c r="D529" s="2" t="s">
        <v>2</v>
      </c>
      <c r="E529" s="76" t="n">
        <f aca="false">N(Sale_Date_A&gt;=Inputs!E$24)</f>
        <v>0</v>
      </c>
      <c r="F529" s="76" t="n">
        <f aca="false">N(Sale_Date_A&gt;=Inputs!F$24)</f>
        <v>0</v>
      </c>
      <c r="G529" s="76" t="n">
        <f aca="false">N(Sale_Date_A&gt;=Inputs!G$24)</f>
        <v>0</v>
      </c>
      <c r="H529" s="76" t="n">
        <f aca="false">SUM(E529:G529)</f>
        <v>0</v>
      </c>
    </row>
    <row r="530" customFormat="false" ht="14.25" hidden="false" customHeight="false" outlineLevel="0" collapsed="false">
      <c r="C530" s="6" t="s">
        <v>352</v>
      </c>
      <c r="D530" s="2" t="s">
        <v>2</v>
      </c>
      <c r="E530" s="76" t="n">
        <f aca="false">N(ABS(E133+$H$375)&gt;Tolerance)</f>
        <v>0</v>
      </c>
      <c r="F530" s="76" t="n">
        <f aca="false">N(ABS(F133+$H$426)&gt;Tolerance)</f>
        <v>0</v>
      </c>
      <c r="G530" s="76" t="n">
        <f aca="false">N(ABS(G133+$H$477)&gt;Tolerance)</f>
        <v>0</v>
      </c>
      <c r="H530" s="76" t="n">
        <f aca="false">SUM(E530:G530)</f>
        <v>0</v>
      </c>
    </row>
    <row r="531" customFormat="false" ht="14.25" hidden="false" customHeight="false" outlineLevel="0" collapsed="false">
      <c r="C531" s="6" t="s">
        <v>353</v>
      </c>
      <c r="D531" s="2" t="s">
        <v>2</v>
      </c>
      <c r="E531" s="76" t="n">
        <f aca="false">(ABS(SUM(E289:E300)-E284)&gt;Tolerance)*1</f>
        <v>0</v>
      </c>
      <c r="F531" s="76" t="n">
        <f aca="false">(ABS(SUM(F289:F300)-F284)&gt;Tolerance)*1</f>
        <v>0</v>
      </c>
      <c r="G531" s="76" t="n">
        <f aca="false">(ABS(SUM(G289:G300)-G284)&gt;Tolerance)*1</f>
        <v>0</v>
      </c>
      <c r="H531" s="76" t="n">
        <f aca="false">SUM(E531:G531)</f>
        <v>0</v>
      </c>
    </row>
    <row r="532" customFormat="false" ht="14.25" hidden="false" customHeight="false" outlineLevel="0" collapsed="false">
      <c r="C532" s="6" t="s">
        <v>354</v>
      </c>
      <c r="D532" s="2" t="s">
        <v>2</v>
      </c>
      <c r="E532" s="76" t="n">
        <f aca="false">N(ABS($AS$398)&gt;Tolerance)</f>
        <v>0</v>
      </c>
      <c r="F532" s="76" t="n">
        <f aca="false">N(ABS($AS$449)&gt;Tolerance)</f>
        <v>0</v>
      </c>
      <c r="G532" s="76" t="n">
        <f aca="false">N(ABS($AS$500)&gt;Tolerance)</f>
        <v>0</v>
      </c>
      <c r="H532" s="76" t="n">
        <f aca="false">SUM(E532:G532)</f>
        <v>0</v>
      </c>
    </row>
    <row r="533" customFormat="false" ht="14.25" hidden="false" customHeight="false" outlineLevel="0" collapsed="false">
      <c r="C533" s="6" t="s">
        <v>355</v>
      </c>
      <c r="D533" s="2" t="s">
        <v>2</v>
      </c>
      <c r="E533" s="76" t="n">
        <f aca="false">N(E356&gt;Tolerance)+N(E300&gt;Tolerance)</f>
        <v>0</v>
      </c>
      <c r="F533" s="76" t="n">
        <f aca="false">N(F356&gt;Tolerance)+N(F300&gt;Tolerance)</f>
        <v>0</v>
      </c>
      <c r="G533" s="76" t="n">
        <f aca="false">N(G356&gt;Tolerance)+N(G300&gt;Tolerance)</f>
        <v>0</v>
      </c>
      <c r="H533" s="76" t="n">
        <f aca="false">SUM(E533:G533)</f>
        <v>0</v>
      </c>
    </row>
    <row r="534" customFormat="false" ht="14.25" hidden="false" customHeight="false" outlineLevel="0" collapsed="false">
      <c r="C534" s="6" t="s">
        <v>356</v>
      </c>
      <c r="D534" s="2" t="s">
        <v>2</v>
      </c>
      <c r="E534" s="76"/>
      <c r="F534" s="76"/>
      <c r="G534" s="76"/>
      <c r="H534" s="76" t="n">
        <f aca="false">SUMPRODUCT(--ISERROR(E109:H149))</f>
        <v>0</v>
      </c>
    </row>
    <row r="535" customFormat="false" ht="14.25" hidden="false" customHeight="false" outlineLevel="0" collapsed="false">
      <c r="C535" s="1" t="s">
        <v>357</v>
      </c>
      <c r="D535" s="2" t="s">
        <v>2</v>
      </c>
      <c r="H535" s="78" t="n">
        <f aca="false">SUM(H522:H534)</f>
        <v>0</v>
      </c>
    </row>
    <row r="537" customFormat="false" ht="14.25" hidden="false" customHeight="false" outlineLevel="0" collapsed="false">
      <c r="C537" s="79" t="s">
        <v>358</v>
      </c>
    </row>
  </sheetData>
  <conditionalFormatting sqref="H3">
    <cfRule type="cellIs" priority="2" operator="equal" aboveAverage="0" equalAverage="0" bottom="0" percent="0" rank="0" text="" dxfId="0">
      <formula>0</formula>
    </cfRule>
    <cfRule type="cellIs" priority="3" operator="notEqual" aboveAverage="0" equalAverage="0" bottom="0" percent="0" rank="0" text="" dxfId="1">
      <formula>0</formula>
    </cfRule>
  </conditionalFormatting>
  <conditionalFormatting sqref="H535">
    <cfRule type="cellIs" priority="4" operator="notEqual" aboveAverage="0" equalAverage="0" bottom="0" percent="0" rank="0" text="" dxfId="2">
      <formula>0</formula>
    </cfRule>
  </conditionalFormatting>
  <dataValidations count="1">
    <dataValidation allowBlank="false" errorStyle="stop" operator="between" showDropDown="false" showErrorMessage="false" showInputMessage="false" sqref="H25" type="list">
      <formula1>"Base,Low,High"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111" activePane="bottomRight" state="frozen"/>
      <selection pane="topLeft" activeCell="A1" activeCellId="0" sqref="A1"/>
      <selection pane="topRight" activeCell="E1" activeCellId="0" sqref="E1"/>
      <selection pane="bottomLeft" activeCell="A111" activeCellId="0" sqref="A111"/>
      <selection pane="bottomRight" activeCell="C124" activeCellId="0" sqref="C124"/>
    </sheetView>
  </sheetViews>
  <sheetFormatPr defaultColWidth="8.66796875" defaultRowHeight="14.2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4"/>
    <col collapsed="false" customWidth="true" hidden="false" outlineLevel="0" max="4" min="4" style="0" width="11"/>
    <col collapsed="false" customWidth="true" hidden="false" outlineLevel="0" max="7" min="5" style="0" width="13"/>
    <col collapsed="false" customWidth="true" hidden="false" outlineLevel="0" max="8" min="8" style="0" width="50"/>
  </cols>
  <sheetData>
    <row r="2" customFormat="false" ht="14.25" hidden="false" customHeight="false" outlineLevel="0" collapsed="false">
      <c r="C2" s="1" t="s">
        <v>359</v>
      </c>
    </row>
    <row r="4" customFormat="false" ht="14.25" hidden="false" customHeight="false" outlineLevel="0" collapsed="false">
      <c r="B4" s="4" t="s">
        <v>3</v>
      </c>
      <c r="C4" s="4" t="s">
        <v>360</v>
      </c>
      <c r="D4" s="4"/>
      <c r="E4" s="5" t="s">
        <v>5</v>
      </c>
      <c r="F4" s="5" t="s">
        <v>6</v>
      </c>
      <c r="G4" s="5" t="s">
        <v>7</v>
      </c>
      <c r="H4" s="4" t="s">
        <v>361</v>
      </c>
    </row>
    <row r="5" customFormat="false" ht="14.25" hidden="false" customHeight="false" outlineLevel="0" collapsed="false">
      <c r="C5" s="42" t="s">
        <v>362</v>
      </c>
      <c r="D5" s="42"/>
      <c r="E5" s="43"/>
      <c r="F5" s="43"/>
      <c r="G5" s="43"/>
      <c r="H5" s="43"/>
    </row>
    <row r="6" customFormat="false" ht="14.25" hidden="false" customHeight="false" outlineLevel="0" collapsed="false">
      <c r="C6" s="6" t="s">
        <v>363</v>
      </c>
      <c r="D6" s="2" t="s">
        <v>364</v>
      </c>
      <c r="E6" s="7" t="n">
        <v>365</v>
      </c>
      <c r="H6" s="2" t="s">
        <v>365</v>
      </c>
    </row>
    <row r="7" customFormat="false" ht="14.25" hidden="false" customHeight="false" outlineLevel="0" collapsed="false">
      <c r="C7" s="6" t="s">
        <v>366</v>
      </c>
      <c r="D7" s="2" t="s">
        <v>367</v>
      </c>
      <c r="E7" s="7" t="n">
        <v>406000000</v>
      </c>
      <c r="H7" s="2" t="s">
        <v>368</v>
      </c>
    </row>
    <row r="8" customFormat="false" ht="14.25" hidden="false" customHeight="false" outlineLevel="0" collapsed="false">
      <c r="C8" s="6" t="s">
        <v>369</v>
      </c>
      <c r="D8" s="2" t="s">
        <v>370</v>
      </c>
      <c r="E8" s="7" t="n">
        <v>200000000</v>
      </c>
      <c r="H8" s="2" t="s">
        <v>371</v>
      </c>
    </row>
    <row r="9" customFormat="false" ht="14.25" hidden="false" customHeight="false" outlineLevel="0" collapsed="false">
      <c r="C9" s="6" t="s">
        <v>372</v>
      </c>
      <c r="D9" s="2" t="s">
        <v>12</v>
      </c>
      <c r="E9" s="9" t="n">
        <v>0.005</v>
      </c>
      <c r="H9" s="2" t="s">
        <v>373</v>
      </c>
    </row>
    <row r="10" customFormat="false" ht="14.25" hidden="false" customHeight="false" outlineLevel="0" collapsed="false">
      <c r="C10" s="6" t="s">
        <v>374</v>
      </c>
      <c r="D10" s="2" t="s">
        <v>12</v>
      </c>
      <c r="E10" s="9" t="n">
        <v>0.025</v>
      </c>
      <c r="H10" s="2" t="s">
        <v>375</v>
      </c>
    </row>
    <row r="11" customFormat="false" ht="14.25" hidden="false" customHeight="false" outlineLevel="0" collapsed="false">
      <c r="C11" s="6" t="s">
        <v>376</v>
      </c>
      <c r="D11" s="2" t="s">
        <v>74</v>
      </c>
      <c r="E11" s="7" t="n">
        <v>3000000</v>
      </c>
      <c r="H11" s="2" t="s">
        <v>377</v>
      </c>
    </row>
    <row r="12" customFormat="false" ht="14.25" hidden="false" customHeight="false" outlineLevel="0" collapsed="false">
      <c r="C12" s="6" t="s">
        <v>77</v>
      </c>
      <c r="D12" s="2" t="s">
        <v>378</v>
      </c>
      <c r="E12" s="7" t="n">
        <v>4500000</v>
      </c>
      <c r="H12" s="2" t="s">
        <v>379</v>
      </c>
    </row>
    <row r="13" customFormat="false" ht="14.25" hidden="false" customHeight="false" outlineLevel="0" collapsed="false">
      <c r="C13" s="42" t="s">
        <v>380</v>
      </c>
      <c r="D13" s="42"/>
      <c r="E13" s="43"/>
      <c r="F13" s="43"/>
      <c r="G13" s="43"/>
      <c r="H13" s="43"/>
    </row>
    <row r="14" customFormat="false" ht="14.25" hidden="false" customHeight="false" outlineLevel="0" collapsed="false">
      <c r="C14" s="6" t="s">
        <v>381</v>
      </c>
      <c r="D14" s="2" t="s">
        <v>378</v>
      </c>
      <c r="E14" s="7" t="n">
        <v>73071306</v>
      </c>
      <c r="F14" s="7" t="n">
        <v>19826680</v>
      </c>
      <c r="G14" s="7" t="n">
        <v>19826680</v>
      </c>
      <c r="H14" s="2" t="s">
        <v>382</v>
      </c>
    </row>
    <row r="15" customFormat="false" ht="14.25" hidden="false" customHeight="false" outlineLevel="0" collapsed="false">
      <c r="C15" s="6" t="s">
        <v>383</v>
      </c>
      <c r="D15" s="2" t="s">
        <v>74</v>
      </c>
      <c r="E15" s="7" t="n">
        <v>508345804</v>
      </c>
      <c r="F15" s="7" t="n">
        <v>460000000</v>
      </c>
      <c r="G15" s="7" t="n">
        <v>460000000</v>
      </c>
      <c r="H15" s="2" t="s">
        <v>384</v>
      </c>
    </row>
    <row r="16" customFormat="false" ht="14.25" hidden="false" customHeight="false" outlineLevel="0" collapsed="false">
      <c r="C16" s="6" t="s">
        <v>385</v>
      </c>
      <c r="D16" s="2" t="s">
        <v>386</v>
      </c>
      <c r="E16" s="11" t="n">
        <v>2</v>
      </c>
      <c r="F16" s="11" t="n">
        <v>1</v>
      </c>
      <c r="G16" s="11" t="n">
        <v>1</v>
      </c>
      <c r="H16" s="2" t="s">
        <v>387</v>
      </c>
    </row>
    <row r="17" customFormat="false" ht="14.25" hidden="false" customHeight="false" outlineLevel="0" collapsed="false">
      <c r="C17" s="6" t="s">
        <v>82</v>
      </c>
      <c r="D17" s="2" t="s">
        <v>85</v>
      </c>
      <c r="E17" s="7" t="n">
        <v>100</v>
      </c>
      <c r="F17" s="7" t="n">
        <v>150</v>
      </c>
      <c r="G17" s="7" t="n">
        <v>150</v>
      </c>
      <c r="H17" s="2" t="s">
        <v>388</v>
      </c>
    </row>
    <row r="18" customFormat="false" ht="14.25" hidden="false" customHeight="false" outlineLevel="0" collapsed="false">
      <c r="C18" s="6" t="s">
        <v>389</v>
      </c>
      <c r="D18" s="2" t="s">
        <v>3</v>
      </c>
      <c r="E18" s="12" t="n">
        <v>0.25</v>
      </c>
      <c r="F18" s="12" t="n">
        <v>0.25</v>
      </c>
      <c r="G18" s="12" t="n">
        <v>0.25</v>
      </c>
      <c r="H18" s="2" t="s">
        <v>390</v>
      </c>
    </row>
    <row r="19" customFormat="false" ht="14.25" hidden="false" customHeight="false" outlineLevel="0" collapsed="false">
      <c r="C19" s="6" t="s">
        <v>391</v>
      </c>
      <c r="D19" s="2" t="s">
        <v>2</v>
      </c>
      <c r="E19" s="11" t="n">
        <v>0</v>
      </c>
      <c r="F19" s="11" t="n">
        <v>0</v>
      </c>
      <c r="G19" s="11" t="n">
        <v>0</v>
      </c>
      <c r="H19" s="2" t="s">
        <v>392</v>
      </c>
    </row>
    <row r="20" customFormat="false" ht="14.25" hidden="false" customHeight="false" outlineLevel="0" collapsed="false">
      <c r="C20" s="6" t="s">
        <v>393</v>
      </c>
      <c r="D20" s="2" t="s">
        <v>168</v>
      </c>
      <c r="E20" s="80" t="n">
        <v>46234</v>
      </c>
      <c r="F20" s="80" t="n">
        <v>46234</v>
      </c>
      <c r="G20" s="80" t="n">
        <v>46234</v>
      </c>
      <c r="H20" s="2" t="s">
        <v>394</v>
      </c>
    </row>
    <row r="21" customFormat="false" ht="14.25" hidden="false" customHeight="false" outlineLevel="0" collapsed="false">
      <c r="C21" s="6" t="s">
        <v>395</v>
      </c>
      <c r="D21" s="2" t="s">
        <v>168</v>
      </c>
      <c r="E21" s="80" t="n">
        <v>46325</v>
      </c>
      <c r="F21" s="80" t="n">
        <v>46325</v>
      </c>
      <c r="G21" s="80" t="n">
        <v>46325</v>
      </c>
      <c r="H21" s="2" t="s">
        <v>396</v>
      </c>
    </row>
    <row r="22" customFormat="false" ht="14.25" hidden="false" customHeight="false" outlineLevel="0" collapsed="false">
      <c r="C22" s="6" t="s">
        <v>397</v>
      </c>
      <c r="D22" s="2" t="s">
        <v>168</v>
      </c>
      <c r="E22" s="80" t="n">
        <v>46402</v>
      </c>
      <c r="F22" s="80" t="n">
        <v>46402</v>
      </c>
      <c r="G22" s="80" t="n">
        <v>46402</v>
      </c>
      <c r="H22" s="2" t="s">
        <v>398</v>
      </c>
    </row>
    <row r="23" customFormat="false" ht="14.25" hidden="false" customHeight="false" outlineLevel="0" collapsed="false">
      <c r="C23" s="6" t="s">
        <v>399</v>
      </c>
      <c r="D23" s="2" t="s">
        <v>168</v>
      </c>
      <c r="E23" s="80" t="n">
        <v>46402</v>
      </c>
      <c r="F23" s="80" t="n">
        <v>46402</v>
      </c>
      <c r="G23" s="80" t="n">
        <v>46402</v>
      </c>
      <c r="H23" s="2" t="s">
        <v>400</v>
      </c>
    </row>
    <row r="24" customFormat="false" ht="14.25" hidden="false" customHeight="false" outlineLevel="0" collapsed="false">
      <c r="C24" s="6" t="s">
        <v>401</v>
      </c>
      <c r="D24" s="2" t="s">
        <v>168</v>
      </c>
      <c r="E24" s="80" t="n">
        <v>47027</v>
      </c>
      <c r="F24" s="80" t="n">
        <v>47027</v>
      </c>
      <c r="G24" s="80" t="n">
        <v>47027</v>
      </c>
      <c r="H24" s="2" t="s">
        <v>402</v>
      </c>
    </row>
    <row r="25" customFormat="false" ht="14.25" hidden="false" customHeight="false" outlineLevel="0" collapsed="false">
      <c r="C25" s="6" t="s">
        <v>403</v>
      </c>
      <c r="D25" s="2" t="s">
        <v>168</v>
      </c>
      <c r="E25" s="80" t="n">
        <v>47299</v>
      </c>
      <c r="F25" s="80" t="n">
        <v>47299</v>
      </c>
      <c r="G25" s="80" t="n">
        <v>47299</v>
      </c>
      <c r="H25" s="2" t="s">
        <v>404</v>
      </c>
    </row>
    <row r="26" customFormat="false" ht="14.25" hidden="false" customHeight="false" outlineLevel="0" collapsed="false">
      <c r="C26" s="6" t="s">
        <v>405</v>
      </c>
      <c r="D26" s="2" t="s">
        <v>168</v>
      </c>
      <c r="E26" s="80" t="n">
        <v>48029</v>
      </c>
      <c r="F26" s="80" t="n">
        <v>48029</v>
      </c>
      <c r="G26" s="80" t="n">
        <v>48029</v>
      </c>
      <c r="H26" s="2" t="s">
        <v>406</v>
      </c>
    </row>
    <row r="27" customFormat="false" ht="14.25" hidden="false" customHeight="false" outlineLevel="0" collapsed="false">
      <c r="C27" s="6" t="s">
        <v>407</v>
      </c>
      <c r="D27" s="2" t="s">
        <v>168</v>
      </c>
      <c r="E27" s="80" t="n">
        <v>48669</v>
      </c>
      <c r="F27" s="80" t="n">
        <v>48669</v>
      </c>
      <c r="G27" s="80" t="n">
        <v>48669</v>
      </c>
      <c r="H27" s="2" t="s">
        <v>408</v>
      </c>
    </row>
    <row r="28" customFormat="false" ht="14.25" hidden="false" customHeight="false" outlineLevel="0" collapsed="false">
      <c r="C28" s="6" t="s">
        <v>409</v>
      </c>
      <c r="D28" s="2" t="s">
        <v>168</v>
      </c>
      <c r="E28" s="80" t="n">
        <v>46325</v>
      </c>
      <c r="F28" s="80" t="n">
        <v>46325</v>
      </c>
      <c r="G28" s="80" t="n">
        <v>46325</v>
      </c>
      <c r="H28" s="2" t="s">
        <v>410</v>
      </c>
    </row>
    <row r="29" customFormat="false" ht="14.25" hidden="false" customHeight="false" outlineLevel="0" collapsed="false">
      <c r="C29" s="42" t="s">
        <v>411</v>
      </c>
      <c r="D29" s="42"/>
      <c r="E29" s="43"/>
      <c r="F29" s="43"/>
      <c r="G29" s="43"/>
      <c r="H29" s="43"/>
    </row>
    <row r="30" customFormat="false" ht="14.25" hidden="false" customHeight="false" outlineLevel="0" collapsed="false">
      <c r="C30" s="6" t="s">
        <v>412</v>
      </c>
      <c r="D30" s="2" t="s">
        <v>12</v>
      </c>
      <c r="E30" s="9" t="n">
        <v>0.12</v>
      </c>
      <c r="H30" s="2" t="s">
        <v>413</v>
      </c>
    </row>
    <row r="31" customFormat="false" ht="14.25" hidden="false" customHeight="false" outlineLevel="0" collapsed="false">
      <c r="C31" s="6" t="s">
        <v>414</v>
      </c>
      <c r="D31" s="2" t="s">
        <v>12</v>
      </c>
      <c r="E31" s="9" t="n">
        <v>0.2</v>
      </c>
      <c r="H31" s="2" t="s">
        <v>415</v>
      </c>
    </row>
    <row r="32" customFormat="false" ht="14.25" hidden="false" customHeight="false" outlineLevel="0" collapsed="false">
      <c r="C32" s="6" t="s">
        <v>416</v>
      </c>
      <c r="D32" s="2" t="s">
        <v>3</v>
      </c>
      <c r="E32" s="12" t="n">
        <v>2</v>
      </c>
      <c r="H32" s="2" t="s">
        <v>417</v>
      </c>
    </row>
    <row r="33" customFormat="false" ht="14.25" hidden="false" customHeight="false" outlineLevel="0" collapsed="false">
      <c r="C33" s="6" t="s">
        <v>418</v>
      </c>
      <c r="D33" s="2" t="s">
        <v>168</v>
      </c>
      <c r="E33" s="80" t="n">
        <v>47299</v>
      </c>
      <c r="H33" s="2" t="s">
        <v>419</v>
      </c>
    </row>
    <row r="34" customFormat="false" ht="14.25" hidden="false" customHeight="false" outlineLevel="0" collapsed="false">
      <c r="C34" s="6" t="s">
        <v>420</v>
      </c>
      <c r="D34" s="2" t="s">
        <v>168</v>
      </c>
      <c r="E34" s="80" t="n">
        <v>47391</v>
      </c>
      <c r="H34" s="2" t="s">
        <v>421</v>
      </c>
    </row>
    <row r="35" customFormat="false" ht="14.25" hidden="false" customHeight="false" outlineLevel="0" collapsed="false">
      <c r="C35" s="6" t="s">
        <v>422</v>
      </c>
      <c r="D35" s="2" t="s">
        <v>168</v>
      </c>
      <c r="E35" s="80" t="n">
        <v>47026</v>
      </c>
      <c r="H35" s="2" t="s">
        <v>423</v>
      </c>
    </row>
    <row r="36" customFormat="false" ht="14.25" hidden="false" customHeight="false" outlineLevel="0" collapsed="false">
      <c r="C36" s="6" t="s">
        <v>424</v>
      </c>
      <c r="D36" s="2" t="s">
        <v>85</v>
      </c>
      <c r="E36" s="7" t="n">
        <v>250</v>
      </c>
      <c r="H36" s="2" t="s">
        <v>425</v>
      </c>
    </row>
    <row r="37" customFormat="false" ht="14.25" hidden="false" customHeight="false" outlineLevel="0" collapsed="false">
      <c r="C37" s="6" t="s">
        <v>426</v>
      </c>
      <c r="D37" s="2" t="s">
        <v>51</v>
      </c>
      <c r="E37" s="10" t="n">
        <v>2.5</v>
      </c>
      <c r="H37" s="2" t="s">
        <v>427</v>
      </c>
    </row>
    <row r="38" customFormat="false" ht="14.25" hidden="false" customHeight="false" outlineLevel="0" collapsed="false">
      <c r="C38" s="6" t="s">
        <v>428</v>
      </c>
      <c r="D38" s="2" t="s">
        <v>42</v>
      </c>
      <c r="E38" s="10" t="n">
        <v>10</v>
      </c>
      <c r="H38" s="2" t="s">
        <v>429</v>
      </c>
    </row>
    <row r="39" customFormat="false" ht="14.25" hidden="false" customHeight="false" outlineLevel="0" collapsed="false">
      <c r="C39" s="6" t="s">
        <v>430</v>
      </c>
      <c r="D39" s="2" t="s">
        <v>12</v>
      </c>
      <c r="E39" s="9" t="n">
        <v>0.15</v>
      </c>
      <c r="H39" s="2" t="s">
        <v>431</v>
      </c>
    </row>
    <row r="40" customFormat="false" ht="14.25" hidden="false" customHeight="false" outlineLevel="0" collapsed="false">
      <c r="C40" s="6" t="s">
        <v>432</v>
      </c>
      <c r="D40" s="2" t="s">
        <v>2</v>
      </c>
      <c r="E40" s="11" t="n">
        <v>1</v>
      </c>
      <c r="H40" s="2" t="s">
        <v>433</v>
      </c>
    </row>
    <row r="41" customFormat="false" ht="14.25" hidden="false" customHeight="false" outlineLevel="0" collapsed="false">
      <c r="C41" s="42" t="s">
        <v>434</v>
      </c>
      <c r="D41" s="42"/>
      <c r="E41" s="43"/>
      <c r="F41" s="43"/>
      <c r="G41" s="43"/>
      <c r="H41" s="43"/>
    </row>
    <row r="42" customFormat="false" ht="14.25" hidden="false" customHeight="false" outlineLevel="0" collapsed="false">
      <c r="C42" s="6" t="s">
        <v>435</v>
      </c>
      <c r="D42" s="2" t="s">
        <v>291</v>
      </c>
      <c r="E42" s="11" t="n">
        <v>20</v>
      </c>
      <c r="H42" s="2" t="s">
        <v>436</v>
      </c>
    </row>
    <row r="43" customFormat="false" ht="14.25" hidden="false" customHeight="false" outlineLevel="0" collapsed="false">
      <c r="C43" s="6" t="s">
        <v>437</v>
      </c>
      <c r="D43" s="2" t="s">
        <v>12</v>
      </c>
      <c r="E43" s="9" t="n">
        <v>0.6</v>
      </c>
      <c r="H43" s="2" t="s">
        <v>438</v>
      </c>
    </row>
    <row r="44" customFormat="false" ht="14.25" hidden="false" customHeight="false" outlineLevel="0" collapsed="false">
      <c r="C44" s="6" t="s">
        <v>439</v>
      </c>
      <c r="D44" s="2" t="s">
        <v>12</v>
      </c>
      <c r="E44" s="9" t="n">
        <v>0.05</v>
      </c>
      <c r="H44" s="2" t="s">
        <v>440</v>
      </c>
    </row>
    <row r="45" customFormat="false" ht="14.25" hidden="false" customHeight="false" outlineLevel="0" collapsed="false">
      <c r="C45" s="6" t="s">
        <v>441</v>
      </c>
      <c r="D45" s="2" t="s">
        <v>291</v>
      </c>
      <c r="E45" s="11" t="n">
        <v>15</v>
      </c>
      <c r="H45" s="2" t="s">
        <v>442</v>
      </c>
    </row>
    <row r="46" customFormat="false" ht="14.25" hidden="false" customHeight="false" outlineLevel="0" collapsed="false">
      <c r="C46" s="42" t="s">
        <v>443</v>
      </c>
      <c r="D46" s="42"/>
      <c r="E46" s="43"/>
      <c r="F46" s="43"/>
      <c r="G46" s="43"/>
      <c r="H46" s="43"/>
    </row>
    <row r="47" customFormat="false" ht="14.25" hidden="false" customHeight="false" outlineLevel="0" collapsed="false">
      <c r="C47" s="6" t="s">
        <v>444</v>
      </c>
      <c r="D47" s="2" t="s">
        <v>42</v>
      </c>
      <c r="E47" s="7" t="n">
        <v>80</v>
      </c>
      <c r="H47" s="2" t="s">
        <v>445</v>
      </c>
    </row>
    <row r="48" customFormat="false" ht="14.25" hidden="false" customHeight="false" outlineLevel="0" collapsed="false">
      <c r="C48" s="6" t="s">
        <v>102</v>
      </c>
      <c r="D48" s="2" t="s">
        <v>42</v>
      </c>
      <c r="E48" s="7" t="n">
        <v>90</v>
      </c>
      <c r="H48" s="2" t="s">
        <v>446</v>
      </c>
    </row>
    <row r="49" customFormat="false" ht="14.25" hidden="false" customHeight="false" outlineLevel="0" collapsed="false">
      <c r="C49" s="6" t="s">
        <v>103</v>
      </c>
      <c r="D49" s="2" t="s">
        <v>42</v>
      </c>
      <c r="E49" s="7" t="n">
        <v>70</v>
      </c>
      <c r="H49" s="2" t="s">
        <v>447</v>
      </c>
    </row>
    <row r="50" customFormat="false" ht="14.25" hidden="false" customHeight="false" outlineLevel="0" collapsed="false">
      <c r="C50" s="6" t="s">
        <v>104</v>
      </c>
      <c r="D50" s="2" t="s">
        <v>42</v>
      </c>
      <c r="E50" s="7" t="n">
        <v>60</v>
      </c>
      <c r="H50" s="2" t="s">
        <v>448</v>
      </c>
    </row>
    <row r="51" customFormat="false" ht="14.25" hidden="false" customHeight="false" outlineLevel="0" collapsed="false">
      <c r="C51" s="6" t="s">
        <v>105</v>
      </c>
      <c r="D51" s="2" t="s">
        <v>42</v>
      </c>
      <c r="E51" s="7" t="n">
        <v>40</v>
      </c>
      <c r="H51" s="2" t="s">
        <v>449</v>
      </c>
    </row>
    <row r="52" customFormat="false" ht="14.25" hidden="false" customHeight="false" outlineLevel="0" collapsed="false">
      <c r="C52" s="6" t="s">
        <v>106</v>
      </c>
      <c r="D52" s="2" t="s">
        <v>42</v>
      </c>
      <c r="E52" s="7" t="n">
        <v>0</v>
      </c>
      <c r="H52" s="2" t="s">
        <v>450</v>
      </c>
    </row>
    <row r="53" customFormat="false" ht="14.25" hidden="false" customHeight="false" outlineLevel="0" collapsed="false">
      <c r="C53" s="6" t="s">
        <v>451</v>
      </c>
      <c r="D53" s="2" t="s">
        <v>85</v>
      </c>
      <c r="E53" s="7" t="n">
        <v>12000</v>
      </c>
      <c r="H53" s="2" t="s">
        <v>452</v>
      </c>
    </row>
    <row r="54" customFormat="false" ht="14.25" hidden="false" customHeight="false" outlineLevel="0" collapsed="false">
      <c r="C54" s="6" t="s">
        <v>453</v>
      </c>
      <c r="D54" s="2" t="s">
        <v>10</v>
      </c>
      <c r="E54" s="7" t="n">
        <v>200</v>
      </c>
      <c r="H54" s="2" t="s">
        <v>454</v>
      </c>
    </row>
    <row r="55" customFormat="false" ht="14.25" hidden="false" customHeight="false" outlineLevel="0" collapsed="false">
      <c r="C55" s="6" t="s">
        <v>455</v>
      </c>
      <c r="D55" s="2" t="s">
        <v>12</v>
      </c>
      <c r="E55" s="9" t="n">
        <v>0.05</v>
      </c>
      <c r="H55" s="2" t="s">
        <v>456</v>
      </c>
    </row>
    <row r="56" customFormat="false" ht="14.25" hidden="false" customHeight="false" outlineLevel="0" collapsed="false">
      <c r="C56" s="6" t="s">
        <v>457</v>
      </c>
      <c r="D56" s="2" t="s">
        <v>458</v>
      </c>
      <c r="E56" s="7" t="n">
        <v>100</v>
      </c>
      <c r="H56" s="2" t="s">
        <v>459</v>
      </c>
    </row>
    <row r="57" customFormat="false" ht="14.25" hidden="false" customHeight="false" outlineLevel="0" collapsed="false">
      <c r="C57" s="42" t="s">
        <v>460</v>
      </c>
      <c r="D57" s="42"/>
      <c r="E57" s="43"/>
      <c r="F57" s="43"/>
      <c r="G57" s="43"/>
      <c r="H57" s="43"/>
    </row>
    <row r="58" customFormat="false" ht="14.25" hidden="false" customHeight="false" outlineLevel="0" collapsed="false">
      <c r="C58" s="6" t="s">
        <v>461</v>
      </c>
      <c r="D58" s="2" t="s">
        <v>12</v>
      </c>
      <c r="E58" s="9" t="n">
        <v>0.02</v>
      </c>
      <c r="H58" s="2" t="s">
        <v>462</v>
      </c>
    </row>
    <row r="59" customFormat="false" ht="14.25" hidden="false" customHeight="false" outlineLevel="0" collapsed="false">
      <c r="C59" s="6" t="s">
        <v>463</v>
      </c>
      <c r="D59" s="2" t="s">
        <v>12</v>
      </c>
      <c r="E59" s="9" t="n">
        <v>0.04</v>
      </c>
      <c r="H59" s="2" t="s">
        <v>464</v>
      </c>
    </row>
    <row r="60" customFormat="false" ht="14.25" hidden="false" customHeight="false" outlineLevel="0" collapsed="false">
      <c r="C60" s="6" t="s">
        <v>465</v>
      </c>
      <c r="D60" s="2" t="s">
        <v>466</v>
      </c>
      <c r="E60" s="9" t="n">
        <v>0.003</v>
      </c>
      <c r="H60" s="2" t="s">
        <v>467</v>
      </c>
    </row>
    <row r="61" customFormat="false" ht="14.25" hidden="false" customHeight="false" outlineLevel="0" collapsed="false">
      <c r="C61" s="6" t="s">
        <v>468</v>
      </c>
      <c r="D61" s="2" t="s">
        <v>466</v>
      </c>
      <c r="E61" s="9" t="n">
        <v>0.01</v>
      </c>
      <c r="H61" s="2" t="s">
        <v>469</v>
      </c>
    </row>
    <row r="62" customFormat="false" ht="14.25" hidden="false" customHeight="false" outlineLevel="0" collapsed="false">
      <c r="C62" s="42" t="s">
        <v>470</v>
      </c>
      <c r="D62" s="42"/>
      <c r="E62" s="43"/>
      <c r="F62" s="43"/>
      <c r="G62" s="43"/>
      <c r="H62" s="43"/>
    </row>
    <row r="63" customFormat="false" ht="14.25" hidden="false" customHeight="false" outlineLevel="0" collapsed="false">
      <c r="C63" s="6" t="s">
        <v>471</v>
      </c>
      <c r="D63" s="2" t="s">
        <v>51</v>
      </c>
      <c r="E63" s="10" t="n">
        <v>3</v>
      </c>
      <c r="H63" s="2" t="s">
        <v>472</v>
      </c>
    </row>
    <row r="64" customFormat="false" ht="14.25" hidden="false" customHeight="false" outlineLevel="0" collapsed="false">
      <c r="C64" s="6" t="s">
        <v>473</v>
      </c>
      <c r="D64" s="2" t="s">
        <v>51</v>
      </c>
      <c r="E64" s="10" t="n">
        <v>3</v>
      </c>
      <c r="H64" s="2" t="s">
        <v>474</v>
      </c>
    </row>
    <row r="65" customFormat="false" ht="14.25" hidden="false" customHeight="false" outlineLevel="0" collapsed="false">
      <c r="C65" s="6" t="s">
        <v>475</v>
      </c>
      <c r="D65" s="2" t="s">
        <v>51</v>
      </c>
      <c r="E65" s="10" t="n">
        <v>2.5</v>
      </c>
      <c r="H65" s="2" t="s">
        <v>476</v>
      </c>
    </row>
    <row r="66" customFormat="false" ht="14.25" hidden="false" customHeight="false" outlineLevel="0" collapsed="false">
      <c r="C66" s="6" t="s">
        <v>477</v>
      </c>
      <c r="D66" s="2" t="s">
        <v>51</v>
      </c>
      <c r="E66" s="10" t="n">
        <v>1.5</v>
      </c>
      <c r="H66" s="2" t="s">
        <v>478</v>
      </c>
    </row>
    <row r="67" customFormat="false" ht="14.25" hidden="false" customHeight="false" outlineLevel="0" collapsed="false">
      <c r="C67" s="6" t="s">
        <v>479</v>
      </c>
      <c r="D67" s="2" t="s">
        <v>51</v>
      </c>
      <c r="E67" s="10" t="n">
        <v>3</v>
      </c>
      <c r="H67" s="2" t="s">
        <v>480</v>
      </c>
    </row>
    <row r="68" customFormat="false" ht="14.25" hidden="false" customHeight="false" outlineLevel="0" collapsed="false">
      <c r="C68" s="6" t="s">
        <v>481</v>
      </c>
      <c r="D68" s="2" t="s">
        <v>482</v>
      </c>
      <c r="E68" s="7" t="n">
        <v>150</v>
      </c>
      <c r="H68" s="2" t="s">
        <v>483</v>
      </c>
    </row>
    <row r="69" customFormat="false" ht="14.25" hidden="false" customHeight="false" outlineLevel="0" collapsed="false">
      <c r="C69" s="6" t="s">
        <v>484</v>
      </c>
      <c r="D69" s="2" t="s">
        <v>20</v>
      </c>
      <c r="E69" s="10" t="n">
        <v>4</v>
      </c>
      <c r="H69" s="2" t="s">
        <v>485</v>
      </c>
    </row>
    <row r="70" customFormat="false" ht="14.25" hidden="false" customHeight="false" outlineLevel="0" collapsed="false">
      <c r="C70" s="6" t="s">
        <v>486</v>
      </c>
      <c r="D70" s="2" t="s">
        <v>20</v>
      </c>
      <c r="E70" s="10" t="n">
        <v>1</v>
      </c>
      <c r="H70" s="2" t="s">
        <v>487</v>
      </c>
    </row>
    <row r="71" customFormat="false" ht="14.25" hidden="false" customHeight="false" outlineLevel="0" collapsed="false">
      <c r="C71" s="6" t="s">
        <v>311</v>
      </c>
      <c r="D71" s="2" t="s">
        <v>488</v>
      </c>
      <c r="E71" s="9" t="n">
        <v>0.001</v>
      </c>
      <c r="H71" s="2" t="s">
        <v>489</v>
      </c>
    </row>
    <row r="72" customFormat="false" ht="14.25" hidden="false" customHeight="false" outlineLevel="0" collapsed="false">
      <c r="C72" s="6" t="s">
        <v>314</v>
      </c>
      <c r="D72" s="2" t="s">
        <v>488</v>
      </c>
      <c r="E72" s="9" t="n">
        <v>0.02</v>
      </c>
      <c r="H72" s="2" t="s">
        <v>490</v>
      </c>
    </row>
    <row r="73" customFormat="false" ht="14.25" hidden="false" customHeight="false" outlineLevel="0" collapsed="false">
      <c r="C73" s="6" t="s">
        <v>491</v>
      </c>
      <c r="D73" s="2" t="s">
        <v>12</v>
      </c>
      <c r="E73" s="9" t="n">
        <v>0.05</v>
      </c>
      <c r="H73" s="2" t="s">
        <v>492</v>
      </c>
    </row>
    <row r="74" customFormat="false" ht="14.25" hidden="false" customHeight="false" outlineLevel="0" collapsed="false">
      <c r="C74" s="6" t="s">
        <v>493</v>
      </c>
      <c r="D74" s="2" t="s">
        <v>466</v>
      </c>
      <c r="E74" s="9" t="n">
        <v>0.025</v>
      </c>
      <c r="H74" s="2" t="s">
        <v>494</v>
      </c>
    </row>
    <row r="75" customFormat="false" ht="14.25" hidden="false" customHeight="false" outlineLevel="0" collapsed="false">
      <c r="C75" s="42" t="s">
        <v>495</v>
      </c>
      <c r="D75" s="42"/>
      <c r="E75" s="43"/>
      <c r="F75" s="43"/>
      <c r="G75" s="43"/>
      <c r="H75" s="43"/>
    </row>
    <row r="76" customFormat="false" ht="14.25" hidden="false" customHeight="false" outlineLevel="0" collapsed="false">
      <c r="C76" s="6" t="s">
        <v>496</v>
      </c>
      <c r="D76" s="2" t="s">
        <v>291</v>
      </c>
      <c r="E76" s="11" t="n">
        <v>30</v>
      </c>
      <c r="H76" s="2" t="s">
        <v>497</v>
      </c>
    </row>
    <row r="77" customFormat="false" ht="14.25" hidden="false" customHeight="false" outlineLevel="0" collapsed="false">
      <c r="C77" s="6" t="s">
        <v>498</v>
      </c>
      <c r="D77" s="2" t="s">
        <v>12</v>
      </c>
      <c r="E77" s="9" t="n">
        <v>0.08</v>
      </c>
      <c r="H77" s="2" t="s">
        <v>499</v>
      </c>
    </row>
    <row r="78" customFormat="false" ht="14.25" hidden="false" customHeight="false" outlineLevel="0" collapsed="false">
      <c r="C78" s="6" t="s">
        <v>500</v>
      </c>
      <c r="D78" s="2" t="s">
        <v>156</v>
      </c>
      <c r="E78" s="11" t="n">
        <v>2026</v>
      </c>
      <c r="H78" s="2" t="s">
        <v>501</v>
      </c>
    </row>
    <row r="79" customFormat="false" ht="14.25" hidden="false" customHeight="false" outlineLevel="0" collapsed="false">
      <c r="C79" s="6" t="s">
        <v>502</v>
      </c>
      <c r="D79" s="2" t="s">
        <v>3</v>
      </c>
      <c r="E79" s="7" t="n">
        <v>1000</v>
      </c>
      <c r="H79" s="2" t="s">
        <v>503</v>
      </c>
    </row>
    <row r="80" customFormat="false" ht="14.25" hidden="false" customHeight="false" outlineLevel="0" collapsed="false">
      <c r="C80" s="6" t="s">
        <v>504</v>
      </c>
      <c r="D80" s="2" t="s">
        <v>172</v>
      </c>
      <c r="E80" s="11" t="n">
        <v>365</v>
      </c>
      <c r="H80" s="2" t="s">
        <v>503</v>
      </c>
    </row>
    <row r="81" customFormat="false" ht="14.25" hidden="false" customHeight="false" outlineLevel="0" collapsed="false">
      <c r="C81" s="6" t="s">
        <v>505</v>
      </c>
      <c r="D81" s="2" t="s">
        <v>293</v>
      </c>
      <c r="E81" s="11" t="n">
        <v>12</v>
      </c>
      <c r="H81" s="2" t="s">
        <v>503</v>
      </c>
    </row>
    <row r="82" customFormat="false" ht="14.25" hidden="false" customHeight="false" outlineLevel="0" collapsed="false">
      <c r="C82" s="6" t="s">
        <v>506</v>
      </c>
      <c r="D82" s="2" t="s">
        <v>85</v>
      </c>
      <c r="E82" s="81" t="n">
        <v>0.001</v>
      </c>
      <c r="H82" s="2" t="s">
        <v>503</v>
      </c>
    </row>
    <row r="84" customFormat="false" ht="14.25" hidden="false" customHeight="false" outlineLevel="0" collapsed="false">
      <c r="C84" s="42" t="s">
        <v>507</v>
      </c>
      <c r="D84" s="42"/>
      <c r="E84" s="43"/>
      <c r="F84" s="43"/>
      <c r="G84" s="43"/>
      <c r="H84" s="43"/>
    </row>
    <row r="85" customFormat="false" ht="14.25" hidden="false" customHeight="false" outlineLevel="0" collapsed="false">
      <c r="C85" s="6" t="s">
        <v>508</v>
      </c>
      <c r="D85" s="2" t="s">
        <v>74</v>
      </c>
      <c r="E85" s="7" t="n">
        <v>20590500</v>
      </c>
      <c r="F85" s="80" t="n">
        <v>46431</v>
      </c>
      <c r="G85" s="13" t="s">
        <v>116</v>
      </c>
      <c r="H85" s="2" t="s">
        <v>509</v>
      </c>
    </row>
    <row r="86" customFormat="false" ht="14.25" hidden="false" customHeight="false" outlineLevel="0" collapsed="false">
      <c r="C86" s="6" t="s">
        <v>510</v>
      </c>
      <c r="D86" s="2" t="s">
        <v>74</v>
      </c>
      <c r="E86" s="7" t="n">
        <v>45600000</v>
      </c>
      <c r="F86" s="80" t="n">
        <v>46431</v>
      </c>
      <c r="G86" s="13" t="s">
        <v>116</v>
      </c>
      <c r="H86" s="2" t="s">
        <v>511</v>
      </c>
    </row>
    <row r="87" customFormat="false" ht="14.25" hidden="false" customHeight="false" outlineLevel="0" collapsed="false">
      <c r="C87" s="6" t="s">
        <v>512</v>
      </c>
      <c r="D87" s="2" t="s">
        <v>74</v>
      </c>
      <c r="E87" s="7" t="n">
        <v>59142857.1428571</v>
      </c>
      <c r="F87" s="80" t="n">
        <v>46976</v>
      </c>
      <c r="G87" s="13" t="s">
        <v>513</v>
      </c>
      <c r="H87" s="2" t="s">
        <v>514</v>
      </c>
    </row>
    <row r="88" customFormat="false" ht="14.25" hidden="false" customHeight="false" outlineLevel="0" collapsed="false">
      <c r="C88" s="6" t="s">
        <v>515</v>
      </c>
      <c r="D88" s="2" t="s">
        <v>74</v>
      </c>
      <c r="E88" s="7" t="n">
        <v>750544</v>
      </c>
      <c r="F88" s="80" t="n">
        <v>46976</v>
      </c>
      <c r="G88" s="13" t="s">
        <v>513</v>
      </c>
      <c r="H88" s="2" t="s">
        <v>516</v>
      </c>
    </row>
    <row r="89" customFormat="false" ht="14.25" hidden="false" customHeight="false" outlineLevel="0" collapsed="false">
      <c r="C89" s="6" t="s">
        <v>517</v>
      </c>
      <c r="D89" s="2" t="s">
        <v>74</v>
      </c>
      <c r="E89" s="7" t="n">
        <v>65580000</v>
      </c>
      <c r="F89" s="80" t="n">
        <v>46296</v>
      </c>
      <c r="G89" s="13" t="s">
        <v>513</v>
      </c>
      <c r="H89" s="2" t="s">
        <v>518</v>
      </c>
    </row>
    <row r="90" customFormat="false" ht="14.25" hidden="false" customHeight="false" outlineLevel="0" collapsed="false">
      <c r="C90" s="6" t="s">
        <v>519</v>
      </c>
      <c r="D90" s="2" t="s">
        <v>74</v>
      </c>
      <c r="E90" s="7" t="n">
        <v>147260000</v>
      </c>
      <c r="F90" s="80" t="n">
        <v>46447</v>
      </c>
      <c r="G90" s="13" t="s">
        <v>513</v>
      </c>
      <c r="H90" s="2" t="s">
        <v>520</v>
      </c>
    </row>
    <row r="91" customFormat="false" ht="14.25" hidden="false" customHeight="false" outlineLevel="0" collapsed="false">
      <c r="C91" s="6" t="s">
        <v>521</v>
      </c>
      <c r="D91" s="2" t="s">
        <v>74</v>
      </c>
      <c r="E91" s="7" t="n">
        <v>3600000</v>
      </c>
      <c r="F91" s="80" t="n">
        <v>46388</v>
      </c>
      <c r="G91" s="13" t="s">
        <v>513</v>
      </c>
      <c r="H91" s="2" t="s">
        <v>522</v>
      </c>
    </row>
    <row r="92" customFormat="false" ht="14.25" hidden="false" customHeight="false" outlineLevel="0" collapsed="false">
      <c r="C92" s="6" t="s">
        <v>523</v>
      </c>
      <c r="D92" s="2" t="s">
        <v>74</v>
      </c>
      <c r="E92" s="7" t="n">
        <v>1665000</v>
      </c>
      <c r="F92" s="80" t="n">
        <v>46932</v>
      </c>
      <c r="G92" s="13" t="s">
        <v>513</v>
      </c>
      <c r="H92" s="2" t="s">
        <v>524</v>
      </c>
    </row>
    <row r="93" customFormat="false" ht="14.25" hidden="false" customHeight="false" outlineLevel="0" collapsed="false">
      <c r="C93" s="6" t="s">
        <v>525</v>
      </c>
      <c r="D93" s="2" t="s">
        <v>74</v>
      </c>
      <c r="E93" s="7" t="n">
        <v>960000</v>
      </c>
      <c r="F93" s="80" t="n">
        <v>46746</v>
      </c>
      <c r="G93" s="13" t="s">
        <v>513</v>
      </c>
      <c r="H93" s="2" t="s">
        <v>526</v>
      </c>
    </row>
    <row r="94" customFormat="false" ht="14.25" hidden="false" customHeight="false" outlineLevel="0" collapsed="false">
      <c r="C94" s="6" t="s">
        <v>527</v>
      </c>
      <c r="D94" s="2" t="s">
        <v>74</v>
      </c>
      <c r="E94" s="7" t="n">
        <v>8000000</v>
      </c>
      <c r="F94" s="80" t="n">
        <v>46596</v>
      </c>
      <c r="G94" s="13" t="s">
        <v>513</v>
      </c>
      <c r="H94" s="2" t="s">
        <v>528</v>
      </c>
    </row>
    <row r="95" customFormat="false" ht="14.25" hidden="false" customHeight="false" outlineLevel="0" collapsed="false">
      <c r="C95" s="6" t="s">
        <v>529</v>
      </c>
      <c r="D95" s="2" t="s">
        <v>74</v>
      </c>
      <c r="E95" s="7" t="n">
        <v>50000000</v>
      </c>
      <c r="F95" s="80" t="n">
        <v>46806</v>
      </c>
      <c r="G95" s="13" t="s">
        <v>513</v>
      </c>
      <c r="H95" s="2" t="s">
        <v>530</v>
      </c>
    </row>
    <row r="96" customFormat="false" ht="14.25" hidden="false" customHeight="false" outlineLevel="0" collapsed="false">
      <c r="C96" s="6" t="s">
        <v>531</v>
      </c>
      <c r="D96" s="2" t="s">
        <v>74</v>
      </c>
      <c r="E96" s="7" t="n">
        <v>35000000</v>
      </c>
      <c r="F96" s="80" t="n">
        <v>46806</v>
      </c>
      <c r="G96" s="13" t="s">
        <v>513</v>
      </c>
      <c r="H96" s="2" t="s">
        <v>532</v>
      </c>
    </row>
    <row r="97" customFormat="false" ht="14.25" hidden="false" customHeight="false" outlineLevel="0" collapsed="false">
      <c r="C97" s="6" t="s">
        <v>533</v>
      </c>
      <c r="D97" s="2" t="s">
        <v>74</v>
      </c>
      <c r="E97" s="7" t="n">
        <v>14832000</v>
      </c>
      <c r="F97" s="80" t="n">
        <v>46751</v>
      </c>
      <c r="G97" s="13" t="s">
        <v>513</v>
      </c>
      <c r="H97" s="2" t="s">
        <v>534</v>
      </c>
    </row>
    <row r="98" customFormat="false" ht="14.25" hidden="false" customHeight="false" outlineLevel="0" collapsed="false">
      <c r="C98" s="6" t="s">
        <v>535</v>
      </c>
      <c r="D98" s="2" t="s">
        <v>74</v>
      </c>
      <c r="E98" s="7" t="n">
        <v>40000</v>
      </c>
      <c r="F98" s="80" t="n">
        <v>46871</v>
      </c>
      <c r="G98" s="13" t="s">
        <v>513</v>
      </c>
      <c r="H98" s="2" t="s">
        <v>536</v>
      </c>
    </row>
    <row r="99" customFormat="false" ht="14.25" hidden="false" customHeight="false" outlineLevel="0" collapsed="false">
      <c r="C99" s="6" t="s">
        <v>537</v>
      </c>
      <c r="D99" s="2" t="s">
        <v>74</v>
      </c>
      <c r="E99" s="7" t="n">
        <v>32610000</v>
      </c>
      <c r="F99" s="80" t="n">
        <v>46841</v>
      </c>
      <c r="G99" s="13" t="s">
        <v>513</v>
      </c>
      <c r="H99" s="2" t="s">
        <v>538</v>
      </c>
    </row>
    <row r="100" customFormat="false" ht="14.25" hidden="false" customHeight="false" outlineLevel="0" collapsed="false">
      <c r="C100" s="6" t="s">
        <v>539</v>
      </c>
      <c r="D100" s="2" t="s">
        <v>74</v>
      </c>
      <c r="E100" s="7" t="n">
        <v>8000000</v>
      </c>
      <c r="F100" s="80" t="n">
        <v>46596</v>
      </c>
      <c r="G100" s="13" t="s">
        <v>513</v>
      </c>
      <c r="H100" s="2" t="s">
        <v>540</v>
      </c>
    </row>
    <row r="101" customFormat="false" ht="14.25" hidden="false" customHeight="false" outlineLevel="0" collapsed="false">
      <c r="C101" s="6" t="s">
        <v>541</v>
      </c>
      <c r="D101" s="2" t="s">
        <v>74</v>
      </c>
      <c r="E101" s="7" t="n">
        <v>8000000</v>
      </c>
      <c r="F101" s="80" t="n">
        <v>46566</v>
      </c>
      <c r="G101" s="13" t="s">
        <v>513</v>
      </c>
      <c r="H101" s="2" t="s">
        <v>542</v>
      </c>
    </row>
    <row r="102" customFormat="false" ht="14.25" hidden="false" customHeight="false" outlineLevel="0" collapsed="false">
      <c r="C102" s="6" t="s">
        <v>543</v>
      </c>
      <c r="D102" s="2" t="s">
        <v>74</v>
      </c>
      <c r="E102" s="7" t="n">
        <v>8000000</v>
      </c>
      <c r="F102" s="80" t="n">
        <v>46566</v>
      </c>
      <c r="G102" s="13" t="s">
        <v>513</v>
      </c>
      <c r="H102" s="2" t="s">
        <v>544</v>
      </c>
    </row>
    <row r="103" customFormat="false" ht="14.25" hidden="false" customHeight="false" outlineLevel="0" collapsed="false">
      <c r="C103" s="6" t="s">
        <v>545</v>
      </c>
      <c r="D103" s="2" t="s">
        <v>74</v>
      </c>
      <c r="E103" s="7" t="n">
        <v>4590000</v>
      </c>
      <c r="F103" s="80" t="n">
        <v>46780</v>
      </c>
      <c r="G103" s="13" t="s">
        <v>513</v>
      </c>
      <c r="H103" s="2" t="s">
        <v>546</v>
      </c>
    </row>
    <row r="104" customFormat="false" ht="14.25" hidden="false" customHeight="false" outlineLevel="0" collapsed="false">
      <c r="C104" s="6" t="s">
        <v>547</v>
      </c>
      <c r="D104" s="2" t="s">
        <v>74</v>
      </c>
      <c r="E104" s="7" t="n">
        <v>138000000</v>
      </c>
      <c r="F104" s="80" t="n">
        <v>46780</v>
      </c>
      <c r="G104" s="13" t="s">
        <v>513</v>
      </c>
      <c r="H104" s="2" t="s">
        <v>548</v>
      </c>
    </row>
    <row r="105" customFormat="false" ht="14.25" hidden="false" customHeight="false" outlineLevel="0" collapsed="false">
      <c r="C105" s="6" t="s">
        <v>549</v>
      </c>
      <c r="D105" s="2" t="s">
        <v>74</v>
      </c>
      <c r="E105" s="7" t="n">
        <v>45000000</v>
      </c>
      <c r="F105" s="80" t="n">
        <v>46780</v>
      </c>
      <c r="G105" s="13" t="s">
        <v>513</v>
      </c>
      <c r="H105" s="2" t="s">
        <v>550</v>
      </c>
    </row>
    <row r="106" customFormat="false" ht="14.25" hidden="false" customHeight="false" outlineLevel="0" collapsed="false">
      <c r="C106" s="6" t="s">
        <v>551</v>
      </c>
      <c r="D106" s="2" t="s">
        <v>74</v>
      </c>
      <c r="E106" s="7" t="n">
        <v>74896683.6734694</v>
      </c>
      <c r="F106" s="80" t="n">
        <v>46780</v>
      </c>
      <c r="G106" s="13" t="s">
        <v>513</v>
      </c>
      <c r="H106" s="2" t="s">
        <v>552</v>
      </c>
    </row>
    <row r="107" customFormat="false" ht="14.25" hidden="false" customHeight="false" outlineLevel="0" collapsed="false">
      <c r="C107" s="6" t="s">
        <v>553</v>
      </c>
      <c r="D107" s="2" t="s">
        <v>74</v>
      </c>
      <c r="E107" s="7" t="n">
        <v>15000000</v>
      </c>
      <c r="F107" s="80" t="n">
        <v>46720</v>
      </c>
      <c r="G107" s="13" t="s">
        <v>513</v>
      </c>
      <c r="H107" s="2" t="s">
        <v>554</v>
      </c>
    </row>
    <row r="108" customFormat="false" ht="14.25" hidden="false" customHeight="false" outlineLevel="0" collapsed="false">
      <c r="C108" s="6" t="s">
        <v>555</v>
      </c>
      <c r="D108" s="2" t="s">
        <v>74</v>
      </c>
      <c r="E108" s="7" t="n">
        <v>6000000</v>
      </c>
      <c r="F108" s="80" t="n">
        <v>46780</v>
      </c>
      <c r="G108" s="13" t="s">
        <v>513</v>
      </c>
      <c r="H108" s="2" t="s">
        <v>556</v>
      </c>
    </row>
    <row r="109" customFormat="false" ht="14.25" hidden="false" customHeight="false" outlineLevel="0" collapsed="false">
      <c r="C109" s="6" t="s">
        <v>557</v>
      </c>
      <c r="D109" s="2" t="s">
        <v>74</v>
      </c>
      <c r="E109" s="7" t="n">
        <v>45178571.4285714</v>
      </c>
      <c r="F109" s="80" t="n">
        <v>46780</v>
      </c>
      <c r="G109" s="13" t="s">
        <v>513</v>
      </c>
      <c r="H109" s="2" t="s">
        <v>558</v>
      </c>
    </row>
    <row r="110" customFormat="false" ht="14.25" hidden="false" customHeight="false" outlineLevel="0" collapsed="false">
      <c r="C110" s="6" t="s">
        <v>559</v>
      </c>
      <c r="D110" s="2" t="s">
        <v>74</v>
      </c>
      <c r="E110" s="7" t="n">
        <v>4590000</v>
      </c>
      <c r="F110" s="80" t="n">
        <v>46780</v>
      </c>
      <c r="G110" s="13" t="s">
        <v>513</v>
      </c>
      <c r="H110" s="2" t="s">
        <v>560</v>
      </c>
    </row>
    <row r="111" customFormat="false" ht="14.25" hidden="false" customHeight="false" outlineLevel="0" collapsed="false">
      <c r="C111" s="6" t="s">
        <v>561</v>
      </c>
      <c r="D111" s="2" t="s">
        <v>74</v>
      </c>
      <c r="E111" s="7" t="n">
        <v>70000000</v>
      </c>
      <c r="F111" s="80" t="n">
        <v>46780</v>
      </c>
      <c r="G111" s="13" t="s">
        <v>513</v>
      </c>
      <c r="H111" s="2" t="s">
        <v>562</v>
      </c>
    </row>
    <row r="112" customFormat="false" ht="14.25" hidden="false" customHeight="false" outlineLevel="0" collapsed="false">
      <c r="C112" s="6" t="s">
        <v>563</v>
      </c>
      <c r="D112" s="2" t="s">
        <v>74</v>
      </c>
      <c r="E112" s="7" t="n">
        <v>20000000</v>
      </c>
      <c r="F112" s="80" t="n">
        <v>47126</v>
      </c>
      <c r="G112" s="13" t="s">
        <v>513</v>
      </c>
      <c r="H112" s="2" t="s">
        <v>564</v>
      </c>
    </row>
    <row r="113" customFormat="false" ht="14.25" hidden="false" customHeight="false" outlineLevel="0" collapsed="false">
      <c r="C113" s="6" t="s">
        <v>565</v>
      </c>
      <c r="D113" s="2" t="s">
        <v>74</v>
      </c>
      <c r="E113" s="7" t="n">
        <v>12000000</v>
      </c>
      <c r="F113" s="80" t="n">
        <v>47066</v>
      </c>
      <c r="G113" s="13" t="s">
        <v>513</v>
      </c>
      <c r="H113" s="2" t="s">
        <v>566</v>
      </c>
    </row>
    <row r="114" customFormat="false" ht="14.25" hidden="false" customHeight="false" outlineLevel="0" collapsed="false">
      <c r="C114" s="6" t="s">
        <v>567</v>
      </c>
      <c r="D114" s="2" t="s">
        <v>74</v>
      </c>
      <c r="E114" s="7" t="n">
        <v>7400000</v>
      </c>
      <c r="F114" s="80" t="n">
        <v>46752</v>
      </c>
      <c r="G114" s="13" t="s">
        <v>513</v>
      </c>
      <c r="H114" s="2" t="s">
        <v>568</v>
      </c>
    </row>
    <row r="115" customFormat="false" ht="14.25" hidden="false" customHeight="false" outlineLevel="0" collapsed="false">
      <c r="C115" s="6" t="s">
        <v>569</v>
      </c>
      <c r="D115" s="2" t="s">
        <v>74</v>
      </c>
      <c r="E115" s="7" t="n">
        <v>29600000</v>
      </c>
      <c r="F115" s="80" t="n">
        <v>46752</v>
      </c>
      <c r="G115" s="13" t="s">
        <v>513</v>
      </c>
      <c r="H115" s="2" t="s">
        <v>570</v>
      </c>
    </row>
    <row r="116" customFormat="false" ht="14.25" hidden="false" customHeight="false" outlineLevel="0" collapsed="false">
      <c r="C116" s="6" t="s">
        <v>571</v>
      </c>
      <c r="D116" s="2" t="s">
        <v>74</v>
      </c>
      <c r="E116" s="7" t="n">
        <v>91200000</v>
      </c>
      <c r="F116" s="80" t="n">
        <v>47201</v>
      </c>
      <c r="G116" s="13" t="s">
        <v>116</v>
      </c>
      <c r="H116" s="2" t="s">
        <v>572</v>
      </c>
    </row>
    <row r="117" customFormat="false" ht="14.25" hidden="false" customHeight="false" outlineLevel="0" collapsed="false">
      <c r="C117" s="6" t="s">
        <v>573</v>
      </c>
      <c r="D117" s="2" t="s">
        <v>74</v>
      </c>
      <c r="E117" s="7" t="n">
        <v>107908615.62449</v>
      </c>
      <c r="F117" s="80" t="n">
        <v>46752</v>
      </c>
      <c r="G117" s="13" t="s">
        <v>513</v>
      </c>
      <c r="H117" s="2" t="s">
        <v>574</v>
      </c>
    </row>
    <row r="119" customFormat="false" ht="14.25" hidden="false" customHeight="false" outlineLevel="0" collapsed="false">
      <c r="B119" s="4" t="s">
        <v>3</v>
      </c>
      <c r="C119" s="4" t="s">
        <v>575</v>
      </c>
      <c r="D119" s="4"/>
      <c r="E119" s="5" t="s">
        <v>576</v>
      </c>
      <c r="F119" s="5"/>
      <c r="G119" s="5"/>
      <c r="H119" s="5"/>
    </row>
    <row r="120" customFormat="false" ht="14.25" hidden="false" customHeight="false" outlineLevel="0" collapsed="false">
      <c r="C120" s="6" t="s">
        <v>577</v>
      </c>
      <c r="E120" s="13" t="n">
        <v>10</v>
      </c>
      <c r="F120" s="13" t="n">
        <v>15</v>
      </c>
      <c r="G120" s="13" t="n">
        <v>20</v>
      </c>
      <c r="H120" s="13" t="n">
        <v>25</v>
      </c>
      <c r="I120" s="13" t="n">
        <v>30</v>
      </c>
      <c r="J120" s="13" t="n">
        <v>35</v>
      </c>
      <c r="K120" s="13" t="n">
        <v>40</v>
      </c>
      <c r="L120" s="13" t="n">
        <v>45</v>
      </c>
      <c r="M120" s="13" t="n">
        <v>50</v>
      </c>
    </row>
    <row r="121" customFormat="false" ht="14.25" hidden="false" customHeight="false" outlineLevel="0" collapsed="false">
      <c r="C121" s="6" t="s">
        <v>578</v>
      </c>
      <c r="E121" s="13" t="n">
        <v>0</v>
      </c>
      <c r="F121" s="13" t="n">
        <v>0</v>
      </c>
      <c r="G121" s="13" t="n">
        <v>0</v>
      </c>
      <c r="H121" s="13" t="n">
        <v>0</v>
      </c>
      <c r="I121" s="13" t="n">
        <v>0</v>
      </c>
      <c r="J121" s="13" t="n">
        <v>0</v>
      </c>
      <c r="K121" s="13" t="n">
        <v>0</v>
      </c>
      <c r="L121" s="13" t="n">
        <v>0</v>
      </c>
      <c r="M121" s="13" t="n">
        <v>1</v>
      </c>
    </row>
    <row r="122" customFormat="false" ht="14.25" hidden="false" customHeight="false" outlineLevel="0" collapsed="false">
      <c r="C122" s="6" t="s">
        <v>579</v>
      </c>
      <c r="E122" s="13" t="n">
        <v>0</v>
      </c>
      <c r="F122" s="13" t="n">
        <v>10</v>
      </c>
      <c r="G122" s="13" t="n">
        <v>20</v>
      </c>
      <c r="H122" s="13" t="n">
        <v>30</v>
      </c>
      <c r="I122" s="13" t="n">
        <v>40</v>
      </c>
      <c r="J122" s="13" t="n">
        <v>55</v>
      </c>
      <c r="K122" s="13" t="n">
        <v>70</v>
      </c>
      <c r="L122" s="13" t="n">
        <v>80</v>
      </c>
      <c r="M122" s="13" t="n">
        <v>90</v>
      </c>
      <c r="N122" s="13" t="n">
        <v>100</v>
      </c>
    </row>
    <row r="123" customFormat="false" ht="14.25" hidden="false" customHeight="false" outlineLevel="0" collapsed="false">
      <c r="C123" s="6" t="s">
        <v>580</v>
      </c>
      <c r="E123" s="13" t="n">
        <v>2</v>
      </c>
      <c r="F123" s="13" t="n">
        <v>2.1</v>
      </c>
      <c r="G123" s="13" t="n">
        <v>2.2</v>
      </c>
      <c r="H123" s="13" t="n">
        <v>2.3</v>
      </c>
      <c r="I123" s="13" t="n">
        <v>2.4</v>
      </c>
      <c r="J123" s="13" t="n">
        <v>2.5</v>
      </c>
      <c r="K123" s="13" t="n">
        <v>2.6</v>
      </c>
      <c r="L123" s="13" t="n">
        <v>2.7</v>
      </c>
      <c r="M123" s="13" t="n">
        <v>2.8</v>
      </c>
      <c r="N123" s="13" t="n">
        <v>2.9</v>
      </c>
      <c r="O123" s="13" t="n">
        <v>3</v>
      </c>
    </row>
    <row r="124" customFormat="false" ht="14.25" hidden="false" customHeight="false" outlineLevel="0" collapsed="false">
      <c r="C124" s="6" t="s">
        <v>581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1</v>
      </c>
    </row>
    <row r="125" customFormat="false" ht="14.25" hidden="false" customHeight="false" outlineLevel="0" collapsed="false">
      <c r="C125" s="6" t="s">
        <v>582</v>
      </c>
      <c r="E125" s="13" t="n">
        <v>0</v>
      </c>
      <c r="F125" s="13" t="n">
        <v>5</v>
      </c>
      <c r="G125" s="13" t="n">
        <v>10</v>
      </c>
      <c r="H125" s="13" t="n">
        <v>20</v>
      </c>
      <c r="I125" s="13" t="n">
        <v>30</v>
      </c>
      <c r="J125" s="13" t="n">
        <v>40</v>
      </c>
      <c r="K125" s="13" t="n">
        <v>50</v>
      </c>
      <c r="L125" s="13" t="n">
        <v>60</v>
      </c>
      <c r="M125" s="13" t="n">
        <v>70</v>
      </c>
      <c r="N125" s="13" t="n">
        <v>80</v>
      </c>
      <c r="O125" s="13" t="n">
        <v>90</v>
      </c>
      <c r="P125" s="13" t="n">
        <v>100</v>
      </c>
    </row>
    <row r="126" customFormat="false" ht="14.25" hidden="false" customHeight="false" outlineLevel="0" collapsed="false">
      <c r="C126" s="6" t="s">
        <v>583</v>
      </c>
      <c r="E126" s="13" t="n">
        <v>0.02</v>
      </c>
      <c r="F126" s="13" t="n">
        <v>0.05</v>
      </c>
      <c r="G126" s="13" t="n">
        <v>0.1</v>
      </c>
      <c r="H126" s="13" t="n">
        <v>0.15</v>
      </c>
      <c r="I126" s="13" t="n">
        <v>0.2</v>
      </c>
      <c r="J126" s="13" t="n">
        <v>0.25</v>
      </c>
      <c r="K126" s="13" t="n">
        <v>0.3</v>
      </c>
      <c r="L126" s="13" t="n">
        <v>0.35</v>
      </c>
      <c r="M126" s="13" t="n">
        <v>0.4</v>
      </c>
      <c r="N126" s="13" t="n">
        <v>0.5</v>
      </c>
    </row>
    <row r="127" customFormat="false" ht="14.25" hidden="false" customHeight="false" outlineLevel="0" collapsed="false">
      <c r="C127" s="6" t="s">
        <v>584</v>
      </c>
      <c r="E127" s="13" t="n">
        <v>0</v>
      </c>
      <c r="F127" s="13" t="n">
        <v>1</v>
      </c>
      <c r="G127" s="13" t="n">
        <v>1</v>
      </c>
      <c r="H127" s="13" t="n">
        <v>1</v>
      </c>
      <c r="I127" s="13" t="n">
        <v>1</v>
      </c>
      <c r="J127" s="13" t="n">
        <v>1</v>
      </c>
      <c r="K127" s="13" t="n">
        <v>1</v>
      </c>
      <c r="L127" s="13" t="n">
        <v>1</v>
      </c>
      <c r="M127" s="13" t="n">
        <v>1</v>
      </c>
      <c r="N127" s="13" t="n">
        <v>0</v>
      </c>
    </row>
    <row r="128" customFormat="false" ht="14.25" hidden="false" customHeight="false" outlineLevel="0" collapsed="false">
      <c r="C128" s="6" t="s">
        <v>585</v>
      </c>
      <c r="E128" s="13" t="n">
        <v>0</v>
      </c>
      <c r="F128" s="13" t="n">
        <v>10</v>
      </c>
      <c r="G128" s="13" t="n">
        <v>20</v>
      </c>
      <c r="H128" s="13" t="n">
        <v>30</v>
      </c>
      <c r="I128" s="13" t="n">
        <v>40</v>
      </c>
      <c r="J128" s="13" t="n">
        <v>50</v>
      </c>
      <c r="K128" s="13" t="n">
        <v>60</v>
      </c>
      <c r="L128" s="13" t="n">
        <v>70</v>
      </c>
      <c r="M128" s="13" t="n">
        <v>80</v>
      </c>
      <c r="N128" s="13" t="n">
        <v>90</v>
      </c>
      <c r="O128" s="13" t="n">
        <v>100</v>
      </c>
    </row>
    <row r="129" customFormat="false" ht="14.25" hidden="false" customHeight="false" outlineLevel="0" collapsed="false">
      <c r="B129" s="0" t="s">
        <v>586</v>
      </c>
      <c r="C129" s="6"/>
      <c r="E129" s="13" t="n">
        <v>0.02</v>
      </c>
      <c r="F129" s="13" t="n">
        <v>0.05</v>
      </c>
      <c r="G129" s="13" t="n">
        <v>0.1</v>
      </c>
      <c r="H129" s="13" t="n">
        <v>0.15</v>
      </c>
      <c r="I129" s="13" t="n">
        <v>0.2</v>
      </c>
      <c r="J129" s="13" t="n">
        <v>0.25</v>
      </c>
      <c r="K129" s="13" t="n">
        <v>0.3</v>
      </c>
      <c r="L129" s="13" t="n">
        <v>0.35</v>
      </c>
      <c r="M129" s="13" t="n">
        <v>0.4</v>
      </c>
      <c r="N129" s="13" t="n">
        <v>0.5</v>
      </c>
    </row>
    <row r="130" customFormat="false" ht="14.25" hidden="false" customHeight="false" outlineLevel="0" collapsed="false">
      <c r="B130" s="0" t="s">
        <v>587</v>
      </c>
      <c r="C130" s="6"/>
      <c r="E130" s="13" t="n">
        <v>0</v>
      </c>
      <c r="F130" s="13" t="n">
        <v>1</v>
      </c>
      <c r="G130" s="13" t="n">
        <v>1</v>
      </c>
      <c r="H130" s="13" t="n">
        <v>1</v>
      </c>
      <c r="I130" s="13" t="n">
        <v>1</v>
      </c>
      <c r="J130" s="13" t="n">
        <v>1</v>
      </c>
      <c r="K130" s="13" t="n">
        <v>1</v>
      </c>
      <c r="L130" s="13" t="n">
        <v>1</v>
      </c>
      <c r="M130" s="13" t="n">
        <v>1</v>
      </c>
      <c r="N130" s="13" t="n">
        <v>0</v>
      </c>
    </row>
    <row r="131" customFormat="false" ht="14.25" hidden="false" customHeight="false" outlineLevel="0" collapsed="false">
      <c r="B131" s="0" t="s">
        <v>588</v>
      </c>
      <c r="C131" s="6"/>
      <c r="E131" s="13" t="n">
        <v>0</v>
      </c>
      <c r="F131" s="13" t="n">
        <v>10</v>
      </c>
      <c r="G131" s="13" t="n">
        <v>20</v>
      </c>
      <c r="H131" s="13" t="n">
        <v>30</v>
      </c>
      <c r="I131" s="13" t="n">
        <v>40</v>
      </c>
      <c r="J131" s="13" t="n">
        <v>50</v>
      </c>
      <c r="K131" s="13" t="n">
        <v>60</v>
      </c>
      <c r="L131" s="13" t="n">
        <v>70</v>
      </c>
      <c r="M131" s="13" t="n">
        <v>80</v>
      </c>
      <c r="N131" s="13" t="n">
        <v>90</v>
      </c>
      <c r="O131" s="13" t="n">
        <v>100</v>
      </c>
      <c r="P131" s="82" t="s">
        <v>589</v>
      </c>
    </row>
    <row r="132" customFormat="false" ht="14.25" hidden="false" customHeight="false" outlineLevel="0" collapsed="false">
      <c r="C132" s="6" t="s">
        <v>590</v>
      </c>
      <c r="E132" s="13" t="n">
        <v>1</v>
      </c>
      <c r="F132" s="13" t="n">
        <v>1.2</v>
      </c>
      <c r="G132" s="13" t="n">
        <v>1.3</v>
      </c>
      <c r="H132" s="13" t="n">
        <v>1.4</v>
      </c>
      <c r="I132" s="13" t="n">
        <v>1.5</v>
      </c>
      <c r="J132" s="13" t="n">
        <v>1.6</v>
      </c>
      <c r="K132" s="13" t="n">
        <v>1.7</v>
      </c>
      <c r="L132" s="13" t="n">
        <v>1.8</v>
      </c>
      <c r="M132" s="13" t="n">
        <v>1.9</v>
      </c>
      <c r="N132" s="13" t="n">
        <v>2</v>
      </c>
    </row>
    <row r="133" customFormat="false" ht="14.25" hidden="false" customHeight="false" outlineLevel="0" collapsed="false">
      <c r="C133" s="6" t="s">
        <v>591</v>
      </c>
      <c r="E133" s="13" t="n">
        <v>0</v>
      </c>
      <c r="F133" s="13" t="n">
        <v>1</v>
      </c>
      <c r="G133" s="13" t="n">
        <v>1</v>
      </c>
      <c r="H133" s="13" t="n">
        <v>1</v>
      </c>
      <c r="I133" s="13" t="n">
        <v>1</v>
      </c>
      <c r="J133" s="13" t="n">
        <v>1</v>
      </c>
      <c r="K133" s="13" t="n">
        <v>1</v>
      </c>
      <c r="L133" s="13" t="n">
        <v>1</v>
      </c>
      <c r="M133" s="13" t="n">
        <v>1</v>
      </c>
      <c r="N133" s="13" t="n">
        <v>0</v>
      </c>
      <c r="P133" s="82" t="s">
        <v>592</v>
      </c>
    </row>
    <row r="134" customFormat="false" ht="14.25" hidden="false" customHeight="false" outlineLevel="0" collapsed="false">
      <c r="C134" s="6" t="s">
        <v>593</v>
      </c>
      <c r="E134" s="13" t="n">
        <v>0</v>
      </c>
      <c r="F134" s="13" t="n">
        <v>10</v>
      </c>
      <c r="G134" s="13" t="n">
        <v>20</v>
      </c>
      <c r="H134" s="13" t="n">
        <v>30</v>
      </c>
      <c r="I134" s="13" t="n">
        <v>40</v>
      </c>
      <c r="J134" s="13" t="n">
        <v>50</v>
      </c>
      <c r="K134" s="13" t="n">
        <v>60</v>
      </c>
      <c r="L134" s="13" t="n">
        <v>70</v>
      </c>
      <c r="M134" s="13" t="n">
        <v>80</v>
      </c>
      <c r="N134" s="13" t="n">
        <v>90</v>
      </c>
      <c r="O134" s="13" t="n">
        <v>100</v>
      </c>
    </row>
    <row r="135" customFormat="false" ht="14.25" hidden="false" customHeight="false" outlineLevel="0" collapsed="false">
      <c r="C135" s="6" t="s">
        <v>594</v>
      </c>
      <c r="E135" s="13" t="n">
        <v>100</v>
      </c>
    </row>
    <row r="136" customFormat="false" ht="14.25" hidden="false" customHeight="false" outlineLevel="0" collapsed="false">
      <c r="C136" s="6" t="s">
        <v>595</v>
      </c>
      <c r="E136" s="13" t="n">
        <v>100</v>
      </c>
    </row>
    <row r="137" customFormat="false" ht="14.25" hidden="false" customHeight="false" outlineLevel="0" collapsed="false">
      <c r="C137" s="6" t="s">
        <v>596</v>
      </c>
      <c r="E137" s="13" t="n">
        <v>100</v>
      </c>
    </row>
    <row r="138" customFormat="false" ht="14.25" hidden="false" customHeight="false" outlineLevel="0" collapsed="false">
      <c r="C138" s="6" t="s">
        <v>597</v>
      </c>
      <c r="E138" s="13" t="n">
        <v>80</v>
      </c>
    </row>
    <row r="139" customFormat="false" ht="14.25" hidden="false" customHeight="false" outlineLevel="0" collapsed="false">
      <c r="C139" s="6" t="s">
        <v>598</v>
      </c>
      <c r="E139" s="13" t="n">
        <v>20</v>
      </c>
    </row>
    <row r="140" customFormat="false" ht="14.25" hidden="false" customHeight="false" outlineLevel="0" collapsed="false">
      <c r="C140" s="6" t="s">
        <v>599</v>
      </c>
      <c r="E140" s="13" t="n">
        <v>0.2</v>
      </c>
    </row>
    <row r="141" customFormat="false" ht="14.25" hidden="false" customHeight="false" outlineLevel="0" collapsed="false">
      <c r="C141" s="6" t="s">
        <v>600</v>
      </c>
      <c r="E141" s="13" t="n">
        <v>0.15</v>
      </c>
    </row>
    <row r="142" customFormat="false" ht="14.25" hidden="false" customHeight="false" outlineLevel="0" collapsed="false">
      <c r="C142" s="6" t="s">
        <v>601</v>
      </c>
      <c r="E142" s="13" t="n">
        <v>0.1</v>
      </c>
    </row>
    <row r="143" customFormat="false" ht="14.25" hidden="false" customHeight="false" outlineLevel="0" collapsed="false">
      <c r="C143" s="6" t="s">
        <v>602</v>
      </c>
      <c r="E143" s="13" t="n">
        <v>0.15</v>
      </c>
    </row>
    <row r="144" customFormat="false" ht="14.25" hidden="false" customHeight="false" outlineLevel="0" collapsed="false">
      <c r="C144" s="6" t="s">
        <v>603</v>
      </c>
      <c r="E144" s="13" t="n">
        <v>0.05</v>
      </c>
    </row>
    <row r="145" customFormat="false" ht="14.25" hidden="false" customHeight="false" outlineLevel="0" collapsed="false">
      <c r="C145" s="6" t="s">
        <v>604</v>
      </c>
      <c r="E145" s="13" t="n">
        <v>0.05</v>
      </c>
    </row>
    <row r="146" customFormat="false" ht="14.25" hidden="false" customHeight="false" outlineLevel="0" collapsed="false">
      <c r="C146" s="6" t="s">
        <v>605</v>
      </c>
      <c r="E146" s="13" t="n">
        <v>0.1</v>
      </c>
    </row>
    <row r="147" customFormat="false" ht="14.25" hidden="false" customHeight="false" outlineLevel="0" collapsed="false">
      <c r="C147" s="6" t="s">
        <v>606</v>
      </c>
      <c r="E147" s="13" t="n">
        <v>0.05</v>
      </c>
    </row>
    <row r="148" customFormat="false" ht="14.25" hidden="false" customHeight="false" outlineLevel="0" collapsed="false">
      <c r="C148" s="6" t="s">
        <v>607</v>
      </c>
      <c r="E148" s="13" t="n">
        <v>0.15</v>
      </c>
    </row>
    <row r="150" customFormat="false" ht="14.25" hidden="false" customHeight="false" outlineLevel="0" collapsed="false">
      <c r="C150" s="79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2026-10-27T15:34:29Z</dcterms:created>
  <dc:creator>openpyxl</dc:creator>
  <dc:description/>
  <dc:language>en-US</dc:language>
  <cp:lastModifiedBy/>
  <dcterms:modified xsi:type="dcterms:W3CDTF">2026-10-28T23:42:50Z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0x010100CB25C80BA76C054AAAC0D3CDDFCEC309</vt:lpwstr>
  </property>
  <property fmtid="{D5CDD505-2E9C-101B-9397-08002B2CF9AE}" pid="3" name="MediaServiceImageTags">
    <vt:lpwstr/>
  </property>
</Properties>
</file>