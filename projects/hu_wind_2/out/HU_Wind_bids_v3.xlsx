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</sheets>
  <definedNames>
    <definedName function="false" hidden="false" name="Balancing" vbProcedure="false">Inputs!$E$69</definedName>
    <definedName function="false" hidden="false" name="Bench_BESS" vbProcedure="false">Inputs!$E$8</definedName>
    <definedName function="false" hidden="false" name="Bench_Wind" vbProcedure="false">Inputs!$E$7</definedName>
    <definedName function="false" hidden="false" name="BESS_Capex" vbProcedure="false">Inputs!$E$56</definedName>
    <definedName function="false" hidden="false" name="Bid_Sec_Rate" vbProcedure="false">Inputs!$E$9</definedName>
    <definedName function="false" hidden="false" name="Capex_Civil" vbProcedure="false">Inputs!$E$49</definedName>
    <definedName function="false" hidden="false" name="Capex_Cont" vbProcedure="false">Inputs!$E$55</definedName>
    <definedName function="false" hidden="false" name="Capex_Elec" vbProcedure="false">Inputs!$E$50</definedName>
    <definedName function="false" hidden="false" name="Capex_Fdn" vbProcedure="false">Inputs!$E$48</definedName>
    <definedName function="false" hidden="false" name="Capex_Install" vbProcedure="false">Inputs!$E$47</definedName>
    <definedName function="false" hidden="false" name="Capex_Land" vbProcedure="false">Inputs!$E$52</definedName>
    <definedName function="false" hidden="false" name="Capex_Owner" vbProcedure="false">Inputs!$E$51</definedName>
    <definedName function="false" hidden="false" name="Case_CN" vbProcedure="false">Dashboard!$H$27</definedName>
    <definedName function="false" hidden="false" name="Case_EU" vbProcedure="false">Dashboard!$H$26</definedName>
    <definedName function="false" hidden="false" name="Case_OM" vbProcedure="false">Dashboard!$H$30</definedName>
    <definedName function="false" hidden="false" name="Case_P50" vbProcedure="false">Dashboard!$H$29</definedName>
    <definedName function="false" hidden="false" name="Case_PPA" vbProcedure="false">Dashboard!$H$28</definedName>
    <definedName function="false" hidden="false" name="CIT_Rate" vbProcedure="false">Inputs!$E$39</definedName>
    <definedName function="false" hidden="false" name="Clipping" vbProcedure="false">Inputs!$E$59</definedName>
    <definedName function="false" hidden="false" name="Curtailment" vbProcedure="false">Inputs!$E$58</definedName>
    <definedName function="false" hidden="false" name="Dash_BESS_Share" vbProcedure="false">Dashboard!$E$8:$G$8</definedName>
    <definedName function="false" hidden="false" name="Dash_Brownfield" vbProcedure="false">Dashboard!$E$15:$G$15</definedName>
    <definedName function="false" hidden="false" name="Dash_Case" vbProcedure="false">Dashboard!$H$25</definedName>
    <definedName function="false" hidden="false" name="Dash_Case_CN" vbProcedure="false">Dashboard!$E$27:$G$27</definedName>
    <definedName function="false" hidden="false" name="Dash_Case_EU" vbProcedure="false">Dashboard!$E$26:$G$26</definedName>
    <definedName function="false" hidden="false" name="Dash_Case_OM" vbProcedure="false">Dashboard!$E$30:$G$30</definedName>
    <definedName function="false" hidden="false" name="Dash_Case_P50" vbProcedure="false">Dashboard!$E$29:$G$29</definedName>
    <definedName function="false" hidden="false" name="Dash_Case_PPA" vbProcedure="false">Dashboard!$E$28:$G$28</definedName>
    <definedName function="false" hidden="false" name="Dash_Community" vbProcedure="false">Dashboard!$E$12:$G$12</definedName>
    <definedName function="false" hidden="false" name="Dash_DSA" vbProcedure="false">Dashboard!$E$20:$G$20</definedName>
    <definedName function="false" hidden="false" name="Dash_FEP_Share" vbProcedure="false">Dashboard!$E$19:$G$19</definedName>
    <definedName function="false" hidden="false" name="Dash_Hours" vbProcedure="false">Dashboard!$E$9:$G$9</definedName>
    <definedName function="false" hidden="false" name="Dash_JV" vbProcedure="false">Dashboard!$E$21:$G$21</definedName>
    <definedName function="false" hidden="false" name="Dash_Municipal" vbProcedure="false">Dashboard!$E$11:$G$11</definedName>
    <definedName function="false" hidden="false" name="Dash_MVA" vbProcedure="false">Dashboard!$E$6:$G$6</definedName>
    <definedName function="false" hidden="false" name="Dash_Overbuild" vbProcedure="false">Dashboard!$E$7:$G$7</definedName>
    <definedName function="false" hidden="false" name="Dash_P50" vbProcedure="false">Dashboard!$E$22:$G$22</definedName>
    <definedName function="false" hidden="false" name="Dash_Partial" vbProcedure="false">Dashboard!$E$13:$G$13</definedName>
    <definedName function="false" hidden="false" name="Dash_PB_Mult" vbProcedure="false">Dashboard!$E$14:$G$14</definedName>
    <definedName function="false" hidden="false" name="Dash_Premium" vbProcedure="false">Dashboard!$E$18:$G$18</definedName>
    <definedName function="false" hidden="false" name="Dash_Shared" vbProcedure="false">Dashboard!$E$16:$G$16</definedName>
    <definedName function="false" hidden="false" name="Dash_Shortfall" vbProcedure="false">Dashboard!$E$10:$G$10</definedName>
    <definedName function="false" hidden="false" name="Dash_Turbine" vbProcedure="false">Dashboard!$E$17:$G$17</definedName>
    <definedName function="false" hidden="false" name="Days_In_Year" vbProcedure="false">Inputs!$E$80</definedName>
    <definedName function="false" hidden="false" name="Debt_Rate" vbProcedure="false">Inputs!$E$44</definedName>
    <definedName function="false" hidden="false" name="Debt_Tenor" vbProcedure="false">Inputs!$E$45</definedName>
    <definedName function="false" hidden="false" name="Degradation" vbProcedure="false">Inputs!$E$60</definedName>
    <definedName function="false" hidden="false" name="Devex_Class" vbProcedure="false">Inputs!$G$85:$G$117</definedName>
    <definedName function="false" hidden="false" name="Devex_Date" vbProcedure="false">Inputs!$F$85:$F$117</definedName>
    <definedName function="false" hidden="false" name="Devex_Floor" vbProcedure="false">Inputs!$E$32</definedName>
    <definedName function="false" hidden="false" name="Devex_HUF" vbProcedure="false">Inputs!$E$85:$E$117</definedName>
    <definedName function="false" hidden="false" name="Discount_Rate" vbProcedure="false">Inputs!$E$77</definedName>
    <definedName function="false" hidden="false" name="DSA_Cap" vbProcedure="false">Inputs!$E$38</definedName>
    <definedName function="false" hidden="false" name="DSA_Rate" vbProcedure="false">Inputs!$E$37</definedName>
    <definedName function="false" hidden="false" name="First_Year" vbProcedure="false">Inputs!$E$78</definedName>
    <definedName function="false" hidden="false" name="Freeze_Date" vbProcedure="false">Inputs!$E$33</definedName>
    <definedName function="false" hidden="false" name="FX" vbProcedure="false">Inputs!$E$6</definedName>
    <definedName function="false" hidden="false" name="Gearing" vbProcedure="false">Inputs!$E$43</definedName>
    <definedName function="false" hidden="false" name="Grid_Charges" vbProcedure="false">Inputs!$E$70</definedName>
    <definedName function="false" hidden="false" name="HIPA_Rate" vbProcedure="false">Inputs!$E$72</definedName>
    <definedName function="false" hidden="false" name="Life" vbProcedure="false">Inputs!$E$76</definedName>
    <definedName function="false" hidden="false" name="Lump_Basis" vbProcedure="false">Inputs!$E$54</definedName>
    <definedName function="false" hidden="false" name="Master_Check" vbProcedure="false">Dashboard!$H$487</definedName>
    <definedName function="false" hidden="false" name="MEKH_Fee" vbProcedure="false">Inputs!$E$71</definedName>
    <definedName function="false" hidden="false" name="Months_In_Year" vbProcedure="false">Inputs!$E$81</definedName>
    <definedName function="false" hidden="false" name="Opex_Admin" vbProcedure="false">Inputs!$E$68</definedName>
    <definedName function="false" hidden="false" name="Opex_BoP" vbProcedure="false">Inputs!$E$63</definedName>
    <definedName function="false" hidden="false" name="Opex_Cont" vbProcedure="false">Inputs!$E$73</definedName>
    <definedName function="false" hidden="false" name="Opex_Esc" vbProcedure="false">Inputs!$E$74</definedName>
    <definedName function="false" hidden="false" name="Opex_Ins" vbProcedure="false">Inputs!$E$65</definedName>
    <definedName function="false" hidden="false" name="Opex_Lease" vbProcedure="false">Inputs!$E$64</definedName>
    <definedName function="false" hidden="false" name="Opex_Mgmt" vbProcedure="false">Inputs!$E$66</definedName>
    <definedName function="false" hidden="false" name="Opex_Per_MW" vbProcedure="false">Inputs!$E$63:$E$67</definedName>
    <definedName function="false" hidden="false" name="Opex_PropTax" vbProcedure="false">Inputs!$E$67</definedName>
    <definedName function="false" hidden="false" name="Osz1_Incl" vbProcedure="false">Inputs!$E$121:$M$121</definedName>
    <definedName function="false" hidden="false" name="Osz1_LB" vbProcedure="false">Inputs!$E$120:$M$120</definedName>
    <definedName function="false" hidden="false" name="Osz1_Pts" vbProcedure="false">Inputs!$E$122:$N$122</definedName>
    <definedName function="false" hidden="false" name="Osz1_W" vbProcedure="false">Inputs!$E$140</definedName>
    <definedName function="false" hidden="false" name="Osz2_Incl" vbProcedure="false">Inputs!$E$124:$O$124</definedName>
    <definedName function="false" hidden="false" name="Osz2_LB" vbProcedure="false">Inputs!$E$123:$O$123</definedName>
    <definedName function="false" hidden="false" name="Osz2_Pts" vbProcedure="false">Inputs!$E$125:$P$125</definedName>
    <definedName function="false" hidden="false" name="Osz2_W" vbProcedure="false">Inputs!$E$141</definedName>
    <definedName function="false" hidden="false" name="Osz3_Incl" vbProcedure="false">Inputs!$E$127:$N$127</definedName>
    <definedName function="false" hidden="false" name="Osz3_LB" vbProcedure="false">Inputs!$E$126:$N$126</definedName>
    <definedName function="false" hidden="false" name="Osz3_Pts" vbProcedure="false">Inputs!$E$128:$O$128</definedName>
    <definedName function="false" hidden="false" name="Osz3_W" vbProcedure="false">Inputs!$E$142</definedName>
    <definedName function="false" hidden="false" name="Osz4_Incl" vbProcedure="false">Inputs!$E$130:$N$130</definedName>
    <definedName function="false" hidden="false" name="Osz4_LB" vbProcedure="false">Inputs!$E$129:$N$129</definedName>
    <definedName function="false" hidden="false" name="Osz4_Pts" vbProcedure="false">Inputs!$E$131:$O$131</definedName>
    <definedName function="false" hidden="false" name="Osz4_W" vbProcedure="false">Inputs!$E$143</definedName>
    <definedName function="false" hidden="false" name="Osz5_Pts" vbProcedure="false">Inputs!$E$135</definedName>
    <definedName function="false" hidden="false" name="Osz5_W" vbProcedure="false">Inputs!$E$144</definedName>
    <definedName function="false" hidden="false" name="Osz6_Incl" vbProcedure="false">Inputs!$E$133:$N$133</definedName>
    <definedName function="false" hidden="false" name="Osz6_LB" vbProcedure="false">Inputs!$E$132:$N$132</definedName>
    <definedName function="false" hidden="false" name="Osz6_Pts" vbProcedure="false">Inputs!$E$134:$O$134</definedName>
    <definedName function="false" hidden="false" name="Osz6_W" vbProcedure="false">Inputs!$E$145</definedName>
    <definedName function="false" hidden="false" name="Osz7_Pts" vbProcedure="false">Inputs!$E$136</definedName>
    <definedName function="false" hidden="false" name="Osz7_W" vbProcedure="false">Inputs!$E$146</definedName>
    <definedName function="false" hidden="false" name="Osz8_Pts" vbProcedure="false">Inputs!$E$137</definedName>
    <definedName function="false" hidden="false" name="Osz8_W" vbProcedure="false">Inputs!$E$147</definedName>
    <definedName function="false" hidden="false" name="Osz9a_Pts" vbProcedure="false">Inputs!$E$138</definedName>
    <definedName function="false" hidden="false" name="Osz9b_Pts" vbProcedure="false">Inputs!$E$139</definedName>
    <definedName function="false" hidden="false" name="Osz9_W" vbProcedure="false">Inputs!$E$148</definedName>
    <definedName function="false" hidden="false" name="Part_Fee" vbProcedure="false">Inputs!$E$11</definedName>
    <definedName function="false" hidden="false" name="PB_Rate" vbProcedure="false">Inputs!$E$10</definedName>
    <definedName function="false" hidden="false" name="PPA_Esc" vbProcedure="false">Inputs!$E$61</definedName>
    <definedName function="false" hidden="false" name="Rate_Cash" vbProcedure="false">Inputs!$E$30</definedName>
    <definedName function="false" hidden="false" name="Rate_Devex" vbProcedure="false">Inputs!$E$31</definedName>
    <definedName function="false" hidden="false" name="Sale_Costs" vbProcedure="false">Inputs!$E$36</definedName>
    <definedName function="false" hidden="false" name="Sale_Date" vbProcedure="false">Inputs!$E$34</definedName>
    <definedName function="false" hidden="false" name="Sale_Date_A" vbProcedure="false">Inputs!$E$35</definedName>
    <definedName function="false" hidden="false" name="Share_Exempt" vbProcedure="false">Inputs!$E$40</definedName>
    <definedName function="false" hidden="false" name="Subs_Lump" vbProcedure="false">Inputs!$E$53</definedName>
    <definedName function="false" hidden="false" name="Tax_Dep_Life" vbProcedure="false">Inputs!$E$42</definedName>
    <definedName function="false" hidden="false" name="Thousand" vbProcedure="false">Inputs!$E$79</definedName>
    <definedName function="false" hidden="false" name="Tolerance" vbProcedure="false">Inputs!$E$82</definedName>
    <definedName function="false" hidden="false" name="TSO_Rate" vbProcedure="false">Inputs!$E$12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<sst xmlns="http://schemas.openxmlformats.org/spreadsheetml/2006/main" count="1401" uniqueCount="585">
  <si>
    <t xml:space="preserve">HU wind projects</t>
  </si>
  <si>
    <t xml:space="preserve">Master check (0 = OK; checks at the end of the detail)</t>
  </si>
  <si>
    <t xml:space="preserve">flag</t>
  </si>
  <si>
    <t xml:space="preserve">x</t>
  </si>
  <si>
    <t xml:space="preserve">Key inputs: the bids</t>
  </si>
  <si>
    <t xml:space="preserve">Bora</t>
  </si>
  <si>
    <t xml:space="preserve">Iváncsa</t>
  </si>
  <si>
    <t xml:space="preserve">Dunaújváros</t>
  </si>
  <si>
    <t xml:space="preserve">Total</t>
  </si>
  <si>
    <t xml:space="preserve">Net connection capacity</t>
  </si>
  <si>
    <t xml:space="preserve">MVA</t>
  </si>
  <si>
    <t xml:space="preserve">Overbuild (ÖSZ-3)</t>
  </si>
  <si>
    <t xml:space="preserve">%</t>
  </si>
  <si>
    <t xml:space="preserve">BESS power, share of MVA (ÖSZ-4)</t>
  </si>
  <si>
    <t xml:space="preserve">BESS duration</t>
  </si>
  <si>
    <t xml:space="preserve">h</t>
  </si>
  <si>
    <t xml:space="preserve">Wind built below the bid</t>
  </si>
  <si>
    <t xml:space="preserve">Municipal one-off (ÖSZ-1), at COD</t>
  </si>
  <si>
    <t xml:space="preserve">EUR k/MVA</t>
  </si>
  <si>
    <t xml:space="preserve">Community contribution (ÖSZ-2)</t>
  </si>
  <si>
    <t xml:space="preserve">EUR/MWh</t>
  </si>
  <si>
    <t xml:space="preserve">Partial award accepted (ÖSZ-5)</t>
  </si>
  <si>
    <t xml:space="preserve">Performance security multiple (ÖSZ-6)</t>
  </si>
  <si>
    <t xml:space="preserve">Brownfield site (ÖSZ-7)</t>
  </si>
  <si>
    <t xml:space="preserve">Shared connection (ÖSZ-8)</t>
  </si>
  <si>
    <t xml:space="preserve">Turbine route (EU or CN; EU scores ÖSZ-9)</t>
  </si>
  <si>
    <t xml:space="preserve">text</t>
  </si>
  <si>
    <t xml:space="preserve">CN</t>
  </si>
  <si>
    <t xml:space="preserve">RtB premium</t>
  </si>
  <si>
    <t xml:space="preserve">FEP share of distributable proceeds</t>
  </si>
  <si>
    <t xml:space="preserve">Developer success fee (DSA) on</t>
  </si>
  <si>
    <t xml:space="preserve">JV with a developer (1 = yes; claims and DSA apply)</t>
  </si>
  <si>
    <t xml:space="preserve">Net P50 hours (project wind study)</t>
  </si>
  <si>
    <t xml:space="preserve">h/yr</t>
  </si>
  <si>
    <t xml:space="preserve">Case: turbine price, PPA, yield, O&amp;M</t>
  </si>
  <si>
    <t xml:space="preserve">Base</t>
  </si>
  <si>
    <t xml:space="preserve">Low</t>
  </si>
  <si>
    <t xml:space="preserve">High</t>
  </si>
  <si>
    <t xml:space="preserve">Live</t>
  </si>
  <si>
    <t xml:space="preserve">Case selected (Base, Low or High)</t>
  </si>
  <si>
    <t xml:space="preserve">case</t>
  </si>
  <si>
    <t xml:space="preserve">Turbine supply incl. transport, EU route</t>
  </si>
  <si>
    <t xml:space="preserve">EUR k/MW</t>
  </si>
  <si>
    <t xml:space="preserve">Bora Dashboard H8 / Inputs G162</t>
  </si>
  <si>
    <t xml:space="preserve">Turbine supply incl. transport, CN route</t>
  </si>
  <si>
    <t xml:space="preserve">Bora Inputs H162</t>
  </si>
  <si>
    <t xml:space="preserve">PPA price in the COD year</t>
  </si>
  <si>
    <t xml:space="preserve">Bora Dashboard H9</t>
  </si>
  <si>
    <t xml:space="preserve">Net P50 hours (not used: project P50 in row 22)</t>
  </si>
  <si>
    <t xml:space="preserve">Bora Dashboard H10</t>
  </si>
  <si>
    <t xml:space="preserve">O&amp;M full-service contract</t>
  </si>
  <si>
    <t xml:space="preserve">EUR k/MW/yr</t>
  </si>
  <si>
    <t xml:space="preserve">Bora Dashboard H11</t>
  </si>
  <si>
    <t xml:space="preserve">Bid points and capacity</t>
  </si>
  <si>
    <t xml:space="preserve">Points – municipal one-off</t>
  </si>
  <si>
    <t xml:space="preserve">points</t>
  </si>
  <si>
    <t xml:space="preserve">Points – community contribution</t>
  </si>
  <si>
    <t xml:space="preserve">Points – overbuild</t>
  </si>
  <si>
    <t xml:space="preserve">Points – BESS</t>
  </si>
  <si>
    <t xml:space="preserve">Points – partial award</t>
  </si>
  <si>
    <t xml:space="preserve">Points – performance security</t>
  </si>
  <si>
    <t xml:space="preserve">Points – brownfield</t>
  </si>
  <si>
    <t xml:space="preserve">Points – shared connection</t>
  </si>
  <si>
    <t xml:space="preserve">Points – EU turbines</t>
  </si>
  <si>
    <t xml:space="preserve">Points – EU transformers</t>
  </si>
  <si>
    <t xml:space="preserve">Points total</t>
  </si>
  <si>
    <t xml:space="preserve">Wind committed in the bid</t>
  </si>
  <si>
    <t xml:space="preserve">MW</t>
  </si>
  <si>
    <t xml:space="preserve">BESS energy</t>
  </si>
  <si>
    <t xml:space="preserve">MWh</t>
  </si>
  <si>
    <t xml:space="preserve">Wind built (committed less the build shortfall)</t>
  </si>
  <si>
    <t xml:space="preserve">Guarantees, securities and connection fees, DEVEX (HUF)</t>
  </si>
  <si>
    <t xml:space="preserve">Date</t>
  </si>
  <si>
    <t xml:space="preserve">Participation fee</t>
  </si>
  <si>
    <t xml:space="preserve">HUF</t>
  </si>
  <si>
    <t xml:space="preserve">Bid security</t>
  </si>
  <si>
    <t xml:space="preserve">Performance security payable (bid security deducted)</t>
  </si>
  <si>
    <t xml:space="preserve">TSO connection-request security</t>
  </si>
  <si>
    <t xml:space="preserve">Direct connection fee (per point ÷ bids sharing it)</t>
  </si>
  <si>
    <t xml:space="preserve">Indirect connection fee, payable (TSO security deducted)</t>
  </si>
  <si>
    <t xml:space="preserve">DEVEX – development (devex items excl. land)</t>
  </si>
  <si>
    <t xml:space="preserve">DEVEX – land (reservation and purchase)</t>
  </si>
  <si>
    <t xml:space="preserve">Signing fee and DD</t>
  </si>
  <si>
    <t xml:space="preserve">Total cash to RtB (incl. signing and DD)</t>
  </si>
  <si>
    <t xml:space="preserve">Guarantees, securities and connection fees, DEVEX (EUR k)</t>
  </si>
  <si>
    <t xml:space="preserve">EUR k</t>
  </si>
  <si>
    <t xml:space="preserve">Cash to RtB by nature: sunk, returned, or borne by the buyer (EUR k)</t>
  </si>
  <si>
    <t xml:space="preserve">Who bears it</t>
  </si>
  <si>
    <t xml:space="preserve">Sunk fees and devex (signing and DD, participation fee, land, development devex)</t>
  </si>
  <si>
    <t xml:space="preserve">FEP – sunk; recovered only via the claims at the sale</t>
  </si>
  <si>
    <t xml:space="preserve">Securities, returned (bid, performance, TSO connection request)</t>
  </si>
  <si>
    <t xml:space="preserve">FEP – cash out, returned or reimbursed at the sale</t>
  </si>
  <si>
    <t xml:space="preserve">Grid connection fees (direct + indirect, payable at HCSSZ)</t>
  </si>
  <si>
    <t xml:space="preserve">Buyer at RtB; FEP pays only if no buyer is found</t>
  </si>
  <si>
    <t xml:space="preserve">Total cash to RtB (= total above)</t>
  </si>
  <si>
    <t xml:space="preserve">Case A: FEP pre-funds everything</t>
  </si>
  <si>
    <t xml:space="preserve">Grid connection fees, share of the total</t>
  </si>
  <si>
    <t xml:space="preserve">FEP exposure if the buyer pays the grid connection fees</t>
  </si>
  <si>
    <t xml:space="preserve">Case B: FEP funds sunk fees, devex and securities only</t>
  </si>
  <si>
    <t xml:space="preserve">Capex breakdown to COD</t>
  </si>
  <si>
    <t xml:space="preserve">Turbines (route price, live case)</t>
  </si>
  <si>
    <t xml:space="preserve">Installation and erection</t>
  </si>
  <si>
    <t xml:space="preserve">Foundations</t>
  </si>
  <si>
    <t xml:space="preserve">Balance of plant – civil</t>
  </si>
  <si>
    <t xml:space="preserve">Balance of plant – electrical</t>
  </si>
  <si>
    <t xml:space="preserve">Owner's costs, engineering, PM, construction insurance</t>
  </si>
  <si>
    <t xml:space="preserve">Land purchase and easements</t>
  </si>
  <si>
    <t xml:space="preserve">Substation and 132 kV bay (scaled by MVA)</t>
  </si>
  <si>
    <t xml:space="preserve">Contingency (not on BESS)</t>
  </si>
  <si>
    <t xml:space="preserve">BESS (on BESS energy)</t>
  </si>
  <si>
    <t xml:space="preserve">Construction capex</t>
  </si>
  <si>
    <t xml:space="preserve">Connection fees (TSO security, direct, indirect)</t>
  </si>
  <si>
    <t xml:space="preserve">TSO connection-request security (returned)</t>
  </si>
  <si>
    <t xml:space="preserve">Bid security (returned)</t>
  </si>
  <si>
    <t xml:space="preserve">Performance security: 0 (returned)</t>
  </si>
  <si>
    <t xml:space="preserve">Municipal one-off</t>
  </si>
  <si>
    <t xml:space="preserve">Land</t>
  </si>
  <si>
    <t xml:space="preserve">Developer premium paid for the RtB project (150 k€/MVA × MVA; replaces FEP's devex, which the buyer does not bear)</t>
  </si>
  <si>
    <t xml:space="preserve">All-in cost to COD for a buyer (securities excluded: returned)</t>
  </si>
  <si>
    <t xml:space="preserve">All-in cost per MW built</t>
  </si>
  <si>
    <t xml:space="preserve">All-in cost per MVA</t>
  </si>
  <si>
    <t xml:space="preserve">Devex breakdown (BORA_Devex 02-Oct-26 items × the scale; tender fee and securities above)</t>
  </si>
  <si>
    <t xml:space="preserve">Development devex (incl. contingency)</t>
  </si>
  <si>
    <t xml:space="preserve">Devex total (= DEVEX lines above; devex items × scale)</t>
  </si>
  <si>
    <t xml:space="preserve">Returns RTB COD HTM</t>
  </si>
  <si>
    <t xml:space="preserve">RTB exit, Case A: buyer pays the grid connection fees (FEP does not pre-fund)</t>
  </si>
  <si>
    <t xml:space="preserve">Grid connection fees paid by the buyer (not FEP cash)</t>
  </si>
  <si>
    <t xml:space="preserve">Total FEP cash out to RtB (peak exposure)</t>
  </si>
  <si>
    <t xml:space="preserve">Total proceeds to FEP at the sale</t>
  </si>
  <si>
    <t xml:space="preserve">FEP profit</t>
  </si>
  <si>
    <t xml:space="preserve">MOIC, pre-tax</t>
  </si>
  <si>
    <t xml:space="preserve">IRR, pre-tax</t>
  </si>
  <si>
    <t xml:space="preserve">RTB exit, Case B: FEP pre-funds the grid connection fees, buyer reimburses them at the sale</t>
  </si>
  <si>
    <t xml:space="preserve">COD exit (as the RtB buyer: pays the RtB price, securities and fees at the Case B sale, builds, sells at COD)</t>
  </si>
  <si>
    <t xml:space="preserve">Connection fees (direct, indirect; the TSO security is credited against the indirect fee)</t>
  </si>
  <si>
    <t xml:space="preserve">Development devex: 0 (FEP's cost, replaced by the RtB premium paid at the sale)</t>
  </si>
  <si>
    <t xml:space="preserve">RtB premium paid to FEP at the sale (150 k€/MVA × MVA)</t>
  </si>
  <si>
    <t xml:space="preserve">Total costs to COD (= all-in cost to COD for a buyer)</t>
  </si>
  <si>
    <t xml:space="preserve">Sale price at COD</t>
  </si>
  <si>
    <t xml:space="preserve">Buyer profit (sale price at COD less the costs above)</t>
  </si>
  <si>
    <t xml:space="preserve">Hold to maturity (as the RtB buyer; EBITDA, CIT 15 %, optional 60 % debt)</t>
  </si>
  <si>
    <t xml:space="preserve">Total capex and costs to COD (= all-in cost to COD for a buyer)</t>
  </si>
  <si>
    <t xml:space="preserve">Total revenue over the life</t>
  </si>
  <si>
    <t xml:space="preserve">Total opex over the life</t>
  </si>
  <si>
    <t xml:space="preserve">Total EBITDA over the life</t>
  </si>
  <si>
    <t xml:space="preserve">Project IRR, pre-tax</t>
  </si>
  <si>
    <t xml:space="preserve">NPV at the discount rate, at the first year end</t>
  </si>
  <si>
    <t xml:space="preserve">CIT over the life, unlevered</t>
  </si>
  <si>
    <t xml:space="preserve">Project IRR, post-tax</t>
  </si>
  <si>
    <t xml:space="preserve">Debt drawn at COD (60 %)</t>
  </si>
  <si>
    <t xml:space="preserve">Equity IRR, post-tax (60 % debt)</t>
  </si>
  <si>
    <t xml:space="preserve">Minimum DSCR</t>
  </si>
  <si>
    <t xml:space="preserve">Annual cash flow per project (EUR k)</t>
  </si>
  <si>
    <t xml:space="preserve">Year</t>
  </si>
  <si>
    <t xml:space="preserve">year</t>
  </si>
  <si>
    <t xml:space="preserve">Spending (RtB purchase, capex, fees, securities), net</t>
  </si>
  <si>
    <t xml:space="preserve">Revenue</t>
  </si>
  <si>
    <t xml:space="preserve">Opex</t>
  </si>
  <si>
    <t xml:space="preserve">EBITDA</t>
  </si>
  <si>
    <t xml:space="preserve">Net cash flow</t>
  </si>
  <si>
    <t xml:space="preserve">Net cash flow, post-tax</t>
  </si>
  <si>
    <t xml:space="preserve">Equity cash flow, post-tax (60 % debt)</t>
  </si>
  <si>
    <t xml:space="preserve">Cumulative net cash flow</t>
  </si>
  <si>
    <t xml:space="preserve">Spending (capex, fees, securities, devex), net</t>
  </si>
  <si>
    <t xml:space="preserve">Detailed calculations: claims, waterfall, dated flows, timelines, checks – expand the group</t>
  </si>
  <si>
    <t xml:space="preserve">RtB exit, Case B: FEP claims at the sale (interest to the freeze, act/365, capitalised 31-Dec)</t>
  </si>
  <si>
    <t xml:space="preserve">Interest accrual end (earlier of freeze and sale)</t>
  </si>
  <si>
    <t xml:space="preserve">date</t>
  </si>
  <si>
    <t xml:space="preserve">Accrual factor in the end year, cash rate</t>
  </si>
  <si>
    <t xml:space="preserve">Accrual factor in the end year, devex rate</t>
  </si>
  <si>
    <t xml:space="preserve">Days to the first 31-Dec from bid submission</t>
  </si>
  <si>
    <t xml:space="preserve">days</t>
  </si>
  <si>
    <t xml:space="preserve">Accrual factor from bid submission</t>
  </si>
  <si>
    <t xml:space="preserve">Days to the first 31-Dec from performance security posting</t>
  </si>
  <si>
    <t xml:space="preserve">Accrual factor from performance security posting</t>
  </si>
  <si>
    <t xml:space="preserve">Days to the first 31-Dec from TSO security payment</t>
  </si>
  <si>
    <t xml:space="preserve">Accrual factor from TSO security payment</t>
  </si>
  <si>
    <t xml:space="preserve">Days to the first 31-Dec from connection agreement (HCSSZ)</t>
  </si>
  <si>
    <t xml:space="preserve">Accrual factor from connection agreement (HCSSZ)</t>
  </si>
  <si>
    <t xml:space="preserve">Days to the first 31-Dec from land payment (amount-weighted)</t>
  </si>
  <si>
    <t xml:space="preserve">Accrual factor from land payment (amount-weighted)</t>
  </si>
  <si>
    <t xml:space="preserve">Days to the first 31-Dec from development devex payment (amount-weighted)</t>
  </si>
  <si>
    <t xml:space="preserve">Accrual factor from development devex payment (amount-weighted)</t>
  </si>
  <si>
    <t xml:space="preserve">Claim on FEP's shareholder loan (JV only): participation fee (not reimbursed)</t>
  </si>
  <si>
    <t xml:space="preserve">Claim on FEP's shareholder loan (JV only): bid security (cash)</t>
  </si>
  <si>
    <t xml:space="preserve">Claim on FEP's shareholder loan (JV only): performance security payable (cash)</t>
  </si>
  <si>
    <t xml:space="preserve">Claim on FEP's shareholder loan (JV only): TSO connection-request security</t>
  </si>
  <si>
    <t xml:space="preserve">Claim on FEP's shareholder loan (JV only): direct connection fee</t>
  </si>
  <si>
    <t xml:space="preserve">Claim on FEP's shareholder loan (JV only): indirect connection fee, payable</t>
  </si>
  <si>
    <t xml:space="preserve">Claim on FEP's shareholder loan (JV only): land, MAX(20 % accrued, 1× principal)</t>
  </si>
  <si>
    <t xml:space="preserve">Claim on FEP's shareholder loan (JV only): development devex, MAX(20 % accrued, 1× principal)</t>
  </si>
  <si>
    <t xml:space="preserve">Total FEP claims on its shareholder loans (JV only)</t>
  </si>
  <si>
    <t xml:space="preserve">Developer success fee due (DSA, capped)</t>
  </si>
  <si>
    <t xml:space="preserve">RtB exit, Case A: buyer pays the grid connection fees directly (FEP does not pre-fund them)</t>
  </si>
  <si>
    <t xml:space="preserve">Grid connection fees paid by the buyer at HCSSZ (direct + indirect, payable)</t>
  </si>
  <si>
    <t xml:space="preserve">Case A devex – land: items paid by sale A (devex file, unscaled)</t>
  </si>
  <si>
    <t xml:space="preserve">Case A devex – land: amount-weighted payment date</t>
  </si>
  <si>
    <t xml:space="preserve">Case A devex – land (× scale)</t>
  </si>
  <si>
    <t xml:space="preserve">Case A devex – development: items paid by sale A (devex file, unscaled)</t>
  </si>
  <si>
    <t xml:space="preserve">Case A devex – development: amount-weighted payment date</t>
  </si>
  <si>
    <t xml:space="preserve">Case A devex – development (× scale)</t>
  </si>
  <si>
    <t xml:space="preserve">FEP cash out to RtB, Case A (peak exposure)</t>
  </si>
  <si>
    <t xml:space="preserve">Case A: interest accrual end (earlier of freeze and sale A)</t>
  </si>
  <si>
    <t xml:space="preserve">Case A: start of the accrual end year</t>
  </si>
  <si>
    <t xml:space="preserve">Case A, from bid submission: factor in the payment year (if before the end year)</t>
  </si>
  <si>
    <t xml:space="preserve">Case A, from bid submission: factor in the end year (to the accrual end)</t>
  </si>
  <si>
    <t xml:space="preserve">Case A, from bid submission: accrual factor</t>
  </si>
  <si>
    <t xml:space="preserve">Case A, from performance security posting: factor in the payment year (if before the end year)</t>
  </si>
  <si>
    <t xml:space="preserve">Case A, from performance security posting: factor in the end year (to the accrual end)</t>
  </si>
  <si>
    <t xml:space="preserve">Case A, from performance security posting: accrual factor</t>
  </si>
  <si>
    <t xml:space="preserve">Case A, from TSO security payment: factor in the payment year (if before the end year)</t>
  </si>
  <si>
    <t xml:space="preserve">Case A, from TSO security payment: factor in the end year (to the accrual end)</t>
  </si>
  <si>
    <t xml:space="preserve">Case A, from TSO security payment: accrual factor</t>
  </si>
  <si>
    <t xml:space="preserve">Case A, from land payment (amount-weighted): factor in the payment year (if before the end year)</t>
  </si>
  <si>
    <t xml:space="preserve">Case A, from land payment (amount-weighted): factor in the end year (to the accrual end)</t>
  </si>
  <si>
    <t xml:space="preserve">Case A, from land payment (amount-weighted): accrual factor</t>
  </si>
  <si>
    <t xml:space="preserve">Case A, from development devex payment (amount-weighted): factor in the payment year (if before the end year)</t>
  </si>
  <si>
    <t xml:space="preserve">Case A, from development devex payment (amount-weighted): factor in the end year (to the accrual end)</t>
  </si>
  <si>
    <t xml:space="preserve">Case A, from development devex payment (amount-weighted): accrual factor</t>
  </si>
  <si>
    <t xml:space="preserve">Case A: claim on FEP's shareholder loan (JV only): participation fee (not reimbursed)</t>
  </si>
  <si>
    <t xml:space="preserve">Case A: claim on FEP's shareholder loan (JV only): bid security (cash)</t>
  </si>
  <si>
    <t xml:space="preserve">Case A: claim on FEP's shareholder loan (JV only): performance security payable (cash)</t>
  </si>
  <si>
    <t xml:space="preserve">Case A: claim on FEP's shareholder loan (JV only): TSO connection-request security</t>
  </si>
  <si>
    <t xml:space="preserve">Case A: claim on FEP's shareholder loan (JV only): land, MAX(20 % accrued, 1× principal)</t>
  </si>
  <si>
    <t xml:space="preserve">Case A: claim on FEP's shareholder loan (JV only): development devex, MAX(20 % accrued, 1× principal)</t>
  </si>
  <si>
    <t xml:space="preserve">Total FEP claims on its shareholder loans, Case A (JV only; no connection-fee claims)</t>
  </si>
  <si>
    <t xml:space="preserve">Case A: developer success fee due (DSA to sale A, capped)</t>
  </si>
  <si>
    <t xml:space="preserve">Waterfall at the sale, Case A</t>
  </si>
  <si>
    <t xml:space="preserve">Buyer reimburses securities at cost (no connection fees to reimburse)</t>
  </si>
  <si>
    <t xml:space="preserve">Buyer pays the land at cost (on top of the premium)</t>
  </si>
  <si>
    <t xml:space="preserve">Total proceeds</t>
  </si>
  <si>
    <t xml:space="preserve">Less sale costs</t>
  </si>
  <si>
    <t xml:space="preserve">Less securities repaid to FEP</t>
  </si>
  <si>
    <t xml:space="preserve">Less land repaid to FEP at cost</t>
  </si>
  <si>
    <t xml:space="preserve">Less FEP claims at 12 % on FEP's shareholder loan (JV only)</t>
  </si>
  <si>
    <t xml:space="preserve">Less FEP land and devex return on FEP's shareholder loan (JV only)</t>
  </si>
  <si>
    <t xml:space="preserve">Less developer success fee (DSA)</t>
  </si>
  <si>
    <t xml:space="preserve">Distributable proceeds</t>
  </si>
  <si>
    <t xml:space="preserve">FEP share of distributable</t>
  </si>
  <si>
    <t xml:space="preserve">Developer share of distributable</t>
  </si>
  <si>
    <t xml:space="preserve">FEP profit, Case A (at sale A): what the buyer pays, less deductions</t>
  </si>
  <si>
    <t xml:space="preserve">Date: Bora</t>
  </si>
  <si>
    <t xml:space="preserve">RtB premium paid by the buyer (150 k EUR/MVA × MVA)</t>
  </si>
  <si>
    <t xml:space="preserve">Land: 0 (bought by the RtB buyer at cost; FEP's land outlay is repaid, not deducted)</t>
  </si>
  <si>
    <t xml:space="preserve">Bid security: 0 (paid back to FEP at the sale)</t>
  </si>
  <si>
    <t xml:space="preserve">Performance security: 0 (paid back to FEP at the sale)</t>
  </si>
  <si>
    <t xml:space="preserve">Less: sale costs</t>
  </si>
  <si>
    <t xml:space="preserve">Less: developer success fee (DSA)</t>
  </si>
  <si>
    <t xml:space="preserve">Less: developer share of distributable proceeds</t>
  </si>
  <si>
    <t xml:space="preserve">FEP claims at 12 % on FEP's shareholder loan (interest, JV only)</t>
  </si>
  <si>
    <t xml:space="preserve">FEP land and devex return on FEP's shareholder loan (JV only)</t>
  </si>
  <si>
    <t xml:space="preserve">FEP receipts at sale A (claims + return + FEP share)</t>
  </si>
  <si>
    <t xml:space="preserve">Less: signing fee and DD, Exit fees</t>
  </si>
  <si>
    <t xml:space="preserve">Less: participation fee (not reimbursed)</t>
  </si>
  <si>
    <t xml:space="preserve">Less: development devex</t>
  </si>
  <si>
    <t xml:space="preserve">FEP profit, pre-tax</t>
  </si>
  <si>
    <t xml:space="preserve">CIT on the exit gain (0 while the participation exemption flag is on)</t>
  </si>
  <si>
    <t xml:space="preserve">FEP profit, post-tax</t>
  </si>
  <si>
    <t xml:space="preserve">MOIC, pre-tax (dated cash flows below)</t>
  </si>
  <si>
    <t xml:space="preserve">IRR, pre-tax (dated cash flows below)</t>
  </si>
  <si>
    <t xml:space="preserve">Memo: pre-tax profit vs Case B (connection-fee claims no longer earned, FEP share)</t>
  </si>
  <si>
    <t xml:space="preserve">Memo: FEP dated cash flows, Case A, for MOIC and IRR (securities are paid and repaid at cost: net zero, excluded from the profit above)</t>
  </si>
  <si>
    <t xml:space="preserve">Performance security payable</t>
  </si>
  <si>
    <t xml:space="preserve">Development devex</t>
  </si>
  <si>
    <t xml:space="preserve">FEP receipts at sale A (receipts above + securities and land repaid)</t>
  </si>
  <si>
    <t xml:space="preserve">RtB exit, Case B: waterfall at the sale</t>
  </si>
  <si>
    <t xml:space="preserve">Buyer reimburses securities and connection fees at cost</t>
  </si>
  <si>
    <t xml:space="preserve">Less securities and fees repaid to FEP</t>
  </si>
  <si>
    <t xml:space="preserve">FEP profit, Case B (at the sale): what the buyer pays, less deductions</t>
  </si>
  <si>
    <t xml:space="preserve">FEP receipts at the sale (claims + return + FEP share)</t>
  </si>
  <si>
    <t xml:space="preserve">Memo: FEP dated cash flows, Case B, for MOIC and IRR (securities and connection fees are paid and repaid at cost: net zero, excluded from the profit above)</t>
  </si>
  <si>
    <t xml:space="preserve">Direct connection fee</t>
  </si>
  <si>
    <t xml:space="preserve">Indirect connection fee, payable</t>
  </si>
  <si>
    <t xml:space="preserve">FEP receipts at the sale (receipts above + securities, fees and land repaid)</t>
  </si>
  <si>
    <t xml:space="preserve">Annual timeline</t>
  </si>
  <si>
    <t xml:space="preserve">Year end</t>
  </si>
  <si>
    <t xml:space="preserve">Bora: annual cash flow (EUR k)</t>
  </si>
  <si>
    <t xml:space="preserve">Value</t>
  </si>
  <si>
    <t xml:space="preserve">Years from the COD year</t>
  </si>
  <si>
    <t xml:space="preserve">years</t>
  </si>
  <si>
    <t xml:space="preserve">Construction months by year end (value: construction period)</t>
  </si>
  <si>
    <t xml:space="preserve">months</t>
  </si>
  <si>
    <t xml:space="preserve">Construction share of the year (NTP to COD)</t>
  </si>
  <si>
    <t xml:space="preserve">Months operated by year end (value: operating life)</t>
  </si>
  <si>
    <t xml:space="preserve">Operating share of the year (COD to end of life)</t>
  </si>
  <si>
    <t xml:space="preserve">COD year flag</t>
  </si>
  <si>
    <t xml:space="preserve">Buyer pays at the Case B sale: RtB premium, land at cost, securities and connection fees reimbursed to FEP</t>
  </si>
  <si>
    <t xml:space="preserve">Performance security released (bid security included)</t>
  </si>
  <si>
    <t xml:space="preserve">Construction capex (straight-line NTP to COD)</t>
  </si>
  <si>
    <t xml:space="preserve">Municipal one-off at COD</t>
  </si>
  <si>
    <t xml:space="preserve">Investment cash flow</t>
  </si>
  <si>
    <t xml:space="preserve">Degradation factor (from the first full year)</t>
  </si>
  <si>
    <t xml:space="preserve">Net generation</t>
  </si>
  <si>
    <t xml:space="preserve">GWh</t>
  </si>
  <si>
    <t xml:space="preserve">PPA price</t>
  </si>
  <si>
    <t xml:space="preserve">Opex index (COD year = 1)</t>
  </si>
  <si>
    <t xml:space="preserve">O&amp;M, BoP, lease, insurance, management, property tax</t>
  </si>
  <si>
    <t xml:space="preserve">Administration, audit, compliance</t>
  </si>
  <si>
    <t xml:space="preserve">Balancing and grid charges</t>
  </si>
  <si>
    <t xml:space="preserve">MEKH supervisory fee</t>
  </si>
  <si>
    <t xml:space="preserve">Opex contingency</t>
  </si>
  <si>
    <t xml:space="preserve">Community contribution</t>
  </si>
  <si>
    <t xml:space="preserve">HIPA local business tax</t>
  </si>
  <si>
    <t xml:space="preserve">Total opex</t>
  </si>
  <si>
    <t xml:space="preserve">Unlevered pre-tax cash flow</t>
  </si>
  <si>
    <t xml:space="preserve">Tax depreciation (straight line on the all-in cost from the COD year)</t>
  </si>
  <si>
    <t xml:space="preserve">CIT, unlevered (no loss carry-forward)</t>
  </si>
  <si>
    <t xml:space="preserve">Unlevered post-tax cash flow</t>
  </si>
  <si>
    <t xml:space="preserve">Debt drawn at COD (gearing × all-in cost; no interest during construction)</t>
  </si>
  <si>
    <t xml:space="preserve">Debt service, annuity (interest + principal; paid, shown positive)</t>
  </si>
  <si>
    <t xml:space="preserve">Interest (on the opening balance)</t>
  </si>
  <si>
    <t xml:space="preserve">Principal repaid (annuity − interest)</t>
  </si>
  <si>
    <t xml:space="preserve">Debt balance, closing</t>
  </si>
  <si>
    <t xml:space="preserve">CIT, levered (interest deductible; no loss carry-forward)</t>
  </si>
  <si>
    <t xml:space="preserve">DSCR (EBITDA ÷ debt service)</t>
  </si>
  <si>
    <t xml:space="preserve">Discount factor to COD (buyer's rate)</t>
  </si>
  <si>
    <t xml:space="preserve">EBITDA valued at COD (total = COD price)</t>
  </si>
  <si>
    <t xml:space="preserve">RtB price: 0 (now in the sale-year payment above)</t>
  </si>
  <si>
    <t xml:space="preserve">COD exit: buyer's cash flow (to COD, price and securities at COD)</t>
  </si>
  <si>
    <t xml:space="preserve">Iváncsa: annual cash flow (EUR k)</t>
  </si>
  <si>
    <t xml:space="preserve">Dunaújváros: annual cash flow (EUR k)</t>
  </si>
  <si>
    <t xml:space="preserve">COD exit: tax on the gain (price and profit: totals of the cash-flow blocks above)</t>
  </si>
  <si>
    <t xml:space="preserve">Buyer profit, post-tax</t>
  </si>
  <si>
    <t xml:space="preserve">Checks (0 = OK)</t>
  </si>
  <si>
    <t xml:space="preserve">Case B waterfall closes (proceeds = all amounts paid out)</t>
  </si>
  <si>
    <t xml:space="preserve">Claim lines paid before the accrual end year</t>
  </si>
  <si>
    <t xml:space="preserve">Turbine route is EU or CN</t>
  </si>
  <si>
    <t xml:space="preserve">Devex items × scale = project devex (land + development)</t>
  </si>
  <si>
    <t xml:space="preserve">Construction capex spread in full (timeline = capex)</t>
  </si>
  <si>
    <t xml:space="preserve">Investment cash flows = all-in cost to COD for a buyer (RtB price, capex, fees, municipal, land)</t>
  </si>
  <si>
    <t xml:space="preserve">Operating life inside the timeline</t>
  </si>
  <si>
    <t xml:space="preserve">Sale date A before the HCSSZ date (Case A exits before the connection fees)</t>
  </si>
  <si>
    <t xml:space="preserve">COD cost stack = timeline investment flows</t>
  </si>
  <si>
    <t xml:space="preserve">Case A waterfall closes (proceeds = all amounts paid out)</t>
  </si>
  <si>
    <t xml:space="preserve">Debt repaid by the end of the tenor (closing balance in the last timeline year = 0)</t>
  </si>
  <si>
    <t xml:space="preserve">Master check</t>
  </si>
  <si>
    <t xml:space="preserve">***END***</t>
  </si>
  <si>
    <t xml:space="preserve">HU wind bids – other inputs (blue) with sources</t>
  </si>
  <si>
    <t xml:space="preserve">Inputs</t>
  </si>
  <si>
    <t xml:space="preserve">Source</t>
  </si>
  <si>
    <t xml:space="preserve">Tender and grid (all projects; value in column E)</t>
  </si>
  <si>
    <t xml:space="preserve">FX rate</t>
  </si>
  <si>
    <t xml:space="preserve">HUF/EUR</t>
  </si>
  <si>
    <t xml:space="preserve">Bora Inputs E11; Bid_Cash E45</t>
  </si>
  <si>
    <t xml:space="preserve">Security base: benchmark investment, wind</t>
  </si>
  <si>
    <t xml:space="preserve">HUF/MW</t>
  </si>
  <si>
    <t xml:space="preserve">Bora Inputs E75; Bid_Cash E46</t>
  </si>
  <si>
    <t xml:space="preserve">Security base: benchmark investment, BESS</t>
  </si>
  <si>
    <t xml:space="preserve">HUF/MWh</t>
  </si>
  <si>
    <t xml:space="preserve">Bora Inputs E89; Bid_Cash E47</t>
  </si>
  <si>
    <t xml:space="preserve">Bid security, share of base</t>
  </si>
  <si>
    <t xml:space="preserve">Bora Inputs E76; Bid_Cash E49</t>
  </si>
  <si>
    <t xml:space="preserve">Performance security, minimum share of base</t>
  </si>
  <si>
    <t xml:space="preserve">Bora Inputs E77; Bid_Cash E50</t>
  </si>
  <si>
    <t xml:space="preserve">Participation fee per bid</t>
  </si>
  <si>
    <t xml:space="preserve">Bora Inputs E81; Bid_Cash E48</t>
  </si>
  <si>
    <t xml:space="preserve">HUF/MVA</t>
  </si>
  <si>
    <t xml:space="preserve">Bora Inputs E83; Bid_Cash E51</t>
  </si>
  <si>
    <t xml:space="preserve">Per project: fees, devex, dates</t>
  </si>
  <si>
    <t xml:space="preserve">Indirect connection fee</t>
  </si>
  <si>
    <t xml:space="preserve">Bora Inputs G290; Bid_Cash E52</t>
  </si>
  <si>
    <t xml:space="preserve">Direct connection fee per connection point</t>
  </si>
  <si>
    <t xml:space="preserve">Bora Inputs G291; Bid_Cash E53</t>
  </si>
  <si>
    <t xml:space="preserve">Bids sharing the connection point</t>
  </si>
  <si>
    <t xml:space="preserve">count</t>
  </si>
  <si>
    <t xml:space="preserve">Bora: 2 bids per point (SPEC §22.2)</t>
  </si>
  <si>
    <t xml:space="preserve">Bora E24+E25: 400 × 50/200; Bid_Cash E55</t>
  </si>
  <si>
    <t xml:space="preserve">Devex scale (bid MVA ÷ 200 MVA of the devex file)</t>
  </si>
  <si>
    <t xml:space="preserve">SPEC §26.2: 50/200; 1 = the full devex file</t>
  </si>
  <si>
    <t xml:space="preserve">EU transformers ≥ 80 % (ÖSZ-9)</t>
  </si>
  <si>
    <t xml:space="preserve">Bid_Cash E16; SPEC §23.1</t>
  </si>
  <si>
    <t xml:space="preserve">Signing fee and DD paid</t>
  </si>
  <si>
    <t xml:space="preserve">Bora Inputs E27; Bid_Cash E34</t>
  </si>
  <si>
    <t xml:space="preserve">Bid submission: fee paid, bid security posted</t>
  </si>
  <si>
    <t xml:space="preserve">Bora Inputs E95; Bid_Cash E35</t>
  </si>
  <si>
    <t xml:space="preserve">Performance security posted</t>
  </si>
  <si>
    <t xml:space="preserve">Bora Deposits K10 (E96 + 17 d); Bid_Cash E36</t>
  </si>
  <si>
    <t xml:space="preserve">TSO security paid</t>
  </si>
  <si>
    <t xml:space="preserve">Bora Inputs E97; Bid_Cash E37</t>
  </si>
  <si>
    <t xml:space="preserve">Connection agreement (HCSSZ): fees paid</t>
  </si>
  <si>
    <t xml:space="preserve">Bora Inputs E99; Bid_Cash E39</t>
  </si>
  <si>
    <t xml:space="preserve">Notice to proceed</t>
  </si>
  <si>
    <t xml:space="preserve">Bora Inputs E154; Bid_Cash E40</t>
  </si>
  <si>
    <t xml:space="preserve">COD</t>
  </si>
  <si>
    <t xml:space="preserve">Bora Inputs E155; Bid_Cash E41</t>
  </si>
  <si>
    <t xml:space="preserve">Performance security released</t>
  </si>
  <si>
    <t xml:space="preserve">Bid_Cash E42 (Kiírás XII.13, estimate)</t>
  </si>
  <si>
    <t xml:space="preserve">DSA accrual start</t>
  </si>
  <si>
    <t xml:space="preserve">Bora Inputs E70; others: signing (DSA off)</t>
  </si>
  <si>
    <t xml:space="preserve">RtB exit terms (all projects; value in column E)</t>
  </si>
  <si>
    <t xml:space="preserve">Claim rate, cash lines (incl. cash-posted securities)</t>
  </si>
  <si>
    <t xml:space="preserve">Devex file V18; SPEC §21.1</t>
  </si>
  <si>
    <t xml:space="preserve">Claim rate, devex</t>
  </si>
  <si>
    <t xml:space="preserve">Devex file V19</t>
  </si>
  <si>
    <t xml:space="preserve">Devex minimum return multiple</t>
  </si>
  <si>
    <t xml:space="preserve">Devex file V20</t>
  </si>
  <si>
    <t xml:space="preserve">Interest freeze date</t>
  </si>
  <si>
    <t xml:space="preserve">Devex file V24</t>
  </si>
  <si>
    <t xml:space="preserve">Sale date, Case B (RtB exit after HCSSZ)</t>
  </si>
  <si>
    <t xml:space="preserve">Bora Inputs E58; SPEC §21.1</t>
  </si>
  <si>
    <t xml:space="preserve">Sale date, Case A (before HCSSZ)</t>
  </si>
  <si>
    <t xml:space="preserve">SPEC §25.2 (user, 28-Oct-2026)</t>
  </si>
  <si>
    <t xml:space="preserve">Sale costs per project</t>
  </si>
  <si>
    <t xml:space="preserve">SPEC §21.1</t>
  </si>
  <si>
    <t xml:space="preserve">Developer success fee (on committed MW, 30/360)</t>
  </si>
  <si>
    <t xml:space="preserve">Bora Inputs E36</t>
  </si>
  <si>
    <t xml:space="preserve">Developer success fee cap</t>
  </si>
  <si>
    <t xml:space="preserve">Bora Inputs E37</t>
  </si>
  <si>
    <t xml:space="preserve">Corporate income tax (operating profit; exit gains)</t>
  </si>
  <si>
    <t xml:space="preserve">SPEC §27 (exits exempt by the flag below)</t>
  </si>
  <si>
    <t xml:space="preserve">Share deal, participation exemption on the share gain (1 = on); claims taxed as interest</t>
  </si>
  <si>
    <t xml:space="preserve">Tax and debt (hold case)</t>
  </si>
  <si>
    <t xml:space="preserve">Tax depreciation life (straight line on the all-in cost to COD, from the COD year)</t>
  </si>
  <si>
    <t xml:space="preserve">HU CIT Act Annex 2, 5 % p.a. power plants – to confirm</t>
  </si>
  <si>
    <t xml:space="preserve">Gearing (debt ÷ all-in cost to COD)</t>
  </si>
  <si>
    <t xml:space="preserve">user, 27-Oct-2026</t>
  </si>
  <si>
    <t xml:space="preserve">Debt interest rate</t>
  </si>
  <si>
    <t xml:space="preserve">Bora model Inputs G220</t>
  </si>
  <si>
    <t xml:space="preserve">Debt tenor (annuity from the first full operating year)</t>
  </si>
  <si>
    <t xml:space="preserve">Bora model Inputs G222</t>
  </si>
  <si>
    <t xml:space="preserve">Capex (per MW of wind built unless stated; turbines: case table on the Dashboard)</t>
  </si>
  <si>
    <t xml:space="preserve">Turbine installation and erection</t>
  </si>
  <si>
    <t xml:space="preserve">Bora Inputs G163</t>
  </si>
  <si>
    <t xml:space="preserve">Bora Inputs G164</t>
  </si>
  <si>
    <t xml:space="preserve">Bora Inputs G165</t>
  </si>
  <si>
    <t xml:space="preserve">Bora Inputs G166</t>
  </si>
  <si>
    <t xml:space="preserve">Bora Inputs G169</t>
  </si>
  <si>
    <t xml:space="preserve">Land is in the devex (Inputs rows 80, 81, 110) and bought by the buyer at cost; 0 so it is not counted twice (v3)</t>
  </si>
  <si>
    <t xml:space="preserve">On-site substation and 132 kV bay (lump sum)</t>
  </si>
  <si>
    <t xml:space="preserve">Bora Inputs G167</t>
  </si>
  <si>
    <t xml:space="preserve">Source basis of the lump sums</t>
  </si>
  <si>
    <t xml:space="preserve">Bora Inputs E305</t>
  </si>
  <si>
    <t xml:space="preserve">Capex contingency (not on BESS)</t>
  </si>
  <si>
    <t xml:space="preserve">Bora Inputs G173</t>
  </si>
  <si>
    <t xml:space="preserve">BESS capex</t>
  </si>
  <si>
    <t xml:space="preserve">EUR k/MWh</t>
  </si>
  <si>
    <t xml:space="preserve">CLAUDE.md standing assumption, 15-Oct-26</t>
  </si>
  <si>
    <t xml:space="preserve">Generation (hours and PPA price: case table on the Dashboard)</t>
  </si>
  <si>
    <t xml:space="preserve">Curtailment</t>
  </si>
  <si>
    <t xml:space="preserve">Bora Inputs G183</t>
  </si>
  <si>
    <t xml:space="preserve">Clipping</t>
  </si>
  <si>
    <t xml:space="preserve">Bora Dash_Clip_Override (user, 26-Oct-26)</t>
  </si>
  <si>
    <t xml:space="preserve">Degradation</t>
  </si>
  <si>
    <t xml:space="preserve">% p.a.</t>
  </si>
  <si>
    <t xml:space="preserve">Bora Inputs G184</t>
  </si>
  <si>
    <t xml:space="preserve">PPA escalation</t>
  </si>
  <si>
    <t xml:space="preserve">Bora Inputs G194</t>
  </si>
  <si>
    <t xml:space="preserve">Opex (COD-year prices; O&amp;M contract: case table on the Dashboard)</t>
  </si>
  <si>
    <t xml:space="preserve">Balance of plant maintenance</t>
  </si>
  <si>
    <t xml:space="preserve">Bora Inputs G204</t>
  </si>
  <si>
    <t xml:space="preserve">Land lease</t>
  </si>
  <si>
    <t xml:space="preserve">Bora Inputs G205</t>
  </si>
  <si>
    <t xml:space="preserve">Operational insurance</t>
  </si>
  <si>
    <t xml:space="preserve">Bora Inputs G206</t>
  </si>
  <si>
    <t xml:space="preserve">Asset and commercial management</t>
  </si>
  <si>
    <t xml:space="preserve">Bora Inputs G207</t>
  </si>
  <si>
    <t xml:space="preserve">Property tax</t>
  </si>
  <si>
    <t xml:space="preserve">Bora Inputs G208</t>
  </si>
  <si>
    <t xml:space="preserve">Administration, audit, compliance (at the source basis)</t>
  </si>
  <si>
    <t xml:space="preserve">EUR k/yr</t>
  </si>
  <si>
    <t xml:space="preserve">Bora Inputs G209</t>
  </si>
  <si>
    <t xml:space="preserve">Balancing cost</t>
  </si>
  <si>
    <t xml:space="preserve">Bora Inputs G196</t>
  </si>
  <si>
    <t xml:space="preserve">Grid use-of-system charges</t>
  </si>
  <si>
    <t xml:space="preserve">Bora Inputs G197</t>
  </si>
  <si>
    <t xml:space="preserve">% of rev.</t>
  </si>
  <si>
    <t xml:space="preserve">Bora Inputs G198</t>
  </si>
  <si>
    <t xml:space="preserve">Bora Inputs G212</t>
  </si>
  <si>
    <t xml:space="preserve">Opex contingency (not on community, HIPA)</t>
  </si>
  <si>
    <t xml:space="preserve">Bora Inputs G210</t>
  </si>
  <si>
    <t xml:space="preserve">Opex escalation</t>
  </si>
  <si>
    <t xml:space="preserve">Bora Inputs G211</t>
  </si>
  <si>
    <t xml:space="preserve">Valuation, timeline and constants</t>
  </si>
  <si>
    <t xml:space="preserve">Operating life from COD</t>
  </si>
  <si>
    <t xml:space="preserve">Bora Inputs G157</t>
  </si>
  <si>
    <t xml:space="preserve">Discount rate (buyer's pre-tax return at COD)</t>
  </si>
  <si>
    <t xml:space="preserve">Bora Inputs G226</t>
  </si>
  <si>
    <t xml:space="preserve">First year of the annual timeline</t>
  </si>
  <si>
    <t xml:space="preserve">Year of the first signing</t>
  </si>
  <si>
    <t xml:space="preserve">Thousand</t>
  </si>
  <si>
    <t xml:space="preserve">Constant</t>
  </si>
  <si>
    <t xml:space="preserve">Days in a year (act/365)</t>
  </si>
  <si>
    <t xml:space="preserve">Months in a year</t>
  </si>
  <si>
    <t xml:space="preserve">Check tolerance</t>
  </si>
  <si>
    <t xml:space="preserve">Devex items (BORA_Devex 02-Oct-26; all projects × the scale): HUF | date | class</t>
  </si>
  <si>
    <t xml:space="preserve">Capacity allocation process - Awarding – Land reservation fee</t>
  </si>
  <si>
    <t xml:space="preserve">BORA_Devex 02-Oct-26 row 14</t>
  </si>
  <si>
    <t xml:space="preserve">Capacity allocation process - Awarding – Land purchase price</t>
  </si>
  <si>
    <t xml:space="preserve">BORA_Devex 02-Oct-26 row 15</t>
  </si>
  <si>
    <t xml:space="preserve">Grid connection plan – Design fee</t>
  </si>
  <si>
    <t xml:space="preserve">Devex</t>
  </si>
  <si>
    <t xml:space="preserve">BORA_Devex 02-Oct-26 row 16</t>
  </si>
  <si>
    <t xml:space="preserve">Grid connection plan – Administrative fee</t>
  </si>
  <si>
    <t xml:space="preserve">BORA_Devex 02-Oct-26 row 17</t>
  </si>
  <si>
    <t xml:space="preserve">Land contracting (additional land) – Legal fee, agent fee</t>
  </si>
  <si>
    <t xml:space="preserve">BORA_Devex 02-Oct-26 row 20</t>
  </si>
  <si>
    <t xml:space="preserve">Wind measurement – Met Masts</t>
  </si>
  <si>
    <t xml:space="preserve">BORA_Devex 02-Oct-26 row 21</t>
  </si>
  <si>
    <t xml:space="preserve">Wind measurement – Design fee</t>
  </si>
  <si>
    <t xml:space="preserve">BORA_Devex 02-Oct-26 row 22</t>
  </si>
  <si>
    <t xml:space="preserve">Wind measurement – EYA</t>
  </si>
  <si>
    <t xml:space="preserve">BORA_Devex 02-Oct-26 row 23</t>
  </si>
  <si>
    <t xml:space="preserve">Land reclassification – Administrative fee</t>
  </si>
  <si>
    <t xml:space="preserve">BORA_Devex 02-Oct-26 row 24</t>
  </si>
  <si>
    <t xml:space="preserve">Land reclassification – Report fee</t>
  </si>
  <si>
    <t xml:space="preserve">BORA_Devex 02-Oct-26 row 25</t>
  </si>
  <si>
    <t xml:space="preserve">Zoning plan modification – Design fee</t>
  </si>
  <si>
    <t xml:space="preserve">BORA_Devex 02-Oct-26 row 26</t>
  </si>
  <si>
    <t xml:space="preserve">Municipality donation – Donation</t>
  </si>
  <si>
    <t xml:space="preserve">BORA_Devex 02-Oct-26 row 27</t>
  </si>
  <si>
    <t xml:space="preserve">Environmental assessment – Bird-bat monitoring</t>
  </si>
  <si>
    <t xml:space="preserve">BORA_Devex 02-Oct-26 row 28</t>
  </si>
  <si>
    <t xml:space="preserve">Environmental assessment – Administrative fee</t>
  </si>
  <si>
    <t xml:space="preserve">BORA_Devex 02-Oct-26 row 29</t>
  </si>
  <si>
    <t xml:space="preserve">Environmental assessment – Assessment fee</t>
  </si>
  <si>
    <t xml:space="preserve">BORA_Devex 02-Oct-26 row 30</t>
  </si>
  <si>
    <t xml:space="preserve">Other project development – Geotechnical assessment fee</t>
  </si>
  <si>
    <t xml:space="preserve">BORA_Devex 02-Oct-26 row 31</t>
  </si>
  <si>
    <t xml:space="preserve">Other project development – Archaeological</t>
  </si>
  <si>
    <t xml:space="preserve">BORA_Devex 02-Oct-26 row 32</t>
  </si>
  <si>
    <t xml:space="preserve">Other project development – Topography</t>
  </si>
  <si>
    <t xml:space="preserve">BORA_Devex 02-Oct-26 row 33</t>
  </si>
  <si>
    <t xml:space="preserve">Building permit - Turbines – Administrative fee</t>
  </si>
  <si>
    <t xml:space="preserve">BORA_Devex 02-Oct-26 row 34</t>
  </si>
  <si>
    <t xml:space="preserve">Building permit - Turbines – Design fee</t>
  </si>
  <si>
    <t xml:space="preserve">BORA_Devex 02-Oct-26 row 35</t>
  </si>
  <si>
    <t xml:space="preserve">Cable right – Administrative fee</t>
  </si>
  <si>
    <t xml:space="preserve">BORA_Devex 02-Oct-26 row 36</t>
  </si>
  <si>
    <t xml:space="preserve">Cable right – Design fee</t>
  </si>
  <si>
    <t xml:space="preserve">BORA_Devex 02-Oct-26 row 37</t>
  </si>
  <si>
    <t xml:space="preserve">Cable right – Compensation</t>
  </si>
  <si>
    <t xml:space="preserve">BORA_Devex 02-Oct-26 row 38</t>
  </si>
  <si>
    <t xml:space="preserve">Building permit - Substation, switching station – Administrative fee</t>
  </si>
  <si>
    <t xml:space="preserve">BORA_Devex 02-Oct-26 row 39</t>
  </si>
  <si>
    <t xml:space="preserve">Building permit - Substation, switching station – Design fee</t>
  </si>
  <si>
    <t xml:space="preserve">BORA_Devex 02-Oct-26 row 40</t>
  </si>
  <si>
    <t xml:space="preserve">Building permit - BESS – Administrative fee</t>
  </si>
  <si>
    <t xml:space="preserve">BORA_Devex 02-Oct-26 row 41</t>
  </si>
  <si>
    <t xml:space="preserve">Building permit - BESS – Design fee</t>
  </si>
  <si>
    <t xml:space="preserve">BORA_Devex 02-Oct-26 row 42</t>
  </si>
  <si>
    <t xml:space="preserve">HEPURA permit – Administrative fee</t>
  </si>
  <si>
    <t xml:space="preserve">BORA_Devex 02-Oct-26 row 43</t>
  </si>
  <si>
    <t xml:space="preserve">HEPURA permit – Report fee</t>
  </si>
  <si>
    <t xml:space="preserve">BORA_Devex 02-Oct-26 row 44</t>
  </si>
  <si>
    <t xml:space="preserve">Legal costs – Legal costs</t>
  </si>
  <si>
    <t xml:space="preserve">BORA_Devex 02-Oct-26 row 45; continuous: 31-Dec-27</t>
  </si>
  <si>
    <t xml:space="preserve">Financial costs – Financial costs</t>
  </si>
  <si>
    <t xml:space="preserve">BORA_Devex 02-Oct-26 row 46; continuous: 31-Dec-27</t>
  </si>
  <si>
    <t xml:space="preserve">RtB – Land purchase price</t>
  </si>
  <si>
    <t xml:space="preserve">BORA_Devex 02-Oct-26 row 47</t>
  </si>
  <si>
    <t xml:space="preserve">Contingency – Contingency</t>
  </si>
  <si>
    <t xml:space="preserve">BORA_Devex 02-Oct-26 row 48; continuous: 31-Dec-27</t>
  </si>
  <si>
    <t xml:space="preserve">Band tables for the points (ÖSZ, Kiírás Annex 4) – expand the group</t>
  </si>
  <si>
    <t xml:space="preserve">Values →</t>
  </si>
  <si>
    <t xml:space="preserve">Osz1_LB</t>
  </si>
  <si>
    <t xml:space="preserve">Osz1_Incl</t>
  </si>
  <si>
    <t xml:space="preserve">Osz1_Pts</t>
  </si>
  <si>
    <t xml:space="preserve">Osz2_LB</t>
  </si>
  <si>
    <t xml:space="preserve">Osz2_Incl</t>
  </si>
  <si>
    <t xml:space="preserve">Osz2_Pts</t>
  </si>
  <si>
    <t xml:space="preserve">Osz3_LB</t>
  </si>
  <si>
    <t xml:space="preserve">Osz3_Incl</t>
  </si>
  <si>
    <t xml:space="preserve">Osz3_Pts</t>
  </si>
  <si>
    <t xml:space="preserve">Osz4_LB</t>
  </si>
  <si>
    <t xml:space="preserve">Osz4_Incl</t>
  </si>
  <si>
    <t xml:space="preserve">Osz4_Pts</t>
  </si>
  <si>
    <t xml:space="preserve">Kiírás Annex 4, ÖSZ-4: 2&lt;x&lt;5:10 … 40≤x&lt;50:90, 50&lt;x:100 (x = 50 % not defined; scored 90)</t>
  </si>
  <si>
    <t xml:space="preserve">Osz6_LB</t>
  </si>
  <si>
    <t xml:space="preserve">Osz6_Incl</t>
  </si>
  <si>
    <t xml:space="preserve">Kiírás Annex 4, ÖSZ-6: 100 pts only if x &gt; 200 % (strict); 190≤x&lt;200: 90</t>
  </si>
  <si>
    <t xml:space="preserve">Osz6_Pts</t>
  </si>
  <si>
    <t xml:space="preserve">Osz5_Pts</t>
  </si>
  <si>
    <t xml:space="preserve">Osz7_Pts</t>
  </si>
  <si>
    <t xml:space="preserve">Osz8_Pts</t>
  </si>
  <si>
    <t xml:space="preserve">Osz9a_Pts</t>
  </si>
  <si>
    <t xml:space="preserve">Osz9b_Pts</t>
  </si>
  <si>
    <t xml:space="preserve">Osz1_W</t>
  </si>
  <si>
    <t xml:space="preserve">Osz2_W</t>
  </si>
  <si>
    <t xml:space="preserve">Osz3_W</t>
  </si>
  <si>
    <t xml:space="preserve">Osz4_W</t>
  </si>
  <si>
    <t xml:space="preserve">Osz5_W</t>
  </si>
  <si>
    <t xml:space="preserve">Osz6_W</t>
  </si>
  <si>
    <t xml:space="preserve">Osz7_W</t>
  </si>
  <si>
    <t xml:space="preserve">Osz8_W</t>
  </si>
  <si>
    <t xml:space="preserve">Osz9_W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</si>
</sst>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&quot;CHECK &quot;0;&quot;CHECK -&quot;0;&quot;OK&quot;"/>
    <numFmt numFmtId="166" formatCode="#,##0;\(#,##0\);\–"/>
    <numFmt numFmtId="167" formatCode="0.0%;\(0.0%\);\–"/>
    <numFmt numFmtId="168" formatCode="#,##0.0;\(#,##0.0\);\–"/>
    <numFmt numFmtId="169" formatCode="0"/>
    <numFmt numFmtId="170" formatCode="0.00\x"/>
    <numFmt numFmtId="171" formatCode="#,##0"/>
    <numFmt numFmtId="172" formatCode="d\-mmm\-yy"/>
    <numFmt numFmtId="173" formatCode="0.0%"/>
    <numFmt numFmtId="174" formatCode="0.0000"/>
    <numFmt numFmtId="175" formatCode="_(* #,##0.00_);_(* \(#,##0.00\);_(* \-??_);_(@_)"/>
    <numFmt numFmtId="176" formatCode="_-* #,##0.00_-;\-* #,##0.00_-;_-* \-??_-;_-@_-"/>
    <numFmt numFmtId="177" formatCode="#,##0.00;\(#,##0.00\);\–"/>
    <numFmt numFmtId="178" formatCode="0;\-0;\–"/>
    <numFmt numFmtId="179" formatCode="0.000;\(0.000\);\–"/>
    <numFmt numFmtId="180" formatCode="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ptos Narrow"/>
      <family val="0"/>
      <charset val="1"/>
    </font>
    <font>
      <i val="true"/>
      <sz val="10"/>
      <color rgb="FF80808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10"/>
      <color rgb="FF0000FF"/>
      <name val="Aptos Narrow"/>
      <family val="0"/>
      <charset val="1"/>
    </font>
    <font>
      <b val="true"/>
      <sz val="10"/>
      <color rgb="FF000000"/>
      <name val="Aptos Narrow"/>
      <family val="2"/>
      <charset val="1"/>
    </font>
    <font>
      <b val="true"/>
      <i val="true"/>
      <sz val="10"/>
      <color rgb="FF808080"/>
      <name val="Aptos Narrow"/>
      <family val="2"/>
      <charset val="1"/>
    </font>
    <font>
      <i val="true"/>
      <sz val="10"/>
      <color rgb="FF808080"/>
      <name val="Aptos Narrow"/>
      <family val="2"/>
      <charset val="1"/>
    </font>
    <font>
      <b val="true"/>
      <sz val="11"/>
      <color theme="1"/>
      <name val="Calibri"/>
      <family val="2"/>
      <charset val="238"/>
    </font>
    <font>
      <b val="true"/>
      <sz val="10"/>
      <color rgb="FFFFFFFF"/>
      <name val="Aptos Narrow"/>
      <family val="2"/>
      <charset val="1"/>
    </font>
    <font>
      <b val="true"/>
      <sz val="10"/>
      <color rgb="FFFFFFFF"/>
      <name val="Aptos Narrow"/>
      <family val="2"/>
      <charset val="238"/>
    </font>
    <font>
      <b val="true"/>
      <sz val="10"/>
      <color rgb="FF3C3C3B"/>
      <name val="Aptos Narrow"/>
      <family val="2"/>
      <charset val="1"/>
    </font>
    <font>
      <b val="true"/>
      <sz val="10"/>
      <color rgb="FF3C3C3B"/>
      <name val="Aptos Narrow"/>
      <family val="0"/>
      <charset val="1"/>
    </font>
    <font>
      <b val="true"/>
      <i val="true"/>
      <sz val="10"/>
      <color rgb="FF808080"/>
      <name val="Aptos Narrow"/>
      <family val="0"/>
      <charset val="1"/>
    </font>
    <font>
      <sz val="10"/>
      <color rgb="FF808080"/>
      <name val="Aptos Narrow"/>
      <family val="0"/>
      <charset val="1"/>
    </font>
    <font>
      <i val="true"/>
      <sz val="10"/>
      <color rgb="FF000000"/>
      <name val="Aptos Narrow"/>
      <family val="2"/>
      <charset val="1"/>
    </font>
    <font>
      <sz val="10"/>
      <name val="Arial"/>
      <family val="0"/>
      <charset val="1"/>
    </font>
    <font>
      <b val="true"/>
      <sz val="10"/>
      <color rgb="FF808080"/>
      <name val="Aptos Narro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DEADA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9" tint="0.7998"/>
        <bgColor rgb="FFFDE9D9"/>
      </patternFill>
    </fill>
    <fill>
      <patternFill patternType="solid">
        <fgColor rgb="FFFDE9D9"/>
        <bgColor rgb="FFFDEADA"/>
      </patternFill>
    </fill>
    <fill>
      <patternFill patternType="solid">
        <fgColor rgb="FFE6F4EC"/>
        <bgColor rgb="FFF2F2F2"/>
      </patternFill>
    </fill>
    <fill>
      <patternFill patternType="solid">
        <fgColor theme="0" tint="-0.05"/>
        <bgColor rgb="FFE6F4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B050"/>
      </font>
    </dxf>
    <dxf>
      <font>
        <b val="1"/>
        <color rgb="FFFF0000"/>
      </font>
    </dxf>
    <dxf>
      <font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ADA"/>
      <rgbColor rgb="FF99CCFF"/>
      <rgbColor rgb="FFFF99CC"/>
      <rgbColor rgb="FFCC99FF"/>
      <rgbColor rgb="FFFDE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S48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128" activeCellId="0" sqref="E128"/>
    </sheetView>
  </sheetViews>
  <sheetFormatPr defaultColWidth="8.66796875" defaultRowHeight="14.25" zeroHeight="false" outlineLevelRow="1" outlineLevelCol="0"/>
  <cols>
    <col collapsed="false" customWidth="true" hidden="false" outlineLevel="0" max="2" min="1" style="0" width="2"/>
    <col collapsed="false" customWidth="true" hidden="false" outlineLevel="0" max="3" min="3" style="0" width="56"/>
    <col collapsed="false" customWidth="true" hidden="false" outlineLevel="0" max="4" min="4" style="0" width="10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2"/>
    <col collapsed="false" customWidth="true" hidden="false" outlineLevel="0" max="45" min="10" style="0" width="10"/>
  </cols>
  <sheetData>
    <row r="2" customFormat="false" ht="14.25" hidden="false" customHeight="false" outlineLevel="0" collapsed="false">
      <c r="C2" s="1" t="s">
        <v>0</v>
      </c>
    </row>
    <row r="3" customFormat="false" ht="14.25" hidden="false" customHeight="false" outlineLevel="0" collapsed="false">
      <c r="C3" s="1" t="s">
        <v>1</v>
      </c>
      <c r="D3" s="2" t="s">
        <v>2</v>
      </c>
      <c r="H3" s="3" t="n">
        <f aca="false">Master_Check</f>
        <v>0</v>
      </c>
    </row>
    <row r="5" customFormat="false" ht="14.25" hidden="false" customHeight="false" outlineLevel="0" collapsed="false">
      <c r="B5" s="4" t="s">
        <v>3</v>
      </c>
      <c r="C5" s="4" t="s">
        <v>4</v>
      </c>
      <c r="D5" s="4"/>
      <c r="E5" s="5" t="s">
        <v>5</v>
      </c>
      <c r="F5" s="5" t="s">
        <v>6</v>
      </c>
      <c r="G5" s="5" t="s">
        <v>7</v>
      </c>
      <c r="H5" s="5" t="s">
        <v>8</v>
      </c>
    </row>
    <row r="6" customFormat="false" ht="14.25" hidden="false" customHeight="false" outlineLevel="0" collapsed="false">
      <c r="C6" s="6" t="s">
        <v>9</v>
      </c>
      <c r="D6" s="2" t="s">
        <v>10</v>
      </c>
      <c r="E6" s="7" t="n">
        <v>50</v>
      </c>
      <c r="F6" s="7" t="n">
        <v>50</v>
      </c>
      <c r="G6" s="7" t="n">
        <v>50</v>
      </c>
      <c r="H6" s="8" t="n">
        <f aca="false">SUM(E6:G6)</f>
        <v>150</v>
      </c>
    </row>
    <row r="7" customFormat="false" ht="14.25" hidden="false" customHeight="false" outlineLevel="0" collapsed="false">
      <c r="C7" s="6" t="s">
        <v>11</v>
      </c>
      <c r="D7" s="2" t="s">
        <v>12</v>
      </c>
      <c r="E7" s="9" t="n">
        <v>0.2</v>
      </c>
      <c r="F7" s="9" t="n">
        <v>0.4</v>
      </c>
      <c r="G7" s="9" t="n">
        <v>0.4</v>
      </c>
    </row>
    <row r="8" customFormat="false" ht="14.25" hidden="false" customHeight="false" outlineLevel="0" collapsed="false">
      <c r="C8" s="6" t="s">
        <v>13</v>
      </c>
      <c r="D8" s="2" t="s">
        <v>12</v>
      </c>
      <c r="E8" s="9" t="n">
        <v>0.1</v>
      </c>
      <c r="F8" s="9" t="n">
        <v>0.2</v>
      </c>
      <c r="G8" s="9" t="n">
        <v>0.2</v>
      </c>
    </row>
    <row r="9" customFormat="false" ht="14.25" hidden="false" customHeight="false" outlineLevel="0" collapsed="false">
      <c r="C9" s="6" t="s">
        <v>14</v>
      </c>
      <c r="D9" s="2" t="s">
        <v>15</v>
      </c>
      <c r="E9" s="7" t="n">
        <v>4</v>
      </c>
      <c r="F9" s="7" t="n">
        <v>4</v>
      </c>
      <c r="G9" s="7" t="n">
        <v>4</v>
      </c>
    </row>
    <row r="10" customFormat="false" ht="14.25" hidden="false" customHeight="false" outlineLevel="0" collapsed="false">
      <c r="C10" s="6" t="s">
        <v>16</v>
      </c>
      <c r="D10" s="2" t="s">
        <v>12</v>
      </c>
      <c r="E10" s="9" t="n">
        <v>0.1</v>
      </c>
      <c r="F10" s="9" t="n">
        <v>0.1</v>
      </c>
      <c r="G10" s="9" t="n">
        <v>0.1</v>
      </c>
    </row>
    <row r="11" customFormat="false" ht="14.25" hidden="false" customHeight="false" outlineLevel="0" collapsed="false">
      <c r="C11" s="6" t="s">
        <v>17</v>
      </c>
      <c r="D11" s="2" t="s">
        <v>18</v>
      </c>
      <c r="E11" s="7" t="n">
        <v>20</v>
      </c>
      <c r="F11" s="7" t="n">
        <v>50</v>
      </c>
      <c r="G11" s="7" t="n">
        <v>50</v>
      </c>
    </row>
    <row r="12" customFormat="false" ht="14.25" hidden="false" customHeight="false" outlineLevel="0" collapsed="false">
      <c r="C12" s="6" t="s">
        <v>19</v>
      </c>
      <c r="D12" s="2" t="s">
        <v>20</v>
      </c>
      <c r="E12" s="10" t="n">
        <v>0</v>
      </c>
      <c r="F12" s="10" t="n">
        <v>3</v>
      </c>
      <c r="G12" s="10" t="n">
        <v>3</v>
      </c>
    </row>
    <row r="13" customFormat="false" ht="14.25" hidden="false" customHeight="false" outlineLevel="0" collapsed="false">
      <c r="C13" s="6" t="s">
        <v>21</v>
      </c>
      <c r="D13" s="2" t="s">
        <v>2</v>
      </c>
      <c r="E13" s="11" t="n">
        <v>1</v>
      </c>
      <c r="F13" s="11" t="n">
        <v>1</v>
      </c>
      <c r="G13" s="11" t="n">
        <v>1</v>
      </c>
    </row>
    <row r="14" customFormat="false" ht="14.25" hidden="false" customHeight="false" outlineLevel="0" collapsed="false">
      <c r="C14" s="6" t="s">
        <v>22</v>
      </c>
      <c r="D14" s="2" t="s">
        <v>3</v>
      </c>
      <c r="E14" s="12" t="n">
        <v>1</v>
      </c>
      <c r="F14" s="12" t="n">
        <v>1</v>
      </c>
      <c r="G14" s="12" t="n">
        <v>1</v>
      </c>
    </row>
    <row r="15" customFormat="false" ht="14.25" hidden="false" customHeight="false" outlineLevel="0" collapsed="false">
      <c r="C15" s="6" t="s">
        <v>23</v>
      </c>
      <c r="D15" s="2" t="s">
        <v>2</v>
      </c>
      <c r="E15" s="11" t="n">
        <v>0</v>
      </c>
      <c r="F15" s="11" t="n">
        <v>0</v>
      </c>
      <c r="G15" s="11" t="n">
        <v>0</v>
      </c>
    </row>
    <row r="16" customFormat="false" ht="14.25" hidden="false" customHeight="false" outlineLevel="0" collapsed="false">
      <c r="C16" s="6" t="s">
        <v>24</v>
      </c>
      <c r="D16" s="2" t="s">
        <v>2</v>
      </c>
      <c r="E16" s="11" t="n">
        <v>1</v>
      </c>
      <c r="F16" s="11" t="n">
        <v>1</v>
      </c>
      <c r="G16" s="11" t="n">
        <v>1</v>
      </c>
    </row>
    <row r="17" customFormat="false" ht="14.25" hidden="false" customHeight="false" outlineLevel="0" collapsed="false">
      <c r="C17" s="6" t="s">
        <v>25</v>
      </c>
      <c r="D17" s="2" t="s">
        <v>26</v>
      </c>
      <c r="E17" s="13" t="s">
        <v>27</v>
      </c>
      <c r="F17" s="13" t="s">
        <v>27</v>
      </c>
      <c r="G17" s="13" t="s">
        <v>27</v>
      </c>
    </row>
    <row r="18" customFormat="false" ht="14.25" hidden="false" customHeight="false" outlineLevel="0" collapsed="false">
      <c r="C18" s="6" t="s">
        <v>28</v>
      </c>
      <c r="D18" s="2" t="s">
        <v>18</v>
      </c>
      <c r="E18" s="7" t="n">
        <v>150</v>
      </c>
      <c r="F18" s="7" t="n">
        <v>150</v>
      </c>
      <c r="G18" s="7" t="n">
        <v>150</v>
      </c>
    </row>
    <row r="19" customFormat="false" ht="14.25" hidden="false" customHeight="false" outlineLevel="0" collapsed="false">
      <c r="C19" s="6" t="s">
        <v>29</v>
      </c>
      <c r="D19" s="2" t="s">
        <v>12</v>
      </c>
      <c r="E19" s="9" t="n">
        <v>0.7</v>
      </c>
      <c r="F19" s="9" t="n">
        <v>1</v>
      </c>
      <c r="G19" s="9" t="n">
        <v>1</v>
      </c>
    </row>
    <row r="20" customFormat="false" ht="14.25" hidden="false" customHeight="false" outlineLevel="0" collapsed="false">
      <c r="C20" s="6" t="s">
        <v>30</v>
      </c>
      <c r="D20" s="2" t="s">
        <v>2</v>
      </c>
      <c r="E20" s="11" t="n">
        <v>1</v>
      </c>
      <c r="F20" s="11" t="n">
        <v>0</v>
      </c>
      <c r="G20" s="11" t="n">
        <v>0</v>
      </c>
    </row>
    <row r="21" customFormat="false" ht="14.25" hidden="false" customHeight="false" outlineLevel="0" collapsed="false">
      <c r="C21" s="6" t="s">
        <v>31</v>
      </c>
      <c r="D21" s="2" t="s">
        <v>2</v>
      </c>
      <c r="E21" s="11" t="n">
        <v>1</v>
      </c>
      <c r="F21" s="11" t="n">
        <v>0</v>
      </c>
      <c r="G21" s="11" t="n">
        <v>0</v>
      </c>
    </row>
    <row r="22" customFormat="false" ht="14.25" hidden="false" customHeight="false" outlineLevel="0" collapsed="false">
      <c r="C22" s="6" t="s">
        <v>32</v>
      </c>
      <c r="D22" s="2" t="s">
        <v>33</v>
      </c>
      <c r="E22" s="14" t="n">
        <v>2500</v>
      </c>
      <c r="F22" s="14" t="n">
        <v>2500</v>
      </c>
      <c r="G22" s="14" t="n">
        <v>2500</v>
      </c>
    </row>
    <row r="24" customFormat="false" ht="14.25" hidden="false" customHeight="false" outlineLevel="0" collapsed="false">
      <c r="B24" s="4" t="s">
        <v>3</v>
      </c>
      <c r="C24" s="4" t="s">
        <v>34</v>
      </c>
      <c r="D24" s="4"/>
      <c r="E24" s="5" t="s">
        <v>35</v>
      </c>
      <c r="F24" s="5" t="s">
        <v>36</v>
      </c>
      <c r="G24" s="5" t="s">
        <v>37</v>
      </c>
      <c r="H24" s="5" t="s">
        <v>38</v>
      </c>
    </row>
    <row r="25" customFormat="false" ht="14.25" hidden="false" customHeight="false" outlineLevel="0" collapsed="false">
      <c r="C25" s="1" t="s">
        <v>39</v>
      </c>
      <c r="D25" s="2" t="s">
        <v>40</v>
      </c>
      <c r="H25" s="13" t="s">
        <v>35</v>
      </c>
    </row>
    <row r="26" customFormat="false" ht="14.25" hidden="false" customHeight="false" outlineLevel="0" collapsed="false">
      <c r="C26" s="6" t="s">
        <v>41</v>
      </c>
      <c r="D26" s="2" t="s">
        <v>42</v>
      </c>
      <c r="E26" s="7" t="n">
        <v>850</v>
      </c>
      <c r="F26" s="7" t="n">
        <v>950</v>
      </c>
      <c r="G26" s="7" t="n">
        <v>800</v>
      </c>
      <c r="H26" s="15" t="n">
        <f aca="false">INDEX(E26:G26,MATCH(Dash_Case,$E$24:$G$24,0))</f>
        <v>850</v>
      </c>
      <c r="J26" s="2" t="s">
        <v>43</v>
      </c>
    </row>
    <row r="27" customFormat="false" ht="14.25" hidden="false" customHeight="false" outlineLevel="0" collapsed="false">
      <c r="C27" s="6" t="s">
        <v>44</v>
      </c>
      <c r="D27" s="2" t="s">
        <v>42</v>
      </c>
      <c r="E27" s="7" t="n">
        <v>500</v>
      </c>
      <c r="F27" s="7" t="n">
        <v>600</v>
      </c>
      <c r="G27" s="7" t="n">
        <v>480</v>
      </c>
      <c r="H27" s="15" t="n">
        <f aca="false">INDEX(E27:G27,MATCH(Dash_Case,$E$24:$G$24,0))</f>
        <v>500</v>
      </c>
      <c r="J27" s="2" t="s">
        <v>45</v>
      </c>
    </row>
    <row r="28" customFormat="false" ht="14.25" hidden="false" customHeight="false" outlineLevel="0" collapsed="false">
      <c r="C28" s="6" t="s">
        <v>46</v>
      </c>
      <c r="D28" s="2" t="s">
        <v>20</v>
      </c>
      <c r="E28" s="10" t="n">
        <v>90</v>
      </c>
      <c r="F28" s="10" t="n">
        <v>90</v>
      </c>
      <c r="G28" s="10" t="n">
        <v>100</v>
      </c>
      <c r="H28" s="16" t="n">
        <f aca="false">INDEX(E28:G28,MATCH(Dash_Case,$E$24:$G$24,0))</f>
        <v>90</v>
      </c>
      <c r="J28" s="2" t="s">
        <v>47</v>
      </c>
    </row>
    <row r="29" customFormat="false" ht="14.25" hidden="false" customHeight="false" outlineLevel="0" collapsed="false">
      <c r="C29" s="6" t="s">
        <v>48</v>
      </c>
      <c r="D29" s="2" t="s">
        <v>33</v>
      </c>
      <c r="E29" s="7" t="n">
        <v>2400</v>
      </c>
      <c r="F29" s="7" t="n">
        <v>2350</v>
      </c>
      <c r="G29" s="7" t="n">
        <v>2500</v>
      </c>
      <c r="H29" s="15" t="n">
        <f aca="false">INDEX(E29:G29,MATCH(Dash_Case,$E$24:$G$24,0))</f>
        <v>2400</v>
      </c>
      <c r="J29" s="2" t="s">
        <v>49</v>
      </c>
    </row>
    <row r="30" customFormat="false" ht="14.25" hidden="false" customHeight="false" outlineLevel="0" collapsed="false">
      <c r="C30" s="6" t="s">
        <v>50</v>
      </c>
      <c r="D30" s="2" t="s">
        <v>51</v>
      </c>
      <c r="E30" s="10" t="n">
        <v>12</v>
      </c>
      <c r="F30" s="10" t="n">
        <v>12</v>
      </c>
      <c r="G30" s="10" t="n">
        <v>10</v>
      </c>
      <c r="H30" s="16" t="n">
        <f aca="false">INDEX(E30:G30,MATCH(Dash_Case,$E$24:$G$24,0))</f>
        <v>12</v>
      </c>
      <c r="J30" s="2" t="s">
        <v>52</v>
      </c>
    </row>
    <row r="32" customFormat="false" ht="14.25" hidden="false" customHeight="false" outlineLevel="0" collapsed="false">
      <c r="B32" s="4" t="s">
        <v>3</v>
      </c>
      <c r="C32" s="4" t="s">
        <v>53</v>
      </c>
      <c r="D32" s="4"/>
      <c r="E32" s="5" t="s">
        <v>5</v>
      </c>
      <c r="F32" s="5" t="s">
        <v>6</v>
      </c>
      <c r="G32" s="5" t="s">
        <v>7</v>
      </c>
      <c r="H32" s="5" t="s">
        <v>8</v>
      </c>
    </row>
    <row r="33" customFormat="false" ht="14.25" hidden="false" customHeight="false" outlineLevel="0" collapsed="false">
      <c r="C33" s="6" t="s">
        <v>54</v>
      </c>
      <c r="D33" s="2" t="s">
        <v>55</v>
      </c>
      <c r="E33" s="17" t="n">
        <f aca="false">INDEX(Osz1_Pts,1+SUMPRODUCT((Osz1_LB&lt;E11)+(Osz1_LB=E11)*Osz1_Incl))*Osz1_W</f>
        <v>4</v>
      </c>
      <c r="F33" s="17" t="n">
        <f aca="false">INDEX(Osz1_Pts,1+SUMPRODUCT((Osz1_LB&lt;F11)+(Osz1_LB=F11)*Osz1_Incl))*Osz1_W</f>
        <v>20</v>
      </c>
      <c r="G33" s="17" t="n">
        <f aca="false">INDEX(Osz1_Pts,1+SUMPRODUCT((Osz1_LB&lt;G11)+(Osz1_LB=G11)*Osz1_Incl))*Osz1_W</f>
        <v>20</v>
      </c>
    </row>
    <row r="34" customFormat="false" ht="14.25" hidden="false" customHeight="false" outlineLevel="0" collapsed="false">
      <c r="C34" s="6" t="s">
        <v>56</v>
      </c>
      <c r="D34" s="2" t="s">
        <v>55</v>
      </c>
      <c r="E34" s="17" t="n">
        <f aca="false">INDEX(Osz2_Pts,1+SUMPRODUCT((Osz2_LB&lt;E12)+(Osz2_LB=E12)*Osz2_Incl))*Osz2_W</f>
        <v>0</v>
      </c>
      <c r="F34" s="17" t="n">
        <f aca="false">INDEX(Osz2_Pts,1+SUMPRODUCT((Osz2_LB&lt;F12)+(Osz2_LB=F12)*Osz2_Incl))*Osz2_W</f>
        <v>15</v>
      </c>
      <c r="G34" s="17" t="n">
        <f aca="false">INDEX(Osz2_Pts,1+SUMPRODUCT((Osz2_LB&lt;G12)+(Osz2_LB=G12)*Osz2_Incl))*Osz2_W</f>
        <v>15</v>
      </c>
    </row>
    <row r="35" customFormat="false" ht="14.25" hidden="false" customHeight="false" outlineLevel="0" collapsed="false">
      <c r="C35" s="6" t="s">
        <v>57</v>
      </c>
      <c r="D35" s="2" t="s">
        <v>55</v>
      </c>
      <c r="E35" s="17" t="n">
        <f aca="false">INDEX(Osz3_Pts,1+SUMPRODUCT((Osz3_LB&lt;E7)+(Osz3_LB=E7)*Osz3_Incl))*Osz3_W</f>
        <v>5</v>
      </c>
      <c r="F35" s="17" t="n">
        <f aca="false">INDEX(Osz3_Pts,1+SUMPRODUCT((Osz3_LB&lt;F7)+(Osz3_LB=F7)*Osz3_Incl))*Osz3_W</f>
        <v>9</v>
      </c>
      <c r="G35" s="17" t="n">
        <f aca="false">INDEX(Osz3_Pts,1+SUMPRODUCT((Osz3_LB&lt;G7)+(Osz3_LB=G7)*Osz3_Incl))*Osz3_W</f>
        <v>9</v>
      </c>
    </row>
    <row r="36" customFormat="false" ht="14.25" hidden="false" customHeight="false" outlineLevel="0" collapsed="false">
      <c r="C36" s="6" t="s">
        <v>58</v>
      </c>
      <c r="D36" s="2" t="s">
        <v>55</v>
      </c>
      <c r="E36" s="17" t="n">
        <f aca="false" t="array" ref="E36:E36">INDEX(Osz4_Pts,1+SUMPRODUCT((Osz4_LB&lt;E8)+(Osz4_LB=E8)*Osz4_Incl))*Osz4_W</f>
        <v>4.5</v>
      </c>
      <c r="F36" s="17" t="n">
        <f aca="false" t="array" ref="F36:F36">INDEX(Osz4_Pts,1+SUMPRODUCT((Osz4_LB&lt;F8)+(Osz4_LB=F8)*Osz4_Incl))*Osz4_W</f>
        <v>7.5</v>
      </c>
      <c r="G36" s="17" t="n">
        <f aca="false" t="array" ref="G36:G36">INDEX(Osz4_Pts,1+SUMPRODUCT((Osz4_LB&lt;G8)+(Osz4_LB=G8)*Osz4_Incl))*Osz4_W</f>
        <v>7.5</v>
      </c>
    </row>
    <row r="37" customFormat="false" ht="14.25" hidden="false" customHeight="false" outlineLevel="0" collapsed="false">
      <c r="C37" s="6" t="s">
        <v>59</v>
      </c>
      <c r="D37" s="2" t="s">
        <v>55</v>
      </c>
      <c r="E37" s="17" t="n">
        <f aca="false">E13*Osz5_Pts*Osz5_W</f>
        <v>5</v>
      </c>
      <c r="F37" s="17" t="n">
        <f aca="false">F13*Osz5_Pts*Osz5_W</f>
        <v>5</v>
      </c>
      <c r="G37" s="17" t="n">
        <f aca="false">G13*Osz5_Pts*Osz5_W</f>
        <v>5</v>
      </c>
    </row>
    <row r="38" customFormat="false" ht="14.25" hidden="false" customHeight="false" outlineLevel="0" collapsed="false">
      <c r="C38" s="6" t="s">
        <v>60</v>
      </c>
      <c r="D38" s="2" t="s">
        <v>55</v>
      </c>
      <c r="E38" s="17" t="n">
        <f aca="false">INDEX(Osz6_Pts,1+SUMPRODUCT((Osz6_LB&lt;E14)+(Osz6_LB=E14)*Osz6_Incl))*Osz6_W</f>
        <v>0</v>
      </c>
      <c r="F38" s="17" t="n">
        <f aca="false">INDEX(Osz6_Pts,1+SUMPRODUCT((Osz6_LB&lt;F14)+(Osz6_LB=F14)*Osz6_Incl))*Osz6_W</f>
        <v>0</v>
      </c>
      <c r="G38" s="17" t="n">
        <f aca="false">INDEX(Osz6_Pts,1+SUMPRODUCT((Osz6_LB&lt;G14)+(Osz6_LB=G14)*Osz6_Incl))*Osz6_W</f>
        <v>0</v>
      </c>
    </row>
    <row r="39" customFormat="false" ht="14.25" hidden="false" customHeight="false" outlineLevel="0" collapsed="false">
      <c r="C39" s="6" t="s">
        <v>61</v>
      </c>
      <c r="D39" s="2" t="s">
        <v>55</v>
      </c>
      <c r="E39" s="17" t="n">
        <f aca="false">E15*Osz7_Pts*Osz7_W</f>
        <v>0</v>
      </c>
      <c r="F39" s="17" t="n">
        <f aca="false">F15*Osz7_Pts*Osz7_W</f>
        <v>0</v>
      </c>
      <c r="G39" s="17" t="n">
        <f aca="false">G15*Osz7_Pts*Osz7_W</f>
        <v>0</v>
      </c>
    </row>
    <row r="40" customFormat="false" ht="14.25" hidden="false" customHeight="false" outlineLevel="0" collapsed="false">
      <c r="C40" s="6" t="s">
        <v>62</v>
      </c>
      <c r="D40" s="2" t="s">
        <v>55</v>
      </c>
      <c r="E40" s="17" t="n">
        <f aca="false">E16*Osz8_Pts*Osz8_W</f>
        <v>5</v>
      </c>
      <c r="F40" s="17" t="n">
        <f aca="false">F16*Osz8_Pts*Osz8_W</f>
        <v>5</v>
      </c>
      <c r="G40" s="17" t="n">
        <f aca="false">G16*Osz8_Pts*Osz8_W</f>
        <v>5</v>
      </c>
    </row>
    <row r="41" customFormat="false" ht="14.25" hidden="false" customHeight="false" outlineLevel="0" collapsed="false">
      <c r="C41" s="6" t="s">
        <v>63</v>
      </c>
      <c r="D41" s="2" t="s">
        <v>55</v>
      </c>
      <c r="E41" s="17" t="n">
        <f aca="false">N(E17="EU")*Osz9a_Pts*Osz9_W</f>
        <v>0</v>
      </c>
      <c r="F41" s="17" t="n">
        <f aca="false">N(F17="EU")*Osz9a_Pts*Osz9_W</f>
        <v>0</v>
      </c>
      <c r="G41" s="17" t="n">
        <f aca="false">N(G17="EU")*Osz9a_Pts*Osz9_W</f>
        <v>0</v>
      </c>
    </row>
    <row r="42" customFormat="false" ht="14.25" hidden="false" customHeight="false" outlineLevel="0" collapsed="false">
      <c r="C42" s="6" t="s">
        <v>64</v>
      </c>
      <c r="D42" s="2" t="s">
        <v>55</v>
      </c>
      <c r="E42" s="17" t="n">
        <f aca="false">Inputs!E$19*Osz9b_Pts*Osz9_W</f>
        <v>0</v>
      </c>
      <c r="F42" s="17" t="n">
        <f aca="false">Inputs!F$19*Osz9b_Pts*Osz9_W</f>
        <v>0</v>
      </c>
      <c r="G42" s="17" t="n">
        <f aca="false">Inputs!G$19*Osz9b_Pts*Osz9_W</f>
        <v>0</v>
      </c>
    </row>
    <row r="43" customFormat="false" ht="14.25" hidden="false" customHeight="false" outlineLevel="0" collapsed="false">
      <c r="C43" s="1" t="s">
        <v>65</v>
      </c>
      <c r="D43" s="2" t="s">
        <v>55</v>
      </c>
      <c r="E43" s="18" t="n">
        <f aca="false">SUM(E33:E42)</f>
        <v>23.5</v>
      </c>
      <c r="F43" s="18" t="n">
        <f aca="false">SUM(F33:F42)</f>
        <v>61.5</v>
      </c>
      <c r="G43" s="18" t="n">
        <f aca="false">SUM(G33:G42)</f>
        <v>61.5</v>
      </c>
    </row>
    <row r="44" customFormat="false" ht="14.25" hidden="false" customHeight="false" outlineLevel="0" collapsed="false">
      <c r="C44" s="6" t="s">
        <v>66</v>
      </c>
      <c r="D44" s="2" t="s">
        <v>67</v>
      </c>
      <c r="E44" s="17" t="n">
        <f aca="false">E6*(1+E7)</f>
        <v>60</v>
      </c>
      <c r="F44" s="17" t="n">
        <f aca="false">F6*(1+F7)</f>
        <v>70</v>
      </c>
      <c r="G44" s="17" t="n">
        <f aca="false">G6*(1+G7)</f>
        <v>70</v>
      </c>
      <c r="H44" s="17" t="n">
        <f aca="false">SUM(E44:G44)</f>
        <v>200</v>
      </c>
    </row>
    <row r="45" customFormat="false" ht="14.25" hidden="false" customHeight="false" outlineLevel="0" collapsed="false">
      <c r="C45" s="6" t="s">
        <v>68</v>
      </c>
      <c r="D45" s="2" t="s">
        <v>69</v>
      </c>
      <c r="E45" s="17" t="n">
        <f aca="false">E6*E8*E9</f>
        <v>20</v>
      </c>
      <c r="F45" s="17" t="n">
        <f aca="false">F6*F8*F9</f>
        <v>40</v>
      </c>
      <c r="G45" s="17" t="n">
        <f aca="false">G6*G8*G9</f>
        <v>40</v>
      </c>
      <c r="H45" s="17" t="n">
        <f aca="false">SUM(E45:G45)</f>
        <v>100</v>
      </c>
    </row>
    <row r="46" customFormat="false" ht="14.25" hidden="false" customHeight="false" outlineLevel="0" collapsed="false">
      <c r="C46" s="6" t="s">
        <v>70</v>
      </c>
      <c r="D46" s="2" t="s">
        <v>67</v>
      </c>
      <c r="E46" s="17" t="n">
        <f aca="false">E44*(1-E10)</f>
        <v>54</v>
      </c>
      <c r="F46" s="17" t="n">
        <f aca="false">F44*(1-F10)</f>
        <v>63</v>
      </c>
      <c r="G46" s="17" t="n">
        <f aca="false">G44*(1-G10)</f>
        <v>63</v>
      </c>
      <c r="H46" s="17" t="n">
        <f aca="false">SUM(E46:G46)</f>
        <v>180</v>
      </c>
    </row>
    <row r="47" customFormat="false" ht="14.25" hidden="false" customHeight="false" outlineLevel="0" collapsed="false">
      <c r="K47" s="19"/>
      <c r="L47" s="19"/>
      <c r="M47" s="19"/>
    </row>
    <row r="48" customFormat="false" ht="14.25" hidden="false" customHeight="false" outlineLevel="0" collapsed="false">
      <c r="B48" s="4" t="s">
        <v>3</v>
      </c>
      <c r="C48" s="4" t="s">
        <v>71</v>
      </c>
      <c r="D48" s="4"/>
      <c r="E48" s="5" t="s">
        <v>5</v>
      </c>
      <c r="F48" s="5" t="s">
        <v>6</v>
      </c>
      <c r="G48" s="5" t="s">
        <v>7</v>
      </c>
      <c r="H48" s="5" t="s">
        <v>8</v>
      </c>
      <c r="J48" s="5" t="s">
        <v>72</v>
      </c>
      <c r="K48" s="20"/>
      <c r="L48" s="20"/>
      <c r="M48" s="19"/>
    </row>
    <row r="49" customFormat="false" ht="14.25" hidden="false" customHeight="false" outlineLevel="0" collapsed="false">
      <c r="C49" s="21" t="s">
        <v>73</v>
      </c>
      <c r="D49" s="22" t="s">
        <v>74</v>
      </c>
      <c r="E49" s="23" t="n">
        <f aca="false">Part_Fee</f>
        <v>3000000</v>
      </c>
      <c r="F49" s="23" t="n">
        <f aca="false">Part_Fee</f>
        <v>3000000</v>
      </c>
      <c r="G49" s="23" t="n">
        <f aca="false">Part_Fee</f>
        <v>3000000</v>
      </c>
      <c r="H49" s="23" t="n">
        <f aca="false">SUM(E49:G49)</f>
        <v>9000000</v>
      </c>
      <c r="J49" s="24" t="n">
        <f aca="false">Inputs!E$21</f>
        <v>46325</v>
      </c>
      <c r="K49" s="25"/>
      <c r="L49" s="25"/>
      <c r="M49" s="19"/>
    </row>
    <row r="50" customFormat="false" ht="14.25" hidden="false" customHeight="false" outlineLevel="0" collapsed="false">
      <c r="C50" s="21" t="s">
        <v>75</v>
      </c>
      <c r="D50" s="22" t="s">
        <v>74</v>
      </c>
      <c r="E50" s="23" t="n">
        <f aca="false">Bid_Sec_Rate*(E44*Bench_Wind+E45*Bench_BESS)</f>
        <v>141800000</v>
      </c>
      <c r="F50" s="23" t="n">
        <f aca="false">Bid_Sec_Rate*(F44*Bench_Wind+F45*Bench_BESS)</f>
        <v>182100000</v>
      </c>
      <c r="G50" s="23" t="n">
        <f aca="false">Bid_Sec_Rate*(G44*Bench_Wind+G45*Bench_BESS)</f>
        <v>182100000</v>
      </c>
      <c r="H50" s="23" t="n">
        <f aca="false">SUM(E50:G50)</f>
        <v>506000000</v>
      </c>
      <c r="J50" s="24" t="n">
        <f aca="false">Inputs!E$21</f>
        <v>46325</v>
      </c>
      <c r="K50" s="25"/>
      <c r="L50" s="25"/>
      <c r="M50" s="19"/>
    </row>
    <row r="51" customFormat="false" ht="14.25" hidden="false" customHeight="false" outlineLevel="0" collapsed="false">
      <c r="C51" s="21" t="s">
        <v>76</v>
      </c>
      <c r="D51" s="22" t="s">
        <v>74</v>
      </c>
      <c r="E51" s="23" t="n">
        <f aca="false">PB_Rate*E14*(E44*Bench_Wind+E45*Bench_BESS)-E50</f>
        <v>567200000</v>
      </c>
      <c r="F51" s="23" t="n">
        <f aca="false">PB_Rate*F14*(F44*Bench_Wind+F45*Bench_BESS)-F50</f>
        <v>728400000</v>
      </c>
      <c r="G51" s="23" t="n">
        <f aca="false">PB_Rate*G14*(G44*Bench_Wind+G45*Bench_BESS)-G50</f>
        <v>728400000</v>
      </c>
      <c r="H51" s="23" t="n">
        <f aca="false">SUM(E51:G51)</f>
        <v>2024000000</v>
      </c>
      <c r="J51" s="24" t="n">
        <f aca="false">Inputs!E$22</f>
        <v>46402</v>
      </c>
      <c r="K51" s="25"/>
      <c r="L51" s="25"/>
      <c r="M51" s="19"/>
    </row>
    <row r="52" customFormat="false" ht="14.25" hidden="false" customHeight="false" outlineLevel="0" collapsed="false">
      <c r="C52" s="26" t="s">
        <v>77</v>
      </c>
      <c r="D52" s="27" t="s">
        <v>74</v>
      </c>
      <c r="E52" s="28" t="n">
        <f aca="false">TSO_Rate*E6</f>
        <v>225000000</v>
      </c>
      <c r="F52" s="28" t="n">
        <f aca="false">TSO_Rate*F6</f>
        <v>225000000</v>
      </c>
      <c r="G52" s="28" t="n">
        <f aca="false">TSO_Rate*G6</f>
        <v>225000000</v>
      </c>
      <c r="H52" s="28" t="n">
        <f aca="false">SUM(E52:G52)</f>
        <v>675000000</v>
      </c>
      <c r="J52" s="24" t="n">
        <f aca="false">Inputs!E$23</f>
        <v>46402</v>
      </c>
      <c r="K52" s="25"/>
      <c r="L52" s="25"/>
      <c r="M52" s="19"/>
    </row>
    <row r="53" customFormat="false" ht="14.25" hidden="false" customHeight="false" outlineLevel="0" collapsed="false">
      <c r="C53" s="29" t="s">
        <v>78</v>
      </c>
      <c r="D53" s="30" t="s">
        <v>74</v>
      </c>
      <c r="E53" s="31" t="n">
        <f aca="false">Inputs!E$15/Inputs!E$16</f>
        <v>254172902</v>
      </c>
      <c r="F53" s="31" t="n">
        <f aca="false">Inputs!F$15/Inputs!F$16</f>
        <v>460000000</v>
      </c>
      <c r="G53" s="31" t="n">
        <f aca="false">Inputs!G$15/Inputs!G$16</f>
        <v>460000000</v>
      </c>
      <c r="H53" s="31" t="n">
        <f aca="false">SUM(E53:G53)</f>
        <v>1174172902</v>
      </c>
      <c r="J53" s="24" t="n">
        <f aca="false">Inputs!E$24</f>
        <v>47027</v>
      </c>
      <c r="K53" s="25"/>
      <c r="L53" s="25"/>
      <c r="M53" s="19"/>
    </row>
    <row r="54" customFormat="false" ht="14.25" hidden="false" customHeight="false" outlineLevel="0" collapsed="false">
      <c r="C54" s="29" t="s">
        <v>79</v>
      </c>
      <c r="D54" s="30" t="s">
        <v>74</v>
      </c>
      <c r="E54" s="31" t="n">
        <f aca="false">Inputs!E$14*E6-E52</f>
        <v>3428565300</v>
      </c>
      <c r="F54" s="31" t="n">
        <f aca="false">Inputs!F$14*F6-F52</f>
        <v>766334000</v>
      </c>
      <c r="G54" s="31" t="n">
        <f aca="false">Inputs!G$14*G6-G52</f>
        <v>766334000</v>
      </c>
      <c r="H54" s="31" t="n">
        <f aca="false">SUM(E54:G54)</f>
        <v>4961233300</v>
      </c>
      <c r="J54" s="24" t="n">
        <f aca="false">Inputs!E$24</f>
        <v>47027</v>
      </c>
      <c r="K54" s="25"/>
      <c r="L54" s="25"/>
      <c r="M54" s="19"/>
    </row>
    <row r="55" customFormat="false" ht="14.25" hidden="false" customHeight="false" outlineLevel="0" collapsed="false">
      <c r="C55" s="6" t="s">
        <v>80</v>
      </c>
      <c r="D55" s="2" t="s">
        <v>74</v>
      </c>
      <c r="E55" s="8" t="n">
        <f aca="false">SUMIF(Devex_Class,"Devex",Devex_HUF)*Inputs!E$18</f>
        <v>255901067.967347</v>
      </c>
      <c r="F55" s="8" t="n">
        <f aca="false">SUMIF(Devex_Class,"Devex",Devex_HUF)*Inputs!F$18</f>
        <v>255901067.967347</v>
      </c>
      <c r="G55" s="8" t="n">
        <f aca="false">SUMIF(Devex_Class,"Devex",Devex_HUF)*Inputs!G$18</f>
        <v>255901067.967347</v>
      </c>
      <c r="H55" s="8" t="n">
        <f aca="false">SUM(E55:G55)</f>
        <v>767703203.902041</v>
      </c>
      <c r="J55" s="24" t="n">
        <f aca="false">SUMPRODUCT((Devex_Class="Devex")*Devex_HUF,Devex_Date)/SUMIF(Devex_Class,"Devex",Devex_HUF)</f>
        <v>46714.1242758881</v>
      </c>
      <c r="K55" s="25"/>
      <c r="L55" s="25"/>
      <c r="M55" s="19"/>
    </row>
    <row r="56" customFormat="false" ht="14.25" hidden="false" customHeight="false" outlineLevel="0" collapsed="false">
      <c r="C56" s="6" t="s">
        <v>81</v>
      </c>
      <c r="D56" s="2" t="s">
        <v>74</v>
      </c>
      <c r="E56" s="8" t="n">
        <f aca="false">SUMIF(Devex_Class,"Land",Devex_HUF)*Inputs!E$18</f>
        <v>39347625</v>
      </c>
      <c r="F56" s="8" t="n">
        <f aca="false">SUMIF(Devex_Class,"Land",Devex_HUF)*Inputs!F$18</f>
        <v>39347625</v>
      </c>
      <c r="G56" s="8" t="n">
        <f aca="false">SUMIF(Devex_Class,"Land",Devex_HUF)*Inputs!G$18</f>
        <v>39347625</v>
      </c>
      <c r="H56" s="8" t="n">
        <f aca="false">SUM(E56:G56)</f>
        <v>118042875</v>
      </c>
      <c r="J56" s="24" t="n">
        <f aca="false">SUMPRODUCT((Devex_Class="Land")*Devex_HUF,Devex_Date)/SUMIF(Devex_Class,"Land",Devex_HUF)</f>
        <v>46877.176865821</v>
      </c>
      <c r="K56" s="25"/>
      <c r="L56" s="25"/>
      <c r="M56" s="19"/>
    </row>
    <row r="57" customFormat="false" ht="14.25" hidden="false" customHeight="false" outlineLevel="0" collapsed="false">
      <c r="C57" s="6" t="s">
        <v>82</v>
      </c>
      <c r="D57" s="2" t="s">
        <v>74</v>
      </c>
      <c r="E57" s="8" t="n">
        <f aca="false">Inputs!E$17*FX*Thousand</f>
        <v>36500000</v>
      </c>
      <c r="F57" s="8" t="n">
        <f aca="false">Inputs!F$17*FX*Thousand</f>
        <v>54750000</v>
      </c>
      <c r="G57" s="8" t="n">
        <f aca="false">Inputs!G$17*FX*Thousand</f>
        <v>54750000</v>
      </c>
      <c r="H57" s="8" t="n">
        <f aca="false">SUM(E57:G57)</f>
        <v>146000000</v>
      </c>
      <c r="J57" s="24" t="n">
        <f aca="false">Inputs!E$20</f>
        <v>46234</v>
      </c>
      <c r="K57" s="25"/>
      <c r="L57" s="25"/>
      <c r="M57" s="19"/>
    </row>
    <row r="58" customFormat="false" ht="14.25" hidden="false" customHeight="false" outlineLevel="0" collapsed="false">
      <c r="C58" s="1" t="s">
        <v>83</v>
      </c>
      <c r="D58" s="2" t="s">
        <v>74</v>
      </c>
      <c r="E58" s="32" t="n">
        <f aca="false">SUM(E49:E57)</f>
        <v>4951486894.96735</v>
      </c>
      <c r="F58" s="32" t="n">
        <f aca="false">SUM(F49:F57)</f>
        <v>2714832692.96735</v>
      </c>
      <c r="G58" s="32" t="n">
        <f aca="false">SUM(G49:G57)</f>
        <v>2714832692.96735</v>
      </c>
      <c r="H58" s="32" t="n">
        <f aca="false">SUM(E58:G58)</f>
        <v>10381152280.902</v>
      </c>
      <c r="K58" s="19"/>
      <c r="L58" s="19"/>
      <c r="M58" s="19"/>
    </row>
    <row r="59" customFormat="false" ht="14.25" hidden="false" customHeight="false" outlineLevel="0" collapsed="false">
      <c r="K59" s="19"/>
      <c r="L59" s="19"/>
      <c r="M59" s="19"/>
    </row>
    <row r="60" customFormat="false" ht="14.25" hidden="false" customHeight="false" outlineLevel="0" collapsed="false">
      <c r="B60" s="4" t="s">
        <v>3</v>
      </c>
      <c r="C60" s="4" t="s">
        <v>84</v>
      </c>
      <c r="D60" s="4"/>
      <c r="E60" s="5" t="s">
        <v>5</v>
      </c>
      <c r="F60" s="5" t="s">
        <v>6</v>
      </c>
      <c r="G60" s="5" t="s">
        <v>7</v>
      </c>
      <c r="H60" s="5" t="s">
        <v>8</v>
      </c>
      <c r="J60" s="5" t="s">
        <v>72</v>
      </c>
      <c r="K60" s="20"/>
      <c r="L60" s="20"/>
      <c r="M60" s="19"/>
    </row>
    <row r="61" customFormat="false" ht="14.25" hidden="false" customHeight="false" outlineLevel="0" collapsed="false">
      <c r="C61" s="21" t="s">
        <v>73</v>
      </c>
      <c r="D61" s="22" t="s">
        <v>85</v>
      </c>
      <c r="E61" s="33" t="n">
        <f aca="false">E49/FX/Thousand</f>
        <v>8.21917808219178</v>
      </c>
      <c r="F61" s="33" t="n">
        <f aca="false">F49/FX/Thousand</f>
        <v>8.21917808219178</v>
      </c>
      <c r="G61" s="33" t="n">
        <f aca="false">G49/FX/Thousand</f>
        <v>8.21917808219178</v>
      </c>
      <c r="H61" s="33" t="n">
        <f aca="false">SUM(E61:G61)</f>
        <v>24.6575342465753</v>
      </c>
      <c r="J61" s="24" t="n">
        <f aca="false">Inputs!E$21</f>
        <v>46325</v>
      </c>
      <c r="K61" s="25"/>
      <c r="L61" s="25"/>
      <c r="M61" s="19"/>
    </row>
    <row r="62" customFormat="false" ht="14.25" hidden="false" customHeight="false" outlineLevel="0" collapsed="false">
      <c r="C62" s="21" t="s">
        <v>75</v>
      </c>
      <c r="D62" s="22" t="s">
        <v>85</v>
      </c>
      <c r="E62" s="23" t="n">
        <f aca="false">E50/FX/Thousand</f>
        <v>388.493150684932</v>
      </c>
      <c r="F62" s="23" t="n">
        <f aca="false">F50/FX/Thousand</f>
        <v>498.904109589041</v>
      </c>
      <c r="G62" s="23" t="n">
        <f aca="false">G50/FX/Thousand</f>
        <v>498.904109589041</v>
      </c>
      <c r="H62" s="23" t="n">
        <f aca="false">SUM(E62:G62)</f>
        <v>1386.30136986301</v>
      </c>
      <c r="J62" s="24" t="n">
        <f aca="false">Inputs!E$21</f>
        <v>46325</v>
      </c>
      <c r="K62" s="25"/>
      <c r="L62" s="25"/>
      <c r="M62" s="19"/>
    </row>
    <row r="63" customFormat="false" ht="14.25" hidden="false" customHeight="false" outlineLevel="0" collapsed="false">
      <c r="C63" s="21" t="s">
        <v>76</v>
      </c>
      <c r="D63" s="22" t="s">
        <v>85</v>
      </c>
      <c r="E63" s="23" t="n">
        <f aca="false">E51/FX/Thousand</f>
        <v>1553.97260273973</v>
      </c>
      <c r="F63" s="23" t="n">
        <f aca="false">F51/FX/Thousand</f>
        <v>1995.61643835616</v>
      </c>
      <c r="G63" s="23" t="n">
        <f aca="false">G51/FX/Thousand</f>
        <v>1995.61643835616</v>
      </c>
      <c r="H63" s="23" t="n">
        <f aca="false">SUM(E63:G63)</f>
        <v>5545.20547945205</v>
      </c>
      <c r="J63" s="24" t="n">
        <f aca="false">Inputs!E$22</f>
        <v>46402</v>
      </c>
      <c r="K63" s="25"/>
      <c r="L63" s="25"/>
      <c r="M63" s="19"/>
    </row>
    <row r="64" customFormat="false" ht="14.25" hidden="false" customHeight="false" outlineLevel="0" collapsed="false">
      <c r="C64" s="26" t="s">
        <v>77</v>
      </c>
      <c r="D64" s="27" t="s">
        <v>85</v>
      </c>
      <c r="E64" s="28" t="n">
        <f aca="false">E52/FX/Thousand</f>
        <v>616.438356164384</v>
      </c>
      <c r="F64" s="28" t="n">
        <f aca="false">F52/FX/Thousand</f>
        <v>616.438356164384</v>
      </c>
      <c r="G64" s="28" t="n">
        <f aca="false">G52/FX/Thousand</f>
        <v>616.438356164384</v>
      </c>
      <c r="H64" s="28" t="n">
        <f aca="false">SUM(E64:G64)</f>
        <v>1849.31506849315</v>
      </c>
      <c r="J64" s="24" t="n">
        <f aca="false">Inputs!E$23</f>
        <v>46402</v>
      </c>
      <c r="K64" s="24"/>
      <c r="L64" s="24"/>
    </row>
    <row r="65" customFormat="false" ht="14.25" hidden="false" customHeight="false" outlineLevel="0" collapsed="false">
      <c r="C65" s="29" t="s">
        <v>78</v>
      </c>
      <c r="D65" s="30" t="s">
        <v>85</v>
      </c>
      <c r="E65" s="31" t="n">
        <f aca="false">E53/FX/Thousand</f>
        <v>696.364115068493</v>
      </c>
      <c r="F65" s="31" t="n">
        <f aca="false">F53/FX/Thousand</f>
        <v>1260.27397260274</v>
      </c>
      <c r="G65" s="31" t="n">
        <f aca="false">G53/FX/Thousand</f>
        <v>1260.27397260274</v>
      </c>
      <c r="H65" s="31" t="n">
        <f aca="false">SUM(E65:G65)</f>
        <v>3216.91206027397</v>
      </c>
      <c r="J65" s="24" t="n">
        <f aca="false">Inputs!E$24</f>
        <v>47027</v>
      </c>
      <c r="K65" s="24"/>
      <c r="L65" s="24"/>
    </row>
    <row r="66" customFormat="false" ht="14.25" hidden="false" customHeight="false" outlineLevel="0" collapsed="false">
      <c r="C66" s="29" t="s">
        <v>79</v>
      </c>
      <c r="D66" s="30" t="s">
        <v>85</v>
      </c>
      <c r="E66" s="31" t="n">
        <f aca="false">E54/FX/Thousand</f>
        <v>9393.3295890411</v>
      </c>
      <c r="F66" s="31" t="n">
        <f aca="false">F54/FX/Thousand</f>
        <v>2099.54520547945</v>
      </c>
      <c r="G66" s="31" t="n">
        <f aca="false">G54/FX/Thousand</f>
        <v>2099.54520547945</v>
      </c>
      <c r="H66" s="31" t="n">
        <f aca="false">SUM(E66:G66)</f>
        <v>13592.42</v>
      </c>
      <c r="J66" s="24" t="n">
        <f aca="false">Inputs!E$24</f>
        <v>47027</v>
      </c>
      <c r="K66" s="24"/>
      <c r="L66" s="24"/>
    </row>
    <row r="67" customFormat="false" ht="14.25" hidden="false" customHeight="false" outlineLevel="0" collapsed="false">
      <c r="C67" s="6" t="s">
        <v>80</v>
      </c>
      <c r="D67" s="2" t="s">
        <v>85</v>
      </c>
      <c r="E67" s="8" t="n">
        <f aca="false">E55/FX/Thousand</f>
        <v>701.098816348896</v>
      </c>
      <c r="F67" s="8" t="n">
        <f aca="false">F55/FX/Thousand</f>
        <v>701.098816348896</v>
      </c>
      <c r="G67" s="8" t="n">
        <f aca="false">G55/FX/Thousand</f>
        <v>701.098816348896</v>
      </c>
      <c r="H67" s="8" t="n">
        <f aca="false">SUM(E67:G67)</f>
        <v>2103.29644904669</v>
      </c>
      <c r="J67" s="24" t="n">
        <f aca="false">J55</f>
        <v>46714.1242758881</v>
      </c>
      <c r="K67" s="24"/>
      <c r="L67" s="24"/>
    </row>
    <row r="68" customFormat="false" ht="14.25" hidden="false" customHeight="false" outlineLevel="0" collapsed="false">
      <c r="C68" s="6" t="s">
        <v>81</v>
      </c>
      <c r="D68" s="2" t="s">
        <v>85</v>
      </c>
      <c r="E68" s="8" t="n">
        <f aca="false">E56/FX/Thousand</f>
        <v>107.801712328767</v>
      </c>
      <c r="F68" s="8" t="n">
        <f aca="false">F56/FX/Thousand</f>
        <v>107.801712328767</v>
      </c>
      <c r="G68" s="8" t="n">
        <f aca="false">G56/FX/Thousand</f>
        <v>107.801712328767</v>
      </c>
      <c r="H68" s="8" t="n">
        <f aca="false">SUM(E68:G68)</f>
        <v>323.405136986301</v>
      </c>
      <c r="J68" s="24" t="n">
        <f aca="false">J56</f>
        <v>46877.176865821</v>
      </c>
      <c r="K68" s="24"/>
      <c r="L68" s="24"/>
    </row>
    <row r="69" customFormat="false" ht="14.25" hidden="false" customHeight="false" outlineLevel="0" collapsed="false">
      <c r="C69" s="6" t="s">
        <v>82</v>
      </c>
      <c r="D69" s="2" t="s">
        <v>85</v>
      </c>
      <c r="E69" s="8" t="n">
        <f aca="false">E57/FX/Thousand</f>
        <v>100</v>
      </c>
      <c r="F69" s="8" t="n">
        <f aca="false">F57/FX/Thousand</f>
        <v>150</v>
      </c>
      <c r="G69" s="8" t="n">
        <f aca="false">G57/FX/Thousand</f>
        <v>150</v>
      </c>
      <c r="H69" s="8" t="n">
        <f aca="false">SUM(E69:G69)</f>
        <v>400</v>
      </c>
      <c r="J69" s="24" t="n">
        <f aca="false">Inputs!E$20</f>
        <v>46234</v>
      </c>
      <c r="K69" s="24"/>
      <c r="L69" s="24"/>
    </row>
    <row r="70" customFormat="false" ht="14.25" hidden="false" customHeight="false" outlineLevel="0" collapsed="false">
      <c r="C70" s="1" t="s">
        <v>83</v>
      </c>
      <c r="D70" s="2" t="s">
        <v>85</v>
      </c>
      <c r="E70" s="32" t="n">
        <f aca="false">SUM(E61:E69)</f>
        <v>13565.7175204585</v>
      </c>
      <c r="F70" s="32" t="n">
        <f aca="false">SUM(F61:F69)</f>
        <v>7437.89778895164</v>
      </c>
      <c r="G70" s="32" t="n">
        <f aca="false">SUM(G61:G69)</f>
        <v>7437.89778895164</v>
      </c>
      <c r="H70" s="32" t="n">
        <f aca="false">SUM(E70:G70)</f>
        <v>28441.5130983618</v>
      </c>
    </row>
    <row r="72" customFormat="false" ht="14.25" hidden="false" customHeight="false" outlineLevel="0" collapsed="false">
      <c r="B72" s="4" t="s">
        <v>3</v>
      </c>
      <c r="C72" s="4" t="s">
        <v>86</v>
      </c>
      <c r="D72" s="4"/>
      <c r="E72" s="5" t="s">
        <v>5</v>
      </c>
      <c r="F72" s="5" t="s">
        <v>6</v>
      </c>
      <c r="G72" s="5" t="s">
        <v>7</v>
      </c>
      <c r="H72" s="5" t="s">
        <v>8</v>
      </c>
      <c r="J72" s="5" t="s">
        <v>87</v>
      </c>
    </row>
    <row r="73" customFormat="false" ht="14.25" hidden="false" customHeight="false" outlineLevel="0" collapsed="false">
      <c r="C73" s="6" t="s">
        <v>88</v>
      </c>
      <c r="D73" s="2" t="s">
        <v>85</v>
      </c>
      <c r="E73" s="8" t="n">
        <f aca="false">E61+SUM(E67:E69)</f>
        <v>917.119706759855</v>
      </c>
      <c r="F73" s="8" t="n">
        <f aca="false">F61+SUM(F67:F69)</f>
        <v>967.119706759855</v>
      </c>
      <c r="G73" s="8" t="n">
        <f aca="false">G61+SUM(G67:G69)</f>
        <v>967.119706759855</v>
      </c>
      <c r="H73" s="8" t="n">
        <f aca="false">SUM(E73:G73)</f>
        <v>2851.35912027956</v>
      </c>
      <c r="J73" s="34" t="s">
        <v>89</v>
      </c>
    </row>
    <row r="74" customFormat="false" ht="14.25" hidden="false" customHeight="false" outlineLevel="0" collapsed="false">
      <c r="C74" s="6" t="s">
        <v>90</v>
      </c>
      <c r="D74" s="2" t="s">
        <v>85</v>
      </c>
      <c r="E74" s="8" t="n">
        <f aca="false">SUM(E62:E64)</f>
        <v>2558.90410958904</v>
      </c>
      <c r="F74" s="8" t="n">
        <f aca="false">SUM(F62:F64)</f>
        <v>3110.95890410959</v>
      </c>
      <c r="G74" s="8" t="n">
        <f aca="false">SUM(G62:G64)</f>
        <v>3110.95890410959</v>
      </c>
      <c r="H74" s="8" t="n">
        <f aca="false">SUM(E74:G74)</f>
        <v>8780.82191780822</v>
      </c>
      <c r="J74" s="34" t="s">
        <v>91</v>
      </c>
    </row>
    <row r="75" customFormat="false" ht="14.25" hidden="false" customHeight="false" outlineLevel="0" collapsed="false">
      <c r="C75" s="6" t="s">
        <v>92</v>
      </c>
      <c r="D75" s="2" t="s">
        <v>85</v>
      </c>
      <c r="E75" s="35" t="n">
        <f aca="false">E65+E66</f>
        <v>10089.6937041096</v>
      </c>
      <c r="F75" s="35" t="n">
        <f aca="false">F65+F66</f>
        <v>3359.81917808219</v>
      </c>
      <c r="G75" s="35" t="n">
        <f aca="false">G65+G66</f>
        <v>3359.81917808219</v>
      </c>
      <c r="H75" s="35" t="n">
        <f aca="false">SUM(E75:G75)</f>
        <v>16809.332060274</v>
      </c>
      <c r="J75" s="34" t="s">
        <v>93</v>
      </c>
    </row>
    <row r="76" customFormat="false" ht="14.25" hidden="false" customHeight="false" outlineLevel="0" collapsed="false">
      <c r="C76" s="1" t="s">
        <v>94</v>
      </c>
      <c r="D76" s="2" t="s">
        <v>85</v>
      </c>
      <c r="E76" s="15" t="n">
        <f aca="false">SUM(E73:E75)</f>
        <v>13565.7175204585</v>
      </c>
      <c r="F76" s="15" t="n">
        <f aca="false">SUM(F73:F75)</f>
        <v>7437.89778895164</v>
      </c>
      <c r="G76" s="15" t="n">
        <f aca="false">SUM(G73:G75)</f>
        <v>7437.89778895164</v>
      </c>
      <c r="H76" s="15" t="n">
        <f aca="false">SUM(E76:G76)</f>
        <v>28441.5130983618</v>
      </c>
      <c r="J76" s="34" t="s">
        <v>95</v>
      </c>
    </row>
    <row r="77" customFormat="false" ht="14.25" hidden="false" customHeight="false" outlineLevel="0" collapsed="false">
      <c r="C77" s="0" t="s">
        <v>96</v>
      </c>
      <c r="D77" s="0" t="s">
        <v>12</v>
      </c>
      <c r="E77" s="36" t="n">
        <f aca="false">E75/E76</f>
        <v>0.743764101596049</v>
      </c>
      <c r="F77" s="36" t="n">
        <f aca="false">F75/F76</f>
        <v>0.451716233997315</v>
      </c>
      <c r="G77" s="36" t="n">
        <f aca="false">G75/G76</f>
        <v>0.451716233997315</v>
      </c>
      <c r="H77" s="36" t="n">
        <f aca="false">H75/H76</f>
        <v>0.591013987270677</v>
      </c>
      <c r="J77" s="34"/>
    </row>
    <row r="78" customFormat="false" ht="14.25" hidden="false" customHeight="false" outlineLevel="0" collapsed="false">
      <c r="C78" s="1" t="s">
        <v>97</v>
      </c>
      <c r="D78" s="2" t="s">
        <v>85</v>
      </c>
      <c r="E78" s="32" t="n">
        <f aca="false">E76-E75</f>
        <v>3476.0238163489</v>
      </c>
      <c r="F78" s="32" t="n">
        <f aca="false">F76-F75</f>
        <v>4078.07861086944</v>
      </c>
      <c r="G78" s="32" t="n">
        <f aca="false">G76-G75</f>
        <v>4078.07861086944</v>
      </c>
      <c r="H78" s="32" t="n">
        <f aca="false">SUM(E78:G78)</f>
        <v>11632.1810380878</v>
      </c>
      <c r="J78" s="34" t="s">
        <v>98</v>
      </c>
    </row>
    <row r="80" customFormat="false" ht="14.25" hidden="false" customHeight="false" outlineLevel="0" collapsed="false">
      <c r="B80" s="4" t="s">
        <v>3</v>
      </c>
      <c r="C80" s="4" t="s">
        <v>99</v>
      </c>
      <c r="D80" s="4"/>
      <c r="E80" s="5" t="s">
        <v>5</v>
      </c>
      <c r="F80" s="5" t="s">
        <v>6</v>
      </c>
      <c r="G80" s="5" t="s">
        <v>7</v>
      </c>
      <c r="H80" s="5" t="s">
        <v>8</v>
      </c>
    </row>
    <row r="81" customFormat="false" ht="14.25" hidden="false" customHeight="false" outlineLevel="0" collapsed="false">
      <c r="C81" s="6" t="s">
        <v>100</v>
      </c>
      <c r="D81" s="2" t="s">
        <v>85</v>
      </c>
      <c r="E81" s="8" t="n">
        <f aca="false">IF(E17="EU",Case_EU,Case_CN)*E46</f>
        <v>27000</v>
      </c>
      <c r="F81" s="8" t="n">
        <f aca="false">IF(F17="EU",Case_EU,Case_CN)*F46</f>
        <v>31500</v>
      </c>
      <c r="G81" s="8" t="n">
        <f aca="false">IF(G17="EU",Case_EU,Case_CN)*G46</f>
        <v>31500</v>
      </c>
      <c r="H81" s="8" t="n">
        <f aca="false">SUM(E81:G81)</f>
        <v>90000</v>
      </c>
    </row>
    <row r="82" customFormat="false" ht="14.25" hidden="false" customHeight="false" outlineLevel="0" collapsed="false">
      <c r="C82" s="6" t="s">
        <v>101</v>
      </c>
      <c r="D82" s="2" t="s">
        <v>85</v>
      </c>
      <c r="E82" s="8" t="n">
        <f aca="false">Capex_Install*E46</f>
        <v>4320</v>
      </c>
      <c r="F82" s="8" t="n">
        <f aca="false">Capex_Install*F46</f>
        <v>5040</v>
      </c>
      <c r="G82" s="8" t="n">
        <f aca="false">Capex_Install*G46</f>
        <v>5040</v>
      </c>
      <c r="H82" s="8" t="n">
        <f aca="false">SUM(E82:G82)</f>
        <v>14400</v>
      </c>
    </row>
    <row r="83" customFormat="false" ht="14.25" hidden="false" customHeight="false" outlineLevel="0" collapsed="false">
      <c r="C83" s="6" t="s">
        <v>102</v>
      </c>
      <c r="D83" s="2" t="s">
        <v>85</v>
      </c>
      <c r="E83" s="8" t="n">
        <f aca="false">Capex_Fdn*E46</f>
        <v>4860</v>
      </c>
      <c r="F83" s="8" t="n">
        <f aca="false">Capex_Fdn*F46</f>
        <v>5670</v>
      </c>
      <c r="G83" s="8" t="n">
        <f aca="false">Capex_Fdn*G46</f>
        <v>5670</v>
      </c>
      <c r="H83" s="8" t="n">
        <f aca="false">SUM(E83:G83)</f>
        <v>16200</v>
      </c>
    </row>
    <row r="84" customFormat="false" ht="14.25" hidden="false" customHeight="false" outlineLevel="0" collapsed="false">
      <c r="C84" s="6" t="s">
        <v>103</v>
      </c>
      <c r="D84" s="2" t="s">
        <v>85</v>
      </c>
      <c r="E84" s="8" t="n">
        <f aca="false">Capex_Civil*E46</f>
        <v>3780</v>
      </c>
      <c r="F84" s="8" t="n">
        <f aca="false">Capex_Civil*F46</f>
        <v>4410</v>
      </c>
      <c r="G84" s="8" t="n">
        <f aca="false">Capex_Civil*G46</f>
        <v>4410</v>
      </c>
      <c r="H84" s="8" t="n">
        <f aca="false">SUM(E84:G84)</f>
        <v>12600</v>
      </c>
    </row>
    <row r="85" customFormat="false" ht="14.25" hidden="false" customHeight="false" outlineLevel="0" collapsed="false">
      <c r="C85" s="6" t="s">
        <v>104</v>
      </c>
      <c r="D85" s="2" t="s">
        <v>85</v>
      </c>
      <c r="E85" s="8" t="n">
        <f aca="false">Capex_Elec*E46</f>
        <v>3240</v>
      </c>
      <c r="F85" s="8" t="n">
        <f aca="false">Capex_Elec*F46</f>
        <v>3780</v>
      </c>
      <c r="G85" s="8" t="n">
        <f aca="false">Capex_Elec*G46</f>
        <v>3780</v>
      </c>
      <c r="H85" s="8" t="n">
        <f aca="false">SUM(E85:G85)</f>
        <v>10800</v>
      </c>
    </row>
    <row r="86" customFormat="false" ht="14.25" hidden="false" customHeight="false" outlineLevel="0" collapsed="false">
      <c r="C86" s="6" t="s">
        <v>105</v>
      </c>
      <c r="D86" s="2" t="s">
        <v>85</v>
      </c>
      <c r="E86" s="8" t="n">
        <f aca="false">Capex_Owner*E46</f>
        <v>2160</v>
      </c>
      <c r="F86" s="8" t="n">
        <f aca="false">Capex_Owner*F46</f>
        <v>2520</v>
      </c>
      <c r="G86" s="8" t="n">
        <f aca="false">Capex_Owner*G46</f>
        <v>2520</v>
      </c>
      <c r="H86" s="8" t="n">
        <f aca="false">SUM(E86:G86)</f>
        <v>7200</v>
      </c>
    </row>
    <row r="87" customFormat="false" ht="14.25" hidden="false" customHeight="false" outlineLevel="0" collapsed="false">
      <c r="C87" s="6" t="s">
        <v>106</v>
      </c>
      <c r="D87" s="2" t="s">
        <v>85</v>
      </c>
      <c r="E87" s="8" t="n">
        <f aca="false">Capex_Land*E46</f>
        <v>0</v>
      </c>
      <c r="F87" s="8" t="n">
        <f aca="false">Capex_Land*F46</f>
        <v>0</v>
      </c>
      <c r="G87" s="8" t="n">
        <f aca="false">Capex_Land*G46</f>
        <v>0</v>
      </c>
      <c r="H87" s="8" t="n">
        <f aca="false">SUM(E87:G87)</f>
        <v>0</v>
      </c>
    </row>
    <row r="88" customFormat="false" ht="14.25" hidden="false" customHeight="false" outlineLevel="0" collapsed="false">
      <c r="C88" s="6" t="s">
        <v>107</v>
      </c>
      <c r="D88" s="2" t="s">
        <v>85</v>
      </c>
      <c r="E88" s="8" t="n">
        <f aca="false">Subs_Lump*E6/Lump_Basis</f>
        <v>3000</v>
      </c>
      <c r="F88" s="8" t="n">
        <f aca="false">Subs_Lump*F6/Lump_Basis</f>
        <v>3000</v>
      </c>
      <c r="G88" s="8" t="n">
        <f aca="false">Subs_Lump*G6/Lump_Basis</f>
        <v>3000</v>
      </c>
      <c r="H88" s="8" t="n">
        <f aca="false">SUM(E88:G88)</f>
        <v>9000</v>
      </c>
    </row>
    <row r="89" customFormat="false" ht="14.25" hidden="false" customHeight="false" outlineLevel="0" collapsed="false">
      <c r="C89" s="6" t="s">
        <v>108</v>
      </c>
      <c r="D89" s="2" t="s">
        <v>85</v>
      </c>
      <c r="E89" s="8" t="n">
        <f aca="false">SUM(E81:E88)*Capex_Cont</f>
        <v>2418</v>
      </c>
      <c r="F89" s="8" t="n">
        <f aca="false">SUM(F81:F88)*Capex_Cont</f>
        <v>2796</v>
      </c>
      <c r="G89" s="8" t="n">
        <f aca="false">SUM(G81:G88)*Capex_Cont</f>
        <v>2796</v>
      </c>
      <c r="H89" s="8" t="n">
        <f aca="false">SUM(E89:G89)</f>
        <v>8010</v>
      </c>
    </row>
    <row r="90" customFormat="false" ht="14.25" hidden="false" customHeight="false" outlineLevel="0" collapsed="false">
      <c r="C90" s="6" t="s">
        <v>109</v>
      </c>
      <c r="D90" s="2" t="s">
        <v>85</v>
      </c>
      <c r="E90" s="8" t="n">
        <f aca="false">BESS_Capex*E45</f>
        <v>2000</v>
      </c>
      <c r="F90" s="8" t="n">
        <f aca="false">BESS_Capex*F45</f>
        <v>4000</v>
      </c>
      <c r="G90" s="8" t="n">
        <f aca="false">BESS_Capex*G45</f>
        <v>4000</v>
      </c>
      <c r="H90" s="8" t="n">
        <f aca="false">SUM(E90:G90)</f>
        <v>10000</v>
      </c>
    </row>
    <row r="91" customFormat="false" ht="14.25" hidden="false" customHeight="false" outlineLevel="0" collapsed="false">
      <c r="C91" s="1" t="s">
        <v>110</v>
      </c>
      <c r="D91" s="2" t="s">
        <v>85</v>
      </c>
      <c r="E91" s="32" t="n">
        <f aca="false">SUM(E81:E90)</f>
        <v>52778</v>
      </c>
      <c r="F91" s="32" t="n">
        <f aca="false">SUM(F81:F90)</f>
        <v>62716</v>
      </c>
      <c r="G91" s="32" t="n">
        <f aca="false">SUM(G81:G90)</f>
        <v>62716</v>
      </c>
      <c r="H91" s="32" t="n">
        <f aca="false">SUM(E91:G91)</f>
        <v>178210</v>
      </c>
    </row>
    <row r="92" customFormat="false" ht="14.25" hidden="false" customHeight="false" outlineLevel="0" collapsed="false">
      <c r="C92" s="29" t="s">
        <v>111</v>
      </c>
      <c r="D92" s="30" t="s">
        <v>85</v>
      </c>
      <c r="E92" s="31" t="n">
        <f aca="false">E64+E65+E66</f>
        <v>10706.132060274</v>
      </c>
      <c r="F92" s="31" t="n">
        <f aca="false">F64+F65+F66</f>
        <v>3976.25753424658</v>
      </c>
      <c r="G92" s="31" t="n">
        <f aca="false">G64+G65+G66</f>
        <v>3976.25753424658</v>
      </c>
      <c r="H92" s="31" t="n">
        <f aca="false">SUM(E92:G92)</f>
        <v>18658.6471287671</v>
      </c>
    </row>
    <row r="93" customFormat="false" ht="14.25" hidden="false" customHeight="false" outlineLevel="0" collapsed="false">
      <c r="C93" s="29" t="s">
        <v>112</v>
      </c>
      <c r="D93" s="30" t="s">
        <v>85</v>
      </c>
      <c r="E93" s="31" t="n">
        <f aca="false">0</f>
        <v>0</v>
      </c>
      <c r="F93" s="31" t="n">
        <f aca="false">0</f>
        <v>0</v>
      </c>
      <c r="G93" s="31" t="n">
        <f aca="false">0</f>
        <v>0</v>
      </c>
      <c r="H93" s="31" t="n">
        <f aca="false">SUM(E93:G93)</f>
        <v>0</v>
      </c>
    </row>
    <row r="94" customFormat="false" ht="14.25" hidden="false" customHeight="false" outlineLevel="0" collapsed="false">
      <c r="C94" s="29" t="s">
        <v>113</v>
      </c>
      <c r="D94" s="30" t="s">
        <v>85</v>
      </c>
      <c r="E94" s="31" t="n">
        <f aca="false">0</f>
        <v>0</v>
      </c>
      <c r="F94" s="31" t="n">
        <f aca="false">0</f>
        <v>0</v>
      </c>
      <c r="G94" s="31" t="n">
        <f aca="false">0</f>
        <v>0</v>
      </c>
      <c r="H94" s="31" t="n">
        <f aca="false">SUM(E94:G94)</f>
        <v>0</v>
      </c>
    </row>
    <row r="95" customFormat="false" ht="14.25" hidden="false" customHeight="false" outlineLevel="0" collapsed="false">
      <c r="C95" s="29" t="s">
        <v>114</v>
      </c>
      <c r="D95" s="30" t="s">
        <v>85</v>
      </c>
      <c r="E95" s="31" t="n">
        <f aca="false">0</f>
        <v>0</v>
      </c>
      <c r="F95" s="31" t="n">
        <f aca="false">0</f>
        <v>0</v>
      </c>
      <c r="G95" s="31" t="n">
        <f aca="false">0</f>
        <v>0</v>
      </c>
      <c r="H95" s="31" t="n">
        <f aca="false">SUM(E95:G95)</f>
        <v>0</v>
      </c>
    </row>
    <row r="96" customFormat="false" ht="14.25" hidden="false" customHeight="false" outlineLevel="0" collapsed="false">
      <c r="C96" s="6" t="s">
        <v>115</v>
      </c>
      <c r="D96" s="2" t="s">
        <v>85</v>
      </c>
      <c r="E96" s="8" t="n">
        <f aca="false">E11*E6</f>
        <v>1000</v>
      </c>
      <c r="F96" s="8" t="n">
        <f aca="false">F11*F6</f>
        <v>2500</v>
      </c>
      <c r="G96" s="8" t="n">
        <f aca="false">G11*G6</f>
        <v>2500</v>
      </c>
      <c r="H96" s="8" t="n">
        <f aca="false">SUM(E96:G96)</f>
        <v>6000</v>
      </c>
    </row>
    <row r="97" customFormat="false" ht="14.25" hidden="false" customHeight="false" outlineLevel="0" collapsed="false">
      <c r="C97" s="6" t="s">
        <v>116</v>
      </c>
      <c r="D97" s="2" t="s">
        <v>85</v>
      </c>
      <c r="E97" s="8" t="n">
        <f aca="false">E68</f>
        <v>107.801712328767</v>
      </c>
      <c r="F97" s="8" t="n">
        <f aca="false">F68</f>
        <v>107.801712328767</v>
      </c>
      <c r="G97" s="8" t="n">
        <f aca="false">G68</f>
        <v>107.801712328767</v>
      </c>
      <c r="H97" s="8" t="n">
        <f aca="false">SUM(E97:G97)</f>
        <v>323.405136986301</v>
      </c>
    </row>
    <row r="98" customFormat="false" ht="14.25" hidden="false" customHeight="false" outlineLevel="0" collapsed="false">
      <c r="C98" s="6" t="s">
        <v>117</v>
      </c>
      <c r="D98" s="2" t="s">
        <v>85</v>
      </c>
      <c r="E98" s="8" t="n">
        <f aca="false">E18*E6</f>
        <v>7500</v>
      </c>
      <c r="F98" s="8" t="n">
        <f aca="false">F18*F6</f>
        <v>7500</v>
      </c>
      <c r="G98" s="8" t="n">
        <f aca="false">G18*G6</f>
        <v>7500</v>
      </c>
      <c r="H98" s="8" t="n">
        <f aca="false">SUM(E98:G98)</f>
        <v>22500</v>
      </c>
    </row>
    <row r="99" customFormat="false" ht="14.25" hidden="false" customHeight="false" outlineLevel="0" collapsed="false">
      <c r="C99" s="1" t="s">
        <v>118</v>
      </c>
      <c r="D99" s="2" t="s">
        <v>85</v>
      </c>
      <c r="E99" s="32" t="n">
        <f aca="false">E91+SUM(E92:E98)</f>
        <v>72091.9337726027</v>
      </c>
      <c r="F99" s="32" t="n">
        <f aca="false">F91+SUM(F92:F98)</f>
        <v>76800.0592465753</v>
      </c>
      <c r="G99" s="32" t="n">
        <f aca="false">G91+SUM(G92:G98)</f>
        <v>76800.0592465753</v>
      </c>
      <c r="H99" s="32" t="n">
        <f aca="false">SUM(E99:G99)</f>
        <v>225692.052265753</v>
      </c>
    </row>
    <row r="100" customFormat="false" ht="14.25" hidden="false" customHeight="false" outlineLevel="0" collapsed="false">
      <c r="C100" s="6" t="s">
        <v>119</v>
      </c>
      <c r="D100" s="2" t="s">
        <v>42</v>
      </c>
      <c r="E100" s="17" t="n">
        <f aca="false">E99/E46</f>
        <v>1335.03581060375</v>
      </c>
      <c r="F100" s="17" t="n">
        <f aca="false">F99/F46</f>
        <v>1219.04855946945</v>
      </c>
      <c r="G100" s="17" t="n">
        <f aca="false">G99/G46</f>
        <v>1219.04855946945</v>
      </c>
      <c r="H100" s="17" t="n">
        <f aca="false">H99/H46</f>
        <v>1253.84473480974</v>
      </c>
    </row>
    <row r="101" s="37" customFormat="true" ht="14.25" hidden="false" customHeight="false" outlineLevel="0" collapsed="false">
      <c r="C101" s="6" t="s">
        <v>120</v>
      </c>
      <c r="D101" s="2" t="s">
        <v>18</v>
      </c>
      <c r="E101" s="17" t="n">
        <f aca="false">E99/E6</f>
        <v>1441.83867545205</v>
      </c>
      <c r="F101" s="17" t="n">
        <f aca="false">F99/F6</f>
        <v>1536.00118493151</v>
      </c>
      <c r="G101" s="17" t="n">
        <f aca="false">G99/G6</f>
        <v>1536.00118493151</v>
      </c>
      <c r="H101" s="17" t="n">
        <f aca="false">H99/H6</f>
        <v>1504.61368177169</v>
      </c>
    </row>
    <row r="103" customFormat="false" ht="14.25" hidden="false" customHeight="false" outlineLevel="0" collapsed="false">
      <c r="B103" s="4" t="s">
        <v>3</v>
      </c>
      <c r="C103" s="4" t="s">
        <v>121</v>
      </c>
      <c r="D103" s="4"/>
      <c r="E103" s="5" t="s">
        <v>5</v>
      </c>
      <c r="F103" s="5" t="s">
        <v>6</v>
      </c>
      <c r="G103" s="5" t="s">
        <v>7</v>
      </c>
      <c r="H103" s="5" t="s">
        <v>8</v>
      </c>
    </row>
    <row r="104" customFormat="false" ht="14.25" hidden="false" customHeight="false" outlineLevel="0" collapsed="false">
      <c r="C104" s="6" t="s">
        <v>116</v>
      </c>
      <c r="D104" s="2" t="s">
        <v>85</v>
      </c>
      <c r="E104" s="17" t="n">
        <f aca="false">E68</f>
        <v>107.801712328767</v>
      </c>
      <c r="F104" s="17" t="n">
        <f aca="false">F68</f>
        <v>107.801712328767</v>
      </c>
      <c r="G104" s="17" t="n">
        <f aca="false">G68</f>
        <v>107.801712328767</v>
      </c>
      <c r="H104" s="17" t="n">
        <f aca="false">SUM(E104:G104)</f>
        <v>323.405136986301</v>
      </c>
    </row>
    <row r="105" customFormat="false" ht="14.25" hidden="false" customHeight="false" outlineLevel="0" collapsed="false">
      <c r="C105" s="6" t="s">
        <v>122</v>
      </c>
      <c r="D105" s="2" t="s">
        <v>85</v>
      </c>
      <c r="E105" s="17" t="n">
        <f aca="false">E67</f>
        <v>701.098816348896</v>
      </c>
      <c r="F105" s="17" t="n">
        <f aca="false">F67</f>
        <v>701.098816348896</v>
      </c>
      <c r="G105" s="17" t="n">
        <f aca="false">G67</f>
        <v>701.098816348896</v>
      </c>
      <c r="H105" s="17" t="n">
        <f aca="false">SUM(E105:G105)</f>
        <v>2103.29644904669</v>
      </c>
    </row>
    <row r="106" customFormat="false" ht="14.25" hidden="false" customHeight="false" outlineLevel="0" collapsed="false">
      <c r="C106" s="1" t="s">
        <v>123</v>
      </c>
      <c r="D106" s="2" t="s">
        <v>85</v>
      </c>
      <c r="E106" s="18" t="n">
        <f aca="false">SUM(E104:E105)</f>
        <v>808.900528677663</v>
      </c>
      <c r="F106" s="18" t="n">
        <f aca="false">SUM(F104:F105)</f>
        <v>808.900528677663</v>
      </c>
      <c r="G106" s="18" t="n">
        <f aca="false">SUM(G104:G105)</f>
        <v>808.900528677663</v>
      </c>
      <c r="H106" s="18" t="n">
        <f aca="false">SUM(E106:G106)</f>
        <v>2426.70158603299</v>
      </c>
    </row>
    <row r="108" customFormat="false" ht="14.25" hidden="false" customHeight="false" outlineLevel="0" collapsed="false">
      <c r="A108" s="37"/>
      <c r="B108" s="38" t="s">
        <v>3</v>
      </c>
      <c r="C108" s="39" t="s">
        <v>124</v>
      </c>
      <c r="D108" s="38"/>
      <c r="E108" s="40" t="s">
        <v>5</v>
      </c>
      <c r="F108" s="40" t="s">
        <v>6</v>
      </c>
      <c r="G108" s="40" t="s">
        <v>7</v>
      </c>
      <c r="H108" s="40" t="s">
        <v>8</v>
      </c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</row>
    <row r="109" customFormat="false" ht="14.25" hidden="false" customHeight="false" outlineLevel="0" collapsed="false">
      <c r="C109" s="41" t="s">
        <v>125</v>
      </c>
      <c r="D109" s="42"/>
      <c r="E109" s="43"/>
      <c r="F109" s="43"/>
      <c r="G109" s="43"/>
      <c r="H109" s="43"/>
    </row>
    <row r="110" customFormat="false" ht="14.25" hidden="false" customHeight="false" outlineLevel="0" collapsed="false">
      <c r="C110" s="6" t="s">
        <v>126</v>
      </c>
      <c r="D110" s="2" t="s">
        <v>85</v>
      </c>
      <c r="E110" s="8" t="n">
        <f aca="false">E213</f>
        <v>10089.6937041096</v>
      </c>
      <c r="F110" s="8" t="n">
        <f aca="false">F213</f>
        <v>3359.81917808219</v>
      </c>
      <c r="G110" s="8" t="n">
        <f aca="false">G213</f>
        <v>3359.81917808219</v>
      </c>
      <c r="H110" s="8" t="n">
        <f aca="false">SUM(E110:G110)</f>
        <v>16809.332060274</v>
      </c>
    </row>
    <row r="111" customFormat="false" ht="14.25" hidden="false" customHeight="false" outlineLevel="0" collapsed="false">
      <c r="C111" s="44" t="s">
        <v>127</v>
      </c>
      <c r="D111" s="45" t="s">
        <v>85</v>
      </c>
      <c r="E111" s="46" t="n">
        <f aca="false">E220</f>
        <v>3391.64025470506</v>
      </c>
      <c r="F111" s="46" t="n">
        <f aca="false">F220</f>
        <v>3993.69504922561</v>
      </c>
      <c r="G111" s="46" t="n">
        <f aca="false">G220</f>
        <v>3993.69504922561</v>
      </c>
      <c r="H111" s="46" t="n">
        <f aca="false">SUM(E111:G111)</f>
        <v>11379.0303531563</v>
      </c>
    </row>
    <row r="112" customFormat="false" ht="14.25" hidden="false" customHeight="false" outlineLevel="0" collapsed="false">
      <c r="C112" s="6" t="s">
        <v>128</v>
      </c>
      <c r="D112" s="2" t="s">
        <v>85</v>
      </c>
      <c r="E112" s="8" t="n">
        <f aca="false">E289</f>
        <v>7865.20493804327</v>
      </c>
      <c r="F112" s="8" t="n">
        <f aca="false">F289</f>
        <v>10406.2948630137</v>
      </c>
      <c r="G112" s="8" t="n">
        <f aca="false">G289</f>
        <v>10406.2948630137</v>
      </c>
      <c r="H112" s="8" t="n">
        <f aca="false">SUM(E112:G112)</f>
        <v>28677.7946640707</v>
      </c>
    </row>
    <row r="113" customFormat="false" ht="14.25" hidden="false" customHeight="false" outlineLevel="0" collapsed="false">
      <c r="C113" s="44" t="s">
        <v>129</v>
      </c>
      <c r="D113" s="45" t="s">
        <v>85</v>
      </c>
      <c r="E113" s="46" t="n">
        <f aca="false">E277</f>
        <v>4473.56468333821</v>
      </c>
      <c r="F113" s="46" t="n">
        <f aca="false">F277</f>
        <v>6412.59981378809</v>
      </c>
      <c r="G113" s="46" t="n">
        <f aca="false">G277</f>
        <v>6412.59981378809</v>
      </c>
      <c r="H113" s="46" t="n">
        <f aca="false">SUM(E113:G113)</f>
        <v>17298.7643109144</v>
      </c>
    </row>
    <row r="114" customFormat="false" ht="14.25" hidden="false" customHeight="false" outlineLevel="0" collapsed="false">
      <c r="C114" s="6" t="s">
        <v>130</v>
      </c>
      <c r="D114" s="2" t="s">
        <v>3</v>
      </c>
      <c r="E114" s="47" t="n">
        <f aca="false">E278</f>
        <v>2.31899740166495</v>
      </c>
      <c r="F114" s="47" t="n">
        <f aca="false">F278</f>
        <v>2.60568088818687</v>
      </c>
      <c r="G114" s="47" t="n">
        <f aca="false">G278</f>
        <v>2.60568088818687</v>
      </c>
      <c r="H114" s="47" t="n">
        <f aca="false">H278</f>
        <v>2.52023184524823</v>
      </c>
    </row>
    <row r="115" customFormat="false" ht="14.25" hidden="false" customHeight="false" outlineLevel="0" collapsed="false">
      <c r="C115" s="6" t="s">
        <v>131</v>
      </c>
      <c r="D115" s="2" t="s">
        <v>12</v>
      </c>
      <c r="E115" s="48" t="n">
        <f aca="false">E279</f>
        <v>0.683901674423866</v>
      </c>
      <c r="F115" s="48" t="n">
        <f aca="false">F279</f>
        <v>0.789921152442643</v>
      </c>
      <c r="G115" s="48" t="n">
        <f aca="false">G279</f>
        <v>0.789921152442643</v>
      </c>
    </row>
    <row r="116" customFormat="false" ht="14.25" hidden="false" customHeight="false" outlineLevel="0" collapsed="false">
      <c r="C116" s="41" t="s">
        <v>132</v>
      </c>
      <c r="D116" s="42"/>
      <c r="E116" s="43"/>
      <c r="F116" s="43"/>
      <c r="G116" s="43"/>
      <c r="H116" s="43"/>
    </row>
    <row r="117" customFormat="false" ht="14.25" hidden="false" customHeight="false" outlineLevel="0" collapsed="false">
      <c r="C117" s="44" t="s">
        <v>127</v>
      </c>
      <c r="D117" s="49" t="s">
        <v>85</v>
      </c>
      <c r="E117" s="46" t="n">
        <f aca="false">E70</f>
        <v>13565.7175204585</v>
      </c>
      <c r="F117" s="46" t="n">
        <f aca="false">F70</f>
        <v>7437.89778895164</v>
      </c>
      <c r="G117" s="46" t="n">
        <f aca="false">G70</f>
        <v>7437.89778895164</v>
      </c>
      <c r="H117" s="46" t="n">
        <f aca="false">SUM(E117:G117)</f>
        <v>28441.5130983618</v>
      </c>
    </row>
    <row r="118" customFormat="false" ht="14.25" hidden="false" customHeight="false" outlineLevel="0" collapsed="false">
      <c r="C118" s="6" t="s">
        <v>128</v>
      </c>
      <c r="D118" s="2" t="s">
        <v>85</v>
      </c>
      <c r="E118" s="8" t="n">
        <f aca="false">E336</f>
        <v>18298.0729861777</v>
      </c>
      <c r="F118" s="8" t="n">
        <f aca="false">F336</f>
        <v>13828.5797945205</v>
      </c>
      <c r="G118" s="8" t="n">
        <f aca="false">G336</f>
        <v>13828.5797945205</v>
      </c>
      <c r="H118" s="8" t="n">
        <f aca="false">SUM(E118:G118)</f>
        <v>45955.2325752188</v>
      </c>
    </row>
    <row r="119" customFormat="false" ht="14.25" hidden="false" customHeight="false" outlineLevel="0" collapsed="false">
      <c r="C119" s="44" t="s">
        <v>129</v>
      </c>
      <c r="D119" s="45" t="s">
        <v>85</v>
      </c>
      <c r="E119" s="46" t="n">
        <f aca="false">E323</f>
        <v>4732.35546571918</v>
      </c>
      <c r="F119" s="46" t="n">
        <f aca="false">F323</f>
        <v>6390.68200556891</v>
      </c>
      <c r="G119" s="46" t="n">
        <f aca="false">G323</f>
        <v>6390.68200556891</v>
      </c>
      <c r="H119" s="15" t="n">
        <f aca="false">SUM(E119:G119)</f>
        <v>17513.719476857</v>
      </c>
    </row>
    <row r="120" customFormat="false" ht="14.25" hidden="false" customHeight="false" outlineLevel="0" collapsed="false">
      <c r="C120" s="6" t="s">
        <v>130</v>
      </c>
      <c r="D120" s="2" t="s">
        <v>3</v>
      </c>
      <c r="E120" s="47" t="n">
        <f aca="false">E324</f>
        <v>1.34884667608494</v>
      </c>
      <c r="F120" s="47" t="n">
        <f aca="false">F324</f>
        <v>1.85920540815467</v>
      </c>
      <c r="G120" s="47" t="n">
        <f aca="false">G324</f>
        <v>1.85920540815467</v>
      </c>
      <c r="H120" s="47" t="n">
        <f aca="false">H324</f>
        <v>1.61578015966618</v>
      </c>
    </row>
    <row r="121" customFormat="false" ht="14.25" hidden="false" customHeight="false" outlineLevel="0" collapsed="false">
      <c r="C121" s="6" t="s">
        <v>131</v>
      </c>
      <c r="D121" s="2" t="s">
        <v>12</v>
      </c>
      <c r="E121" s="48" t="n">
        <f aca="false">E325</f>
        <v>0.229959485444803</v>
      </c>
      <c r="F121" s="48" t="n">
        <f aca="false">F325</f>
        <v>0.36981874472502</v>
      </c>
      <c r="G121" s="48" t="n">
        <f aca="false">G325</f>
        <v>0.36981874472502</v>
      </c>
    </row>
    <row r="122" customFormat="false" ht="14.25" hidden="false" customHeight="false" outlineLevel="0" collapsed="false">
      <c r="C122" s="41" t="s">
        <v>133</v>
      </c>
      <c r="D122" s="42"/>
      <c r="E122" s="43"/>
      <c r="F122" s="43"/>
      <c r="G122" s="43"/>
      <c r="H122" s="43"/>
    </row>
    <row r="123" customFormat="false" ht="14.25" hidden="false" customHeight="false" outlineLevel="0" collapsed="false">
      <c r="C123" s="6" t="s">
        <v>110</v>
      </c>
      <c r="D123" s="2" t="s">
        <v>85</v>
      </c>
      <c r="E123" s="8" t="n">
        <f aca="false">E91</f>
        <v>52778</v>
      </c>
      <c r="F123" s="8" t="n">
        <f aca="false">F91</f>
        <v>62716</v>
      </c>
      <c r="G123" s="8" t="n">
        <f aca="false">G91</f>
        <v>62716</v>
      </c>
      <c r="H123" s="8" t="n">
        <f aca="false">SUM(E123:G123)</f>
        <v>178210</v>
      </c>
    </row>
    <row r="124" customFormat="false" ht="14.25" hidden="false" customHeight="false" outlineLevel="0" collapsed="false">
      <c r="C124" s="6" t="s">
        <v>134</v>
      </c>
      <c r="D124" s="2" t="s">
        <v>85</v>
      </c>
      <c r="E124" s="8" t="n">
        <f aca="false">E92</f>
        <v>10706.132060274</v>
      </c>
      <c r="F124" s="8" t="n">
        <f aca="false">F92</f>
        <v>3976.25753424658</v>
      </c>
      <c r="G124" s="8" t="n">
        <f aca="false">G92</f>
        <v>3976.25753424658</v>
      </c>
      <c r="H124" s="8" t="n">
        <f aca="false">SUM(E124:G124)</f>
        <v>18658.6471287671</v>
      </c>
    </row>
    <row r="125" customFormat="false" ht="14.25" hidden="false" customHeight="false" outlineLevel="0" collapsed="false">
      <c r="C125" s="6" t="s">
        <v>115</v>
      </c>
      <c r="D125" s="2" t="s">
        <v>85</v>
      </c>
      <c r="E125" s="8" t="n">
        <f aca="false">E96</f>
        <v>1000</v>
      </c>
      <c r="F125" s="8" t="n">
        <f aca="false">F96</f>
        <v>2500</v>
      </c>
      <c r="G125" s="8" t="n">
        <f aca="false">G96</f>
        <v>2500</v>
      </c>
      <c r="H125" s="8" t="n">
        <f aca="false">SUM(E125:G125)</f>
        <v>6000</v>
      </c>
    </row>
    <row r="126" customFormat="false" ht="14.25" hidden="false" customHeight="false" outlineLevel="0" collapsed="false">
      <c r="C126" s="6" t="s">
        <v>116</v>
      </c>
      <c r="D126" s="2" t="s">
        <v>85</v>
      </c>
      <c r="E126" s="8" t="n">
        <f aca="false">E68</f>
        <v>107.801712328767</v>
      </c>
      <c r="F126" s="8" t="n">
        <f aca="false">F68</f>
        <v>107.801712328767</v>
      </c>
      <c r="G126" s="8" t="n">
        <f aca="false">G68</f>
        <v>107.801712328767</v>
      </c>
      <c r="H126" s="8" t="n">
        <f aca="false">SUM(E126:G126)</f>
        <v>323.405136986301</v>
      </c>
    </row>
    <row r="127" customFormat="false" ht="14.25" hidden="false" customHeight="false" outlineLevel="0" collapsed="false">
      <c r="C127" s="6" t="s">
        <v>135</v>
      </c>
      <c r="D127" s="2" t="s">
        <v>85</v>
      </c>
      <c r="E127" s="8" t="n">
        <f aca="false">0</f>
        <v>0</v>
      </c>
      <c r="F127" s="8" t="n">
        <f aca="false">0</f>
        <v>0</v>
      </c>
      <c r="G127" s="8" t="n">
        <f aca="false">0</f>
        <v>0</v>
      </c>
      <c r="H127" s="8" t="n">
        <f aca="false">SUM(E127:G127)</f>
        <v>0</v>
      </c>
    </row>
    <row r="128" customFormat="false" ht="14.25" hidden="false" customHeight="false" outlineLevel="0" collapsed="false">
      <c r="C128" s="6" t="s">
        <v>136</v>
      </c>
      <c r="D128" s="2" t="s">
        <v>85</v>
      </c>
      <c r="E128" s="8" t="n">
        <f aca="false">E98</f>
        <v>7500</v>
      </c>
      <c r="F128" s="8" t="n">
        <f aca="false">F98</f>
        <v>7500</v>
      </c>
      <c r="G128" s="8" t="n">
        <f aca="false">G98</f>
        <v>7500</v>
      </c>
      <c r="H128" s="8" t="n">
        <f aca="false">SUM(E128:G128)</f>
        <v>22500</v>
      </c>
    </row>
    <row r="129" customFormat="false" ht="14.25" hidden="false" customHeight="false" outlineLevel="0" collapsed="false">
      <c r="C129" s="1" t="s">
        <v>137</v>
      </c>
      <c r="D129" s="50" t="s">
        <v>85</v>
      </c>
      <c r="E129" s="15" t="n">
        <f aca="false">SUM(E123:E128)</f>
        <v>72091.9337726027</v>
      </c>
      <c r="F129" s="15" t="n">
        <f aca="false">SUM(F123:F128)</f>
        <v>76800.0592465753</v>
      </c>
      <c r="G129" s="15" t="n">
        <f aca="false">SUM(G123:G128)</f>
        <v>76800.0592465753</v>
      </c>
      <c r="H129" s="15" t="n">
        <f aca="false">SUM(E129:G129)</f>
        <v>225692.052265753</v>
      </c>
    </row>
    <row r="130" customFormat="false" ht="14.25" hidden="false" customHeight="false" outlineLevel="0" collapsed="false">
      <c r="C130" s="6" t="s">
        <v>138</v>
      </c>
      <c r="D130" s="2" t="s">
        <v>85</v>
      </c>
      <c r="E130" s="8" t="n">
        <f aca="false">$H$381</f>
        <v>104654.654246613</v>
      </c>
      <c r="F130" s="8" t="n">
        <f aca="false">$H$424</f>
        <v>117317.066600666</v>
      </c>
      <c r="G130" s="8" t="n">
        <f aca="false">$H$467</f>
        <v>117317.066600666</v>
      </c>
      <c r="H130" s="8" t="n">
        <f aca="false">SUM(E130:G130)</f>
        <v>339288.787447944</v>
      </c>
    </row>
    <row r="131" customFormat="false" ht="14.25" hidden="false" customHeight="false" outlineLevel="0" collapsed="false">
      <c r="C131" s="1" t="s">
        <v>139</v>
      </c>
      <c r="D131" s="2" t="s">
        <v>85</v>
      </c>
      <c r="E131" s="15" t="n">
        <f aca="false">E473</f>
        <v>32562.7204740098</v>
      </c>
      <c r="F131" s="15" t="n">
        <f aca="false">F473</f>
        <v>40517.0073540907</v>
      </c>
      <c r="G131" s="15" t="n">
        <f aca="false">G473</f>
        <v>40517.0073540907</v>
      </c>
      <c r="H131" s="15" t="n">
        <f aca="false">SUM(E131:G131)</f>
        <v>113596.735182191</v>
      </c>
    </row>
    <row r="132" customFormat="false" ht="14.25" hidden="false" customHeight="false" outlineLevel="0" collapsed="false">
      <c r="C132" s="6" t="s">
        <v>130</v>
      </c>
      <c r="D132" s="2" t="s">
        <v>3</v>
      </c>
      <c r="E132" s="47" t="n">
        <f aca="false">SUMIF($J$383:$AS$383,"&gt;0")/-SUMIF($J$383:$AS$383,"&lt;0")</f>
        <v>1.54416402320072</v>
      </c>
      <c r="F132" s="47" t="n">
        <f aca="false">SUMIF($J$426:$AS$426,"&gt;0")/-SUMIF($J$426:$AS$426,"&lt;0")</f>
        <v>1.66295709686981</v>
      </c>
      <c r="G132" s="47" t="n">
        <f aca="false">SUMIF($J$469:$AS$469,"&gt;0")/-SUMIF($J$469:$AS$469,"&lt;0")</f>
        <v>1.66295709686981</v>
      </c>
    </row>
    <row r="133" customFormat="false" ht="14.25" hidden="false" customHeight="false" outlineLevel="0" collapsed="false">
      <c r="C133" s="6" t="s">
        <v>131</v>
      </c>
      <c r="D133" s="2" t="s">
        <v>12</v>
      </c>
      <c r="E133" s="48" t="e">
        <f aca="false" t="array" ref="E133:E133">XIRR(_xlfn._xlws.FILTER($J$383:$AS$383,$J$383:$AS$383&lt;&gt;0),_xlfn._xlws.FILTER($J$340:$AS$340,$J$383:$AS$383&lt;&gt;0))</f>
        <v>#NAME?</v>
      </c>
      <c r="F133" s="48" t="e">
        <f aca="false" t="array" ref="F133:F133">XIRR(_xlfn._xlws.FILTER($J$426:$AS$426,$J$426:$AS$426&lt;&gt;0),_xlfn._xlws.FILTER($J$340:$AS$340,$J$426:$AS$426&lt;&gt;0))</f>
        <v>#NAME?</v>
      </c>
      <c r="G133" s="48" t="e">
        <f aca="false" t="array" ref="G133:G133">XIRR(_xlfn._xlws.FILTER($J$469:$AS$469,$J$469:$AS$469&lt;&gt;0),_xlfn._xlws.FILTER($J$340:$AS$340,$J$469:$AS$469&lt;&gt;0))</f>
        <v>#NAME?</v>
      </c>
      <c r="J133" s="51"/>
    </row>
    <row r="134" customFormat="false" ht="14.25" hidden="false" customHeight="false" outlineLevel="0" collapsed="false">
      <c r="C134" s="41" t="s">
        <v>140</v>
      </c>
      <c r="D134" s="42"/>
      <c r="E134" s="43"/>
      <c r="F134" s="43"/>
      <c r="G134" s="43"/>
      <c r="H134" s="43"/>
    </row>
    <row r="135" customFormat="false" ht="14.25" hidden="false" customHeight="false" outlineLevel="0" collapsed="false">
      <c r="C135" s="6" t="s">
        <v>141</v>
      </c>
      <c r="D135" s="2" t="s">
        <v>85</v>
      </c>
      <c r="E135" s="8" t="n">
        <f aca="false">E99</f>
        <v>72091.9337726027</v>
      </c>
      <c r="F135" s="8" t="n">
        <f aca="false">F99</f>
        <v>76800.0592465753</v>
      </c>
      <c r="G135" s="8" t="n">
        <f aca="false">G99</f>
        <v>76800.0592465753</v>
      </c>
      <c r="H135" s="8" t="n">
        <f aca="false">SUM(E135:G135)</f>
        <v>225692.052265753</v>
      </c>
    </row>
    <row r="136" customFormat="false" ht="14.25" hidden="false" customHeight="false" outlineLevel="0" collapsed="false">
      <c r="C136" s="6" t="s">
        <v>142</v>
      </c>
      <c r="D136" s="2" t="s">
        <v>85</v>
      </c>
      <c r="E136" s="8" t="n">
        <f aca="false">$H$357</f>
        <v>382397.730625247</v>
      </c>
      <c r="F136" s="8" t="n">
        <f aca="false">$H$400</f>
        <v>446130.685729454</v>
      </c>
      <c r="G136" s="8" t="n">
        <f aca="false">$H$443</f>
        <v>446130.685729454</v>
      </c>
      <c r="H136" s="8" t="n">
        <f aca="false">SUM(E136:G136)</f>
        <v>1274659.10208416</v>
      </c>
    </row>
    <row r="137" customFormat="false" ht="14.25" hidden="false" customHeight="false" outlineLevel="0" collapsed="false">
      <c r="C137" s="6" t="s">
        <v>143</v>
      </c>
      <c r="D137" s="2" t="s">
        <v>85</v>
      </c>
      <c r="E137" s="8" t="n">
        <f aca="false">$H$366</f>
        <v>-101080.469164597</v>
      </c>
      <c r="F137" s="8" t="n">
        <f aca="false">$H$409</f>
        <v>-130425.697623429</v>
      </c>
      <c r="G137" s="8" t="n">
        <f aca="false">$H$452</f>
        <v>-130425.697623429</v>
      </c>
      <c r="H137" s="8" t="n">
        <f aca="false">SUM(E137:G137)</f>
        <v>-361931.864411456</v>
      </c>
    </row>
    <row r="138" customFormat="false" ht="14.25" hidden="false" customHeight="false" outlineLevel="0" collapsed="false">
      <c r="C138" s="6" t="s">
        <v>144</v>
      </c>
      <c r="D138" s="2" t="s">
        <v>85</v>
      </c>
      <c r="E138" s="8" t="n">
        <f aca="false">$H$367</f>
        <v>281317.26146065</v>
      </c>
      <c r="F138" s="8" t="n">
        <f aca="false">$H$410</f>
        <v>315704.988106025</v>
      </c>
      <c r="G138" s="8" t="n">
        <f aca="false">$H$453</f>
        <v>315704.988106025</v>
      </c>
      <c r="H138" s="8" t="n">
        <f aca="false">SUM(E138:G138)</f>
        <v>912727.2376727</v>
      </c>
    </row>
    <row r="139" customFormat="false" ht="14.25" hidden="false" customHeight="false" outlineLevel="0" collapsed="false">
      <c r="C139" s="1" t="s">
        <v>145</v>
      </c>
      <c r="D139" s="2" t="s">
        <v>12</v>
      </c>
      <c r="E139" s="52" t="e">
        <f aca="false" t="array" ref="E139:E139">XIRR(_xlfn._xlws.FILTER($J$368:$AS$368,$J$368:$AS$368&lt;&gt;0),_xlfn._xlws.FILTER($J$340:$AS$340,$J$368:$AS$368&lt;&gt;0))</f>
        <v>#NAME?</v>
      </c>
      <c r="F139" s="52" t="e">
        <f aca="false" t="array" ref="F139:F139">XIRR(_xlfn._xlws.FILTER($J$411:$AS$411,$J$411:$AS$411&lt;&gt;0),_xlfn._xlws.FILTER($J$340:$AS$340,$J$411:$AS$411&lt;&gt;0))</f>
        <v>#NAME?</v>
      </c>
      <c r="G139" s="52" t="e">
        <f aca="false" t="array" ref="G139:G139">XIRR(_xlfn._xlws.FILTER($J$454:$AS$454,$J$454:$AS$454&lt;&gt;0),_xlfn._xlws.FILTER($J$340:$AS$340,$J$454:$AS$454&lt;&gt;0))</f>
        <v>#NAME?</v>
      </c>
    </row>
    <row r="140" customFormat="false" ht="14.25" hidden="false" customHeight="false" outlineLevel="0" collapsed="false">
      <c r="C140" s="6" t="s">
        <v>146</v>
      </c>
      <c r="D140" s="2" t="s">
        <v>85</v>
      </c>
      <c r="E140" s="8" t="n">
        <f aca="false">XNPV(Discount_Rate,$J$368:$AS$368,$J$340:$AS$340)</f>
        <v>19561.2549092521</v>
      </c>
      <c r="F140" s="8" t="n">
        <f aca="false">XNPV(Discount_Rate,$J$411:$AS$411,$J$340:$AS$340)</f>
        <v>25408.5413585676</v>
      </c>
      <c r="G140" s="8" t="n">
        <f aca="false">XNPV(Discount_Rate,$J$454:$AS$454,$J$340:$AS$340)</f>
        <v>25408.5413585676</v>
      </c>
      <c r="H140" s="8" t="n">
        <f aca="false">SUM(E140:G140)</f>
        <v>70378.3376263873</v>
      </c>
    </row>
    <row r="141" customFormat="false" ht="14.25" hidden="false" customHeight="false" outlineLevel="0" collapsed="false">
      <c r="C141" s="6" t="s">
        <v>147</v>
      </c>
      <c r="D141" s="2" t="s">
        <v>85</v>
      </c>
      <c r="E141" s="8" t="n">
        <f aca="false">$H$370</f>
        <v>-31383.7991532071</v>
      </c>
      <c r="F141" s="8" t="n">
        <f aca="false">$H$413</f>
        <v>-35835.7393289174</v>
      </c>
      <c r="G141" s="8" t="n">
        <f aca="false">$H$456</f>
        <v>-35835.7393289174</v>
      </c>
      <c r="H141" s="8" t="n">
        <f aca="false">SUM(E141:G141)</f>
        <v>-103055.277811042</v>
      </c>
    </row>
    <row r="142" customFormat="false" ht="14.25" hidden="false" customHeight="false" outlineLevel="0" collapsed="false">
      <c r="C142" s="1" t="s">
        <v>148</v>
      </c>
      <c r="D142" s="2" t="s">
        <v>12</v>
      </c>
      <c r="E142" s="52" t="e">
        <f aca="false" t="array" ref="E142:E142">XIRR(_xlfn._xlws.FILTER($J$371:$AS$371,$J$371:$AS$371&lt;&gt;0),_xlfn._xlws.FILTER($J$340:$AS$340,$J$371:$AS$371&lt;&gt;0))</f>
        <v>#NAME?</v>
      </c>
      <c r="F142" s="52" t="e">
        <f aca="false" t="array" ref="F142:F142">XIRR(_xlfn._xlws.FILTER($J$414:$AS$414,$J$414:$AS$414&lt;&gt;0),_xlfn._xlws.FILTER($J$340:$AS$340,$J$414:$AS$414&lt;&gt;0))</f>
        <v>#NAME?</v>
      </c>
      <c r="G142" s="52" t="e">
        <f aca="false" t="array" ref="G142:G142">XIRR(_xlfn._xlws.FILTER($J$457:$AS$457,$J$457:$AS$457&lt;&gt;0),_xlfn._xlws.FILTER($J$340:$AS$340,$J$457:$AS$457&lt;&gt;0))</f>
        <v>#NAME?</v>
      </c>
    </row>
    <row r="143" customFormat="false" ht="14.25" hidden="false" customHeight="false" outlineLevel="0" collapsed="false">
      <c r="C143" s="6" t="s">
        <v>149</v>
      </c>
      <c r="D143" s="2" t="s">
        <v>85</v>
      </c>
      <c r="E143" s="8" t="n">
        <f aca="false">$H$372</f>
        <v>43255.1602635616</v>
      </c>
      <c r="F143" s="8" t="n">
        <f aca="false">$H$415</f>
        <v>46080.0355479452</v>
      </c>
      <c r="G143" s="8" t="n">
        <f aca="false">$H$458</f>
        <v>46080.0355479452</v>
      </c>
      <c r="H143" s="8" t="n">
        <f aca="false">SUM(E143:G143)</f>
        <v>135415.231359452</v>
      </c>
    </row>
    <row r="144" customFormat="false" ht="14.25" hidden="false" customHeight="false" outlineLevel="0" collapsed="false">
      <c r="C144" s="1" t="s">
        <v>150</v>
      </c>
      <c r="D144" s="2" t="s">
        <v>12</v>
      </c>
      <c r="E144" s="52" t="e">
        <f aca="false" t="array" ref="E144:E144">XIRR(_xlfn._xlws.FILTER($J$378:$AS$378,$J$378:$AS$378&lt;&gt;0),_xlfn._xlws.FILTER($J$340:$AS$340,$J$378:$AS$378&lt;&gt;0))</f>
        <v>#NAME?</v>
      </c>
      <c r="F144" s="52" t="e">
        <f aca="false" t="array" ref="F144:F144">XIRR(_xlfn._xlws.FILTER($J$421:$AS$421,$J$421:$AS$421&lt;&gt;0),_xlfn._xlws.FILTER($J$340:$AS$340,$J$421:$AS$421&lt;&gt;0))</f>
        <v>#NAME?</v>
      </c>
      <c r="G144" s="52" t="e">
        <f aca="false" t="array" ref="G144:G144">XIRR(_xlfn._xlws.FILTER($J$464:$AS$464,$J$464:$AS$464&lt;&gt;0),_xlfn._xlws.FILTER($J$340:$AS$340,$J$464:$AS$464&lt;&gt;0))</f>
        <v>#NAME?</v>
      </c>
    </row>
    <row r="145" customFormat="false" ht="14.25" hidden="false" customHeight="false" outlineLevel="0" collapsed="false">
      <c r="C145" s="6" t="s">
        <v>151</v>
      </c>
      <c r="D145" s="2" t="s">
        <v>3</v>
      </c>
      <c r="E145" s="47" t="n">
        <f aca="false">$H$379</f>
        <v>2.18972555710294</v>
      </c>
      <c r="F145" s="47" t="n">
        <f aca="false">$H$422</f>
        <v>2.29945255944663</v>
      </c>
      <c r="G145" s="47" t="n">
        <f aca="false">$H$465</f>
        <v>2.29945255944663</v>
      </c>
      <c r="H145" s="47"/>
    </row>
    <row r="150" customFormat="false" ht="14.25" hidden="false" customHeight="false" outlineLevel="0" collapsed="false">
      <c r="B150" s="4" t="s">
        <v>3</v>
      </c>
      <c r="C150" s="4" t="s">
        <v>152</v>
      </c>
      <c r="D150" s="4"/>
      <c r="E150" s="5"/>
      <c r="F150" s="5"/>
      <c r="G150" s="5"/>
      <c r="H150" s="5" t="s">
        <v>8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 customFormat="false" ht="14.25" hidden="false" customHeight="false" outlineLevel="0" collapsed="false">
      <c r="C151" s="6" t="s">
        <v>153</v>
      </c>
      <c r="D151" s="2" t="s">
        <v>154</v>
      </c>
      <c r="J151" s="53" t="n">
        <f aca="false">J339</f>
        <v>2026</v>
      </c>
      <c r="K151" s="53" t="n">
        <f aca="false">K339</f>
        <v>2027</v>
      </c>
      <c r="L151" s="53" t="n">
        <f aca="false">L339</f>
        <v>2028</v>
      </c>
      <c r="M151" s="53" t="n">
        <f aca="false">M339</f>
        <v>2029</v>
      </c>
      <c r="N151" s="53" t="n">
        <f aca="false">N339</f>
        <v>2030</v>
      </c>
      <c r="O151" s="53" t="n">
        <f aca="false">O339</f>
        <v>2031</v>
      </c>
      <c r="P151" s="53" t="n">
        <f aca="false">P339</f>
        <v>2032</v>
      </c>
      <c r="Q151" s="53" t="n">
        <f aca="false">Q339</f>
        <v>2033</v>
      </c>
      <c r="R151" s="53" t="n">
        <f aca="false">R339</f>
        <v>2034</v>
      </c>
      <c r="S151" s="53" t="n">
        <f aca="false">S339</f>
        <v>2035</v>
      </c>
      <c r="T151" s="53" t="n">
        <f aca="false">T339</f>
        <v>2036</v>
      </c>
      <c r="U151" s="53" t="n">
        <f aca="false">U339</f>
        <v>2037</v>
      </c>
      <c r="V151" s="53" t="n">
        <f aca="false">V339</f>
        <v>2038</v>
      </c>
      <c r="W151" s="53" t="n">
        <f aca="false">W339</f>
        <v>2039</v>
      </c>
      <c r="X151" s="53" t="n">
        <f aca="false">X339</f>
        <v>2040</v>
      </c>
      <c r="Y151" s="53" t="n">
        <f aca="false">Y339</f>
        <v>2041</v>
      </c>
      <c r="Z151" s="53" t="n">
        <f aca="false">Z339</f>
        <v>2042</v>
      </c>
      <c r="AA151" s="53" t="n">
        <f aca="false">AA339</f>
        <v>2043</v>
      </c>
      <c r="AB151" s="53" t="n">
        <f aca="false">AB339</f>
        <v>2044</v>
      </c>
      <c r="AC151" s="53" t="n">
        <f aca="false">AC339</f>
        <v>2045</v>
      </c>
      <c r="AD151" s="53" t="n">
        <f aca="false">AD339</f>
        <v>2046</v>
      </c>
      <c r="AE151" s="53" t="n">
        <f aca="false">AE339</f>
        <v>2047</v>
      </c>
      <c r="AF151" s="53" t="n">
        <f aca="false">AF339</f>
        <v>2048</v>
      </c>
      <c r="AG151" s="53" t="n">
        <f aca="false">AG339</f>
        <v>2049</v>
      </c>
      <c r="AH151" s="53" t="n">
        <f aca="false">AH339</f>
        <v>2050</v>
      </c>
      <c r="AI151" s="53" t="n">
        <f aca="false">AI339</f>
        <v>2051</v>
      </c>
      <c r="AJ151" s="53" t="n">
        <f aca="false">AJ339</f>
        <v>2052</v>
      </c>
      <c r="AK151" s="53" t="n">
        <f aca="false">AK339</f>
        <v>2053</v>
      </c>
      <c r="AL151" s="53" t="n">
        <f aca="false">AL339</f>
        <v>2054</v>
      </c>
      <c r="AM151" s="53" t="n">
        <f aca="false">AM339</f>
        <v>2055</v>
      </c>
      <c r="AN151" s="53" t="n">
        <f aca="false">AN339</f>
        <v>2056</v>
      </c>
      <c r="AO151" s="53" t="n">
        <f aca="false">AO339</f>
        <v>2057</v>
      </c>
      <c r="AP151" s="53" t="n">
        <f aca="false">AP339</f>
        <v>2058</v>
      </c>
      <c r="AQ151" s="53" t="n">
        <f aca="false">AQ339</f>
        <v>2059</v>
      </c>
      <c r="AR151" s="53" t="n">
        <f aca="false">AR339</f>
        <v>2060</v>
      </c>
      <c r="AS151" s="53" t="n">
        <f aca="false">AS339</f>
        <v>2061</v>
      </c>
    </row>
    <row r="153" customFormat="false" ht="14.25" hidden="false" customHeight="false" outlineLevel="0" collapsed="false">
      <c r="C153" s="42" t="s">
        <v>5</v>
      </c>
      <c r="D153" s="42"/>
      <c r="E153" s="43"/>
      <c r="F153" s="43"/>
      <c r="G153" s="43"/>
      <c r="H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</row>
    <row r="154" customFormat="false" ht="14.25" hidden="false" customHeight="false" outlineLevel="0" collapsed="false">
      <c r="C154" s="6" t="s">
        <v>155</v>
      </c>
      <c r="D154" s="2" t="s">
        <v>85</v>
      </c>
      <c r="H154" s="8" t="n">
        <f aca="false">SUM(J154:AS154)</f>
        <v>-72091.9337726027</v>
      </c>
      <c r="J154" s="8" t="n">
        <f aca="false">J353</f>
        <v>0</v>
      </c>
      <c r="K154" s="8" t="n">
        <f aca="false">K353</f>
        <v>0</v>
      </c>
      <c r="L154" s="8" t="n">
        <f aca="false">L353</f>
        <v>0</v>
      </c>
      <c r="M154" s="8" t="n">
        <f aca="false">M353</f>
        <v>-33450.8995260274</v>
      </c>
      <c r="N154" s="8" t="n">
        <f aca="false">N353</f>
        <v>-26389</v>
      </c>
      <c r="O154" s="8" t="n">
        <f aca="false">O353</f>
        <v>-14194.5</v>
      </c>
      <c r="P154" s="8" t="n">
        <f aca="false">P353</f>
        <v>0</v>
      </c>
      <c r="Q154" s="8" t="n">
        <f aca="false">Q353</f>
        <v>1942.46575342466</v>
      </c>
      <c r="R154" s="8" t="n">
        <f aca="false">R353</f>
        <v>0</v>
      </c>
      <c r="S154" s="8" t="n">
        <f aca="false">S353</f>
        <v>0</v>
      </c>
      <c r="T154" s="8" t="n">
        <f aca="false">T353</f>
        <v>0</v>
      </c>
      <c r="U154" s="8" t="n">
        <f aca="false">U353</f>
        <v>0</v>
      </c>
      <c r="V154" s="8" t="n">
        <f aca="false">V353</f>
        <v>0</v>
      </c>
      <c r="W154" s="8" t="n">
        <f aca="false">W353</f>
        <v>0</v>
      </c>
      <c r="X154" s="8" t="n">
        <f aca="false">X353</f>
        <v>0</v>
      </c>
      <c r="Y154" s="8" t="n">
        <f aca="false">Y353</f>
        <v>0</v>
      </c>
      <c r="Z154" s="8" t="n">
        <f aca="false">Z353</f>
        <v>0</v>
      </c>
      <c r="AA154" s="8" t="n">
        <f aca="false">AA353</f>
        <v>0</v>
      </c>
      <c r="AB154" s="8" t="n">
        <f aca="false">AB353</f>
        <v>0</v>
      </c>
      <c r="AC154" s="8" t="n">
        <f aca="false">AC353</f>
        <v>0</v>
      </c>
      <c r="AD154" s="8" t="n">
        <f aca="false">AD353</f>
        <v>0</v>
      </c>
      <c r="AE154" s="8" t="n">
        <f aca="false">AE353</f>
        <v>0</v>
      </c>
      <c r="AF154" s="8" t="n">
        <f aca="false">AF353</f>
        <v>0</v>
      </c>
      <c r="AG154" s="8" t="n">
        <f aca="false">AG353</f>
        <v>0</v>
      </c>
      <c r="AH154" s="8" t="n">
        <f aca="false">AH353</f>
        <v>0</v>
      </c>
      <c r="AI154" s="8" t="n">
        <f aca="false">AI353</f>
        <v>0</v>
      </c>
      <c r="AJ154" s="8" t="n">
        <f aca="false">AJ353</f>
        <v>0</v>
      </c>
      <c r="AK154" s="8" t="n">
        <f aca="false">AK353</f>
        <v>0</v>
      </c>
      <c r="AL154" s="8" t="n">
        <f aca="false">AL353</f>
        <v>0</v>
      </c>
      <c r="AM154" s="8" t="n">
        <f aca="false">AM353</f>
        <v>0</v>
      </c>
      <c r="AN154" s="8" t="n">
        <f aca="false">AN353</f>
        <v>0</v>
      </c>
      <c r="AO154" s="8" t="n">
        <f aca="false">AO353</f>
        <v>0</v>
      </c>
      <c r="AP154" s="8" t="n">
        <f aca="false">AP353</f>
        <v>0</v>
      </c>
      <c r="AQ154" s="8" t="n">
        <f aca="false">AQ353</f>
        <v>0</v>
      </c>
      <c r="AR154" s="8" t="n">
        <f aca="false">AR353</f>
        <v>0</v>
      </c>
      <c r="AS154" s="8" t="n">
        <f aca="false">AS353</f>
        <v>0</v>
      </c>
    </row>
    <row r="155" customFormat="false" ht="14.25" hidden="false" customHeight="false" outlineLevel="0" collapsed="false">
      <c r="C155" s="6" t="s">
        <v>156</v>
      </c>
      <c r="D155" s="2" t="s">
        <v>85</v>
      </c>
      <c r="H155" s="8" t="n">
        <f aca="false">SUM(J155:AS155)</f>
        <v>382397.730625247</v>
      </c>
      <c r="J155" s="8" t="n">
        <f aca="false">J357</f>
        <v>0</v>
      </c>
      <c r="K155" s="8" t="n">
        <f aca="false">K357</f>
        <v>0</v>
      </c>
      <c r="L155" s="8" t="n">
        <f aca="false">L357</f>
        <v>0</v>
      </c>
      <c r="M155" s="8" t="n">
        <f aca="false">M357</f>
        <v>0</v>
      </c>
      <c r="N155" s="8" t="n">
        <f aca="false">N357</f>
        <v>0</v>
      </c>
      <c r="O155" s="8" t="n">
        <f aca="false">O357</f>
        <v>5715.36</v>
      </c>
      <c r="P155" s="8" t="n">
        <f aca="false">P357</f>
        <v>11545.0272</v>
      </c>
      <c r="Q155" s="8" t="n">
        <f aca="false">Q357</f>
        <v>11625.496039584</v>
      </c>
      <c r="R155" s="8" t="n">
        <f aca="false">R357</f>
        <v>11706.5257469799</v>
      </c>
      <c r="S155" s="8" t="n">
        <f aca="false">S357</f>
        <v>11788.1202314363</v>
      </c>
      <c r="T155" s="8" t="n">
        <f aca="false">T357</f>
        <v>11870.2834294495</v>
      </c>
      <c r="U155" s="8" t="n">
        <f aca="false">U357</f>
        <v>11953.0193049527</v>
      </c>
      <c r="V155" s="8" t="n">
        <f aca="false">V357</f>
        <v>12036.3318495082</v>
      </c>
      <c r="W155" s="8" t="n">
        <f aca="false">W357</f>
        <v>12120.2250824993</v>
      </c>
      <c r="X155" s="8" t="n">
        <f aca="false">X357</f>
        <v>12204.7030513243</v>
      </c>
      <c r="Y155" s="8" t="n">
        <f aca="false">Y357</f>
        <v>12289.7698315921</v>
      </c>
      <c r="Z155" s="8" t="n">
        <f aca="false">Z357</f>
        <v>12375.4295273183</v>
      </c>
      <c r="AA155" s="8" t="n">
        <f aca="false">AA357</f>
        <v>12461.6862711237</v>
      </c>
      <c r="AB155" s="8" t="n">
        <f aca="false">AB357</f>
        <v>12548.5442244334</v>
      </c>
      <c r="AC155" s="8" t="n">
        <f aca="false">AC357</f>
        <v>12636.0075776777</v>
      </c>
      <c r="AD155" s="8" t="n">
        <f aca="false">AD357</f>
        <v>12724.0805504941</v>
      </c>
      <c r="AE155" s="8" t="n">
        <f aca="false">AE357</f>
        <v>12812.7673919311</v>
      </c>
      <c r="AF155" s="8" t="n">
        <f aca="false">AF357</f>
        <v>12902.0723806528</v>
      </c>
      <c r="AG155" s="8" t="n">
        <f aca="false">AG357</f>
        <v>12991.999825146</v>
      </c>
      <c r="AH155" s="8" t="n">
        <f aca="false">AH357</f>
        <v>13082.5540639272</v>
      </c>
      <c r="AI155" s="8" t="n">
        <f aca="false">AI357</f>
        <v>13173.7394657528</v>
      </c>
      <c r="AJ155" s="8" t="n">
        <f aca="false">AJ357</f>
        <v>13265.5604298291</v>
      </c>
      <c r="AK155" s="8" t="n">
        <f aca="false">AK357</f>
        <v>13358.021386025</v>
      </c>
      <c r="AL155" s="8" t="n">
        <f aca="false">AL357</f>
        <v>13451.1267950856</v>
      </c>
      <c r="AM155" s="8" t="n">
        <f aca="false">AM357</f>
        <v>13544.8811488474</v>
      </c>
      <c r="AN155" s="8" t="n">
        <f aca="false">AN357</f>
        <v>13639.2889704548</v>
      </c>
      <c r="AO155" s="8" t="n">
        <f aca="false">AO357</f>
        <v>13734.3548145789</v>
      </c>
      <c r="AP155" s="8" t="n">
        <f aca="false">AP357</f>
        <v>13830.0832676365</v>
      </c>
      <c r="AQ155" s="8" t="n">
        <f aca="false">AQ357</f>
        <v>13926.4789480119</v>
      </c>
      <c r="AR155" s="8" t="n">
        <f aca="false">AR357</f>
        <v>14023.5465062796</v>
      </c>
      <c r="AS155" s="8" t="n">
        <f aca="false">AS357</f>
        <v>7060.64531271418</v>
      </c>
    </row>
    <row r="156" customFormat="false" ht="14.25" hidden="false" customHeight="false" outlineLevel="0" collapsed="false">
      <c r="C156" s="6" t="s">
        <v>157</v>
      </c>
      <c r="D156" s="2" t="s">
        <v>85</v>
      </c>
      <c r="H156" s="8" t="n">
        <f aca="false">SUM(J156:AS156)</f>
        <v>-101080.469164597</v>
      </c>
      <c r="J156" s="8" t="n">
        <f aca="false">J366</f>
        <v>0</v>
      </c>
      <c r="K156" s="8" t="n">
        <f aca="false">K366</f>
        <v>0</v>
      </c>
      <c r="L156" s="8" t="n">
        <f aca="false">L366</f>
        <v>0</v>
      </c>
      <c r="M156" s="8" t="n">
        <f aca="false">M366</f>
        <v>0</v>
      </c>
      <c r="N156" s="8" t="n">
        <f aca="false">N366</f>
        <v>0</v>
      </c>
      <c r="O156" s="8" t="n">
        <f aca="false">O366</f>
        <v>-1182.141828</v>
      </c>
      <c r="P156" s="8" t="n">
        <f aca="false">P366</f>
        <v>-2419.78149756</v>
      </c>
      <c r="Q156" s="8" t="n">
        <f aca="false">Q366</f>
        <v>-2473.79268847324</v>
      </c>
      <c r="R156" s="8" t="n">
        <f aca="false">R366</f>
        <v>-2529.07754013253</v>
      </c>
      <c r="S156" s="8" t="n">
        <f aca="false">S366</f>
        <v>-2585.66667091693</v>
      </c>
      <c r="T156" s="8" t="n">
        <f aca="false">T366</f>
        <v>-2643.59144103106</v>
      </c>
      <c r="U156" s="8" t="n">
        <f aca="false">U366</f>
        <v>-2702.88397055478</v>
      </c>
      <c r="V156" s="8" t="n">
        <f aca="false">V366</f>
        <v>-2763.57715793331</v>
      </c>
      <c r="W156" s="8" t="n">
        <f aca="false">W366</f>
        <v>-2825.70469891879</v>
      </c>
      <c r="X156" s="8" t="n">
        <f aca="false">X366</f>
        <v>-2889.30110597403</v>
      </c>
      <c r="Y156" s="8" t="n">
        <f aca="false">Y366</f>
        <v>-2954.40172814999</v>
      </c>
      <c r="Z156" s="8" t="n">
        <f aca="false">Z366</f>
        <v>-3021.04277144858</v>
      </c>
      <c r="AA156" s="8" t="n">
        <f aca="false">AA366</f>
        <v>-3089.26131968243</v>
      </c>
      <c r="AB156" s="8" t="n">
        <f aca="false">AB366</f>
        <v>-3159.09535584409</v>
      </c>
      <c r="AC156" s="8" t="n">
        <f aca="false">AC366</f>
        <v>-3230.58378399692</v>
      </c>
      <c r="AD156" s="8" t="n">
        <f aca="false">AD366</f>
        <v>-3303.76645170053</v>
      </c>
      <c r="AE156" s="8" t="n">
        <f aca="false">AE366</f>
        <v>-3378.68417298384</v>
      </c>
      <c r="AF156" s="8" t="n">
        <f aca="false">AF366</f>
        <v>-3455.37875187918</v>
      </c>
      <c r="AG156" s="8" t="n">
        <f aca="false">AG366</f>
        <v>-3533.89300653108</v>
      </c>
      <c r="AH156" s="8" t="n">
        <f aca="false">AH366</f>
        <v>-3614.27079389397</v>
      </c>
      <c r="AI156" s="8" t="n">
        <f aca="false">AI366</f>
        <v>-3696.55703503309</v>
      </c>
      <c r="AJ156" s="8" t="n">
        <f aca="false">AJ366</f>
        <v>-3780.79774104342</v>
      </c>
      <c r="AK156" s="8" t="n">
        <f aca="false">AK366</f>
        <v>-3867.04003960174</v>
      </c>
      <c r="AL156" s="8" t="n">
        <f aca="false">AL366</f>
        <v>-3955.33220216742</v>
      </c>
      <c r="AM156" s="8" t="n">
        <f aca="false">AM366</f>
        <v>-4045.72367184764</v>
      </c>
      <c r="AN156" s="8" t="n">
        <f aca="false">AN366</f>
        <v>-4138.26509194355</v>
      </c>
      <c r="AO156" s="8" t="n">
        <f aca="false">AO366</f>
        <v>-4233.00833519381</v>
      </c>
      <c r="AP156" s="8" t="n">
        <f aca="false">AP366</f>
        <v>-4330.00653373281</v>
      </c>
      <c r="AQ156" s="8" t="n">
        <f aca="false">AQ366</f>
        <v>-4429.31410978088</v>
      </c>
      <c r="AR156" s="8" t="n">
        <f aca="false">AR366</f>
        <v>-4530.98680708456</v>
      </c>
      <c r="AS156" s="8" t="n">
        <f aca="false">AS366</f>
        <v>-2317.54086156264</v>
      </c>
    </row>
    <row r="157" customFormat="false" ht="14.25" hidden="false" customHeight="false" outlineLevel="0" collapsed="false">
      <c r="C157" s="6" t="s">
        <v>158</v>
      </c>
      <c r="D157" s="2" t="s">
        <v>85</v>
      </c>
      <c r="H157" s="8" t="n">
        <f aca="false">SUM(J157:AS157)</f>
        <v>281317.26146065</v>
      </c>
      <c r="J157" s="8" t="n">
        <f aca="false">J367</f>
        <v>0</v>
      </c>
      <c r="K157" s="8" t="n">
        <f aca="false">K367</f>
        <v>0</v>
      </c>
      <c r="L157" s="8" t="n">
        <f aca="false">L367</f>
        <v>0</v>
      </c>
      <c r="M157" s="8" t="n">
        <f aca="false">M367</f>
        <v>0</v>
      </c>
      <c r="N157" s="8" t="n">
        <f aca="false">N367</f>
        <v>0</v>
      </c>
      <c r="O157" s="8" t="n">
        <f aca="false">O367</f>
        <v>4533.218172</v>
      </c>
      <c r="P157" s="8" t="n">
        <f aca="false">P367</f>
        <v>9125.24570244</v>
      </c>
      <c r="Q157" s="8" t="n">
        <f aca="false">Q367</f>
        <v>9151.70335111076</v>
      </c>
      <c r="R157" s="8" t="n">
        <f aca="false">R367</f>
        <v>9177.44820684737</v>
      </c>
      <c r="S157" s="8" t="n">
        <f aca="false">S367</f>
        <v>9202.45356051942</v>
      </c>
      <c r="T157" s="8" t="n">
        <f aca="false">T367</f>
        <v>9226.6919884184</v>
      </c>
      <c r="U157" s="8" t="n">
        <f aca="false">U367</f>
        <v>9250.13533439795</v>
      </c>
      <c r="V157" s="8" t="n">
        <f aca="false">V367</f>
        <v>9272.75469157493</v>
      </c>
      <c r="W157" s="8" t="n">
        <f aca="false">W367</f>
        <v>9294.52038358052</v>
      </c>
      <c r="X157" s="8" t="n">
        <f aca="false">X367</f>
        <v>9315.40194535031</v>
      </c>
      <c r="Y157" s="8" t="n">
        <f aca="false">Y367</f>
        <v>9335.36810344208</v>
      </c>
      <c r="Z157" s="8" t="n">
        <f aca="false">Z367</f>
        <v>9354.38675586968</v>
      </c>
      <c r="AA157" s="8" t="n">
        <f aca="false">AA367</f>
        <v>9372.42495144124</v>
      </c>
      <c r="AB157" s="8" t="n">
        <f aca="false">AB367</f>
        <v>9389.44886858932</v>
      </c>
      <c r="AC157" s="8" t="n">
        <f aca="false">AC367</f>
        <v>9405.42379368079</v>
      </c>
      <c r="AD157" s="8" t="n">
        <f aca="false">AD367</f>
        <v>9420.31409879359</v>
      </c>
      <c r="AE157" s="8" t="n">
        <f aca="false">AE367</f>
        <v>9434.08321894722</v>
      </c>
      <c r="AF157" s="8" t="n">
        <f aca="false">AF367</f>
        <v>9446.69362877364</v>
      </c>
      <c r="AG157" s="8" t="n">
        <f aca="false">AG367</f>
        <v>9458.1068186149</v>
      </c>
      <c r="AH157" s="8" t="n">
        <f aca="false">AH367</f>
        <v>9468.28327003328</v>
      </c>
      <c r="AI157" s="8" t="n">
        <f aca="false">AI367</f>
        <v>9477.18243071973</v>
      </c>
      <c r="AJ157" s="8" t="n">
        <f aca="false">AJ367</f>
        <v>9484.7626887857</v>
      </c>
      <c r="AK157" s="8" t="n">
        <f aca="false">AK367</f>
        <v>9490.98134642328</v>
      </c>
      <c r="AL157" s="8" t="n">
        <f aca="false">AL367</f>
        <v>9495.7945929182</v>
      </c>
      <c r="AM157" s="8" t="n">
        <f aca="false">AM367</f>
        <v>9499.15747699973</v>
      </c>
      <c r="AN157" s="8" t="n">
        <f aca="false">AN367</f>
        <v>9501.02387851128</v>
      </c>
      <c r="AO157" s="8" t="n">
        <f aca="false">AO367</f>
        <v>9501.34647938509</v>
      </c>
      <c r="AP157" s="8" t="n">
        <f aca="false">AP367</f>
        <v>9500.07673390371</v>
      </c>
      <c r="AQ157" s="8" t="n">
        <f aca="false">AQ367</f>
        <v>9497.16483823106</v>
      </c>
      <c r="AR157" s="8" t="n">
        <f aca="false">AR367</f>
        <v>9492.55969919502</v>
      </c>
      <c r="AS157" s="8" t="n">
        <f aca="false">AS367</f>
        <v>4743.10445115153</v>
      </c>
    </row>
    <row r="158" customFormat="false" ht="14.25" hidden="false" customHeight="false" outlineLevel="0" collapsed="false">
      <c r="C158" s="1" t="s">
        <v>159</v>
      </c>
      <c r="D158" s="2" t="s">
        <v>85</v>
      </c>
      <c r="H158" s="15" t="n">
        <f aca="false">SUM(J158:AS158)</f>
        <v>209225.327688047</v>
      </c>
      <c r="J158" s="15" t="n">
        <f aca="false">J368</f>
        <v>0</v>
      </c>
      <c r="K158" s="15" t="n">
        <f aca="false">K368</f>
        <v>0</v>
      </c>
      <c r="L158" s="15" t="n">
        <f aca="false">L368</f>
        <v>0</v>
      </c>
      <c r="M158" s="15" t="n">
        <f aca="false">M368</f>
        <v>-33450.8995260274</v>
      </c>
      <c r="N158" s="15" t="n">
        <f aca="false">N368</f>
        <v>-26389</v>
      </c>
      <c r="O158" s="15" t="n">
        <f aca="false">O368</f>
        <v>-9661.281828</v>
      </c>
      <c r="P158" s="15" t="n">
        <f aca="false">P368</f>
        <v>9125.24570244</v>
      </c>
      <c r="Q158" s="15" t="n">
        <f aca="false">Q368</f>
        <v>11094.1691045354</v>
      </c>
      <c r="R158" s="15" t="n">
        <f aca="false">R368</f>
        <v>9177.44820684737</v>
      </c>
      <c r="S158" s="15" t="n">
        <f aca="false">S368</f>
        <v>9202.45356051942</v>
      </c>
      <c r="T158" s="15" t="n">
        <f aca="false">T368</f>
        <v>9226.6919884184</v>
      </c>
      <c r="U158" s="15" t="n">
        <f aca="false">U368</f>
        <v>9250.13533439795</v>
      </c>
      <c r="V158" s="15" t="n">
        <f aca="false">V368</f>
        <v>9272.75469157493</v>
      </c>
      <c r="W158" s="15" t="n">
        <f aca="false">W368</f>
        <v>9294.52038358052</v>
      </c>
      <c r="X158" s="15" t="n">
        <f aca="false">X368</f>
        <v>9315.40194535031</v>
      </c>
      <c r="Y158" s="15" t="n">
        <f aca="false">Y368</f>
        <v>9335.36810344208</v>
      </c>
      <c r="Z158" s="15" t="n">
        <f aca="false">Z368</f>
        <v>9354.38675586968</v>
      </c>
      <c r="AA158" s="15" t="n">
        <f aca="false">AA368</f>
        <v>9372.42495144124</v>
      </c>
      <c r="AB158" s="15" t="n">
        <f aca="false">AB368</f>
        <v>9389.44886858932</v>
      </c>
      <c r="AC158" s="15" t="n">
        <f aca="false">AC368</f>
        <v>9405.42379368079</v>
      </c>
      <c r="AD158" s="15" t="n">
        <f aca="false">AD368</f>
        <v>9420.31409879359</v>
      </c>
      <c r="AE158" s="15" t="n">
        <f aca="false">AE368</f>
        <v>9434.08321894722</v>
      </c>
      <c r="AF158" s="15" t="n">
        <f aca="false">AF368</f>
        <v>9446.69362877364</v>
      </c>
      <c r="AG158" s="15" t="n">
        <f aca="false">AG368</f>
        <v>9458.1068186149</v>
      </c>
      <c r="AH158" s="15" t="n">
        <f aca="false">AH368</f>
        <v>9468.28327003328</v>
      </c>
      <c r="AI158" s="15" t="n">
        <f aca="false">AI368</f>
        <v>9477.18243071973</v>
      </c>
      <c r="AJ158" s="15" t="n">
        <f aca="false">AJ368</f>
        <v>9484.7626887857</v>
      </c>
      <c r="AK158" s="15" t="n">
        <f aca="false">AK368</f>
        <v>9490.98134642328</v>
      </c>
      <c r="AL158" s="15" t="n">
        <f aca="false">AL368</f>
        <v>9495.7945929182</v>
      </c>
      <c r="AM158" s="15" t="n">
        <f aca="false">AM368</f>
        <v>9499.15747699973</v>
      </c>
      <c r="AN158" s="15" t="n">
        <f aca="false">AN368</f>
        <v>9501.02387851128</v>
      </c>
      <c r="AO158" s="15" t="n">
        <f aca="false">AO368</f>
        <v>9501.34647938509</v>
      </c>
      <c r="AP158" s="15" t="n">
        <f aca="false">AP368</f>
        <v>9500.07673390371</v>
      </c>
      <c r="AQ158" s="15" t="n">
        <f aca="false">AQ368</f>
        <v>9497.16483823106</v>
      </c>
      <c r="AR158" s="15" t="n">
        <f aca="false">AR368</f>
        <v>9492.55969919502</v>
      </c>
      <c r="AS158" s="15" t="n">
        <f aca="false">AS368</f>
        <v>4743.10445115153</v>
      </c>
    </row>
    <row r="159" customFormat="false" ht="14.25" hidden="false" customHeight="false" outlineLevel="0" collapsed="false">
      <c r="C159" s="1" t="s">
        <v>160</v>
      </c>
      <c r="D159" s="2" t="s">
        <v>85</v>
      </c>
      <c r="H159" s="15" t="n">
        <f aca="false">SUM(J159:AS159)</f>
        <v>177841.52853484</v>
      </c>
      <c r="J159" s="15" t="n">
        <f aca="false">J371</f>
        <v>0</v>
      </c>
      <c r="K159" s="15" t="n">
        <f aca="false">K371</f>
        <v>0</v>
      </c>
      <c r="L159" s="15" t="n">
        <f aca="false">L371</f>
        <v>0</v>
      </c>
      <c r="M159" s="15" t="n">
        <f aca="false">M371</f>
        <v>-33450.8995260274</v>
      </c>
      <c r="N159" s="15" t="n">
        <f aca="false">N371</f>
        <v>-26389</v>
      </c>
      <c r="O159" s="15" t="n">
        <f aca="false">O371</f>
        <v>-9800.57505050548</v>
      </c>
      <c r="P159" s="15" t="n">
        <f aca="false">P371</f>
        <v>8297.14835036852</v>
      </c>
      <c r="Q159" s="15" t="n">
        <f aca="false">Q371</f>
        <v>10262.1031051633</v>
      </c>
      <c r="R159" s="15" t="n">
        <f aca="false">R371</f>
        <v>8341.52047911478</v>
      </c>
      <c r="S159" s="15" t="n">
        <f aca="false">S371</f>
        <v>8362.77502973603</v>
      </c>
      <c r="T159" s="15" t="n">
        <f aca="false">T371</f>
        <v>8383.37769345016</v>
      </c>
      <c r="U159" s="15" t="n">
        <f aca="false">U371</f>
        <v>8403.30453753278</v>
      </c>
      <c r="V159" s="15" t="n">
        <f aca="false">V371</f>
        <v>8422.53099113321</v>
      </c>
      <c r="W159" s="15" t="n">
        <f aca="false">W371</f>
        <v>8441.03182933797</v>
      </c>
      <c r="X159" s="15" t="n">
        <f aca="false">X371</f>
        <v>8458.78115684229</v>
      </c>
      <c r="Y159" s="15" t="n">
        <f aca="false">Y371</f>
        <v>8475.75239122029</v>
      </c>
      <c r="Z159" s="15" t="n">
        <f aca="false">Z371</f>
        <v>8491.91824578375</v>
      </c>
      <c r="AA159" s="15" t="n">
        <f aca="false">AA371</f>
        <v>8507.25071201958</v>
      </c>
      <c r="AB159" s="15" t="n">
        <f aca="false">AB371</f>
        <v>8521.72104159544</v>
      </c>
      <c r="AC159" s="15" t="n">
        <f aca="false">AC371</f>
        <v>8535.29972792319</v>
      </c>
      <c r="AD159" s="15" t="n">
        <f aca="false">AD371</f>
        <v>8547.95648726908</v>
      </c>
      <c r="AE159" s="15" t="n">
        <f aca="false">AE371</f>
        <v>8559.66023939966</v>
      </c>
      <c r="AF159" s="15" t="n">
        <f aca="false">AF371</f>
        <v>8570.37908775212</v>
      </c>
      <c r="AG159" s="15" t="n">
        <f aca="false">AG371</f>
        <v>8580.08029911718</v>
      </c>
      <c r="AH159" s="15" t="n">
        <f aca="false">AH371</f>
        <v>8588.7302828228</v>
      </c>
      <c r="AI159" s="15" t="n">
        <f aca="false">AI371</f>
        <v>8055.60506611177</v>
      </c>
      <c r="AJ159" s="15" t="n">
        <f aca="false">AJ371</f>
        <v>8062.04828546784</v>
      </c>
      <c r="AK159" s="15" t="n">
        <f aca="false">AK371</f>
        <v>8067.33414445979</v>
      </c>
      <c r="AL159" s="15" t="n">
        <f aca="false">AL371</f>
        <v>8071.42540398047</v>
      </c>
      <c r="AM159" s="15" t="n">
        <f aca="false">AM371</f>
        <v>8074.28385544977</v>
      </c>
      <c r="AN159" s="15" t="n">
        <f aca="false">AN371</f>
        <v>8075.87029673459</v>
      </c>
      <c r="AO159" s="15" t="n">
        <f aca="false">AO371</f>
        <v>8076.14450747733</v>
      </c>
      <c r="AP159" s="15" t="n">
        <f aca="false">AP371</f>
        <v>8075.06522381815</v>
      </c>
      <c r="AQ159" s="15" t="n">
        <f aca="false">AQ371</f>
        <v>8072.5901124964</v>
      </c>
      <c r="AR159" s="15" t="n">
        <f aca="false">AR371</f>
        <v>8068.67574431577</v>
      </c>
      <c r="AS159" s="15" t="n">
        <f aca="false">AS371</f>
        <v>4031.6387834788</v>
      </c>
    </row>
    <row r="160" customFormat="false" ht="14.25" hidden="false" customHeight="false" outlineLevel="0" collapsed="false">
      <c r="C160" s="1" t="s">
        <v>161</v>
      </c>
      <c r="D160" s="2" t="s">
        <v>85</v>
      </c>
      <c r="H160" s="15" t="n">
        <f aca="false">SUM(J160:AS160)</f>
        <v>161475.325852493</v>
      </c>
      <c r="J160" s="15" t="n">
        <f aca="false">J378</f>
        <v>0</v>
      </c>
      <c r="K160" s="15" t="n">
        <f aca="false">K378</f>
        <v>0</v>
      </c>
      <c r="L160" s="15" t="n">
        <f aca="false">L378</f>
        <v>0</v>
      </c>
      <c r="M160" s="15" t="n">
        <f aca="false">M378</f>
        <v>-33450.8995260274</v>
      </c>
      <c r="N160" s="15" t="n">
        <f aca="false">N378</f>
        <v>-26389</v>
      </c>
      <c r="O160" s="15" t="n">
        <f aca="false">O378</f>
        <v>33454.5852130562</v>
      </c>
      <c r="P160" s="15" t="n">
        <f aca="false">P378</f>
        <v>4454.26096164922</v>
      </c>
      <c r="Q160" s="15" t="n">
        <f aca="false">Q378</f>
        <v>6404.18164336263</v>
      </c>
      <c r="R160" s="15" t="n">
        <f aca="false">R378</f>
        <v>4467.81324057864</v>
      </c>
      <c r="S160" s="15" t="n">
        <f aca="false">S378</f>
        <v>4472.49272562766</v>
      </c>
      <c r="T160" s="15" t="n">
        <f aca="false">T378</f>
        <v>4475.69157049095</v>
      </c>
      <c r="U160" s="15" t="n">
        <f aca="false">U378</f>
        <v>4477.34440478019</v>
      </c>
      <c r="V160" s="15" t="n">
        <f aca="false">V378</f>
        <v>4477.38314809758</v>
      </c>
      <c r="W160" s="15" t="n">
        <f aca="false">W378</f>
        <v>4475.73689050513</v>
      </c>
      <c r="X160" s="15" t="n">
        <f aca="false">X378</f>
        <v>4472.33176742239</v>
      </c>
      <c r="Y160" s="15" t="n">
        <f aca="false">Y378</f>
        <v>4467.09082868398</v>
      </c>
      <c r="Z160" s="15" t="n">
        <f aca="false">Z378</f>
        <v>4459.93390147521</v>
      </c>
      <c r="AA160" s="15" t="n">
        <f aca="false">AA378</f>
        <v>4450.77744685018</v>
      </c>
      <c r="AB160" s="15" t="n">
        <f aca="false">AB378</f>
        <v>4439.53440952216</v>
      </c>
      <c r="AC160" s="15" t="n">
        <f aca="false">AC378</f>
        <v>4426.11406060083</v>
      </c>
      <c r="AD160" s="15" t="n">
        <f aca="false">AD378</f>
        <v>4410.42183293517</v>
      </c>
      <c r="AE160" s="15" t="n">
        <f aca="false">AE378</f>
        <v>8559.66023939966</v>
      </c>
      <c r="AF160" s="15" t="n">
        <f aca="false">AF378</f>
        <v>8570.37908775212</v>
      </c>
      <c r="AG160" s="15" t="n">
        <f aca="false">AG378</f>
        <v>8580.08029911718</v>
      </c>
      <c r="AH160" s="15" t="n">
        <f aca="false">AH378</f>
        <v>8588.7302828228</v>
      </c>
      <c r="AI160" s="15" t="n">
        <f aca="false">AI378</f>
        <v>8055.60506611177</v>
      </c>
      <c r="AJ160" s="15" t="n">
        <f aca="false">AJ378</f>
        <v>8062.04828546784</v>
      </c>
      <c r="AK160" s="15" t="n">
        <f aca="false">AK378</f>
        <v>8067.33414445979</v>
      </c>
      <c r="AL160" s="15" t="n">
        <f aca="false">AL378</f>
        <v>8071.42540398047</v>
      </c>
      <c r="AM160" s="15" t="n">
        <f aca="false">AM378</f>
        <v>8074.28385544977</v>
      </c>
      <c r="AN160" s="15" t="n">
        <f aca="false">AN378</f>
        <v>8075.87029673459</v>
      </c>
      <c r="AO160" s="15" t="n">
        <f aca="false">AO378</f>
        <v>8076.14450747733</v>
      </c>
      <c r="AP160" s="15" t="n">
        <f aca="false">AP378</f>
        <v>8075.06522381815</v>
      </c>
      <c r="AQ160" s="15" t="n">
        <f aca="false">AQ378</f>
        <v>8072.5901124964</v>
      </c>
      <c r="AR160" s="15" t="n">
        <f aca="false">AR378</f>
        <v>8068.67574431577</v>
      </c>
      <c r="AS160" s="15" t="n">
        <f aca="false">AS378</f>
        <v>4031.6387834788</v>
      </c>
    </row>
    <row r="161" customFormat="false" ht="14.25" hidden="false" customHeight="false" outlineLevel="0" collapsed="false">
      <c r="C161" s="6" t="s">
        <v>162</v>
      </c>
      <c r="D161" s="2" t="s">
        <v>85</v>
      </c>
      <c r="J161" s="8" t="n">
        <f aca="false">SUM($J158:J158)</f>
        <v>0</v>
      </c>
      <c r="K161" s="8" t="n">
        <f aca="false">SUM($J158:K158)</f>
        <v>0</v>
      </c>
      <c r="L161" s="8" t="n">
        <f aca="false">SUM($J158:L158)</f>
        <v>0</v>
      </c>
      <c r="M161" s="8" t="n">
        <f aca="false">SUM($J158:M158)</f>
        <v>-33450.8995260274</v>
      </c>
      <c r="N161" s="8" t="n">
        <f aca="false">SUM($J158:N158)</f>
        <v>-59839.8995260274</v>
      </c>
      <c r="O161" s="8" t="n">
        <f aca="false">SUM($J158:O158)</f>
        <v>-69501.1813540274</v>
      </c>
      <c r="P161" s="8" t="n">
        <f aca="false">SUM($J158:P158)</f>
        <v>-60375.9356515874</v>
      </c>
      <c r="Q161" s="8" t="n">
        <f aca="false">SUM($J158:Q158)</f>
        <v>-49281.766547052</v>
      </c>
      <c r="R161" s="8" t="n">
        <f aca="false">SUM($J158:R158)</f>
        <v>-40104.3183402046</v>
      </c>
      <c r="S161" s="8" t="n">
        <f aca="false">SUM($J158:S158)</f>
        <v>-30901.8647796852</v>
      </c>
      <c r="T161" s="8" t="n">
        <f aca="false">SUM($J158:T158)</f>
        <v>-21675.1727912668</v>
      </c>
      <c r="U161" s="8" t="n">
        <f aca="false">SUM($J158:U158)</f>
        <v>-12425.0374568688</v>
      </c>
      <c r="V161" s="8" t="n">
        <f aca="false">SUM($J158:V158)</f>
        <v>-3152.28276529391</v>
      </c>
      <c r="W161" s="8" t="n">
        <f aca="false">SUM($J158:W158)</f>
        <v>6142.23761828661</v>
      </c>
      <c r="X161" s="8" t="n">
        <f aca="false">SUM($J158:X158)</f>
        <v>15457.6395636369</v>
      </c>
      <c r="Y161" s="8" t="n">
        <f aca="false">SUM($J158:Y158)</f>
        <v>24793.007667079</v>
      </c>
      <c r="Z161" s="8" t="n">
        <f aca="false">SUM($J158:Z158)</f>
        <v>34147.3944229487</v>
      </c>
      <c r="AA161" s="8" t="n">
        <f aca="false">SUM($J158:AA158)</f>
        <v>43519.8193743899</v>
      </c>
      <c r="AB161" s="8" t="n">
        <f aca="false">SUM($J158:AB158)</f>
        <v>52909.2682429792</v>
      </c>
      <c r="AC161" s="8" t="n">
        <f aca="false">SUM($J158:AC158)</f>
        <v>62314.69203666</v>
      </c>
      <c r="AD161" s="8" t="n">
        <f aca="false">SUM($J158:AD158)</f>
        <v>71735.0061354536</v>
      </c>
      <c r="AE161" s="8" t="n">
        <f aca="false">SUM($J158:AE158)</f>
        <v>81169.0893544008</v>
      </c>
      <c r="AF161" s="8" t="n">
        <f aca="false">SUM($J158:AF158)</f>
        <v>90615.7829831745</v>
      </c>
      <c r="AG161" s="8" t="n">
        <f aca="false">SUM($J158:AG158)</f>
        <v>100073.889801789</v>
      </c>
      <c r="AH161" s="8" t="n">
        <f aca="false">SUM($J158:AH158)</f>
        <v>109542.173071823</v>
      </c>
      <c r="AI161" s="8" t="n">
        <f aca="false">SUM($J158:AI158)</f>
        <v>119019.355502542</v>
      </c>
      <c r="AJ161" s="8" t="n">
        <f aca="false">SUM($J158:AJ158)</f>
        <v>128504.118191328</v>
      </c>
      <c r="AK161" s="8" t="n">
        <f aca="false">SUM($J158:AK158)</f>
        <v>137995.099537751</v>
      </c>
      <c r="AL161" s="8" t="n">
        <f aca="false">SUM($J158:AL158)</f>
        <v>147490.89413067</v>
      </c>
      <c r="AM161" s="8" t="n">
        <f aca="false">SUM($J158:AM158)</f>
        <v>156990.051607669</v>
      </c>
      <c r="AN161" s="8" t="n">
        <f aca="false">SUM($J158:AN158)</f>
        <v>166491.075486181</v>
      </c>
      <c r="AO161" s="8" t="n">
        <f aca="false">SUM($J158:AO158)</f>
        <v>175992.421965566</v>
      </c>
      <c r="AP161" s="8" t="n">
        <f aca="false">SUM($J158:AP158)</f>
        <v>185492.498699469</v>
      </c>
      <c r="AQ161" s="8" t="n">
        <f aca="false">SUM($J158:AQ158)</f>
        <v>194989.6635377</v>
      </c>
      <c r="AR161" s="8" t="n">
        <f aca="false">SUM($J158:AR158)</f>
        <v>204482.223236895</v>
      </c>
      <c r="AS161" s="8" t="n">
        <f aca="false">SUM($J158:AS158)</f>
        <v>209225.327688047</v>
      </c>
    </row>
    <row r="163" customFormat="false" ht="14.25" hidden="false" customHeight="false" outlineLevel="0" collapsed="false">
      <c r="C163" s="42" t="s">
        <v>6</v>
      </c>
      <c r="D163" s="42"/>
      <c r="E163" s="43"/>
      <c r="F163" s="43"/>
      <c r="G163" s="43"/>
      <c r="H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</row>
    <row r="164" customFormat="false" ht="14.25" hidden="false" customHeight="false" outlineLevel="0" collapsed="false">
      <c r="C164" s="6" t="s">
        <v>163</v>
      </c>
      <c r="D164" s="2" t="s">
        <v>85</v>
      </c>
      <c r="H164" s="8" t="n">
        <f aca="false">SUM(J164:AS164)</f>
        <v>-76800.0592465753</v>
      </c>
      <c r="J164" s="8" t="n">
        <f aca="false">J396</f>
        <v>0</v>
      </c>
      <c r="K164" s="8" t="n">
        <f aca="false">K396</f>
        <v>0</v>
      </c>
      <c r="L164" s="8" t="n">
        <f aca="false">L396</f>
        <v>0</v>
      </c>
      <c r="M164" s="8" t="n">
        <f aca="false">M396</f>
        <v>-29757.5797945206</v>
      </c>
      <c r="N164" s="8" t="n">
        <f aca="false">N396</f>
        <v>-31358</v>
      </c>
      <c r="O164" s="8" t="n">
        <f aca="false">O396</f>
        <v>-18179</v>
      </c>
      <c r="P164" s="8" t="n">
        <f aca="false">P396</f>
        <v>0</v>
      </c>
      <c r="Q164" s="8" t="n">
        <f aca="false">Q396</f>
        <v>2494.52054794521</v>
      </c>
      <c r="R164" s="8" t="n">
        <f aca="false">R396</f>
        <v>0</v>
      </c>
      <c r="S164" s="8" t="n">
        <f aca="false">S396</f>
        <v>0</v>
      </c>
      <c r="T164" s="8" t="n">
        <f aca="false">T396</f>
        <v>0</v>
      </c>
      <c r="U164" s="8" t="n">
        <f aca="false">U396</f>
        <v>0</v>
      </c>
      <c r="V164" s="8" t="n">
        <f aca="false">V396</f>
        <v>0</v>
      </c>
      <c r="W164" s="8" t="n">
        <f aca="false">W396</f>
        <v>0</v>
      </c>
      <c r="X164" s="8" t="n">
        <f aca="false">X396</f>
        <v>0</v>
      </c>
      <c r="Y164" s="8" t="n">
        <f aca="false">Y396</f>
        <v>0</v>
      </c>
      <c r="Z164" s="8" t="n">
        <f aca="false">Z396</f>
        <v>0</v>
      </c>
      <c r="AA164" s="8" t="n">
        <f aca="false">AA396</f>
        <v>0</v>
      </c>
      <c r="AB164" s="8" t="n">
        <f aca="false">AB396</f>
        <v>0</v>
      </c>
      <c r="AC164" s="8" t="n">
        <f aca="false">AC396</f>
        <v>0</v>
      </c>
      <c r="AD164" s="8" t="n">
        <f aca="false">AD396</f>
        <v>0</v>
      </c>
      <c r="AE164" s="8" t="n">
        <f aca="false">AE396</f>
        <v>0</v>
      </c>
      <c r="AF164" s="8" t="n">
        <f aca="false">AF396</f>
        <v>0</v>
      </c>
      <c r="AG164" s="8" t="n">
        <f aca="false">AG396</f>
        <v>0</v>
      </c>
      <c r="AH164" s="8" t="n">
        <f aca="false">AH396</f>
        <v>0</v>
      </c>
      <c r="AI164" s="8" t="n">
        <f aca="false">AI396</f>
        <v>0</v>
      </c>
      <c r="AJ164" s="8" t="n">
        <f aca="false">AJ396</f>
        <v>0</v>
      </c>
      <c r="AK164" s="8" t="n">
        <f aca="false">AK396</f>
        <v>0</v>
      </c>
      <c r="AL164" s="8" t="n">
        <f aca="false">AL396</f>
        <v>0</v>
      </c>
      <c r="AM164" s="8" t="n">
        <f aca="false">AM396</f>
        <v>0</v>
      </c>
      <c r="AN164" s="8" t="n">
        <f aca="false">AN396</f>
        <v>0</v>
      </c>
      <c r="AO164" s="8" t="n">
        <f aca="false">AO396</f>
        <v>0</v>
      </c>
      <c r="AP164" s="8" t="n">
        <f aca="false">AP396</f>
        <v>0</v>
      </c>
      <c r="AQ164" s="8" t="n">
        <f aca="false">AQ396</f>
        <v>0</v>
      </c>
      <c r="AR164" s="8" t="n">
        <f aca="false">AR396</f>
        <v>0</v>
      </c>
      <c r="AS164" s="8" t="n">
        <f aca="false">AS396</f>
        <v>0</v>
      </c>
    </row>
    <row r="165" customFormat="false" ht="14.25" hidden="false" customHeight="false" outlineLevel="0" collapsed="false">
      <c r="C165" s="6" t="s">
        <v>156</v>
      </c>
      <c r="D165" s="2" t="s">
        <v>85</v>
      </c>
      <c r="H165" s="8" t="n">
        <f aca="false">SUM(J165:AS165)</f>
        <v>446130.685729454</v>
      </c>
      <c r="J165" s="8" t="n">
        <f aca="false">J400</f>
        <v>0</v>
      </c>
      <c r="K165" s="8" t="n">
        <f aca="false">K400</f>
        <v>0</v>
      </c>
      <c r="L165" s="8" t="n">
        <f aca="false">L400</f>
        <v>0</v>
      </c>
      <c r="M165" s="8" t="n">
        <f aca="false">M400</f>
        <v>0</v>
      </c>
      <c r="N165" s="8" t="n">
        <f aca="false">N400</f>
        <v>0</v>
      </c>
      <c r="O165" s="8" t="n">
        <f aca="false">O400</f>
        <v>6667.92</v>
      </c>
      <c r="P165" s="8" t="n">
        <f aca="false">P400</f>
        <v>13469.1984</v>
      </c>
      <c r="Q165" s="8" t="n">
        <f aca="false">Q400</f>
        <v>13563.078712848</v>
      </c>
      <c r="R165" s="8" t="n">
        <f aca="false">R400</f>
        <v>13657.6133714766</v>
      </c>
      <c r="S165" s="8" t="n">
        <f aca="false">S400</f>
        <v>13752.8069366757</v>
      </c>
      <c r="T165" s="8" t="n">
        <f aca="false">T400</f>
        <v>13848.6640010244</v>
      </c>
      <c r="U165" s="8" t="n">
        <f aca="false">U400</f>
        <v>13945.1891891115</v>
      </c>
      <c r="V165" s="8" t="n">
        <f aca="false">V400</f>
        <v>14042.3871577596</v>
      </c>
      <c r="W165" s="8" t="n">
        <f aca="false">W400</f>
        <v>14140.2625962492</v>
      </c>
      <c r="X165" s="8" t="n">
        <f aca="false">X400</f>
        <v>14238.8202265451</v>
      </c>
      <c r="Y165" s="8" t="n">
        <f aca="false">Y400</f>
        <v>14338.0648035241</v>
      </c>
      <c r="Z165" s="8" t="n">
        <f aca="false">Z400</f>
        <v>14438.0011152046</v>
      </c>
      <c r="AA165" s="8" t="n">
        <f aca="false">AA400</f>
        <v>14538.6339829776</v>
      </c>
      <c r="AB165" s="8" t="n">
        <f aca="false">AB400</f>
        <v>14639.968261839</v>
      </c>
      <c r="AC165" s="8" t="n">
        <f aca="false">AC400</f>
        <v>14742.008840624</v>
      </c>
      <c r="AD165" s="8" t="n">
        <f aca="false">AD400</f>
        <v>14844.7606422431</v>
      </c>
      <c r="AE165" s="8" t="n">
        <f aca="false">AE400</f>
        <v>14948.2286239196</v>
      </c>
      <c r="AF165" s="8" t="n">
        <f aca="false">AF400</f>
        <v>15052.4177774283</v>
      </c>
      <c r="AG165" s="8" t="n">
        <f aca="false">AG400</f>
        <v>15157.333129337</v>
      </c>
      <c r="AH165" s="8" t="n">
        <f aca="false">AH400</f>
        <v>15262.9797412485</v>
      </c>
      <c r="AI165" s="8" t="n">
        <f aca="false">AI400</f>
        <v>15369.362710045</v>
      </c>
      <c r="AJ165" s="8" t="n">
        <f aca="false">AJ400</f>
        <v>15476.487168134</v>
      </c>
      <c r="AK165" s="8" t="n">
        <f aca="false">AK400</f>
        <v>15584.3582836959</v>
      </c>
      <c r="AL165" s="8" t="n">
        <f aca="false">AL400</f>
        <v>15692.9812609332</v>
      </c>
      <c r="AM165" s="8" t="n">
        <f aca="false">AM400</f>
        <v>15802.3613403219</v>
      </c>
      <c r="AN165" s="8" t="n">
        <f aca="false">AN400</f>
        <v>15912.503798864</v>
      </c>
      <c r="AO165" s="8" t="n">
        <f aca="false">AO400</f>
        <v>16023.4139503421</v>
      </c>
      <c r="AP165" s="8" t="n">
        <f aca="false">AP400</f>
        <v>16135.0971455759</v>
      </c>
      <c r="AQ165" s="8" t="n">
        <f aca="false">AQ400</f>
        <v>16247.5587726806</v>
      </c>
      <c r="AR165" s="8" t="n">
        <f aca="false">AR400</f>
        <v>16360.8042573262</v>
      </c>
      <c r="AS165" s="8" t="n">
        <f aca="false">AS400</f>
        <v>8237.41953149987</v>
      </c>
    </row>
    <row r="166" customFormat="false" ht="14.25" hidden="false" customHeight="false" outlineLevel="0" collapsed="false">
      <c r="C166" s="6" t="s">
        <v>157</v>
      </c>
      <c r="D166" s="2" t="s">
        <v>85</v>
      </c>
      <c r="H166" s="8" t="n">
        <f aca="false">SUM(J166:AS166)</f>
        <v>-130425.697623429</v>
      </c>
      <c r="J166" s="8" t="n">
        <f aca="false">J409</f>
        <v>0</v>
      </c>
      <c r="K166" s="8" t="n">
        <f aca="false">K409</f>
        <v>0</v>
      </c>
      <c r="L166" s="8" t="n">
        <f aca="false">L409</f>
        <v>0</v>
      </c>
      <c r="M166" s="8" t="n">
        <f aca="false">M409</f>
        <v>0</v>
      </c>
      <c r="N166" s="8" t="n">
        <f aca="false">N409</f>
        <v>0</v>
      </c>
      <c r="O166" s="8" t="n">
        <f aca="false">O409</f>
        <v>-1598.148216</v>
      </c>
      <c r="P166" s="8" t="n">
        <f aca="false">P409</f>
        <v>-3260.87985132</v>
      </c>
      <c r="Q166" s="8" t="n">
        <f aca="false">Q409</f>
        <v>-3322.39115932295</v>
      </c>
      <c r="R166" s="8" t="n">
        <f aca="false">R409</f>
        <v>-3385.38820151339</v>
      </c>
      <c r="S166" s="8" t="n">
        <f aca="false">S409</f>
        <v>-3449.90658222877</v>
      </c>
      <c r="T166" s="8" t="n">
        <f aca="false">T409</f>
        <v>-3515.98276867813</v>
      </c>
      <c r="U166" s="8" t="n">
        <f aca="false">U409</f>
        <v>-3583.65411193425</v>
      </c>
      <c r="V166" s="8" t="n">
        <f aca="false">V409</f>
        <v>-3652.95886843809</v>
      </c>
      <c r="W166" s="8" t="n">
        <f aca="false">W409</f>
        <v>-3723.93622202803</v>
      </c>
      <c r="X166" s="8" t="n">
        <f aca="false">X409</f>
        <v>-3796.62630650685</v>
      </c>
      <c r="Y166" s="8" t="n">
        <f aca="false">Y409</f>
        <v>-3871.07022875947</v>
      </c>
      <c r="Z166" s="8" t="n">
        <f aca="false">Z409</f>
        <v>-3947.31009243507</v>
      </c>
      <c r="AA166" s="8" t="n">
        <f aca="false">AA409</f>
        <v>-4025.38902220729</v>
      </c>
      <c r="AB166" s="8" t="n">
        <f aca="false">AB409</f>
        <v>-4105.3511886267</v>
      </c>
      <c r="AC166" s="8" t="n">
        <f aca="false">AC409</f>
        <v>-4187.24183358009</v>
      </c>
      <c r="AD166" s="8" t="n">
        <f aca="false">AD409</f>
        <v>-4271.10729637127</v>
      </c>
      <c r="AE166" s="8" t="n">
        <f aca="false">AE409</f>
        <v>-4356.99504043889</v>
      </c>
      <c r="AF166" s="8" t="n">
        <f aca="false">AF409</f>
        <v>-4444.95368072645</v>
      </c>
      <c r="AG166" s="8" t="n">
        <f aca="false">AG409</f>
        <v>-4535.0330117209</v>
      </c>
      <c r="AH166" s="8" t="n">
        <f aca="false">AH409</f>
        <v>-4627.28403617592</v>
      </c>
      <c r="AI166" s="8" t="n">
        <f aca="false">AI409</f>
        <v>-4721.75899453672</v>
      </c>
      <c r="AJ166" s="8" t="n">
        <f aca="false">AJ409</f>
        <v>-4818.51139508354</v>
      </c>
      <c r="AK166" s="8" t="n">
        <f aca="false">AK409</f>
        <v>-4917.59604481147</v>
      </c>
      <c r="AL166" s="8" t="n">
        <f aca="false">AL409</f>
        <v>-5019.06908106463</v>
      </c>
      <c r="AM166" s="8" t="n">
        <f aca="false">AM409</f>
        <v>-5122.98800394303</v>
      </c>
      <c r="AN166" s="8" t="n">
        <f aca="false">AN409</f>
        <v>-5229.41170950133</v>
      </c>
      <c r="AO166" s="8" t="n">
        <f aca="false">AO409</f>
        <v>-5338.40052375853</v>
      </c>
      <c r="AP166" s="8" t="n">
        <f aca="false">AP409</f>
        <v>-5450.01623753884</v>
      </c>
      <c r="AQ166" s="8" t="n">
        <f aca="false">AQ409</f>
        <v>-5564.32214216366</v>
      </c>
      <c r="AR166" s="8" t="n">
        <f aca="false">AR409</f>
        <v>-5681.38306601601</v>
      </c>
      <c r="AS166" s="8" t="n">
        <f aca="false">AS409</f>
        <v>-2900.63270599912</v>
      </c>
    </row>
    <row r="167" customFormat="false" ht="14.25" hidden="false" customHeight="false" outlineLevel="0" collapsed="false">
      <c r="C167" s="6" t="s">
        <v>158</v>
      </c>
      <c r="D167" s="2" t="s">
        <v>85</v>
      </c>
      <c r="H167" s="8" t="n">
        <f aca="false">SUM(J167:AS167)</f>
        <v>315704.988106025</v>
      </c>
      <c r="J167" s="8" t="n">
        <f aca="false">J410</f>
        <v>0</v>
      </c>
      <c r="K167" s="8" t="n">
        <f aca="false">K410</f>
        <v>0</v>
      </c>
      <c r="L167" s="8" t="n">
        <f aca="false">L410</f>
        <v>0</v>
      </c>
      <c r="M167" s="8" t="n">
        <f aca="false">M410</f>
        <v>0</v>
      </c>
      <c r="N167" s="8" t="n">
        <f aca="false">N410</f>
        <v>0</v>
      </c>
      <c r="O167" s="8" t="n">
        <f aca="false">O410</f>
        <v>5069.771784</v>
      </c>
      <c r="P167" s="8" t="n">
        <f aca="false">P410</f>
        <v>10208.31854868</v>
      </c>
      <c r="Q167" s="8" t="n">
        <f aca="false">Q410</f>
        <v>10240.6875535251</v>
      </c>
      <c r="R167" s="8" t="n">
        <f aca="false">R410</f>
        <v>10272.2251699632</v>
      </c>
      <c r="S167" s="8" t="n">
        <f aca="false">S410</f>
        <v>10302.900354447</v>
      </c>
      <c r="T167" s="8" t="n">
        <f aca="false">T410</f>
        <v>10332.6812323462</v>
      </c>
      <c r="U167" s="8" t="n">
        <f aca="false">U410</f>
        <v>10361.5350771773</v>
      </c>
      <c r="V167" s="8" t="n">
        <f aca="false">V410</f>
        <v>10389.4282893215</v>
      </c>
      <c r="W167" s="8" t="n">
        <f aca="false">W410</f>
        <v>10416.3263742212</v>
      </c>
      <c r="X167" s="8" t="n">
        <f aca="false">X410</f>
        <v>10442.1939200382</v>
      </c>
      <c r="Y167" s="8" t="n">
        <f aca="false">Y410</f>
        <v>10466.9945747646</v>
      </c>
      <c r="Z167" s="8" t="n">
        <f aca="false">Z410</f>
        <v>10490.6910227696</v>
      </c>
      <c r="AA167" s="8" t="n">
        <f aca="false">AA410</f>
        <v>10513.2449607703</v>
      </c>
      <c r="AB167" s="8" t="n">
        <f aca="false">AB410</f>
        <v>10534.6170732123</v>
      </c>
      <c r="AC167" s="8" t="n">
        <f aca="false">AC410</f>
        <v>10554.7670070439</v>
      </c>
      <c r="AD167" s="8" t="n">
        <f aca="false">AD410</f>
        <v>10573.6533458719</v>
      </c>
      <c r="AE167" s="8" t="n">
        <f aca="false">AE410</f>
        <v>10591.2335834807</v>
      </c>
      <c r="AF167" s="8" t="n">
        <f aca="false">AF410</f>
        <v>10607.4640967019</v>
      </c>
      <c r="AG167" s="8" t="n">
        <f aca="false">AG410</f>
        <v>10622.3001176161</v>
      </c>
      <c r="AH167" s="8" t="n">
        <f aca="false">AH410</f>
        <v>10635.6957050725</v>
      </c>
      <c r="AI167" s="8" t="n">
        <f aca="false">AI410</f>
        <v>10647.6037155082</v>
      </c>
      <c r="AJ167" s="8" t="n">
        <f aca="false">AJ410</f>
        <v>10657.9757730504</v>
      </c>
      <c r="AK167" s="8" t="n">
        <f aca="false">AK410</f>
        <v>10666.7622388844</v>
      </c>
      <c r="AL167" s="8" t="n">
        <f aca="false">AL410</f>
        <v>10673.9121798686</v>
      </c>
      <c r="AM167" s="8" t="n">
        <f aca="false">AM410</f>
        <v>10679.3733363789</v>
      </c>
      <c r="AN167" s="8" t="n">
        <f aca="false">AN410</f>
        <v>10683.0920893626</v>
      </c>
      <c r="AO167" s="8" t="n">
        <f aca="false">AO410</f>
        <v>10685.0134265835</v>
      </c>
      <c r="AP167" s="8" t="n">
        <f aca="false">AP410</f>
        <v>10685.0809080371</v>
      </c>
      <c r="AQ167" s="8" t="n">
        <f aca="false">AQ410</f>
        <v>10683.2366305169</v>
      </c>
      <c r="AR167" s="8" t="n">
        <f aca="false">AR410</f>
        <v>10679.4211913102</v>
      </c>
      <c r="AS167" s="8" t="n">
        <f aca="false">AS410</f>
        <v>5336.78682550075</v>
      </c>
    </row>
    <row r="168" customFormat="false" ht="14.25" hidden="false" customHeight="false" outlineLevel="0" collapsed="false">
      <c r="C168" s="1" t="s">
        <v>159</v>
      </c>
      <c r="D168" s="2" t="s">
        <v>85</v>
      </c>
      <c r="H168" s="15" t="n">
        <f aca="false">SUM(J168:AS168)</f>
        <v>238904.92885945</v>
      </c>
      <c r="J168" s="15" t="n">
        <f aca="false">J411</f>
        <v>0</v>
      </c>
      <c r="K168" s="15" t="n">
        <f aca="false">K411</f>
        <v>0</v>
      </c>
      <c r="L168" s="15" t="n">
        <f aca="false">L411</f>
        <v>0</v>
      </c>
      <c r="M168" s="15" t="n">
        <f aca="false">M411</f>
        <v>-29757.5797945206</v>
      </c>
      <c r="N168" s="15" t="n">
        <f aca="false">N411</f>
        <v>-31358</v>
      </c>
      <c r="O168" s="15" t="n">
        <f aca="false">O411</f>
        <v>-13109.228216</v>
      </c>
      <c r="P168" s="15" t="n">
        <f aca="false">P411</f>
        <v>10208.31854868</v>
      </c>
      <c r="Q168" s="15" t="n">
        <f aca="false">Q411</f>
        <v>12735.2081014703</v>
      </c>
      <c r="R168" s="15" t="n">
        <f aca="false">R411</f>
        <v>10272.2251699632</v>
      </c>
      <c r="S168" s="15" t="n">
        <f aca="false">S411</f>
        <v>10302.900354447</v>
      </c>
      <c r="T168" s="15" t="n">
        <f aca="false">T411</f>
        <v>10332.6812323462</v>
      </c>
      <c r="U168" s="15" t="n">
        <f aca="false">U411</f>
        <v>10361.5350771773</v>
      </c>
      <c r="V168" s="15" t="n">
        <f aca="false">V411</f>
        <v>10389.4282893215</v>
      </c>
      <c r="W168" s="15" t="n">
        <f aca="false">W411</f>
        <v>10416.3263742212</v>
      </c>
      <c r="X168" s="15" t="n">
        <f aca="false">X411</f>
        <v>10442.1939200382</v>
      </c>
      <c r="Y168" s="15" t="n">
        <f aca="false">Y411</f>
        <v>10466.9945747646</v>
      </c>
      <c r="Z168" s="15" t="n">
        <f aca="false">Z411</f>
        <v>10490.6910227696</v>
      </c>
      <c r="AA168" s="15" t="n">
        <f aca="false">AA411</f>
        <v>10513.2449607703</v>
      </c>
      <c r="AB168" s="15" t="n">
        <f aca="false">AB411</f>
        <v>10534.6170732123</v>
      </c>
      <c r="AC168" s="15" t="n">
        <f aca="false">AC411</f>
        <v>10554.7670070439</v>
      </c>
      <c r="AD168" s="15" t="n">
        <f aca="false">AD411</f>
        <v>10573.6533458719</v>
      </c>
      <c r="AE168" s="15" t="n">
        <f aca="false">AE411</f>
        <v>10591.2335834807</v>
      </c>
      <c r="AF168" s="15" t="n">
        <f aca="false">AF411</f>
        <v>10607.4640967019</v>
      </c>
      <c r="AG168" s="15" t="n">
        <f aca="false">AG411</f>
        <v>10622.3001176161</v>
      </c>
      <c r="AH168" s="15" t="n">
        <f aca="false">AH411</f>
        <v>10635.6957050725</v>
      </c>
      <c r="AI168" s="15" t="n">
        <f aca="false">AI411</f>
        <v>10647.6037155082</v>
      </c>
      <c r="AJ168" s="15" t="n">
        <f aca="false">AJ411</f>
        <v>10657.9757730504</v>
      </c>
      <c r="AK168" s="15" t="n">
        <f aca="false">AK411</f>
        <v>10666.7622388844</v>
      </c>
      <c r="AL168" s="15" t="n">
        <f aca="false">AL411</f>
        <v>10673.9121798686</v>
      </c>
      <c r="AM168" s="15" t="n">
        <f aca="false">AM411</f>
        <v>10679.3733363789</v>
      </c>
      <c r="AN168" s="15" t="n">
        <f aca="false">AN411</f>
        <v>10683.0920893626</v>
      </c>
      <c r="AO168" s="15" t="n">
        <f aca="false">AO411</f>
        <v>10685.0134265835</v>
      </c>
      <c r="AP168" s="15" t="n">
        <f aca="false">AP411</f>
        <v>10685.0809080371</v>
      </c>
      <c r="AQ168" s="15" t="n">
        <f aca="false">AQ411</f>
        <v>10683.2366305169</v>
      </c>
      <c r="AR168" s="15" t="n">
        <f aca="false">AR411</f>
        <v>10679.4211913102</v>
      </c>
      <c r="AS168" s="15" t="n">
        <f aca="false">AS411</f>
        <v>5336.78682550075</v>
      </c>
    </row>
    <row r="169" customFormat="false" ht="14.25" hidden="false" customHeight="false" outlineLevel="0" collapsed="false">
      <c r="C169" s="1" t="s">
        <v>160</v>
      </c>
      <c r="D169" s="2" t="s">
        <v>85</v>
      </c>
      <c r="H169" s="15" t="n">
        <f aca="false">SUM(J169:AS169)</f>
        <v>203069.189530532</v>
      </c>
      <c r="J169" s="15" t="n">
        <f aca="false">J414</f>
        <v>0</v>
      </c>
      <c r="K169" s="15" t="n">
        <f aca="false">K414</f>
        <v>0</v>
      </c>
      <c r="L169" s="15" t="n">
        <f aca="false">L414</f>
        <v>0</v>
      </c>
      <c r="M169" s="15" t="n">
        <f aca="false">M414</f>
        <v>-29757.5797945206</v>
      </c>
      <c r="N169" s="15" t="n">
        <f aca="false">N414</f>
        <v>-31358</v>
      </c>
      <c r="O169" s="15" t="n">
        <f aca="false">O414</f>
        <v>-13293.6935392507</v>
      </c>
      <c r="P169" s="15" t="n">
        <f aca="false">P414</f>
        <v>9253.07121072731</v>
      </c>
      <c r="Q169" s="15" t="n">
        <f aca="false">Q414</f>
        <v>11775.1054127908</v>
      </c>
      <c r="R169" s="15" t="n">
        <f aca="false">R414</f>
        <v>9307.391838818</v>
      </c>
      <c r="S169" s="15" t="n">
        <f aca="false">S414</f>
        <v>9333.46574562924</v>
      </c>
      <c r="T169" s="15" t="n">
        <f aca="false">T414</f>
        <v>9358.77949184362</v>
      </c>
      <c r="U169" s="15" t="n">
        <f aca="false">U414</f>
        <v>9383.30525994999</v>
      </c>
      <c r="V169" s="15" t="n">
        <f aca="false">V414</f>
        <v>9407.01449027262</v>
      </c>
      <c r="W169" s="15" t="n">
        <f aca="false">W414</f>
        <v>9429.87786243732</v>
      </c>
      <c r="X169" s="15" t="n">
        <f aca="false">X414</f>
        <v>9451.8652763818</v>
      </c>
      <c r="Y169" s="15" t="n">
        <f aca="false">Y414</f>
        <v>9472.94583289924</v>
      </c>
      <c r="Z169" s="15" t="n">
        <f aca="false">Z414</f>
        <v>9493.08781370345</v>
      </c>
      <c r="AA169" s="15" t="n">
        <f aca="false">AA414</f>
        <v>9512.25866100409</v>
      </c>
      <c r="AB169" s="15" t="n">
        <f aca="false">AB414</f>
        <v>9530.42495657974</v>
      </c>
      <c r="AC169" s="15" t="n">
        <f aca="false">AC414</f>
        <v>9547.55240033664</v>
      </c>
      <c r="AD169" s="15" t="n">
        <f aca="false">AD414</f>
        <v>9563.6057883404</v>
      </c>
      <c r="AE169" s="15" t="n">
        <f aca="false">AE414</f>
        <v>9578.5489903079</v>
      </c>
      <c r="AF169" s="15" t="n">
        <f aca="false">AF414</f>
        <v>9592.34492654589</v>
      </c>
      <c r="AG169" s="15" t="n">
        <f aca="false">AG414</f>
        <v>9604.95554432298</v>
      </c>
      <c r="AH169" s="15" t="n">
        <f aca="false">AH414</f>
        <v>9616.34179366096</v>
      </c>
      <c r="AI169" s="15" t="n">
        <f aca="false">AI414</f>
        <v>9050.463158182</v>
      </c>
      <c r="AJ169" s="15" t="n">
        <f aca="false">AJ414</f>
        <v>9059.27940709287</v>
      </c>
      <c r="AK169" s="15" t="n">
        <f aca="false">AK414</f>
        <v>9066.74790305173</v>
      </c>
      <c r="AL169" s="15" t="n">
        <f aca="false">AL414</f>
        <v>9072.8253528883</v>
      </c>
      <c r="AM169" s="15" t="n">
        <f aca="false">AM414</f>
        <v>9077.46733592206</v>
      </c>
      <c r="AN169" s="15" t="n">
        <f aca="false">AN414</f>
        <v>9080.62827595824</v>
      </c>
      <c r="AO169" s="15" t="n">
        <f aca="false">AO414</f>
        <v>9082.26141259599</v>
      </c>
      <c r="AP169" s="15" t="n">
        <f aca="false">AP414</f>
        <v>9082.31877183154</v>
      </c>
      <c r="AQ169" s="15" t="n">
        <f aca="false">AQ414</f>
        <v>9080.75113593939</v>
      </c>
      <c r="AR169" s="15" t="n">
        <f aca="false">AR414</f>
        <v>9077.50801261365</v>
      </c>
      <c r="AS169" s="15" t="n">
        <f aca="false">AS414</f>
        <v>4536.26880167564</v>
      </c>
    </row>
    <row r="170" customFormat="false" ht="14.25" hidden="false" customHeight="false" outlineLevel="0" collapsed="false">
      <c r="C170" s="1" t="s">
        <v>161</v>
      </c>
      <c r="D170" s="2" t="s">
        <v>85</v>
      </c>
      <c r="H170" s="15" t="n">
        <f aca="false">SUM(J170:AS170)</f>
        <v>185634.15526428</v>
      </c>
      <c r="J170" s="15" t="n">
        <f aca="false">J421</f>
        <v>0</v>
      </c>
      <c r="K170" s="15" t="n">
        <f aca="false">K421</f>
        <v>0</v>
      </c>
      <c r="L170" s="15" t="n">
        <f aca="false">L421</f>
        <v>0</v>
      </c>
      <c r="M170" s="15" t="n">
        <f aca="false">M421</f>
        <v>-29757.5797945206</v>
      </c>
      <c r="N170" s="15" t="n">
        <f aca="false">N421</f>
        <v>-31358</v>
      </c>
      <c r="O170" s="15" t="n">
        <f aca="false">O421</f>
        <v>32786.3420086945</v>
      </c>
      <c r="P170" s="15" t="n">
        <f aca="false">P421</f>
        <v>5159.21543953256</v>
      </c>
      <c r="Q170" s="15" t="n">
        <f aca="false">Q421</f>
        <v>7665.23373464301</v>
      </c>
      <c r="R170" s="15" t="n">
        <f aca="false">R421</f>
        <v>5180.70345836949</v>
      </c>
      <c r="S170" s="15" t="n">
        <f aca="false">S421</f>
        <v>5189.11982776499</v>
      </c>
      <c r="T170" s="15" t="n">
        <f aca="false">T421</f>
        <v>5195.89315969284</v>
      </c>
      <c r="U170" s="15" t="n">
        <f aca="false">U421</f>
        <v>5200.95149279836</v>
      </c>
      <c r="V170" s="15" t="n">
        <f aca="false">V421</f>
        <v>5204.21991637009</v>
      </c>
      <c r="W170" s="15" t="n">
        <f aca="false">W421</f>
        <v>5205.62044144634</v>
      </c>
      <c r="X170" s="15" t="n">
        <f aca="false">X421</f>
        <v>5205.07186594796</v>
      </c>
      <c r="Y170" s="15" t="n">
        <f aca="false">Y421</f>
        <v>5202.48963355039</v>
      </c>
      <c r="Z170" s="15" t="n">
        <f aca="false">Z421</f>
        <v>5197.78568599385</v>
      </c>
      <c r="AA170" s="15" t="n">
        <f aca="false">AA421</f>
        <v>5190.86830851569</v>
      </c>
      <c r="AB170" s="15" t="n">
        <f aca="false">AB421</f>
        <v>5181.64196807361</v>
      </c>
      <c r="AC170" s="15" t="n">
        <f aca="false">AC421</f>
        <v>5170.00714401188</v>
      </c>
      <c r="AD170" s="15" t="n">
        <f aca="false">AD421</f>
        <v>5155.86015080609</v>
      </c>
      <c r="AE170" s="15" t="n">
        <f aca="false">AE421</f>
        <v>9578.5489903079</v>
      </c>
      <c r="AF170" s="15" t="n">
        <f aca="false">AF421</f>
        <v>9592.34492654589</v>
      </c>
      <c r="AG170" s="15" t="n">
        <f aca="false">AG421</f>
        <v>9604.95554432298</v>
      </c>
      <c r="AH170" s="15" t="n">
        <f aca="false">AH421</f>
        <v>9616.34179366096</v>
      </c>
      <c r="AI170" s="15" t="n">
        <f aca="false">AI421</f>
        <v>9050.463158182</v>
      </c>
      <c r="AJ170" s="15" t="n">
        <f aca="false">AJ421</f>
        <v>9059.27940709287</v>
      </c>
      <c r="AK170" s="15" t="n">
        <f aca="false">AK421</f>
        <v>9066.74790305173</v>
      </c>
      <c r="AL170" s="15" t="n">
        <f aca="false">AL421</f>
        <v>9072.8253528883</v>
      </c>
      <c r="AM170" s="15" t="n">
        <f aca="false">AM421</f>
        <v>9077.46733592206</v>
      </c>
      <c r="AN170" s="15" t="n">
        <f aca="false">AN421</f>
        <v>9080.62827595824</v>
      </c>
      <c r="AO170" s="15" t="n">
        <f aca="false">AO421</f>
        <v>9082.26141259599</v>
      </c>
      <c r="AP170" s="15" t="n">
        <f aca="false">AP421</f>
        <v>9082.31877183154</v>
      </c>
      <c r="AQ170" s="15" t="n">
        <f aca="false">AQ421</f>
        <v>9080.75113593939</v>
      </c>
      <c r="AR170" s="15" t="n">
        <f aca="false">AR421</f>
        <v>9077.50801261365</v>
      </c>
      <c r="AS170" s="15" t="n">
        <f aca="false">AS421</f>
        <v>4536.26880167564</v>
      </c>
    </row>
    <row r="171" customFormat="false" ht="14.25" hidden="false" customHeight="false" outlineLevel="0" collapsed="false">
      <c r="C171" s="6" t="s">
        <v>162</v>
      </c>
      <c r="D171" s="2" t="s">
        <v>85</v>
      </c>
      <c r="J171" s="8" t="n">
        <f aca="false">SUM($J168:J168)</f>
        <v>0</v>
      </c>
      <c r="K171" s="8" t="n">
        <f aca="false">SUM($J168:K168)</f>
        <v>0</v>
      </c>
      <c r="L171" s="8" t="n">
        <f aca="false">SUM($J168:L168)</f>
        <v>0</v>
      </c>
      <c r="M171" s="8" t="n">
        <f aca="false">SUM($J168:M168)</f>
        <v>-29757.5797945206</v>
      </c>
      <c r="N171" s="8" t="n">
        <f aca="false">SUM($J168:N168)</f>
        <v>-61115.5797945206</v>
      </c>
      <c r="O171" s="8" t="n">
        <f aca="false">SUM($J168:O168)</f>
        <v>-74224.8080105205</v>
      </c>
      <c r="P171" s="8" t="n">
        <f aca="false">SUM($J168:P168)</f>
        <v>-64016.4894618405</v>
      </c>
      <c r="Q171" s="8" t="n">
        <f aca="false">SUM($J168:Q168)</f>
        <v>-51281.2813603703</v>
      </c>
      <c r="R171" s="8" t="n">
        <f aca="false">SUM($J168:R168)</f>
        <v>-41009.0561904071</v>
      </c>
      <c r="S171" s="8" t="n">
        <f aca="false">SUM($J168:S168)</f>
        <v>-30706.1558359602</v>
      </c>
      <c r="T171" s="8" t="n">
        <f aca="false">SUM($J168:T168)</f>
        <v>-20373.4746036139</v>
      </c>
      <c r="U171" s="8" t="n">
        <f aca="false">SUM($J168:U168)</f>
        <v>-10011.9395264367</v>
      </c>
      <c r="V171" s="8" t="n">
        <f aca="false">SUM($J168:V168)</f>
        <v>377.488762884879</v>
      </c>
      <c r="W171" s="8" t="n">
        <f aca="false">SUM($J168:W168)</f>
        <v>10793.8151371061</v>
      </c>
      <c r="X171" s="8" t="n">
        <f aca="false">SUM($J168:X168)</f>
        <v>21236.0090571443</v>
      </c>
      <c r="Y171" s="8" t="n">
        <f aca="false">SUM($J168:Y168)</f>
        <v>31703.0036319089</v>
      </c>
      <c r="Z171" s="8" t="n">
        <f aca="false">SUM($J168:Z168)</f>
        <v>42193.6946546785</v>
      </c>
      <c r="AA171" s="8" t="n">
        <f aca="false">SUM($J168:AA168)</f>
        <v>52706.9396154488</v>
      </c>
      <c r="AB171" s="8" t="n">
        <f aca="false">SUM($J168:AB168)</f>
        <v>63241.5566886611</v>
      </c>
      <c r="AC171" s="8" t="n">
        <f aca="false">SUM($J168:AC168)</f>
        <v>73796.323695705</v>
      </c>
      <c r="AD171" s="8" t="n">
        <f aca="false">SUM($J168:AD168)</f>
        <v>84369.9770415768</v>
      </c>
      <c r="AE171" s="8" t="n">
        <f aca="false">SUM($J168:AE168)</f>
        <v>94961.2106250575</v>
      </c>
      <c r="AF171" s="8" t="n">
        <f aca="false">SUM($J168:AF168)</f>
        <v>105568.674721759</v>
      </c>
      <c r="AG171" s="8" t="n">
        <f aca="false">SUM($J168:AG168)</f>
        <v>116190.974839375</v>
      </c>
      <c r="AH171" s="8" t="n">
        <f aca="false">SUM($J168:AH168)</f>
        <v>126826.670544448</v>
      </c>
      <c r="AI171" s="8" t="n">
        <f aca="false">SUM($J168:AI168)</f>
        <v>137474.274259956</v>
      </c>
      <c r="AJ171" s="8" t="n">
        <f aca="false">SUM($J168:AJ168)</f>
        <v>148132.250033007</v>
      </c>
      <c r="AK171" s="8" t="n">
        <f aca="false">SUM($J168:AK168)</f>
        <v>158799.012271891</v>
      </c>
      <c r="AL171" s="8" t="n">
        <f aca="false">SUM($J168:AL168)</f>
        <v>169472.92445176</v>
      </c>
      <c r="AM171" s="8" t="n">
        <f aca="false">SUM($J168:AM168)</f>
        <v>180152.297788139</v>
      </c>
      <c r="AN171" s="8" t="n">
        <f aca="false">SUM($J168:AN168)</f>
        <v>190835.389877501</v>
      </c>
      <c r="AO171" s="8" t="n">
        <f aca="false">SUM($J168:AO168)</f>
        <v>201520.403304085</v>
      </c>
      <c r="AP171" s="8" t="n">
        <f aca="false">SUM($J168:AP168)</f>
        <v>212205.484212122</v>
      </c>
      <c r="AQ171" s="8" t="n">
        <f aca="false">SUM($J168:AQ168)</f>
        <v>222888.720842639</v>
      </c>
      <c r="AR171" s="8" t="n">
        <f aca="false">SUM($J168:AR168)</f>
        <v>233568.142033949</v>
      </c>
      <c r="AS171" s="8" t="n">
        <f aca="false">SUM($J168:AS168)</f>
        <v>238904.92885945</v>
      </c>
    </row>
    <row r="173" customFormat="false" ht="14.25" hidden="false" customHeight="false" outlineLevel="0" collapsed="false">
      <c r="C173" s="42" t="s">
        <v>7</v>
      </c>
      <c r="D173" s="42"/>
      <c r="E173" s="43"/>
      <c r="F173" s="43"/>
      <c r="G173" s="43"/>
      <c r="H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</row>
    <row r="174" customFormat="false" ht="14.25" hidden="false" customHeight="false" outlineLevel="0" collapsed="false">
      <c r="C174" s="6" t="s">
        <v>163</v>
      </c>
      <c r="D174" s="2" t="s">
        <v>85</v>
      </c>
      <c r="H174" s="8" t="n">
        <f aca="false">SUM(J174:AS174)</f>
        <v>-76800.0592465753</v>
      </c>
      <c r="J174" s="8" t="n">
        <f aca="false">J439</f>
        <v>0</v>
      </c>
      <c r="K174" s="8" t="n">
        <f aca="false">K439</f>
        <v>0</v>
      </c>
      <c r="L174" s="8" t="n">
        <f aca="false">L439</f>
        <v>0</v>
      </c>
      <c r="M174" s="8" t="n">
        <f aca="false">M439</f>
        <v>-29757.5797945206</v>
      </c>
      <c r="N174" s="8" t="n">
        <f aca="false">N439</f>
        <v>-31358</v>
      </c>
      <c r="O174" s="8" t="n">
        <f aca="false">O439</f>
        <v>-18179</v>
      </c>
      <c r="P174" s="8" t="n">
        <f aca="false">P439</f>
        <v>0</v>
      </c>
      <c r="Q174" s="8" t="n">
        <f aca="false">Q439</f>
        <v>2494.52054794521</v>
      </c>
      <c r="R174" s="8" t="n">
        <f aca="false">R439</f>
        <v>0</v>
      </c>
      <c r="S174" s="8" t="n">
        <f aca="false">S439</f>
        <v>0</v>
      </c>
      <c r="T174" s="8" t="n">
        <f aca="false">T439</f>
        <v>0</v>
      </c>
      <c r="U174" s="8" t="n">
        <f aca="false">U439</f>
        <v>0</v>
      </c>
      <c r="V174" s="8" t="n">
        <f aca="false">V439</f>
        <v>0</v>
      </c>
      <c r="W174" s="8" t="n">
        <f aca="false">W439</f>
        <v>0</v>
      </c>
      <c r="X174" s="8" t="n">
        <f aca="false">X439</f>
        <v>0</v>
      </c>
      <c r="Y174" s="8" t="n">
        <f aca="false">Y439</f>
        <v>0</v>
      </c>
      <c r="Z174" s="8" t="n">
        <f aca="false">Z439</f>
        <v>0</v>
      </c>
      <c r="AA174" s="8" t="n">
        <f aca="false">AA439</f>
        <v>0</v>
      </c>
      <c r="AB174" s="8" t="n">
        <f aca="false">AB439</f>
        <v>0</v>
      </c>
      <c r="AC174" s="8" t="n">
        <f aca="false">AC439</f>
        <v>0</v>
      </c>
      <c r="AD174" s="8" t="n">
        <f aca="false">AD439</f>
        <v>0</v>
      </c>
      <c r="AE174" s="8" t="n">
        <f aca="false">AE439</f>
        <v>0</v>
      </c>
      <c r="AF174" s="8" t="n">
        <f aca="false">AF439</f>
        <v>0</v>
      </c>
      <c r="AG174" s="8" t="n">
        <f aca="false">AG439</f>
        <v>0</v>
      </c>
      <c r="AH174" s="8" t="n">
        <f aca="false">AH439</f>
        <v>0</v>
      </c>
      <c r="AI174" s="8" t="n">
        <f aca="false">AI439</f>
        <v>0</v>
      </c>
      <c r="AJ174" s="8" t="n">
        <f aca="false">AJ439</f>
        <v>0</v>
      </c>
      <c r="AK174" s="8" t="n">
        <f aca="false">AK439</f>
        <v>0</v>
      </c>
      <c r="AL174" s="8" t="n">
        <f aca="false">AL439</f>
        <v>0</v>
      </c>
      <c r="AM174" s="8" t="n">
        <f aca="false">AM439</f>
        <v>0</v>
      </c>
      <c r="AN174" s="8" t="n">
        <f aca="false">AN439</f>
        <v>0</v>
      </c>
      <c r="AO174" s="8" t="n">
        <f aca="false">AO439</f>
        <v>0</v>
      </c>
      <c r="AP174" s="8" t="n">
        <f aca="false">AP439</f>
        <v>0</v>
      </c>
      <c r="AQ174" s="8" t="n">
        <f aca="false">AQ439</f>
        <v>0</v>
      </c>
      <c r="AR174" s="8" t="n">
        <f aca="false">AR439</f>
        <v>0</v>
      </c>
      <c r="AS174" s="8" t="n">
        <f aca="false">AS439</f>
        <v>0</v>
      </c>
    </row>
    <row r="175" customFormat="false" ht="14.25" hidden="false" customHeight="false" outlineLevel="0" collapsed="false">
      <c r="C175" s="6" t="s">
        <v>156</v>
      </c>
      <c r="D175" s="2" t="s">
        <v>85</v>
      </c>
      <c r="H175" s="8" t="n">
        <f aca="false">SUM(J175:AS175)</f>
        <v>446130.685729454</v>
      </c>
      <c r="J175" s="8" t="n">
        <f aca="false">J443</f>
        <v>0</v>
      </c>
      <c r="K175" s="8" t="n">
        <f aca="false">K443</f>
        <v>0</v>
      </c>
      <c r="L175" s="8" t="n">
        <f aca="false">L443</f>
        <v>0</v>
      </c>
      <c r="M175" s="8" t="n">
        <f aca="false">M443</f>
        <v>0</v>
      </c>
      <c r="N175" s="8" t="n">
        <f aca="false">N443</f>
        <v>0</v>
      </c>
      <c r="O175" s="8" t="n">
        <f aca="false">O443</f>
        <v>6667.92</v>
      </c>
      <c r="P175" s="8" t="n">
        <f aca="false">P443</f>
        <v>13469.1984</v>
      </c>
      <c r="Q175" s="8" t="n">
        <f aca="false">Q443</f>
        <v>13563.078712848</v>
      </c>
      <c r="R175" s="8" t="n">
        <f aca="false">R443</f>
        <v>13657.6133714766</v>
      </c>
      <c r="S175" s="8" t="n">
        <f aca="false">S443</f>
        <v>13752.8069366757</v>
      </c>
      <c r="T175" s="8" t="n">
        <f aca="false">T443</f>
        <v>13848.6640010244</v>
      </c>
      <c r="U175" s="8" t="n">
        <f aca="false">U443</f>
        <v>13945.1891891115</v>
      </c>
      <c r="V175" s="8" t="n">
        <f aca="false">V443</f>
        <v>14042.3871577596</v>
      </c>
      <c r="W175" s="8" t="n">
        <f aca="false">W443</f>
        <v>14140.2625962492</v>
      </c>
      <c r="X175" s="8" t="n">
        <f aca="false">X443</f>
        <v>14238.8202265451</v>
      </c>
      <c r="Y175" s="8" t="n">
        <f aca="false">Y443</f>
        <v>14338.0648035241</v>
      </c>
      <c r="Z175" s="8" t="n">
        <f aca="false">Z443</f>
        <v>14438.0011152046</v>
      </c>
      <c r="AA175" s="8" t="n">
        <f aca="false">AA443</f>
        <v>14538.6339829776</v>
      </c>
      <c r="AB175" s="8" t="n">
        <f aca="false">AB443</f>
        <v>14639.968261839</v>
      </c>
      <c r="AC175" s="8" t="n">
        <f aca="false">AC443</f>
        <v>14742.008840624</v>
      </c>
      <c r="AD175" s="8" t="n">
        <f aca="false">AD443</f>
        <v>14844.7606422431</v>
      </c>
      <c r="AE175" s="8" t="n">
        <f aca="false">AE443</f>
        <v>14948.2286239196</v>
      </c>
      <c r="AF175" s="8" t="n">
        <f aca="false">AF443</f>
        <v>15052.4177774283</v>
      </c>
      <c r="AG175" s="8" t="n">
        <f aca="false">AG443</f>
        <v>15157.333129337</v>
      </c>
      <c r="AH175" s="8" t="n">
        <f aca="false">AH443</f>
        <v>15262.9797412485</v>
      </c>
      <c r="AI175" s="8" t="n">
        <f aca="false">AI443</f>
        <v>15369.362710045</v>
      </c>
      <c r="AJ175" s="8" t="n">
        <f aca="false">AJ443</f>
        <v>15476.487168134</v>
      </c>
      <c r="AK175" s="8" t="n">
        <f aca="false">AK443</f>
        <v>15584.3582836959</v>
      </c>
      <c r="AL175" s="8" t="n">
        <f aca="false">AL443</f>
        <v>15692.9812609332</v>
      </c>
      <c r="AM175" s="8" t="n">
        <f aca="false">AM443</f>
        <v>15802.3613403219</v>
      </c>
      <c r="AN175" s="8" t="n">
        <f aca="false">AN443</f>
        <v>15912.503798864</v>
      </c>
      <c r="AO175" s="8" t="n">
        <f aca="false">AO443</f>
        <v>16023.4139503421</v>
      </c>
      <c r="AP175" s="8" t="n">
        <f aca="false">AP443</f>
        <v>16135.0971455759</v>
      </c>
      <c r="AQ175" s="8" t="n">
        <f aca="false">AQ443</f>
        <v>16247.5587726806</v>
      </c>
      <c r="AR175" s="8" t="n">
        <f aca="false">AR443</f>
        <v>16360.8042573262</v>
      </c>
      <c r="AS175" s="8" t="n">
        <f aca="false">AS443</f>
        <v>8237.41953149987</v>
      </c>
    </row>
    <row r="176" customFormat="false" ht="14.25" hidden="false" customHeight="false" outlineLevel="0" collapsed="false">
      <c r="C176" s="6" t="s">
        <v>157</v>
      </c>
      <c r="D176" s="2" t="s">
        <v>85</v>
      </c>
      <c r="H176" s="8" t="n">
        <f aca="false">SUM(J176:AS176)</f>
        <v>-130425.697623429</v>
      </c>
      <c r="J176" s="8" t="n">
        <f aca="false">J452</f>
        <v>0</v>
      </c>
      <c r="K176" s="8" t="n">
        <f aca="false">K452</f>
        <v>0</v>
      </c>
      <c r="L176" s="8" t="n">
        <f aca="false">L452</f>
        <v>0</v>
      </c>
      <c r="M176" s="8" t="n">
        <f aca="false">M452</f>
        <v>0</v>
      </c>
      <c r="N176" s="8" t="n">
        <f aca="false">N452</f>
        <v>0</v>
      </c>
      <c r="O176" s="8" t="n">
        <f aca="false">O452</f>
        <v>-1598.148216</v>
      </c>
      <c r="P176" s="8" t="n">
        <f aca="false">P452</f>
        <v>-3260.87985132</v>
      </c>
      <c r="Q176" s="8" t="n">
        <f aca="false">Q452</f>
        <v>-3322.39115932295</v>
      </c>
      <c r="R176" s="8" t="n">
        <f aca="false">R452</f>
        <v>-3385.38820151339</v>
      </c>
      <c r="S176" s="8" t="n">
        <f aca="false">S452</f>
        <v>-3449.90658222877</v>
      </c>
      <c r="T176" s="8" t="n">
        <f aca="false">T452</f>
        <v>-3515.98276867813</v>
      </c>
      <c r="U176" s="8" t="n">
        <f aca="false">U452</f>
        <v>-3583.65411193425</v>
      </c>
      <c r="V176" s="8" t="n">
        <f aca="false">V452</f>
        <v>-3652.95886843809</v>
      </c>
      <c r="W176" s="8" t="n">
        <f aca="false">W452</f>
        <v>-3723.93622202803</v>
      </c>
      <c r="X176" s="8" t="n">
        <f aca="false">X452</f>
        <v>-3796.62630650685</v>
      </c>
      <c r="Y176" s="8" t="n">
        <f aca="false">Y452</f>
        <v>-3871.07022875947</v>
      </c>
      <c r="Z176" s="8" t="n">
        <f aca="false">Z452</f>
        <v>-3947.31009243507</v>
      </c>
      <c r="AA176" s="8" t="n">
        <f aca="false">AA452</f>
        <v>-4025.38902220729</v>
      </c>
      <c r="AB176" s="8" t="n">
        <f aca="false">AB452</f>
        <v>-4105.3511886267</v>
      </c>
      <c r="AC176" s="8" t="n">
        <f aca="false">AC452</f>
        <v>-4187.24183358009</v>
      </c>
      <c r="AD176" s="8" t="n">
        <f aca="false">AD452</f>
        <v>-4271.10729637127</v>
      </c>
      <c r="AE176" s="8" t="n">
        <f aca="false">AE452</f>
        <v>-4356.99504043889</v>
      </c>
      <c r="AF176" s="8" t="n">
        <f aca="false">AF452</f>
        <v>-4444.95368072645</v>
      </c>
      <c r="AG176" s="8" t="n">
        <f aca="false">AG452</f>
        <v>-4535.0330117209</v>
      </c>
      <c r="AH176" s="8" t="n">
        <f aca="false">AH452</f>
        <v>-4627.28403617592</v>
      </c>
      <c r="AI176" s="8" t="n">
        <f aca="false">AI452</f>
        <v>-4721.75899453672</v>
      </c>
      <c r="AJ176" s="8" t="n">
        <f aca="false">AJ452</f>
        <v>-4818.51139508354</v>
      </c>
      <c r="AK176" s="8" t="n">
        <f aca="false">AK452</f>
        <v>-4917.59604481147</v>
      </c>
      <c r="AL176" s="8" t="n">
        <f aca="false">AL452</f>
        <v>-5019.06908106463</v>
      </c>
      <c r="AM176" s="8" t="n">
        <f aca="false">AM452</f>
        <v>-5122.98800394303</v>
      </c>
      <c r="AN176" s="8" t="n">
        <f aca="false">AN452</f>
        <v>-5229.41170950133</v>
      </c>
      <c r="AO176" s="8" t="n">
        <f aca="false">AO452</f>
        <v>-5338.40052375853</v>
      </c>
      <c r="AP176" s="8" t="n">
        <f aca="false">AP452</f>
        <v>-5450.01623753884</v>
      </c>
      <c r="AQ176" s="8" t="n">
        <f aca="false">AQ452</f>
        <v>-5564.32214216366</v>
      </c>
      <c r="AR176" s="8" t="n">
        <f aca="false">AR452</f>
        <v>-5681.38306601601</v>
      </c>
      <c r="AS176" s="8" t="n">
        <f aca="false">AS452</f>
        <v>-2900.63270599912</v>
      </c>
    </row>
    <row r="177" customFormat="false" ht="14.25" hidden="false" customHeight="false" outlineLevel="0" collapsed="false">
      <c r="C177" s="6" t="s">
        <v>158</v>
      </c>
      <c r="D177" s="2" t="s">
        <v>85</v>
      </c>
      <c r="H177" s="8" t="n">
        <f aca="false">SUM(J177:AS177)</f>
        <v>315704.988106025</v>
      </c>
      <c r="J177" s="8" t="n">
        <f aca="false">J453</f>
        <v>0</v>
      </c>
      <c r="K177" s="8" t="n">
        <f aca="false">K453</f>
        <v>0</v>
      </c>
      <c r="L177" s="8" t="n">
        <f aca="false">L453</f>
        <v>0</v>
      </c>
      <c r="M177" s="8" t="n">
        <f aca="false">M453</f>
        <v>0</v>
      </c>
      <c r="N177" s="8" t="n">
        <f aca="false">N453</f>
        <v>0</v>
      </c>
      <c r="O177" s="8" t="n">
        <f aca="false">O453</f>
        <v>5069.771784</v>
      </c>
      <c r="P177" s="8" t="n">
        <f aca="false">P453</f>
        <v>10208.31854868</v>
      </c>
      <c r="Q177" s="8" t="n">
        <f aca="false">Q453</f>
        <v>10240.6875535251</v>
      </c>
      <c r="R177" s="8" t="n">
        <f aca="false">R453</f>
        <v>10272.2251699632</v>
      </c>
      <c r="S177" s="8" t="n">
        <f aca="false">S453</f>
        <v>10302.900354447</v>
      </c>
      <c r="T177" s="8" t="n">
        <f aca="false">T453</f>
        <v>10332.6812323462</v>
      </c>
      <c r="U177" s="8" t="n">
        <f aca="false">U453</f>
        <v>10361.5350771773</v>
      </c>
      <c r="V177" s="8" t="n">
        <f aca="false">V453</f>
        <v>10389.4282893215</v>
      </c>
      <c r="W177" s="8" t="n">
        <f aca="false">W453</f>
        <v>10416.3263742212</v>
      </c>
      <c r="X177" s="8" t="n">
        <f aca="false">X453</f>
        <v>10442.1939200382</v>
      </c>
      <c r="Y177" s="8" t="n">
        <f aca="false">Y453</f>
        <v>10466.9945747646</v>
      </c>
      <c r="Z177" s="8" t="n">
        <f aca="false">Z453</f>
        <v>10490.6910227696</v>
      </c>
      <c r="AA177" s="8" t="n">
        <f aca="false">AA453</f>
        <v>10513.2449607703</v>
      </c>
      <c r="AB177" s="8" t="n">
        <f aca="false">AB453</f>
        <v>10534.6170732123</v>
      </c>
      <c r="AC177" s="8" t="n">
        <f aca="false">AC453</f>
        <v>10554.7670070439</v>
      </c>
      <c r="AD177" s="8" t="n">
        <f aca="false">AD453</f>
        <v>10573.6533458719</v>
      </c>
      <c r="AE177" s="8" t="n">
        <f aca="false">AE453</f>
        <v>10591.2335834807</v>
      </c>
      <c r="AF177" s="8" t="n">
        <f aca="false">AF453</f>
        <v>10607.4640967019</v>
      </c>
      <c r="AG177" s="8" t="n">
        <f aca="false">AG453</f>
        <v>10622.3001176161</v>
      </c>
      <c r="AH177" s="8" t="n">
        <f aca="false">AH453</f>
        <v>10635.6957050725</v>
      </c>
      <c r="AI177" s="8" t="n">
        <f aca="false">AI453</f>
        <v>10647.6037155082</v>
      </c>
      <c r="AJ177" s="8" t="n">
        <f aca="false">AJ453</f>
        <v>10657.9757730504</v>
      </c>
      <c r="AK177" s="8" t="n">
        <f aca="false">AK453</f>
        <v>10666.7622388844</v>
      </c>
      <c r="AL177" s="8" t="n">
        <f aca="false">AL453</f>
        <v>10673.9121798686</v>
      </c>
      <c r="AM177" s="8" t="n">
        <f aca="false">AM453</f>
        <v>10679.3733363789</v>
      </c>
      <c r="AN177" s="8" t="n">
        <f aca="false">AN453</f>
        <v>10683.0920893626</v>
      </c>
      <c r="AO177" s="8" t="n">
        <f aca="false">AO453</f>
        <v>10685.0134265835</v>
      </c>
      <c r="AP177" s="8" t="n">
        <f aca="false">AP453</f>
        <v>10685.0809080371</v>
      </c>
      <c r="AQ177" s="8" t="n">
        <f aca="false">AQ453</f>
        <v>10683.2366305169</v>
      </c>
      <c r="AR177" s="8" t="n">
        <f aca="false">AR453</f>
        <v>10679.4211913102</v>
      </c>
      <c r="AS177" s="8" t="n">
        <f aca="false">AS453</f>
        <v>5336.78682550075</v>
      </c>
    </row>
    <row r="178" customFormat="false" ht="14.25" hidden="false" customHeight="false" outlineLevel="0" collapsed="false">
      <c r="C178" s="1" t="s">
        <v>159</v>
      </c>
      <c r="D178" s="2" t="s">
        <v>85</v>
      </c>
      <c r="H178" s="15" t="n">
        <f aca="false">SUM(J178:AS178)</f>
        <v>238904.92885945</v>
      </c>
      <c r="J178" s="15" t="n">
        <f aca="false">J454</f>
        <v>0</v>
      </c>
      <c r="K178" s="15" t="n">
        <f aca="false">K454</f>
        <v>0</v>
      </c>
      <c r="L178" s="15" t="n">
        <f aca="false">L454</f>
        <v>0</v>
      </c>
      <c r="M178" s="15" t="n">
        <f aca="false">M454</f>
        <v>-29757.5797945206</v>
      </c>
      <c r="N178" s="15" t="n">
        <f aca="false">N454</f>
        <v>-31358</v>
      </c>
      <c r="O178" s="15" t="n">
        <f aca="false">O454</f>
        <v>-13109.228216</v>
      </c>
      <c r="P178" s="15" t="n">
        <f aca="false">P454</f>
        <v>10208.31854868</v>
      </c>
      <c r="Q178" s="15" t="n">
        <f aca="false">Q454</f>
        <v>12735.2081014703</v>
      </c>
      <c r="R178" s="15" t="n">
        <f aca="false">R454</f>
        <v>10272.2251699632</v>
      </c>
      <c r="S178" s="15" t="n">
        <f aca="false">S454</f>
        <v>10302.900354447</v>
      </c>
      <c r="T178" s="15" t="n">
        <f aca="false">T454</f>
        <v>10332.6812323462</v>
      </c>
      <c r="U178" s="15" t="n">
        <f aca="false">U454</f>
        <v>10361.5350771773</v>
      </c>
      <c r="V178" s="15" t="n">
        <f aca="false">V454</f>
        <v>10389.4282893215</v>
      </c>
      <c r="W178" s="15" t="n">
        <f aca="false">W454</f>
        <v>10416.3263742212</v>
      </c>
      <c r="X178" s="15" t="n">
        <f aca="false">X454</f>
        <v>10442.1939200382</v>
      </c>
      <c r="Y178" s="15" t="n">
        <f aca="false">Y454</f>
        <v>10466.9945747646</v>
      </c>
      <c r="Z178" s="15" t="n">
        <f aca="false">Z454</f>
        <v>10490.6910227696</v>
      </c>
      <c r="AA178" s="15" t="n">
        <f aca="false">AA454</f>
        <v>10513.2449607703</v>
      </c>
      <c r="AB178" s="15" t="n">
        <f aca="false">AB454</f>
        <v>10534.6170732123</v>
      </c>
      <c r="AC178" s="15" t="n">
        <f aca="false">AC454</f>
        <v>10554.7670070439</v>
      </c>
      <c r="AD178" s="15" t="n">
        <f aca="false">AD454</f>
        <v>10573.6533458719</v>
      </c>
      <c r="AE178" s="15" t="n">
        <f aca="false">AE454</f>
        <v>10591.2335834807</v>
      </c>
      <c r="AF178" s="15" t="n">
        <f aca="false">AF454</f>
        <v>10607.4640967019</v>
      </c>
      <c r="AG178" s="15" t="n">
        <f aca="false">AG454</f>
        <v>10622.3001176161</v>
      </c>
      <c r="AH178" s="15" t="n">
        <f aca="false">AH454</f>
        <v>10635.6957050725</v>
      </c>
      <c r="AI178" s="15" t="n">
        <f aca="false">AI454</f>
        <v>10647.6037155082</v>
      </c>
      <c r="AJ178" s="15" t="n">
        <f aca="false">AJ454</f>
        <v>10657.9757730504</v>
      </c>
      <c r="AK178" s="15" t="n">
        <f aca="false">AK454</f>
        <v>10666.7622388844</v>
      </c>
      <c r="AL178" s="15" t="n">
        <f aca="false">AL454</f>
        <v>10673.9121798686</v>
      </c>
      <c r="AM178" s="15" t="n">
        <f aca="false">AM454</f>
        <v>10679.3733363789</v>
      </c>
      <c r="AN178" s="15" t="n">
        <f aca="false">AN454</f>
        <v>10683.0920893626</v>
      </c>
      <c r="AO178" s="15" t="n">
        <f aca="false">AO454</f>
        <v>10685.0134265835</v>
      </c>
      <c r="AP178" s="15" t="n">
        <f aca="false">AP454</f>
        <v>10685.0809080371</v>
      </c>
      <c r="AQ178" s="15" t="n">
        <f aca="false">AQ454</f>
        <v>10683.2366305169</v>
      </c>
      <c r="AR178" s="15" t="n">
        <f aca="false">AR454</f>
        <v>10679.4211913102</v>
      </c>
      <c r="AS178" s="15" t="n">
        <f aca="false">AS454</f>
        <v>5336.78682550075</v>
      </c>
    </row>
    <row r="179" customFormat="false" ht="14.25" hidden="false" customHeight="false" outlineLevel="0" collapsed="false">
      <c r="C179" s="1" t="s">
        <v>160</v>
      </c>
      <c r="D179" s="2" t="s">
        <v>85</v>
      </c>
      <c r="H179" s="15" t="n">
        <f aca="false">SUM(J179:AS179)</f>
        <v>203069.189530532</v>
      </c>
      <c r="J179" s="15" t="n">
        <f aca="false">J457</f>
        <v>0</v>
      </c>
      <c r="K179" s="15" t="n">
        <f aca="false">K457</f>
        <v>0</v>
      </c>
      <c r="L179" s="15" t="n">
        <f aca="false">L457</f>
        <v>0</v>
      </c>
      <c r="M179" s="15" t="n">
        <f aca="false">M457</f>
        <v>-29757.5797945206</v>
      </c>
      <c r="N179" s="15" t="n">
        <f aca="false">N457</f>
        <v>-31358</v>
      </c>
      <c r="O179" s="15" t="n">
        <f aca="false">O457</f>
        <v>-13293.6935392507</v>
      </c>
      <c r="P179" s="15" t="n">
        <f aca="false">P457</f>
        <v>9253.07121072731</v>
      </c>
      <c r="Q179" s="15" t="n">
        <f aca="false">Q457</f>
        <v>11775.1054127908</v>
      </c>
      <c r="R179" s="15" t="n">
        <f aca="false">R457</f>
        <v>9307.391838818</v>
      </c>
      <c r="S179" s="15" t="n">
        <f aca="false">S457</f>
        <v>9333.46574562924</v>
      </c>
      <c r="T179" s="15" t="n">
        <f aca="false">T457</f>
        <v>9358.77949184362</v>
      </c>
      <c r="U179" s="15" t="n">
        <f aca="false">U457</f>
        <v>9383.30525994999</v>
      </c>
      <c r="V179" s="15" t="n">
        <f aca="false">V457</f>
        <v>9407.01449027262</v>
      </c>
      <c r="W179" s="15" t="n">
        <f aca="false">W457</f>
        <v>9429.87786243732</v>
      </c>
      <c r="X179" s="15" t="n">
        <f aca="false">X457</f>
        <v>9451.8652763818</v>
      </c>
      <c r="Y179" s="15" t="n">
        <f aca="false">Y457</f>
        <v>9472.94583289924</v>
      </c>
      <c r="Z179" s="15" t="n">
        <f aca="false">Z457</f>
        <v>9493.08781370345</v>
      </c>
      <c r="AA179" s="15" t="n">
        <f aca="false">AA457</f>
        <v>9512.25866100409</v>
      </c>
      <c r="AB179" s="15" t="n">
        <f aca="false">AB457</f>
        <v>9530.42495657974</v>
      </c>
      <c r="AC179" s="15" t="n">
        <f aca="false">AC457</f>
        <v>9547.55240033664</v>
      </c>
      <c r="AD179" s="15" t="n">
        <f aca="false">AD457</f>
        <v>9563.6057883404</v>
      </c>
      <c r="AE179" s="15" t="n">
        <f aca="false">AE457</f>
        <v>9578.5489903079</v>
      </c>
      <c r="AF179" s="15" t="n">
        <f aca="false">AF457</f>
        <v>9592.34492654589</v>
      </c>
      <c r="AG179" s="15" t="n">
        <f aca="false">AG457</f>
        <v>9604.95554432298</v>
      </c>
      <c r="AH179" s="15" t="n">
        <f aca="false">AH457</f>
        <v>9616.34179366096</v>
      </c>
      <c r="AI179" s="15" t="n">
        <f aca="false">AI457</f>
        <v>9050.463158182</v>
      </c>
      <c r="AJ179" s="15" t="n">
        <f aca="false">AJ457</f>
        <v>9059.27940709287</v>
      </c>
      <c r="AK179" s="15" t="n">
        <f aca="false">AK457</f>
        <v>9066.74790305173</v>
      </c>
      <c r="AL179" s="15" t="n">
        <f aca="false">AL457</f>
        <v>9072.8253528883</v>
      </c>
      <c r="AM179" s="15" t="n">
        <f aca="false">AM457</f>
        <v>9077.46733592206</v>
      </c>
      <c r="AN179" s="15" t="n">
        <f aca="false">AN457</f>
        <v>9080.62827595824</v>
      </c>
      <c r="AO179" s="15" t="n">
        <f aca="false">AO457</f>
        <v>9082.26141259599</v>
      </c>
      <c r="AP179" s="15" t="n">
        <f aca="false">AP457</f>
        <v>9082.31877183154</v>
      </c>
      <c r="AQ179" s="15" t="n">
        <f aca="false">AQ457</f>
        <v>9080.75113593939</v>
      </c>
      <c r="AR179" s="15" t="n">
        <f aca="false">AR457</f>
        <v>9077.50801261365</v>
      </c>
      <c r="AS179" s="15" t="n">
        <f aca="false">AS457</f>
        <v>4536.26880167564</v>
      </c>
    </row>
    <row r="180" customFormat="false" ht="14.25" hidden="false" customHeight="false" outlineLevel="0" collapsed="false">
      <c r="C180" s="1" t="s">
        <v>161</v>
      </c>
      <c r="D180" s="2" t="s">
        <v>85</v>
      </c>
      <c r="H180" s="15" t="n">
        <f aca="false">SUM(J180:AS180)</f>
        <v>185634.15526428</v>
      </c>
      <c r="J180" s="15" t="n">
        <f aca="false">J464</f>
        <v>0</v>
      </c>
      <c r="K180" s="15" t="n">
        <f aca="false">K464</f>
        <v>0</v>
      </c>
      <c r="L180" s="15" t="n">
        <f aca="false">L464</f>
        <v>0</v>
      </c>
      <c r="M180" s="15" t="n">
        <f aca="false">M464</f>
        <v>-29757.5797945206</v>
      </c>
      <c r="N180" s="15" t="n">
        <f aca="false">N464</f>
        <v>-31358</v>
      </c>
      <c r="O180" s="15" t="n">
        <f aca="false">O464</f>
        <v>32786.3420086945</v>
      </c>
      <c r="P180" s="15" t="n">
        <f aca="false">P464</f>
        <v>5159.21543953256</v>
      </c>
      <c r="Q180" s="15" t="n">
        <f aca="false">Q464</f>
        <v>7665.23373464301</v>
      </c>
      <c r="R180" s="15" t="n">
        <f aca="false">R464</f>
        <v>5180.70345836949</v>
      </c>
      <c r="S180" s="15" t="n">
        <f aca="false">S464</f>
        <v>5189.11982776499</v>
      </c>
      <c r="T180" s="15" t="n">
        <f aca="false">T464</f>
        <v>5195.89315969284</v>
      </c>
      <c r="U180" s="15" t="n">
        <f aca="false">U464</f>
        <v>5200.95149279836</v>
      </c>
      <c r="V180" s="15" t="n">
        <f aca="false">V464</f>
        <v>5204.21991637009</v>
      </c>
      <c r="W180" s="15" t="n">
        <f aca="false">W464</f>
        <v>5205.62044144634</v>
      </c>
      <c r="X180" s="15" t="n">
        <f aca="false">X464</f>
        <v>5205.07186594796</v>
      </c>
      <c r="Y180" s="15" t="n">
        <f aca="false">Y464</f>
        <v>5202.48963355039</v>
      </c>
      <c r="Z180" s="15" t="n">
        <f aca="false">Z464</f>
        <v>5197.78568599385</v>
      </c>
      <c r="AA180" s="15" t="n">
        <f aca="false">AA464</f>
        <v>5190.86830851569</v>
      </c>
      <c r="AB180" s="15" t="n">
        <f aca="false">AB464</f>
        <v>5181.64196807361</v>
      </c>
      <c r="AC180" s="15" t="n">
        <f aca="false">AC464</f>
        <v>5170.00714401188</v>
      </c>
      <c r="AD180" s="15" t="n">
        <f aca="false">AD464</f>
        <v>5155.86015080609</v>
      </c>
      <c r="AE180" s="15" t="n">
        <f aca="false">AE464</f>
        <v>9578.5489903079</v>
      </c>
      <c r="AF180" s="15" t="n">
        <f aca="false">AF464</f>
        <v>9592.34492654589</v>
      </c>
      <c r="AG180" s="15" t="n">
        <f aca="false">AG464</f>
        <v>9604.95554432298</v>
      </c>
      <c r="AH180" s="15" t="n">
        <f aca="false">AH464</f>
        <v>9616.34179366096</v>
      </c>
      <c r="AI180" s="15" t="n">
        <f aca="false">AI464</f>
        <v>9050.463158182</v>
      </c>
      <c r="AJ180" s="15" t="n">
        <f aca="false">AJ464</f>
        <v>9059.27940709287</v>
      </c>
      <c r="AK180" s="15" t="n">
        <f aca="false">AK464</f>
        <v>9066.74790305173</v>
      </c>
      <c r="AL180" s="15" t="n">
        <f aca="false">AL464</f>
        <v>9072.8253528883</v>
      </c>
      <c r="AM180" s="15" t="n">
        <f aca="false">AM464</f>
        <v>9077.46733592206</v>
      </c>
      <c r="AN180" s="15" t="n">
        <f aca="false">AN464</f>
        <v>9080.62827595824</v>
      </c>
      <c r="AO180" s="15" t="n">
        <f aca="false">AO464</f>
        <v>9082.26141259599</v>
      </c>
      <c r="AP180" s="15" t="n">
        <f aca="false">AP464</f>
        <v>9082.31877183154</v>
      </c>
      <c r="AQ180" s="15" t="n">
        <f aca="false">AQ464</f>
        <v>9080.75113593939</v>
      </c>
      <c r="AR180" s="15" t="n">
        <f aca="false">AR464</f>
        <v>9077.50801261365</v>
      </c>
      <c r="AS180" s="15" t="n">
        <f aca="false">AS464</f>
        <v>4536.26880167564</v>
      </c>
    </row>
    <row r="181" customFormat="false" ht="14.25" hidden="false" customHeight="false" outlineLevel="0" collapsed="false">
      <c r="C181" s="6" t="s">
        <v>162</v>
      </c>
      <c r="D181" s="2" t="s">
        <v>85</v>
      </c>
      <c r="J181" s="8" t="n">
        <f aca="false">SUM($J178:J178)</f>
        <v>0</v>
      </c>
      <c r="K181" s="8" t="n">
        <f aca="false">SUM($J178:K178)</f>
        <v>0</v>
      </c>
      <c r="L181" s="8" t="n">
        <f aca="false">SUM($J178:L178)</f>
        <v>0</v>
      </c>
      <c r="M181" s="8" t="n">
        <f aca="false">SUM($J178:M178)</f>
        <v>-29757.5797945206</v>
      </c>
      <c r="N181" s="8" t="n">
        <f aca="false">SUM($J178:N178)</f>
        <v>-61115.5797945206</v>
      </c>
      <c r="O181" s="8" t="n">
        <f aca="false">SUM($J178:O178)</f>
        <v>-74224.8080105205</v>
      </c>
      <c r="P181" s="8" t="n">
        <f aca="false">SUM($J178:P178)</f>
        <v>-64016.4894618405</v>
      </c>
      <c r="Q181" s="8" t="n">
        <f aca="false">SUM($J178:Q178)</f>
        <v>-51281.2813603703</v>
      </c>
      <c r="R181" s="8" t="n">
        <f aca="false">SUM($J178:R178)</f>
        <v>-41009.0561904071</v>
      </c>
      <c r="S181" s="8" t="n">
        <f aca="false">SUM($J178:S178)</f>
        <v>-30706.1558359602</v>
      </c>
      <c r="T181" s="8" t="n">
        <f aca="false">SUM($J178:T178)</f>
        <v>-20373.4746036139</v>
      </c>
      <c r="U181" s="8" t="n">
        <f aca="false">SUM($J178:U178)</f>
        <v>-10011.9395264367</v>
      </c>
      <c r="V181" s="8" t="n">
        <f aca="false">SUM($J178:V178)</f>
        <v>377.488762884879</v>
      </c>
      <c r="W181" s="8" t="n">
        <f aca="false">SUM($J178:W178)</f>
        <v>10793.8151371061</v>
      </c>
      <c r="X181" s="8" t="n">
        <f aca="false">SUM($J178:X178)</f>
        <v>21236.0090571443</v>
      </c>
      <c r="Y181" s="8" t="n">
        <f aca="false">SUM($J178:Y178)</f>
        <v>31703.0036319089</v>
      </c>
      <c r="Z181" s="8" t="n">
        <f aca="false">SUM($J178:Z178)</f>
        <v>42193.6946546785</v>
      </c>
      <c r="AA181" s="8" t="n">
        <f aca="false">SUM($J178:AA178)</f>
        <v>52706.9396154488</v>
      </c>
      <c r="AB181" s="8" t="n">
        <f aca="false">SUM($J178:AB178)</f>
        <v>63241.5566886611</v>
      </c>
      <c r="AC181" s="8" t="n">
        <f aca="false">SUM($J178:AC178)</f>
        <v>73796.323695705</v>
      </c>
      <c r="AD181" s="8" t="n">
        <f aca="false">SUM($J178:AD178)</f>
        <v>84369.9770415768</v>
      </c>
      <c r="AE181" s="8" t="n">
        <f aca="false">SUM($J178:AE178)</f>
        <v>94961.2106250575</v>
      </c>
      <c r="AF181" s="8" t="n">
        <f aca="false">SUM($J178:AF178)</f>
        <v>105568.674721759</v>
      </c>
      <c r="AG181" s="8" t="n">
        <f aca="false">SUM($J178:AG178)</f>
        <v>116190.974839375</v>
      </c>
      <c r="AH181" s="8" t="n">
        <f aca="false">SUM($J178:AH178)</f>
        <v>126826.670544448</v>
      </c>
      <c r="AI181" s="8" t="n">
        <f aca="false">SUM($J178:AI178)</f>
        <v>137474.274259956</v>
      </c>
      <c r="AJ181" s="8" t="n">
        <f aca="false">SUM($J178:AJ178)</f>
        <v>148132.250033007</v>
      </c>
      <c r="AK181" s="8" t="n">
        <f aca="false">SUM($J178:AK178)</f>
        <v>158799.012271891</v>
      </c>
      <c r="AL181" s="8" t="n">
        <f aca="false">SUM($J178:AL178)</f>
        <v>169472.92445176</v>
      </c>
      <c r="AM181" s="8" t="n">
        <f aca="false">SUM($J178:AM178)</f>
        <v>180152.297788139</v>
      </c>
      <c r="AN181" s="8" t="n">
        <f aca="false">SUM($J178:AN178)</f>
        <v>190835.389877501</v>
      </c>
      <c r="AO181" s="8" t="n">
        <f aca="false">SUM($J178:AO178)</f>
        <v>201520.403304085</v>
      </c>
      <c r="AP181" s="8" t="n">
        <f aca="false">SUM($J178:AP178)</f>
        <v>212205.484212122</v>
      </c>
      <c r="AQ181" s="8" t="n">
        <f aca="false">SUM($J178:AQ178)</f>
        <v>222888.720842639</v>
      </c>
      <c r="AR181" s="8" t="n">
        <f aca="false">SUM($J178:AR178)</f>
        <v>233568.142033949</v>
      </c>
      <c r="AS181" s="8" t="n">
        <f aca="false">SUM($J178:AS178)</f>
        <v>238904.92885945</v>
      </c>
    </row>
    <row r="183" customFormat="false" ht="14.25" hidden="false" customHeight="false" outlineLevel="0" collapsed="false">
      <c r="B183" s="4" t="s">
        <v>3</v>
      </c>
      <c r="C183" s="4" t="s">
        <v>164</v>
      </c>
      <c r="D183" s="4"/>
      <c r="E183" s="5" t="s">
        <v>5</v>
      </c>
      <c r="F183" s="5" t="s">
        <v>6</v>
      </c>
      <c r="G183" s="5" t="s">
        <v>7</v>
      </c>
      <c r="H183" s="5" t="s">
        <v>8</v>
      </c>
    </row>
    <row r="185" customFormat="false" ht="14.25" hidden="false" customHeight="false" outlineLevel="0" collapsed="false">
      <c r="B185" s="4" t="s">
        <v>3</v>
      </c>
      <c r="C185" s="4" t="s">
        <v>165</v>
      </c>
      <c r="D185" s="4"/>
      <c r="E185" s="5" t="s">
        <v>5</v>
      </c>
      <c r="F185" s="5" t="s">
        <v>6</v>
      </c>
      <c r="G185" s="5" t="s">
        <v>7</v>
      </c>
      <c r="H185" s="5" t="s">
        <v>8</v>
      </c>
    </row>
    <row r="186" customFormat="false" ht="14.25" hidden="false" customHeight="false" outlineLevel="0" collapsed="false">
      <c r="C186" s="54" t="s">
        <v>166</v>
      </c>
      <c r="D186" s="55" t="s">
        <v>167</v>
      </c>
      <c r="E186" s="56" t="n">
        <f aca="false">MIN(Freeze_Date,Sale_Date)</f>
        <v>47299</v>
      </c>
      <c r="F186" s="56" t="n">
        <f aca="false">MIN(Freeze_Date,Sale_Date)</f>
        <v>47299</v>
      </c>
      <c r="G186" s="56" t="n">
        <f aca="false">MIN(Freeze_Date,Sale_Date)</f>
        <v>47299</v>
      </c>
      <c r="H186" s="57"/>
    </row>
    <row r="187" customFormat="false" ht="14.25" hidden="false" customHeight="false" outlineLevel="0" collapsed="false">
      <c r="C187" s="54" t="s">
        <v>168</v>
      </c>
      <c r="D187" s="55" t="s">
        <v>3</v>
      </c>
      <c r="E187" s="58" t="n">
        <f aca="false">1+Rate_Cash*(E186-DATE(YEAR(E186),1,1)+1)/Days_In_Year</f>
        <v>1.05950684931507</v>
      </c>
      <c r="F187" s="58" t="n">
        <f aca="false">1+Rate_Cash*(F186-DATE(YEAR(F186),1,1)+1)/Days_In_Year</f>
        <v>1.05950684931507</v>
      </c>
      <c r="G187" s="58" t="n">
        <f aca="false">1+Rate_Cash*(G186-DATE(YEAR(G186),1,1)+1)/Days_In_Year</f>
        <v>1.05950684931507</v>
      </c>
      <c r="H187" s="57"/>
    </row>
    <row r="188" customFormat="false" ht="14.25" hidden="false" customHeight="false" outlineLevel="0" collapsed="false">
      <c r="C188" s="54" t="s">
        <v>169</v>
      </c>
      <c r="D188" s="55" t="s">
        <v>3</v>
      </c>
      <c r="E188" s="58" t="n">
        <f aca="false">1+Rate_Devex*(E186-DATE(YEAR(E186),1,1)+1)/Days_In_Year</f>
        <v>1.09917808219178</v>
      </c>
      <c r="F188" s="58" t="n">
        <f aca="false">1+Rate_Devex*(F186-DATE(YEAR(F186),1,1)+1)/Days_In_Year</f>
        <v>1.09917808219178</v>
      </c>
      <c r="G188" s="58" t="n">
        <f aca="false">1+Rate_Devex*(G186-DATE(YEAR(G186),1,1)+1)/Days_In_Year</f>
        <v>1.09917808219178</v>
      </c>
      <c r="H188" s="57"/>
    </row>
    <row r="189" customFormat="false" ht="14.25" hidden="false" customHeight="false" outlineLevel="0" collapsed="false">
      <c r="C189" s="54" t="s">
        <v>170</v>
      </c>
      <c r="D189" s="55" t="s">
        <v>171</v>
      </c>
      <c r="E189" s="59" t="n">
        <f aca="false">DATE(YEAR(Inputs!E$21)+1,1,1)-Inputs!E$21</f>
        <v>63</v>
      </c>
      <c r="F189" s="59" t="n">
        <f aca="false">DATE(YEAR(Inputs!F$21)+1,1,1)-Inputs!F$21</f>
        <v>63</v>
      </c>
      <c r="G189" s="59" t="n">
        <f aca="false">DATE(YEAR(Inputs!G$21)+1,1,1)-Inputs!G$21</f>
        <v>63</v>
      </c>
      <c r="H189" s="57"/>
    </row>
    <row r="190" customFormat="false" ht="14.25" hidden="false" customHeight="false" outlineLevel="0" collapsed="false">
      <c r="C190" s="54" t="s">
        <v>172</v>
      </c>
      <c r="D190" s="55" t="s">
        <v>3</v>
      </c>
      <c r="E190" s="58" t="n">
        <f aca="false">(1+Rate_Cash*E189/Days_In_Year)*(1+Rate_Cash)^(YEAR(E186)-YEAR(Inputs!E$21)-1)*E187</f>
        <v>1.35657301688182</v>
      </c>
      <c r="F190" s="58" t="n">
        <f aca="false">(1+Rate_Cash*F189/Days_In_Year)*(1+Rate_Cash)^(YEAR(F186)-YEAR(Inputs!F$21)-1)*F187</f>
        <v>1.35657301688182</v>
      </c>
      <c r="G190" s="58" t="n">
        <f aca="false">(1+Rate_Cash*G189/Days_In_Year)*(1+Rate_Cash)^(YEAR(G186)-YEAR(Inputs!G$21)-1)*G187</f>
        <v>1.35657301688182</v>
      </c>
      <c r="H190" s="57"/>
    </row>
    <row r="191" customFormat="false" ht="14.25" hidden="false" customHeight="false" outlineLevel="0" collapsed="false">
      <c r="C191" s="54" t="s">
        <v>173</v>
      </c>
      <c r="D191" s="55" t="s">
        <v>171</v>
      </c>
      <c r="E191" s="59" t="n">
        <f aca="false">DATE(YEAR(Inputs!E$22)+1,1,1)-Inputs!E$22</f>
        <v>351</v>
      </c>
      <c r="F191" s="59" t="n">
        <f aca="false">DATE(YEAR(Inputs!F$22)+1,1,1)-Inputs!F$22</f>
        <v>351</v>
      </c>
      <c r="G191" s="59" t="n">
        <f aca="false">DATE(YEAR(Inputs!G$22)+1,1,1)-Inputs!G$22</f>
        <v>351</v>
      </c>
      <c r="H191" s="57"/>
    </row>
    <row r="192" customFormat="false" ht="14.25" hidden="false" customHeight="false" outlineLevel="0" collapsed="false">
      <c r="C192" s="54" t="s">
        <v>174</v>
      </c>
      <c r="D192" s="55" t="s">
        <v>3</v>
      </c>
      <c r="E192" s="58" t="n">
        <f aca="false">(1+Rate_Cash*E191/Days_In_Year)*(1+Rate_Cash)^(YEAR(E186)-YEAR(Inputs!E$22)-1)*E187</f>
        <v>1.32358356140364</v>
      </c>
      <c r="F192" s="58" t="n">
        <f aca="false">(1+Rate_Cash*F191/Days_In_Year)*(1+Rate_Cash)^(YEAR(F186)-YEAR(Inputs!F$22)-1)*F187</f>
        <v>1.32358356140364</v>
      </c>
      <c r="G192" s="58" t="n">
        <f aca="false">(1+Rate_Cash*G191/Days_In_Year)*(1+Rate_Cash)^(YEAR(G186)-YEAR(Inputs!G$22)-1)*G187</f>
        <v>1.32358356140364</v>
      </c>
      <c r="H192" s="57"/>
    </row>
    <row r="193" customFormat="false" ht="14.25" hidden="false" customHeight="false" outlineLevel="0" collapsed="false">
      <c r="C193" s="54" t="s">
        <v>175</v>
      </c>
      <c r="D193" s="55" t="s">
        <v>171</v>
      </c>
      <c r="E193" s="59" t="n">
        <f aca="false">DATE(YEAR(Inputs!E$23)+1,1,1)-Inputs!E$23</f>
        <v>351</v>
      </c>
      <c r="F193" s="59" t="n">
        <f aca="false">DATE(YEAR(Inputs!F$23)+1,1,1)-Inputs!F$23</f>
        <v>351</v>
      </c>
      <c r="G193" s="59" t="n">
        <f aca="false">DATE(YEAR(Inputs!G$23)+1,1,1)-Inputs!G$23</f>
        <v>351</v>
      </c>
      <c r="H193" s="57"/>
    </row>
    <row r="194" customFormat="false" ht="14.25" hidden="false" customHeight="false" outlineLevel="0" collapsed="false">
      <c r="C194" s="54" t="s">
        <v>176</v>
      </c>
      <c r="D194" s="55" t="s">
        <v>3</v>
      </c>
      <c r="E194" s="58" t="n">
        <f aca="false">(1+Rate_Cash*E193/Days_In_Year)*(1+Rate_Cash)^(YEAR(E186)-YEAR(Inputs!E$23)-1)*E187</f>
        <v>1.32358356140364</v>
      </c>
      <c r="F194" s="58" t="n">
        <f aca="false">(1+Rate_Cash*F193/Days_In_Year)*(1+Rate_Cash)^(YEAR(F186)-YEAR(Inputs!F$23)-1)*F187</f>
        <v>1.32358356140364</v>
      </c>
      <c r="G194" s="58" t="n">
        <f aca="false">(1+Rate_Cash*G193/Days_In_Year)*(1+Rate_Cash)^(YEAR(G186)-YEAR(Inputs!G$23)-1)*G187</f>
        <v>1.32358356140364</v>
      </c>
      <c r="H194" s="57"/>
    </row>
    <row r="195" customFormat="false" ht="14.25" hidden="false" customHeight="false" outlineLevel="0" collapsed="false">
      <c r="C195" s="54" t="s">
        <v>177</v>
      </c>
      <c r="D195" s="55" t="s">
        <v>171</v>
      </c>
      <c r="E195" s="59" t="n">
        <f aca="false">DATE(YEAR(Inputs!E$24)+1,1,1)-Inputs!E$24</f>
        <v>92</v>
      </c>
      <c r="F195" s="59" t="n">
        <f aca="false">DATE(YEAR(Inputs!F$24)+1,1,1)-Inputs!F$24</f>
        <v>92</v>
      </c>
      <c r="G195" s="59" t="n">
        <f aca="false">DATE(YEAR(Inputs!G$24)+1,1,1)-Inputs!G$24</f>
        <v>92</v>
      </c>
      <c r="H195" s="57"/>
    </row>
    <row r="196" customFormat="false" ht="14.25" hidden="false" customHeight="false" outlineLevel="0" collapsed="false">
      <c r="C196" s="54" t="s">
        <v>178</v>
      </c>
      <c r="D196" s="55" t="s">
        <v>3</v>
      </c>
      <c r="E196" s="58" t="n">
        <f aca="false">(1+Rate_Cash*E195/Days_In_Year)*(1+Rate_Cash)^(YEAR(E186)-YEAR(Inputs!E$24)-1)*E187</f>
        <v>1.09155330305874</v>
      </c>
      <c r="F196" s="58" t="n">
        <f aca="false">(1+Rate_Cash*F195/Days_In_Year)*(1+Rate_Cash)^(YEAR(F186)-YEAR(Inputs!F$24)-1)*F187</f>
        <v>1.09155330305874</v>
      </c>
      <c r="G196" s="58" t="n">
        <f aca="false">(1+Rate_Cash*G195/Days_In_Year)*(1+Rate_Cash)^(YEAR(G186)-YEAR(Inputs!G$24)-1)*G187</f>
        <v>1.09155330305874</v>
      </c>
      <c r="H196" s="57"/>
    </row>
    <row r="197" customFormat="false" ht="14.25" hidden="false" customHeight="false" outlineLevel="0" collapsed="false">
      <c r="C197" s="54" t="s">
        <v>179</v>
      </c>
      <c r="D197" s="55" t="s">
        <v>171</v>
      </c>
      <c r="E197" s="59" t="n">
        <f aca="false">DATE(YEAR($J$56)+1,1,1)-$J$56</f>
        <v>241.823134179002</v>
      </c>
      <c r="F197" s="59" t="n">
        <f aca="false">DATE(YEAR($J$56)+1,1,1)-$J$56</f>
        <v>241.823134179002</v>
      </c>
      <c r="G197" s="59" t="n">
        <f aca="false">DATE(YEAR($J$56)+1,1,1)-$J$56</f>
        <v>241.823134179002</v>
      </c>
      <c r="H197" s="57"/>
    </row>
    <row r="198" customFormat="false" ht="14.25" hidden="false" customHeight="false" outlineLevel="0" collapsed="false">
      <c r="C198" s="54" t="s">
        <v>180</v>
      </c>
      <c r="D198" s="55" t="s">
        <v>3</v>
      </c>
      <c r="E198" s="58" t="n">
        <f aca="false">(1+Rate_Devex*E197/Days_In_Year)*(1+Rate_Devex)^(YEAR(E186)-YEAR($J$56)-1)*E188</f>
        <v>1.24482558293506</v>
      </c>
      <c r="F198" s="58" t="n">
        <f aca="false">(1+Rate_Devex*F197/Days_In_Year)*(1+Rate_Devex)^(YEAR(F186)-YEAR($J$56)-1)*F188</f>
        <v>1.24482558293506</v>
      </c>
      <c r="G198" s="58" t="n">
        <f aca="false">(1+Rate_Devex*G197/Days_In_Year)*(1+Rate_Devex)^(YEAR(G186)-YEAR($J$56)-1)*G188</f>
        <v>1.24482558293506</v>
      </c>
      <c r="H198" s="57"/>
    </row>
    <row r="199" customFormat="false" ht="14.25" hidden="false" customHeight="false" outlineLevel="0" collapsed="false">
      <c r="C199" s="54" t="s">
        <v>181</v>
      </c>
      <c r="D199" s="55" t="s">
        <v>171</v>
      </c>
      <c r="E199" s="59" t="n">
        <f aca="false">DATE(YEAR($J$55)+1,1,1)-$J$55</f>
        <v>38.8757241119529</v>
      </c>
      <c r="F199" s="59" t="n">
        <f aca="false">DATE(YEAR($J$55)+1,1,1)-$J$55</f>
        <v>38.8757241119529</v>
      </c>
      <c r="G199" s="59" t="n">
        <f aca="false">DATE(YEAR($J$55)+1,1,1)-$J$55</f>
        <v>38.8757241119529</v>
      </c>
      <c r="H199" s="57"/>
    </row>
    <row r="200" customFormat="false" ht="14.25" hidden="false" customHeight="false" outlineLevel="0" collapsed="false">
      <c r="C200" s="54" t="s">
        <v>182</v>
      </c>
      <c r="D200" s="55" t="s">
        <v>3</v>
      </c>
      <c r="E200" s="58" t="n">
        <f aca="false">(1+Rate_Devex*E199/Days_In_Year)*(1+Rate_Devex)^(YEAR(E186)-YEAR($J$55)-1)*E188</f>
        <v>1.34711102062895</v>
      </c>
      <c r="F200" s="58" t="n">
        <f aca="false">(1+Rate_Devex*F199/Days_In_Year)*(1+Rate_Devex)^(YEAR(F186)-YEAR($J$55)-1)*F188</f>
        <v>1.34711102062895</v>
      </c>
      <c r="G200" s="58" t="n">
        <f aca="false">(1+Rate_Devex*G199/Days_In_Year)*(1+Rate_Devex)^(YEAR(G186)-YEAR($J$55)-1)*G188</f>
        <v>1.34711102062895</v>
      </c>
      <c r="H200" s="57"/>
    </row>
    <row r="201" customFormat="false" ht="14.25" hidden="false" customHeight="false" outlineLevel="0" collapsed="false">
      <c r="C201" s="54" t="s">
        <v>183</v>
      </c>
      <c r="D201" s="55" t="s">
        <v>85</v>
      </c>
      <c r="E201" s="60" t="n">
        <f aca="false">E$21*E61*(E190-1)</f>
        <v>2.93073712505603</v>
      </c>
      <c r="F201" s="60" t="n">
        <f aca="false">F$21*F61*(F190-1)</f>
        <v>0</v>
      </c>
      <c r="G201" s="60" t="n">
        <f aca="false">G$21*G61*(G190-1)</f>
        <v>0</v>
      </c>
      <c r="H201" s="60" t="n">
        <f aca="false">SUM(E201:G201)</f>
        <v>2.93073712505603</v>
      </c>
    </row>
    <row r="202" customFormat="false" ht="14.25" hidden="false" customHeight="false" outlineLevel="0" collapsed="false">
      <c r="C202" s="54" t="s">
        <v>184</v>
      </c>
      <c r="D202" s="55" t="s">
        <v>85</v>
      </c>
      <c r="E202" s="61" t="n">
        <f aca="false">E$21*E62*(E190-1)</f>
        <v>138.526174777648</v>
      </c>
      <c r="F202" s="61" t="n">
        <f aca="false">F$21*F62*(F190-1)</f>
        <v>0</v>
      </c>
      <c r="G202" s="61" t="n">
        <f aca="false">G$21*G62*(G190-1)</f>
        <v>0</v>
      </c>
      <c r="H202" s="61" t="n">
        <f aca="false">SUM(E202:G202)</f>
        <v>138.526174777648</v>
      </c>
    </row>
    <row r="203" customFormat="false" ht="14.25" hidden="false" customHeight="false" outlineLevel="0" collapsed="false">
      <c r="C203" s="54" t="s">
        <v>185</v>
      </c>
      <c r="D203" s="55" t="s">
        <v>85</v>
      </c>
      <c r="E203" s="61" t="n">
        <f aca="false">E$21*E63*(E192-1)</f>
        <v>502.839989118205</v>
      </c>
      <c r="F203" s="61" t="n">
        <f aca="false">F$21*F63*(F192-1)</f>
        <v>0</v>
      </c>
      <c r="G203" s="61" t="n">
        <f aca="false">G$21*G63*(G192-1)</f>
        <v>0</v>
      </c>
      <c r="H203" s="61" t="n">
        <f aca="false">SUM(E203:G203)</f>
        <v>502.839989118205</v>
      </c>
    </row>
    <row r="204" customFormat="false" ht="14.25" hidden="false" customHeight="false" outlineLevel="0" collapsed="false">
      <c r="C204" s="54" t="s">
        <v>186</v>
      </c>
      <c r="D204" s="55" t="s">
        <v>85</v>
      </c>
      <c r="E204" s="61" t="n">
        <f aca="false">E$21*E64*(E194-1)</f>
        <v>199.469318673477</v>
      </c>
      <c r="F204" s="61" t="n">
        <f aca="false">F$21*F64*(F194-1)</f>
        <v>0</v>
      </c>
      <c r="G204" s="61" t="n">
        <f aca="false">G$21*G64*(G194-1)</f>
        <v>0</v>
      </c>
      <c r="H204" s="61" t="n">
        <f aca="false">SUM(E204:G204)</f>
        <v>199.469318673477</v>
      </c>
    </row>
    <row r="205" customFormat="false" ht="14.25" hidden="false" customHeight="false" outlineLevel="0" collapsed="false">
      <c r="C205" s="54" t="s">
        <v>187</v>
      </c>
      <c r="D205" s="55" t="s">
        <v>85</v>
      </c>
      <c r="E205" s="61" t="n">
        <f aca="false">E$21*E65*(E196-1)</f>
        <v>63.7544348660937</v>
      </c>
      <c r="F205" s="61" t="n">
        <f aca="false">F$21*F65*(F196-1)</f>
        <v>0</v>
      </c>
      <c r="G205" s="61" t="n">
        <f aca="false">G$21*G65*(G196-1)</f>
        <v>0</v>
      </c>
      <c r="H205" s="61" t="n">
        <f aca="false">SUM(E205:G205)</f>
        <v>63.7544348660937</v>
      </c>
    </row>
    <row r="206" customFormat="false" ht="14.25" hidden="false" customHeight="false" outlineLevel="0" collapsed="false">
      <c r="C206" s="54" t="s">
        <v>188</v>
      </c>
      <c r="D206" s="55" t="s">
        <v>85</v>
      </c>
      <c r="E206" s="61" t="n">
        <f aca="false">E$21*E66*(E196-1)</f>
        <v>859.990350596064</v>
      </c>
      <c r="F206" s="61" t="n">
        <f aca="false">F$21*F66*(F196-1)</f>
        <v>0</v>
      </c>
      <c r="G206" s="61" t="n">
        <f aca="false">G$21*G66*(G196-1)</f>
        <v>0</v>
      </c>
      <c r="H206" s="61" t="n">
        <f aca="false">SUM(E206:G206)</f>
        <v>859.990350596064</v>
      </c>
    </row>
    <row r="207" customFormat="false" ht="14.25" hidden="false" customHeight="false" outlineLevel="0" collapsed="false">
      <c r="C207" s="54" t="s">
        <v>189</v>
      </c>
      <c r="D207" s="55" t="s">
        <v>85</v>
      </c>
      <c r="E207" s="61" t="n">
        <f aca="false">E$21*E68*MAX(E198-1,Devex_Floor-1)</f>
        <v>107.801712328767</v>
      </c>
      <c r="F207" s="61" t="n">
        <f aca="false">F$21*F68*MAX(F198-1,Devex_Floor-1)</f>
        <v>0</v>
      </c>
      <c r="G207" s="61" t="n">
        <f aca="false">G$21*G68*MAX(G198-1,Devex_Floor-1)</f>
        <v>0</v>
      </c>
      <c r="H207" s="61" t="n">
        <f aca="false">SUM(E207:G207)</f>
        <v>107.801712328767</v>
      </c>
    </row>
    <row r="208" customFormat="false" ht="14.25" hidden="false" customHeight="false" outlineLevel="0" collapsed="false">
      <c r="C208" s="54" t="s">
        <v>190</v>
      </c>
      <c r="D208" s="55" t="s">
        <v>85</v>
      </c>
      <c r="E208" s="61" t="n">
        <f aca="false">E$21*E67*MAX(E200-1,Devex_Floor-1)</f>
        <v>701.098816348896</v>
      </c>
      <c r="F208" s="61" t="n">
        <f aca="false">F$21*F67*MAX(F200-1,Devex_Floor-1)</f>
        <v>0</v>
      </c>
      <c r="G208" s="61" t="n">
        <f aca="false">G$21*G67*MAX(G200-1,Devex_Floor-1)</f>
        <v>0</v>
      </c>
      <c r="H208" s="61" t="n">
        <f aca="false">SUM(E208:G208)</f>
        <v>701.098816348896</v>
      </c>
    </row>
    <row r="209" customFormat="false" ht="14.25" hidden="false" customHeight="false" outlineLevel="0" collapsed="false">
      <c r="C209" s="62" t="s">
        <v>191</v>
      </c>
      <c r="D209" s="55" t="s">
        <v>85</v>
      </c>
      <c r="E209" s="63" t="n">
        <f aca="false">SUM(E201:E208)</f>
        <v>2576.41153383421</v>
      </c>
      <c r="F209" s="63" t="n">
        <f aca="false">SUM(F201:F208)</f>
        <v>0</v>
      </c>
      <c r="G209" s="63" t="n">
        <f aca="false">SUM(G201:G208)</f>
        <v>0</v>
      </c>
      <c r="H209" s="63" t="n">
        <f aca="false">SUM(E209:G209)</f>
        <v>2576.41153383421</v>
      </c>
    </row>
    <row r="210" customFormat="false" ht="14.25" hidden="false" customHeight="false" outlineLevel="0" collapsed="false">
      <c r="C210" s="54" t="s">
        <v>192</v>
      </c>
      <c r="D210" s="55" t="s">
        <v>85</v>
      </c>
      <c r="E210" s="61" t="n">
        <f aca="false">E20*MIN(DSA_Rate*YEARFRAC(Inputs!E$28,Sale_Date),DSA_Cap)*E44</f>
        <v>437.5</v>
      </c>
      <c r="F210" s="61" t="n">
        <f aca="false">F20*MIN(DSA_Rate*YEARFRAC(Inputs!F$28,Sale_Date),DSA_Cap)*F44</f>
        <v>0</v>
      </c>
      <c r="G210" s="61" t="n">
        <f aca="false">G20*MIN(DSA_Rate*YEARFRAC(Inputs!G$28,Sale_Date),DSA_Cap)*G44</f>
        <v>0</v>
      </c>
      <c r="H210" s="61" t="n">
        <f aca="false">SUM(E210:G210)</f>
        <v>437.5</v>
      </c>
    </row>
    <row r="212" customFormat="false" ht="14.25" hidden="false" customHeight="false" outlineLevel="0" collapsed="false">
      <c r="B212" s="4" t="s">
        <v>3</v>
      </c>
      <c r="C212" s="4" t="s">
        <v>193</v>
      </c>
      <c r="D212" s="4"/>
      <c r="E212" s="5" t="s">
        <v>5</v>
      </c>
      <c r="F212" s="5" t="s">
        <v>6</v>
      </c>
      <c r="G212" s="5" t="s">
        <v>7</v>
      </c>
      <c r="H212" s="5" t="s">
        <v>8</v>
      </c>
    </row>
    <row r="213" customFormat="false" ht="14.25" hidden="false" customHeight="false" outlineLevel="0" collapsed="false">
      <c r="C213" s="54" t="s">
        <v>194</v>
      </c>
      <c r="D213" s="55" t="s">
        <v>85</v>
      </c>
      <c r="E213" s="61" t="n">
        <f aca="false">E65+E66</f>
        <v>10089.6937041096</v>
      </c>
      <c r="F213" s="61" t="n">
        <f aca="false">F65+F66</f>
        <v>3359.81917808219</v>
      </c>
      <c r="G213" s="61" t="n">
        <f aca="false">G65+G66</f>
        <v>3359.81917808219</v>
      </c>
      <c r="H213" s="61" t="n">
        <f aca="false">SUM(E213:G213)</f>
        <v>16809.332060274</v>
      </c>
    </row>
    <row r="214" customFormat="false" ht="14.25" hidden="false" customHeight="false" outlineLevel="0" collapsed="false">
      <c r="C214" s="54" t="s">
        <v>195</v>
      </c>
      <c r="D214" s="55" t="s">
        <v>74</v>
      </c>
      <c r="E214" s="61" t="n">
        <f aca="false">SUMIFS(Devex_HUF,Devex_Class,"Land",Devex_Date,"&lt;="&amp;Sale_Date_A)</f>
        <v>66190500</v>
      </c>
      <c r="F214" s="61" t="n">
        <f aca="false">SUMIFS(Devex_HUF,Devex_Class,"Land",Devex_Date,"&lt;="&amp;Sale_Date_A)</f>
        <v>66190500</v>
      </c>
      <c r="G214" s="61" t="n">
        <f aca="false">SUMIFS(Devex_HUF,Devex_Class,"Land",Devex_Date,"&lt;="&amp;Sale_Date_A)</f>
        <v>66190500</v>
      </c>
      <c r="H214" s="61"/>
    </row>
    <row r="215" customFormat="false" ht="14.25" hidden="false" customHeight="false" outlineLevel="0" collapsed="false">
      <c r="C215" s="54" t="s">
        <v>196</v>
      </c>
      <c r="D215" s="55" t="s">
        <v>167</v>
      </c>
      <c r="E215" s="56" t="n">
        <f aca="false">SUMPRODUCT((Devex_Class="Land")*(Devex_Date&lt;=Sale_Date_A)*Devex_HUF,Devex_Date)/E214</f>
        <v>46431</v>
      </c>
      <c r="F215" s="56" t="n">
        <f aca="false">SUMPRODUCT((Devex_Class="Land")*(Devex_Date&lt;=Sale_Date_A)*Devex_HUF,Devex_Date)/F214</f>
        <v>46431</v>
      </c>
      <c r="G215" s="56" t="n">
        <f aca="false">SUMPRODUCT((Devex_Class="Land")*(Devex_Date&lt;=Sale_Date_A)*Devex_HUF,Devex_Date)/G214</f>
        <v>46431</v>
      </c>
      <c r="H215" s="57"/>
    </row>
    <row r="216" customFormat="false" ht="14.25" hidden="false" customHeight="false" outlineLevel="0" collapsed="false">
      <c r="C216" s="54" t="s">
        <v>197</v>
      </c>
      <c r="D216" s="55" t="s">
        <v>85</v>
      </c>
      <c r="E216" s="61" t="n">
        <f aca="false">E214/FX/Thousand*Inputs!E$18</f>
        <v>45.3359589041096</v>
      </c>
      <c r="F216" s="61" t="n">
        <f aca="false">F214/FX/Thousand*Inputs!F$18</f>
        <v>45.3359589041096</v>
      </c>
      <c r="G216" s="61" t="n">
        <f aca="false">G214/FX/Thousand*Inputs!G$18</f>
        <v>45.3359589041096</v>
      </c>
      <c r="H216" s="61" t="n">
        <f aca="false">SUM(E216:G216)</f>
        <v>136.007876712329</v>
      </c>
    </row>
    <row r="217" customFormat="false" ht="14.25" hidden="false" customHeight="false" outlineLevel="0" collapsed="false">
      <c r="C217" s="54" t="s">
        <v>198</v>
      </c>
      <c r="D217" s="55" t="s">
        <v>74</v>
      </c>
      <c r="E217" s="61" t="n">
        <f aca="false">SUMIFS(Devex_HUF,Devex_Class,"Devex",Devex_Date,"&lt;="&amp;Sale_Date_A)</f>
        <v>991604271.869388</v>
      </c>
      <c r="F217" s="61" t="n">
        <f aca="false">SUMIFS(Devex_HUF,Devex_Class,"Devex",Devex_Date,"&lt;="&amp;Sale_Date_A)</f>
        <v>991604271.869388</v>
      </c>
      <c r="G217" s="61" t="n">
        <f aca="false">SUMIFS(Devex_HUF,Devex_Class,"Devex",Devex_Date,"&lt;="&amp;Sale_Date_A)</f>
        <v>991604271.869388</v>
      </c>
      <c r="H217" s="61"/>
    </row>
    <row r="218" customFormat="false" ht="14.25" hidden="false" customHeight="false" outlineLevel="0" collapsed="false">
      <c r="C218" s="54" t="s">
        <v>199</v>
      </c>
      <c r="D218" s="55" t="s">
        <v>167</v>
      </c>
      <c r="E218" s="56" t="n">
        <f aca="false">SUMPRODUCT((Devex_Class="Devex")*(Devex_Date&lt;=Sale_Date_A)*Devex_HUF,Devex_Date)/E217</f>
        <v>46701.5587560279</v>
      </c>
      <c r="F218" s="56" t="n">
        <f aca="false">SUMPRODUCT((Devex_Class="Devex")*(Devex_Date&lt;=Sale_Date_A)*Devex_HUF,Devex_Date)/F217</f>
        <v>46701.5587560279</v>
      </c>
      <c r="G218" s="56" t="n">
        <f aca="false">SUMPRODUCT((Devex_Class="Devex")*(Devex_Date&lt;=Sale_Date_A)*Devex_HUF,Devex_Date)/G217</f>
        <v>46701.5587560279</v>
      </c>
      <c r="H218" s="57"/>
    </row>
    <row r="219" customFormat="false" ht="14.25" hidden="false" customHeight="false" outlineLevel="0" collapsed="false">
      <c r="C219" s="54" t="s">
        <v>200</v>
      </c>
      <c r="D219" s="55" t="s">
        <v>85</v>
      </c>
      <c r="E219" s="61" t="n">
        <f aca="false">E217/FX/Thousand*Inputs!E$18</f>
        <v>679.181008129718</v>
      </c>
      <c r="F219" s="61" t="n">
        <f aca="false">F217/FX/Thousand*Inputs!F$18</f>
        <v>679.181008129718</v>
      </c>
      <c r="G219" s="61" t="n">
        <f aca="false">G217/FX/Thousand*Inputs!G$18</f>
        <v>679.181008129718</v>
      </c>
      <c r="H219" s="61" t="n">
        <f aca="false">SUM(E219:G219)</f>
        <v>2037.54302438915</v>
      </c>
    </row>
    <row r="220" customFormat="false" ht="14.25" hidden="false" customHeight="false" outlineLevel="0" collapsed="false">
      <c r="C220" s="54" t="s">
        <v>201</v>
      </c>
      <c r="D220" s="55" t="s">
        <v>85</v>
      </c>
      <c r="E220" s="61" t="n">
        <f aca="false">E61+SUM(E62:E64)+E216+E219+E69</f>
        <v>3391.64025470506</v>
      </c>
      <c r="F220" s="61" t="n">
        <f aca="false">F61+SUM(F62:F64)+F216+F219+F69</f>
        <v>3993.69504922561</v>
      </c>
      <c r="G220" s="61" t="n">
        <f aca="false">G61+SUM(G62:G64)+G216+G219+G69</f>
        <v>3993.69504922561</v>
      </c>
      <c r="H220" s="61" t="n">
        <f aca="false">SUM(E220:G220)</f>
        <v>11379.0303531563</v>
      </c>
    </row>
    <row r="221" customFormat="false" ht="14.25" hidden="false" customHeight="false" outlineLevel="0" collapsed="false">
      <c r="C221" s="54" t="s">
        <v>202</v>
      </c>
      <c r="D221" s="55" t="s">
        <v>167</v>
      </c>
      <c r="E221" s="56" t="n">
        <f aca="false">MIN(Freeze_Date,Sale_Date_A)</f>
        <v>47026</v>
      </c>
      <c r="F221" s="56" t="n">
        <f aca="false">MIN(Freeze_Date,Sale_Date_A)</f>
        <v>47026</v>
      </c>
      <c r="G221" s="56" t="n">
        <f aca="false">MIN(Freeze_Date,Sale_Date_A)</f>
        <v>47026</v>
      </c>
      <c r="H221" s="57"/>
    </row>
    <row r="222" customFormat="false" ht="14.25" hidden="false" customHeight="false" outlineLevel="0" collapsed="false">
      <c r="C222" s="54" t="s">
        <v>203</v>
      </c>
      <c r="D222" s="55" t="s">
        <v>167</v>
      </c>
      <c r="E222" s="56" t="n">
        <f aca="false">DATE(YEAR(E221),1,1)</f>
        <v>46753</v>
      </c>
      <c r="F222" s="56" t="n">
        <f aca="false">DATE(YEAR(F221),1,1)</f>
        <v>46753</v>
      </c>
      <c r="G222" s="56" t="n">
        <f aca="false">DATE(YEAR(G221),1,1)</f>
        <v>46753</v>
      </c>
      <c r="H222" s="57"/>
    </row>
    <row r="223" customFormat="false" ht="14.25" hidden="false" customHeight="false" outlineLevel="0" collapsed="false">
      <c r="C223" s="54" t="s">
        <v>204</v>
      </c>
      <c r="D223" s="55" t="s">
        <v>3</v>
      </c>
      <c r="E223" s="58" t="n">
        <f aca="false">1+Rate_Cash*(DATE(YEAR(Inputs!E$21)+1,1,1)-Inputs!E$21)*(Inputs!E$21&lt;E222)/Days_In_Year</f>
        <v>1.02071232876712</v>
      </c>
      <c r="F223" s="58" t="n">
        <f aca="false">1+Rate_Cash*(DATE(YEAR(Inputs!F$21)+1,1,1)-Inputs!F$21)*(Inputs!F$21&lt;F222)/Days_In_Year</f>
        <v>1.02071232876712</v>
      </c>
      <c r="G223" s="58" t="n">
        <f aca="false">1+Rate_Cash*(DATE(YEAR(Inputs!G$21)+1,1,1)-Inputs!G$21)*(Inputs!G$21&lt;G222)/Days_In_Year</f>
        <v>1.02071232876712</v>
      </c>
      <c r="H223" s="57"/>
    </row>
    <row r="224" customFormat="false" ht="14.25" hidden="false" customHeight="false" outlineLevel="0" collapsed="false">
      <c r="C224" s="54" t="s">
        <v>205</v>
      </c>
      <c r="D224" s="55" t="s">
        <v>3</v>
      </c>
      <c r="E224" s="58" t="n">
        <f aca="false">1+Rate_Cash*MAX(0,E221-MAX(Inputs!E$21,E222)+1)/Days_In_Year</f>
        <v>1.09008219178082</v>
      </c>
      <c r="F224" s="58" t="n">
        <f aca="false">1+Rate_Cash*MAX(0,F221-MAX(Inputs!F$21,F222)+1)/Days_In_Year</f>
        <v>1.09008219178082</v>
      </c>
      <c r="G224" s="58" t="n">
        <f aca="false">1+Rate_Cash*MAX(0,G221-MAX(Inputs!G$21,G222)+1)/Days_In_Year</f>
        <v>1.09008219178082</v>
      </c>
      <c r="H224" s="57"/>
    </row>
    <row r="225" customFormat="false" ht="14.25" hidden="false" customHeight="false" outlineLevel="0" collapsed="false">
      <c r="C225" s="54" t="s">
        <v>206</v>
      </c>
      <c r="D225" s="55" t="s">
        <v>3</v>
      </c>
      <c r="E225" s="58" t="n">
        <f aca="false">E223*(1+Rate_Cash)^MAX(0,YEAR(E222)-YEAR(Inputs!E$21)-1)*E224</f>
        <v>1.24617957242259</v>
      </c>
      <c r="F225" s="58" t="n">
        <f aca="false">F223*(1+Rate_Cash)^MAX(0,YEAR(F222)-YEAR(Inputs!F$21)-1)*F224</f>
        <v>1.24617957242259</v>
      </c>
      <c r="G225" s="58" t="n">
        <f aca="false">G223*(1+Rate_Cash)^MAX(0,YEAR(G222)-YEAR(Inputs!G$21)-1)*G224</f>
        <v>1.24617957242259</v>
      </c>
      <c r="H225" s="57"/>
    </row>
    <row r="226" customFormat="false" ht="14.25" hidden="false" customHeight="false" outlineLevel="0" collapsed="false">
      <c r="C226" s="54" t="s">
        <v>207</v>
      </c>
      <c r="D226" s="55" t="s">
        <v>3</v>
      </c>
      <c r="E226" s="58" t="n">
        <f aca="false">1+Rate_Cash*(DATE(YEAR(Inputs!E$22)+1,1,1)-Inputs!E$22)*(Inputs!E$22&lt;E222)/Days_In_Year</f>
        <v>1.11539726027397</v>
      </c>
      <c r="F226" s="58" t="n">
        <f aca="false">1+Rate_Cash*(DATE(YEAR(Inputs!F$22)+1,1,1)-Inputs!F$22)*(Inputs!F$22&lt;F222)/Days_In_Year</f>
        <v>1.11539726027397</v>
      </c>
      <c r="G226" s="58" t="n">
        <f aca="false">1+Rate_Cash*(DATE(YEAR(Inputs!G$22)+1,1,1)-Inputs!G$22)*(Inputs!G$22&lt;G222)/Days_In_Year</f>
        <v>1.11539726027397</v>
      </c>
      <c r="H226" s="57"/>
    </row>
    <row r="227" customFormat="false" ht="14.25" hidden="false" customHeight="false" outlineLevel="0" collapsed="false">
      <c r="C227" s="54" t="s">
        <v>208</v>
      </c>
      <c r="D227" s="55" t="s">
        <v>3</v>
      </c>
      <c r="E227" s="58" t="n">
        <f aca="false">1+Rate_Cash*MAX(0,E221-MAX(Inputs!E$22,E222)+1)/Days_In_Year</f>
        <v>1.09008219178082</v>
      </c>
      <c r="F227" s="58" t="n">
        <f aca="false">1+Rate_Cash*MAX(0,F221-MAX(Inputs!F$22,F222)+1)/Days_In_Year</f>
        <v>1.09008219178082</v>
      </c>
      <c r="G227" s="58" t="n">
        <f aca="false">1+Rate_Cash*MAX(0,G221-MAX(Inputs!G$22,G222)+1)/Days_In_Year</f>
        <v>1.09008219178082</v>
      </c>
      <c r="H227" s="57"/>
    </row>
    <row r="228" customFormat="false" ht="14.25" hidden="false" customHeight="false" outlineLevel="0" collapsed="false">
      <c r="C228" s="54" t="s">
        <v>209</v>
      </c>
      <c r="D228" s="55" t="s">
        <v>3</v>
      </c>
      <c r="E228" s="58" t="n">
        <f aca="false">E226*(1+Rate_Cash)^MAX(0,YEAR(E222)-YEAR(Inputs!E$22)-1)*E227</f>
        <v>1.21587469018578</v>
      </c>
      <c r="F228" s="58" t="n">
        <f aca="false">F226*(1+Rate_Cash)^MAX(0,YEAR(F222)-YEAR(Inputs!F$22)-1)*F227</f>
        <v>1.21587469018578</v>
      </c>
      <c r="G228" s="58" t="n">
        <f aca="false">G226*(1+Rate_Cash)^MAX(0,YEAR(G222)-YEAR(Inputs!G$22)-1)*G227</f>
        <v>1.21587469018578</v>
      </c>
      <c r="H228" s="57"/>
    </row>
    <row r="229" customFormat="false" ht="14.25" hidden="false" customHeight="false" outlineLevel="0" collapsed="false">
      <c r="C229" s="54" t="s">
        <v>210</v>
      </c>
      <c r="D229" s="55" t="s">
        <v>3</v>
      </c>
      <c r="E229" s="58" t="n">
        <f aca="false">1+Rate_Cash*(DATE(YEAR(Inputs!E$23)+1,1,1)-Inputs!E$23)*(Inputs!E$23&lt;E222)/Days_In_Year</f>
        <v>1.11539726027397</v>
      </c>
      <c r="F229" s="58" t="n">
        <f aca="false">1+Rate_Cash*(DATE(YEAR(Inputs!F$23)+1,1,1)-Inputs!F$23)*(Inputs!F$23&lt;F222)/Days_In_Year</f>
        <v>1.11539726027397</v>
      </c>
      <c r="G229" s="58" t="n">
        <f aca="false">1+Rate_Cash*(DATE(YEAR(Inputs!G$23)+1,1,1)-Inputs!G$23)*(Inputs!G$23&lt;G222)/Days_In_Year</f>
        <v>1.11539726027397</v>
      </c>
      <c r="H229" s="57"/>
    </row>
    <row r="230" customFormat="false" ht="14.25" hidden="false" customHeight="false" outlineLevel="0" collapsed="false">
      <c r="C230" s="54" t="s">
        <v>211</v>
      </c>
      <c r="D230" s="55" t="s">
        <v>3</v>
      </c>
      <c r="E230" s="58" t="n">
        <f aca="false">1+Rate_Cash*MAX(0,E221-MAX(Inputs!E$23,E222)+1)/Days_In_Year</f>
        <v>1.09008219178082</v>
      </c>
      <c r="F230" s="58" t="n">
        <f aca="false">1+Rate_Cash*MAX(0,F221-MAX(Inputs!F$23,F222)+1)/Days_In_Year</f>
        <v>1.09008219178082</v>
      </c>
      <c r="G230" s="58" t="n">
        <f aca="false">1+Rate_Cash*MAX(0,G221-MAX(Inputs!G$23,G222)+1)/Days_In_Year</f>
        <v>1.09008219178082</v>
      </c>
      <c r="H230" s="57"/>
    </row>
    <row r="231" customFormat="false" ht="14.25" hidden="false" customHeight="false" outlineLevel="0" collapsed="false">
      <c r="C231" s="54" t="s">
        <v>212</v>
      </c>
      <c r="D231" s="55" t="s">
        <v>3</v>
      </c>
      <c r="E231" s="58" t="n">
        <f aca="false">E229*(1+Rate_Cash)^MAX(0,YEAR(E222)-YEAR(Inputs!E$23)-1)*E230</f>
        <v>1.21587469018578</v>
      </c>
      <c r="F231" s="58" t="n">
        <f aca="false">F229*(1+Rate_Cash)^MAX(0,YEAR(F222)-YEAR(Inputs!F$23)-1)*F230</f>
        <v>1.21587469018578</v>
      </c>
      <c r="G231" s="58" t="n">
        <f aca="false">G229*(1+Rate_Cash)^MAX(0,YEAR(G222)-YEAR(Inputs!G$23)-1)*G230</f>
        <v>1.21587469018578</v>
      </c>
      <c r="H231" s="57"/>
    </row>
    <row r="232" customFormat="false" ht="14.25" hidden="false" customHeight="false" outlineLevel="0" collapsed="false">
      <c r="C232" s="54" t="s">
        <v>213</v>
      </c>
      <c r="D232" s="55" t="s">
        <v>3</v>
      </c>
      <c r="E232" s="58" t="n">
        <f aca="false">1+Rate_Devex*(DATE(YEAR(E215)+1,1,1)-E215)*(E215&lt;E222)/Days_In_Year</f>
        <v>1.17643835616438</v>
      </c>
      <c r="F232" s="58" t="n">
        <f aca="false">1+Rate_Devex*(DATE(YEAR(F215)+1,1,1)-F215)*(F215&lt;F222)/Days_In_Year</f>
        <v>1.17643835616438</v>
      </c>
      <c r="G232" s="58" t="n">
        <f aca="false">1+Rate_Devex*(DATE(YEAR(G215)+1,1,1)-G215)*(G215&lt;G222)/Days_In_Year</f>
        <v>1.17643835616438</v>
      </c>
      <c r="H232" s="57"/>
    </row>
    <row r="233" customFormat="false" ht="14.25" hidden="false" customHeight="false" outlineLevel="0" collapsed="false">
      <c r="C233" s="54" t="s">
        <v>214</v>
      </c>
      <c r="D233" s="55" t="s">
        <v>3</v>
      </c>
      <c r="E233" s="58" t="n">
        <f aca="false">1+Rate_Devex*MAX(0,E221-MAX(E215,E222)+1)/Days_In_Year</f>
        <v>1.15013698630137</v>
      </c>
      <c r="F233" s="58" t="n">
        <f aca="false">1+Rate_Devex*MAX(0,F221-MAX(F215,F222)+1)/Days_In_Year</f>
        <v>1.15013698630137</v>
      </c>
      <c r="G233" s="58" t="n">
        <f aca="false">1+Rate_Devex*MAX(0,G221-MAX(G215,G222)+1)/Days_In_Year</f>
        <v>1.15013698630137</v>
      </c>
      <c r="H233" s="57"/>
    </row>
    <row r="234" customFormat="false" ht="14.25" hidden="false" customHeight="false" outlineLevel="0" collapsed="false">
      <c r="C234" s="54" t="s">
        <v>215</v>
      </c>
      <c r="D234" s="55" t="s">
        <v>3</v>
      </c>
      <c r="E234" s="58" t="n">
        <f aca="false">E232*(1+Rate_Devex)^MAX(0,YEAR(E222)-YEAR(E215)-1)*E233</f>
        <v>1.35306526552824</v>
      </c>
      <c r="F234" s="58" t="n">
        <f aca="false">F232*(1+Rate_Devex)^MAX(0,YEAR(F222)-YEAR(F215)-1)*F233</f>
        <v>1.35306526552824</v>
      </c>
      <c r="G234" s="58" t="n">
        <f aca="false">G232*(1+Rate_Devex)^MAX(0,YEAR(G222)-YEAR(G215)-1)*G233</f>
        <v>1.35306526552824</v>
      </c>
      <c r="H234" s="57"/>
    </row>
    <row r="235" customFormat="false" ht="14.25" hidden="false" customHeight="false" outlineLevel="0" collapsed="false">
      <c r="C235" s="54" t="s">
        <v>216</v>
      </c>
      <c r="D235" s="55" t="s">
        <v>3</v>
      </c>
      <c r="E235" s="58" t="n">
        <f aca="false">1+Rate_Devex*(DATE(YEAR(E218)+1,1,1)-E218)*(E218&lt;E222)/Days_In_Year</f>
        <v>1.02818698299841</v>
      </c>
      <c r="F235" s="58" t="n">
        <f aca="false">1+Rate_Devex*(DATE(YEAR(F218)+1,1,1)-F218)*(F218&lt;F222)/Days_In_Year</f>
        <v>1.02818698299841</v>
      </c>
      <c r="G235" s="58" t="n">
        <f aca="false">1+Rate_Devex*(DATE(YEAR(G218)+1,1,1)-G218)*(G218&lt;G222)/Days_In_Year</f>
        <v>1.02818698299841</v>
      </c>
      <c r="H235" s="57"/>
    </row>
    <row r="236" customFormat="false" ht="14.25" hidden="false" customHeight="false" outlineLevel="0" collapsed="false">
      <c r="C236" s="54" t="s">
        <v>217</v>
      </c>
      <c r="D236" s="55" t="s">
        <v>3</v>
      </c>
      <c r="E236" s="58" t="n">
        <f aca="false">1+Rate_Devex*MAX(0,E221-MAX(E218,E222)+1)/Days_In_Year</f>
        <v>1.15013698630137</v>
      </c>
      <c r="F236" s="58" t="n">
        <f aca="false">1+Rate_Devex*MAX(0,F221-MAX(F218,F222)+1)/Days_In_Year</f>
        <v>1.15013698630137</v>
      </c>
      <c r="G236" s="58" t="n">
        <f aca="false">1+Rate_Devex*MAX(0,G221-MAX(G218,G222)+1)/Days_In_Year</f>
        <v>1.15013698630137</v>
      </c>
      <c r="H236" s="57"/>
    </row>
    <row r="237" customFormat="false" ht="14.25" hidden="false" customHeight="false" outlineLevel="0" collapsed="false">
      <c r="C237" s="54" t="s">
        <v>218</v>
      </c>
      <c r="D237" s="55" t="s">
        <v>3</v>
      </c>
      <c r="E237" s="58" t="n">
        <f aca="false">E235*(1+Rate_Devex)^MAX(0,YEAR(E222)-YEAR(E218)-1)*E236</f>
        <v>1.18255587798009</v>
      </c>
      <c r="F237" s="58" t="n">
        <f aca="false">F235*(1+Rate_Devex)^MAX(0,YEAR(F222)-YEAR(F218)-1)*F236</f>
        <v>1.18255587798009</v>
      </c>
      <c r="G237" s="58" t="n">
        <f aca="false">G235*(1+Rate_Devex)^MAX(0,YEAR(G222)-YEAR(G218)-1)*G236</f>
        <v>1.18255587798009</v>
      </c>
      <c r="H237" s="57"/>
    </row>
    <row r="238" customFormat="false" ht="14.25" hidden="false" customHeight="false" outlineLevel="0" collapsed="false">
      <c r="C238" s="54" t="s">
        <v>219</v>
      </c>
      <c r="D238" s="55" t="s">
        <v>85</v>
      </c>
      <c r="E238" s="60" t="n">
        <f aca="false">E$21*E61*(E225-1)</f>
        <v>2.02339374593912</v>
      </c>
      <c r="F238" s="60" t="n">
        <f aca="false">F$21*F61*(F225-1)</f>
        <v>0</v>
      </c>
      <c r="G238" s="60" t="n">
        <f aca="false">G$21*G61*(G225-1)</f>
        <v>0</v>
      </c>
      <c r="H238" s="60" t="n">
        <f aca="false">SUM(E238:G238)</f>
        <v>2.02339374593912</v>
      </c>
    </row>
    <row r="239" customFormat="false" ht="14.25" hidden="false" customHeight="false" outlineLevel="0" collapsed="false">
      <c r="C239" s="54" t="s">
        <v>220</v>
      </c>
      <c r="D239" s="55" t="s">
        <v>85</v>
      </c>
      <c r="E239" s="60" t="n">
        <f aca="false">E$21*E62*(E225-1)</f>
        <v>95.6390777247226</v>
      </c>
      <c r="F239" s="60" t="n">
        <f aca="false">F$21*F62*(F225-1)</f>
        <v>0</v>
      </c>
      <c r="G239" s="60" t="n">
        <f aca="false">G$21*G62*(G225-1)</f>
        <v>0</v>
      </c>
      <c r="H239" s="60" t="n">
        <f aca="false">SUM(E239:G239)</f>
        <v>95.6390777247226</v>
      </c>
    </row>
    <row r="240" customFormat="false" ht="14.25" hidden="false" customHeight="false" outlineLevel="0" collapsed="false">
      <c r="C240" s="54" t="s">
        <v>221</v>
      </c>
      <c r="D240" s="55" t="s">
        <v>85</v>
      </c>
      <c r="E240" s="60" t="n">
        <f aca="false">E$21*E63*(E228-1)</f>
        <v>335.463354173622</v>
      </c>
      <c r="F240" s="60" t="n">
        <f aca="false">F$21*F63*(F228-1)</f>
        <v>0</v>
      </c>
      <c r="G240" s="60" t="n">
        <f aca="false">G$21*G63*(G228-1)</f>
        <v>0</v>
      </c>
      <c r="H240" s="60" t="n">
        <f aca="false">SUM(E240:G240)</f>
        <v>335.463354173622</v>
      </c>
    </row>
    <row r="241" customFormat="false" ht="14.25" hidden="false" customHeight="false" outlineLevel="0" collapsed="false">
      <c r="C241" s="54" t="s">
        <v>222</v>
      </c>
      <c r="D241" s="55" t="s">
        <v>85</v>
      </c>
      <c r="E241" s="60" t="n">
        <f aca="false">E$21*E64*(E231-1)</f>
        <v>133.073439155615</v>
      </c>
      <c r="F241" s="60" t="n">
        <f aca="false">F$21*F64*(F231-1)</f>
        <v>0</v>
      </c>
      <c r="G241" s="60" t="n">
        <f aca="false">G$21*G64*(G231-1)</f>
        <v>0</v>
      </c>
      <c r="H241" s="60" t="n">
        <f aca="false">SUM(E241:G241)</f>
        <v>133.073439155615</v>
      </c>
    </row>
    <row r="242" customFormat="false" ht="14.25" hidden="false" customHeight="false" outlineLevel="0" collapsed="false">
      <c r="C242" s="54" t="s">
        <v>223</v>
      </c>
      <c r="D242" s="55" t="s">
        <v>85</v>
      </c>
      <c r="E242" s="60" t="n">
        <f aca="false">E$21*E216*MAX(E234-1,Devex_Floor-1)</f>
        <v>45.3359589041096</v>
      </c>
      <c r="F242" s="60" t="n">
        <f aca="false">F$21*F216*MAX(F234-1,Devex_Floor-1)</f>
        <v>0</v>
      </c>
      <c r="G242" s="60" t="n">
        <f aca="false">G$21*G216*MAX(G234-1,Devex_Floor-1)</f>
        <v>0</v>
      </c>
      <c r="H242" s="60" t="n">
        <f aca="false">SUM(E242:G242)</f>
        <v>45.3359589041096</v>
      </c>
    </row>
    <row r="243" customFormat="false" ht="14.25" hidden="false" customHeight="false" outlineLevel="0" collapsed="false">
      <c r="C243" s="54" t="s">
        <v>224</v>
      </c>
      <c r="D243" s="55" t="s">
        <v>85</v>
      </c>
      <c r="E243" s="60" t="n">
        <f aca="false">E$21*E219*MAX(E237-1,Devex_Floor-1)</f>
        <v>679.181008129718</v>
      </c>
      <c r="F243" s="60" t="n">
        <f aca="false">F$21*F219*MAX(F237-1,Devex_Floor-1)</f>
        <v>0</v>
      </c>
      <c r="G243" s="60" t="n">
        <f aca="false">G$21*G219*MAX(G237-1,Devex_Floor-1)</f>
        <v>0</v>
      </c>
      <c r="H243" s="60" t="n">
        <f aca="false">SUM(E243:G243)</f>
        <v>679.181008129718</v>
      </c>
    </row>
    <row r="244" customFormat="false" ht="14.25" hidden="false" customHeight="false" outlineLevel="0" collapsed="false">
      <c r="C244" s="64" t="s">
        <v>225</v>
      </c>
      <c r="D244" s="65" t="s">
        <v>85</v>
      </c>
      <c r="E244" s="66" t="n">
        <f aca="false">SUM(E238:E243)</f>
        <v>1290.71623183373</v>
      </c>
      <c r="F244" s="66" t="n">
        <f aca="false">SUM(F238:F243)</f>
        <v>0</v>
      </c>
      <c r="G244" s="66" t="n">
        <f aca="false">SUM(G238:G243)</f>
        <v>0</v>
      </c>
      <c r="H244" s="66" t="n">
        <f aca="false">SUM(E244:G244)</f>
        <v>1290.71623183373</v>
      </c>
    </row>
    <row r="245" customFormat="false" ht="14.25" hidden="false" customHeight="false" outlineLevel="0" collapsed="false">
      <c r="C245" s="54" t="s">
        <v>226</v>
      </c>
      <c r="D245" s="55" t="s">
        <v>85</v>
      </c>
      <c r="E245" s="60" t="n">
        <f aca="false">E20*MIN(DSA_Rate*YEARFRAC(Inputs!E$28,Sale_Date_A),DSA_Cap)*E44</f>
        <v>287.5</v>
      </c>
      <c r="F245" s="60" t="n">
        <f aca="false">F20*MIN(DSA_Rate*YEARFRAC(Inputs!F$28,Sale_Date_A),DSA_Cap)*F44</f>
        <v>0</v>
      </c>
      <c r="G245" s="60" t="n">
        <f aca="false">G20*MIN(DSA_Rate*YEARFRAC(Inputs!G$28,Sale_Date_A),DSA_Cap)*G44</f>
        <v>0</v>
      </c>
      <c r="H245" s="60" t="n">
        <f aca="false">SUM(E245:G245)</f>
        <v>287.5</v>
      </c>
    </row>
    <row r="246" customFormat="false" ht="14.25" hidden="false" customHeight="false" outlineLevel="0" collapsed="false">
      <c r="C246" s="41" t="s">
        <v>227</v>
      </c>
      <c r="D246" s="42"/>
      <c r="E246" s="43"/>
      <c r="F246" s="43"/>
      <c r="G246" s="43"/>
      <c r="H246" s="43"/>
    </row>
    <row r="247" customFormat="false" ht="14.25" hidden="false" customHeight="false" outlineLevel="0" collapsed="false">
      <c r="C247" s="6" t="s">
        <v>28</v>
      </c>
      <c r="D247" s="2" t="s">
        <v>85</v>
      </c>
      <c r="E247" s="8" t="n">
        <f aca="false">E18*E6</f>
        <v>7500</v>
      </c>
      <c r="F247" s="8" t="n">
        <f aca="false">F18*F6</f>
        <v>7500</v>
      </c>
      <c r="G247" s="8" t="n">
        <f aca="false">G18*G6</f>
        <v>7500</v>
      </c>
      <c r="H247" s="8" t="n">
        <f aca="false">SUM(E247:G247)</f>
        <v>22500</v>
      </c>
    </row>
    <row r="248" customFormat="false" ht="14.25" hidden="false" customHeight="false" outlineLevel="0" collapsed="false">
      <c r="C248" s="6" t="s">
        <v>228</v>
      </c>
      <c r="D248" s="2" t="s">
        <v>85</v>
      </c>
      <c r="E248" s="8" t="n">
        <f aca="false">SUM(E62:E64)</f>
        <v>2558.90410958904</v>
      </c>
      <c r="F248" s="8" t="n">
        <f aca="false">SUM(F62:F64)</f>
        <v>3110.95890410959</v>
      </c>
      <c r="G248" s="8" t="n">
        <f aca="false">SUM(G62:G64)</f>
        <v>3110.95890410959</v>
      </c>
      <c r="H248" s="8" t="n">
        <f aca="false">SUM(E248:G248)</f>
        <v>8780.82191780822</v>
      </c>
    </row>
    <row r="249" customFormat="false" ht="14.25" hidden="false" customHeight="false" outlineLevel="0" collapsed="false">
      <c r="C249" s="6" t="s">
        <v>229</v>
      </c>
      <c r="D249" s="2" t="s">
        <v>85</v>
      </c>
      <c r="E249" s="8" t="n">
        <f aca="false">E216</f>
        <v>45.3359589041096</v>
      </c>
      <c r="F249" s="8" t="n">
        <f aca="false">F216</f>
        <v>45.3359589041096</v>
      </c>
      <c r="G249" s="8" t="n">
        <f aca="false">G216</f>
        <v>45.3359589041096</v>
      </c>
      <c r="H249" s="8" t="n">
        <f aca="false">SUM(E249:G249)</f>
        <v>136.007876712329</v>
      </c>
    </row>
    <row r="250" customFormat="false" ht="14.25" hidden="false" customHeight="false" outlineLevel="0" collapsed="false">
      <c r="C250" s="6" t="s">
        <v>230</v>
      </c>
      <c r="D250" s="2" t="s">
        <v>85</v>
      </c>
      <c r="E250" s="8" t="n">
        <f aca="false">SUM(E247:E249)</f>
        <v>10104.2400684932</v>
      </c>
      <c r="F250" s="8" t="n">
        <f aca="false">SUM(F247:F249)</f>
        <v>10656.2948630137</v>
      </c>
      <c r="G250" s="8" t="n">
        <f aca="false">SUM(G247:G249)</f>
        <v>10656.2948630137</v>
      </c>
      <c r="H250" s="8" t="n">
        <f aca="false">SUM(E250:G250)</f>
        <v>31416.8297945206</v>
      </c>
    </row>
    <row r="251" customFormat="false" ht="14.25" hidden="false" customHeight="false" outlineLevel="0" collapsed="false">
      <c r="C251" s="6" t="s">
        <v>231</v>
      </c>
      <c r="D251" s="2" t="s">
        <v>85</v>
      </c>
      <c r="E251" s="8" t="n">
        <f aca="false">-MIN(E250,Sale_Costs)</f>
        <v>-250</v>
      </c>
      <c r="F251" s="8" t="n">
        <f aca="false">-MIN(F250,Sale_Costs)</f>
        <v>-250</v>
      </c>
      <c r="G251" s="8" t="n">
        <f aca="false">-MIN(G250,Sale_Costs)</f>
        <v>-250</v>
      </c>
      <c r="H251" s="8" t="n">
        <f aca="false">SUM(E251:G251)</f>
        <v>-750</v>
      </c>
    </row>
    <row r="252" customFormat="false" ht="14.25" hidden="false" customHeight="false" outlineLevel="0" collapsed="false">
      <c r="C252" s="6" t="s">
        <v>232</v>
      </c>
      <c r="D252" s="2" t="s">
        <v>85</v>
      </c>
      <c r="E252" s="8" t="n">
        <f aca="false">-MIN(SUM(E250:E251),E248)</f>
        <v>-2558.90410958904</v>
      </c>
      <c r="F252" s="8" t="n">
        <f aca="false">-MIN(SUM(F250:F251),F248)</f>
        <v>-3110.95890410959</v>
      </c>
      <c r="G252" s="8" t="n">
        <f aca="false">-MIN(SUM(G250:G251),G248)</f>
        <v>-3110.95890410959</v>
      </c>
      <c r="H252" s="8" t="n">
        <f aca="false">SUM(E252:G252)</f>
        <v>-8780.82191780822</v>
      </c>
    </row>
    <row r="253" customFormat="false" ht="14.25" hidden="false" customHeight="false" outlineLevel="0" collapsed="false">
      <c r="C253" s="6" t="s">
        <v>233</v>
      </c>
      <c r="D253" s="2" t="s">
        <v>85</v>
      </c>
      <c r="E253" s="8" t="n">
        <f aca="false">-MIN(SUM(E250:E252),E249)</f>
        <v>-45.3359589041096</v>
      </c>
      <c r="F253" s="8" t="n">
        <f aca="false">-MIN(SUM(F250:F252),F249)</f>
        <v>-45.3359589041096</v>
      </c>
      <c r="G253" s="8" t="n">
        <f aca="false">-MIN(SUM(G250:G252),G249)</f>
        <v>-45.3359589041096</v>
      </c>
      <c r="H253" s="8" t="n">
        <f aca="false">SUM(E253:G253)</f>
        <v>-136.007876712329</v>
      </c>
    </row>
    <row r="254" customFormat="false" ht="14.25" hidden="false" customHeight="false" outlineLevel="0" collapsed="false">
      <c r="C254" s="6" t="s">
        <v>234</v>
      </c>
      <c r="D254" s="2" t="s">
        <v>85</v>
      </c>
      <c r="E254" s="8" t="n">
        <f aca="false">-MIN(SUM(E250:E253),SUM(E238:E241))</f>
        <v>-566.199264799899</v>
      </c>
      <c r="F254" s="8" t="n">
        <f aca="false">-MIN(SUM(F250:F253),SUM(F238:F241))</f>
        <v>-0</v>
      </c>
      <c r="G254" s="8" t="n">
        <f aca="false">-MIN(SUM(G250:G253),SUM(G238:G241))</f>
        <v>-0</v>
      </c>
      <c r="H254" s="8" t="n">
        <f aca="false">SUM(E254:G254)</f>
        <v>-566.199264799899</v>
      </c>
    </row>
    <row r="255" customFormat="false" ht="14.25" hidden="false" customHeight="false" outlineLevel="0" collapsed="false">
      <c r="C255" s="6" t="s">
        <v>235</v>
      </c>
      <c r="D255" s="2" t="s">
        <v>85</v>
      </c>
      <c r="E255" s="8" t="n">
        <f aca="false">-MIN(SUM(E250:E254),SUM(E242:E243))</f>
        <v>-724.516967033827</v>
      </c>
      <c r="F255" s="8" t="n">
        <f aca="false">-MIN(SUM(F250:F254),SUM(F242:F243))</f>
        <v>-0</v>
      </c>
      <c r="G255" s="8" t="n">
        <f aca="false">-MIN(SUM(G250:G254),SUM(G242:G243))</f>
        <v>-0</v>
      </c>
      <c r="H255" s="8" t="n">
        <f aca="false">SUM(E255:G255)</f>
        <v>-724.516967033827</v>
      </c>
    </row>
    <row r="256" customFormat="false" ht="14.25" hidden="false" customHeight="false" outlineLevel="0" collapsed="false">
      <c r="C256" s="6" t="s">
        <v>236</v>
      </c>
      <c r="D256" s="2" t="s">
        <v>85</v>
      </c>
      <c r="E256" s="8" t="n">
        <f aca="false">-MIN(SUM(E250:E255),E245)</f>
        <v>-287.5</v>
      </c>
      <c r="F256" s="8" t="n">
        <f aca="false">-MIN(SUM(F250:F255),F245)</f>
        <v>-0</v>
      </c>
      <c r="G256" s="8" t="n">
        <f aca="false">-MIN(SUM(G250:G255),G245)</f>
        <v>-0</v>
      </c>
      <c r="H256" s="8" t="n">
        <f aca="false">SUM(E256:G256)</f>
        <v>-287.5</v>
      </c>
    </row>
    <row r="257" customFormat="false" ht="14.25" hidden="false" customHeight="false" outlineLevel="0" collapsed="false">
      <c r="C257" s="6" t="s">
        <v>237</v>
      </c>
      <c r="D257" s="2" t="s">
        <v>85</v>
      </c>
      <c r="E257" s="8" t="n">
        <f aca="false">SUM(E250:E256)</f>
        <v>5671.78376816627</v>
      </c>
      <c r="F257" s="8" t="n">
        <f aca="false">SUM(F250:F256)</f>
        <v>7250</v>
      </c>
      <c r="G257" s="8" t="n">
        <f aca="false">SUM(G250:G256)</f>
        <v>7250</v>
      </c>
      <c r="H257" s="8" t="n">
        <f aca="false">SUM(E257:G257)</f>
        <v>20171.7837681663</v>
      </c>
    </row>
    <row r="258" customFormat="false" ht="14.25" hidden="false" customHeight="false" outlineLevel="0" collapsed="false">
      <c r="C258" s="6" t="s">
        <v>238</v>
      </c>
      <c r="D258" s="2" t="s">
        <v>85</v>
      </c>
      <c r="E258" s="8" t="n">
        <f aca="false">E257*E19</f>
        <v>3970.24863771639</v>
      </c>
      <c r="F258" s="8" t="n">
        <f aca="false">F257*F19</f>
        <v>7250</v>
      </c>
      <c r="G258" s="8" t="n">
        <f aca="false">G257*G19</f>
        <v>7250</v>
      </c>
      <c r="H258" s="8" t="n">
        <f aca="false">SUM(E258:G258)</f>
        <v>18470.2486377164</v>
      </c>
    </row>
    <row r="259" customFormat="false" ht="14.25" hidden="false" customHeight="false" outlineLevel="0" collapsed="false">
      <c r="C259" s="6" t="s">
        <v>239</v>
      </c>
      <c r="D259" s="2" t="s">
        <v>85</v>
      </c>
      <c r="E259" s="8" t="n">
        <f aca="false">E257-E258</f>
        <v>1701.53513044988</v>
      </c>
      <c r="F259" s="8" t="n">
        <f aca="false">F257-F258</f>
        <v>0</v>
      </c>
      <c r="G259" s="8" t="n">
        <f aca="false">G257-G258</f>
        <v>0</v>
      </c>
      <c r="H259" s="8" t="n">
        <f aca="false">SUM(E259:G259)</f>
        <v>1701.53513044988</v>
      </c>
    </row>
    <row r="260" customFormat="false" ht="14.25" hidden="false" customHeight="false" outlineLevel="0" collapsed="false">
      <c r="C260" s="42" t="s">
        <v>240</v>
      </c>
      <c r="D260" s="42"/>
      <c r="E260" s="43" t="s">
        <v>5</v>
      </c>
      <c r="F260" s="43" t="s">
        <v>6</v>
      </c>
      <c r="G260" s="43" t="s">
        <v>7</v>
      </c>
      <c r="H260" s="43" t="s">
        <v>8</v>
      </c>
      <c r="J260" s="43" t="s">
        <v>241</v>
      </c>
      <c r="K260" s="43" t="s">
        <v>6</v>
      </c>
      <c r="L260" s="43" t="s">
        <v>7</v>
      </c>
    </row>
    <row r="261" customFormat="false" ht="14.25" hidden="false" customHeight="false" outlineLevel="0" collapsed="false">
      <c r="C261" s="6" t="s">
        <v>242</v>
      </c>
      <c r="D261" s="2" t="s">
        <v>85</v>
      </c>
      <c r="E261" s="8" t="n">
        <f aca="false">E247</f>
        <v>7500</v>
      </c>
      <c r="F261" s="8" t="n">
        <f aca="false">F247</f>
        <v>7500</v>
      </c>
      <c r="G261" s="8" t="n">
        <f aca="false">G247</f>
        <v>7500</v>
      </c>
      <c r="H261" s="8" t="n">
        <f aca="false">SUM(E261:G261)</f>
        <v>22500</v>
      </c>
      <c r="J261" s="24"/>
      <c r="K261" s="24"/>
      <c r="L261" s="24"/>
    </row>
    <row r="262" customFormat="false" ht="14.25" hidden="false" customHeight="false" outlineLevel="0" collapsed="false">
      <c r="C262" s="6" t="s">
        <v>243</v>
      </c>
      <c r="D262" s="2" t="s">
        <v>85</v>
      </c>
      <c r="E262" s="8" t="n">
        <f aca="false">0</f>
        <v>0</v>
      </c>
      <c r="F262" s="8" t="n">
        <f aca="false">0</f>
        <v>0</v>
      </c>
      <c r="G262" s="8" t="n">
        <f aca="false">0</f>
        <v>0</v>
      </c>
      <c r="H262" s="8" t="n">
        <f aca="false">SUM(E262:G262)</f>
        <v>0</v>
      </c>
      <c r="J262" s="24"/>
      <c r="K262" s="24"/>
      <c r="L262" s="24"/>
    </row>
    <row r="263" customFormat="false" ht="14.25" hidden="false" customHeight="false" outlineLevel="0" collapsed="false">
      <c r="C263" s="6" t="s">
        <v>244</v>
      </c>
      <c r="D263" s="2" t="s">
        <v>85</v>
      </c>
      <c r="E263" s="8" t="n">
        <f aca="false">0</f>
        <v>0</v>
      </c>
      <c r="F263" s="8" t="n">
        <f aca="false">0</f>
        <v>0</v>
      </c>
      <c r="G263" s="8" t="n">
        <f aca="false">0</f>
        <v>0</v>
      </c>
      <c r="H263" s="8" t="n">
        <f aca="false">SUM(E263:G263)</f>
        <v>0</v>
      </c>
      <c r="J263" s="24"/>
      <c r="K263" s="24"/>
      <c r="L263" s="24"/>
    </row>
    <row r="264" customFormat="false" ht="14.25" hidden="false" customHeight="false" outlineLevel="0" collapsed="false">
      <c r="C264" s="6" t="s">
        <v>245</v>
      </c>
      <c r="D264" s="2" t="s">
        <v>85</v>
      </c>
      <c r="E264" s="8" t="n">
        <f aca="false">0</f>
        <v>0</v>
      </c>
      <c r="F264" s="8" t="n">
        <f aca="false">0</f>
        <v>0</v>
      </c>
      <c r="G264" s="8" t="n">
        <f aca="false">0</f>
        <v>0</v>
      </c>
      <c r="H264" s="8" t="n">
        <f aca="false">SUM(E264:G264)</f>
        <v>0</v>
      </c>
      <c r="J264" s="24"/>
      <c r="K264" s="24"/>
      <c r="L264" s="24"/>
    </row>
    <row r="265" customFormat="false" ht="14.25" hidden="false" customHeight="false" outlineLevel="0" collapsed="false">
      <c r="C265" s="6" t="s">
        <v>246</v>
      </c>
      <c r="D265" s="2" t="s">
        <v>85</v>
      </c>
      <c r="E265" s="8" t="n">
        <f aca="false">E251</f>
        <v>-250</v>
      </c>
      <c r="F265" s="8" t="n">
        <f aca="false">F251</f>
        <v>-250</v>
      </c>
      <c r="G265" s="8" t="n">
        <f aca="false">G251</f>
        <v>-250</v>
      </c>
      <c r="H265" s="8" t="n">
        <f aca="false">SUM(E265:G265)</f>
        <v>-750</v>
      </c>
      <c r="J265" s="24"/>
      <c r="K265" s="24"/>
      <c r="L265" s="24"/>
    </row>
    <row r="266" customFormat="false" ht="14.25" hidden="false" customHeight="false" outlineLevel="0" collapsed="false">
      <c r="C266" s="6" t="s">
        <v>247</v>
      </c>
      <c r="D266" s="2" t="s">
        <v>85</v>
      </c>
      <c r="E266" s="8" t="n">
        <f aca="false">E256</f>
        <v>-287.5</v>
      </c>
      <c r="F266" s="8" t="n">
        <f aca="false">F256</f>
        <v>-0</v>
      </c>
      <c r="G266" s="8" t="n">
        <f aca="false">G256</f>
        <v>-0</v>
      </c>
      <c r="H266" s="8" t="n">
        <f aca="false">SUM(E266:G266)</f>
        <v>-287.5</v>
      </c>
      <c r="J266" s="24"/>
      <c r="K266" s="24"/>
      <c r="L266" s="24"/>
    </row>
    <row r="267" customFormat="false" ht="14.25" hidden="false" customHeight="false" outlineLevel="0" collapsed="false">
      <c r="C267" s="6" t="s">
        <v>248</v>
      </c>
      <c r="D267" s="2" t="s">
        <v>85</v>
      </c>
      <c r="E267" s="8" t="n">
        <f aca="false">-E259</f>
        <v>-1701.53513044988</v>
      </c>
      <c r="F267" s="8" t="n">
        <f aca="false">-F259</f>
        <v>-0</v>
      </c>
      <c r="G267" s="8" t="n">
        <f aca="false">-G259</f>
        <v>-0</v>
      </c>
      <c r="H267" s="8" t="n">
        <f aca="false">SUM(E267:G267)</f>
        <v>-1701.53513044988</v>
      </c>
      <c r="J267" s="24"/>
      <c r="K267" s="24"/>
      <c r="L267" s="24"/>
    </row>
    <row r="268" customFormat="false" ht="14.25" hidden="false" customHeight="false" outlineLevel="0" collapsed="false">
      <c r="C268" s="6" t="s">
        <v>249</v>
      </c>
      <c r="D268" s="67" t="s">
        <v>85</v>
      </c>
      <c r="E268" s="8" t="n">
        <f aca="false">-E254</f>
        <v>566.199264799899</v>
      </c>
      <c r="F268" s="8" t="n">
        <f aca="false">-F254</f>
        <v>0</v>
      </c>
      <c r="G268" s="8" t="n">
        <f aca="false">-G254</f>
        <v>0</v>
      </c>
      <c r="H268" s="8" t="n">
        <f aca="false">SUM(E268:G268)</f>
        <v>566.199264799899</v>
      </c>
      <c r="J268" s="24"/>
      <c r="K268" s="24"/>
      <c r="L268" s="24"/>
    </row>
    <row r="269" customFormat="false" ht="14.25" hidden="false" customHeight="false" outlineLevel="0" collapsed="false">
      <c r="C269" s="6" t="s">
        <v>250</v>
      </c>
      <c r="D269" s="67" t="s">
        <v>85</v>
      </c>
      <c r="E269" s="8" t="n">
        <f aca="false">-E255</f>
        <v>724.516967033827</v>
      </c>
      <c r="F269" s="8" t="n">
        <f aca="false">-F255</f>
        <v>0</v>
      </c>
      <c r="G269" s="8" t="n">
        <f aca="false">-G255</f>
        <v>0</v>
      </c>
      <c r="H269" s="8" t="n">
        <f aca="false">SUM(E269:G269)</f>
        <v>724.516967033827</v>
      </c>
      <c r="J269" s="24"/>
      <c r="K269" s="24"/>
      <c r="L269" s="24"/>
    </row>
    <row r="270" customFormat="false" ht="14.25" hidden="false" customHeight="false" outlineLevel="0" collapsed="false">
      <c r="C270" s="6" t="s">
        <v>29</v>
      </c>
      <c r="D270" s="67" t="s">
        <v>85</v>
      </c>
      <c r="E270" s="8" t="n">
        <f aca="false">E258</f>
        <v>3970.24863771639</v>
      </c>
      <c r="F270" s="8" t="n">
        <f aca="false">F258</f>
        <v>7250</v>
      </c>
      <c r="G270" s="8" t="n">
        <f aca="false">G258</f>
        <v>7250</v>
      </c>
      <c r="H270" s="8" t="n">
        <f aca="false">SUM(E270:G270)</f>
        <v>18470.2486377164</v>
      </c>
      <c r="J270" s="24"/>
      <c r="K270" s="24"/>
      <c r="L270" s="24"/>
    </row>
    <row r="271" customFormat="false" ht="14.25" hidden="false" customHeight="false" outlineLevel="0" collapsed="false">
      <c r="C271" s="44" t="s">
        <v>251</v>
      </c>
      <c r="D271" s="45" t="s">
        <v>85</v>
      </c>
      <c r="E271" s="68" t="n">
        <f aca="false">SUM(E268:E270)</f>
        <v>5260.96486955012</v>
      </c>
      <c r="F271" s="68" t="n">
        <f aca="false">SUM(F268:F270)</f>
        <v>7250</v>
      </c>
      <c r="G271" s="68" t="n">
        <f aca="false">SUM(G268:G270)</f>
        <v>7250</v>
      </c>
      <c r="H271" s="68" t="n">
        <f aca="false">SUM(E271:G271)</f>
        <v>19760.9648695501</v>
      </c>
    </row>
    <row r="272" customFormat="false" ht="14.25" hidden="false" customHeight="false" outlineLevel="0" collapsed="false">
      <c r="C272" s="6" t="s">
        <v>252</v>
      </c>
      <c r="D272" s="2" t="s">
        <v>85</v>
      </c>
      <c r="E272" s="8" t="n">
        <f aca="false">-E69</f>
        <v>-100</v>
      </c>
      <c r="F272" s="8" t="n">
        <f aca="false">-F69</f>
        <v>-150</v>
      </c>
      <c r="G272" s="8" t="n">
        <f aca="false">-G69</f>
        <v>-150</v>
      </c>
      <c r="H272" s="8" t="n">
        <f aca="false">SUM(E272:G272)</f>
        <v>-400</v>
      </c>
      <c r="J272" s="24"/>
      <c r="K272" s="24"/>
      <c r="L272" s="24"/>
    </row>
    <row r="273" customFormat="false" ht="14.25" hidden="false" customHeight="false" outlineLevel="0" collapsed="false">
      <c r="C273" s="6" t="s">
        <v>253</v>
      </c>
      <c r="D273" s="2" t="s">
        <v>85</v>
      </c>
      <c r="E273" s="8" t="n">
        <f aca="false">-E61</f>
        <v>-8.21917808219178</v>
      </c>
      <c r="F273" s="8" t="n">
        <f aca="false">-F61</f>
        <v>-8.21917808219178</v>
      </c>
      <c r="G273" s="8" t="n">
        <f aca="false">-G61</f>
        <v>-8.21917808219178</v>
      </c>
      <c r="H273" s="8" t="n">
        <f aca="false">SUM(E273:G273)</f>
        <v>-24.6575342465753</v>
      </c>
      <c r="J273" s="24"/>
      <c r="K273" s="24"/>
      <c r="L273" s="24"/>
    </row>
    <row r="274" customFormat="false" ht="14.25" hidden="false" customHeight="false" outlineLevel="0" collapsed="false">
      <c r="C274" s="6" t="s">
        <v>254</v>
      </c>
      <c r="D274" s="2" t="s">
        <v>85</v>
      </c>
      <c r="E274" s="8" t="n">
        <f aca="false">-E219</f>
        <v>-679.181008129718</v>
      </c>
      <c r="F274" s="8" t="n">
        <f aca="false">-F219</f>
        <v>-679.181008129718</v>
      </c>
      <c r="G274" s="8" t="n">
        <f aca="false">-G219</f>
        <v>-679.181008129718</v>
      </c>
      <c r="H274" s="8" t="n">
        <f aca="false">SUM(E274:G274)</f>
        <v>-2037.54302438915</v>
      </c>
      <c r="J274" s="24"/>
      <c r="K274" s="24"/>
      <c r="L274" s="24"/>
    </row>
    <row r="275" customFormat="false" ht="14.25" hidden="false" customHeight="false" outlineLevel="0" collapsed="false">
      <c r="C275" s="44" t="s">
        <v>255</v>
      </c>
      <c r="D275" s="45" t="s">
        <v>85</v>
      </c>
      <c r="E275" s="68" t="n">
        <f aca="false">E271+SUM(E272:E274)</f>
        <v>4473.56468333821</v>
      </c>
      <c r="F275" s="68" t="n">
        <f aca="false">F271+SUM(F272:F274)</f>
        <v>6412.59981378809</v>
      </c>
      <c r="G275" s="68" t="n">
        <f aca="false">G271+SUM(G272:G274)</f>
        <v>6412.59981378809</v>
      </c>
      <c r="H275" s="68" t="n">
        <f aca="false">SUM(E275:G275)</f>
        <v>17298.7643109144</v>
      </c>
    </row>
    <row r="276" customFormat="false" ht="14.25" hidden="false" customHeight="false" outlineLevel="0" collapsed="false">
      <c r="C276" s="1" t="s">
        <v>256</v>
      </c>
      <c r="D276" s="2" t="s">
        <v>85</v>
      </c>
      <c r="E276" s="32" t="n">
        <f aca="false">-MAX(0,E275)*CIT_Rate*(1-Share_Exempt)</f>
        <v>-0</v>
      </c>
      <c r="F276" s="32" t="n">
        <f aca="false">-MAX(0,F275)*CIT_Rate*(1-Share_Exempt)</f>
        <v>-0</v>
      </c>
      <c r="G276" s="32" t="n">
        <f aca="false">-MAX(0,G275)*CIT_Rate*(1-Share_Exempt)</f>
        <v>-0</v>
      </c>
      <c r="H276" s="32" t="n">
        <f aca="false">SUM(E276:G276)</f>
        <v>0</v>
      </c>
    </row>
    <row r="277" customFormat="false" ht="14.25" hidden="false" customHeight="false" outlineLevel="0" collapsed="false">
      <c r="C277" s="44" t="s">
        <v>257</v>
      </c>
      <c r="D277" s="45" t="s">
        <v>85</v>
      </c>
      <c r="E277" s="68" t="n">
        <f aca="false">E275+E276</f>
        <v>4473.56468333821</v>
      </c>
      <c r="F277" s="68" t="n">
        <f aca="false">F275+F276</f>
        <v>6412.59981378809</v>
      </c>
      <c r="G277" s="68" t="n">
        <f aca="false">G275+G276</f>
        <v>6412.59981378809</v>
      </c>
      <c r="H277" s="68" t="n">
        <f aca="false">SUM(E277:G277)</f>
        <v>17298.7643109144</v>
      </c>
    </row>
    <row r="278" customFormat="false" ht="14.25" hidden="false" customHeight="false" outlineLevel="0" collapsed="false">
      <c r="C278" s="6" t="s">
        <v>258</v>
      </c>
      <c r="D278" s="2" t="s">
        <v>3</v>
      </c>
      <c r="E278" s="47" t="n">
        <f aca="false">SUMIF(E282:E289,"&gt;0")/-SUMIF(E282:E289,"&lt;0")</f>
        <v>2.31899740166495</v>
      </c>
      <c r="F278" s="47" t="n">
        <f aca="false">SUMIF(F282:F289,"&gt;0")/-SUMIF(F282:F289,"&lt;0")</f>
        <v>2.60568088818687</v>
      </c>
      <c r="G278" s="47" t="n">
        <f aca="false">SUMIF(G282:G289,"&gt;0")/-SUMIF(G282:G289,"&lt;0")</f>
        <v>2.60568088818687</v>
      </c>
      <c r="H278" s="47" t="n">
        <f aca="false">SUMIF(H282:H289,"&gt;0")/-SUMIF(H282:H289,"&lt;0")</f>
        <v>2.52023184524823</v>
      </c>
    </row>
    <row r="279" customFormat="false" ht="14.25" hidden="false" customHeight="false" outlineLevel="0" collapsed="false">
      <c r="C279" s="6" t="s">
        <v>259</v>
      </c>
      <c r="D279" s="2" t="s">
        <v>12</v>
      </c>
      <c r="E279" s="48" t="n">
        <f aca="false">XIRR(E282:E289,J282:J289)</f>
        <v>0.683901674423866</v>
      </c>
      <c r="F279" s="48" t="n">
        <f aca="false">XIRR(F282:F289,K282:K289)</f>
        <v>0.789921152442643</v>
      </c>
      <c r="G279" s="48" t="n">
        <f aca="false">XIRR(G282:G289,L282:L289)</f>
        <v>0.789921152442643</v>
      </c>
    </row>
    <row r="280" customFormat="false" ht="14.25" hidden="false" customHeight="false" outlineLevel="0" collapsed="false">
      <c r="C280" s="69" t="s">
        <v>260</v>
      </c>
      <c r="D280" s="34" t="s">
        <v>85</v>
      </c>
      <c r="E280" s="8" t="n">
        <f aca="false">E275-E321</f>
        <v>-258.790782380967</v>
      </c>
      <c r="F280" s="8" t="n">
        <f aca="false">F275-F321</f>
        <v>21.9178082191811</v>
      </c>
      <c r="G280" s="8" t="n">
        <f aca="false">G275-G321</f>
        <v>21.9178082191811</v>
      </c>
      <c r="H280" s="8" t="n">
        <f aca="false">SUM(E280:G280)</f>
        <v>-214.955165942605</v>
      </c>
    </row>
    <row r="281" customFormat="false" ht="14.25" hidden="false" customHeight="false" outlineLevel="0" collapsed="false">
      <c r="C281" s="42" t="s">
        <v>261</v>
      </c>
      <c r="D281" s="42"/>
      <c r="E281" s="43"/>
      <c r="F281" s="43"/>
      <c r="G281" s="43"/>
      <c r="H281" s="43"/>
      <c r="J281" s="43" t="s">
        <v>241</v>
      </c>
      <c r="K281" s="43" t="s">
        <v>6</v>
      </c>
      <c r="L281" s="43" t="s">
        <v>7</v>
      </c>
    </row>
    <row r="282" customFormat="false" ht="14.25" hidden="false" customHeight="false" outlineLevel="1" collapsed="false">
      <c r="C282" s="6" t="s">
        <v>82</v>
      </c>
      <c r="D282" s="2" t="s">
        <v>85</v>
      </c>
      <c r="E282" s="8" t="n">
        <f aca="false">-E69</f>
        <v>-100</v>
      </c>
      <c r="F282" s="8" t="n">
        <f aca="false">-F69</f>
        <v>-150</v>
      </c>
      <c r="G282" s="8" t="n">
        <f aca="false">-G69</f>
        <v>-150</v>
      </c>
      <c r="H282" s="8" t="n">
        <f aca="false">SUM(E282:G282)</f>
        <v>-400</v>
      </c>
      <c r="J282" s="24" t="n">
        <f aca="false">Inputs!E$20</f>
        <v>46234</v>
      </c>
      <c r="K282" s="24" t="n">
        <f aca="false">Inputs!F$20</f>
        <v>46234</v>
      </c>
      <c r="L282" s="24" t="n">
        <f aca="false">Inputs!G$20</f>
        <v>46234</v>
      </c>
    </row>
    <row r="283" customFormat="false" ht="14.25" hidden="false" customHeight="false" outlineLevel="1" collapsed="false">
      <c r="C283" s="6" t="s">
        <v>73</v>
      </c>
      <c r="D283" s="2" t="s">
        <v>85</v>
      </c>
      <c r="E283" s="8" t="n">
        <f aca="false">-E61</f>
        <v>-8.21917808219178</v>
      </c>
      <c r="F283" s="8" t="n">
        <f aca="false">-F61</f>
        <v>-8.21917808219178</v>
      </c>
      <c r="G283" s="8" t="n">
        <f aca="false">-G61</f>
        <v>-8.21917808219178</v>
      </c>
      <c r="H283" s="8" t="n">
        <f aca="false">SUM(E283:G283)</f>
        <v>-24.6575342465753</v>
      </c>
      <c r="J283" s="24" t="n">
        <f aca="false">Inputs!E$21</f>
        <v>46325</v>
      </c>
      <c r="K283" s="24" t="n">
        <f aca="false">Inputs!F$21</f>
        <v>46325</v>
      </c>
      <c r="L283" s="24" t="n">
        <f aca="false">Inputs!G$21</f>
        <v>46325</v>
      </c>
    </row>
    <row r="284" customFormat="false" ht="14.25" hidden="false" customHeight="false" outlineLevel="1" collapsed="false">
      <c r="C284" s="6" t="s">
        <v>75</v>
      </c>
      <c r="D284" s="2" t="s">
        <v>85</v>
      </c>
      <c r="E284" s="8" t="n">
        <f aca="false">-E62</f>
        <v>-388.493150684932</v>
      </c>
      <c r="F284" s="8" t="n">
        <f aca="false">-F62</f>
        <v>-498.904109589041</v>
      </c>
      <c r="G284" s="8" t="n">
        <f aca="false">-G62</f>
        <v>-498.904109589041</v>
      </c>
      <c r="H284" s="8" t="n">
        <f aca="false">SUM(E284:G284)</f>
        <v>-1386.30136986301</v>
      </c>
      <c r="J284" s="24" t="n">
        <f aca="false">Inputs!E$21</f>
        <v>46325</v>
      </c>
      <c r="K284" s="24" t="n">
        <f aca="false">Inputs!F$21</f>
        <v>46325</v>
      </c>
      <c r="L284" s="24" t="n">
        <f aca="false">Inputs!G$21</f>
        <v>46325</v>
      </c>
    </row>
    <row r="285" customFormat="false" ht="14.25" hidden="false" customHeight="false" outlineLevel="1" collapsed="false">
      <c r="C285" s="6" t="s">
        <v>262</v>
      </c>
      <c r="D285" s="2" t="s">
        <v>85</v>
      </c>
      <c r="E285" s="8" t="n">
        <f aca="false">-E63</f>
        <v>-1553.97260273973</v>
      </c>
      <c r="F285" s="8" t="n">
        <f aca="false">-F63</f>
        <v>-1995.61643835616</v>
      </c>
      <c r="G285" s="8" t="n">
        <f aca="false">-G63</f>
        <v>-1995.61643835616</v>
      </c>
      <c r="H285" s="8" t="n">
        <f aca="false">SUM(E285:G285)</f>
        <v>-5545.20547945205</v>
      </c>
      <c r="J285" s="24" t="n">
        <f aca="false">Inputs!E$22</f>
        <v>46402</v>
      </c>
      <c r="K285" s="24" t="n">
        <f aca="false">Inputs!F$22</f>
        <v>46402</v>
      </c>
      <c r="L285" s="24" t="n">
        <f aca="false">Inputs!G$22</f>
        <v>46402</v>
      </c>
    </row>
    <row r="286" customFormat="false" ht="14.25" hidden="false" customHeight="false" outlineLevel="1" collapsed="false">
      <c r="C286" s="6" t="s">
        <v>77</v>
      </c>
      <c r="D286" s="2" t="s">
        <v>85</v>
      </c>
      <c r="E286" s="8" t="n">
        <f aca="false">-E64</f>
        <v>-616.438356164384</v>
      </c>
      <c r="F286" s="8" t="n">
        <f aca="false">-F64</f>
        <v>-616.438356164384</v>
      </c>
      <c r="G286" s="8" t="n">
        <f aca="false">-G64</f>
        <v>-616.438356164384</v>
      </c>
      <c r="H286" s="8" t="n">
        <f aca="false">SUM(E286:G286)</f>
        <v>-1849.31506849315</v>
      </c>
      <c r="J286" s="24" t="n">
        <f aca="false">Inputs!E$23</f>
        <v>46402</v>
      </c>
      <c r="K286" s="24" t="n">
        <f aca="false">Inputs!F$23</f>
        <v>46402</v>
      </c>
      <c r="L286" s="24" t="n">
        <f aca="false">Inputs!G$23</f>
        <v>46402</v>
      </c>
    </row>
    <row r="287" customFormat="false" ht="14.25" hidden="false" customHeight="false" outlineLevel="1" collapsed="false">
      <c r="C287" s="6" t="s">
        <v>116</v>
      </c>
      <c r="D287" s="2" t="s">
        <v>85</v>
      </c>
      <c r="E287" s="8" t="n">
        <f aca="false">-E216</f>
        <v>-45.3359589041096</v>
      </c>
      <c r="F287" s="8" t="n">
        <f aca="false">-F216</f>
        <v>-45.3359589041096</v>
      </c>
      <c r="G287" s="8" t="n">
        <f aca="false">-G216</f>
        <v>-45.3359589041096</v>
      </c>
      <c r="H287" s="8" t="n">
        <f aca="false">SUM(E287:G287)</f>
        <v>-136.007876712329</v>
      </c>
      <c r="J287" s="24" t="n">
        <f aca="false">E215</f>
        <v>46431</v>
      </c>
      <c r="K287" s="24" t="n">
        <f aca="false">F215</f>
        <v>46431</v>
      </c>
      <c r="L287" s="24" t="n">
        <f aca="false">G215</f>
        <v>46431</v>
      </c>
    </row>
    <row r="288" customFormat="false" ht="14.25" hidden="false" customHeight="false" outlineLevel="1" collapsed="false">
      <c r="C288" s="6" t="s">
        <v>263</v>
      </c>
      <c r="D288" s="2" t="s">
        <v>85</v>
      </c>
      <c r="E288" s="8" t="n">
        <f aca="false">-E219</f>
        <v>-679.181008129718</v>
      </c>
      <c r="F288" s="8" t="n">
        <f aca="false">-F219</f>
        <v>-679.181008129718</v>
      </c>
      <c r="G288" s="8" t="n">
        <f aca="false">-G219</f>
        <v>-679.181008129718</v>
      </c>
      <c r="H288" s="8" t="n">
        <f aca="false">SUM(E288:G288)</f>
        <v>-2037.54302438915</v>
      </c>
      <c r="J288" s="24" t="n">
        <f aca="false">E218</f>
        <v>46701.5587560279</v>
      </c>
      <c r="K288" s="24" t="n">
        <f aca="false">F218</f>
        <v>46701.5587560279</v>
      </c>
      <c r="L288" s="24" t="n">
        <f aca="false">G218</f>
        <v>46701.5587560279</v>
      </c>
    </row>
    <row r="289" customFormat="false" ht="14.25" hidden="false" customHeight="false" outlineLevel="1" collapsed="false">
      <c r="C289" s="6" t="s">
        <v>264</v>
      </c>
      <c r="D289" s="2" t="s">
        <v>85</v>
      </c>
      <c r="E289" s="8" t="n">
        <f aca="false">E271-E252-E253</f>
        <v>7865.20493804327</v>
      </c>
      <c r="F289" s="8" t="n">
        <f aca="false">F271-F252-F253</f>
        <v>10406.2948630137</v>
      </c>
      <c r="G289" s="8" t="n">
        <f aca="false">G271-G252-G253</f>
        <v>10406.2948630137</v>
      </c>
      <c r="H289" s="8" t="n">
        <f aca="false">SUM(E289:G289)</f>
        <v>28677.7946640707</v>
      </c>
      <c r="J289" s="24" t="n">
        <f aca="false">Sale_Date_A</f>
        <v>47026</v>
      </c>
      <c r="K289" s="24" t="n">
        <f aca="false">Sale_Date_A</f>
        <v>47026</v>
      </c>
      <c r="L289" s="24" t="n">
        <f aca="false">Sale_Date_A</f>
        <v>47026</v>
      </c>
    </row>
    <row r="291" customFormat="false" ht="14.25" hidden="false" customHeight="false" outlineLevel="0" collapsed="false">
      <c r="B291" s="4" t="s">
        <v>3</v>
      </c>
      <c r="C291" s="4" t="s">
        <v>265</v>
      </c>
      <c r="D291" s="4"/>
      <c r="E291" s="5" t="s">
        <v>5</v>
      </c>
      <c r="F291" s="5" t="s">
        <v>6</v>
      </c>
      <c r="G291" s="5" t="s">
        <v>7</v>
      </c>
      <c r="H291" s="5" t="s">
        <v>8</v>
      </c>
    </row>
    <row r="292" customFormat="false" ht="14.25" hidden="false" customHeight="false" outlineLevel="0" collapsed="false">
      <c r="C292" s="6" t="s">
        <v>28</v>
      </c>
      <c r="D292" s="2" t="s">
        <v>85</v>
      </c>
      <c r="E292" s="8" t="n">
        <f aca="false">E18*E6</f>
        <v>7500</v>
      </c>
      <c r="F292" s="8" t="n">
        <f aca="false">F18*F6</f>
        <v>7500</v>
      </c>
      <c r="G292" s="8" t="n">
        <f aca="false">G18*G6</f>
        <v>7500</v>
      </c>
      <c r="H292" s="8" t="n">
        <f aca="false">SUM(E292:G292)</f>
        <v>22500</v>
      </c>
    </row>
    <row r="293" customFormat="false" ht="14.25" hidden="false" customHeight="false" outlineLevel="0" collapsed="false">
      <c r="C293" s="6" t="s">
        <v>266</v>
      </c>
      <c r="D293" s="2" t="s">
        <v>85</v>
      </c>
      <c r="E293" s="8" t="n">
        <f aca="false">SUM(E62:E66)</f>
        <v>12648.5978136986</v>
      </c>
      <c r="F293" s="8" t="n">
        <f aca="false">SUM(F62:F66)</f>
        <v>6470.77808219178</v>
      </c>
      <c r="G293" s="8" t="n">
        <f aca="false">SUM(G62:G66)</f>
        <v>6470.77808219178</v>
      </c>
      <c r="H293" s="8" t="n">
        <f aca="false">SUM(E293:G293)</f>
        <v>25590.1539780822</v>
      </c>
    </row>
    <row r="294" customFormat="false" ht="14.25" hidden="false" customHeight="false" outlineLevel="0" collapsed="false">
      <c r="C294" s="1" t="s">
        <v>229</v>
      </c>
      <c r="D294" s="2" t="s">
        <v>85</v>
      </c>
      <c r="E294" s="15" t="n">
        <f aca="false">E68</f>
        <v>107.801712328767</v>
      </c>
      <c r="F294" s="15" t="n">
        <f aca="false">F68</f>
        <v>107.801712328767</v>
      </c>
      <c r="G294" s="15" t="n">
        <f aca="false">G68</f>
        <v>107.801712328767</v>
      </c>
      <c r="H294" s="15" t="n">
        <f aca="false">SUM(E294:G294)</f>
        <v>323.405136986301</v>
      </c>
    </row>
    <row r="295" customFormat="false" ht="14.25" hidden="false" customHeight="false" outlineLevel="0" collapsed="false">
      <c r="C295" s="6" t="s">
        <v>230</v>
      </c>
      <c r="D295" s="2" t="s">
        <v>85</v>
      </c>
      <c r="E295" s="8" t="n">
        <f aca="false">SUM(E292:E294)</f>
        <v>20256.3995260274</v>
      </c>
      <c r="F295" s="8" t="n">
        <f aca="false">SUM(F292:F294)</f>
        <v>14078.5797945205</v>
      </c>
      <c r="G295" s="8" t="n">
        <f aca="false">SUM(G292:G294)</f>
        <v>14078.5797945205</v>
      </c>
      <c r="H295" s="8" t="n">
        <f aca="false">SUM(E295:G295)</f>
        <v>48413.5591150685</v>
      </c>
    </row>
    <row r="296" customFormat="false" ht="14.25" hidden="false" customHeight="false" outlineLevel="0" collapsed="false">
      <c r="C296" s="6" t="s">
        <v>231</v>
      </c>
      <c r="D296" s="2" t="s">
        <v>85</v>
      </c>
      <c r="E296" s="8" t="n">
        <f aca="false">-MIN(E295,Sale_Costs)</f>
        <v>-250</v>
      </c>
      <c r="F296" s="8" t="n">
        <f aca="false">-MIN(F295,Sale_Costs)</f>
        <v>-250</v>
      </c>
      <c r="G296" s="8" t="n">
        <f aca="false">-MIN(G295,Sale_Costs)</f>
        <v>-250</v>
      </c>
      <c r="H296" s="8" t="n">
        <f aca="false">SUM(E296:G296)</f>
        <v>-750</v>
      </c>
    </row>
    <row r="297" customFormat="false" ht="14.25" hidden="false" customHeight="false" outlineLevel="0" collapsed="false">
      <c r="C297" s="6" t="s">
        <v>267</v>
      </c>
      <c r="D297" s="2" t="s">
        <v>85</v>
      </c>
      <c r="E297" s="8" t="n">
        <f aca="false">-MIN(SUM(E295:E296),E293)</f>
        <v>-12648.5978136986</v>
      </c>
      <c r="F297" s="8" t="n">
        <f aca="false">-MIN(SUM(F295:F296),F293)</f>
        <v>-6470.77808219178</v>
      </c>
      <c r="G297" s="8" t="n">
        <f aca="false">-MIN(SUM(G295:G296),G293)</f>
        <v>-6470.77808219178</v>
      </c>
      <c r="H297" s="8" t="n">
        <f aca="false">SUM(E297:G297)</f>
        <v>-25590.1539780822</v>
      </c>
    </row>
    <row r="298" customFormat="false" ht="14.25" hidden="false" customHeight="false" outlineLevel="0" collapsed="false">
      <c r="C298" s="6" t="s">
        <v>233</v>
      </c>
      <c r="D298" s="2" t="s">
        <v>85</v>
      </c>
      <c r="E298" s="8" t="n">
        <f aca="false">-MIN(SUM(E295:E297),E294)</f>
        <v>-107.801712328767</v>
      </c>
      <c r="F298" s="8" t="n">
        <f aca="false">-MIN(SUM(F295:F297),F294)</f>
        <v>-107.801712328767</v>
      </c>
      <c r="G298" s="8" t="n">
        <f aca="false">-MIN(SUM(G295:G297),G294)</f>
        <v>-107.801712328767</v>
      </c>
      <c r="H298" s="8" t="n">
        <f aca="false">SUM(E298:G298)</f>
        <v>-323.405136986301</v>
      </c>
    </row>
    <row r="299" customFormat="false" ht="14.25" hidden="false" customHeight="false" outlineLevel="0" collapsed="false">
      <c r="C299" s="6" t="s">
        <v>234</v>
      </c>
      <c r="D299" s="2" t="s">
        <v>85</v>
      </c>
      <c r="E299" s="8" t="n">
        <f aca="false">-MIN(SUM(E295:E298),SUM(E201:E206))</f>
        <v>-1767.51100515654</v>
      </c>
      <c r="F299" s="8" t="n">
        <f aca="false">-MIN(SUM(F295:F298),SUM(F201:F206))</f>
        <v>-0</v>
      </c>
      <c r="G299" s="8" t="n">
        <f aca="false">-MIN(SUM(G295:G298),SUM(G201:G206))</f>
        <v>-0</v>
      </c>
      <c r="H299" s="8" t="n">
        <f aca="false">SUM(E299:G299)</f>
        <v>-1767.51100515654</v>
      </c>
      <c r="N299" s="70"/>
    </row>
    <row r="300" customFormat="false" ht="14.25" hidden="false" customHeight="false" outlineLevel="0" collapsed="false">
      <c r="C300" s="6" t="s">
        <v>235</v>
      </c>
      <c r="D300" s="2" t="s">
        <v>85</v>
      </c>
      <c r="E300" s="8" t="n">
        <f aca="false">-MIN(SUM(E295:E299),SUM(E207:E208))</f>
        <v>-808.900528677663</v>
      </c>
      <c r="F300" s="8" t="n">
        <f aca="false">-MIN(SUM(F295:F299),SUM(F207:F208))</f>
        <v>-0</v>
      </c>
      <c r="G300" s="8" t="n">
        <f aca="false">-MIN(SUM(G295:G299),SUM(G207:G208))</f>
        <v>-0</v>
      </c>
      <c r="H300" s="8" t="n">
        <f aca="false">SUM(E300:G300)</f>
        <v>-808.900528677663</v>
      </c>
      <c r="N300" s="70"/>
    </row>
    <row r="301" customFormat="false" ht="14.25" hidden="false" customHeight="false" outlineLevel="0" collapsed="false">
      <c r="C301" s="6" t="s">
        <v>236</v>
      </c>
      <c r="D301" s="2" t="s">
        <v>85</v>
      </c>
      <c r="E301" s="8" t="n">
        <f aca="false">-MIN(SUM(E295:E300),E210)</f>
        <v>-437.5</v>
      </c>
      <c r="F301" s="8" t="n">
        <f aca="false">-MIN(SUM(F295:F300),F210)</f>
        <v>-0</v>
      </c>
      <c r="G301" s="8" t="n">
        <f aca="false">-MIN(SUM(G295:G300),G210)</f>
        <v>-0</v>
      </c>
      <c r="H301" s="8" t="n">
        <f aca="false">SUM(E301:G301)</f>
        <v>-437.5</v>
      </c>
    </row>
    <row r="302" customFormat="false" ht="14.25" hidden="false" customHeight="false" outlineLevel="0" collapsed="false">
      <c r="C302" s="1" t="s">
        <v>237</v>
      </c>
      <c r="D302" s="2" t="s">
        <v>85</v>
      </c>
      <c r="E302" s="32" t="n">
        <f aca="false">SUM(E295:E301)</f>
        <v>4236.08846616579</v>
      </c>
      <c r="F302" s="32" t="n">
        <f aca="false">SUM(F295:F301)</f>
        <v>7250</v>
      </c>
      <c r="G302" s="32" t="n">
        <f aca="false">SUM(G295:G301)</f>
        <v>7250</v>
      </c>
      <c r="H302" s="32" t="n">
        <f aca="false">SUM(E302:G302)</f>
        <v>18736.0884661658</v>
      </c>
    </row>
    <row r="303" customFormat="false" ht="14.25" hidden="false" customHeight="false" outlineLevel="0" collapsed="false">
      <c r="C303" s="6" t="s">
        <v>238</v>
      </c>
      <c r="D303" s="2" t="s">
        <v>85</v>
      </c>
      <c r="E303" s="8" t="n">
        <f aca="false">E302*E19</f>
        <v>2965.26192631606</v>
      </c>
      <c r="F303" s="8" t="n">
        <f aca="false">F302*F19</f>
        <v>7250</v>
      </c>
      <c r="G303" s="8" t="n">
        <f aca="false">G302*G19</f>
        <v>7250</v>
      </c>
      <c r="H303" s="8" t="n">
        <f aca="false">SUM(E303:G303)</f>
        <v>17465.2619263161</v>
      </c>
    </row>
    <row r="304" customFormat="false" ht="14.25" hidden="false" customHeight="false" outlineLevel="0" collapsed="false">
      <c r="C304" s="6" t="s">
        <v>239</v>
      </c>
      <c r="D304" s="2" t="s">
        <v>85</v>
      </c>
      <c r="E304" s="8" t="n">
        <f aca="false">E302-E303</f>
        <v>1270.82653984974</v>
      </c>
      <c r="F304" s="8" t="n">
        <f aca="false">F302-F303</f>
        <v>0</v>
      </c>
      <c r="G304" s="8" t="n">
        <f aca="false">G302-G303</f>
        <v>0</v>
      </c>
      <c r="H304" s="8" t="n">
        <f aca="false">SUM(E304:G304)</f>
        <v>1270.82653984974</v>
      </c>
    </row>
    <row r="306" customFormat="false" ht="14.25" hidden="false" customHeight="false" outlineLevel="0" collapsed="false">
      <c r="C306" s="42" t="s">
        <v>268</v>
      </c>
      <c r="D306" s="42"/>
      <c r="E306" s="43" t="s">
        <v>5</v>
      </c>
      <c r="F306" s="43" t="s">
        <v>6</v>
      </c>
      <c r="G306" s="43" t="s">
        <v>7</v>
      </c>
      <c r="H306" s="43" t="s">
        <v>8</v>
      </c>
      <c r="J306" s="43"/>
      <c r="K306" s="43"/>
      <c r="L306" s="43"/>
    </row>
    <row r="307" customFormat="false" ht="14.25" hidden="false" customHeight="false" outlineLevel="0" collapsed="false">
      <c r="C307" s="6" t="s">
        <v>242</v>
      </c>
      <c r="D307" s="2" t="s">
        <v>85</v>
      </c>
      <c r="E307" s="8" t="n">
        <f aca="false">E292</f>
        <v>7500</v>
      </c>
      <c r="F307" s="8" t="n">
        <f aca="false">F292</f>
        <v>7500</v>
      </c>
      <c r="G307" s="8" t="n">
        <f aca="false">G292</f>
        <v>7500</v>
      </c>
      <c r="H307" s="8" t="n">
        <f aca="false">SUM(E307:G307)</f>
        <v>22500</v>
      </c>
      <c r="J307" s="24"/>
      <c r="K307" s="24"/>
      <c r="L307" s="24"/>
    </row>
    <row r="308" customFormat="false" ht="14.25" hidden="false" customHeight="false" outlineLevel="0" collapsed="false">
      <c r="C308" s="6" t="s">
        <v>243</v>
      </c>
      <c r="D308" s="2" t="s">
        <v>85</v>
      </c>
      <c r="E308" s="8" t="n">
        <f aca="false">0</f>
        <v>0</v>
      </c>
      <c r="F308" s="8" t="n">
        <f aca="false">0</f>
        <v>0</v>
      </c>
      <c r="G308" s="8" t="n">
        <f aca="false">0</f>
        <v>0</v>
      </c>
      <c r="H308" s="8" t="n">
        <f aca="false">SUM(E308:G308)</f>
        <v>0</v>
      </c>
      <c r="J308" s="24"/>
      <c r="K308" s="24"/>
      <c r="L308" s="24"/>
    </row>
    <row r="309" customFormat="false" ht="14.25" hidden="false" customHeight="false" outlineLevel="0" collapsed="false">
      <c r="C309" s="6" t="s">
        <v>244</v>
      </c>
      <c r="D309" s="2" t="s">
        <v>85</v>
      </c>
      <c r="E309" s="8" t="n">
        <f aca="false">0</f>
        <v>0</v>
      </c>
      <c r="F309" s="8" t="n">
        <f aca="false">0</f>
        <v>0</v>
      </c>
      <c r="G309" s="8" t="n">
        <f aca="false">0</f>
        <v>0</v>
      </c>
      <c r="H309" s="8" t="n">
        <f aca="false">SUM(E309:G309)</f>
        <v>0</v>
      </c>
      <c r="J309" s="24"/>
      <c r="K309" s="24"/>
      <c r="L309" s="24"/>
    </row>
    <row r="310" customFormat="false" ht="14.25" hidden="false" customHeight="false" outlineLevel="0" collapsed="false">
      <c r="C310" s="6" t="s">
        <v>245</v>
      </c>
      <c r="D310" s="2" t="s">
        <v>85</v>
      </c>
      <c r="E310" s="8" t="n">
        <f aca="false">0</f>
        <v>0</v>
      </c>
      <c r="F310" s="8" t="n">
        <f aca="false">0</f>
        <v>0</v>
      </c>
      <c r="G310" s="8" t="n">
        <f aca="false">0</f>
        <v>0</v>
      </c>
      <c r="H310" s="8" t="n">
        <f aca="false">SUM(E310:G310)</f>
        <v>0</v>
      </c>
      <c r="J310" s="24"/>
      <c r="K310" s="24"/>
      <c r="L310" s="24"/>
    </row>
    <row r="311" customFormat="false" ht="14.25" hidden="false" customHeight="false" outlineLevel="0" collapsed="false">
      <c r="C311" s="6" t="s">
        <v>246</v>
      </c>
      <c r="D311" s="2" t="s">
        <v>85</v>
      </c>
      <c r="E311" s="8" t="n">
        <f aca="false">E296</f>
        <v>-250</v>
      </c>
      <c r="F311" s="8" t="n">
        <f aca="false">F296</f>
        <v>-250</v>
      </c>
      <c r="G311" s="8" t="n">
        <f aca="false">G296</f>
        <v>-250</v>
      </c>
      <c r="H311" s="8" t="n">
        <f aca="false">SUM(E311:G311)</f>
        <v>-750</v>
      </c>
      <c r="J311" s="24"/>
      <c r="K311" s="24"/>
      <c r="L311" s="24"/>
    </row>
    <row r="312" customFormat="false" ht="14.25" hidden="false" customHeight="false" outlineLevel="0" collapsed="false">
      <c r="C312" s="6" t="s">
        <v>247</v>
      </c>
      <c r="D312" s="2" t="s">
        <v>85</v>
      </c>
      <c r="E312" s="8" t="n">
        <f aca="false">E301</f>
        <v>-437.5</v>
      </c>
      <c r="F312" s="8" t="n">
        <f aca="false">F301</f>
        <v>-0</v>
      </c>
      <c r="G312" s="8" t="n">
        <f aca="false">G301</f>
        <v>-0</v>
      </c>
      <c r="H312" s="8" t="n">
        <f aca="false">SUM(E312:G312)</f>
        <v>-437.5</v>
      </c>
      <c r="J312" s="24"/>
      <c r="K312" s="24"/>
      <c r="L312" s="24"/>
    </row>
    <row r="313" customFormat="false" ht="14.25" hidden="false" customHeight="false" outlineLevel="0" collapsed="false">
      <c r="C313" s="6" t="s">
        <v>248</v>
      </c>
      <c r="D313" s="2" t="s">
        <v>85</v>
      </c>
      <c r="E313" s="8" t="n">
        <f aca="false">-E304</f>
        <v>-1270.82653984974</v>
      </c>
      <c r="F313" s="8" t="n">
        <f aca="false">-F304</f>
        <v>-0</v>
      </c>
      <c r="G313" s="8" t="n">
        <f aca="false">-G304</f>
        <v>-0</v>
      </c>
      <c r="H313" s="8" t="n">
        <f aca="false">SUM(E313:G313)</f>
        <v>-1270.82653984974</v>
      </c>
      <c r="J313" s="24"/>
      <c r="K313" s="24"/>
      <c r="L313" s="24"/>
    </row>
    <row r="314" customFormat="false" ht="14.25" hidden="false" customHeight="false" outlineLevel="0" collapsed="false">
      <c r="C314" s="6" t="s">
        <v>249</v>
      </c>
      <c r="D314" s="67" t="s">
        <v>85</v>
      </c>
      <c r="E314" s="8" t="n">
        <f aca="false">-E299</f>
        <v>1767.51100515654</v>
      </c>
      <c r="F314" s="8" t="n">
        <f aca="false">-F299</f>
        <v>0</v>
      </c>
      <c r="G314" s="8" t="n">
        <f aca="false">-G299</f>
        <v>0</v>
      </c>
      <c r="H314" s="8" t="n">
        <f aca="false">SUM(E314:G314)</f>
        <v>1767.51100515654</v>
      </c>
      <c r="J314" s="24"/>
      <c r="K314" s="24"/>
      <c r="L314" s="24"/>
    </row>
    <row r="315" customFormat="false" ht="14.25" hidden="false" customHeight="false" outlineLevel="0" collapsed="false">
      <c r="C315" s="6" t="s">
        <v>250</v>
      </c>
      <c r="D315" s="67" t="s">
        <v>85</v>
      </c>
      <c r="E315" s="8" t="n">
        <f aca="false">-E300</f>
        <v>808.900528677663</v>
      </c>
      <c r="F315" s="8" t="n">
        <f aca="false">-F300</f>
        <v>0</v>
      </c>
      <c r="G315" s="8" t="n">
        <f aca="false">-G300</f>
        <v>0</v>
      </c>
      <c r="H315" s="8" t="n">
        <f aca="false">SUM(E315:G315)</f>
        <v>808.900528677663</v>
      </c>
      <c r="J315" s="24"/>
      <c r="K315" s="24"/>
      <c r="L315" s="24"/>
    </row>
    <row r="316" customFormat="false" ht="14.25" hidden="false" customHeight="false" outlineLevel="0" collapsed="false">
      <c r="C316" s="6" t="s">
        <v>29</v>
      </c>
      <c r="D316" s="67" t="s">
        <v>85</v>
      </c>
      <c r="E316" s="8" t="n">
        <f aca="false">E303</f>
        <v>2965.26192631606</v>
      </c>
      <c r="F316" s="8" t="n">
        <f aca="false">F303</f>
        <v>7250</v>
      </c>
      <c r="G316" s="8" t="n">
        <f aca="false">G303</f>
        <v>7250</v>
      </c>
      <c r="H316" s="8" t="n">
        <f aca="false">SUM(E316:G316)</f>
        <v>17465.2619263161</v>
      </c>
      <c r="J316" s="24"/>
      <c r="K316" s="24"/>
      <c r="L316" s="24"/>
    </row>
    <row r="317" customFormat="false" ht="14.25" hidden="false" customHeight="false" outlineLevel="0" collapsed="false">
      <c r="C317" s="44" t="s">
        <v>269</v>
      </c>
      <c r="D317" s="45" t="s">
        <v>85</v>
      </c>
      <c r="E317" s="68" t="n">
        <f aca="false">SUM(E314:E316)</f>
        <v>5541.67346015026</v>
      </c>
      <c r="F317" s="68" t="n">
        <f aca="false">SUM(F314:F316)</f>
        <v>7250</v>
      </c>
      <c r="G317" s="68" t="n">
        <f aca="false">SUM(G314:G316)</f>
        <v>7250</v>
      </c>
      <c r="H317" s="68" t="n">
        <f aca="false">SUM(E317:G317)</f>
        <v>20041.6734601503</v>
      </c>
    </row>
    <row r="318" customFormat="false" ht="14.25" hidden="false" customHeight="false" outlineLevel="0" collapsed="false">
      <c r="C318" s="6" t="s">
        <v>252</v>
      </c>
      <c r="D318" s="2" t="s">
        <v>85</v>
      </c>
      <c r="E318" s="8" t="n">
        <f aca="false">-E69</f>
        <v>-100</v>
      </c>
      <c r="F318" s="8" t="n">
        <f aca="false">-F69</f>
        <v>-150</v>
      </c>
      <c r="G318" s="8" t="n">
        <f aca="false">-G69</f>
        <v>-150</v>
      </c>
      <c r="H318" s="8" t="n">
        <f aca="false">SUM(E318:G318)</f>
        <v>-400</v>
      </c>
      <c r="J318" s="24"/>
      <c r="K318" s="24"/>
      <c r="L318" s="24"/>
    </row>
    <row r="319" customFormat="false" ht="14.25" hidden="false" customHeight="false" outlineLevel="0" collapsed="false">
      <c r="C319" s="6" t="s">
        <v>253</v>
      </c>
      <c r="D319" s="2" t="s">
        <v>85</v>
      </c>
      <c r="E319" s="8" t="n">
        <f aca="false">-E61</f>
        <v>-8.21917808219178</v>
      </c>
      <c r="F319" s="8" t="n">
        <f aca="false">-F61</f>
        <v>-8.21917808219178</v>
      </c>
      <c r="G319" s="8" t="n">
        <f aca="false">-G61</f>
        <v>-8.21917808219178</v>
      </c>
      <c r="H319" s="8" t="n">
        <f aca="false">SUM(E319:G319)</f>
        <v>-24.6575342465753</v>
      </c>
      <c r="J319" s="24"/>
      <c r="K319" s="24"/>
      <c r="L319" s="24"/>
    </row>
    <row r="320" customFormat="false" ht="14.25" hidden="false" customHeight="false" outlineLevel="0" collapsed="false">
      <c r="C320" s="6" t="s">
        <v>254</v>
      </c>
      <c r="D320" s="2" t="s">
        <v>85</v>
      </c>
      <c r="E320" s="8" t="n">
        <f aca="false">-E67</f>
        <v>-701.098816348896</v>
      </c>
      <c r="F320" s="8" t="n">
        <f aca="false">-F67</f>
        <v>-701.098816348896</v>
      </c>
      <c r="G320" s="8" t="n">
        <f aca="false">-G67</f>
        <v>-701.098816348896</v>
      </c>
      <c r="H320" s="8" t="n">
        <f aca="false">SUM(E320:G320)</f>
        <v>-2103.29644904669</v>
      </c>
      <c r="J320" s="24"/>
      <c r="K320" s="24"/>
      <c r="L320" s="24"/>
    </row>
    <row r="321" customFormat="false" ht="14.25" hidden="false" customHeight="false" outlineLevel="0" collapsed="false">
      <c r="C321" s="44" t="s">
        <v>255</v>
      </c>
      <c r="D321" s="45" t="s">
        <v>85</v>
      </c>
      <c r="E321" s="68" t="n">
        <f aca="false">E317+SUM(E318:E320)</f>
        <v>4732.35546571918</v>
      </c>
      <c r="F321" s="68" t="n">
        <f aca="false">F317+SUM(F318:F320)</f>
        <v>6390.68200556891</v>
      </c>
      <c r="G321" s="68" t="n">
        <f aca="false">G317+SUM(G318:G320)</f>
        <v>6390.68200556891</v>
      </c>
      <c r="H321" s="68" t="n">
        <f aca="false">SUM(E321:G321)</f>
        <v>17513.719476857</v>
      </c>
    </row>
    <row r="322" customFormat="false" ht="14.25" hidden="false" customHeight="false" outlineLevel="0" collapsed="false">
      <c r="C322" s="1" t="s">
        <v>256</v>
      </c>
      <c r="D322" s="2" t="s">
        <v>85</v>
      </c>
      <c r="E322" s="32" t="n">
        <f aca="false">-MAX(0,E321)*CIT_Rate*(1-Share_Exempt)</f>
        <v>-0</v>
      </c>
      <c r="F322" s="32" t="n">
        <f aca="false">-MAX(0,F321)*CIT_Rate*(1-Share_Exempt)</f>
        <v>-0</v>
      </c>
      <c r="G322" s="32" t="n">
        <f aca="false">-MAX(0,G321)*CIT_Rate*(1-Share_Exempt)</f>
        <v>-0</v>
      </c>
      <c r="H322" s="32" t="n">
        <f aca="false">SUM(E322:G322)</f>
        <v>0</v>
      </c>
    </row>
    <row r="323" customFormat="false" ht="14.25" hidden="false" customHeight="false" outlineLevel="0" collapsed="false">
      <c r="C323" s="44" t="s">
        <v>257</v>
      </c>
      <c r="D323" s="45" t="s">
        <v>85</v>
      </c>
      <c r="E323" s="68" t="n">
        <f aca="false">E321+E322</f>
        <v>4732.35546571918</v>
      </c>
      <c r="F323" s="68" t="n">
        <f aca="false">F321+F322</f>
        <v>6390.68200556891</v>
      </c>
      <c r="G323" s="68" t="n">
        <f aca="false">G321+G322</f>
        <v>6390.68200556891</v>
      </c>
      <c r="H323" s="68" t="n">
        <f aca="false">SUM(E323:G323)</f>
        <v>17513.719476857</v>
      </c>
    </row>
    <row r="324" customFormat="false" ht="14.25" hidden="false" customHeight="false" outlineLevel="0" collapsed="false">
      <c r="C324" s="6" t="s">
        <v>258</v>
      </c>
      <c r="D324" s="2" t="s">
        <v>3</v>
      </c>
      <c r="E324" s="47" t="n">
        <f aca="false">SUMIF(E327:E336,"&gt;0")/-SUMIF(E327:E336,"&lt;0")</f>
        <v>1.34884667608494</v>
      </c>
      <c r="F324" s="47" t="n">
        <f aca="false">SUMIF(F327:F336,"&gt;0")/-SUMIF(F327:F336,"&lt;0")</f>
        <v>1.85920540815467</v>
      </c>
      <c r="G324" s="47" t="n">
        <f aca="false">SUMIF(G327:G336,"&gt;0")/-SUMIF(G327:G336,"&lt;0")</f>
        <v>1.85920540815467</v>
      </c>
      <c r="H324" s="47" t="n">
        <f aca="false">SUMIF(H327:H336,"&gt;0")/-SUMIF(H327:H336,"&lt;0")</f>
        <v>1.61578015966618</v>
      </c>
    </row>
    <row r="325" customFormat="false" ht="14.25" hidden="false" customHeight="false" outlineLevel="0" collapsed="false">
      <c r="C325" s="6" t="s">
        <v>259</v>
      </c>
      <c r="D325" s="2" t="s">
        <v>12</v>
      </c>
      <c r="E325" s="48" t="n">
        <f aca="false">XIRR(E327:E336,J327:J336)</f>
        <v>0.229959485444803</v>
      </c>
      <c r="F325" s="48" t="n">
        <f aca="false">XIRR(F327:F336,K327:K336)</f>
        <v>0.36981874472502</v>
      </c>
      <c r="G325" s="48" t="n">
        <f aca="false">XIRR(G327:G336,L327:L336)</f>
        <v>0.36981874472502</v>
      </c>
    </row>
    <row r="326" customFormat="false" ht="14.25" hidden="false" customHeight="false" outlineLevel="0" collapsed="false">
      <c r="C326" s="42" t="s">
        <v>270</v>
      </c>
      <c r="D326" s="42"/>
      <c r="E326" s="43"/>
      <c r="F326" s="43"/>
      <c r="G326" s="43"/>
      <c r="H326" s="43"/>
      <c r="J326" s="43" t="s">
        <v>241</v>
      </c>
      <c r="K326" s="43" t="s">
        <v>6</v>
      </c>
      <c r="L326" s="43" t="s">
        <v>7</v>
      </c>
    </row>
    <row r="327" customFormat="false" ht="14.25" hidden="false" customHeight="false" outlineLevel="1" collapsed="false">
      <c r="C327" s="6" t="s">
        <v>82</v>
      </c>
      <c r="D327" s="2" t="s">
        <v>85</v>
      </c>
      <c r="E327" s="8" t="n">
        <f aca="false">-E69</f>
        <v>-100</v>
      </c>
      <c r="F327" s="8" t="n">
        <f aca="false">-F69</f>
        <v>-150</v>
      </c>
      <c r="G327" s="8" t="n">
        <f aca="false">-G69</f>
        <v>-150</v>
      </c>
      <c r="H327" s="8" t="n">
        <f aca="false">SUM(E327:G327)</f>
        <v>-400</v>
      </c>
      <c r="J327" s="24" t="n">
        <f aca="false">Inputs!E$20</f>
        <v>46234</v>
      </c>
      <c r="K327" s="24" t="n">
        <f aca="false">Inputs!F$20</f>
        <v>46234</v>
      </c>
      <c r="L327" s="24" t="n">
        <f aca="false">Inputs!G$20</f>
        <v>46234</v>
      </c>
    </row>
    <row r="328" customFormat="false" ht="14.25" hidden="false" customHeight="false" outlineLevel="1" collapsed="false">
      <c r="C328" s="6" t="s">
        <v>73</v>
      </c>
      <c r="D328" s="2" t="s">
        <v>85</v>
      </c>
      <c r="E328" s="8" t="n">
        <f aca="false">-E61</f>
        <v>-8.21917808219178</v>
      </c>
      <c r="F328" s="8" t="n">
        <f aca="false">-F61</f>
        <v>-8.21917808219178</v>
      </c>
      <c r="G328" s="8" t="n">
        <f aca="false">-G61</f>
        <v>-8.21917808219178</v>
      </c>
      <c r="H328" s="8" t="n">
        <f aca="false">SUM(E328:G328)</f>
        <v>-24.6575342465753</v>
      </c>
      <c r="J328" s="24" t="n">
        <f aca="false">Inputs!E$21</f>
        <v>46325</v>
      </c>
      <c r="K328" s="24" t="n">
        <f aca="false">Inputs!F$21</f>
        <v>46325</v>
      </c>
      <c r="L328" s="24" t="n">
        <f aca="false">Inputs!G$21</f>
        <v>46325</v>
      </c>
    </row>
    <row r="329" customFormat="false" ht="14.25" hidden="false" customHeight="false" outlineLevel="1" collapsed="false">
      <c r="C329" s="6" t="s">
        <v>75</v>
      </c>
      <c r="D329" s="2" t="s">
        <v>85</v>
      </c>
      <c r="E329" s="8" t="n">
        <f aca="false">-E62</f>
        <v>-388.493150684932</v>
      </c>
      <c r="F329" s="8" t="n">
        <f aca="false">-F62</f>
        <v>-498.904109589041</v>
      </c>
      <c r="G329" s="8" t="n">
        <f aca="false">-G62</f>
        <v>-498.904109589041</v>
      </c>
      <c r="H329" s="8" t="n">
        <f aca="false">SUM(E329:G329)</f>
        <v>-1386.30136986301</v>
      </c>
      <c r="J329" s="24" t="n">
        <f aca="false">Inputs!E$21</f>
        <v>46325</v>
      </c>
      <c r="K329" s="24" t="n">
        <f aca="false">Inputs!F$21</f>
        <v>46325</v>
      </c>
      <c r="L329" s="24" t="n">
        <f aca="false">Inputs!G$21</f>
        <v>46325</v>
      </c>
    </row>
    <row r="330" customFormat="false" ht="14.25" hidden="false" customHeight="false" outlineLevel="1" collapsed="false">
      <c r="C330" s="6" t="s">
        <v>262</v>
      </c>
      <c r="D330" s="2" t="s">
        <v>85</v>
      </c>
      <c r="E330" s="8" t="n">
        <f aca="false">-E63</f>
        <v>-1553.97260273973</v>
      </c>
      <c r="F330" s="8" t="n">
        <f aca="false">-F63</f>
        <v>-1995.61643835616</v>
      </c>
      <c r="G330" s="8" t="n">
        <f aca="false">-G63</f>
        <v>-1995.61643835616</v>
      </c>
      <c r="H330" s="8" t="n">
        <f aca="false">SUM(E330:G330)</f>
        <v>-5545.20547945205</v>
      </c>
      <c r="J330" s="24" t="n">
        <f aca="false">Inputs!E$22</f>
        <v>46402</v>
      </c>
      <c r="K330" s="24" t="n">
        <f aca="false">Inputs!F$22</f>
        <v>46402</v>
      </c>
      <c r="L330" s="24" t="n">
        <f aca="false">Inputs!G$22</f>
        <v>46402</v>
      </c>
    </row>
    <row r="331" customFormat="false" ht="14.25" hidden="false" customHeight="false" outlineLevel="1" collapsed="false">
      <c r="C331" s="6" t="s">
        <v>77</v>
      </c>
      <c r="D331" s="2" t="s">
        <v>85</v>
      </c>
      <c r="E331" s="8" t="n">
        <f aca="false">-E64</f>
        <v>-616.438356164384</v>
      </c>
      <c r="F331" s="8" t="n">
        <f aca="false">-F64</f>
        <v>-616.438356164384</v>
      </c>
      <c r="G331" s="8" t="n">
        <f aca="false">-G64</f>
        <v>-616.438356164384</v>
      </c>
      <c r="H331" s="8" t="n">
        <f aca="false">SUM(E331:G331)</f>
        <v>-1849.31506849315</v>
      </c>
      <c r="J331" s="24" t="n">
        <f aca="false">Inputs!E$23</f>
        <v>46402</v>
      </c>
      <c r="K331" s="24" t="n">
        <f aca="false">Inputs!F$23</f>
        <v>46402</v>
      </c>
      <c r="L331" s="24" t="n">
        <f aca="false">Inputs!G$23</f>
        <v>46402</v>
      </c>
    </row>
    <row r="332" customFormat="false" ht="14.25" hidden="false" customHeight="false" outlineLevel="1" collapsed="false">
      <c r="C332" s="6" t="s">
        <v>271</v>
      </c>
      <c r="D332" s="2" t="s">
        <v>85</v>
      </c>
      <c r="E332" s="8" t="n">
        <f aca="false">-E65</f>
        <v>-696.364115068493</v>
      </c>
      <c r="F332" s="8" t="n">
        <f aca="false">-F65</f>
        <v>-1260.27397260274</v>
      </c>
      <c r="G332" s="8" t="n">
        <f aca="false">-G65</f>
        <v>-1260.27397260274</v>
      </c>
      <c r="H332" s="8" t="n">
        <f aca="false">SUM(E332:G332)</f>
        <v>-3216.91206027397</v>
      </c>
      <c r="J332" s="24" t="n">
        <f aca="false">Inputs!E$24</f>
        <v>47027</v>
      </c>
      <c r="K332" s="24" t="n">
        <f aca="false">Inputs!F$24</f>
        <v>47027</v>
      </c>
      <c r="L332" s="24" t="n">
        <f aca="false">Inputs!G$24</f>
        <v>47027</v>
      </c>
    </row>
    <row r="333" customFormat="false" ht="14.25" hidden="false" customHeight="false" outlineLevel="1" collapsed="false">
      <c r="C333" s="6" t="s">
        <v>272</v>
      </c>
      <c r="D333" s="2" t="s">
        <v>85</v>
      </c>
      <c r="E333" s="8" t="n">
        <f aca="false">-E66</f>
        <v>-9393.3295890411</v>
      </c>
      <c r="F333" s="8" t="n">
        <f aca="false">-F66</f>
        <v>-2099.54520547945</v>
      </c>
      <c r="G333" s="8" t="n">
        <f aca="false">-G66</f>
        <v>-2099.54520547945</v>
      </c>
      <c r="H333" s="8" t="n">
        <f aca="false">SUM(E333:G333)</f>
        <v>-13592.42</v>
      </c>
      <c r="J333" s="24" t="n">
        <f aca="false">Inputs!E$24</f>
        <v>47027</v>
      </c>
      <c r="K333" s="24" t="n">
        <f aca="false">Inputs!F$24</f>
        <v>47027</v>
      </c>
      <c r="L333" s="24" t="n">
        <f aca="false">Inputs!G$24</f>
        <v>47027</v>
      </c>
    </row>
    <row r="334" customFormat="false" ht="14.25" hidden="false" customHeight="false" outlineLevel="1" collapsed="false">
      <c r="C334" s="6" t="s">
        <v>116</v>
      </c>
      <c r="D334" s="2" t="s">
        <v>85</v>
      </c>
      <c r="E334" s="8" t="n">
        <f aca="false">-E68</f>
        <v>-107.801712328767</v>
      </c>
      <c r="F334" s="8" t="n">
        <f aca="false">-F68</f>
        <v>-107.801712328767</v>
      </c>
      <c r="G334" s="8" t="n">
        <f aca="false">-G68</f>
        <v>-107.801712328767</v>
      </c>
      <c r="H334" s="8" t="n">
        <f aca="false">SUM(E334:G334)</f>
        <v>-323.405136986301</v>
      </c>
      <c r="J334" s="24" t="n">
        <f aca="false">$J$56</f>
        <v>46877.176865821</v>
      </c>
      <c r="K334" s="24" t="n">
        <f aca="false">$J$56</f>
        <v>46877.176865821</v>
      </c>
      <c r="L334" s="24" t="n">
        <f aca="false">$J$56</f>
        <v>46877.176865821</v>
      </c>
    </row>
    <row r="335" customFormat="false" ht="14.25" hidden="false" customHeight="false" outlineLevel="1" collapsed="false">
      <c r="C335" s="6" t="s">
        <v>263</v>
      </c>
      <c r="D335" s="2" t="s">
        <v>85</v>
      </c>
      <c r="E335" s="8" t="n">
        <f aca="false">-E67</f>
        <v>-701.098816348896</v>
      </c>
      <c r="F335" s="8" t="n">
        <f aca="false">-F67</f>
        <v>-701.098816348896</v>
      </c>
      <c r="G335" s="8" t="n">
        <f aca="false">-G67</f>
        <v>-701.098816348896</v>
      </c>
      <c r="H335" s="8" t="n">
        <f aca="false">SUM(E335:G335)</f>
        <v>-2103.29644904669</v>
      </c>
      <c r="J335" s="24" t="n">
        <f aca="false">$J$55</f>
        <v>46714.1242758881</v>
      </c>
      <c r="K335" s="24" t="n">
        <f aca="false">$J$55</f>
        <v>46714.1242758881</v>
      </c>
      <c r="L335" s="24" t="n">
        <f aca="false">$J$55</f>
        <v>46714.1242758881</v>
      </c>
    </row>
    <row r="336" customFormat="false" ht="14.25" hidden="false" customHeight="false" outlineLevel="1" collapsed="false">
      <c r="C336" s="6" t="s">
        <v>273</v>
      </c>
      <c r="D336" s="2" t="s">
        <v>85</v>
      </c>
      <c r="E336" s="8" t="n">
        <f aca="false">E317-E297-E298</f>
        <v>18298.0729861777</v>
      </c>
      <c r="F336" s="8" t="n">
        <f aca="false">F317-F297-F298</f>
        <v>13828.5797945205</v>
      </c>
      <c r="G336" s="8" t="n">
        <f aca="false">G317-G297-G298</f>
        <v>13828.5797945205</v>
      </c>
      <c r="H336" s="8" t="n">
        <f aca="false">SUM(E336:G336)</f>
        <v>45955.2325752188</v>
      </c>
      <c r="J336" s="24" t="n">
        <f aca="false">Sale_Date</f>
        <v>47391</v>
      </c>
      <c r="K336" s="24" t="n">
        <f aca="false">Sale_Date</f>
        <v>47391</v>
      </c>
      <c r="L336" s="24" t="n">
        <f aca="false">Sale_Date</f>
        <v>47391</v>
      </c>
    </row>
    <row r="337" customFormat="false" ht="14.25" hidden="false" customHeight="false" outlineLevel="0" collapsed="false">
      <c r="C337" s="1"/>
      <c r="D337" s="2"/>
      <c r="E337" s="15"/>
      <c r="F337" s="15"/>
      <c r="G337" s="15"/>
      <c r="H337" s="15"/>
    </row>
    <row r="338" customFormat="false" ht="14.25" hidden="false" customHeight="false" outlineLevel="0" collapsed="false">
      <c r="B338" s="4" t="s">
        <v>3</v>
      </c>
      <c r="C338" s="4" t="s">
        <v>274</v>
      </c>
      <c r="D338" s="4"/>
      <c r="E338" s="71"/>
      <c r="F338" s="71"/>
      <c r="G338" s="71"/>
      <c r="H338" s="5" t="s">
        <v>8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</row>
    <row r="339" customFormat="false" ht="14.25" hidden="false" customHeight="false" outlineLevel="0" collapsed="false">
      <c r="C339" s="6" t="s">
        <v>153</v>
      </c>
      <c r="D339" s="2" t="s">
        <v>154</v>
      </c>
      <c r="J339" s="72" t="n">
        <f aca="false">First_Year+COLUMN()-COLUMN($J$1)</f>
        <v>2026</v>
      </c>
      <c r="K339" s="72" t="n">
        <f aca="false">First_Year+COLUMN()-COLUMN($J$1)</f>
        <v>2027</v>
      </c>
      <c r="L339" s="72" t="n">
        <f aca="false">First_Year+COLUMN()-COLUMN($J$1)</f>
        <v>2028</v>
      </c>
      <c r="M339" s="72" t="n">
        <f aca="false">First_Year+COLUMN()-COLUMN($J$1)</f>
        <v>2029</v>
      </c>
      <c r="N339" s="72" t="n">
        <f aca="false">First_Year+COLUMN()-COLUMN($J$1)</f>
        <v>2030</v>
      </c>
      <c r="O339" s="72" t="n">
        <f aca="false">First_Year+COLUMN()-COLUMN($J$1)</f>
        <v>2031</v>
      </c>
      <c r="P339" s="72" t="n">
        <f aca="false">First_Year+COLUMN()-COLUMN($J$1)</f>
        <v>2032</v>
      </c>
      <c r="Q339" s="72" t="n">
        <f aca="false">First_Year+COLUMN()-COLUMN($J$1)</f>
        <v>2033</v>
      </c>
      <c r="R339" s="72" t="n">
        <f aca="false">First_Year+COLUMN()-COLUMN($J$1)</f>
        <v>2034</v>
      </c>
      <c r="S339" s="72" t="n">
        <f aca="false">First_Year+COLUMN()-COLUMN($J$1)</f>
        <v>2035</v>
      </c>
      <c r="T339" s="72" t="n">
        <f aca="false">First_Year+COLUMN()-COLUMN($J$1)</f>
        <v>2036</v>
      </c>
      <c r="U339" s="72" t="n">
        <f aca="false">First_Year+COLUMN()-COLUMN($J$1)</f>
        <v>2037</v>
      </c>
      <c r="V339" s="72" t="n">
        <f aca="false">First_Year+COLUMN()-COLUMN($J$1)</f>
        <v>2038</v>
      </c>
      <c r="W339" s="72" t="n">
        <f aca="false">First_Year+COLUMN()-COLUMN($J$1)</f>
        <v>2039</v>
      </c>
      <c r="X339" s="72" t="n">
        <f aca="false">First_Year+COLUMN()-COLUMN($J$1)</f>
        <v>2040</v>
      </c>
      <c r="Y339" s="72" t="n">
        <f aca="false">First_Year+COLUMN()-COLUMN($J$1)</f>
        <v>2041</v>
      </c>
      <c r="Z339" s="72" t="n">
        <f aca="false">First_Year+COLUMN()-COLUMN($J$1)</f>
        <v>2042</v>
      </c>
      <c r="AA339" s="72" t="n">
        <f aca="false">First_Year+COLUMN()-COLUMN($J$1)</f>
        <v>2043</v>
      </c>
      <c r="AB339" s="72" t="n">
        <f aca="false">First_Year+COLUMN()-COLUMN($J$1)</f>
        <v>2044</v>
      </c>
      <c r="AC339" s="72" t="n">
        <f aca="false">First_Year+COLUMN()-COLUMN($J$1)</f>
        <v>2045</v>
      </c>
      <c r="AD339" s="72" t="n">
        <f aca="false">First_Year+COLUMN()-COLUMN($J$1)</f>
        <v>2046</v>
      </c>
      <c r="AE339" s="72" t="n">
        <f aca="false">First_Year+COLUMN()-COLUMN($J$1)</f>
        <v>2047</v>
      </c>
      <c r="AF339" s="72" t="n">
        <f aca="false">First_Year+COLUMN()-COLUMN($J$1)</f>
        <v>2048</v>
      </c>
      <c r="AG339" s="72" t="n">
        <f aca="false">First_Year+COLUMN()-COLUMN($J$1)</f>
        <v>2049</v>
      </c>
      <c r="AH339" s="72" t="n">
        <f aca="false">First_Year+COLUMN()-COLUMN($J$1)</f>
        <v>2050</v>
      </c>
      <c r="AI339" s="72" t="n">
        <f aca="false">First_Year+COLUMN()-COLUMN($J$1)</f>
        <v>2051</v>
      </c>
      <c r="AJ339" s="72" t="n">
        <f aca="false">First_Year+COLUMN()-COLUMN($J$1)</f>
        <v>2052</v>
      </c>
      <c r="AK339" s="72" t="n">
        <f aca="false">First_Year+COLUMN()-COLUMN($J$1)</f>
        <v>2053</v>
      </c>
      <c r="AL339" s="72" t="n">
        <f aca="false">First_Year+COLUMN()-COLUMN($J$1)</f>
        <v>2054</v>
      </c>
      <c r="AM339" s="72" t="n">
        <f aca="false">First_Year+COLUMN()-COLUMN($J$1)</f>
        <v>2055</v>
      </c>
      <c r="AN339" s="72" t="n">
        <f aca="false">First_Year+COLUMN()-COLUMN($J$1)</f>
        <v>2056</v>
      </c>
      <c r="AO339" s="72" t="n">
        <f aca="false">First_Year+COLUMN()-COLUMN($J$1)</f>
        <v>2057</v>
      </c>
      <c r="AP339" s="72" t="n">
        <f aca="false">First_Year+COLUMN()-COLUMN($J$1)</f>
        <v>2058</v>
      </c>
      <c r="AQ339" s="72" t="n">
        <f aca="false">First_Year+COLUMN()-COLUMN($J$1)</f>
        <v>2059</v>
      </c>
      <c r="AR339" s="72" t="n">
        <f aca="false">First_Year+COLUMN()-COLUMN($J$1)</f>
        <v>2060</v>
      </c>
      <c r="AS339" s="72" t="n">
        <f aca="false">First_Year+COLUMN()-COLUMN($J$1)</f>
        <v>2061</v>
      </c>
    </row>
    <row r="340" customFormat="false" ht="14.25" hidden="false" customHeight="false" outlineLevel="0" collapsed="false">
      <c r="C340" s="6" t="s">
        <v>275</v>
      </c>
      <c r="D340" s="2" t="s">
        <v>167</v>
      </c>
      <c r="J340" s="24" t="n">
        <f aca="false">DATE(J339+1,1,1)-1</f>
        <v>46387</v>
      </c>
      <c r="K340" s="24" t="n">
        <f aca="false">DATE(K339+1,1,1)-1</f>
        <v>46752</v>
      </c>
      <c r="L340" s="24" t="n">
        <f aca="false">DATE(L339+1,1,1)-1</f>
        <v>47118</v>
      </c>
      <c r="M340" s="24" t="n">
        <f aca="false">DATE(M339+1,1,1)-1</f>
        <v>47483</v>
      </c>
      <c r="N340" s="24" t="n">
        <f aca="false">DATE(N339+1,1,1)-1</f>
        <v>47848</v>
      </c>
      <c r="O340" s="24" t="n">
        <f aca="false">DATE(O339+1,1,1)-1</f>
        <v>48213</v>
      </c>
      <c r="P340" s="24" t="n">
        <f aca="false">DATE(P339+1,1,1)-1</f>
        <v>48579</v>
      </c>
      <c r="Q340" s="24" t="n">
        <f aca="false">DATE(Q339+1,1,1)-1</f>
        <v>48944</v>
      </c>
      <c r="R340" s="24" t="n">
        <f aca="false">DATE(R339+1,1,1)-1</f>
        <v>49309</v>
      </c>
      <c r="S340" s="24" t="n">
        <f aca="false">DATE(S339+1,1,1)-1</f>
        <v>49674</v>
      </c>
      <c r="T340" s="24" t="n">
        <f aca="false">DATE(T339+1,1,1)-1</f>
        <v>50040</v>
      </c>
      <c r="U340" s="24" t="n">
        <f aca="false">DATE(U339+1,1,1)-1</f>
        <v>50405</v>
      </c>
      <c r="V340" s="24" t="n">
        <f aca="false">DATE(V339+1,1,1)-1</f>
        <v>50770</v>
      </c>
      <c r="W340" s="24" t="n">
        <f aca="false">DATE(W339+1,1,1)-1</f>
        <v>51135</v>
      </c>
      <c r="X340" s="24" t="n">
        <f aca="false">DATE(X339+1,1,1)-1</f>
        <v>51501</v>
      </c>
      <c r="Y340" s="24" t="n">
        <f aca="false">DATE(Y339+1,1,1)-1</f>
        <v>51866</v>
      </c>
      <c r="Z340" s="24" t="n">
        <f aca="false">DATE(Z339+1,1,1)-1</f>
        <v>52231</v>
      </c>
      <c r="AA340" s="24" t="n">
        <f aca="false">DATE(AA339+1,1,1)-1</f>
        <v>52596</v>
      </c>
      <c r="AB340" s="24" t="n">
        <f aca="false">DATE(AB339+1,1,1)-1</f>
        <v>52962</v>
      </c>
      <c r="AC340" s="24" t="n">
        <f aca="false">DATE(AC339+1,1,1)-1</f>
        <v>53327</v>
      </c>
      <c r="AD340" s="24" t="n">
        <f aca="false">DATE(AD339+1,1,1)-1</f>
        <v>53692</v>
      </c>
      <c r="AE340" s="24" t="n">
        <f aca="false">DATE(AE339+1,1,1)-1</f>
        <v>54057</v>
      </c>
      <c r="AF340" s="24" t="n">
        <f aca="false">DATE(AF339+1,1,1)-1</f>
        <v>54423</v>
      </c>
      <c r="AG340" s="24" t="n">
        <f aca="false">DATE(AG339+1,1,1)-1</f>
        <v>54788</v>
      </c>
      <c r="AH340" s="24" t="n">
        <f aca="false">DATE(AH339+1,1,1)-1</f>
        <v>55153</v>
      </c>
      <c r="AI340" s="24" t="n">
        <f aca="false">DATE(AI339+1,1,1)-1</f>
        <v>55518</v>
      </c>
      <c r="AJ340" s="24" t="n">
        <f aca="false">DATE(AJ339+1,1,1)-1</f>
        <v>55884</v>
      </c>
      <c r="AK340" s="24" t="n">
        <f aca="false">DATE(AK339+1,1,1)-1</f>
        <v>56249</v>
      </c>
      <c r="AL340" s="24" t="n">
        <f aca="false">DATE(AL339+1,1,1)-1</f>
        <v>56614</v>
      </c>
      <c r="AM340" s="24" t="n">
        <f aca="false">DATE(AM339+1,1,1)-1</f>
        <v>56979</v>
      </c>
      <c r="AN340" s="24" t="n">
        <f aca="false">DATE(AN339+1,1,1)-1</f>
        <v>57345</v>
      </c>
      <c r="AO340" s="24" t="n">
        <f aca="false">DATE(AO339+1,1,1)-1</f>
        <v>57710</v>
      </c>
      <c r="AP340" s="24" t="n">
        <f aca="false">DATE(AP339+1,1,1)-1</f>
        <v>58075</v>
      </c>
      <c r="AQ340" s="24" t="n">
        <f aca="false">DATE(AQ339+1,1,1)-1</f>
        <v>58440</v>
      </c>
      <c r="AR340" s="24" t="n">
        <f aca="false">DATE(AR339+1,1,1)-1</f>
        <v>58806</v>
      </c>
      <c r="AS340" s="24" t="n">
        <f aca="false">DATE(AS339+1,1,1)-1</f>
        <v>59171</v>
      </c>
    </row>
    <row r="342" customFormat="false" ht="14.25" hidden="false" customHeight="false" outlineLevel="0" collapsed="false">
      <c r="B342" s="4" t="s">
        <v>3</v>
      </c>
      <c r="C342" s="4" t="s">
        <v>276</v>
      </c>
      <c r="D342" s="4"/>
      <c r="E342" s="5" t="s">
        <v>277</v>
      </c>
      <c r="F342" s="5"/>
      <c r="G342" s="5"/>
      <c r="H342" s="5" t="s">
        <v>8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</row>
    <row r="343" customFormat="false" ht="14.25" hidden="false" customHeight="false" outlineLevel="0" collapsed="false">
      <c r="C343" s="6" t="s">
        <v>278</v>
      </c>
      <c r="D343" s="2" t="s">
        <v>279</v>
      </c>
      <c r="J343" s="72" t="n">
        <f aca="false">J$339-YEAR(Inputs!$E$26)</f>
        <v>-5</v>
      </c>
      <c r="K343" s="72" t="n">
        <f aca="false">K$339-YEAR(Inputs!$E$26)</f>
        <v>-4</v>
      </c>
      <c r="L343" s="72" t="n">
        <f aca="false">L$339-YEAR(Inputs!$E$26)</f>
        <v>-3</v>
      </c>
      <c r="M343" s="72" t="n">
        <f aca="false">M$339-YEAR(Inputs!$E$26)</f>
        <v>-2</v>
      </c>
      <c r="N343" s="72" t="n">
        <f aca="false">N$339-YEAR(Inputs!$E$26)</f>
        <v>-1</v>
      </c>
      <c r="O343" s="72" t="n">
        <f aca="false">O$339-YEAR(Inputs!$E$26)</f>
        <v>0</v>
      </c>
      <c r="P343" s="72" t="n">
        <f aca="false">P$339-YEAR(Inputs!$E$26)</f>
        <v>1</v>
      </c>
      <c r="Q343" s="72" t="n">
        <f aca="false">Q$339-YEAR(Inputs!$E$26)</f>
        <v>2</v>
      </c>
      <c r="R343" s="72" t="n">
        <f aca="false">R$339-YEAR(Inputs!$E$26)</f>
        <v>3</v>
      </c>
      <c r="S343" s="72" t="n">
        <f aca="false">S$339-YEAR(Inputs!$E$26)</f>
        <v>4</v>
      </c>
      <c r="T343" s="72" t="n">
        <f aca="false">T$339-YEAR(Inputs!$E$26)</f>
        <v>5</v>
      </c>
      <c r="U343" s="72" t="n">
        <f aca="false">U$339-YEAR(Inputs!$E$26)</f>
        <v>6</v>
      </c>
      <c r="V343" s="72" t="n">
        <f aca="false">V$339-YEAR(Inputs!$E$26)</f>
        <v>7</v>
      </c>
      <c r="W343" s="72" t="n">
        <f aca="false">W$339-YEAR(Inputs!$E$26)</f>
        <v>8</v>
      </c>
      <c r="X343" s="72" t="n">
        <f aca="false">X$339-YEAR(Inputs!$E$26)</f>
        <v>9</v>
      </c>
      <c r="Y343" s="72" t="n">
        <f aca="false">Y$339-YEAR(Inputs!$E$26)</f>
        <v>10</v>
      </c>
      <c r="Z343" s="72" t="n">
        <f aca="false">Z$339-YEAR(Inputs!$E$26)</f>
        <v>11</v>
      </c>
      <c r="AA343" s="72" t="n">
        <f aca="false">AA$339-YEAR(Inputs!$E$26)</f>
        <v>12</v>
      </c>
      <c r="AB343" s="72" t="n">
        <f aca="false">AB$339-YEAR(Inputs!$E$26)</f>
        <v>13</v>
      </c>
      <c r="AC343" s="72" t="n">
        <f aca="false">AC$339-YEAR(Inputs!$E$26)</f>
        <v>14</v>
      </c>
      <c r="AD343" s="72" t="n">
        <f aca="false">AD$339-YEAR(Inputs!$E$26)</f>
        <v>15</v>
      </c>
      <c r="AE343" s="72" t="n">
        <f aca="false">AE$339-YEAR(Inputs!$E$26)</f>
        <v>16</v>
      </c>
      <c r="AF343" s="72" t="n">
        <f aca="false">AF$339-YEAR(Inputs!$E$26)</f>
        <v>17</v>
      </c>
      <c r="AG343" s="72" t="n">
        <f aca="false">AG$339-YEAR(Inputs!$E$26)</f>
        <v>18</v>
      </c>
      <c r="AH343" s="72" t="n">
        <f aca="false">AH$339-YEAR(Inputs!$E$26)</f>
        <v>19</v>
      </c>
      <c r="AI343" s="72" t="n">
        <f aca="false">AI$339-YEAR(Inputs!$E$26)</f>
        <v>20</v>
      </c>
      <c r="AJ343" s="72" t="n">
        <f aca="false">AJ$339-YEAR(Inputs!$E$26)</f>
        <v>21</v>
      </c>
      <c r="AK343" s="72" t="n">
        <f aca="false">AK$339-YEAR(Inputs!$E$26)</f>
        <v>22</v>
      </c>
      <c r="AL343" s="72" t="n">
        <f aca="false">AL$339-YEAR(Inputs!$E$26)</f>
        <v>23</v>
      </c>
      <c r="AM343" s="72" t="n">
        <f aca="false">AM$339-YEAR(Inputs!$E$26)</f>
        <v>24</v>
      </c>
      <c r="AN343" s="72" t="n">
        <f aca="false">AN$339-YEAR(Inputs!$E$26)</f>
        <v>25</v>
      </c>
      <c r="AO343" s="72" t="n">
        <f aca="false">AO$339-YEAR(Inputs!$E$26)</f>
        <v>26</v>
      </c>
      <c r="AP343" s="72" t="n">
        <f aca="false">AP$339-YEAR(Inputs!$E$26)</f>
        <v>27</v>
      </c>
      <c r="AQ343" s="72" t="n">
        <f aca="false">AQ$339-YEAR(Inputs!$E$26)</f>
        <v>28</v>
      </c>
      <c r="AR343" s="72" t="n">
        <f aca="false">AR$339-YEAR(Inputs!$E$26)</f>
        <v>29</v>
      </c>
      <c r="AS343" s="72" t="n">
        <f aca="false">AS$339-YEAR(Inputs!$E$26)</f>
        <v>30</v>
      </c>
    </row>
    <row r="344" customFormat="false" ht="14.25" hidden="false" customHeight="false" outlineLevel="0" collapsed="false">
      <c r="C344" s="6" t="s">
        <v>280</v>
      </c>
      <c r="D344" s="2" t="s">
        <v>281</v>
      </c>
      <c r="E344" s="72" t="n">
        <f aca="false">DATEDIF(Inputs!$E$25,Inputs!$E$26,"m")</f>
        <v>24</v>
      </c>
      <c r="J344" s="72" t="n">
        <f aca="false">(J$339+1-YEAR(Inputs!$E$25))*Months_In_Year-MONTH(Inputs!$E$25)</f>
        <v>-30</v>
      </c>
      <c r="K344" s="72" t="n">
        <f aca="false">(K$339+1-YEAR(Inputs!$E$25))*Months_In_Year-MONTH(Inputs!$E$25)</f>
        <v>-18</v>
      </c>
      <c r="L344" s="72" t="n">
        <f aca="false">(L$339+1-YEAR(Inputs!$E$25))*Months_In_Year-MONTH(Inputs!$E$25)</f>
        <v>-6</v>
      </c>
      <c r="M344" s="72" t="n">
        <f aca="false">(M$339+1-YEAR(Inputs!$E$25))*Months_In_Year-MONTH(Inputs!$E$25)</f>
        <v>6</v>
      </c>
      <c r="N344" s="72" t="n">
        <f aca="false">(N$339+1-YEAR(Inputs!$E$25))*Months_In_Year-MONTH(Inputs!$E$25)</f>
        <v>18</v>
      </c>
      <c r="O344" s="72" t="n">
        <f aca="false">(O$339+1-YEAR(Inputs!$E$25))*Months_In_Year-MONTH(Inputs!$E$25)</f>
        <v>30</v>
      </c>
      <c r="P344" s="72" t="n">
        <f aca="false">(P$339+1-YEAR(Inputs!$E$25))*Months_In_Year-MONTH(Inputs!$E$25)</f>
        <v>42</v>
      </c>
      <c r="Q344" s="72" t="n">
        <f aca="false">(Q$339+1-YEAR(Inputs!$E$25))*Months_In_Year-MONTH(Inputs!$E$25)</f>
        <v>54</v>
      </c>
      <c r="R344" s="72" t="n">
        <f aca="false">(R$339+1-YEAR(Inputs!$E$25))*Months_In_Year-MONTH(Inputs!$E$25)</f>
        <v>66</v>
      </c>
      <c r="S344" s="72" t="n">
        <f aca="false">(S$339+1-YEAR(Inputs!$E$25))*Months_In_Year-MONTH(Inputs!$E$25)</f>
        <v>78</v>
      </c>
      <c r="T344" s="72" t="n">
        <f aca="false">(T$339+1-YEAR(Inputs!$E$25))*Months_In_Year-MONTH(Inputs!$E$25)</f>
        <v>90</v>
      </c>
      <c r="U344" s="72" t="n">
        <f aca="false">(U$339+1-YEAR(Inputs!$E$25))*Months_In_Year-MONTH(Inputs!$E$25)</f>
        <v>102</v>
      </c>
      <c r="V344" s="72" t="n">
        <f aca="false">(V$339+1-YEAR(Inputs!$E$25))*Months_In_Year-MONTH(Inputs!$E$25)</f>
        <v>114</v>
      </c>
      <c r="W344" s="72" t="n">
        <f aca="false">(W$339+1-YEAR(Inputs!$E$25))*Months_In_Year-MONTH(Inputs!$E$25)</f>
        <v>126</v>
      </c>
      <c r="X344" s="72" t="n">
        <f aca="false">(X$339+1-YEAR(Inputs!$E$25))*Months_In_Year-MONTH(Inputs!$E$25)</f>
        <v>138</v>
      </c>
      <c r="Y344" s="72" t="n">
        <f aca="false">(Y$339+1-YEAR(Inputs!$E$25))*Months_In_Year-MONTH(Inputs!$E$25)</f>
        <v>150</v>
      </c>
      <c r="Z344" s="72" t="n">
        <f aca="false">(Z$339+1-YEAR(Inputs!$E$25))*Months_In_Year-MONTH(Inputs!$E$25)</f>
        <v>162</v>
      </c>
      <c r="AA344" s="72" t="n">
        <f aca="false">(AA$339+1-YEAR(Inputs!$E$25))*Months_In_Year-MONTH(Inputs!$E$25)</f>
        <v>174</v>
      </c>
      <c r="AB344" s="72" t="n">
        <f aca="false">(AB$339+1-YEAR(Inputs!$E$25))*Months_In_Year-MONTH(Inputs!$E$25)</f>
        <v>186</v>
      </c>
      <c r="AC344" s="72" t="n">
        <f aca="false">(AC$339+1-YEAR(Inputs!$E$25))*Months_In_Year-MONTH(Inputs!$E$25)</f>
        <v>198</v>
      </c>
      <c r="AD344" s="72" t="n">
        <f aca="false">(AD$339+1-YEAR(Inputs!$E$25))*Months_In_Year-MONTH(Inputs!$E$25)</f>
        <v>210</v>
      </c>
      <c r="AE344" s="72" t="n">
        <f aca="false">(AE$339+1-YEAR(Inputs!$E$25))*Months_In_Year-MONTH(Inputs!$E$25)</f>
        <v>222</v>
      </c>
      <c r="AF344" s="72" t="n">
        <f aca="false">(AF$339+1-YEAR(Inputs!$E$25))*Months_In_Year-MONTH(Inputs!$E$25)</f>
        <v>234</v>
      </c>
      <c r="AG344" s="72" t="n">
        <f aca="false">(AG$339+1-YEAR(Inputs!$E$25))*Months_In_Year-MONTH(Inputs!$E$25)</f>
        <v>246</v>
      </c>
      <c r="AH344" s="72" t="n">
        <f aca="false">(AH$339+1-YEAR(Inputs!$E$25))*Months_In_Year-MONTH(Inputs!$E$25)</f>
        <v>258</v>
      </c>
      <c r="AI344" s="72" t="n">
        <f aca="false">(AI$339+1-YEAR(Inputs!$E$25))*Months_In_Year-MONTH(Inputs!$E$25)</f>
        <v>270</v>
      </c>
      <c r="AJ344" s="72" t="n">
        <f aca="false">(AJ$339+1-YEAR(Inputs!$E$25))*Months_In_Year-MONTH(Inputs!$E$25)</f>
        <v>282</v>
      </c>
      <c r="AK344" s="72" t="n">
        <f aca="false">(AK$339+1-YEAR(Inputs!$E$25))*Months_In_Year-MONTH(Inputs!$E$25)</f>
        <v>294</v>
      </c>
      <c r="AL344" s="72" t="n">
        <f aca="false">(AL$339+1-YEAR(Inputs!$E$25))*Months_In_Year-MONTH(Inputs!$E$25)</f>
        <v>306</v>
      </c>
      <c r="AM344" s="72" t="n">
        <f aca="false">(AM$339+1-YEAR(Inputs!$E$25))*Months_In_Year-MONTH(Inputs!$E$25)</f>
        <v>318</v>
      </c>
      <c r="AN344" s="72" t="n">
        <f aca="false">(AN$339+1-YEAR(Inputs!$E$25))*Months_In_Year-MONTH(Inputs!$E$25)</f>
        <v>330</v>
      </c>
      <c r="AO344" s="72" t="n">
        <f aca="false">(AO$339+1-YEAR(Inputs!$E$25))*Months_In_Year-MONTH(Inputs!$E$25)</f>
        <v>342</v>
      </c>
      <c r="AP344" s="72" t="n">
        <f aca="false">(AP$339+1-YEAR(Inputs!$E$25))*Months_In_Year-MONTH(Inputs!$E$25)</f>
        <v>354</v>
      </c>
      <c r="AQ344" s="72" t="n">
        <f aca="false">(AQ$339+1-YEAR(Inputs!$E$25))*Months_In_Year-MONTH(Inputs!$E$25)</f>
        <v>366</v>
      </c>
      <c r="AR344" s="72" t="n">
        <f aca="false">(AR$339+1-YEAR(Inputs!$E$25))*Months_In_Year-MONTH(Inputs!$E$25)</f>
        <v>378</v>
      </c>
      <c r="AS344" s="72" t="n">
        <f aca="false">(AS$339+1-YEAR(Inputs!$E$25))*Months_In_Year-MONTH(Inputs!$E$25)</f>
        <v>390</v>
      </c>
    </row>
    <row r="345" customFormat="false" ht="14.25" hidden="false" customHeight="false" outlineLevel="0" collapsed="false">
      <c r="C345" s="6" t="s">
        <v>282</v>
      </c>
      <c r="D345" s="2" t="s">
        <v>12</v>
      </c>
      <c r="H345" s="73" t="n">
        <f aca="false">SUM(J345:AS345)</f>
        <v>1</v>
      </c>
      <c r="J345" s="48" t="n">
        <f aca="false">MAX(0,MIN(J344,$E344)-MAX(J344-Months_In_Year,0))/$E344</f>
        <v>0</v>
      </c>
      <c r="K345" s="48" t="n">
        <f aca="false">MAX(0,MIN(K344,$E344)-MAX(K344-Months_In_Year,0))/$E344</f>
        <v>0</v>
      </c>
      <c r="L345" s="48" t="n">
        <f aca="false">MAX(0,MIN(L344,$E344)-MAX(L344-Months_In_Year,0))/$E344</f>
        <v>0</v>
      </c>
      <c r="M345" s="48" t="n">
        <f aca="false">MAX(0,MIN(M344,$E344)-MAX(M344-Months_In_Year,0))/$E344</f>
        <v>0.25</v>
      </c>
      <c r="N345" s="48" t="n">
        <f aca="false">MAX(0,MIN(N344,$E344)-MAX(N344-Months_In_Year,0))/$E344</f>
        <v>0.5</v>
      </c>
      <c r="O345" s="48" t="n">
        <f aca="false">MAX(0,MIN(O344,$E344)-MAX(O344-Months_In_Year,0))/$E344</f>
        <v>0.25</v>
      </c>
      <c r="P345" s="48" t="n">
        <f aca="false">MAX(0,MIN(P344,$E344)-MAX(P344-Months_In_Year,0))/$E344</f>
        <v>0</v>
      </c>
      <c r="Q345" s="48" t="n">
        <f aca="false">MAX(0,MIN(Q344,$E344)-MAX(Q344-Months_In_Year,0))/$E344</f>
        <v>0</v>
      </c>
      <c r="R345" s="48" t="n">
        <f aca="false">MAX(0,MIN(R344,$E344)-MAX(R344-Months_In_Year,0))/$E344</f>
        <v>0</v>
      </c>
      <c r="S345" s="48" t="n">
        <f aca="false">MAX(0,MIN(S344,$E344)-MAX(S344-Months_In_Year,0))/$E344</f>
        <v>0</v>
      </c>
      <c r="T345" s="48" t="n">
        <f aca="false">MAX(0,MIN(T344,$E344)-MAX(T344-Months_In_Year,0))/$E344</f>
        <v>0</v>
      </c>
      <c r="U345" s="48" t="n">
        <f aca="false">MAX(0,MIN(U344,$E344)-MAX(U344-Months_In_Year,0))/$E344</f>
        <v>0</v>
      </c>
      <c r="V345" s="48" t="n">
        <f aca="false">MAX(0,MIN(V344,$E344)-MAX(V344-Months_In_Year,0))/$E344</f>
        <v>0</v>
      </c>
      <c r="W345" s="48" t="n">
        <f aca="false">MAX(0,MIN(W344,$E344)-MAX(W344-Months_In_Year,0))/$E344</f>
        <v>0</v>
      </c>
      <c r="X345" s="48" t="n">
        <f aca="false">MAX(0,MIN(X344,$E344)-MAX(X344-Months_In_Year,0))/$E344</f>
        <v>0</v>
      </c>
      <c r="Y345" s="48" t="n">
        <f aca="false">MAX(0,MIN(Y344,$E344)-MAX(Y344-Months_In_Year,0))/$E344</f>
        <v>0</v>
      </c>
      <c r="Z345" s="48" t="n">
        <f aca="false">MAX(0,MIN(Z344,$E344)-MAX(Z344-Months_In_Year,0))/$E344</f>
        <v>0</v>
      </c>
      <c r="AA345" s="48" t="n">
        <f aca="false">MAX(0,MIN(AA344,$E344)-MAX(AA344-Months_In_Year,0))/$E344</f>
        <v>0</v>
      </c>
      <c r="AB345" s="48" t="n">
        <f aca="false">MAX(0,MIN(AB344,$E344)-MAX(AB344-Months_In_Year,0))/$E344</f>
        <v>0</v>
      </c>
      <c r="AC345" s="48" t="n">
        <f aca="false">MAX(0,MIN(AC344,$E344)-MAX(AC344-Months_In_Year,0))/$E344</f>
        <v>0</v>
      </c>
      <c r="AD345" s="48" t="n">
        <f aca="false">MAX(0,MIN(AD344,$E344)-MAX(AD344-Months_In_Year,0))/$E344</f>
        <v>0</v>
      </c>
      <c r="AE345" s="48" t="n">
        <f aca="false">MAX(0,MIN(AE344,$E344)-MAX(AE344-Months_In_Year,0))/$E344</f>
        <v>0</v>
      </c>
      <c r="AF345" s="48" t="n">
        <f aca="false">MAX(0,MIN(AF344,$E344)-MAX(AF344-Months_In_Year,0))/$E344</f>
        <v>0</v>
      </c>
      <c r="AG345" s="48" t="n">
        <f aca="false">MAX(0,MIN(AG344,$E344)-MAX(AG344-Months_In_Year,0))/$E344</f>
        <v>0</v>
      </c>
      <c r="AH345" s="48" t="n">
        <f aca="false">MAX(0,MIN(AH344,$E344)-MAX(AH344-Months_In_Year,0))/$E344</f>
        <v>0</v>
      </c>
      <c r="AI345" s="48" t="n">
        <f aca="false">MAX(0,MIN(AI344,$E344)-MAX(AI344-Months_In_Year,0))/$E344</f>
        <v>0</v>
      </c>
      <c r="AJ345" s="48" t="n">
        <f aca="false">MAX(0,MIN(AJ344,$E344)-MAX(AJ344-Months_In_Year,0))/$E344</f>
        <v>0</v>
      </c>
      <c r="AK345" s="48" t="n">
        <f aca="false">MAX(0,MIN(AK344,$E344)-MAX(AK344-Months_In_Year,0))/$E344</f>
        <v>0</v>
      </c>
      <c r="AL345" s="48" t="n">
        <f aca="false">MAX(0,MIN(AL344,$E344)-MAX(AL344-Months_In_Year,0))/$E344</f>
        <v>0</v>
      </c>
      <c r="AM345" s="48" t="n">
        <f aca="false">MAX(0,MIN(AM344,$E344)-MAX(AM344-Months_In_Year,0))/$E344</f>
        <v>0</v>
      </c>
      <c r="AN345" s="48" t="n">
        <f aca="false">MAX(0,MIN(AN344,$E344)-MAX(AN344-Months_In_Year,0))/$E344</f>
        <v>0</v>
      </c>
      <c r="AO345" s="48" t="n">
        <f aca="false">MAX(0,MIN(AO344,$E344)-MAX(AO344-Months_In_Year,0))/$E344</f>
        <v>0</v>
      </c>
      <c r="AP345" s="48" t="n">
        <f aca="false">MAX(0,MIN(AP344,$E344)-MAX(AP344-Months_In_Year,0))/$E344</f>
        <v>0</v>
      </c>
      <c r="AQ345" s="48" t="n">
        <f aca="false">MAX(0,MIN(AQ344,$E344)-MAX(AQ344-Months_In_Year,0))/$E344</f>
        <v>0</v>
      </c>
      <c r="AR345" s="48" t="n">
        <f aca="false">MAX(0,MIN(AR344,$E344)-MAX(AR344-Months_In_Year,0))/$E344</f>
        <v>0</v>
      </c>
      <c r="AS345" s="48" t="n">
        <f aca="false">MAX(0,MIN(AS344,$E344)-MAX(AS344-Months_In_Year,0))/$E344</f>
        <v>0</v>
      </c>
    </row>
    <row r="346" customFormat="false" ht="14.25" hidden="false" customHeight="false" outlineLevel="0" collapsed="false">
      <c r="C346" s="6" t="s">
        <v>283</v>
      </c>
      <c r="D346" s="2" t="s">
        <v>281</v>
      </c>
      <c r="E346" s="72" t="n">
        <f aca="false">Life*Months_In_Year</f>
        <v>360</v>
      </c>
      <c r="J346" s="72" t="n">
        <f aca="false">(J$339+1-YEAR(Inputs!$E$26))*Months_In_Year-MONTH(Inputs!$E$26)</f>
        <v>-54</v>
      </c>
      <c r="K346" s="72" t="n">
        <f aca="false">(K$339+1-YEAR(Inputs!$E$26))*Months_In_Year-MONTH(Inputs!$E$26)</f>
        <v>-42</v>
      </c>
      <c r="L346" s="72" t="n">
        <f aca="false">(L$339+1-YEAR(Inputs!$E$26))*Months_In_Year-MONTH(Inputs!$E$26)</f>
        <v>-30</v>
      </c>
      <c r="M346" s="72" t="n">
        <f aca="false">(M$339+1-YEAR(Inputs!$E$26))*Months_In_Year-MONTH(Inputs!$E$26)</f>
        <v>-18</v>
      </c>
      <c r="N346" s="72" t="n">
        <f aca="false">(N$339+1-YEAR(Inputs!$E$26))*Months_In_Year-MONTH(Inputs!$E$26)</f>
        <v>-6</v>
      </c>
      <c r="O346" s="72" t="n">
        <f aca="false">(O$339+1-YEAR(Inputs!$E$26))*Months_In_Year-MONTH(Inputs!$E$26)</f>
        <v>6</v>
      </c>
      <c r="P346" s="72" t="n">
        <f aca="false">(P$339+1-YEAR(Inputs!$E$26))*Months_In_Year-MONTH(Inputs!$E$26)</f>
        <v>18</v>
      </c>
      <c r="Q346" s="72" t="n">
        <f aca="false">(Q$339+1-YEAR(Inputs!$E$26))*Months_In_Year-MONTH(Inputs!$E$26)</f>
        <v>30</v>
      </c>
      <c r="R346" s="72" t="n">
        <f aca="false">(R$339+1-YEAR(Inputs!$E$26))*Months_In_Year-MONTH(Inputs!$E$26)</f>
        <v>42</v>
      </c>
      <c r="S346" s="72" t="n">
        <f aca="false">(S$339+1-YEAR(Inputs!$E$26))*Months_In_Year-MONTH(Inputs!$E$26)</f>
        <v>54</v>
      </c>
      <c r="T346" s="72" t="n">
        <f aca="false">(T$339+1-YEAR(Inputs!$E$26))*Months_In_Year-MONTH(Inputs!$E$26)</f>
        <v>66</v>
      </c>
      <c r="U346" s="72" t="n">
        <f aca="false">(U$339+1-YEAR(Inputs!$E$26))*Months_In_Year-MONTH(Inputs!$E$26)</f>
        <v>78</v>
      </c>
      <c r="V346" s="72" t="n">
        <f aca="false">(V$339+1-YEAR(Inputs!$E$26))*Months_In_Year-MONTH(Inputs!$E$26)</f>
        <v>90</v>
      </c>
      <c r="W346" s="72" t="n">
        <f aca="false">(W$339+1-YEAR(Inputs!$E$26))*Months_In_Year-MONTH(Inputs!$E$26)</f>
        <v>102</v>
      </c>
      <c r="X346" s="72" t="n">
        <f aca="false">(X$339+1-YEAR(Inputs!$E$26))*Months_In_Year-MONTH(Inputs!$E$26)</f>
        <v>114</v>
      </c>
      <c r="Y346" s="72" t="n">
        <f aca="false">(Y$339+1-YEAR(Inputs!$E$26))*Months_In_Year-MONTH(Inputs!$E$26)</f>
        <v>126</v>
      </c>
      <c r="Z346" s="72" t="n">
        <f aca="false">(Z$339+1-YEAR(Inputs!$E$26))*Months_In_Year-MONTH(Inputs!$E$26)</f>
        <v>138</v>
      </c>
      <c r="AA346" s="72" t="n">
        <f aca="false">(AA$339+1-YEAR(Inputs!$E$26))*Months_In_Year-MONTH(Inputs!$E$26)</f>
        <v>150</v>
      </c>
      <c r="AB346" s="72" t="n">
        <f aca="false">(AB$339+1-YEAR(Inputs!$E$26))*Months_In_Year-MONTH(Inputs!$E$26)</f>
        <v>162</v>
      </c>
      <c r="AC346" s="72" t="n">
        <f aca="false">(AC$339+1-YEAR(Inputs!$E$26))*Months_In_Year-MONTH(Inputs!$E$26)</f>
        <v>174</v>
      </c>
      <c r="AD346" s="72" t="n">
        <f aca="false">(AD$339+1-YEAR(Inputs!$E$26))*Months_In_Year-MONTH(Inputs!$E$26)</f>
        <v>186</v>
      </c>
      <c r="AE346" s="72" t="n">
        <f aca="false">(AE$339+1-YEAR(Inputs!$E$26))*Months_In_Year-MONTH(Inputs!$E$26)</f>
        <v>198</v>
      </c>
      <c r="AF346" s="72" t="n">
        <f aca="false">(AF$339+1-YEAR(Inputs!$E$26))*Months_In_Year-MONTH(Inputs!$E$26)</f>
        <v>210</v>
      </c>
      <c r="AG346" s="72" t="n">
        <f aca="false">(AG$339+1-YEAR(Inputs!$E$26))*Months_In_Year-MONTH(Inputs!$E$26)</f>
        <v>222</v>
      </c>
      <c r="AH346" s="72" t="n">
        <f aca="false">(AH$339+1-YEAR(Inputs!$E$26))*Months_In_Year-MONTH(Inputs!$E$26)</f>
        <v>234</v>
      </c>
      <c r="AI346" s="72" t="n">
        <f aca="false">(AI$339+1-YEAR(Inputs!$E$26))*Months_In_Year-MONTH(Inputs!$E$26)</f>
        <v>246</v>
      </c>
      <c r="AJ346" s="72" t="n">
        <f aca="false">(AJ$339+1-YEAR(Inputs!$E$26))*Months_In_Year-MONTH(Inputs!$E$26)</f>
        <v>258</v>
      </c>
      <c r="AK346" s="72" t="n">
        <f aca="false">(AK$339+1-YEAR(Inputs!$E$26))*Months_In_Year-MONTH(Inputs!$E$26)</f>
        <v>270</v>
      </c>
      <c r="AL346" s="72" t="n">
        <f aca="false">(AL$339+1-YEAR(Inputs!$E$26))*Months_In_Year-MONTH(Inputs!$E$26)</f>
        <v>282</v>
      </c>
      <c r="AM346" s="72" t="n">
        <f aca="false">(AM$339+1-YEAR(Inputs!$E$26))*Months_In_Year-MONTH(Inputs!$E$26)</f>
        <v>294</v>
      </c>
      <c r="AN346" s="72" t="n">
        <f aca="false">(AN$339+1-YEAR(Inputs!$E$26))*Months_In_Year-MONTH(Inputs!$E$26)</f>
        <v>306</v>
      </c>
      <c r="AO346" s="72" t="n">
        <f aca="false">(AO$339+1-YEAR(Inputs!$E$26))*Months_In_Year-MONTH(Inputs!$E$26)</f>
        <v>318</v>
      </c>
      <c r="AP346" s="72" t="n">
        <f aca="false">(AP$339+1-YEAR(Inputs!$E$26))*Months_In_Year-MONTH(Inputs!$E$26)</f>
        <v>330</v>
      </c>
      <c r="AQ346" s="72" t="n">
        <f aca="false">(AQ$339+1-YEAR(Inputs!$E$26))*Months_In_Year-MONTH(Inputs!$E$26)</f>
        <v>342</v>
      </c>
      <c r="AR346" s="72" t="n">
        <f aca="false">(AR$339+1-YEAR(Inputs!$E$26))*Months_In_Year-MONTH(Inputs!$E$26)</f>
        <v>354</v>
      </c>
      <c r="AS346" s="72" t="n">
        <f aca="false">(AS$339+1-YEAR(Inputs!$E$26))*Months_In_Year-MONTH(Inputs!$E$26)</f>
        <v>366</v>
      </c>
    </row>
    <row r="347" customFormat="false" ht="14.25" hidden="false" customHeight="false" outlineLevel="0" collapsed="false">
      <c r="C347" s="6" t="s">
        <v>284</v>
      </c>
      <c r="D347" s="2" t="s">
        <v>12</v>
      </c>
      <c r="H347" s="73" t="n">
        <f aca="false">SUM(J347:AS347)</f>
        <v>30</v>
      </c>
      <c r="J347" s="48" t="n">
        <f aca="false">MAX(0,MIN(J346,$E346)-MAX(J346-Months_In_Year,0))/Months_In_Year</f>
        <v>0</v>
      </c>
      <c r="K347" s="48" t="n">
        <f aca="false">MAX(0,MIN(K346,$E346)-MAX(K346-Months_In_Year,0))/Months_In_Year</f>
        <v>0</v>
      </c>
      <c r="L347" s="48" t="n">
        <f aca="false">MAX(0,MIN(L346,$E346)-MAX(L346-Months_In_Year,0))/Months_In_Year</f>
        <v>0</v>
      </c>
      <c r="M347" s="48" t="n">
        <f aca="false">MAX(0,MIN(M346,$E346)-MAX(M346-Months_In_Year,0))/Months_In_Year</f>
        <v>0</v>
      </c>
      <c r="N347" s="48" t="n">
        <f aca="false">MAX(0,MIN(N346,$E346)-MAX(N346-Months_In_Year,0))/Months_In_Year</f>
        <v>0</v>
      </c>
      <c r="O347" s="48" t="n">
        <f aca="false">MAX(0,MIN(O346,$E346)-MAX(O346-Months_In_Year,0))/Months_In_Year</f>
        <v>0.5</v>
      </c>
      <c r="P347" s="48" t="n">
        <f aca="false">MAX(0,MIN(P346,$E346)-MAX(P346-Months_In_Year,0))/Months_In_Year</f>
        <v>1</v>
      </c>
      <c r="Q347" s="48" t="n">
        <f aca="false">MAX(0,MIN(Q346,$E346)-MAX(Q346-Months_In_Year,0))/Months_In_Year</f>
        <v>1</v>
      </c>
      <c r="R347" s="48" t="n">
        <f aca="false">MAX(0,MIN(R346,$E346)-MAX(R346-Months_In_Year,0))/Months_In_Year</f>
        <v>1</v>
      </c>
      <c r="S347" s="48" t="n">
        <f aca="false">MAX(0,MIN(S346,$E346)-MAX(S346-Months_In_Year,0))/Months_In_Year</f>
        <v>1</v>
      </c>
      <c r="T347" s="48" t="n">
        <f aca="false">MAX(0,MIN(T346,$E346)-MAX(T346-Months_In_Year,0))/Months_In_Year</f>
        <v>1</v>
      </c>
      <c r="U347" s="48" t="n">
        <f aca="false">MAX(0,MIN(U346,$E346)-MAX(U346-Months_In_Year,0))/Months_In_Year</f>
        <v>1</v>
      </c>
      <c r="V347" s="48" t="n">
        <f aca="false">MAX(0,MIN(V346,$E346)-MAX(V346-Months_In_Year,0))/Months_In_Year</f>
        <v>1</v>
      </c>
      <c r="W347" s="48" t="n">
        <f aca="false">MAX(0,MIN(W346,$E346)-MAX(W346-Months_In_Year,0))/Months_In_Year</f>
        <v>1</v>
      </c>
      <c r="X347" s="48" t="n">
        <f aca="false">MAX(0,MIN(X346,$E346)-MAX(X346-Months_In_Year,0))/Months_In_Year</f>
        <v>1</v>
      </c>
      <c r="Y347" s="48" t="n">
        <f aca="false">MAX(0,MIN(Y346,$E346)-MAX(Y346-Months_In_Year,0))/Months_In_Year</f>
        <v>1</v>
      </c>
      <c r="Z347" s="48" t="n">
        <f aca="false">MAX(0,MIN(Z346,$E346)-MAX(Z346-Months_In_Year,0))/Months_In_Year</f>
        <v>1</v>
      </c>
      <c r="AA347" s="48" t="n">
        <f aca="false">MAX(0,MIN(AA346,$E346)-MAX(AA346-Months_In_Year,0))/Months_In_Year</f>
        <v>1</v>
      </c>
      <c r="AB347" s="48" t="n">
        <f aca="false">MAX(0,MIN(AB346,$E346)-MAX(AB346-Months_In_Year,0))/Months_In_Year</f>
        <v>1</v>
      </c>
      <c r="AC347" s="48" t="n">
        <f aca="false">MAX(0,MIN(AC346,$E346)-MAX(AC346-Months_In_Year,0))/Months_In_Year</f>
        <v>1</v>
      </c>
      <c r="AD347" s="48" t="n">
        <f aca="false">MAX(0,MIN(AD346,$E346)-MAX(AD346-Months_In_Year,0))/Months_In_Year</f>
        <v>1</v>
      </c>
      <c r="AE347" s="48" t="n">
        <f aca="false">MAX(0,MIN(AE346,$E346)-MAX(AE346-Months_In_Year,0))/Months_In_Year</f>
        <v>1</v>
      </c>
      <c r="AF347" s="48" t="n">
        <f aca="false">MAX(0,MIN(AF346,$E346)-MAX(AF346-Months_In_Year,0))/Months_In_Year</f>
        <v>1</v>
      </c>
      <c r="AG347" s="48" t="n">
        <f aca="false">MAX(0,MIN(AG346,$E346)-MAX(AG346-Months_In_Year,0))/Months_In_Year</f>
        <v>1</v>
      </c>
      <c r="AH347" s="48" t="n">
        <f aca="false">MAX(0,MIN(AH346,$E346)-MAX(AH346-Months_In_Year,0))/Months_In_Year</f>
        <v>1</v>
      </c>
      <c r="AI347" s="48" t="n">
        <f aca="false">MAX(0,MIN(AI346,$E346)-MAX(AI346-Months_In_Year,0))/Months_In_Year</f>
        <v>1</v>
      </c>
      <c r="AJ347" s="48" t="n">
        <f aca="false">MAX(0,MIN(AJ346,$E346)-MAX(AJ346-Months_In_Year,0))/Months_In_Year</f>
        <v>1</v>
      </c>
      <c r="AK347" s="48" t="n">
        <f aca="false">MAX(0,MIN(AK346,$E346)-MAX(AK346-Months_In_Year,0))/Months_In_Year</f>
        <v>1</v>
      </c>
      <c r="AL347" s="48" t="n">
        <f aca="false">MAX(0,MIN(AL346,$E346)-MAX(AL346-Months_In_Year,0))/Months_In_Year</f>
        <v>1</v>
      </c>
      <c r="AM347" s="48" t="n">
        <f aca="false">MAX(0,MIN(AM346,$E346)-MAX(AM346-Months_In_Year,0))/Months_In_Year</f>
        <v>1</v>
      </c>
      <c r="AN347" s="48" t="n">
        <f aca="false">MAX(0,MIN(AN346,$E346)-MAX(AN346-Months_In_Year,0))/Months_In_Year</f>
        <v>1</v>
      </c>
      <c r="AO347" s="48" t="n">
        <f aca="false">MAX(0,MIN(AO346,$E346)-MAX(AO346-Months_In_Year,0))/Months_In_Year</f>
        <v>1</v>
      </c>
      <c r="AP347" s="48" t="n">
        <f aca="false">MAX(0,MIN(AP346,$E346)-MAX(AP346-Months_In_Year,0))/Months_In_Year</f>
        <v>1</v>
      </c>
      <c r="AQ347" s="48" t="n">
        <f aca="false">MAX(0,MIN(AQ346,$E346)-MAX(AQ346-Months_In_Year,0))/Months_In_Year</f>
        <v>1</v>
      </c>
      <c r="AR347" s="48" t="n">
        <f aca="false">MAX(0,MIN(AR346,$E346)-MAX(AR346-Months_In_Year,0))/Months_In_Year</f>
        <v>1</v>
      </c>
      <c r="AS347" s="48" t="n">
        <f aca="false">MAX(0,MIN(AS346,$E346)-MAX(AS346-Months_In_Year,0))/Months_In_Year</f>
        <v>0.5</v>
      </c>
    </row>
    <row r="348" customFormat="false" ht="14.25" hidden="false" customHeight="false" outlineLevel="0" collapsed="false">
      <c r="C348" s="6" t="s">
        <v>285</v>
      </c>
      <c r="D348" s="2" t="s">
        <v>2</v>
      </c>
      <c r="J348" s="74" t="n">
        <f aca="false">N(J343=0)</f>
        <v>0</v>
      </c>
      <c r="K348" s="74" t="n">
        <f aca="false">N(K343=0)</f>
        <v>0</v>
      </c>
      <c r="L348" s="74" t="n">
        <f aca="false">N(L343=0)</f>
        <v>0</v>
      </c>
      <c r="M348" s="74" t="n">
        <f aca="false">N(M343=0)</f>
        <v>0</v>
      </c>
      <c r="N348" s="74" t="n">
        <f aca="false">N(N343=0)</f>
        <v>0</v>
      </c>
      <c r="O348" s="74" t="n">
        <f aca="false">N(O343=0)</f>
        <v>1</v>
      </c>
      <c r="P348" s="74" t="n">
        <f aca="false">N(P343=0)</f>
        <v>0</v>
      </c>
      <c r="Q348" s="74" t="n">
        <f aca="false">N(Q343=0)</f>
        <v>0</v>
      </c>
      <c r="R348" s="74" t="n">
        <f aca="false">N(R343=0)</f>
        <v>0</v>
      </c>
      <c r="S348" s="74" t="n">
        <f aca="false">N(S343=0)</f>
        <v>0</v>
      </c>
      <c r="T348" s="74" t="n">
        <f aca="false">N(T343=0)</f>
        <v>0</v>
      </c>
      <c r="U348" s="74" t="n">
        <f aca="false">N(U343=0)</f>
        <v>0</v>
      </c>
      <c r="V348" s="74" t="n">
        <f aca="false">N(V343=0)</f>
        <v>0</v>
      </c>
      <c r="W348" s="74" t="n">
        <f aca="false">N(W343=0)</f>
        <v>0</v>
      </c>
      <c r="X348" s="74" t="n">
        <f aca="false">N(X343=0)</f>
        <v>0</v>
      </c>
      <c r="Y348" s="74" t="n">
        <f aca="false">N(Y343=0)</f>
        <v>0</v>
      </c>
      <c r="Z348" s="74" t="n">
        <f aca="false">N(Z343=0)</f>
        <v>0</v>
      </c>
      <c r="AA348" s="74" t="n">
        <f aca="false">N(AA343=0)</f>
        <v>0</v>
      </c>
      <c r="AB348" s="74" t="n">
        <f aca="false">N(AB343=0)</f>
        <v>0</v>
      </c>
      <c r="AC348" s="74" t="n">
        <f aca="false">N(AC343=0)</f>
        <v>0</v>
      </c>
      <c r="AD348" s="74" t="n">
        <f aca="false">N(AD343=0)</f>
        <v>0</v>
      </c>
      <c r="AE348" s="74" t="n">
        <f aca="false">N(AE343=0)</f>
        <v>0</v>
      </c>
      <c r="AF348" s="74" t="n">
        <f aca="false">N(AF343=0)</f>
        <v>0</v>
      </c>
      <c r="AG348" s="74" t="n">
        <f aca="false">N(AG343=0)</f>
        <v>0</v>
      </c>
      <c r="AH348" s="74" t="n">
        <f aca="false">N(AH343=0)</f>
        <v>0</v>
      </c>
      <c r="AI348" s="74" t="n">
        <f aca="false">N(AI343=0)</f>
        <v>0</v>
      </c>
      <c r="AJ348" s="74" t="n">
        <f aca="false">N(AJ343=0)</f>
        <v>0</v>
      </c>
      <c r="AK348" s="74" t="n">
        <f aca="false">N(AK343=0)</f>
        <v>0</v>
      </c>
      <c r="AL348" s="74" t="n">
        <f aca="false">N(AL343=0)</f>
        <v>0</v>
      </c>
      <c r="AM348" s="74" t="n">
        <f aca="false">N(AM343=0)</f>
        <v>0</v>
      </c>
      <c r="AN348" s="74" t="n">
        <f aca="false">N(AN343=0)</f>
        <v>0</v>
      </c>
      <c r="AO348" s="74" t="n">
        <f aca="false">N(AO343=0)</f>
        <v>0</v>
      </c>
      <c r="AP348" s="74" t="n">
        <f aca="false">N(AP343=0)</f>
        <v>0</v>
      </c>
      <c r="AQ348" s="74" t="n">
        <f aca="false">N(AQ343=0)</f>
        <v>0</v>
      </c>
      <c r="AR348" s="74" t="n">
        <f aca="false">N(AR343=0)</f>
        <v>0</v>
      </c>
      <c r="AS348" s="74" t="n">
        <f aca="false">N(AS343=0)</f>
        <v>0</v>
      </c>
    </row>
    <row r="349" customFormat="false" ht="14.25" hidden="false" customHeight="false" outlineLevel="0" collapsed="false">
      <c r="C349" s="6" t="s">
        <v>286</v>
      </c>
      <c r="D349" s="2" t="s">
        <v>85</v>
      </c>
      <c r="H349" s="8" t="n">
        <f aca="false">SUM(J349:AS349)</f>
        <v>-20256.3995260274</v>
      </c>
      <c r="J349" s="8" t="n">
        <f aca="false">-($E$98+$E$68+$E$62+$E$63+$E$92)*(J$339=YEAR(Sale_Date))</f>
        <v>-0</v>
      </c>
      <c r="K349" s="8" t="n">
        <f aca="false">-($E$98+$E$68+$E$62+$E$63+$E$92)*(K$339=YEAR(Sale_Date))</f>
        <v>-0</v>
      </c>
      <c r="L349" s="8" t="n">
        <f aca="false">-($E$98+$E$68+$E$62+$E$63+$E$92)*(L$339=YEAR(Sale_Date))</f>
        <v>-0</v>
      </c>
      <c r="M349" s="8" t="n">
        <f aca="false">-($E$98+$E$68+$E$62+$E$63+$E$92)*(M$339=YEAR(Sale_Date))</f>
        <v>-20256.3995260274</v>
      </c>
      <c r="N349" s="8" t="n">
        <f aca="false">-($E$98+$E$68+$E$62+$E$63+$E$92)*(N$339=YEAR(Sale_Date))</f>
        <v>-0</v>
      </c>
      <c r="O349" s="8" t="n">
        <f aca="false">-($E$98+$E$68+$E$62+$E$63+$E$92)*(O$339=YEAR(Sale_Date))</f>
        <v>-0</v>
      </c>
      <c r="P349" s="8" t="n">
        <f aca="false">-($E$98+$E$68+$E$62+$E$63+$E$92)*(P$339=YEAR(Sale_Date))</f>
        <v>-0</v>
      </c>
      <c r="Q349" s="8" t="n">
        <f aca="false">-($E$98+$E$68+$E$62+$E$63+$E$92)*(Q$339=YEAR(Sale_Date))</f>
        <v>-0</v>
      </c>
      <c r="R349" s="8" t="n">
        <f aca="false">-($E$98+$E$68+$E$62+$E$63+$E$92)*(R$339=YEAR(Sale_Date))</f>
        <v>-0</v>
      </c>
      <c r="S349" s="8" t="n">
        <f aca="false">-($E$98+$E$68+$E$62+$E$63+$E$92)*(S$339=YEAR(Sale_Date))</f>
        <v>-0</v>
      </c>
      <c r="T349" s="8" t="n">
        <f aca="false">-($E$98+$E$68+$E$62+$E$63+$E$92)*(T$339=YEAR(Sale_Date))</f>
        <v>-0</v>
      </c>
      <c r="U349" s="8" t="n">
        <f aca="false">-($E$98+$E$68+$E$62+$E$63+$E$92)*(U$339=YEAR(Sale_Date))</f>
        <v>-0</v>
      </c>
      <c r="V349" s="8" t="n">
        <f aca="false">-($E$98+$E$68+$E$62+$E$63+$E$92)*(V$339=YEAR(Sale_Date))</f>
        <v>-0</v>
      </c>
      <c r="W349" s="8" t="n">
        <f aca="false">-($E$98+$E$68+$E$62+$E$63+$E$92)*(W$339=YEAR(Sale_Date))</f>
        <v>-0</v>
      </c>
      <c r="X349" s="8" t="n">
        <f aca="false">-($E$98+$E$68+$E$62+$E$63+$E$92)*(X$339=YEAR(Sale_Date))</f>
        <v>-0</v>
      </c>
      <c r="Y349" s="8" t="n">
        <f aca="false">-($E$98+$E$68+$E$62+$E$63+$E$92)*(Y$339=YEAR(Sale_Date))</f>
        <v>-0</v>
      </c>
      <c r="Z349" s="8" t="n">
        <f aca="false">-($E$98+$E$68+$E$62+$E$63+$E$92)*(Z$339=YEAR(Sale_Date))</f>
        <v>-0</v>
      </c>
      <c r="AA349" s="8" t="n">
        <f aca="false">-($E$98+$E$68+$E$62+$E$63+$E$92)*(AA$339=YEAR(Sale_Date))</f>
        <v>-0</v>
      </c>
      <c r="AB349" s="8" t="n">
        <f aca="false">-($E$98+$E$68+$E$62+$E$63+$E$92)*(AB$339=YEAR(Sale_Date))</f>
        <v>-0</v>
      </c>
      <c r="AC349" s="8" t="n">
        <f aca="false">-($E$98+$E$68+$E$62+$E$63+$E$92)*(AC$339=YEAR(Sale_Date))</f>
        <v>-0</v>
      </c>
      <c r="AD349" s="8" t="n">
        <f aca="false">-($E$98+$E$68+$E$62+$E$63+$E$92)*(AD$339=YEAR(Sale_Date))</f>
        <v>-0</v>
      </c>
      <c r="AE349" s="8" t="n">
        <f aca="false">-($E$98+$E$68+$E$62+$E$63+$E$92)*(AE$339=YEAR(Sale_Date))</f>
        <v>-0</v>
      </c>
      <c r="AF349" s="8" t="n">
        <f aca="false">-($E$98+$E$68+$E$62+$E$63+$E$92)*(AF$339=YEAR(Sale_Date))</f>
        <v>-0</v>
      </c>
      <c r="AG349" s="8" t="n">
        <f aca="false">-($E$98+$E$68+$E$62+$E$63+$E$92)*(AG$339=YEAR(Sale_Date))</f>
        <v>-0</v>
      </c>
      <c r="AH349" s="8" t="n">
        <f aca="false">-($E$98+$E$68+$E$62+$E$63+$E$92)*(AH$339=YEAR(Sale_Date))</f>
        <v>-0</v>
      </c>
      <c r="AI349" s="8" t="n">
        <f aca="false">-($E$98+$E$68+$E$62+$E$63+$E$92)*(AI$339=YEAR(Sale_Date))</f>
        <v>-0</v>
      </c>
      <c r="AJ349" s="8" t="n">
        <f aca="false">-($E$98+$E$68+$E$62+$E$63+$E$92)*(AJ$339=YEAR(Sale_Date))</f>
        <v>-0</v>
      </c>
      <c r="AK349" s="8" t="n">
        <f aca="false">-($E$98+$E$68+$E$62+$E$63+$E$92)*(AK$339=YEAR(Sale_Date))</f>
        <v>-0</v>
      </c>
      <c r="AL349" s="8" t="n">
        <f aca="false">-($E$98+$E$68+$E$62+$E$63+$E$92)*(AL$339=YEAR(Sale_Date))</f>
        <v>-0</v>
      </c>
      <c r="AM349" s="8" t="n">
        <f aca="false">-($E$98+$E$68+$E$62+$E$63+$E$92)*(AM$339=YEAR(Sale_Date))</f>
        <v>-0</v>
      </c>
      <c r="AN349" s="8" t="n">
        <f aca="false">-($E$98+$E$68+$E$62+$E$63+$E$92)*(AN$339=YEAR(Sale_Date))</f>
        <v>-0</v>
      </c>
      <c r="AO349" s="8" t="n">
        <f aca="false">-($E$98+$E$68+$E$62+$E$63+$E$92)*(AO$339=YEAR(Sale_Date))</f>
        <v>-0</v>
      </c>
      <c r="AP349" s="8" t="n">
        <f aca="false">-($E$98+$E$68+$E$62+$E$63+$E$92)*(AP$339=YEAR(Sale_Date))</f>
        <v>-0</v>
      </c>
      <c r="AQ349" s="8" t="n">
        <f aca="false">-($E$98+$E$68+$E$62+$E$63+$E$92)*(AQ$339=YEAR(Sale_Date))</f>
        <v>-0</v>
      </c>
      <c r="AR349" s="8" t="n">
        <f aca="false">-($E$98+$E$68+$E$62+$E$63+$E$92)*(AR$339=YEAR(Sale_Date))</f>
        <v>-0</v>
      </c>
      <c r="AS349" s="8" t="n">
        <f aca="false">-($E$98+$E$68+$E$62+$E$63+$E$92)*(AS$339=YEAR(Sale_Date))</f>
        <v>-0</v>
      </c>
    </row>
    <row r="350" customFormat="false" ht="14.25" hidden="false" customHeight="false" outlineLevel="0" collapsed="false">
      <c r="C350" s="6" t="s">
        <v>287</v>
      </c>
      <c r="D350" s="2" t="s">
        <v>85</v>
      </c>
      <c r="H350" s="8" t="n">
        <f aca="false">SUM(J350:AS350)</f>
        <v>1942.46575342466</v>
      </c>
      <c r="J350" s="8" t="n">
        <f aca="false">($E$62+$E$63)*(J$339=YEAR(Inputs!$E$27))</f>
        <v>0</v>
      </c>
      <c r="K350" s="8" t="n">
        <f aca="false">($E$62+$E$63)*(K$339=YEAR(Inputs!$E$27))</f>
        <v>0</v>
      </c>
      <c r="L350" s="8" t="n">
        <f aca="false">($E$62+$E$63)*(L$339=YEAR(Inputs!$E$27))</f>
        <v>0</v>
      </c>
      <c r="M350" s="8" t="n">
        <f aca="false">($E$62+$E$63)*(M$339=YEAR(Inputs!$E$27))</f>
        <v>0</v>
      </c>
      <c r="N350" s="8" t="n">
        <f aca="false">($E$62+$E$63)*(N$339=YEAR(Inputs!$E$27))</f>
        <v>0</v>
      </c>
      <c r="O350" s="8" t="n">
        <f aca="false">($E$62+$E$63)*(O$339=YEAR(Inputs!$E$27))</f>
        <v>0</v>
      </c>
      <c r="P350" s="8" t="n">
        <f aca="false">($E$62+$E$63)*(P$339=YEAR(Inputs!$E$27))</f>
        <v>0</v>
      </c>
      <c r="Q350" s="8" t="n">
        <f aca="false">($E$62+$E$63)*(Q$339=YEAR(Inputs!$E$27))</f>
        <v>1942.46575342466</v>
      </c>
      <c r="R350" s="8" t="n">
        <f aca="false">($E$62+$E$63)*(R$339=YEAR(Inputs!$E$27))</f>
        <v>0</v>
      </c>
      <c r="S350" s="8" t="n">
        <f aca="false">($E$62+$E$63)*(S$339=YEAR(Inputs!$E$27))</f>
        <v>0</v>
      </c>
      <c r="T350" s="8" t="n">
        <f aca="false">($E$62+$E$63)*(T$339=YEAR(Inputs!$E$27))</f>
        <v>0</v>
      </c>
      <c r="U350" s="8" t="n">
        <f aca="false">($E$62+$E$63)*(U$339=YEAR(Inputs!$E$27))</f>
        <v>0</v>
      </c>
      <c r="V350" s="8" t="n">
        <f aca="false">($E$62+$E$63)*(V$339=YEAR(Inputs!$E$27))</f>
        <v>0</v>
      </c>
      <c r="W350" s="8" t="n">
        <f aca="false">($E$62+$E$63)*(W$339=YEAR(Inputs!$E$27))</f>
        <v>0</v>
      </c>
      <c r="X350" s="8" t="n">
        <f aca="false">($E$62+$E$63)*(X$339=YEAR(Inputs!$E$27))</f>
        <v>0</v>
      </c>
      <c r="Y350" s="8" t="n">
        <f aca="false">($E$62+$E$63)*(Y$339=YEAR(Inputs!$E$27))</f>
        <v>0</v>
      </c>
      <c r="Z350" s="8" t="n">
        <f aca="false">($E$62+$E$63)*(Z$339=YEAR(Inputs!$E$27))</f>
        <v>0</v>
      </c>
      <c r="AA350" s="8" t="n">
        <f aca="false">($E$62+$E$63)*(AA$339=YEAR(Inputs!$E$27))</f>
        <v>0</v>
      </c>
      <c r="AB350" s="8" t="n">
        <f aca="false">($E$62+$E$63)*(AB$339=YEAR(Inputs!$E$27))</f>
        <v>0</v>
      </c>
      <c r="AC350" s="8" t="n">
        <f aca="false">($E$62+$E$63)*(AC$339=YEAR(Inputs!$E$27))</f>
        <v>0</v>
      </c>
      <c r="AD350" s="8" t="n">
        <f aca="false">($E$62+$E$63)*(AD$339=YEAR(Inputs!$E$27))</f>
        <v>0</v>
      </c>
      <c r="AE350" s="8" t="n">
        <f aca="false">($E$62+$E$63)*(AE$339=YEAR(Inputs!$E$27))</f>
        <v>0</v>
      </c>
      <c r="AF350" s="8" t="n">
        <f aca="false">($E$62+$E$63)*(AF$339=YEAR(Inputs!$E$27))</f>
        <v>0</v>
      </c>
      <c r="AG350" s="8" t="n">
        <f aca="false">($E$62+$E$63)*(AG$339=YEAR(Inputs!$E$27))</f>
        <v>0</v>
      </c>
      <c r="AH350" s="8" t="n">
        <f aca="false">($E$62+$E$63)*(AH$339=YEAR(Inputs!$E$27))</f>
        <v>0</v>
      </c>
      <c r="AI350" s="8" t="n">
        <f aca="false">($E$62+$E$63)*(AI$339=YEAR(Inputs!$E$27))</f>
        <v>0</v>
      </c>
      <c r="AJ350" s="8" t="n">
        <f aca="false">($E$62+$E$63)*(AJ$339=YEAR(Inputs!$E$27))</f>
        <v>0</v>
      </c>
      <c r="AK350" s="8" t="n">
        <f aca="false">($E$62+$E$63)*(AK$339=YEAR(Inputs!$E$27))</f>
        <v>0</v>
      </c>
      <c r="AL350" s="8" t="n">
        <f aca="false">($E$62+$E$63)*(AL$339=YEAR(Inputs!$E$27))</f>
        <v>0</v>
      </c>
      <c r="AM350" s="8" t="n">
        <f aca="false">($E$62+$E$63)*(AM$339=YEAR(Inputs!$E$27))</f>
        <v>0</v>
      </c>
      <c r="AN350" s="8" t="n">
        <f aca="false">($E$62+$E$63)*(AN$339=YEAR(Inputs!$E$27))</f>
        <v>0</v>
      </c>
      <c r="AO350" s="8" t="n">
        <f aca="false">($E$62+$E$63)*(AO$339=YEAR(Inputs!$E$27))</f>
        <v>0</v>
      </c>
      <c r="AP350" s="8" t="n">
        <f aca="false">($E$62+$E$63)*(AP$339=YEAR(Inputs!$E$27))</f>
        <v>0</v>
      </c>
      <c r="AQ350" s="8" t="n">
        <f aca="false">($E$62+$E$63)*(AQ$339=YEAR(Inputs!$E$27))</f>
        <v>0</v>
      </c>
      <c r="AR350" s="8" t="n">
        <f aca="false">($E$62+$E$63)*(AR$339=YEAR(Inputs!$E$27))</f>
        <v>0</v>
      </c>
      <c r="AS350" s="8" t="n">
        <f aca="false">($E$62+$E$63)*(AS$339=YEAR(Inputs!$E$27))</f>
        <v>0</v>
      </c>
    </row>
    <row r="351" customFormat="false" ht="14.25" hidden="false" customHeight="false" outlineLevel="0" collapsed="false">
      <c r="C351" s="6" t="s">
        <v>288</v>
      </c>
      <c r="D351" s="2" t="s">
        <v>85</v>
      </c>
      <c r="H351" s="8" t="n">
        <f aca="false">SUM(J351:AS351)</f>
        <v>-52778</v>
      </c>
      <c r="J351" s="8" t="n">
        <f aca="false">-$E$91*J345</f>
        <v>-0</v>
      </c>
      <c r="K351" s="8" t="n">
        <f aca="false">-$E$91*K345</f>
        <v>-0</v>
      </c>
      <c r="L351" s="8" t="n">
        <f aca="false">-$E$91*L345</f>
        <v>-0</v>
      </c>
      <c r="M351" s="8" t="n">
        <f aca="false">-$E$91*M345</f>
        <v>-13194.5</v>
      </c>
      <c r="N351" s="8" t="n">
        <f aca="false">-$E$91*N345</f>
        <v>-26389</v>
      </c>
      <c r="O351" s="8" t="n">
        <f aca="false">-$E$91*O345</f>
        <v>-13194.5</v>
      </c>
      <c r="P351" s="8" t="n">
        <f aca="false">-$E$91*P345</f>
        <v>-0</v>
      </c>
      <c r="Q351" s="8" t="n">
        <f aca="false">-$E$91*Q345</f>
        <v>-0</v>
      </c>
      <c r="R351" s="8" t="n">
        <f aca="false">-$E$91*R345</f>
        <v>-0</v>
      </c>
      <c r="S351" s="8" t="n">
        <f aca="false">-$E$91*S345</f>
        <v>-0</v>
      </c>
      <c r="T351" s="8" t="n">
        <f aca="false">-$E$91*T345</f>
        <v>-0</v>
      </c>
      <c r="U351" s="8" t="n">
        <f aca="false">-$E$91*U345</f>
        <v>-0</v>
      </c>
      <c r="V351" s="8" t="n">
        <f aca="false">-$E$91*V345</f>
        <v>-0</v>
      </c>
      <c r="W351" s="8" t="n">
        <f aca="false">-$E$91*W345</f>
        <v>-0</v>
      </c>
      <c r="X351" s="8" t="n">
        <f aca="false">-$E$91*X345</f>
        <v>-0</v>
      </c>
      <c r="Y351" s="8" t="n">
        <f aca="false">-$E$91*Y345</f>
        <v>-0</v>
      </c>
      <c r="Z351" s="8" t="n">
        <f aca="false">-$E$91*Z345</f>
        <v>-0</v>
      </c>
      <c r="AA351" s="8" t="n">
        <f aca="false">-$E$91*AA345</f>
        <v>-0</v>
      </c>
      <c r="AB351" s="8" t="n">
        <f aca="false">-$E$91*AB345</f>
        <v>-0</v>
      </c>
      <c r="AC351" s="8" t="n">
        <f aca="false">-$E$91*AC345</f>
        <v>-0</v>
      </c>
      <c r="AD351" s="8" t="n">
        <f aca="false">-$E$91*AD345</f>
        <v>-0</v>
      </c>
      <c r="AE351" s="8" t="n">
        <f aca="false">-$E$91*AE345</f>
        <v>-0</v>
      </c>
      <c r="AF351" s="8" t="n">
        <f aca="false">-$E$91*AF345</f>
        <v>-0</v>
      </c>
      <c r="AG351" s="8" t="n">
        <f aca="false">-$E$91*AG345</f>
        <v>-0</v>
      </c>
      <c r="AH351" s="8" t="n">
        <f aca="false">-$E$91*AH345</f>
        <v>-0</v>
      </c>
      <c r="AI351" s="8" t="n">
        <f aca="false">-$E$91*AI345</f>
        <v>-0</v>
      </c>
      <c r="AJ351" s="8" t="n">
        <f aca="false">-$E$91*AJ345</f>
        <v>-0</v>
      </c>
      <c r="AK351" s="8" t="n">
        <f aca="false">-$E$91*AK345</f>
        <v>-0</v>
      </c>
      <c r="AL351" s="8" t="n">
        <f aca="false">-$E$91*AL345</f>
        <v>-0</v>
      </c>
      <c r="AM351" s="8" t="n">
        <f aca="false">-$E$91*AM345</f>
        <v>-0</v>
      </c>
      <c r="AN351" s="8" t="n">
        <f aca="false">-$E$91*AN345</f>
        <v>-0</v>
      </c>
      <c r="AO351" s="8" t="n">
        <f aca="false">-$E$91*AO345</f>
        <v>-0</v>
      </c>
      <c r="AP351" s="8" t="n">
        <f aca="false">-$E$91*AP345</f>
        <v>-0</v>
      </c>
      <c r="AQ351" s="8" t="n">
        <f aca="false">-$E$91*AQ345</f>
        <v>-0</v>
      </c>
      <c r="AR351" s="8" t="n">
        <f aca="false">-$E$91*AR345</f>
        <v>-0</v>
      </c>
      <c r="AS351" s="8" t="n">
        <f aca="false">-$E$91*AS345</f>
        <v>-0</v>
      </c>
    </row>
    <row r="352" customFormat="false" ht="14.25" hidden="false" customHeight="false" outlineLevel="0" collapsed="false">
      <c r="C352" s="6" t="s">
        <v>289</v>
      </c>
      <c r="D352" s="2" t="s">
        <v>85</v>
      </c>
      <c r="H352" s="8" t="n">
        <f aca="false">SUM(J352:AS352)</f>
        <v>-1000</v>
      </c>
      <c r="J352" s="8" t="n">
        <f aca="false">-$E$96*J348</f>
        <v>-0</v>
      </c>
      <c r="K352" s="8" t="n">
        <f aca="false">-$E$96*K348</f>
        <v>-0</v>
      </c>
      <c r="L352" s="8" t="n">
        <f aca="false">-$E$96*L348</f>
        <v>-0</v>
      </c>
      <c r="M352" s="8" t="n">
        <f aca="false">-$E$96*M348</f>
        <v>-0</v>
      </c>
      <c r="N352" s="8" t="n">
        <f aca="false">-$E$96*N348</f>
        <v>-0</v>
      </c>
      <c r="O352" s="8" t="n">
        <f aca="false">-$E$96*O348</f>
        <v>-1000</v>
      </c>
      <c r="P352" s="8" t="n">
        <f aca="false">-$E$96*P348</f>
        <v>-0</v>
      </c>
      <c r="Q352" s="8" t="n">
        <f aca="false">-$E$96*Q348</f>
        <v>-0</v>
      </c>
      <c r="R352" s="8" t="n">
        <f aca="false">-$E$96*R348</f>
        <v>-0</v>
      </c>
      <c r="S352" s="8" t="n">
        <f aca="false">-$E$96*S348</f>
        <v>-0</v>
      </c>
      <c r="T352" s="8" t="n">
        <f aca="false">-$E$96*T348</f>
        <v>-0</v>
      </c>
      <c r="U352" s="8" t="n">
        <f aca="false">-$E$96*U348</f>
        <v>-0</v>
      </c>
      <c r="V352" s="8" t="n">
        <f aca="false">-$E$96*V348</f>
        <v>-0</v>
      </c>
      <c r="W352" s="8" t="n">
        <f aca="false">-$E$96*W348</f>
        <v>-0</v>
      </c>
      <c r="X352" s="8" t="n">
        <f aca="false">-$E$96*X348</f>
        <v>-0</v>
      </c>
      <c r="Y352" s="8" t="n">
        <f aca="false">-$E$96*Y348</f>
        <v>-0</v>
      </c>
      <c r="Z352" s="8" t="n">
        <f aca="false">-$E$96*Z348</f>
        <v>-0</v>
      </c>
      <c r="AA352" s="8" t="n">
        <f aca="false">-$E$96*AA348</f>
        <v>-0</v>
      </c>
      <c r="AB352" s="8" t="n">
        <f aca="false">-$E$96*AB348</f>
        <v>-0</v>
      </c>
      <c r="AC352" s="8" t="n">
        <f aca="false">-$E$96*AC348</f>
        <v>-0</v>
      </c>
      <c r="AD352" s="8" t="n">
        <f aca="false">-$E$96*AD348</f>
        <v>-0</v>
      </c>
      <c r="AE352" s="8" t="n">
        <f aca="false">-$E$96*AE348</f>
        <v>-0</v>
      </c>
      <c r="AF352" s="8" t="n">
        <f aca="false">-$E$96*AF348</f>
        <v>-0</v>
      </c>
      <c r="AG352" s="8" t="n">
        <f aca="false">-$E$96*AG348</f>
        <v>-0</v>
      </c>
      <c r="AH352" s="8" t="n">
        <f aca="false">-$E$96*AH348</f>
        <v>-0</v>
      </c>
      <c r="AI352" s="8" t="n">
        <f aca="false">-$E$96*AI348</f>
        <v>-0</v>
      </c>
      <c r="AJ352" s="8" t="n">
        <f aca="false">-$E$96*AJ348</f>
        <v>-0</v>
      </c>
      <c r="AK352" s="8" t="n">
        <f aca="false">-$E$96*AK348</f>
        <v>-0</v>
      </c>
      <c r="AL352" s="8" t="n">
        <f aca="false">-$E$96*AL348</f>
        <v>-0</v>
      </c>
      <c r="AM352" s="8" t="n">
        <f aca="false">-$E$96*AM348</f>
        <v>-0</v>
      </c>
      <c r="AN352" s="8" t="n">
        <f aca="false">-$E$96*AN348</f>
        <v>-0</v>
      </c>
      <c r="AO352" s="8" t="n">
        <f aca="false">-$E$96*AO348</f>
        <v>-0</v>
      </c>
      <c r="AP352" s="8" t="n">
        <f aca="false">-$E$96*AP348</f>
        <v>-0</v>
      </c>
      <c r="AQ352" s="8" t="n">
        <f aca="false">-$E$96*AQ348</f>
        <v>-0</v>
      </c>
      <c r="AR352" s="8" t="n">
        <f aca="false">-$E$96*AR348</f>
        <v>-0</v>
      </c>
      <c r="AS352" s="8" t="n">
        <f aca="false">-$E$96*AS348</f>
        <v>-0</v>
      </c>
    </row>
    <row r="353" customFormat="false" ht="14.25" hidden="false" customHeight="false" outlineLevel="0" collapsed="false">
      <c r="C353" s="1" t="s">
        <v>290</v>
      </c>
      <c r="D353" s="2" t="s">
        <v>85</v>
      </c>
      <c r="H353" s="15" t="n">
        <f aca="false">SUM(J353:AS353)</f>
        <v>-72091.9337726027</v>
      </c>
      <c r="J353" s="15" t="n">
        <f aca="false">SUM(J349:J352)</f>
        <v>0</v>
      </c>
      <c r="K353" s="15" t="n">
        <f aca="false">SUM(K349:K352)</f>
        <v>0</v>
      </c>
      <c r="L353" s="15" t="n">
        <f aca="false">SUM(L349:L352)</f>
        <v>0</v>
      </c>
      <c r="M353" s="15" t="n">
        <f aca="false">SUM(M349:M352)</f>
        <v>-33450.8995260274</v>
      </c>
      <c r="N353" s="15" t="n">
        <f aca="false">SUM(N349:N352)</f>
        <v>-26389</v>
      </c>
      <c r="O353" s="15" t="n">
        <f aca="false">SUM(O349:O352)</f>
        <v>-14194.5</v>
      </c>
      <c r="P353" s="15" t="n">
        <f aca="false">SUM(P349:P352)</f>
        <v>0</v>
      </c>
      <c r="Q353" s="15" t="n">
        <f aca="false">SUM(Q349:Q352)</f>
        <v>1942.46575342466</v>
      </c>
      <c r="R353" s="15" t="n">
        <f aca="false">SUM(R349:R352)</f>
        <v>0</v>
      </c>
      <c r="S353" s="15" t="n">
        <f aca="false">SUM(S349:S352)</f>
        <v>0</v>
      </c>
      <c r="T353" s="15" t="n">
        <f aca="false">SUM(T349:T352)</f>
        <v>0</v>
      </c>
      <c r="U353" s="15" t="n">
        <f aca="false">SUM(U349:U352)</f>
        <v>0</v>
      </c>
      <c r="V353" s="15" t="n">
        <f aca="false">SUM(V349:V352)</f>
        <v>0</v>
      </c>
      <c r="W353" s="15" t="n">
        <f aca="false">SUM(W349:W352)</f>
        <v>0</v>
      </c>
      <c r="X353" s="15" t="n">
        <f aca="false">SUM(X349:X352)</f>
        <v>0</v>
      </c>
      <c r="Y353" s="15" t="n">
        <f aca="false">SUM(Y349:Y352)</f>
        <v>0</v>
      </c>
      <c r="Z353" s="15" t="n">
        <f aca="false">SUM(Z349:Z352)</f>
        <v>0</v>
      </c>
      <c r="AA353" s="15" t="n">
        <f aca="false">SUM(AA349:AA352)</f>
        <v>0</v>
      </c>
      <c r="AB353" s="15" t="n">
        <f aca="false">SUM(AB349:AB352)</f>
        <v>0</v>
      </c>
      <c r="AC353" s="15" t="n">
        <f aca="false">SUM(AC349:AC352)</f>
        <v>0</v>
      </c>
      <c r="AD353" s="15" t="n">
        <f aca="false">SUM(AD349:AD352)</f>
        <v>0</v>
      </c>
      <c r="AE353" s="15" t="n">
        <f aca="false">SUM(AE349:AE352)</f>
        <v>0</v>
      </c>
      <c r="AF353" s="15" t="n">
        <f aca="false">SUM(AF349:AF352)</f>
        <v>0</v>
      </c>
      <c r="AG353" s="15" t="n">
        <f aca="false">SUM(AG349:AG352)</f>
        <v>0</v>
      </c>
      <c r="AH353" s="15" t="n">
        <f aca="false">SUM(AH349:AH352)</f>
        <v>0</v>
      </c>
      <c r="AI353" s="15" t="n">
        <f aca="false">SUM(AI349:AI352)</f>
        <v>0</v>
      </c>
      <c r="AJ353" s="15" t="n">
        <f aca="false">SUM(AJ349:AJ352)</f>
        <v>0</v>
      </c>
      <c r="AK353" s="15" t="n">
        <f aca="false">SUM(AK349:AK352)</f>
        <v>0</v>
      </c>
      <c r="AL353" s="15" t="n">
        <f aca="false">SUM(AL349:AL352)</f>
        <v>0</v>
      </c>
      <c r="AM353" s="15" t="n">
        <f aca="false">SUM(AM349:AM352)</f>
        <v>0</v>
      </c>
      <c r="AN353" s="15" t="n">
        <f aca="false">SUM(AN349:AN352)</f>
        <v>0</v>
      </c>
      <c r="AO353" s="15" t="n">
        <f aca="false">SUM(AO349:AO352)</f>
        <v>0</v>
      </c>
      <c r="AP353" s="15" t="n">
        <f aca="false">SUM(AP349:AP352)</f>
        <v>0</v>
      </c>
      <c r="AQ353" s="15" t="n">
        <f aca="false">SUM(AQ349:AQ352)</f>
        <v>0</v>
      </c>
      <c r="AR353" s="15" t="n">
        <f aca="false">SUM(AR349:AR352)</f>
        <v>0</v>
      </c>
      <c r="AS353" s="15" t="n">
        <f aca="false">SUM(AS349:AS352)</f>
        <v>0</v>
      </c>
    </row>
    <row r="354" customFormat="false" ht="14.25" hidden="false" customHeight="false" outlineLevel="0" collapsed="false">
      <c r="C354" s="6" t="s">
        <v>291</v>
      </c>
      <c r="D354" s="2" t="s">
        <v>3</v>
      </c>
      <c r="J354" s="75" t="n">
        <f aca="false">(1-Degradation)^MAX(J343-1,0)</f>
        <v>1</v>
      </c>
      <c r="K354" s="75" t="n">
        <f aca="false">(1-Degradation)^MAX(K343-1,0)</f>
        <v>1</v>
      </c>
      <c r="L354" s="75" t="n">
        <f aca="false">(1-Degradation)^MAX(L343-1,0)</f>
        <v>1</v>
      </c>
      <c r="M354" s="75" t="n">
        <f aca="false">(1-Degradation)^MAX(M343-1,0)</f>
        <v>1</v>
      </c>
      <c r="N354" s="75" t="n">
        <f aca="false">(1-Degradation)^MAX(N343-1,0)</f>
        <v>1</v>
      </c>
      <c r="O354" s="75" t="n">
        <f aca="false">(1-Degradation)^MAX(O343-1,0)</f>
        <v>1</v>
      </c>
      <c r="P354" s="75" t="n">
        <f aca="false">(1-Degradation)^MAX(P343-1,0)</f>
        <v>1</v>
      </c>
      <c r="Q354" s="75" t="n">
        <f aca="false">(1-Degradation)^MAX(Q343-1,0)</f>
        <v>0.997</v>
      </c>
      <c r="R354" s="75" t="n">
        <f aca="false">(1-Degradation)^MAX(R343-1,0)</f>
        <v>0.994009</v>
      </c>
      <c r="S354" s="75" t="n">
        <f aca="false">(1-Degradation)^MAX(S343-1,0)</f>
        <v>0.991026973</v>
      </c>
      <c r="T354" s="75" t="n">
        <f aca="false">(1-Degradation)^MAX(T343-1,0)</f>
        <v>0.988053892081</v>
      </c>
      <c r="U354" s="75" t="n">
        <f aca="false">(1-Degradation)^MAX(U343-1,0)</f>
        <v>0.985089730404757</v>
      </c>
      <c r="V354" s="75" t="n">
        <f aca="false">(1-Degradation)^MAX(V343-1,0)</f>
        <v>0.982134461213543</v>
      </c>
      <c r="W354" s="75" t="n">
        <f aca="false">(1-Degradation)^MAX(W343-1,0)</f>
        <v>0.979188057829902</v>
      </c>
      <c r="X354" s="75" t="n">
        <f aca="false">(1-Degradation)^MAX(X343-1,0)</f>
        <v>0.976250493656412</v>
      </c>
      <c r="Y354" s="75" t="n">
        <f aca="false">(1-Degradation)^MAX(Y343-1,0)</f>
        <v>0.973321742175443</v>
      </c>
      <c r="Z354" s="75" t="n">
        <f aca="false">(1-Degradation)^MAX(Z343-1,0)</f>
        <v>0.970401776948917</v>
      </c>
      <c r="AA354" s="75" t="n">
        <f aca="false">(1-Degradation)^MAX(AA343-1,0)</f>
        <v>0.96749057161807</v>
      </c>
      <c r="AB354" s="75" t="n">
        <f aca="false">(1-Degradation)^MAX(AB343-1,0)</f>
        <v>0.964588099903216</v>
      </c>
      <c r="AC354" s="75" t="n">
        <f aca="false">(1-Degradation)^MAX(AC343-1,0)</f>
        <v>0.961694335603506</v>
      </c>
      <c r="AD354" s="75" t="n">
        <f aca="false">(1-Degradation)^MAX(AD343-1,0)</f>
        <v>0.958809252596696</v>
      </c>
      <c r="AE354" s="75" t="n">
        <f aca="false">(1-Degradation)^MAX(AE343-1,0)</f>
        <v>0.955932824838906</v>
      </c>
      <c r="AF354" s="75" t="n">
        <f aca="false">(1-Degradation)^MAX(AF343-1,0)</f>
        <v>0.953065026364389</v>
      </c>
      <c r="AG354" s="75" t="n">
        <f aca="false">(1-Degradation)^MAX(AG343-1,0)</f>
        <v>0.950205831285296</v>
      </c>
      <c r="AH354" s="75" t="n">
        <f aca="false">(1-Degradation)^MAX(AH343-1,0)</f>
        <v>0.94735521379144</v>
      </c>
      <c r="AI354" s="75" t="n">
        <f aca="false">(1-Degradation)^MAX(AI343-1,0)</f>
        <v>0.944513148150066</v>
      </c>
      <c r="AJ354" s="75" t="n">
        <f aca="false">(1-Degradation)^MAX(AJ343-1,0)</f>
        <v>0.941679608705615</v>
      </c>
      <c r="AK354" s="75" t="n">
        <f aca="false">(1-Degradation)^MAX(AK343-1,0)</f>
        <v>0.938854569879498</v>
      </c>
      <c r="AL354" s="75" t="n">
        <f aca="false">(1-Degradation)^MAX(AL343-1,0)</f>
        <v>0.93603800616986</v>
      </c>
      <c r="AM354" s="75" t="n">
        <f aca="false">(1-Degradation)^MAX(AM343-1,0)</f>
        <v>0.93322989215135</v>
      </c>
      <c r="AN354" s="75" t="n">
        <f aca="false">(1-Degradation)^MAX(AN343-1,0)</f>
        <v>0.930430202474896</v>
      </c>
      <c r="AO354" s="75" t="n">
        <f aca="false">(1-Degradation)^MAX(AO343-1,0)</f>
        <v>0.927638911867472</v>
      </c>
      <c r="AP354" s="75" t="n">
        <f aca="false">(1-Degradation)^MAX(AP343-1,0)</f>
        <v>0.924855995131869</v>
      </c>
      <c r="AQ354" s="75" t="n">
        <f aca="false">(1-Degradation)^MAX(AQ343-1,0)</f>
        <v>0.922081427146474</v>
      </c>
      <c r="AR354" s="75" t="n">
        <f aca="false">(1-Degradation)^MAX(AR343-1,0)</f>
        <v>0.919315182865034</v>
      </c>
      <c r="AS354" s="75" t="n">
        <f aca="false">(1-Degradation)^MAX(AS343-1,0)</f>
        <v>0.916557237316439</v>
      </c>
    </row>
    <row r="355" customFormat="false" ht="14.25" hidden="false" customHeight="false" outlineLevel="0" collapsed="false">
      <c r="C355" s="6" t="s">
        <v>292</v>
      </c>
      <c r="D355" s="2" t="s">
        <v>293</v>
      </c>
      <c r="H355" s="17" t="n">
        <f aca="false">SUM(J355:AS355)</f>
        <v>3654.34185176978</v>
      </c>
      <c r="J355" s="17" t="n">
        <f aca="false">$E$46*$E$22*(1-Curtailment)*(1-Clipping)*J347*J354/Thousand</f>
        <v>0</v>
      </c>
      <c r="K355" s="17" t="n">
        <f aca="false">$E$46*$E$22*(1-Curtailment)*(1-Clipping)*K347*K354/Thousand</f>
        <v>0</v>
      </c>
      <c r="L355" s="17" t="n">
        <f aca="false">$E$46*$E$22*(1-Curtailment)*(1-Clipping)*L347*L354/Thousand</f>
        <v>0</v>
      </c>
      <c r="M355" s="17" t="n">
        <f aca="false">$E$46*$E$22*(1-Curtailment)*(1-Clipping)*M347*M354/Thousand</f>
        <v>0</v>
      </c>
      <c r="N355" s="17" t="n">
        <f aca="false">$E$46*$E$22*(1-Curtailment)*(1-Clipping)*N347*N354/Thousand</f>
        <v>0</v>
      </c>
      <c r="O355" s="17" t="n">
        <f aca="false">$E$46*$E$22*(1-Curtailment)*(1-Clipping)*O347*O354/Thousand</f>
        <v>63.504</v>
      </c>
      <c r="P355" s="17" t="n">
        <f aca="false">$E$46*$E$22*(1-Curtailment)*(1-Clipping)*P347*P354/Thousand</f>
        <v>127.008</v>
      </c>
      <c r="Q355" s="17" t="n">
        <f aca="false">$E$46*$E$22*(1-Curtailment)*(1-Clipping)*Q347*Q354/Thousand</f>
        <v>126.626976</v>
      </c>
      <c r="R355" s="17" t="n">
        <f aca="false">$E$46*$E$22*(1-Curtailment)*(1-Clipping)*R347*R354/Thousand</f>
        <v>126.247095072</v>
      </c>
      <c r="S355" s="17" t="n">
        <f aca="false">$E$46*$E$22*(1-Curtailment)*(1-Clipping)*S347*S354/Thousand</f>
        <v>125.868353786784</v>
      </c>
      <c r="T355" s="17" t="n">
        <f aca="false">$E$46*$E$22*(1-Curtailment)*(1-Clipping)*T347*T354/Thousand</f>
        <v>125.490748725424</v>
      </c>
      <c r="U355" s="17" t="n">
        <f aca="false">$E$46*$E$22*(1-Curtailment)*(1-Clipping)*U347*U354/Thousand</f>
        <v>125.114276479247</v>
      </c>
      <c r="V355" s="17" t="n">
        <f aca="false">$E$46*$E$22*(1-Curtailment)*(1-Clipping)*V347*V354/Thousand</f>
        <v>124.73893364981</v>
      </c>
      <c r="W355" s="17" t="n">
        <f aca="false">$E$46*$E$22*(1-Curtailment)*(1-Clipping)*W347*W354/Thousand</f>
        <v>124.36471684886</v>
      </c>
      <c r="X355" s="17" t="n">
        <f aca="false">$E$46*$E$22*(1-Curtailment)*(1-Clipping)*X347*X354/Thousand</f>
        <v>123.991622698314</v>
      </c>
      <c r="Y355" s="17" t="n">
        <f aca="false">$E$46*$E$22*(1-Curtailment)*(1-Clipping)*Y347*Y354/Thousand</f>
        <v>123.619647830219</v>
      </c>
      <c r="Z355" s="17" t="n">
        <f aca="false">$E$46*$E$22*(1-Curtailment)*(1-Clipping)*Z347*Z354/Thousand</f>
        <v>123.248788886728</v>
      </c>
      <c r="AA355" s="17" t="n">
        <f aca="false">$E$46*$E$22*(1-Curtailment)*(1-Clipping)*AA347*AA354/Thousand</f>
        <v>122.879042520068</v>
      </c>
      <c r="AB355" s="17" t="n">
        <f aca="false">$E$46*$E$22*(1-Curtailment)*(1-Clipping)*AB347*AB354/Thousand</f>
        <v>122.510405392508</v>
      </c>
      <c r="AC355" s="17" t="n">
        <f aca="false">$E$46*$E$22*(1-Curtailment)*(1-Clipping)*AC347*AC354/Thousand</f>
        <v>122.14287417633</v>
      </c>
      <c r="AD355" s="17" t="n">
        <f aca="false">$E$46*$E$22*(1-Curtailment)*(1-Clipping)*AD347*AD354/Thousand</f>
        <v>121.776445553801</v>
      </c>
      <c r="AE355" s="17" t="n">
        <f aca="false">$E$46*$E$22*(1-Curtailment)*(1-Clipping)*AE347*AE354/Thousand</f>
        <v>121.41111621714</v>
      </c>
      <c r="AF355" s="17" t="n">
        <f aca="false">$E$46*$E$22*(1-Curtailment)*(1-Clipping)*AF347*AF354/Thousand</f>
        <v>121.046882868488</v>
      </c>
      <c r="AG355" s="17" t="n">
        <f aca="false">$E$46*$E$22*(1-Curtailment)*(1-Clipping)*AG347*AG354/Thousand</f>
        <v>120.683742219883</v>
      </c>
      <c r="AH355" s="17" t="n">
        <f aca="false">$E$46*$E$22*(1-Curtailment)*(1-Clipping)*AH347*AH354/Thousand</f>
        <v>120.321690993223</v>
      </c>
      <c r="AI355" s="17" t="n">
        <f aca="false">$E$46*$E$22*(1-Curtailment)*(1-Clipping)*AI347*AI354/Thousand</f>
        <v>119.960725920244</v>
      </c>
      <c r="AJ355" s="17" t="n">
        <f aca="false">$E$46*$E$22*(1-Curtailment)*(1-Clipping)*AJ347*AJ354/Thousand</f>
        <v>119.600843742483</v>
      </c>
      <c r="AK355" s="17" t="n">
        <f aca="false">$E$46*$E$22*(1-Curtailment)*(1-Clipping)*AK347*AK354/Thousand</f>
        <v>119.242041211255</v>
      </c>
      <c r="AL355" s="17" t="n">
        <f aca="false">$E$46*$E$22*(1-Curtailment)*(1-Clipping)*AL347*AL354/Thousand</f>
        <v>118.884315087622</v>
      </c>
      <c r="AM355" s="17" t="n">
        <f aca="false">$E$46*$E$22*(1-Curtailment)*(1-Clipping)*AM347*AM354/Thousand</f>
        <v>118.527662142359</v>
      </c>
      <c r="AN355" s="17" t="n">
        <f aca="false">$E$46*$E$22*(1-Curtailment)*(1-Clipping)*AN347*AN354/Thousand</f>
        <v>118.172079155932</v>
      </c>
      <c r="AO355" s="17" t="n">
        <f aca="false">$E$46*$E$22*(1-Curtailment)*(1-Clipping)*AO347*AO354/Thousand</f>
        <v>117.817562918464</v>
      </c>
      <c r="AP355" s="17" t="n">
        <f aca="false">$E$46*$E$22*(1-Curtailment)*(1-Clipping)*AP347*AP354/Thousand</f>
        <v>117.464110229708</v>
      </c>
      <c r="AQ355" s="17" t="n">
        <f aca="false">$E$46*$E$22*(1-Curtailment)*(1-Clipping)*AQ347*AQ354/Thousand</f>
        <v>117.111717899019</v>
      </c>
      <c r="AR355" s="17" t="n">
        <f aca="false">$E$46*$E$22*(1-Curtailment)*(1-Clipping)*AR347*AR354/Thousand</f>
        <v>116.760382745322</v>
      </c>
      <c r="AS355" s="17" t="n">
        <f aca="false">$E$46*$E$22*(1-Curtailment)*(1-Clipping)*AS347*AS354/Thousand</f>
        <v>58.2050507985431</v>
      </c>
    </row>
    <row r="356" customFormat="false" ht="14.25" hidden="false" customHeight="false" outlineLevel="0" collapsed="false">
      <c r="C356" s="6" t="s">
        <v>294</v>
      </c>
      <c r="D356" s="2" t="s">
        <v>20</v>
      </c>
      <c r="J356" s="17" t="n">
        <f aca="false">Case_PPA*(1+PPA_Esc)^J343*(J347&gt;0)</f>
        <v>0</v>
      </c>
      <c r="K356" s="17" t="n">
        <f aca="false">Case_PPA*(1+PPA_Esc)^K343*(K347&gt;0)</f>
        <v>0</v>
      </c>
      <c r="L356" s="17" t="n">
        <f aca="false">Case_PPA*(1+PPA_Esc)^L343*(L347&gt;0)</f>
        <v>0</v>
      </c>
      <c r="M356" s="17" t="n">
        <f aca="false">Case_PPA*(1+PPA_Esc)^M343*(M347&gt;0)</f>
        <v>0</v>
      </c>
      <c r="N356" s="17" t="n">
        <f aca="false">Case_PPA*(1+PPA_Esc)^N343*(N347&gt;0)</f>
        <v>0</v>
      </c>
      <c r="O356" s="17" t="n">
        <f aca="false">Case_PPA*(1+PPA_Esc)^O343*(O347&gt;0)</f>
        <v>90</v>
      </c>
      <c r="P356" s="17" t="n">
        <f aca="false">Case_PPA*(1+PPA_Esc)^P343*(P347&gt;0)</f>
        <v>90.9</v>
      </c>
      <c r="Q356" s="17" t="n">
        <f aca="false">Case_PPA*(1+PPA_Esc)^Q343*(Q347&gt;0)</f>
        <v>91.809</v>
      </c>
      <c r="R356" s="17" t="n">
        <f aca="false">Case_PPA*(1+PPA_Esc)^R343*(R347&gt;0)</f>
        <v>92.72709</v>
      </c>
      <c r="S356" s="17" t="n">
        <f aca="false">Case_PPA*(1+PPA_Esc)^S343*(S347&gt;0)</f>
        <v>93.6543609</v>
      </c>
      <c r="T356" s="17" t="n">
        <f aca="false">Case_PPA*(1+PPA_Esc)^T343*(T347&gt;0)</f>
        <v>94.590904509</v>
      </c>
      <c r="U356" s="17" t="n">
        <f aca="false">Case_PPA*(1+PPA_Esc)^U343*(U347&gt;0)</f>
        <v>95.53681355409</v>
      </c>
      <c r="V356" s="17" t="n">
        <f aca="false">Case_PPA*(1+PPA_Esc)^V343*(V347&gt;0)</f>
        <v>96.4921816896309</v>
      </c>
      <c r="W356" s="17" t="n">
        <f aca="false">Case_PPA*(1+PPA_Esc)^W343*(W347&gt;0)</f>
        <v>97.4571035065272</v>
      </c>
      <c r="X356" s="17" t="n">
        <f aca="false">Case_PPA*(1+PPA_Esc)^X343*(X347&gt;0)</f>
        <v>98.4316745415925</v>
      </c>
      <c r="Y356" s="17" t="n">
        <f aca="false">Case_PPA*(1+PPA_Esc)^Y343*(Y347&gt;0)</f>
        <v>99.4159912870084</v>
      </c>
      <c r="Z356" s="17" t="n">
        <f aca="false">Case_PPA*(1+PPA_Esc)^Z343*(Z347&gt;0)</f>
        <v>100.410151199878</v>
      </c>
      <c r="AA356" s="17" t="n">
        <f aca="false">Case_PPA*(1+PPA_Esc)^AA343*(AA347&gt;0)</f>
        <v>101.414252711877</v>
      </c>
      <c r="AB356" s="17" t="n">
        <f aca="false">Case_PPA*(1+PPA_Esc)^AB343*(AB347&gt;0)</f>
        <v>102.428395238996</v>
      </c>
      <c r="AC356" s="17" t="n">
        <f aca="false">Case_PPA*(1+PPA_Esc)^AC343*(AC347&gt;0)</f>
        <v>103.452679191386</v>
      </c>
      <c r="AD356" s="17" t="n">
        <f aca="false">Case_PPA*(1+PPA_Esc)^AD343*(AD347&gt;0)</f>
        <v>104.4872059833</v>
      </c>
      <c r="AE356" s="17" t="n">
        <f aca="false">Case_PPA*(1+PPA_Esc)^AE343*(AE347&gt;0)</f>
        <v>105.532078043133</v>
      </c>
      <c r="AF356" s="17" t="n">
        <f aca="false">Case_PPA*(1+PPA_Esc)^AF343*(AF347&gt;0)</f>
        <v>106.587398823564</v>
      </c>
      <c r="AG356" s="17" t="n">
        <f aca="false">Case_PPA*(1+PPA_Esc)^AG343*(AG347&gt;0)</f>
        <v>107.6532728118</v>
      </c>
      <c r="AH356" s="17" t="n">
        <f aca="false">Case_PPA*(1+PPA_Esc)^AH343*(AH347&gt;0)</f>
        <v>108.729805539918</v>
      </c>
      <c r="AI356" s="17" t="n">
        <f aca="false">Case_PPA*(1+PPA_Esc)^AI343*(AI347&gt;0)</f>
        <v>109.817103595317</v>
      </c>
      <c r="AJ356" s="17" t="n">
        <f aca="false">Case_PPA*(1+PPA_Esc)^AJ343*(AJ347&gt;0)</f>
        <v>110.91527463127</v>
      </c>
      <c r="AK356" s="17" t="n">
        <f aca="false">Case_PPA*(1+PPA_Esc)^AK343*(AK347&gt;0)</f>
        <v>112.024427377583</v>
      </c>
      <c r="AL356" s="17" t="n">
        <f aca="false">Case_PPA*(1+PPA_Esc)^AL343*(AL347&gt;0)</f>
        <v>113.144671651359</v>
      </c>
      <c r="AM356" s="17" t="n">
        <f aca="false">Case_PPA*(1+PPA_Esc)^AM343*(AM347&gt;0)</f>
        <v>114.276118367872</v>
      </c>
      <c r="AN356" s="17" t="n">
        <f aca="false">Case_PPA*(1+PPA_Esc)^AN343*(AN347&gt;0)</f>
        <v>115.418879551551</v>
      </c>
      <c r="AO356" s="17" t="n">
        <f aca="false">Case_PPA*(1+PPA_Esc)^AO343*(AO347&gt;0)</f>
        <v>116.573068347067</v>
      </c>
      <c r="AP356" s="17" t="n">
        <f aca="false">Case_PPA*(1+PPA_Esc)^AP343*(AP347&gt;0)</f>
        <v>117.738799030537</v>
      </c>
      <c r="AQ356" s="17" t="n">
        <f aca="false">Case_PPA*(1+PPA_Esc)^AQ343*(AQ347&gt;0)</f>
        <v>118.916187020843</v>
      </c>
      <c r="AR356" s="17" t="n">
        <f aca="false">Case_PPA*(1+PPA_Esc)^AR343*(AR347&gt;0)</f>
        <v>120.105348891051</v>
      </c>
      <c r="AS356" s="17" t="n">
        <f aca="false">Case_PPA*(1+PPA_Esc)^AS343*(AS347&gt;0)</f>
        <v>121.306402379962</v>
      </c>
    </row>
    <row r="357" customFormat="false" ht="14.25" hidden="false" customHeight="false" outlineLevel="0" collapsed="false">
      <c r="C357" s="1" t="s">
        <v>156</v>
      </c>
      <c r="D357" s="2" t="s">
        <v>85</v>
      </c>
      <c r="H357" s="32" t="n">
        <f aca="false">SUM(J357:AS357)</f>
        <v>382397.730625247</v>
      </c>
      <c r="J357" s="32" t="n">
        <f aca="false">J355*J356</f>
        <v>0</v>
      </c>
      <c r="K357" s="32" t="n">
        <f aca="false">K355*K356</f>
        <v>0</v>
      </c>
      <c r="L357" s="32" t="n">
        <f aca="false">L355*L356</f>
        <v>0</v>
      </c>
      <c r="M357" s="32" t="n">
        <f aca="false">M355*M356</f>
        <v>0</v>
      </c>
      <c r="N357" s="32" t="n">
        <f aca="false">N355*N356</f>
        <v>0</v>
      </c>
      <c r="O357" s="32" t="n">
        <f aca="false">O355*O356</f>
        <v>5715.36</v>
      </c>
      <c r="P357" s="32" t="n">
        <f aca="false">P355*P356</f>
        <v>11545.0272</v>
      </c>
      <c r="Q357" s="32" t="n">
        <f aca="false">Q355*Q356</f>
        <v>11625.496039584</v>
      </c>
      <c r="R357" s="32" t="n">
        <f aca="false">R355*R356</f>
        <v>11706.5257469799</v>
      </c>
      <c r="S357" s="32" t="n">
        <f aca="false">S355*S356</f>
        <v>11788.1202314363</v>
      </c>
      <c r="T357" s="32" t="n">
        <f aca="false">T355*T356</f>
        <v>11870.2834294495</v>
      </c>
      <c r="U357" s="32" t="n">
        <f aca="false">U355*U356</f>
        <v>11953.0193049527</v>
      </c>
      <c r="V357" s="32" t="n">
        <f aca="false">V355*V356</f>
        <v>12036.3318495082</v>
      </c>
      <c r="W357" s="32" t="n">
        <f aca="false">W355*W356</f>
        <v>12120.2250824993</v>
      </c>
      <c r="X357" s="32" t="n">
        <f aca="false">X355*X356</f>
        <v>12204.7030513243</v>
      </c>
      <c r="Y357" s="32" t="n">
        <f aca="false">Y355*Y356</f>
        <v>12289.7698315921</v>
      </c>
      <c r="Z357" s="32" t="n">
        <f aca="false">Z355*Z356</f>
        <v>12375.4295273183</v>
      </c>
      <c r="AA357" s="32" t="n">
        <f aca="false">AA355*AA356</f>
        <v>12461.6862711237</v>
      </c>
      <c r="AB357" s="32" t="n">
        <f aca="false">AB355*AB356</f>
        <v>12548.5442244334</v>
      </c>
      <c r="AC357" s="32" t="n">
        <f aca="false">AC355*AC356</f>
        <v>12636.0075776777</v>
      </c>
      <c r="AD357" s="32" t="n">
        <f aca="false">AD355*AD356</f>
        <v>12724.0805504941</v>
      </c>
      <c r="AE357" s="32" t="n">
        <f aca="false">AE355*AE356</f>
        <v>12812.7673919311</v>
      </c>
      <c r="AF357" s="32" t="n">
        <f aca="false">AF355*AF356</f>
        <v>12902.0723806528</v>
      </c>
      <c r="AG357" s="32" t="n">
        <f aca="false">AG355*AG356</f>
        <v>12991.999825146</v>
      </c>
      <c r="AH357" s="32" t="n">
        <f aca="false">AH355*AH356</f>
        <v>13082.5540639272</v>
      </c>
      <c r="AI357" s="32" t="n">
        <f aca="false">AI355*AI356</f>
        <v>13173.7394657528</v>
      </c>
      <c r="AJ357" s="32" t="n">
        <f aca="false">AJ355*AJ356</f>
        <v>13265.5604298291</v>
      </c>
      <c r="AK357" s="32" t="n">
        <f aca="false">AK355*AK356</f>
        <v>13358.021386025</v>
      </c>
      <c r="AL357" s="32" t="n">
        <f aca="false">AL355*AL356</f>
        <v>13451.1267950856</v>
      </c>
      <c r="AM357" s="32" t="n">
        <f aca="false">AM355*AM356</f>
        <v>13544.8811488474</v>
      </c>
      <c r="AN357" s="32" t="n">
        <f aca="false">AN355*AN356</f>
        <v>13639.2889704548</v>
      </c>
      <c r="AO357" s="32" t="n">
        <f aca="false">AO355*AO356</f>
        <v>13734.3548145789</v>
      </c>
      <c r="AP357" s="32" t="n">
        <f aca="false">AP355*AP356</f>
        <v>13830.0832676365</v>
      </c>
      <c r="AQ357" s="32" t="n">
        <f aca="false">AQ355*AQ356</f>
        <v>13926.4789480119</v>
      </c>
      <c r="AR357" s="32" t="n">
        <f aca="false">AR355*AR356</f>
        <v>14023.5465062796</v>
      </c>
      <c r="AS357" s="32" t="n">
        <f aca="false">AS355*AS356</f>
        <v>7060.64531271418</v>
      </c>
    </row>
    <row r="358" customFormat="false" ht="14.25" hidden="false" customHeight="false" outlineLevel="0" collapsed="false">
      <c r="C358" s="6" t="s">
        <v>295</v>
      </c>
      <c r="D358" s="2" t="s">
        <v>3</v>
      </c>
      <c r="J358" s="75" t="n">
        <f aca="false">(1+Opex_Esc)^J343</f>
        <v>0.883854287609517</v>
      </c>
      <c r="K358" s="75" t="n">
        <f aca="false">(1+Opex_Esc)^K343</f>
        <v>0.905950644799755</v>
      </c>
      <c r="L358" s="75" t="n">
        <f aca="false">(1+Opex_Esc)^L343</f>
        <v>0.928599410919749</v>
      </c>
      <c r="M358" s="75" t="n">
        <f aca="false">(1+Opex_Esc)^M343</f>
        <v>0.951814396192743</v>
      </c>
      <c r="N358" s="75" t="n">
        <f aca="false">(1+Opex_Esc)^N343</f>
        <v>0.975609756097561</v>
      </c>
      <c r="O358" s="75" t="n">
        <f aca="false">(1+Opex_Esc)^O343</f>
        <v>1</v>
      </c>
      <c r="P358" s="75" t="n">
        <f aca="false">(1+Opex_Esc)^P343</f>
        <v>1.025</v>
      </c>
      <c r="Q358" s="75" t="n">
        <f aca="false">(1+Opex_Esc)^Q343</f>
        <v>1.050625</v>
      </c>
      <c r="R358" s="75" t="n">
        <f aca="false">(1+Opex_Esc)^R343</f>
        <v>1.076890625</v>
      </c>
      <c r="S358" s="75" t="n">
        <f aca="false">(1+Opex_Esc)^S343</f>
        <v>1.103812890625</v>
      </c>
      <c r="T358" s="75" t="n">
        <f aca="false">(1+Opex_Esc)^T343</f>
        <v>1.13140821289062</v>
      </c>
      <c r="U358" s="75" t="n">
        <f aca="false">(1+Opex_Esc)^U343</f>
        <v>1.15969341821289</v>
      </c>
      <c r="V358" s="75" t="n">
        <f aca="false">(1+Opex_Esc)^V343</f>
        <v>1.18868575366821</v>
      </c>
      <c r="W358" s="75" t="n">
        <f aca="false">(1+Opex_Esc)^W343</f>
        <v>1.21840289750992</v>
      </c>
      <c r="X358" s="75" t="n">
        <f aca="false">(1+Opex_Esc)^X343</f>
        <v>1.24886296994767</v>
      </c>
      <c r="Y358" s="75" t="n">
        <f aca="false">(1+Opex_Esc)^Y343</f>
        <v>1.28008454419636</v>
      </c>
      <c r="Z358" s="75" t="n">
        <f aca="false">(1+Opex_Esc)^Z343</f>
        <v>1.31208665780127</v>
      </c>
      <c r="AA358" s="75" t="n">
        <f aca="false">(1+Opex_Esc)^AA343</f>
        <v>1.3448888242463</v>
      </c>
      <c r="AB358" s="75" t="n">
        <f aca="false">(1+Opex_Esc)^AB343</f>
        <v>1.37851104485245</v>
      </c>
      <c r="AC358" s="75" t="n">
        <f aca="false">(1+Opex_Esc)^AC343</f>
        <v>1.41297382097377</v>
      </c>
      <c r="AD358" s="75" t="n">
        <f aca="false">(1+Opex_Esc)^AD343</f>
        <v>1.44829816649811</v>
      </c>
      <c r="AE358" s="75" t="n">
        <f aca="false">(1+Opex_Esc)^AE343</f>
        <v>1.48450562066056</v>
      </c>
      <c r="AF358" s="75" t="n">
        <f aca="false">(1+Opex_Esc)^AF343</f>
        <v>1.52161826117708</v>
      </c>
      <c r="AG358" s="75" t="n">
        <f aca="false">(1+Opex_Esc)^AG343</f>
        <v>1.5596587177065</v>
      </c>
      <c r="AH358" s="75" t="n">
        <f aca="false">(1+Opex_Esc)^AH343</f>
        <v>1.59865018564917</v>
      </c>
      <c r="AI358" s="75" t="n">
        <f aca="false">(1+Opex_Esc)^AI343</f>
        <v>1.63861644029039</v>
      </c>
      <c r="AJ358" s="75" t="n">
        <f aca="false">(1+Opex_Esc)^AJ343</f>
        <v>1.67958185129765</v>
      </c>
      <c r="AK358" s="75" t="n">
        <f aca="false">(1+Opex_Esc)^AK343</f>
        <v>1.7215713975801</v>
      </c>
      <c r="AL358" s="75" t="n">
        <f aca="false">(1+Opex_Esc)^AL343</f>
        <v>1.7646106825196</v>
      </c>
      <c r="AM358" s="75" t="n">
        <f aca="false">(1+Opex_Esc)^AM343</f>
        <v>1.80872594958259</v>
      </c>
      <c r="AN358" s="75" t="n">
        <f aca="false">(1+Opex_Esc)^AN343</f>
        <v>1.85394409832215</v>
      </c>
      <c r="AO358" s="75" t="n">
        <f aca="false">(1+Opex_Esc)^AO343</f>
        <v>1.90029270078021</v>
      </c>
      <c r="AP358" s="75" t="n">
        <f aca="false">(1+Opex_Esc)^AP343</f>
        <v>1.94780001829971</v>
      </c>
      <c r="AQ358" s="75" t="n">
        <f aca="false">(1+Opex_Esc)^AQ343</f>
        <v>1.9964950187572</v>
      </c>
      <c r="AR358" s="75" t="n">
        <f aca="false">(1+Opex_Esc)^AR343</f>
        <v>2.04640739422613</v>
      </c>
      <c r="AS358" s="75" t="n">
        <f aca="false">(1+Opex_Esc)^AS343</f>
        <v>2.09756757908179</v>
      </c>
    </row>
    <row r="359" customFormat="false" ht="14.25" hidden="false" customHeight="false" outlineLevel="0" collapsed="false">
      <c r="C359" s="6" t="s">
        <v>296</v>
      </c>
      <c r="D359" s="2" t="s">
        <v>85</v>
      </c>
      <c r="H359" s="8" t="n">
        <f aca="false">SUM(J359:AS359)</f>
        <v>-60009.5073862969</v>
      </c>
      <c r="J359" s="8" t="n">
        <f aca="false">-(Case_OM+SUM(Opex_Per_MW))*$E$46*J358*J347</f>
        <v>-0</v>
      </c>
      <c r="K359" s="8" t="n">
        <f aca="false">-(Case_OM+SUM(Opex_Per_MW))*$E$46*K358*K347</f>
        <v>-0</v>
      </c>
      <c r="L359" s="8" t="n">
        <f aca="false">-(Case_OM+SUM(Opex_Per_MW))*$E$46*L358*L347</f>
        <v>-0</v>
      </c>
      <c r="M359" s="8" t="n">
        <f aca="false">-(Case_OM+SUM(Opex_Per_MW))*$E$46*M358*M347</f>
        <v>-0</v>
      </c>
      <c r="N359" s="8" t="n">
        <f aca="false">-(Case_OM+SUM(Opex_Per_MW))*$E$46*N358*N347</f>
        <v>-0</v>
      </c>
      <c r="O359" s="8" t="n">
        <f aca="false">-(Case_OM+SUM(Opex_Per_MW))*$E$46*O358*O347</f>
        <v>-675</v>
      </c>
      <c r="P359" s="8" t="n">
        <f aca="false">-(Case_OM+SUM(Opex_Per_MW))*$E$46*P358*P347</f>
        <v>-1383.75</v>
      </c>
      <c r="Q359" s="8" t="n">
        <f aca="false">-(Case_OM+SUM(Opex_Per_MW))*$E$46*Q358*Q347</f>
        <v>-1418.34375</v>
      </c>
      <c r="R359" s="8" t="n">
        <f aca="false">-(Case_OM+SUM(Opex_Per_MW))*$E$46*R358*R347</f>
        <v>-1453.80234375</v>
      </c>
      <c r="S359" s="8" t="n">
        <f aca="false">-(Case_OM+SUM(Opex_Per_MW))*$E$46*S358*S347</f>
        <v>-1490.14740234375</v>
      </c>
      <c r="T359" s="8" t="n">
        <f aca="false">-(Case_OM+SUM(Opex_Per_MW))*$E$46*T358*T347</f>
        <v>-1527.40108740234</v>
      </c>
      <c r="U359" s="8" t="n">
        <f aca="false">-(Case_OM+SUM(Opex_Per_MW))*$E$46*U358*U347</f>
        <v>-1565.5861145874</v>
      </c>
      <c r="V359" s="8" t="n">
        <f aca="false">-(Case_OM+SUM(Opex_Per_MW))*$E$46*V358*V347</f>
        <v>-1604.72576745209</v>
      </c>
      <c r="W359" s="8" t="n">
        <f aca="false">-(Case_OM+SUM(Opex_Per_MW))*$E$46*W358*W347</f>
        <v>-1644.84391163839</v>
      </c>
      <c r="X359" s="8" t="n">
        <f aca="false">-(Case_OM+SUM(Opex_Per_MW))*$E$46*X358*X347</f>
        <v>-1685.96500942935</v>
      </c>
      <c r="Y359" s="8" t="n">
        <f aca="false">-(Case_OM+SUM(Opex_Per_MW))*$E$46*Y358*Y347</f>
        <v>-1728.11413466508</v>
      </c>
      <c r="Z359" s="8" t="n">
        <f aca="false">-(Case_OM+SUM(Opex_Per_MW))*$E$46*Z358*Z347</f>
        <v>-1771.31698803171</v>
      </c>
      <c r="AA359" s="8" t="n">
        <f aca="false">-(Case_OM+SUM(Opex_Per_MW))*$E$46*AA358*AA347</f>
        <v>-1815.5999127325</v>
      </c>
      <c r="AB359" s="8" t="n">
        <f aca="false">-(Case_OM+SUM(Opex_Per_MW))*$E$46*AB358*AB347</f>
        <v>-1860.98991055081</v>
      </c>
      <c r="AC359" s="8" t="n">
        <f aca="false">-(Case_OM+SUM(Opex_Per_MW))*$E$46*AC358*AC347</f>
        <v>-1907.51465831458</v>
      </c>
      <c r="AD359" s="8" t="n">
        <f aca="false">-(Case_OM+SUM(Opex_Per_MW))*$E$46*AD358*AD347</f>
        <v>-1955.20252477245</v>
      </c>
      <c r="AE359" s="8" t="n">
        <f aca="false">-(Case_OM+SUM(Opex_Per_MW))*$E$46*AE358*AE347</f>
        <v>-2004.08258789176</v>
      </c>
      <c r="AF359" s="8" t="n">
        <f aca="false">-(Case_OM+SUM(Opex_Per_MW))*$E$46*AF358*AF347</f>
        <v>-2054.18465258905</v>
      </c>
      <c r="AG359" s="8" t="n">
        <f aca="false">-(Case_OM+SUM(Opex_Per_MW))*$E$46*AG358*AG347</f>
        <v>-2105.53926890378</v>
      </c>
      <c r="AH359" s="8" t="n">
        <f aca="false">-(Case_OM+SUM(Opex_Per_MW))*$E$46*AH358*AH347</f>
        <v>-2158.17775062637</v>
      </c>
      <c r="AI359" s="8" t="n">
        <f aca="false">-(Case_OM+SUM(Opex_Per_MW))*$E$46*AI358*AI347</f>
        <v>-2212.13219439203</v>
      </c>
      <c r="AJ359" s="8" t="n">
        <f aca="false">-(Case_OM+SUM(Opex_Per_MW))*$E$46*AJ358*AJ347</f>
        <v>-2267.43549925183</v>
      </c>
      <c r="AK359" s="8" t="n">
        <f aca="false">-(Case_OM+SUM(Opex_Per_MW))*$E$46*AK358*AK347</f>
        <v>-2324.12138673313</v>
      </c>
      <c r="AL359" s="8" t="n">
        <f aca="false">-(Case_OM+SUM(Opex_Per_MW))*$E$46*AL358*AL347</f>
        <v>-2382.22442140146</v>
      </c>
      <c r="AM359" s="8" t="n">
        <f aca="false">-(Case_OM+SUM(Opex_Per_MW))*$E$46*AM358*AM347</f>
        <v>-2441.78003193649</v>
      </c>
      <c r="AN359" s="8" t="n">
        <f aca="false">-(Case_OM+SUM(Opex_Per_MW))*$E$46*AN358*AN347</f>
        <v>-2502.82453273491</v>
      </c>
      <c r="AO359" s="8" t="n">
        <f aca="false">-(Case_OM+SUM(Opex_Per_MW))*$E$46*AO358*AO347</f>
        <v>-2565.39514605328</v>
      </c>
      <c r="AP359" s="8" t="n">
        <f aca="false">-(Case_OM+SUM(Opex_Per_MW))*$E$46*AP358*AP347</f>
        <v>-2629.53002470461</v>
      </c>
      <c r="AQ359" s="8" t="n">
        <f aca="false">-(Case_OM+SUM(Opex_Per_MW))*$E$46*AQ358*AQ347</f>
        <v>-2695.26827532222</v>
      </c>
      <c r="AR359" s="8" t="n">
        <f aca="false">-(Case_OM+SUM(Opex_Per_MW))*$E$46*AR358*AR347</f>
        <v>-2762.64998220528</v>
      </c>
      <c r="AS359" s="8" t="n">
        <f aca="false">-(Case_OM+SUM(Opex_Per_MW))*$E$46*AS358*AS347</f>
        <v>-1415.85811588021</v>
      </c>
    </row>
    <row r="360" customFormat="false" ht="14.25" hidden="false" customHeight="false" outlineLevel="0" collapsed="false">
      <c r="C360" s="6" t="s">
        <v>297</v>
      </c>
      <c r="D360" s="2" t="s">
        <v>85</v>
      </c>
      <c r="H360" s="8" t="n">
        <f aca="false">SUM(J360:AS360)</f>
        <v>-1666.93076073047</v>
      </c>
      <c r="J360" s="8" t="n">
        <f aca="false">-Opex_Admin*$E$6/Lump_Basis*J358*J347</f>
        <v>-0</v>
      </c>
      <c r="K360" s="8" t="n">
        <f aca="false">-Opex_Admin*$E$6/Lump_Basis*K358*K347</f>
        <v>-0</v>
      </c>
      <c r="L360" s="8" t="n">
        <f aca="false">-Opex_Admin*$E$6/Lump_Basis*L358*L347</f>
        <v>-0</v>
      </c>
      <c r="M360" s="8" t="n">
        <f aca="false">-Opex_Admin*$E$6/Lump_Basis*M358*M347</f>
        <v>-0</v>
      </c>
      <c r="N360" s="8" t="n">
        <f aca="false">-Opex_Admin*$E$6/Lump_Basis*N358*N347</f>
        <v>-0</v>
      </c>
      <c r="O360" s="8" t="n">
        <f aca="false">-Opex_Admin*$E$6/Lump_Basis*O358*O347</f>
        <v>-18.75</v>
      </c>
      <c r="P360" s="8" t="n">
        <f aca="false">-Opex_Admin*$E$6/Lump_Basis*P358*P347</f>
        <v>-38.4375</v>
      </c>
      <c r="Q360" s="8" t="n">
        <f aca="false">-Opex_Admin*$E$6/Lump_Basis*Q358*Q347</f>
        <v>-39.3984375</v>
      </c>
      <c r="R360" s="8" t="n">
        <f aca="false">-Opex_Admin*$E$6/Lump_Basis*R358*R347</f>
        <v>-40.3833984375</v>
      </c>
      <c r="S360" s="8" t="n">
        <f aca="false">-Opex_Admin*$E$6/Lump_Basis*S358*S347</f>
        <v>-41.3929833984375</v>
      </c>
      <c r="T360" s="8" t="n">
        <f aca="false">-Opex_Admin*$E$6/Lump_Basis*T358*T347</f>
        <v>-42.4278079833984</v>
      </c>
      <c r="U360" s="8" t="n">
        <f aca="false">-Opex_Admin*$E$6/Lump_Basis*U358*U347</f>
        <v>-43.4885031829834</v>
      </c>
      <c r="V360" s="8" t="n">
        <f aca="false">-Opex_Admin*$E$6/Lump_Basis*V358*V347</f>
        <v>-44.575715762558</v>
      </c>
      <c r="W360" s="8" t="n">
        <f aca="false">-Opex_Admin*$E$6/Lump_Basis*W358*W347</f>
        <v>-45.6901086566219</v>
      </c>
      <c r="X360" s="8" t="n">
        <f aca="false">-Opex_Admin*$E$6/Lump_Basis*X358*X347</f>
        <v>-46.8323613730374</v>
      </c>
      <c r="Y360" s="8" t="n">
        <f aca="false">-Opex_Admin*$E$6/Lump_Basis*Y358*Y347</f>
        <v>-48.0031704073634</v>
      </c>
      <c r="Z360" s="8" t="n">
        <f aca="false">-Opex_Admin*$E$6/Lump_Basis*Z358*Z347</f>
        <v>-49.2032496675475</v>
      </c>
      <c r="AA360" s="8" t="n">
        <f aca="false">-Opex_Admin*$E$6/Lump_Basis*AA358*AA347</f>
        <v>-50.4333309092361</v>
      </c>
      <c r="AB360" s="8" t="n">
        <f aca="false">-Opex_Admin*$E$6/Lump_Basis*AB358*AB347</f>
        <v>-51.694164181967</v>
      </c>
      <c r="AC360" s="8" t="n">
        <f aca="false">-Opex_Admin*$E$6/Lump_Basis*AC358*AC347</f>
        <v>-52.9865182865162</v>
      </c>
      <c r="AD360" s="8" t="n">
        <f aca="false">-Opex_Admin*$E$6/Lump_Basis*AD358*AD347</f>
        <v>-54.3111812436791</v>
      </c>
      <c r="AE360" s="8" t="n">
        <f aca="false">-Opex_Admin*$E$6/Lump_Basis*AE358*AE347</f>
        <v>-55.6689607747711</v>
      </c>
      <c r="AF360" s="8" t="n">
        <f aca="false">-Opex_Admin*$E$6/Lump_Basis*AF358*AF347</f>
        <v>-57.0606847941404</v>
      </c>
      <c r="AG360" s="8" t="n">
        <f aca="false">-Opex_Admin*$E$6/Lump_Basis*AG358*AG347</f>
        <v>-58.4872019139939</v>
      </c>
      <c r="AH360" s="8" t="n">
        <f aca="false">-Opex_Admin*$E$6/Lump_Basis*AH358*AH347</f>
        <v>-59.9493819618437</v>
      </c>
      <c r="AI360" s="8" t="n">
        <f aca="false">-Opex_Admin*$E$6/Lump_Basis*AI358*AI347</f>
        <v>-61.4481165108898</v>
      </c>
      <c r="AJ360" s="8" t="n">
        <f aca="false">-Opex_Admin*$E$6/Lump_Basis*AJ358*AJ347</f>
        <v>-62.984319423662</v>
      </c>
      <c r="AK360" s="8" t="n">
        <f aca="false">-Opex_Admin*$E$6/Lump_Basis*AK358*AK347</f>
        <v>-64.5589274092536</v>
      </c>
      <c r="AL360" s="8" t="n">
        <f aca="false">-Opex_Admin*$E$6/Lump_Basis*AL358*AL347</f>
        <v>-66.1729005944849</v>
      </c>
      <c r="AM360" s="8" t="n">
        <f aca="false">-Opex_Admin*$E$6/Lump_Basis*AM358*AM347</f>
        <v>-67.827223109347</v>
      </c>
      <c r="AN360" s="8" t="n">
        <f aca="false">-Opex_Admin*$E$6/Lump_Basis*AN358*AN347</f>
        <v>-69.5229036870807</v>
      </c>
      <c r="AO360" s="8" t="n">
        <f aca="false">-Opex_Admin*$E$6/Lump_Basis*AO358*AO347</f>
        <v>-71.2609762792577</v>
      </c>
      <c r="AP360" s="8" t="n">
        <f aca="false">-Opex_Admin*$E$6/Lump_Basis*AP358*AP347</f>
        <v>-73.0425006862391</v>
      </c>
      <c r="AQ360" s="8" t="n">
        <f aca="false">-Opex_Admin*$E$6/Lump_Basis*AQ358*AQ347</f>
        <v>-74.8685632033951</v>
      </c>
      <c r="AR360" s="8" t="n">
        <f aca="false">-Opex_Admin*$E$6/Lump_Basis*AR358*AR347</f>
        <v>-76.74027728348</v>
      </c>
      <c r="AS360" s="8" t="n">
        <f aca="false">-Opex_Admin*$E$6/Lump_Basis*AS358*AS347</f>
        <v>-39.3293921077835</v>
      </c>
    </row>
    <row r="361" customFormat="false" ht="14.25" hidden="false" customHeight="false" outlineLevel="0" collapsed="false">
      <c r="C361" s="6" t="s">
        <v>298</v>
      </c>
      <c r="D361" s="2" t="s">
        <v>85</v>
      </c>
      <c r="H361" s="8" t="n">
        <f aca="false">SUM(J361:AS361)</f>
        <v>-26924.5113148159</v>
      </c>
      <c r="J361" s="8" t="n">
        <f aca="false">-J355*(Balancing+Grid_Charges)*J358</f>
        <v>-0</v>
      </c>
      <c r="K361" s="8" t="n">
        <f aca="false">-K355*(Balancing+Grid_Charges)*K358</f>
        <v>-0</v>
      </c>
      <c r="L361" s="8" t="n">
        <f aca="false">-L355*(Balancing+Grid_Charges)*L358</f>
        <v>-0</v>
      </c>
      <c r="M361" s="8" t="n">
        <f aca="false">-M355*(Balancing+Grid_Charges)*M358</f>
        <v>-0</v>
      </c>
      <c r="N361" s="8" t="n">
        <f aca="false">-N355*(Balancing+Grid_Charges)*N358</f>
        <v>-0</v>
      </c>
      <c r="O361" s="8" t="n">
        <f aca="false">-O355*(Balancing+Grid_Charges)*O358</f>
        <v>-317.52</v>
      </c>
      <c r="P361" s="8" t="n">
        <f aca="false">-P355*(Balancing+Grid_Charges)*P358</f>
        <v>-650.916</v>
      </c>
      <c r="Q361" s="8" t="n">
        <f aca="false">-Q355*(Balancing+Grid_Charges)*Q358</f>
        <v>-665.1873333</v>
      </c>
      <c r="R361" s="8" t="n">
        <f aca="false">-R355*(Balancing+Grid_Charges)*R358</f>
        <v>-679.771565582602</v>
      </c>
      <c r="S361" s="8" t="n">
        <f aca="false">-S355*(Balancing+Grid_Charges)*S358</f>
        <v>-694.675557158001</v>
      </c>
      <c r="T361" s="8" t="n">
        <f aca="false">-T355*(Balancing+Grid_Charges)*T358</f>
        <v>-709.90631874869</v>
      </c>
      <c r="U361" s="8" t="n">
        <f aca="false">-U355*(Balancing+Grid_Charges)*U358</f>
        <v>-725.471014787255</v>
      </c>
      <c r="V361" s="8" t="n">
        <f aca="false">-V355*(Balancing+Grid_Charges)*V358</f>
        <v>-741.376966786466</v>
      </c>
      <c r="W361" s="8" t="n">
        <f aca="false">-W355*(Balancing+Grid_Charges)*W358</f>
        <v>-757.631656783258</v>
      </c>
      <c r="X361" s="8" t="n">
        <f aca="false">-X355*(Balancing+Grid_Charges)*X358</f>
        <v>-774.242730858232</v>
      </c>
      <c r="Y361" s="8" t="n">
        <f aca="false">-Y355*(Balancing+Grid_Charges)*Y358</f>
        <v>-791.218002732298</v>
      </c>
      <c r="Z361" s="8" t="n">
        <f aca="false">-Z355*(Balancing+Grid_Charges)*Z358</f>
        <v>-808.565457442204</v>
      </c>
      <c r="AA361" s="8" t="n">
        <f aca="false">-AA355*(Balancing+Grid_Charges)*AA358</f>
        <v>-826.293255096624</v>
      </c>
      <c r="AB361" s="8" t="n">
        <f aca="false">-AB355*(Balancing+Grid_Charges)*AB358</f>
        <v>-844.409734714617</v>
      </c>
      <c r="AC361" s="8" t="n">
        <f aca="false">-AC355*(Balancing+Grid_Charges)*AC358</f>
        <v>-862.923418148235</v>
      </c>
      <c r="AD361" s="8" t="n">
        <f aca="false">-AD355*(Balancing+Grid_Charges)*AD358</f>
        <v>-881.843014091135</v>
      </c>
      <c r="AE361" s="8" t="n">
        <f aca="false">-AE355*(Balancing+Grid_Charges)*AE358</f>
        <v>-901.177422175083</v>
      </c>
      <c r="AF361" s="8" t="n">
        <f aca="false">-AF355*(Balancing+Grid_Charges)*AF358</f>
        <v>-920.935737156272</v>
      </c>
      <c r="AG361" s="8" t="n">
        <f aca="false">-AG355*(Balancing+Grid_Charges)*AG358</f>
        <v>-941.127253193423</v>
      </c>
      <c r="AH361" s="8" t="n">
        <f aca="false">-AH355*(Balancing+Grid_Charges)*AH358</f>
        <v>-961.761468219689</v>
      </c>
      <c r="AI361" s="8" t="n">
        <f aca="false">-AI355*(Balancing+Grid_Charges)*AI358</f>
        <v>-982.848088410405</v>
      </c>
      <c r="AJ361" s="8" t="n">
        <f aca="false">-AJ355*(Balancing+Grid_Charges)*AJ358</f>
        <v>-1004.3970327488</v>
      </c>
      <c r="AK361" s="8" t="n">
        <f aca="false">-AK355*(Balancing+Grid_Charges)*AK358</f>
        <v>-1026.41843769182</v>
      </c>
      <c r="AL361" s="8" t="n">
        <f aca="false">-AL355*(Balancing+Grid_Charges)*AL358</f>
        <v>-1048.92266193821</v>
      </c>
      <c r="AM361" s="8" t="n">
        <f aca="false">-AM355*(Balancing+Grid_Charges)*AM358</f>
        <v>-1071.92029130121</v>
      </c>
      <c r="AN361" s="8" t="n">
        <f aca="false">-AN355*(Balancing+Grid_Charges)*AN358</f>
        <v>-1095.42214368799</v>
      </c>
      <c r="AO361" s="8" t="n">
        <f aca="false">-AO355*(Balancing+Grid_Charges)*AO358</f>
        <v>-1119.43927418835</v>
      </c>
      <c r="AP361" s="8" t="n">
        <f aca="false">-AP355*(Balancing+Grid_Charges)*AP358</f>
        <v>-1143.98298027493</v>
      </c>
      <c r="AQ361" s="8" t="n">
        <f aca="false">-AQ355*(Balancing+Grid_Charges)*AQ358</f>
        <v>-1169.06480711745</v>
      </c>
      <c r="AR361" s="8" t="n">
        <f aca="false">-AR355*(Balancing+Grid_Charges)*AR358</f>
        <v>-1194.6965530135</v>
      </c>
      <c r="AS361" s="8" t="n">
        <f aca="false">-AS355*(Balancing+Grid_Charges)*AS358</f>
        <v>-610.445137469163</v>
      </c>
    </row>
    <row r="362" customFormat="false" ht="14.25" hidden="false" customHeight="false" outlineLevel="0" collapsed="false">
      <c r="C362" s="6" t="s">
        <v>299</v>
      </c>
      <c r="D362" s="2" t="s">
        <v>85</v>
      </c>
      <c r="H362" s="8" t="n">
        <f aca="false">SUM(J362:AS362)</f>
        <v>-382.397730625247</v>
      </c>
      <c r="J362" s="8" t="n">
        <f aca="false">-J357*MEKH_Fee</f>
        <v>-0</v>
      </c>
      <c r="K362" s="8" t="n">
        <f aca="false">-K357*MEKH_Fee</f>
        <v>-0</v>
      </c>
      <c r="L362" s="8" t="n">
        <f aca="false">-L357*MEKH_Fee</f>
        <v>-0</v>
      </c>
      <c r="M362" s="8" t="n">
        <f aca="false">-M357*MEKH_Fee</f>
        <v>-0</v>
      </c>
      <c r="N362" s="8" t="n">
        <f aca="false">-N357*MEKH_Fee</f>
        <v>-0</v>
      </c>
      <c r="O362" s="8" t="n">
        <f aca="false">-O357*MEKH_Fee</f>
        <v>-5.71536</v>
      </c>
      <c r="P362" s="8" t="n">
        <f aca="false">-P357*MEKH_Fee</f>
        <v>-11.5450272</v>
      </c>
      <c r="Q362" s="8" t="n">
        <f aca="false">-Q357*MEKH_Fee</f>
        <v>-11.625496039584</v>
      </c>
      <c r="R362" s="8" t="n">
        <f aca="false">-R357*MEKH_Fee</f>
        <v>-11.7065257469799</v>
      </c>
      <c r="S362" s="8" t="n">
        <f aca="false">-S357*MEKH_Fee</f>
        <v>-11.7881202314363</v>
      </c>
      <c r="T362" s="8" t="n">
        <f aca="false">-T357*MEKH_Fee</f>
        <v>-11.8702834294495</v>
      </c>
      <c r="U362" s="8" t="n">
        <f aca="false">-U357*MEKH_Fee</f>
        <v>-11.9530193049527</v>
      </c>
      <c r="V362" s="8" t="n">
        <f aca="false">-V357*MEKH_Fee</f>
        <v>-12.0363318495082</v>
      </c>
      <c r="W362" s="8" t="n">
        <f aca="false">-W357*MEKH_Fee</f>
        <v>-12.1202250824993</v>
      </c>
      <c r="X362" s="8" t="n">
        <f aca="false">-X357*MEKH_Fee</f>
        <v>-12.2047030513243</v>
      </c>
      <c r="Y362" s="8" t="n">
        <f aca="false">-Y357*MEKH_Fee</f>
        <v>-12.2897698315921</v>
      </c>
      <c r="Z362" s="8" t="n">
        <f aca="false">-Z357*MEKH_Fee</f>
        <v>-12.3754295273183</v>
      </c>
      <c r="AA362" s="8" t="n">
        <f aca="false">-AA357*MEKH_Fee</f>
        <v>-12.4616862711237</v>
      </c>
      <c r="AB362" s="8" t="n">
        <f aca="false">-AB357*MEKH_Fee</f>
        <v>-12.5485442244334</v>
      </c>
      <c r="AC362" s="8" t="n">
        <f aca="false">-AC357*MEKH_Fee</f>
        <v>-12.6360075776777</v>
      </c>
      <c r="AD362" s="8" t="n">
        <f aca="false">-AD357*MEKH_Fee</f>
        <v>-12.7240805504941</v>
      </c>
      <c r="AE362" s="8" t="n">
        <f aca="false">-AE357*MEKH_Fee</f>
        <v>-12.8127673919311</v>
      </c>
      <c r="AF362" s="8" t="n">
        <f aca="false">-AF357*MEKH_Fee</f>
        <v>-12.9020723806528</v>
      </c>
      <c r="AG362" s="8" t="n">
        <f aca="false">-AG357*MEKH_Fee</f>
        <v>-12.991999825146</v>
      </c>
      <c r="AH362" s="8" t="n">
        <f aca="false">-AH357*MEKH_Fee</f>
        <v>-13.0825540639272</v>
      </c>
      <c r="AI362" s="8" t="n">
        <f aca="false">-AI357*MEKH_Fee</f>
        <v>-13.1737394657528</v>
      </c>
      <c r="AJ362" s="8" t="n">
        <f aca="false">-AJ357*MEKH_Fee</f>
        <v>-13.2655604298291</v>
      </c>
      <c r="AK362" s="8" t="n">
        <f aca="false">-AK357*MEKH_Fee</f>
        <v>-13.358021386025</v>
      </c>
      <c r="AL362" s="8" t="n">
        <f aca="false">-AL357*MEKH_Fee</f>
        <v>-13.4511267950856</v>
      </c>
      <c r="AM362" s="8" t="n">
        <f aca="false">-AM357*MEKH_Fee</f>
        <v>-13.5448811488474</v>
      </c>
      <c r="AN362" s="8" t="n">
        <f aca="false">-AN357*MEKH_Fee</f>
        <v>-13.6392889704548</v>
      </c>
      <c r="AO362" s="8" t="n">
        <f aca="false">-AO357*MEKH_Fee</f>
        <v>-13.7343548145789</v>
      </c>
      <c r="AP362" s="8" t="n">
        <f aca="false">-AP357*MEKH_Fee</f>
        <v>-13.8300832676365</v>
      </c>
      <c r="AQ362" s="8" t="n">
        <f aca="false">-AQ357*MEKH_Fee</f>
        <v>-13.9264789480119</v>
      </c>
      <c r="AR362" s="8" t="n">
        <f aca="false">-AR357*MEKH_Fee</f>
        <v>-14.0235465062796</v>
      </c>
      <c r="AS362" s="8" t="n">
        <f aca="false">-AS357*MEKH_Fee</f>
        <v>-7.06064531271418</v>
      </c>
    </row>
    <row r="363" customFormat="false" ht="14.25" hidden="false" customHeight="false" outlineLevel="0" collapsed="false">
      <c r="C363" s="6" t="s">
        <v>300</v>
      </c>
      <c r="D363" s="2" t="s">
        <v>85</v>
      </c>
      <c r="H363" s="8" t="n">
        <f aca="false">SUM(J363:AS363)</f>
        <v>-4449.16735962342</v>
      </c>
      <c r="J363" s="8" t="n">
        <f aca="false">SUM(J359:J362)*Opex_Cont</f>
        <v>0</v>
      </c>
      <c r="K363" s="8" t="n">
        <f aca="false">SUM(K359:K362)*Opex_Cont</f>
        <v>0</v>
      </c>
      <c r="L363" s="8" t="n">
        <f aca="false">SUM(L359:L362)*Opex_Cont</f>
        <v>0</v>
      </c>
      <c r="M363" s="8" t="n">
        <f aca="false">SUM(M359:M362)*Opex_Cont</f>
        <v>0</v>
      </c>
      <c r="N363" s="8" t="n">
        <f aca="false">SUM(N359:N362)*Opex_Cont</f>
        <v>0</v>
      </c>
      <c r="O363" s="8" t="n">
        <f aca="false">SUM(O359:O362)*Opex_Cont</f>
        <v>-50.849268</v>
      </c>
      <c r="P363" s="8" t="n">
        <f aca="false">SUM(P359:P362)*Opex_Cont</f>
        <v>-104.23242636</v>
      </c>
      <c r="Q363" s="8" t="n">
        <f aca="false">SUM(Q359:Q362)*Opex_Cont</f>
        <v>-106.727750841979</v>
      </c>
      <c r="R363" s="8" t="n">
        <f aca="false">SUM(R359:R362)*Opex_Cont</f>
        <v>-109.283191675854</v>
      </c>
      <c r="S363" s="8" t="n">
        <f aca="false">SUM(S359:S362)*Opex_Cont</f>
        <v>-111.900203156581</v>
      </c>
      <c r="T363" s="8" t="n">
        <f aca="false">SUM(T359:T362)*Opex_Cont</f>
        <v>-114.580274878194</v>
      </c>
      <c r="U363" s="8" t="n">
        <f aca="false">SUM(U359:U362)*Opex_Cont</f>
        <v>-117.32493259313</v>
      </c>
      <c r="V363" s="8" t="n">
        <f aca="false">SUM(V359:V362)*Opex_Cont</f>
        <v>-120.135739092531</v>
      </c>
      <c r="W363" s="8" t="n">
        <f aca="false">SUM(W359:W362)*Opex_Cont</f>
        <v>-123.014295108038</v>
      </c>
      <c r="X363" s="8" t="n">
        <f aca="false">SUM(X359:X362)*Opex_Cont</f>
        <v>-125.962240235597</v>
      </c>
      <c r="Y363" s="8" t="n">
        <f aca="false">SUM(Y359:Y362)*Opex_Cont</f>
        <v>-128.981253881817</v>
      </c>
      <c r="Z363" s="8" t="n">
        <f aca="false">SUM(Z359:Z362)*Opex_Cont</f>
        <v>-132.073056233439</v>
      </c>
      <c r="AA363" s="8" t="n">
        <f aca="false">SUM(AA359:AA362)*Opex_Cont</f>
        <v>-135.239409250474</v>
      </c>
      <c r="AB363" s="8" t="n">
        <f aca="false">SUM(AB359:AB362)*Opex_Cont</f>
        <v>-138.482117683592</v>
      </c>
      <c r="AC363" s="8" t="n">
        <f aca="false">SUM(AC359:AC362)*Opex_Cont</f>
        <v>-141.803030116351</v>
      </c>
      <c r="AD363" s="8" t="n">
        <f aca="false">SUM(AD359:AD362)*Opex_Cont</f>
        <v>-145.204040032888</v>
      </c>
      <c r="AE363" s="8" t="n">
        <f aca="false">SUM(AE359:AE362)*Opex_Cont</f>
        <v>-148.687086911677</v>
      </c>
      <c r="AF363" s="8" t="n">
        <f aca="false">SUM(AF359:AF362)*Opex_Cont</f>
        <v>-152.254157346006</v>
      </c>
      <c r="AG363" s="8" t="n">
        <f aca="false">SUM(AG359:AG362)*Opex_Cont</f>
        <v>-155.907286191817</v>
      </c>
      <c r="AH363" s="8" t="n">
        <f aca="false">SUM(AH359:AH362)*Opex_Cont</f>
        <v>-159.648557743592</v>
      </c>
      <c r="AI363" s="8" t="n">
        <f aca="false">SUM(AI359:AI362)*Opex_Cont</f>
        <v>-163.480106938954</v>
      </c>
      <c r="AJ363" s="8" t="n">
        <f aca="false">SUM(AJ359:AJ362)*Opex_Cont</f>
        <v>-167.404120592706</v>
      </c>
      <c r="AK363" s="8" t="n">
        <f aca="false">SUM(AK359:AK362)*Opex_Cont</f>
        <v>-171.422838661011</v>
      </c>
      <c r="AL363" s="8" t="n">
        <f aca="false">SUM(AL359:AL362)*Opex_Cont</f>
        <v>-175.538555536462</v>
      </c>
      <c r="AM363" s="8" t="n">
        <f aca="false">SUM(AM359:AM362)*Opex_Cont</f>
        <v>-179.753621374795</v>
      </c>
      <c r="AN363" s="8" t="n">
        <f aca="false">SUM(AN359:AN362)*Opex_Cont</f>
        <v>-184.070443454021</v>
      </c>
      <c r="AO363" s="8" t="n">
        <f aca="false">SUM(AO359:AO362)*Opex_Cont</f>
        <v>-188.491487566773</v>
      </c>
      <c r="AP363" s="8" t="n">
        <f aca="false">SUM(AP359:AP362)*Opex_Cont</f>
        <v>-193.019279446671</v>
      </c>
      <c r="AQ363" s="8" t="n">
        <f aca="false">SUM(AQ359:AQ362)*Opex_Cont</f>
        <v>-197.656406229554</v>
      </c>
      <c r="AR363" s="8" t="n">
        <f aca="false">SUM(AR359:AR362)*Opex_Cont</f>
        <v>-202.405517950427</v>
      </c>
      <c r="AS363" s="8" t="n">
        <f aca="false">SUM(AS359:AS362)*Opex_Cont</f>
        <v>-103.634664538493</v>
      </c>
    </row>
    <row r="364" customFormat="false" ht="14.25" hidden="false" customHeight="false" outlineLevel="0" collapsed="false">
      <c r="C364" s="6" t="s">
        <v>301</v>
      </c>
      <c r="D364" s="2" t="s">
        <v>85</v>
      </c>
      <c r="H364" s="8" t="n">
        <f aca="false">SUM(J364:AS364)</f>
        <v>0</v>
      </c>
      <c r="J364" s="8" t="n">
        <f aca="false">-J355*$E$12</f>
        <v>-0</v>
      </c>
      <c r="K364" s="8" t="n">
        <f aca="false">-K355*$E$12</f>
        <v>-0</v>
      </c>
      <c r="L364" s="8" t="n">
        <f aca="false">-L355*$E$12</f>
        <v>-0</v>
      </c>
      <c r="M364" s="8" t="n">
        <f aca="false">-M355*$E$12</f>
        <v>-0</v>
      </c>
      <c r="N364" s="8" t="n">
        <f aca="false">-N355*$E$12</f>
        <v>-0</v>
      </c>
      <c r="O364" s="8" t="n">
        <f aca="false">-O355*$E$12</f>
        <v>-0</v>
      </c>
      <c r="P364" s="8" t="n">
        <f aca="false">-P355*$E$12</f>
        <v>-0</v>
      </c>
      <c r="Q364" s="8" t="n">
        <f aca="false">-Q355*$E$12</f>
        <v>-0</v>
      </c>
      <c r="R364" s="8" t="n">
        <f aca="false">-R355*$E$12</f>
        <v>-0</v>
      </c>
      <c r="S364" s="8" t="n">
        <f aca="false">-S355*$E$12</f>
        <v>-0</v>
      </c>
      <c r="T364" s="8" t="n">
        <f aca="false">-T355*$E$12</f>
        <v>-0</v>
      </c>
      <c r="U364" s="8" t="n">
        <f aca="false">-U355*$E$12</f>
        <v>-0</v>
      </c>
      <c r="V364" s="8" t="n">
        <f aca="false">-V355*$E$12</f>
        <v>-0</v>
      </c>
      <c r="W364" s="8" t="n">
        <f aca="false">-W355*$E$12</f>
        <v>-0</v>
      </c>
      <c r="X364" s="8" t="n">
        <f aca="false">-X355*$E$12</f>
        <v>-0</v>
      </c>
      <c r="Y364" s="8" t="n">
        <f aca="false">-Y355*$E$12</f>
        <v>-0</v>
      </c>
      <c r="Z364" s="8" t="n">
        <f aca="false">-Z355*$E$12</f>
        <v>-0</v>
      </c>
      <c r="AA364" s="8" t="n">
        <f aca="false">-AA355*$E$12</f>
        <v>-0</v>
      </c>
      <c r="AB364" s="8" t="n">
        <f aca="false">-AB355*$E$12</f>
        <v>-0</v>
      </c>
      <c r="AC364" s="8" t="n">
        <f aca="false">-AC355*$E$12</f>
        <v>-0</v>
      </c>
      <c r="AD364" s="8" t="n">
        <f aca="false">-AD355*$E$12</f>
        <v>-0</v>
      </c>
      <c r="AE364" s="8" t="n">
        <f aca="false">-AE355*$E$12</f>
        <v>-0</v>
      </c>
      <c r="AF364" s="8" t="n">
        <f aca="false">-AF355*$E$12</f>
        <v>-0</v>
      </c>
      <c r="AG364" s="8" t="n">
        <f aca="false">-AG355*$E$12</f>
        <v>-0</v>
      </c>
      <c r="AH364" s="8" t="n">
        <f aca="false">-AH355*$E$12</f>
        <v>-0</v>
      </c>
      <c r="AI364" s="8" t="n">
        <f aca="false">-AI355*$E$12</f>
        <v>-0</v>
      </c>
      <c r="AJ364" s="8" t="n">
        <f aca="false">-AJ355*$E$12</f>
        <v>-0</v>
      </c>
      <c r="AK364" s="8" t="n">
        <f aca="false">-AK355*$E$12</f>
        <v>-0</v>
      </c>
      <c r="AL364" s="8" t="n">
        <f aca="false">-AL355*$E$12</f>
        <v>-0</v>
      </c>
      <c r="AM364" s="8" t="n">
        <f aca="false">-AM355*$E$12</f>
        <v>-0</v>
      </c>
      <c r="AN364" s="8" t="n">
        <f aca="false">-AN355*$E$12</f>
        <v>-0</v>
      </c>
      <c r="AO364" s="8" t="n">
        <f aca="false">-AO355*$E$12</f>
        <v>-0</v>
      </c>
      <c r="AP364" s="8" t="n">
        <f aca="false">-AP355*$E$12</f>
        <v>-0</v>
      </c>
      <c r="AQ364" s="8" t="n">
        <f aca="false">-AQ355*$E$12</f>
        <v>-0</v>
      </c>
      <c r="AR364" s="8" t="n">
        <f aca="false">-AR355*$E$12</f>
        <v>-0</v>
      </c>
      <c r="AS364" s="8" t="n">
        <f aca="false">-AS355*$E$12</f>
        <v>-0</v>
      </c>
    </row>
    <row r="365" customFormat="false" ht="14.25" hidden="false" customHeight="false" outlineLevel="0" collapsed="false">
      <c r="C365" s="6" t="s">
        <v>302</v>
      </c>
      <c r="D365" s="2" t="s">
        <v>85</v>
      </c>
      <c r="H365" s="8" t="n">
        <f aca="false">SUM(J365:AS365)</f>
        <v>-7647.95461250493</v>
      </c>
      <c r="J365" s="8" t="n">
        <f aca="false">-J357*HIPA_Rate</f>
        <v>-0</v>
      </c>
      <c r="K365" s="8" t="n">
        <f aca="false">-K357*HIPA_Rate</f>
        <v>-0</v>
      </c>
      <c r="L365" s="8" t="n">
        <f aca="false">-L357*HIPA_Rate</f>
        <v>-0</v>
      </c>
      <c r="M365" s="8" t="n">
        <f aca="false">-M357*HIPA_Rate</f>
        <v>-0</v>
      </c>
      <c r="N365" s="8" t="n">
        <f aca="false">-N357*HIPA_Rate</f>
        <v>-0</v>
      </c>
      <c r="O365" s="8" t="n">
        <f aca="false">-O357*HIPA_Rate</f>
        <v>-114.3072</v>
      </c>
      <c r="P365" s="8" t="n">
        <f aca="false">-P357*HIPA_Rate</f>
        <v>-230.900544</v>
      </c>
      <c r="Q365" s="8" t="n">
        <f aca="false">-Q357*HIPA_Rate</f>
        <v>-232.50992079168</v>
      </c>
      <c r="R365" s="8" t="n">
        <f aca="false">-R357*HIPA_Rate</f>
        <v>-234.130514939598</v>
      </c>
      <c r="S365" s="8" t="n">
        <f aca="false">-S357*HIPA_Rate</f>
        <v>-235.762404628727</v>
      </c>
      <c r="T365" s="8" t="n">
        <f aca="false">-T357*HIPA_Rate</f>
        <v>-237.405668588989</v>
      </c>
      <c r="U365" s="8" t="n">
        <f aca="false">-U357*HIPA_Rate</f>
        <v>-239.060386099055</v>
      </c>
      <c r="V365" s="8" t="n">
        <f aca="false">-V357*HIPA_Rate</f>
        <v>-240.726636990165</v>
      </c>
      <c r="W365" s="8" t="n">
        <f aca="false">-W357*HIPA_Rate</f>
        <v>-242.404501649986</v>
      </c>
      <c r="X365" s="8" t="n">
        <f aca="false">-X357*HIPA_Rate</f>
        <v>-244.094061026487</v>
      </c>
      <c r="Y365" s="8" t="n">
        <f aca="false">-Y357*HIPA_Rate</f>
        <v>-245.795396631841</v>
      </c>
      <c r="Z365" s="8" t="n">
        <f aca="false">-Z357*HIPA_Rate</f>
        <v>-247.508590546365</v>
      </c>
      <c r="AA365" s="8" t="n">
        <f aca="false">-AA357*HIPA_Rate</f>
        <v>-249.233725422473</v>
      </c>
      <c r="AB365" s="8" t="n">
        <f aca="false">-AB357*HIPA_Rate</f>
        <v>-250.970884488668</v>
      </c>
      <c r="AC365" s="8" t="n">
        <f aca="false">-AC357*HIPA_Rate</f>
        <v>-252.720151553554</v>
      </c>
      <c r="AD365" s="8" t="n">
        <f aca="false">-AD357*HIPA_Rate</f>
        <v>-254.481611009882</v>
      </c>
      <c r="AE365" s="8" t="n">
        <f aca="false">-AE357*HIPA_Rate</f>
        <v>-256.255347838621</v>
      </c>
      <c r="AF365" s="8" t="n">
        <f aca="false">-AF357*HIPA_Rate</f>
        <v>-258.041447613056</v>
      </c>
      <c r="AG365" s="8" t="n">
        <f aca="false">-AG357*HIPA_Rate</f>
        <v>-259.83999650292</v>
      </c>
      <c r="AH365" s="8" t="n">
        <f aca="false">-AH357*HIPA_Rate</f>
        <v>-261.651081278545</v>
      </c>
      <c r="AI365" s="8" t="n">
        <f aca="false">-AI357*HIPA_Rate</f>
        <v>-263.474789315056</v>
      </c>
      <c r="AJ365" s="8" t="n">
        <f aca="false">-AJ357*HIPA_Rate</f>
        <v>-265.311208596582</v>
      </c>
      <c r="AK365" s="8" t="n">
        <f aca="false">-AK357*HIPA_Rate</f>
        <v>-267.1604277205</v>
      </c>
      <c r="AL365" s="8" t="n">
        <f aca="false">-AL357*HIPA_Rate</f>
        <v>-269.022535901712</v>
      </c>
      <c r="AM365" s="8" t="n">
        <f aca="false">-AM357*HIPA_Rate</f>
        <v>-270.897622976947</v>
      </c>
      <c r="AN365" s="8" t="n">
        <f aca="false">-AN357*HIPA_Rate</f>
        <v>-272.785779409097</v>
      </c>
      <c r="AO365" s="8" t="n">
        <f aca="false">-AO357*HIPA_Rate</f>
        <v>-274.687096291578</v>
      </c>
      <c r="AP365" s="8" t="n">
        <f aca="false">-AP357*HIPA_Rate</f>
        <v>-276.60166535273</v>
      </c>
      <c r="AQ365" s="8" t="n">
        <f aca="false">-AQ357*HIPA_Rate</f>
        <v>-278.529578960239</v>
      </c>
      <c r="AR365" s="8" t="n">
        <f aca="false">-AR357*HIPA_Rate</f>
        <v>-280.470930125592</v>
      </c>
      <c r="AS365" s="8" t="n">
        <f aca="false">-AS357*HIPA_Rate</f>
        <v>-141.212906254284</v>
      </c>
    </row>
    <row r="366" customFormat="false" ht="14.25" hidden="false" customHeight="false" outlineLevel="0" collapsed="false">
      <c r="C366" s="1" t="s">
        <v>303</v>
      </c>
      <c r="D366" s="2" t="s">
        <v>85</v>
      </c>
      <c r="H366" s="32" t="n">
        <f aca="false">SUM(J366:AS366)</f>
        <v>-101080.469164597</v>
      </c>
      <c r="J366" s="32" t="n">
        <f aca="false">SUM(J359:J365)</f>
        <v>0</v>
      </c>
      <c r="K366" s="32" t="n">
        <f aca="false">SUM(K359:K365)</f>
        <v>0</v>
      </c>
      <c r="L366" s="32" t="n">
        <f aca="false">SUM(L359:L365)</f>
        <v>0</v>
      </c>
      <c r="M366" s="32" t="n">
        <f aca="false">SUM(M359:M365)</f>
        <v>0</v>
      </c>
      <c r="N366" s="32" t="n">
        <f aca="false">SUM(N359:N365)</f>
        <v>0</v>
      </c>
      <c r="O366" s="32" t="n">
        <f aca="false">SUM(O359:O365)</f>
        <v>-1182.141828</v>
      </c>
      <c r="P366" s="32" t="n">
        <f aca="false">SUM(P359:P365)</f>
        <v>-2419.78149756</v>
      </c>
      <c r="Q366" s="32" t="n">
        <f aca="false">SUM(Q359:Q365)</f>
        <v>-2473.79268847324</v>
      </c>
      <c r="R366" s="32" t="n">
        <f aca="false">SUM(R359:R365)</f>
        <v>-2529.07754013253</v>
      </c>
      <c r="S366" s="32" t="n">
        <f aca="false">SUM(S359:S365)</f>
        <v>-2585.66667091693</v>
      </c>
      <c r="T366" s="32" t="n">
        <f aca="false">SUM(T359:T365)</f>
        <v>-2643.59144103106</v>
      </c>
      <c r="U366" s="32" t="n">
        <f aca="false">SUM(U359:U365)</f>
        <v>-2702.88397055478</v>
      </c>
      <c r="V366" s="32" t="n">
        <f aca="false">SUM(V359:V365)</f>
        <v>-2763.57715793331</v>
      </c>
      <c r="W366" s="32" t="n">
        <f aca="false">SUM(W359:W365)</f>
        <v>-2825.70469891879</v>
      </c>
      <c r="X366" s="32" t="n">
        <f aca="false">SUM(X359:X365)</f>
        <v>-2889.30110597403</v>
      </c>
      <c r="Y366" s="32" t="n">
        <f aca="false">SUM(Y359:Y365)</f>
        <v>-2954.40172814999</v>
      </c>
      <c r="Z366" s="32" t="n">
        <f aca="false">SUM(Z359:Z365)</f>
        <v>-3021.04277144858</v>
      </c>
      <c r="AA366" s="32" t="n">
        <f aca="false">SUM(AA359:AA365)</f>
        <v>-3089.26131968243</v>
      </c>
      <c r="AB366" s="32" t="n">
        <f aca="false">SUM(AB359:AB365)</f>
        <v>-3159.09535584409</v>
      </c>
      <c r="AC366" s="32" t="n">
        <f aca="false">SUM(AC359:AC365)</f>
        <v>-3230.58378399692</v>
      </c>
      <c r="AD366" s="32" t="n">
        <f aca="false">SUM(AD359:AD365)</f>
        <v>-3303.76645170053</v>
      </c>
      <c r="AE366" s="32" t="n">
        <f aca="false">SUM(AE359:AE365)</f>
        <v>-3378.68417298384</v>
      </c>
      <c r="AF366" s="32" t="n">
        <f aca="false">SUM(AF359:AF365)</f>
        <v>-3455.37875187918</v>
      </c>
      <c r="AG366" s="32" t="n">
        <f aca="false">SUM(AG359:AG365)</f>
        <v>-3533.89300653108</v>
      </c>
      <c r="AH366" s="32" t="n">
        <f aca="false">SUM(AH359:AH365)</f>
        <v>-3614.27079389397</v>
      </c>
      <c r="AI366" s="32" t="n">
        <f aca="false">SUM(AI359:AI365)</f>
        <v>-3696.55703503309</v>
      </c>
      <c r="AJ366" s="32" t="n">
        <f aca="false">SUM(AJ359:AJ365)</f>
        <v>-3780.79774104342</v>
      </c>
      <c r="AK366" s="32" t="n">
        <f aca="false">SUM(AK359:AK365)</f>
        <v>-3867.04003960174</v>
      </c>
      <c r="AL366" s="32" t="n">
        <f aca="false">SUM(AL359:AL365)</f>
        <v>-3955.33220216742</v>
      </c>
      <c r="AM366" s="32" t="n">
        <f aca="false">SUM(AM359:AM365)</f>
        <v>-4045.72367184764</v>
      </c>
      <c r="AN366" s="32" t="n">
        <f aca="false">SUM(AN359:AN365)</f>
        <v>-4138.26509194355</v>
      </c>
      <c r="AO366" s="32" t="n">
        <f aca="false">SUM(AO359:AO365)</f>
        <v>-4233.00833519381</v>
      </c>
      <c r="AP366" s="32" t="n">
        <f aca="false">SUM(AP359:AP365)</f>
        <v>-4330.00653373281</v>
      </c>
      <c r="AQ366" s="32" t="n">
        <f aca="false">SUM(AQ359:AQ365)</f>
        <v>-4429.31410978088</v>
      </c>
      <c r="AR366" s="32" t="n">
        <f aca="false">SUM(AR359:AR365)</f>
        <v>-4530.98680708456</v>
      </c>
      <c r="AS366" s="32" t="n">
        <f aca="false">SUM(AS359:AS365)</f>
        <v>-2317.54086156264</v>
      </c>
    </row>
    <row r="367" customFormat="false" ht="14.25" hidden="false" customHeight="false" outlineLevel="0" collapsed="false">
      <c r="C367" s="1" t="s">
        <v>158</v>
      </c>
      <c r="D367" s="2" t="s">
        <v>85</v>
      </c>
      <c r="H367" s="15" t="n">
        <f aca="false">SUM(J367:AS367)</f>
        <v>281317.26146065</v>
      </c>
      <c r="J367" s="15" t="n">
        <f aca="false">J357+J366</f>
        <v>0</v>
      </c>
      <c r="K367" s="15" t="n">
        <f aca="false">K357+K366</f>
        <v>0</v>
      </c>
      <c r="L367" s="15" t="n">
        <f aca="false">L357+L366</f>
        <v>0</v>
      </c>
      <c r="M367" s="15" t="n">
        <f aca="false">M357+M366</f>
        <v>0</v>
      </c>
      <c r="N367" s="15" t="n">
        <f aca="false">N357+N366</f>
        <v>0</v>
      </c>
      <c r="O367" s="15" t="n">
        <f aca="false">O357+O366</f>
        <v>4533.218172</v>
      </c>
      <c r="P367" s="15" t="n">
        <f aca="false">P357+P366</f>
        <v>9125.24570244</v>
      </c>
      <c r="Q367" s="15" t="n">
        <f aca="false">Q357+Q366</f>
        <v>9151.70335111076</v>
      </c>
      <c r="R367" s="15" t="n">
        <f aca="false">R357+R366</f>
        <v>9177.44820684737</v>
      </c>
      <c r="S367" s="15" t="n">
        <f aca="false">S357+S366</f>
        <v>9202.45356051942</v>
      </c>
      <c r="T367" s="15" t="n">
        <f aca="false">T357+T366</f>
        <v>9226.6919884184</v>
      </c>
      <c r="U367" s="15" t="n">
        <f aca="false">U357+U366</f>
        <v>9250.13533439795</v>
      </c>
      <c r="V367" s="15" t="n">
        <f aca="false">V357+V366</f>
        <v>9272.75469157493</v>
      </c>
      <c r="W367" s="15" t="n">
        <f aca="false">W357+W366</f>
        <v>9294.52038358052</v>
      </c>
      <c r="X367" s="15" t="n">
        <f aca="false">X357+X366</f>
        <v>9315.40194535031</v>
      </c>
      <c r="Y367" s="15" t="n">
        <f aca="false">Y357+Y366</f>
        <v>9335.36810344208</v>
      </c>
      <c r="Z367" s="15" t="n">
        <f aca="false">Z357+Z366</f>
        <v>9354.38675586968</v>
      </c>
      <c r="AA367" s="15" t="n">
        <f aca="false">AA357+AA366</f>
        <v>9372.42495144124</v>
      </c>
      <c r="AB367" s="15" t="n">
        <f aca="false">AB357+AB366</f>
        <v>9389.44886858932</v>
      </c>
      <c r="AC367" s="15" t="n">
        <f aca="false">AC357+AC366</f>
        <v>9405.42379368079</v>
      </c>
      <c r="AD367" s="15" t="n">
        <f aca="false">AD357+AD366</f>
        <v>9420.31409879359</v>
      </c>
      <c r="AE367" s="15" t="n">
        <f aca="false">AE357+AE366</f>
        <v>9434.08321894722</v>
      </c>
      <c r="AF367" s="15" t="n">
        <f aca="false">AF357+AF366</f>
        <v>9446.69362877364</v>
      </c>
      <c r="AG367" s="15" t="n">
        <f aca="false">AG357+AG366</f>
        <v>9458.1068186149</v>
      </c>
      <c r="AH367" s="15" t="n">
        <f aca="false">AH357+AH366</f>
        <v>9468.28327003328</v>
      </c>
      <c r="AI367" s="15" t="n">
        <f aca="false">AI357+AI366</f>
        <v>9477.18243071973</v>
      </c>
      <c r="AJ367" s="15" t="n">
        <f aca="false">AJ357+AJ366</f>
        <v>9484.7626887857</v>
      </c>
      <c r="AK367" s="15" t="n">
        <f aca="false">AK357+AK366</f>
        <v>9490.98134642328</v>
      </c>
      <c r="AL367" s="15" t="n">
        <f aca="false">AL357+AL366</f>
        <v>9495.7945929182</v>
      </c>
      <c r="AM367" s="15" t="n">
        <f aca="false">AM357+AM366</f>
        <v>9499.15747699973</v>
      </c>
      <c r="AN367" s="15" t="n">
        <f aca="false">AN357+AN366</f>
        <v>9501.02387851128</v>
      </c>
      <c r="AO367" s="15" t="n">
        <f aca="false">AO357+AO366</f>
        <v>9501.34647938509</v>
      </c>
      <c r="AP367" s="15" t="n">
        <f aca="false">AP357+AP366</f>
        <v>9500.07673390371</v>
      </c>
      <c r="AQ367" s="15" t="n">
        <f aca="false">AQ357+AQ366</f>
        <v>9497.16483823106</v>
      </c>
      <c r="AR367" s="15" t="n">
        <f aca="false">AR357+AR366</f>
        <v>9492.55969919502</v>
      </c>
      <c r="AS367" s="15" t="n">
        <f aca="false">AS357+AS366</f>
        <v>4743.10445115153</v>
      </c>
    </row>
    <row r="368" customFormat="false" ht="14.25" hidden="false" customHeight="false" outlineLevel="0" collapsed="false">
      <c r="C368" s="1" t="s">
        <v>304</v>
      </c>
      <c r="D368" s="2" t="s">
        <v>85</v>
      </c>
      <c r="H368" s="32" t="n">
        <f aca="false">SUM(J368:AS368)</f>
        <v>209225.327688047</v>
      </c>
      <c r="J368" s="32" t="n">
        <f aca="false">J353+J367</f>
        <v>0</v>
      </c>
      <c r="K368" s="32" t="n">
        <f aca="false">K353+K367</f>
        <v>0</v>
      </c>
      <c r="L368" s="32" t="n">
        <f aca="false">L353+L367</f>
        <v>0</v>
      </c>
      <c r="M368" s="32" t="n">
        <f aca="false">M353+M367</f>
        <v>-33450.8995260274</v>
      </c>
      <c r="N368" s="32" t="n">
        <f aca="false">N353+N367</f>
        <v>-26389</v>
      </c>
      <c r="O368" s="32" t="n">
        <f aca="false">O353+O367</f>
        <v>-9661.281828</v>
      </c>
      <c r="P368" s="32" t="n">
        <f aca="false">P353+P367</f>
        <v>9125.24570244</v>
      </c>
      <c r="Q368" s="32" t="n">
        <f aca="false">Q353+Q367</f>
        <v>11094.1691045354</v>
      </c>
      <c r="R368" s="32" t="n">
        <f aca="false">R353+R367</f>
        <v>9177.44820684737</v>
      </c>
      <c r="S368" s="32" t="n">
        <f aca="false">S353+S367</f>
        <v>9202.45356051942</v>
      </c>
      <c r="T368" s="32" t="n">
        <f aca="false">T353+T367</f>
        <v>9226.6919884184</v>
      </c>
      <c r="U368" s="32" t="n">
        <f aca="false">U353+U367</f>
        <v>9250.13533439795</v>
      </c>
      <c r="V368" s="32" t="n">
        <f aca="false">V353+V367</f>
        <v>9272.75469157493</v>
      </c>
      <c r="W368" s="32" t="n">
        <f aca="false">W353+W367</f>
        <v>9294.52038358052</v>
      </c>
      <c r="X368" s="32" t="n">
        <f aca="false">X353+X367</f>
        <v>9315.40194535031</v>
      </c>
      <c r="Y368" s="32" t="n">
        <f aca="false">Y353+Y367</f>
        <v>9335.36810344208</v>
      </c>
      <c r="Z368" s="32" t="n">
        <f aca="false">Z353+Z367</f>
        <v>9354.38675586968</v>
      </c>
      <c r="AA368" s="32" t="n">
        <f aca="false">AA353+AA367</f>
        <v>9372.42495144124</v>
      </c>
      <c r="AB368" s="32" t="n">
        <f aca="false">AB353+AB367</f>
        <v>9389.44886858932</v>
      </c>
      <c r="AC368" s="32" t="n">
        <f aca="false">AC353+AC367</f>
        <v>9405.42379368079</v>
      </c>
      <c r="AD368" s="32" t="n">
        <f aca="false">AD353+AD367</f>
        <v>9420.31409879359</v>
      </c>
      <c r="AE368" s="32" t="n">
        <f aca="false">AE353+AE367</f>
        <v>9434.08321894722</v>
      </c>
      <c r="AF368" s="32" t="n">
        <f aca="false">AF353+AF367</f>
        <v>9446.69362877364</v>
      </c>
      <c r="AG368" s="32" t="n">
        <f aca="false">AG353+AG367</f>
        <v>9458.1068186149</v>
      </c>
      <c r="AH368" s="32" t="n">
        <f aca="false">AH353+AH367</f>
        <v>9468.28327003328</v>
      </c>
      <c r="AI368" s="32" t="n">
        <f aca="false">AI353+AI367</f>
        <v>9477.18243071973</v>
      </c>
      <c r="AJ368" s="32" t="n">
        <f aca="false">AJ353+AJ367</f>
        <v>9484.7626887857</v>
      </c>
      <c r="AK368" s="32" t="n">
        <f aca="false">AK353+AK367</f>
        <v>9490.98134642328</v>
      </c>
      <c r="AL368" s="32" t="n">
        <f aca="false">AL353+AL367</f>
        <v>9495.7945929182</v>
      </c>
      <c r="AM368" s="32" t="n">
        <f aca="false">AM353+AM367</f>
        <v>9499.15747699973</v>
      </c>
      <c r="AN368" s="32" t="n">
        <f aca="false">AN353+AN367</f>
        <v>9501.02387851128</v>
      </c>
      <c r="AO368" s="32" t="n">
        <f aca="false">AO353+AO367</f>
        <v>9501.34647938509</v>
      </c>
      <c r="AP368" s="32" t="n">
        <f aca="false">AP353+AP367</f>
        <v>9500.07673390371</v>
      </c>
      <c r="AQ368" s="32" t="n">
        <f aca="false">AQ353+AQ367</f>
        <v>9497.16483823106</v>
      </c>
      <c r="AR368" s="32" t="n">
        <f aca="false">AR353+AR367</f>
        <v>9492.55969919502</v>
      </c>
      <c r="AS368" s="32" t="n">
        <f aca="false">AS353+AS367</f>
        <v>4743.10445115153</v>
      </c>
    </row>
    <row r="369" customFormat="false" ht="14.25" hidden="false" customHeight="false" outlineLevel="0" collapsed="false">
      <c r="C369" s="6" t="s">
        <v>305</v>
      </c>
      <c r="D369" s="2" t="s">
        <v>85</v>
      </c>
      <c r="H369" s="8" t="n">
        <f aca="false">SUM(J369:AS369)</f>
        <v>-72091.9337726027</v>
      </c>
      <c r="J369" s="8" t="n">
        <f aca="false">-$E$99/Tax_Dep_Life*(J343&gt;=0)*(J343&lt;Tax_Dep_Life)</f>
        <v>-0</v>
      </c>
      <c r="K369" s="8" t="n">
        <f aca="false">-$E$99/Tax_Dep_Life*(K343&gt;=0)*(K343&lt;Tax_Dep_Life)</f>
        <v>-0</v>
      </c>
      <c r="L369" s="8" t="n">
        <f aca="false">-$E$99/Tax_Dep_Life*(L343&gt;=0)*(L343&lt;Tax_Dep_Life)</f>
        <v>-0</v>
      </c>
      <c r="M369" s="8" t="n">
        <f aca="false">-$E$99/Tax_Dep_Life*(M343&gt;=0)*(M343&lt;Tax_Dep_Life)</f>
        <v>-0</v>
      </c>
      <c r="N369" s="8" t="n">
        <f aca="false">-$E$99/Tax_Dep_Life*(N343&gt;=0)*(N343&lt;Tax_Dep_Life)</f>
        <v>-0</v>
      </c>
      <c r="O369" s="8" t="n">
        <f aca="false">-$E$99/Tax_Dep_Life*(O343&gt;=0)*(O343&lt;Tax_Dep_Life)</f>
        <v>-3604.59668863014</v>
      </c>
      <c r="P369" s="8" t="n">
        <f aca="false">-$E$99/Tax_Dep_Life*(P343&gt;=0)*(P343&lt;Tax_Dep_Life)</f>
        <v>-3604.59668863014</v>
      </c>
      <c r="Q369" s="8" t="n">
        <f aca="false">-$E$99/Tax_Dep_Life*(Q343&gt;=0)*(Q343&lt;Tax_Dep_Life)</f>
        <v>-3604.59668863014</v>
      </c>
      <c r="R369" s="8" t="n">
        <f aca="false">-$E$99/Tax_Dep_Life*(R343&gt;=0)*(R343&lt;Tax_Dep_Life)</f>
        <v>-3604.59668863014</v>
      </c>
      <c r="S369" s="8" t="n">
        <f aca="false">-$E$99/Tax_Dep_Life*(S343&gt;=0)*(S343&lt;Tax_Dep_Life)</f>
        <v>-3604.59668863014</v>
      </c>
      <c r="T369" s="8" t="n">
        <f aca="false">-$E$99/Tax_Dep_Life*(T343&gt;=0)*(T343&lt;Tax_Dep_Life)</f>
        <v>-3604.59668863014</v>
      </c>
      <c r="U369" s="8" t="n">
        <f aca="false">-$E$99/Tax_Dep_Life*(U343&gt;=0)*(U343&lt;Tax_Dep_Life)</f>
        <v>-3604.59668863014</v>
      </c>
      <c r="V369" s="8" t="n">
        <f aca="false">-$E$99/Tax_Dep_Life*(V343&gt;=0)*(V343&lt;Tax_Dep_Life)</f>
        <v>-3604.59668863014</v>
      </c>
      <c r="W369" s="8" t="n">
        <f aca="false">-$E$99/Tax_Dep_Life*(W343&gt;=0)*(W343&lt;Tax_Dep_Life)</f>
        <v>-3604.59668863014</v>
      </c>
      <c r="X369" s="8" t="n">
        <f aca="false">-$E$99/Tax_Dep_Life*(X343&gt;=0)*(X343&lt;Tax_Dep_Life)</f>
        <v>-3604.59668863014</v>
      </c>
      <c r="Y369" s="8" t="n">
        <f aca="false">-$E$99/Tax_Dep_Life*(Y343&gt;=0)*(Y343&lt;Tax_Dep_Life)</f>
        <v>-3604.59668863014</v>
      </c>
      <c r="Z369" s="8" t="n">
        <f aca="false">-$E$99/Tax_Dep_Life*(Z343&gt;=0)*(Z343&lt;Tax_Dep_Life)</f>
        <v>-3604.59668863014</v>
      </c>
      <c r="AA369" s="8" t="n">
        <f aca="false">-$E$99/Tax_Dep_Life*(AA343&gt;=0)*(AA343&lt;Tax_Dep_Life)</f>
        <v>-3604.59668863014</v>
      </c>
      <c r="AB369" s="8" t="n">
        <f aca="false">-$E$99/Tax_Dep_Life*(AB343&gt;=0)*(AB343&lt;Tax_Dep_Life)</f>
        <v>-3604.59668863014</v>
      </c>
      <c r="AC369" s="8" t="n">
        <f aca="false">-$E$99/Tax_Dep_Life*(AC343&gt;=0)*(AC343&lt;Tax_Dep_Life)</f>
        <v>-3604.59668863014</v>
      </c>
      <c r="AD369" s="8" t="n">
        <f aca="false">-$E$99/Tax_Dep_Life*(AD343&gt;=0)*(AD343&lt;Tax_Dep_Life)</f>
        <v>-3604.59668863014</v>
      </c>
      <c r="AE369" s="8" t="n">
        <f aca="false">-$E$99/Tax_Dep_Life*(AE343&gt;=0)*(AE343&lt;Tax_Dep_Life)</f>
        <v>-3604.59668863014</v>
      </c>
      <c r="AF369" s="8" t="n">
        <f aca="false">-$E$99/Tax_Dep_Life*(AF343&gt;=0)*(AF343&lt;Tax_Dep_Life)</f>
        <v>-3604.59668863014</v>
      </c>
      <c r="AG369" s="8" t="n">
        <f aca="false">-$E$99/Tax_Dep_Life*(AG343&gt;=0)*(AG343&lt;Tax_Dep_Life)</f>
        <v>-3604.59668863014</v>
      </c>
      <c r="AH369" s="8" t="n">
        <f aca="false">-$E$99/Tax_Dep_Life*(AH343&gt;=0)*(AH343&lt;Tax_Dep_Life)</f>
        <v>-3604.59668863014</v>
      </c>
      <c r="AI369" s="8" t="n">
        <f aca="false">-$E$99/Tax_Dep_Life*(AI343&gt;=0)*(AI343&lt;Tax_Dep_Life)</f>
        <v>-0</v>
      </c>
      <c r="AJ369" s="8" t="n">
        <f aca="false">-$E$99/Tax_Dep_Life*(AJ343&gt;=0)*(AJ343&lt;Tax_Dep_Life)</f>
        <v>-0</v>
      </c>
      <c r="AK369" s="8" t="n">
        <f aca="false">-$E$99/Tax_Dep_Life*(AK343&gt;=0)*(AK343&lt;Tax_Dep_Life)</f>
        <v>-0</v>
      </c>
      <c r="AL369" s="8" t="n">
        <f aca="false">-$E$99/Tax_Dep_Life*(AL343&gt;=0)*(AL343&lt;Tax_Dep_Life)</f>
        <v>-0</v>
      </c>
      <c r="AM369" s="8" t="n">
        <f aca="false">-$E$99/Tax_Dep_Life*(AM343&gt;=0)*(AM343&lt;Tax_Dep_Life)</f>
        <v>-0</v>
      </c>
      <c r="AN369" s="8" t="n">
        <f aca="false">-$E$99/Tax_Dep_Life*(AN343&gt;=0)*(AN343&lt;Tax_Dep_Life)</f>
        <v>-0</v>
      </c>
      <c r="AO369" s="8" t="n">
        <f aca="false">-$E$99/Tax_Dep_Life*(AO343&gt;=0)*(AO343&lt;Tax_Dep_Life)</f>
        <v>-0</v>
      </c>
      <c r="AP369" s="8" t="n">
        <f aca="false">-$E$99/Tax_Dep_Life*(AP343&gt;=0)*(AP343&lt;Tax_Dep_Life)</f>
        <v>-0</v>
      </c>
      <c r="AQ369" s="8" t="n">
        <f aca="false">-$E$99/Tax_Dep_Life*(AQ343&gt;=0)*(AQ343&lt;Tax_Dep_Life)</f>
        <v>-0</v>
      </c>
      <c r="AR369" s="8" t="n">
        <f aca="false">-$E$99/Tax_Dep_Life*(AR343&gt;=0)*(AR343&lt;Tax_Dep_Life)</f>
        <v>-0</v>
      </c>
      <c r="AS369" s="8" t="n">
        <f aca="false">-$E$99/Tax_Dep_Life*(AS343&gt;=0)*(AS343&lt;Tax_Dep_Life)</f>
        <v>-0</v>
      </c>
    </row>
    <row r="370" customFormat="false" ht="14.25" hidden="false" customHeight="false" outlineLevel="0" collapsed="false">
      <c r="C370" s="6" t="s">
        <v>306</v>
      </c>
      <c r="D370" s="2" t="s">
        <v>85</v>
      </c>
      <c r="H370" s="8" t="n">
        <f aca="false">SUM(J370:AS370)</f>
        <v>-31383.7991532071</v>
      </c>
      <c r="J370" s="8" t="n">
        <f aca="false">-MAX(0,J367+J369)*CIT_Rate*(J347&gt;0)</f>
        <v>-0</v>
      </c>
      <c r="K370" s="8" t="n">
        <f aca="false">-MAX(0,K367+K369)*CIT_Rate*(K347&gt;0)</f>
        <v>-0</v>
      </c>
      <c r="L370" s="8" t="n">
        <f aca="false">-MAX(0,L367+L369)*CIT_Rate*(L347&gt;0)</f>
        <v>-0</v>
      </c>
      <c r="M370" s="8" t="n">
        <f aca="false">-MAX(0,M367+M369)*CIT_Rate*(M347&gt;0)</f>
        <v>-0</v>
      </c>
      <c r="N370" s="8" t="n">
        <f aca="false">-MAX(0,N367+N369)*CIT_Rate*(N347&gt;0)</f>
        <v>-0</v>
      </c>
      <c r="O370" s="8" t="n">
        <f aca="false">-MAX(0,O367+O369)*CIT_Rate*(O347&gt;0)</f>
        <v>-139.293222505479</v>
      </c>
      <c r="P370" s="8" t="n">
        <f aca="false">-MAX(0,P367+P369)*CIT_Rate*(P347&gt;0)</f>
        <v>-828.09735207148</v>
      </c>
      <c r="Q370" s="8" t="n">
        <f aca="false">-MAX(0,Q367+Q369)*CIT_Rate*(Q347&gt;0)</f>
        <v>-832.065999372093</v>
      </c>
      <c r="R370" s="8" t="n">
        <f aca="false">-MAX(0,R367+R369)*CIT_Rate*(R347&gt;0)</f>
        <v>-835.927727732585</v>
      </c>
      <c r="S370" s="8" t="n">
        <f aca="false">-MAX(0,S367+S369)*CIT_Rate*(S347&gt;0)</f>
        <v>-839.678530783392</v>
      </c>
      <c r="T370" s="8" t="n">
        <f aca="false">-MAX(0,T367+T369)*CIT_Rate*(T347&gt;0)</f>
        <v>-843.314294968239</v>
      </c>
      <c r="U370" s="8" t="n">
        <f aca="false">-MAX(0,U367+U369)*CIT_Rate*(U347&gt;0)</f>
        <v>-846.830796865172</v>
      </c>
      <c r="V370" s="8" t="n">
        <f aca="false">-MAX(0,V367+V369)*CIT_Rate*(V347&gt;0)</f>
        <v>-850.223700441719</v>
      </c>
      <c r="W370" s="8" t="n">
        <f aca="false">-MAX(0,W367+W369)*CIT_Rate*(W347&gt;0)</f>
        <v>-853.488554242558</v>
      </c>
      <c r="X370" s="8" t="n">
        <f aca="false">-MAX(0,X367+X369)*CIT_Rate*(X347&gt;0)</f>
        <v>-856.620788508026</v>
      </c>
      <c r="Y370" s="8" t="n">
        <f aca="false">-MAX(0,Y367+Y369)*CIT_Rate*(Y347&gt;0)</f>
        <v>-859.615712221791</v>
      </c>
      <c r="Z370" s="8" t="n">
        <f aca="false">-MAX(0,Z367+Z369)*CIT_Rate*(Z347&gt;0)</f>
        <v>-862.468510085932</v>
      </c>
      <c r="AA370" s="8" t="n">
        <f aca="false">-MAX(0,AA367+AA369)*CIT_Rate*(AA347&gt;0)</f>
        <v>-865.174239421666</v>
      </c>
      <c r="AB370" s="8" t="n">
        <f aca="false">-MAX(0,AB367+AB369)*CIT_Rate*(AB347&gt;0)</f>
        <v>-867.727826993877</v>
      </c>
      <c r="AC370" s="8" t="n">
        <f aca="false">-MAX(0,AC367+AC369)*CIT_Rate*(AC347&gt;0)</f>
        <v>-870.124065757598</v>
      </c>
      <c r="AD370" s="8" t="n">
        <f aca="false">-MAX(0,AD367+AD369)*CIT_Rate*(AD347&gt;0)</f>
        <v>-872.357611524519</v>
      </c>
      <c r="AE370" s="8" t="n">
        <f aca="false">-MAX(0,AE367+AE369)*CIT_Rate*(AE347&gt;0)</f>
        <v>-874.422979547563</v>
      </c>
      <c r="AF370" s="8" t="n">
        <f aca="false">-MAX(0,AF367+AF369)*CIT_Rate*(AF347&gt;0)</f>
        <v>-876.314541021526</v>
      </c>
      <c r="AG370" s="8" t="n">
        <f aca="false">-MAX(0,AG367+AG369)*CIT_Rate*(AG347&gt;0)</f>
        <v>-878.026519497714</v>
      </c>
      <c r="AH370" s="8" t="n">
        <f aca="false">-MAX(0,AH367+AH369)*CIT_Rate*(AH347&gt;0)</f>
        <v>-879.552987210471</v>
      </c>
      <c r="AI370" s="8" t="n">
        <f aca="false">-MAX(0,AI367+AI369)*CIT_Rate*(AI347&gt;0)</f>
        <v>-1421.57736460796</v>
      </c>
      <c r="AJ370" s="8" t="n">
        <f aca="false">-MAX(0,AJ367+AJ369)*CIT_Rate*(AJ347&gt;0)</f>
        <v>-1422.71440331785</v>
      </c>
      <c r="AK370" s="8" t="n">
        <f aca="false">-MAX(0,AK367+AK369)*CIT_Rate*(AK347&gt;0)</f>
        <v>-1423.64720196349</v>
      </c>
      <c r="AL370" s="8" t="n">
        <f aca="false">-MAX(0,AL367+AL369)*CIT_Rate*(AL347&gt;0)</f>
        <v>-1424.36918893773</v>
      </c>
      <c r="AM370" s="8" t="n">
        <f aca="false">-MAX(0,AM367+AM369)*CIT_Rate*(AM347&gt;0)</f>
        <v>-1424.87362154996</v>
      </c>
      <c r="AN370" s="8" t="n">
        <f aca="false">-MAX(0,AN367+AN369)*CIT_Rate*(AN347&gt;0)</f>
        <v>-1425.15358177669</v>
      </c>
      <c r="AO370" s="8" t="n">
        <f aca="false">-MAX(0,AO367+AO369)*CIT_Rate*(AO347&gt;0)</f>
        <v>-1425.20197190776</v>
      </c>
      <c r="AP370" s="8" t="n">
        <f aca="false">-MAX(0,AP367+AP369)*CIT_Rate*(AP347&gt;0)</f>
        <v>-1425.01151008556</v>
      </c>
      <c r="AQ370" s="8" t="n">
        <f aca="false">-MAX(0,AQ367+AQ369)*CIT_Rate*(AQ347&gt;0)</f>
        <v>-1424.57472573466</v>
      </c>
      <c r="AR370" s="8" t="n">
        <f aca="false">-MAX(0,AR367+AR369)*CIT_Rate*(AR347&gt;0)</f>
        <v>-1423.88395487925</v>
      </c>
      <c r="AS370" s="8" t="n">
        <f aca="false">-MAX(0,AS367+AS369)*CIT_Rate*(AS347&gt;0)</f>
        <v>-711.46566767273</v>
      </c>
    </row>
    <row r="371" customFormat="false" ht="14.25" hidden="false" customHeight="false" outlineLevel="0" collapsed="false">
      <c r="C371" s="1" t="s">
        <v>307</v>
      </c>
      <c r="D371" s="2" t="s">
        <v>85</v>
      </c>
      <c r="H371" s="32" t="n">
        <f aca="false">SUM(J371:AS371)</f>
        <v>177841.52853484</v>
      </c>
      <c r="J371" s="32" t="n">
        <f aca="false">J368+J370</f>
        <v>0</v>
      </c>
      <c r="K371" s="32" t="n">
        <f aca="false">K368+K370</f>
        <v>0</v>
      </c>
      <c r="L371" s="32" t="n">
        <f aca="false">L368+L370</f>
        <v>0</v>
      </c>
      <c r="M371" s="32" t="n">
        <f aca="false">M368+M370</f>
        <v>-33450.8995260274</v>
      </c>
      <c r="N371" s="32" t="n">
        <f aca="false">N368+N370</f>
        <v>-26389</v>
      </c>
      <c r="O371" s="32" t="n">
        <f aca="false">O368+O370</f>
        <v>-9800.57505050548</v>
      </c>
      <c r="P371" s="32" t="n">
        <f aca="false">P368+P370</f>
        <v>8297.14835036852</v>
      </c>
      <c r="Q371" s="32" t="n">
        <f aca="false">Q368+Q370</f>
        <v>10262.1031051633</v>
      </c>
      <c r="R371" s="32" t="n">
        <f aca="false">R368+R370</f>
        <v>8341.52047911478</v>
      </c>
      <c r="S371" s="32" t="n">
        <f aca="false">S368+S370</f>
        <v>8362.77502973603</v>
      </c>
      <c r="T371" s="32" t="n">
        <f aca="false">T368+T370</f>
        <v>8383.37769345016</v>
      </c>
      <c r="U371" s="32" t="n">
        <f aca="false">U368+U370</f>
        <v>8403.30453753278</v>
      </c>
      <c r="V371" s="32" t="n">
        <f aca="false">V368+V370</f>
        <v>8422.53099113321</v>
      </c>
      <c r="W371" s="32" t="n">
        <f aca="false">W368+W370</f>
        <v>8441.03182933797</v>
      </c>
      <c r="X371" s="32" t="n">
        <f aca="false">X368+X370</f>
        <v>8458.78115684229</v>
      </c>
      <c r="Y371" s="32" t="n">
        <f aca="false">Y368+Y370</f>
        <v>8475.75239122029</v>
      </c>
      <c r="Z371" s="32" t="n">
        <f aca="false">Z368+Z370</f>
        <v>8491.91824578375</v>
      </c>
      <c r="AA371" s="32" t="n">
        <f aca="false">AA368+AA370</f>
        <v>8507.25071201958</v>
      </c>
      <c r="AB371" s="32" t="n">
        <f aca="false">AB368+AB370</f>
        <v>8521.72104159544</v>
      </c>
      <c r="AC371" s="32" t="n">
        <f aca="false">AC368+AC370</f>
        <v>8535.29972792319</v>
      </c>
      <c r="AD371" s="32" t="n">
        <f aca="false">AD368+AD370</f>
        <v>8547.95648726908</v>
      </c>
      <c r="AE371" s="32" t="n">
        <f aca="false">AE368+AE370</f>
        <v>8559.66023939966</v>
      </c>
      <c r="AF371" s="32" t="n">
        <f aca="false">AF368+AF370</f>
        <v>8570.37908775212</v>
      </c>
      <c r="AG371" s="32" t="n">
        <f aca="false">AG368+AG370</f>
        <v>8580.08029911718</v>
      </c>
      <c r="AH371" s="32" t="n">
        <f aca="false">AH368+AH370</f>
        <v>8588.7302828228</v>
      </c>
      <c r="AI371" s="32" t="n">
        <f aca="false">AI368+AI370</f>
        <v>8055.60506611177</v>
      </c>
      <c r="AJ371" s="32" t="n">
        <f aca="false">AJ368+AJ370</f>
        <v>8062.04828546784</v>
      </c>
      <c r="AK371" s="32" t="n">
        <f aca="false">AK368+AK370</f>
        <v>8067.33414445979</v>
      </c>
      <c r="AL371" s="32" t="n">
        <f aca="false">AL368+AL370</f>
        <v>8071.42540398047</v>
      </c>
      <c r="AM371" s="32" t="n">
        <f aca="false">AM368+AM370</f>
        <v>8074.28385544977</v>
      </c>
      <c r="AN371" s="32" t="n">
        <f aca="false">AN368+AN370</f>
        <v>8075.87029673459</v>
      </c>
      <c r="AO371" s="32" t="n">
        <f aca="false">AO368+AO370</f>
        <v>8076.14450747733</v>
      </c>
      <c r="AP371" s="32" t="n">
        <f aca="false">AP368+AP370</f>
        <v>8075.06522381815</v>
      </c>
      <c r="AQ371" s="32" t="n">
        <f aca="false">AQ368+AQ370</f>
        <v>8072.5901124964</v>
      </c>
      <c r="AR371" s="32" t="n">
        <f aca="false">AR368+AR370</f>
        <v>8068.67574431577</v>
      </c>
      <c r="AS371" s="32" t="n">
        <f aca="false">AS368+AS370</f>
        <v>4031.6387834788</v>
      </c>
    </row>
    <row r="372" customFormat="false" ht="14.25" hidden="false" customHeight="false" outlineLevel="0" collapsed="false">
      <c r="C372" s="6" t="s">
        <v>308</v>
      </c>
      <c r="D372" s="2" t="s">
        <v>85</v>
      </c>
      <c r="H372" s="8" t="n">
        <f aca="false">SUM(J372:AS372)</f>
        <v>43255.1602635616</v>
      </c>
      <c r="J372" s="8" t="n">
        <f aca="false">$E$99*Gearing*J348</f>
        <v>0</v>
      </c>
      <c r="K372" s="8" t="n">
        <f aca="false">$E$99*Gearing*K348</f>
        <v>0</v>
      </c>
      <c r="L372" s="8" t="n">
        <f aca="false">$E$99*Gearing*L348</f>
        <v>0</v>
      </c>
      <c r="M372" s="8" t="n">
        <f aca="false">$E$99*Gearing*M348</f>
        <v>0</v>
      </c>
      <c r="N372" s="8" t="n">
        <f aca="false">$E$99*Gearing*N348</f>
        <v>0</v>
      </c>
      <c r="O372" s="8" t="n">
        <f aca="false">$E$99*Gearing*O348</f>
        <v>43255.1602635616</v>
      </c>
      <c r="P372" s="8" t="n">
        <f aca="false">$E$99*Gearing*P348</f>
        <v>0</v>
      </c>
      <c r="Q372" s="8" t="n">
        <f aca="false">$E$99*Gearing*Q348</f>
        <v>0</v>
      </c>
      <c r="R372" s="8" t="n">
        <f aca="false">$E$99*Gearing*R348</f>
        <v>0</v>
      </c>
      <c r="S372" s="8" t="n">
        <f aca="false">$E$99*Gearing*S348</f>
        <v>0</v>
      </c>
      <c r="T372" s="8" t="n">
        <f aca="false">$E$99*Gearing*T348</f>
        <v>0</v>
      </c>
      <c r="U372" s="8" t="n">
        <f aca="false">$E$99*Gearing*U348</f>
        <v>0</v>
      </c>
      <c r="V372" s="8" t="n">
        <f aca="false">$E$99*Gearing*V348</f>
        <v>0</v>
      </c>
      <c r="W372" s="8" t="n">
        <f aca="false">$E$99*Gearing*W348</f>
        <v>0</v>
      </c>
      <c r="X372" s="8" t="n">
        <f aca="false">$E$99*Gearing*X348</f>
        <v>0</v>
      </c>
      <c r="Y372" s="8" t="n">
        <f aca="false">$E$99*Gearing*Y348</f>
        <v>0</v>
      </c>
      <c r="Z372" s="8" t="n">
        <f aca="false">$E$99*Gearing*Z348</f>
        <v>0</v>
      </c>
      <c r="AA372" s="8" t="n">
        <f aca="false">$E$99*Gearing*AA348</f>
        <v>0</v>
      </c>
      <c r="AB372" s="8" t="n">
        <f aca="false">$E$99*Gearing*AB348</f>
        <v>0</v>
      </c>
      <c r="AC372" s="8" t="n">
        <f aca="false">$E$99*Gearing*AC348</f>
        <v>0</v>
      </c>
      <c r="AD372" s="8" t="n">
        <f aca="false">$E$99*Gearing*AD348</f>
        <v>0</v>
      </c>
      <c r="AE372" s="8" t="n">
        <f aca="false">$E$99*Gearing*AE348</f>
        <v>0</v>
      </c>
      <c r="AF372" s="8" t="n">
        <f aca="false">$E$99*Gearing*AF348</f>
        <v>0</v>
      </c>
      <c r="AG372" s="8" t="n">
        <f aca="false">$E$99*Gearing*AG348</f>
        <v>0</v>
      </c>
      <c r="AH372" s="8" t="n">
        <f aca="false">$E$99*Gearing*AH348</f>
        <v>0</v>
      </c>
      <c r="AI372" s="8" t="n">
        <f aca="false">$E$99*Gearing*AI348</f>
        <v>0</v>
      </c>
      <c r="AJ372" s="8" t="n">
        <f aca="false">$E$99*Gearing*AJ348</f>
        <v>0</v>
      </c>
      <c r="AK372" s="8" t="n">
        <f aca="false">$E$99*Gearing*AK348</f>
        <v>0</v>
      </c>
      <c r="AL372" s="8" t="n">
        <f aca="false">$E$99*Gearing*AL348</f>
        <v>0</v>
      </c>
      <c r="AM372" s="8" t="n">
        <f aca="false">$E$99*Gearing*AM348</f>
        <v>0</v>
      </c>
      <c r="AN372" s="8" t="n">
        <f aca="false">$E$99*Gearing*AN348</f>
        <v>0</v>
      </c>
      <c r="AO372" s="8" t="n">
        <f aca="false">$E$99*Gearing*AO348</f>
        <v>0</v>
      </c>
      <c r="AP372" s="8" t="n">
        <f aca="false">$E$99*Gearing*AP348</f>
        <v>0</v>
      </c>
      <c r="AQ372" s="8" t="n">
        <f aca="false">$E$99*Gearing*AQ348</f>
        <v>0</v>
      </c>
      <c r="AR372" s="8" t="n">
        <f aca="false">$E$99*Gearing*AR348</f>
        <v>0</v>
      </c>
      <c r="AS372" s="8" t="n">
        <f aca="false">$E$99*Gearing*AS348</f>
        <v>0</v>
      </c>
    </row>
    <row r="373" customFormat="false" ht="14.25" hidden="false" customHeight="false" outlineLevel="0" collapsed="false">
      <c r="C373" s="6" t="s">
        <v>309</v>
      </c>
      <c r="D373" s="2" t="s">
        <v>85</v>
      </c>
      <c r="H373" s="8" t="n">
        <f aca="false">SUM(J373:AS373)</f>
        <v>62509.5163604402</v>
      </c>
      <c r="J373" s="8" t="n">
        <f aca="false">-PMT(Debt_Rate,Debt_Tenor,$E$99*Gearing)*(J343&gt;=1)*(J343&lt;=Debt_Tenor)</f>
        <v>0</v>
      </c>
      <c r="K373" s="8" t="n">
        <f aca="false">-PMT(Debt_Rate,Debt_Tenor,$E$99*Gearing)*(K343&gt;=1)*(K343&lt;=Debt_Tenor)</f>
        <v>0</v>
      </c>
      <c r="L373" s="8" t="n">
        <f aca="false">-PMT(Debt_Rate,Debt_Tenor,$E$99*Gearing)*(L343&gt;=1)*(L343&lt;=Debt_Tenor)</f>
        <v>0</v>
      </c>
      <c r="M373" s="8" t="n">
        <f aca="false">-PMT(Debt_Rate,Debt_Tenor,$E$99*Gearing)*(M343&gt;=1)*(M343&lt;=Debt_Tenor)</f>
        <v>0</v>
      </c>
      <c r="N373" s="8" t="n">
        <f aca="false">-PMT(Debt_Rate,Debt_Tenor,$E$99*Gearing)*(N343&gt;=1)*(N343&lt;=Debt_Tenor)</f>
        <v>0</v>
      </c>
      <c r="O373" s="8" t="n">
        <f aca="false">-PMT(Debt_Rate,Debt_Tenor,$E$99*Gearing)*(O343&gt;=1)*(O343&lt;=Debt_Tenor)</f>
        <v>0</v>
      </c>
      <c r="P373" s="8" t="n">
        <f aca="false">-PMT(Debt_Rate,Debt_Tenor,$E$99*Gearing)*(P343&gt;=1)*(P343&lt;=Debt_Tenor)</f>
        <v>4167.30109069602</v>
      </c>
      <c r="Q373" s="8" t="n">
        <f aca="false">-PMT(Debt_Rate,Debt_Tenor,$E$99*Gearing)*(Q343&gt;=1)*(Q343&lt;=Debt_Tenor)</f>
        <v>4167.30109069602</v>
      </c>
      <c r="R373" s="8" t="n">
        <f aca="false">-PMT(Debt_Rate,Debt_Tenor,$E$99*Gearing)*(R343&gt;=1)*(R343&lt;=Debt_Tenor)</f>
        <v>4167.30109069602</v>
      </c>
      <c r="S373" s="8" t="n">
        <f aca="false">-PMT(Debt_Rate,Debt_Tenor,$E$99*Gearing)*(S343&gt;=1)*(S343&lt;=Debt_Tenor)</f>
        <v>4167.30109069602</v>
      </c>
      <c r="T373" s="8" t="n">
        <f aca="false">-PMT(Debt_Rate,Debt_Tenor,$E$99*Gearing)*(T343&gt;=1)*(T343&lt;=Debt_Tenor)</f>
        <v>4167.30109069602</v>
      </c>
      <c r="U373" s="8" t="n">
        <f aca="false">-PMT(Debt_Rate,Debt_Tenor,$E$99*Gearing)*(U343&gt;=1)*(U343&lt;=Debt_Tenor)</f>
        <v>4167.30109069602</v>
      </c>
      <c r="V373" s="8" t="n">
        <f aca="false">-PMT(Debt_Rate,Debt_Tenor,$E$99*Gearing)*(V343&gt;=1)*(V343&lt;=Debt_Tenor)</f>
        <v>4167.30109069602</v>
      </c>
      <c r="W373" s="8" t="n">
        <f aca="false">-PMT(Debt_Rate,Debt_Tenor,$E$99*Gearing)*(W343&gt;=1)*(W343&lt;=Debt_Tenor)</f>
        <v>4167.30109069602</v>
      </c>
      <c r="X373" s="8" t="n">
        <f aca="false">-PMT(Debt_Rate,Debt_Tenor,$E$99*Gearing)*(X343&gt;=1)*(X343&lt;=Debt_Tenor)</f>
        <v>4167.30109069602</v>
      </c>
      <c r="Y373" s="8" t="n">
        <f aca="false">-PMT(Debt_Rate,Debt_Tenor,$E$99*Gearing)*(Y343&gt;=1)*(Y343&lt;=Debt_Tenor)</f>
        <v>4167.30109069602</v>
      </c>
      <c r="Z373" s="8" t="n">
        <f aca="false">-PMT(Debt_Rate,Debt_Tenor,$E$99*Gearing)*(Z343&gt;=1)*(Z343&lt;=Debt_Tenor)</f>
        <v>4167.30109069602</v>
      </c>
      <c r="AA373" s="8" t="n">
        <f aca="false">-PMT(Debt_Rate,Debt_Tenor,$E$99*Gearing)*(AA343&gt;=1)*(AA343&lt;=Debt_Tenor)</f>
        <v>4167.30109069602</v>
      </c>
      <c r="AB373" s="8" t="n">
        <f aca="false">-PMT(Debt_Rate,Debt_Tenor,$E$99*Gearing)*(AB343&gt;=1)*(AB343&lt;=Debt_Tenor)</f>
        <v>4167.30109069602</v>
      </c>
      <c r="AC373" s="8" t="n">
        <f aca="false">-PMT(Debt_Rate,Debt_Tenor,$E$99*Gearing)*(AC343&gt;=1)*(AC343&lt;=Debt_Tenor)</f>
        <v>4167.30109069602</v>
      </c>
      <c r="AD373" s="8" t="n">
        <f aca="false">-PMT(Debt_Rate,Debt_Tenor,$E$99*Gearing)*(AD343&gt;=1)*(AD343&lt;=Debt_Tenor)</f>
        <v>4167.30109069602</v>
      </c>
      <c r="AE373" s="8" t="n">
        <f aca="false">-PMT(Debt_Rate,Debt_Tenor,$E$99*Gearing)*(AE343&gt;=1)*(AE343&lt;=Debt_Tenor)</f>
        <v>0</v>
      </c>
      <c r="AF373" s="8" t="n">
        <f aca="false">-PMT(Debt_Rate,Debt_Tenor,$E$99*Gearing)*(AF343&gt;=1)*(AF343&lt;=Debt_Tenor)</f>
        <v>0</v>
      </c>
      <c r="AG373" s="8" t="n">
        <f aca="false">-PMT(Debt_Rate,Debt_Tenor,$E$99*Gearing)*(AG343&gt;=1)*(AG343&lt;=Debt_Tenor)</f>
        <v>0</v>
      </c>
      <c r="AH373" s="8" t="n">
        <f aca="false">-PMT(Debt_Rate,Debt_Tenor,$E$99*Gearing)*(AH343&gt;=1)*(AH343&lt;=Debt_Tenor)</f>
        <v>0</v>
      </c>
      <c r="AI373" s="8" t="n">
        <f aca="false">-PMT(Debt_Rate,Debt_Tenor,$E$99*Gearing)*(AI343&gt;=1)*(AI343&lt;=Debt_Tenor)</f>
        <v>0</v>
      </c>
      <c r="AJ373" s="8" t="n">
        <f aca="false">-PMT(Debt_Rate,Debt_Tenor,$E$99*Gearing)*(AJ343&gt;=1)*(AJ343&lt;=Debt_Tenor)</f>
        <v>0</v>
      </c>
      <c r="AK373" s="8" t="n">
        <f aca="false">-PMT(Debt_Rate,Debt_Tenor,$E$99*Gearing)*(AK343&gt;=1)*(AK343&lt;=Debt_Tenor)</f>
        <v>0</v>
      </c>
      <c r="AL373" s="8" t="n">
        <f aca="false">-PMT(Debt_Rate,Debt_Tenor,$E$99*Gearing)*(AL343&gt;=1)*(AL343&lt;=Debt_Tenor)</f>
        <v>0</v>
      </c>
      <c r="AM373" s="8" t="n">
        <f aca="false">-PMT(Debt_Rate,Debt_Tenor,$E$99*Gearing)*(AM343&gt;=1)*(AM343&lt;=Debt_Tenor)</f>
        <v>0</v>
      </c>
      <c r="AN373" s="8" t="n">
        <f aca="false">-PMT(Debt_Rate,Debt_Tenor,$E$99*Gearing)*(AN343&gt;=1)*(AN343&lt;=Debt_Tenor)</f>
        <v>0</v>
      </c>
      <c r="AO373" s="8" t="n">
        <f aca="false">-PMT(Debt_Rate,Debt_Tenor,$E$99*Gearing)*(AO343&gt;=1)*(AO343&lt;=Debt_Tenor)</f>
        <v>0</v>
      </c>
      <c r="AP373" s="8" t="n">
        <f aca="false">-PMT(Debt_Rate,Debt_Tenor,$E$99*Gearing)*(AP343&gt;=1)*(AP343&lt;=Debt_Tenor)</f>
        <v>0</v>
      </c>
      <c r="AQ373" s="8" t="n">
        <f aca="false">-PMT(Debt_Rate,Debt_Tenor,$E$99*Gearing)*(AQ343&gt;=1)*(AQ343&lt;=Debt_Tenor)</f>
        <v>0</v>
      </c>
      <c r="AR373" s="8" t="n">
        <f aca="false">-PMT(Debt_Rate,Debt_Tenor,$E$99*Gearing)*(AR343&gt;=1)*(AR343&lt;=Debt_Tenor)</f>
        <v>0</v>
      </c>
      <c r="AS373" s="8" t="n">
        <f aca="false">-PMT(Debt_Rate,Debt_Tenor,$E$99*Gearing)*(AS343&gt;=1)*(AS343&lt;=Debt_Tenor)</f>
        <v>0</v>
      </c>
    </row>
    <row r="374" customFormat="false" ht="14.25" hidden="false" customHeight="false" outlineLevel="0" collapsed="false">
      <c r="C374" s="6" t="s">
        <v>310</v>
      </c>
      <c r="D374" s="2" t="s">
        <v>85</v>
      </c>
      <c r="H374" s="8" t="n">
        <f aca="false">SUM(J374:AS374)</f>
        <v>19254.3560968785</v>
      </c>
      <c r="J374" s="8" t="n">
        <f aca="false">I376*Debt_Rate*(J343&gt;=1)</f>
        <v>0</v>
      </c>
      <c r="K374" s="8" t="n">
        <f aca="false">J376*Debt_Rate*(K343&gt;=1)</f>
        <v>0</v>
      </c>
      <c r="L374" s="8" t="n">
        <f aca="false">K376*Debt_Rate*(L343&gt;=1)</f>
        <v>0</v>
      </c>
      <c r="M374" s="8" t="n">
        <f aca="false">L376*Debt_Rate*(M343&gt;=1)</f>
        <v>0</v>
      </c>
      <c r="N374" s="8" t="n">
        <f aca="false">M376*Debt_Rate*(N343&gt;=1)</f>
        <v>0</v>
      </c>
      <c r="O374" s="8" t="n">
        <f aca="false">N376*Debt_Rate*(O343&gt;=1)</f>
        <v>0</v>
      </c>
      <c r="P374" s="8" t="n">
        <f aca="false">O376*Debt_Rate*(P343&gt;=1)</f>
        <v>2162.75801317808</v>
      </c>
      <c r="Q374" s="8" t="n">
        <f aca="false">P376*Debt_Rate*(Q343&gt;=1)</f>
        <v>2062.53085930219</v>
      </c>
      <c r="R374" s="8" t="n">
        <f aca="false">Q376*Debt_Rate*(R343&gt;=1)</f>
        <v>1957.29234773249</v>
      </c>
      <c r="S374" s="8" t="n">
        <f aca="false">R376*Debt_Rate*(S343&gt;=1)</f>
        <v>1846.79191058432</v>
      </c>
      <c r="T374" s="8" t="n">
        <f aca="false">S376*Debt_Rate*(T343&gt;=1)</f>
        <v>1730.76645157873</v>
      </c>
      <c r="U374" s="8" t="n">
        <f aca="false">T376*Debt_Rate*(U343&gt;=1)</f>
        <v>1608.93971962287</v>
      </c>
      <c r="V374" s="8" t="n">
        <f aca="false">U376*Debt_Rate*(V343&gt;=1)</f>
        <v>1481.02165106921</v>
      </c>
      <c r="W374" s="8" t="n">
        <f aca="false">V376*Debt_Rate*(W343&gt;=1)</f>
        <v>1346.70767908787</v>
      </c>
      <c r="X374" s="8" t="n">
        <f aca="false">W376*Debt_Rate*(X343&gt;=1)</f>
        <v>1205.67800850746</v>
      </c>
      <c r="Y374" s="8" t="n">
        <f aca="false">X376*Debt_Rate*(Y343&gt;=1)</f>
        <v>1057.59685439804</v>
      </c>
      <c r="Z374" s="8" t="n">
        <f aca="false">Y376*Debt_Rate*(Z343&gt;=1)</f>
        <v>902.111642583137</v>
      </c>
      <c r="AA374" s="8" t="n">
        <f aca="false">Z376*Debt_Rate*(AA343&gt;=1)</f>
        <v>738.852170177494</v>
      </c>
      <c r="AB374" s="8" t="n">
        <f aca="false">AA376*Debt_Rate*(AB343&gt;=1)</f>
        <v>567.429724151567</v>
      </c>
      <c r="AC374" s="8" t="n">
        <f aca="false">AB376*Debt_Rate*(AC343&gt;=1)</f>
        <v>387.436155824345</v>
      </c>
      <c r="AD374" s="8" t="n">
        <f aca="false">AC376*Debt_Rate*(AD343&gt;=1)</f>
        <v>198.442909080761</v>
      </c>
      <c r="AE374" s="8" t="n">
        <f aca="false">AD376*Debt_Rate*(AE343&gt;=1)</f>
        <v>-1.36424205265939E-012</v>
      </c>
      <c r="AF374" s="8" t="n">
        <f aca="false">AE376*Debt_Rate*(AF343&gt;=1)</f>
        <v>-1.43245415529236E-012</v>
      </c>
      <c r="AG374" s="8" t="n">
        <f aca="false">AF376*Debt_Rate*(AG343&gt;=1)</f>
        <v>-1.50407686305698E-012</v>
      </c>
      <c r="AH374" s="8" t="n">
        <f aca="false">AG376*Debt_Rate*(AH343&gt;=1)</f>
        <v>-1.57928070620983E-012</v>
      </c>
      <c r="AI374" s="8" t="n">
        <f aca="false">AH376*Debt_Rate*(AI343&gt;=1)</f>
        <v>-1.65824474152032E-012</v>
      </c>
      <c r="AJ374" s="8" t="n">
        <f aca="false">AI376*Debt_Rate*(AJ343&gt;=1)</f>
        <v>-1.74115697859634E-012</v>
      </c>
      <c r="AK374" s="8" t="n">
        <f aca="false">AJ376*Debt_Rate*(AK343&gt;=1)</f>
        <v>-1.82821482752615E-012</v>
      </c>
      <c r="AL374" s="8" t="n">
        <f aca="false">AK376*Debt_Rate*(AL343&gt;=1)</f>
        <v>-1.91962556890246E-012</v>
      </c>
      <c r="AM374" s="8" t="n">
        <f aca="false">AL376*Debt_Rate*(AM343&gt;=1)</f>
        <v>-2.01560684734758E-012</v>
      </c>
      <c r="AN374" s="8" t="n">
        <f aca="false">AM376*Debt_Rate*(AN343&gt;=1)</f>
        <v>-2.11638718971496E-012</v>
      </c>
      <c r="AO374" s="8" t="n">
        <f aca="false">AN376*Debt_Rate*(AO343&gt;=1)</f>
        <v>-2.22220654920071E-012</v>
      </c>
      <c r="AP374" s="8" t="n">
        <f aca="false">AO376*Debt_Rate*(AP343&gt;=1)</f>
        <v>-2.33331687666075E-012</v>
      </c>
      <c r="AQ374" s="8" t="n">
        <f aca="false">AP376*Debt_Rate*(AQ343&gt;=1)</f>
        <v>-2.44998272049379E-012</v>
      </c>
      <c r="AR374" s="8" t="n">
        <f aca="false">AQ376*Debt_Rate*(AR343&gt;=1)</f>
        <v>-2.57248185651847E-012</v>
      </c>
      <c r="AS374" s="8" t="n">
        <f aca="false">AR376*Debt_Rate*(AS343&gt;=1)</f>
        <v>-2.7011059493444E-012</v>
      </c>
    </row>
    <row r="375" customFormat="false" ht="14.25" hidden="false" customHeight="false" outlineLevel="0" collapsed="false">
      <c r="C375" s="6" t="s">
        <v>311</v>
      </c>
      <c r="D375" s="2" t="s">
        <v>85</v>
      </c>
      <c r="H375" s="8" t="n">
        <f aca="false">SUM(J375:AS375)</f>
        <v>43255.1602635617</v>
      </c>
      <c r="J375" s="8" t="n">
        <f aca="false">J373-J374</f>
        <v>0</v>
      </c>
      <c r="K375" s="8" t="n">
        <f aca="false">K373-K374</f>
        <v>0</v>
      </c>
      <c r="L375" s="8" t="n">
        <f aca="false">L373-L374</f>
        <v>0</v>
      </c>
      <c r="M375" s="8" t="n">
        <f aca="false">M373-M374</f>
        <v>0</v>
      </c>
      <c r="N375" s="8" t="n">
        <f aca="false">N373-N374</f>
        <v>0</v>
      </c>
      <c r="O375" s="8" t="n">
        <f aca="false">O373-O374</f>
        <v>0</v>
      </c>
      <c r="P375" s="8" t="n">
        <f aca="false">P373-P374</f>
        <v>2004.54307751793</v>
      </c>
      <c r="Q375" s="8" t="n">
        <f aca="false">Q373-Q374</f>
        <v>2104.77023139383</v>
      </c>
      <c r="R375" s="8" t="n">
        <f aca="false">R373-R374</f>
        <v>2210.00874296352</v>
      </c>
      <c r="S375" s="8" t="n">
        <f aca="false">S373-S374</f>
        <v>2320.5091801117</v>
      </c>
      <c r="T375" s="8" t="n">
        <f aca="false">T373-T374</f>
        <v>2436.53463911728</v>
      </c>
      <c r="U375" s="8" t="n">
        <f aca="false">U373-U374</f>
        <v>2558.36137107315</v>
      </c>
      <c r="V375" s="8" t="n">
        <f aca="false">V373-V374</f>
        <v>2686.2794396268</v>
      </c>
      <c r="W375" s="8" t="n">
        <f aca="false">W373-W374</f>
        <v>2820.59341160814</v>
      </c>
      <c r="X375" s="8" t="n">
        <f aca="false">X373-X374</f>
        <v>2961.62308218855</v>
      </c>
      <c r="Y375" s="8" t="n">
        <f aca="false">Y373-Y374</f>
        <v>3109.70423629798</v>
      </c>
      <c r="Z375" s="8" t="n">
        <f aca="false">Z373-Z374</f>
        <v>3265.18944811288</v>
      </c>
      <c r="AA375" s="8" t="n">
        <f aca="false">AA373-AA374</f>
        <v>3428.44892051852</v>
      </c>
      <c r="AB375" s="8" t="n">
        <f aca="false">AB373-AB374</f>
        <v>3599.87136654445</v>
      </c>
      <c r="AC375" s="8" t="n">
        <f aca="false">AC373-AC374</f>
        <v>3779.86493487167</v>
      </c>
      <c r="AD375" s="8" t="n">
        <f aca="false">AD373-AD374</f>
        <v>3968.85818161525</v>
      </c>
      <c r="AE375" s="8" t="n">
        <f aca="false">AE373-AE374</f>
        <v>1.36424205265939E-012</v>
      </c>
      <c r="AF375" s="8" t="n">
        <f aca="false">AF373-AF374</f>
        <v>1.43245415529236E-012</v>
      </c>
      <c r="AG375" s="8" t="n">
        <f aca="false">AG373-AG374</f>
        <v>1.50407686305698E-012</v>
      </c>
      <c r="AH375" s="8" t="n">
        <f aca="false">AH373-AH374</f>
        <v>1.57928070620983E-012</v>
      </c>
      <c r="AI375" s="8" t="n">
        <f aca="false">AI373-AI374</f>
        <v>1.65824474152032E-012</v>
      </c>
      <c r="AJ375" s="8" t="n">
        <f aca="false">AJ373-AJ374</f>
        <v>1.74115697859634E-012</v>
      </c>
      <c r="AK375" s="8" t="n">
        <f aca="false">AK373-AK374</f>
        <v>1.82821482752615E-012</v>
      </c>
      <c r="AL375" s="8" t="n">
        <f aca="false">AL373-AL374</f>
        <v>1.91962556890246E-012</v>
      </c>
      <c r="AM375" s="8" t="n">
        <f aca="false">AM373-AM374</f>
        <v>2.01560684734758E-012</v>
      </c>
      <c r="AN375" s="8" t="n">
        <f aca="false">AN373-AN374</f>
        <v>2.11638718971496E-012</v>
      </c>
      <c r="AO375" s="8" t="n">
        <f aca="false">AO373-AO374</f>
        <v>2.22220654920071E-012</v>
      </c>
      <c r="AP375" s="8" t="n">
        <f aca="false">AP373-AP374</f>
        <v>2.33331687666075E-012</v>
      </c>
      <c r="AQ375" s="8" t="n">
        <f aca="false">AQ373-AQ374</f>
        <v>2.44998272049379E-012</v>
      </c>
      <c r="AR375" s="8" t="n">
        <f aca="false">AR373-AR374</f>
        <v>2.57248185651847E-012</v>
      </c>
      <c r="AS375" s="8" t="n">
        <f aca="false">AS373-AS374</f>
        <v>2.7011059493444E-012</v>
      </c>
    </row>
    <row r="376" customFormat="false" ht="14.25" hidden="false" customHeight="false" outlineLevel="0" collapsed="false">
      <c r="C376" s="6" t="s">
        <v>312</v>
      </c>
      <c r="D376" s="2" t="s">
        <v>85</v>
      </c>
      <c r="H376" s="8"/>
      <c r="J376" s="8" t="n">
        <f aca="false">I376+J372-J375</f>
        <v>0</v>
      </c>
      <c r="K376" s="8" t="n">
        <f aca="false">J376+K372-K375</f>
        <v>0</v>
      </c>
      <c r="L376" s="8" t="n">
        <f aca="false">K376+L372-L375</f>
        <v>0</v>
      </c>
      <c r="M376" s="8" t="n">
        <f aca="false">L376+M372-M375</f>
        <v>0</v>
      </c>
      <c r="N376" s="8" t="n">
        <f aca="false">M376+N372-N375</f>
        <v>0</v>
      </c>
      <c r="O376" s="8" t="n">
        <f aca="false">N376+O372-O375</f>
        <v>43255.1602635616</v>
      </c>
      <c r="P376" s="8" t="n">
        <f aca="false">O376+P372-P375</f>
        <v>41250.6171860437</v>
      </c>
      <c r="Q376" s="8" t="n">
        <f aca="false">P376+Q372-Q375</f>
        <v>39145.8469546499</v>
      </c>
      <c r="R376" s="8" t="n">
        <f aca="false">Q376+R372-R375</f>
        <v>36935.8382116864</v>
      </c>
      <c r="S376" s="8" t="n">
        <f aca="false">R376+S372-S375</f>
        <v>34615.3290315747</v>
      </c>
      <c r="T376" s="8" t="n">
        <f aca="false">S376+T372-T375</f>
        <v>32178.7943924574</v>
      </c>
      <c r="U376" s="8" t="n">
        <f aca="false">T376+U372-U375</f>
        <v>29620.4330213842</v>
      </c>
      <c r="V376" s="8" t="n">
        <f aca="false">U376+V372-V375</f>
        <v>26934.1535817574</v>
      </c>
      <c r="W376" s="8" t="n">
        <f aca="false">V376+W372-W375</f>
        <v>24113.5601701493</v>
      </c>
      <c r="X376" s="8" t="n">
        <f aca="false">W376+X372-X375</f>
        <v>21151.9370879607</v>
      </c>
      <c r="Y376" s="8" t="n">
        <f aca="false">X376+Y372-Y375</f>
        <v>18042.2328516627</v>
      </c>
      <c r="Z376" s="8" t="n">
        <f aca="false">Y376+Z372-Z375</f>
        <v>14777.0434035499</v>
      </c>
      <c r="AA376" s="8" t="n">
        <f aca="false">Z376+AA372-AA375</f>
        <v>11348.5944830313</v>
      </c>
      <c r="AB376" s="8" t="n">
        <f aca="false">AA376+AB372-AB375</f>
        <v>7748.7231164869</v>
      </c>
      <c r="AC376" s="8" t="n">
        <f aca="false">AB376+AC372-AC375</f>
        <v>3968.85818161523</v>
      </c>
      <c r="AD376" s="8" t="n">
        <f aca="false">AC376+AD372-AD375</f>
        <v>-2.72848410531878E-011</v>
      </c>
      <c r="AE376" s="8" t="n">
        <f aca="false">AD376+AE372-AE375</f>
        <v>-2.86490831058472E-011</v>
      </c>
      <c r="AF376" s="8" t="n">
        <f aca="false">AE376+AF372-AF375</f>
        <v>-3.00815372611396E-011</v>
      </c>
      <c r="AG376" s="8" t="n">
        <f aca="false">AF376+AG372-AG375</f>
        <v>-3.15856141241966E-011</v>
      </c>
      <c r="AH376" s="8" t="n">
        <f aca="false">AG376+AH372-AH375</f>
        <v>-3.31648948304064E-011</v>
      </c>
      <c r="AI376" s="8" t="n">
        <f aca="false">AH376+AI372-AI375</f>
        <v>-3.48231395719267E-011</v>
      </c>
      <c r="AJ376" s="8" t="n">
        <f aca="false">AI376+AJ372-AJ375</f>
        <v>-3.65642965505231E-011</v>
      </c>
      <c r="AK376" s="8" t="n">
        <f aca="false">AJ376+AK372-AK375</f>
        <v>-3.83925113780492E-011</v>
      </c>
      <c r="AL376" s="8" t="n">
        <f aca="false">AK376+AL372-AL375</f>
        <v>-4.03121369469517E-011</v>
      </c>
      <c r="AM376" s="8" t="n">
        <f aca="false">AL376+AM372-AM375</f>
        <v>-4.23277437942993E-011</v>
      </c>
      <c r="AN376" s="8" t="n">
        <f aca="false">AM376+AN372-AN375</f>
        <v>-4.44441309840142E-011</v>
      </c>
      <c r="AO376" s="8" t="n">
        <f aca="false">AN376+AO372-AO375</f>
        <v>-4.6666337533215E-011</v>
      </c>
      <c r="AP376" s="8" t="n">
        <f aca="false">AO376+AP372-AP375</f>
        <v>-4.89996544098757E-011</v>
      </c>
      <c r="AQ376" s="8" t="n">
        <f aca="false">AP376+AQ372-AQ375</f>
        <v>-5.14496371303695E-011</v>
      </c>
      <c r="AR376" s="8" t="n">
        <f aca="false">AQ376+AR372-AR375</f>
        <v>-5.4022118986888E-011</v>
      </c>
      <c r="AS376" s="8" t="n">
        <f aca="false">AR376+AS372-AS375</f>
        <v>-5.67232249362324E-011</v>
      </c>
    </row>
    <row r="377" customFormat="false" ht="14.25" hidden="false" customHeight="false" outlineLevel="0" collapsed="false">
      <c r="C377" s="6" t="s">
        <v>313</v>
      </c>
      <c r="D377" s="2" t="s">
        <v>85</v>
      </c>
      <c r="H377" s="8" t="n">
        <f aca="false">SUM(J377:AS377)</f>
        <v>-28495.6457386753</v>
      </c>
      <c r="J377" s="8" t="n">
        <f aca="false">-MAX(0,J367+J369-J374)*CIT_Rate*(J347&gt;0)</f>
        <v>-0</v>
      </c>
      <c r="K377" s="8" t="n">
        <f aca="false">-MAX(0,K367+K369-K374)*CIT_Rate*(K347&gt;0)</f>
        <v>-0</v>
      </c>
      <c r="L377" s="8" t="n">
        <f aca="false">-MAX(0,L367+L369-L374)*CIT_Rate*(L347&gt;0)</f>
        <v>-0</v>
      </c>
      <c r="M377" s="8" t="n">
        <f aca="false">-MAX(0,M367+M369-M374)*CIT_Rate*(M347&gt;0)</f>
        <v>-0</v>
      </c>
      <c r="N377" s="8" t="n">
        <f aca="false">-MAX(0,N367+N369-N374)*CIT_Rate*(N347&gt;0)</f>
        <v>-0</v>
      </c>
      <c r="O377" s="8" t="n">
        <f aca="false">-MAX(0,O367+O369-O374)*CIT_Rate*(O347&gt;0)</f>
        <v>-139.293222505479</v>
      </c>
      <c r="P377" s="8" t="n">
        <f aca="false">-MAX(0,P367+P369-P374)*CIT_Rate*(P347&gt;0)</f>
        <v>-503.683650094767</v>
      </c>
      <c r="Q377" s="8" t="n">
        <f aca="false">-MAX(0,Q367+Q369-Q374)*CIT_Rate*(Q347&gt;0)</f>
        <v>-522.686370476765</v>
      </c>
      <c r="R377" s="8" t="n">
        <f aca="false">-MAX(0,R367+R369-R374)*CIT_Rate*(R347&gt;0)</f>
        <v>-542.333875572711</v>
      </c>
      <c r="S377" s="8" t="n">
        <f aca="false">-MAX(0,S367+S369-S374)*CIT_Rate*(S347&gt;0)</f>
        <v>-562.659744195745</v>
      </c>
      <c r="T377" s="8" t="n">
        <f aca="false">-MAX(0,T367+T369-T374)*CIT_Rate*(T347&gt;0)</f>
        <v>-583.699327231429</v>
      </c>
      <c r="U377" s="8" t="n">
        <f aca="false">-MAX(0,U367+U369-U374)*CIT_Rate*(U347&gt;0)</f>
        <v>-605.489838921742</v>
      </c>
      <c r="V377" s="8" t="n">
        <f aca="false">-MAX(0,V367+V369-V374)*CIT_Rate*(V347&gt;0)</f>
        <v>-628.070452781338</v>
      </c>
      <c r="W377" s="8" t="n">
        <f aca="false">-MAX(0,W367+W369-W374)*CIT_Rate*(W347&gt;0)</f>
        <v>-651.482402379378</v>
      </c>
      <c r="X377" s="8" t="n">
        <f aca="false">-MAX(0,X367+X369-X374)*CIT_Rate*(X347&gt;0)</f>
        <v>-675.769087231907</v>
      </c>
      <c r="Y377" s="8" t="n">
        <f aca="false">-MAX(0,Y367+Y369-Y374)*CIT_Rate*(Y347&gt;0)</f>
        <v>-700.976184062085</v>
      </c>
      <c r="Z377" s="8" t="n">
        <f aca="false">-MAX(0,Z367+Z369-Z374)*CIT_Rate*(Z347&gt;0)</f>
        <v>-727.151763698461</v>
      </c>
      <c r="AA377" s="8" t="n">
        <f aca="false">-MAX(0,AA367+AA369-AA374)*CIT_Rate*(AA347&gt;0)</f>
        <v>-754.346413895042</v>
      </c>
      <c r="AB377" s="8" t="n">
        <f aca="false">-MAX(0,AB367+AB369-AB374)*CIT_Rate*(AB347&gt;0)</f>
        <v>-782.613368371142</v>
      </c>
      <c r="AC377" s="8" t="n">
        <f aca="false">-MAX(0,AC367+AC369-AC374)*CIT_Rate*(AC347&gt;0)</f>
        <v>-812.008642383946</v>
      </c>
      <c r="AD377" s="8" t="n">
        <f aca="false">-MAX(0,AD367+AD369-AD374)*CIT_Rate*(AD347&gt;0)</f>
        <v>-842.591175162404</v>
      </c>
      <c r="AE377" s="8" t="n">
        <f aca="false">-MAX(0,AE367+AE369-AE374)*CIT_Rate*(AE347&gt;0)</f>
        <v>-874.422979547563</v>
      </c>
      <c r="AF377" s="8" t="n">
        <f aca="false">-MAX(0,AF367+AF369-AF374)*CIT_Rate*(AF347&gt;0)</f>
        <v>-876.314541021526</v>
      </c>
      <c r="AG377" s="8" t="n">
        <f aca="false">-MAX(0,AG367+AG369-AG374)*CIT_Rate*(AG347&gt;0)</f>
        <v>-878.026519497714</v>
      </c>
      <c r="AH377" s="8" t="n">
        <f aca="false">-MAX(0,AH367+AH369-AH374)*CIT_Rate*(AH347&gt;0)</f>
        <v>-879.552987210471</v>
      </c>
      <c r="AI377" s="8" t="n">
        <f aca="false">-MAX(0,AI367+AI369-AI374)*CIT_Rate*(AI347&gt;0)</f>
        <v>-1421.57736460796</v>
      </c>
      <c r="AJ377" s="8" t="n">
        <f aca="false">-MAX(0,AJ367+AJ369-AJ374)*CIT_Rate*(AJ347&gt;0)</f>
        <v>-1422.71440331785</v>
      </c>
      <c r="AK377" s="8" t="n">
        <f aca="false">-MAX(0,AK367+AK369-AK374)*CIT_Rate*(AK347&gt;0)</f>
        <v>-1423.64720196349</v>
      </c>
      <c r="AL377" s="8" t="n">
        <f aca="false">-MAX(0,AL367+AL369-AL374)*CIT_Rate*(AL347&gt;0)</f>
        <v>-1424.36918893773</v>
      </c>
      <c r="AM377" s="8" t="n">
        <f aca="false">-MAX(0,AM367+AM369-AM374)*CIT_Rate*(AM347&gt;0)</f>
        <v>-1424.87362154996</v>
      </c>
      <c r="AN377" s="8" t="n">
        <f aca="false">-MAX(0,AN367+AN369-AN374)*CIT_Rate*(AN347&gt;0)</f>
        <v>-1425.15358177669</v>
      </c>
      <c r="AO377" s="8" t="n">
        <f aca="false">-MAX(0,AO367+AO369-AO374)*CIT_Rate*(AO347&gt;0)</f>
        <v>-1425.20197190776</v>
      </c>
      <c r="AP377" s="8" t="n">
        <f aca="false">-MAX(0,AP367+AP369-AP374)*CIT_Rate*(AP347&gt;0)</f>
        <v>-1425.01151008556</v>
      </c>
      <c r="AQ377" s="8" t="n">
        <f aca="false">-MAX(0,AQ367+AQ369-AQ374)*CIT_Rate*(AQ347&gt;0)</f>
        <v>-1424.57472573466</v>
      </c>
      <c r="AR377" s="8" t="n">
        <f aca="false">-MAX(0,AR367+AR369-AR374)*CIT_Rate*(AR347&gt;0)</f>
        <v>-1423.88395487925</v>
      </c>
      <c r="AS377" s="8" t="n">
        <f aca="false">-MAX(0,AS367+AS369-AS374)*CIT_Rate*(AS347&gt;0)</f>
        <v>-711.46566767273</v>
      </c>
    </row>
    <row r="378" customFormat="false" ht="14.25" hidden="false" customHeight="false" outlineLevel="0" collapsed="false">
      <c r="C378" s="1" t="s">
        <v>161</v>
      </c>
      <c r="D378" s="2" t="s">
        <v>85</v>
      </c>
      <c r="H378" s="32" t="n">
        <f aca="false">SUM(J378:AS378)</f>
        <v>161475.325852493</v>
      </c>
      <c r="J378" s="32" t="n">
        <f aca="false">J368+J372-J373+J377</f>
        <v>0</v>
      </c>
      <c r="K378" s="32" t="n">
        <f aca="false">K368+K372-K373+K377</f>
        <v>0</v>
      </c>
      <c r="L378" s="32" t="n">
        <f aca="false">L368+L372-L373+L377</f>
        <v>0</v>
      </c>
      <c r="M378" s="32" t="n">
        <f aca="false">M368+M372-M373+M377</f>
        <v>-33450.8995260274</v>
      </c>
      <c r="N378" s="32" t="n">
        <f aca="false">N368+N372-N373+N377</f>
        <v>-26389</v>
      </c>
      <c r="O378" s="32" t="n">
        <f aca="false">O368+O372-O373+O377</f>
        <v>33454.5852130562</v>
      </c>
      <c r="P378" s="32" t="n">
        <f aca="false">P368+P372-P373+P377</f>
        <v>4454.26096164922</v>
      </c>
      <c r="Q378" s="32" t="n">
        <f aca="false">Q368+Q372-Q373+Q377</f>
        <v>6404.18164336263</v>
      </c>
      <c r="R378" s="32" t="n">
        <f aca="false">R368+R372-R373+R377</f>
        <v>4467.81324057864</v>
      </c>
      <c r="S378" s="32" t="n">
        <f aca="false">S368+S372-S373+S377</f>
        <v>4472.49272562766</v>
      </c>
      <c r="T378" s="32" t="n">
        <f aca="false">T368+T372-T373+T377</f>
        <v>4475.69157049095</v>
      </c>
      <c r="U378" s="32" t="n">
        <f aca="false">U368+U372-U373+U377</f>
        <v>4477.34440478019</v>
      </c>
      <c r="V378" s="32" t="n">
        <f aca="false">V368+V372-V373+V377</f>
        <v>4477.38314809758</v>
      </c>
      <c r="W378" s="32" t="n">
        <f aca="false">W368+W372-W373+W377</f>
        <v>4475.73689050513</v>
      </c>
      <c r="X378" s="32" t="n">
        <f aca="false">X368+X372-X373+X377</f>
        <v>4472.33176742239</v>
      </c>
      <c r="Y378" s="32" t="n">
        <f aca="false">Y368+Y372-Y373+Y377</f>
        <v>4467.09082868398</v>
      </c>
      <c r="Z378" s="32" t="n">
        <f aca="false">Z368+Z372-Z373+Z377</f>
        <v>4459.93390147521</v>
      </c>
      <c r="AA378" s="32" t="n">
        <f aca="false">AA368+AA372-AA373+AA377</f>
        <v>4450.77744685018</v>
      </c>
      <c r="AB378" s="32" t="n">
        <f aca="false">AB368+AB372-AB373+AB377</f>
        <v>4439.53440952216</v>
      </c>
      <c r="AC378" s="32" t="n">
        <f aca="false">AC368+AC372-AC373+AC377</f>
        <v>4426.11406060083</v>
      </c>
      <c r="AD378" s="32" t="n">
        <f aca="false">AD368+AD372-AD373+AD377</f>
        <v>4410.42183293517</v>
      </c>
      <c r="AE378" s="32" t="n">
        <f aca="false">AE368+AE372-AE373+AE377</f>
        <v>8559.66023939966</v>
      </c>
      <c r="AF378" s="32" t="n">
        <f aca="false">AF368+AF372-AF373+AF377</f>
        <v>8570.37908775212</v>
      </c>
      <c r="AG378" s="32" t="n">
        <f aca="false">AG368+AG372-AG373+AG377</f>
        <v>8580.08029911718</v>
      </c>
      <c r="AH378" s="32" t="n">
        <f aca="false">AH368+AH372-AH373+AH377</f>
        <v>8588.7302828228</v>
      </c>
      <c r="AI378" s="32" t="n">
        <f aca="false">AI368+AI372-AI373+AI377</f>
        <v>8055.60506611177</v>
      </c>
      <c r="AJ378" s="32" t="n">
        <f aca="false">AJ368+AJ372-AJ373+AJ377</f>
        <v>8062.04828546784</v>
      </c>
      <c r="AK378" s="32" t="n">
        <f aca="false">AK368+AK372-AK373+AK377</f>
        <v>8067.33414445979</v>
      </c>
      <c r="AL378" s="32" t="n">
        <f aca="false">AL368+AL372-AL373+AL377</f>
        <v>8071.42540398047</v>
      </c>
      <c r="AM378" s="32" t="n">
        <f aca="false">AM368+AM372-AM373+AM377</f>
        <v>8074.28385544977</v>
      </c>
      <c r="AN378" s="32" t="n">
        <f aca="false">AN368+AN372-AN373+AN377</f>
        <v>8075.87029673459</v>
      </c>
      <c r="AO378" s="32" t="n">
        <f aca="false">AO368+AO372-AO373+AO377</f>
        <v>8076.14450747733</v>
      </c>
      <c r="AP378" s="32" t="n">
        <f aca="false">AP368+AP372-AP373+AP377</f>
        <v>8075.06522381815</v>
      </c>
      <c r="AQ378" s="32" t="n">
        <f aca="false">AQ368+AQ372-AQ373+AQ377</f>
        <v>8072.5901124964</v>
      </c>
      <c r="AR378" s="32" t="n">
        <f aca="false">AR368+AR372-AR373+AR377</f>
        <v>8068.67574431577</v>
      </c>
      <c r="AS378" s="32" t="n">
        <f aca="false">AS368+AS372-AS373+AS377</f>
        <v>4031.6387834788</v>
      </c>
    </row>
    <row r="379" customFormat="false" ht="14.25" hidden="false" customHeight="false" outlineLevel="0" collapsed="false">
      <c r="C379" s="6" t="s">
        <v>314</v>
      </c>
      <c r="D379" s="2" t="s">
        <v>3</v>
      </c>
      <c r="H379" s="47" t="n">
        <f aca="false">MIN(J379:AS379)</f>
        <v>2.18972555710294</v>
      </c>
      <c r="J379" s="47" t="str">
        <f aca="false">IF(J373&gt;0,J367/J373,"")</f>
        <v/>
      </c>
      <c r="K379" s="47" t="str">
        <f aca="false">IF(K373&gt;0,K367/K373,"")</f>
        <v/>
      </c>
      <c r="L379" s="47" t="str">
        <f aca="false">IF(L373&gt;0,L367/L373,"")</f>
        <v/>
      </c>
      <c r="M379" s="47" t="str">
        <f aca="false">IF(M373&gt;0,M367/M373,"")</f>
        <v/>
      </c>
      <c r="N379" s="47" t="str">
        <f aca="false">IF(N373&gt;0,N367/N373,"")</f>
        <v/>
      </c>
      <c r="O379" s="47" t="str">
        <f aca="false">IF(O373&gt;0,O367/O373,"")</f>
        <v/>
      </c>
      <c r="P379" s="47" t="n">
        <f aca="false">IF(P373&gt;0,P367/P373,"")</f>
        <v>2.18972555710294</v>
      </c>
      <c r="Q379" s="47" t="n">
        <f aca="false">IF(Q373&gt;0,Q367/Q373,"")</f>
        <v>2.1960744260939</v>
      </c>
      <c r="R379" s="47" t="n">
        <f aca="false">IF(R373&gt;0,R367/R373,"")</f>
        <v>2.20225225082418</v>
      </c>
      <c r="S379" s="47" t="n">
        <f aca="false">IF(S373&gt;0,S367/S373,"")</f>
        <v>2.20825262207834</v>
      </c>
      <c r="T379" s="47" t="n">
        <f aca="false">IF(T373&gt;0,T367/T373,"")</f>
        <v>2.21406895916834</v>
      </c>
      <c r="U379" s="47" t="n">
        <f aca="false">IF(U373&gt;0,U367/U373,"")</f>
        <v>2.21969450564778</v>
      </c>
      <c r="V379" s="47" t="n">
        <f aca="false">IF(V373&gt;0,V367/V373,"")</f>
        <v>2.2251223249209</v>
      </c>
      <c r="W379" s="47" t="n">
        <f aca="false">IF(W373&gt;0,W367/W373,"")</f>
        <v>2.23034529574348</v>
      </c>
      <c r="X379" s="47" t="n">
        <f aca="false">IF(X373&gt;0,X367/X373,"")</f>
        <v>2.23535610761316</v>
      </c>
      <c r="Y379" s="47" t="n">
        <f aca="false">IF(Y373&gt;0,Y367/Y373,"")</f>
        <v>2.24014725604645</v>
      </c>
      <c r="Z379" s="47" t="n">
        <f aca="false">IF(Z373&gt;0,Z367/Z373,"")</f>
        <v>2.24471103773962</v>
      </c>
      <c r="AA379" s="47" t="n">
        <f aca="false">IF(AA373&gt;0,AA367/AA373,"")</f>
        <v>2.24903954561053</v>
      </c>
      <c r="AB379" s="47" t="n">
        <f aca="false">IF(AB373&gt;0,AB367/AB373,"")</f>
        <v>2.25312466371877</v>
      </c>
      <c r="AC379" s="47" t="n">
        <f aca="false">IF(AC373&gt;0,AC367/AC373,"")</f>
        <v>2.25695806206072</v>
      </c>
      <c r="AD379" s="47" t="n">
        <f aca="false">IF(AD373&gt;0,AD367/AD373,"")</f>
        <v>2.26053119123683</v>
      </c>
      <c r="AE379" s="47" t="str">
        <f aca="false">IF(AE373&gt;0,AE367/AE373,"")</f>
        <v/>
      </c>
      <c r="AF379" s="47" t="str">
        <f aca="false">IF(AF373&gt;0,AF367/AF373,"")</f>
        <v/>
      </c>
      <c r="AG379" s="47" t="str">
        <f aca="false">IF(AG373&gt;0,AG367/AG373,"")</f>
        <v/>
      </c>
      <c r="AH379" s="47" t="str">
        <f aca="false">IF(AH373&gt;0,AH367/AH373,"")</f>
        <v/>
      </c>
      <c r="AI379" s="47" t="str">
        <f aca="false">IF(AI373&gt;0,AI367/AI373,"")</f>
        <v/>
      </c>
      <c r="AJ379" s="47" t="str">
        <f aca="false">IF(AJ373&gt;0,AJ367/AJ373,"")</f>
        <v/>
      </c>
      <c r="AK379" s="47" t="str">
        <f aca="false">IF(AK373&gt;0,AK367/AK373,"")</f>
        <v/>
      </c>
      <c r="AL379" s="47" t="str">
        <f aca="false">IF(AL373&gt;0,AL367/AL373,"")</f>
        <v/>
      </c>
      <c r="AM379" s="47" t="str">
        <f aca="false">IF(AM373&gt;0,AM367/AM373,"")</f>
        <v/>
      </c>
      <c r="AN379" s="47" t="str">
        <f aca="false">IF(AN373&gt;0,AN367/AN373,"")</f>
        <v/>
      </c>
      <c r="AO379" s="47" t="str">
        <f aca="false">IF(AO373&gt;0,AO367/AO373,"")</f>
        <v/>
      </c>
      <c r="AP379" s="47" t="str">
        <f aca="false">IF(AP373&gt;0,AP367/AP373,"")</f>
        <v/>
      </c>
      <c r="AQ379" s="47" t="str">
        <f aca="false">IF(AQ373&gt;0,AQ367/AQ373,"")</f>
        <v/>
      </c>
      <c r="AR379" s="47" t="str">
        <f aca="false">IF(AR373&gt;0,AR367/AR373,"")</f>
        <v/>
      </c>
      <c r="AS379" s="47" t="str">
        <f aca="false">IF(AS373&gt;0,AS367/AS373,"")</f>
        <v/>
      </c>
    </row>
    <row r="380" customFormat="false" ht="14.25" hidden="false" customHeight="false" outlineLevel="0" collapsed="false">
      <c r="C380" s="6" t="s">
        <v>315</v>
      </c>
      <c r="D380" s="2" t="s">
        <v>3</v>
      </c>
      <c r="J380" s="75" t="n">
        <f aca="false">(1+Discount_Rate)^((Inputs!$E$26-J$340)/Days_In_Year)</f>
        <v>1.41371255107938</v>
      </c>
      <c r="K380" s="75" t="n">
        <f aca="false">(1+Discount_Rate)^((Inputs!$E$26-K$340)/Days_In_Year)</f>
        <v>1.30899310285128</v>
      </c>
      <c r="L380" s="75" t="n">
        <f aca="false">(1+Discount_Rate)^((Inputs!$E$26-L$340)/Days_In_Year)</f>
        <v>1.21177511843915</v>
      </c>
      <c r="M380" s="75" t="n">
        <f aca="false">(1+Discount_Rate)^((Inputs!$E$26-M$340)/Days_In_Year)</f>
        <v>1.12201399855477</v>
      </c>
      <c r="N380" s="75" t="n">
        <f aca="false">(1+Discount_Rate)^((Inputs!$E$26-N$340)/Days_In_Year)</f>
        <v>1.03890185051367</v>
      </c>
      <c r="O380" s="75" t="n">
        <f aca="false">(1+Discount_Rate)^((Inputs!$E$26-O$340)/Days_In_Year)</f>
        <v>0.961946157883031</v>
      </c>
      <c r="P380" s="75" t="n">
        <f aca="false">(1+Discount_Rate)^((Inputs!$E$26-P$340)/Days_In_Year)</f>
        <v>0.890503102622714</v>
      </c>
      <c r="Q380" s="75" t="n">
        <f aca="false">(1+Discount_Rate)^((Inputs!$E$26-Q$340)/Days_In_Year)</f>
        <v>0.824539909835846</v>
      </c>
      <c r="R380" s="75" t="n">
        <f aca="false">(1+Discount_Rate)^((Inputs!$E$26-R$340)/Days_In_Year)</f>
        <v>0.763462879477635</v>
      </c>
      <c r="S380" s="75" t="n">
        <f aca="false">(1+Discount_Rate)^((Inputs!$E$26-S$340)/Days_In_Year)</f>
        <v>0.706910073590403</v>
      </c>
      <c r="T380" s="75" t="n">
        <f aca="false">(1+Discount_Rate)^((Inputs!$E$26-T$340)/Days_In_Year)</f>
        <v>0.654408366464987</v>
      </c>
      <c r="U380" s="75" t="n">
        <f aca="false">(1+Discount_Rate)^((Inputs!$E$26-U$340)/Days_In_Year)</f>
        <v>0.605933672652766</v>
      </c>
      <c r="V380" s="75" t="n">
        <f aca="false">(1+Discount_Rate)^((Inputs!$E$26-V$340)/Days_In_Year)</f>
        <v>0.561049696900709</v>
      </c>
      <c r="W380" s="75" t="n">
        <f aca="false">(1+Discount_Rate)^((Inputs!$E$26-W$340)/Days_In_Year)</f>
        <v>0.519490460093249</v>
      </c>
      <c r="X380" s="75" t="n">
        <f aca="false">(1+Discount_Rate)^((Inputs!$E$26-X$340)/Days_In_Year)</f>
        <v>0.480908274028566</v>
      </c>
      <c r="Y380" s="75" t="n">
        <f aca="false">(1+Discount_Rate)^((Inputs!$E$26-Y$340)/Days_In_Year)</f>
        <v>0.445285438915339</v>
      </c>
      <c r="Z380" s="75" t="n">
        <f aca="false">(1+Discount_Rate)^((Inputs!$E$26-Z$340)/Days_In_Year)</f>
        <v>0.412301332329018</v>
      </c>
      <c r="AA380" s="75" t="n">
        <f aca="false">(1+Discount_Rate)^((Inputs!$E$26-AA$340)/Days_In_Year)</f>
        <v>0.381760492897239</v>
      </c>
      <c r="AB380" s="75" t="n">
        <f aca="false">(1+Discount_Rate)^((Inputs!$E$26-AB$340)/Days_In_Year)</f>
        <v>0.353407413292154</v>
      </c>
      <c r="AC380" s="75" t="n">
        <f aca="false">(1+Discount_Rate)^((Inputs!$E$26-AC$340)/Days_In_Year)</f>
        <v>0.327229086381624</v>
      </c>
      <c r="AD380" s="75" t="n">
        <f aca="false">(1+Discount_Rate)^((Inputs!$E$26-AD$340)/Days_In_Year)</f>
        <v>0.3029898947978</v>
      </c>
      <c r="AE380" s="75" t="n">
        <f aca="false">(1+Discount_Rate)^((Inputs!$E$26-AE$340)/Days_In_Year)</f>
        <v>0.280546198886852</v>
      </c>
      <c r="AF380" s="75" t="n">
        <f aca="false">(1+Discount_Rate)^((Inputs!$E$26-AF$340)/Days_In_Year)</f>
        <v>0.259710232730228</v>
      </c>
      <c r="AG380" s="75" t="n">
        <f aca="false">(1+Discount_Rate)^((Inputs!$E$26-AG$340)/Days_In_Year)</f>
        <v>0.240472437713174</v>
      </c>
      <c r="AH380" s="75" t="n">
        <f aca="false">(1+Discount_Rate)^((Inputs!$E$26-AH$340)/Days_In_Year)</f>
        <v>0.222659664549235</v>
      </c>
      <c r="AI380" s="75" t="n">
        <f aca="false">(1+Discount_Rate)^((Inputs!$E$26-AI$340)/Days_In_Year)</f>
        <v>0.206166356064106</v>
      </c>
      <c r="AJ380" s="75" t="n">
        <f aca="false">(1+Discount_Rate)^((Inputs!$E$26-AJ$340)/Days_In_Year)</f>
        <v>0.190854527799705</v>
      </c>
      <c r="AK380" s="75" t="n">
        <f aca="false">(1+Discount_Rate)^((Inputs!$E$26-AK$340)/Days_In_Year)</f>
        <v>0.176717155370097</v>
      </c>
      <c r="AL380" s="75" t="n">
        <f aca="false">(1+Discount_Rate)^((Inputs!$E$26-AL$340)/Days_In_Year)</f>
        <v>0.163626995713053</v>
      </c>
      <c r="AM380" s="75" t="n">
        <f aca="false">(1+Discount_Rate)^((Inputs!$E$26-AM$340)/Days_In_Year)</f>
        <v>0.151506477512086</v>
      </c>
      <c r="AN380" s="75" t="n">
        <f aca="false">(1+Discount_Rate)^((Inputs!$E$26-AN$340)/Days_In_Year)</f>
        <v>0.140254199454224</v>
      </c>
      <c r="AO380" s="75" t="n">
        <f aca="false">(1+Discount_Rate)^((Inputs!$E$26-AO$340)/Days_In_Year)</f>
        <v>0.129864999494652</v>
      </c>
      <c r="AP380" s="75" t="n">
        <f aca="false">(1+Discount_Rate)^((Inputs!$E$26-AP$340)/Days_In_Year)</f>
        <v>0.120245369902455</v>
      </c>
      <c r="AQ380" s="75" t="n">
        <f aca="false">(1+Discount_Rate)^((Inputs!$E$26-AQ$340)/Days_In_Year)</f>
        <v>0.111338305465236</v>
      </c>
      <c r="AR380" s="75" t="n">
        <f aca="false">(1+Discount_Rate)^((Inputs!$E$26-AR$340)/Days_In_Year)</f>
        <v>0.103069288904634</v>
      </c>
      <c r="AS380" s="75" t="n">
        <f aca="false">(1+Discount_Rate)^((Inputs!$E$26-AS$340)/Days_In_Year)</f>
        <v>0.0954345267635496</v>
      </c>
    </row>
    <row r="381" customFormat="false" ht="14.25" hidden="false" customHeight="false" outlineLevel="0" collapsed="false">
      <c r="C381" s="6" t="s">
        <v>316</v>
      </c>
      <c r="D381" s="2" t="s">
        <v>85</v>
      </c>
      <c r="H381" s="8" t="n">
        <f aca="false">SUM(J381:AS381)</f>
        <v>104654.654246613</v>
      </c>
      <c r="J381" s="8" t="n">
        <f aca="false">J367*J380</f>
        <v>0</v>
      </c>
      <c r="K381" s="8" t="n">
        <f aca="false">K367*K380</f>
        <v>0</v>
      </c>
      <c r="L381" s="8" t="n">
        <f aca="false">L367*L380</f>
        <v>0</v>
      </c>
      <c r="M381" s="8" t="n">
        <f aca="false">M367*M380</f>
        <v>0</v>
      </c>
      <c r="N381" s="8" t="n">
        <f aca="false">N367*N380</f>
        <v>0</v>
      </c>
      <c r="O381" s="8" t="n">
        <f aca="false">O367*O380</f>
        <v>4360.71180340094</v>
      </c>
      <c r="P381" s="8" t="n">
        <f aca="false">P367*P380</f>
        <v>8126.0596102174</v>
      </c>
      <c r="Q381" s="8" t="n">
        <f aca="false">Q367*Q380</f>
        <v>7545.94465596927</v>
      </c>
      <c r="R381" s="8" t="n">
        <f aca="false">R367*R380</f>
        <v>7006.64103425655</v>
      </c>
      <c r="S381" s="8" t="n">
        <f aca="false">S367*S380</f>
        <v>6505.30712367905</v>
      </c>
      <c r="T381" s="8" t="n">
        <f aca="false">T367*T380</f>
        <v>6038.02443201647</v>
      </c>
      <c r="U381" s="8" t="n">
        <f aca="false">U367*U380</f>
        <v>5604.96847570687</v>
      </c>
      <c r="V381" s="8" t="n">
        <f aca="false">V367*V380</f>
        <v>5202.47620914274</v>
      </c>
      <c r="W381" s="8" t="n">
        <f aca="false">W367*W380</f>
        <v>4828.41467041233</v>
      </c>
      <c r="X381" s="8" t="n">
        <f aca="false">X367*X380</f>
        <v>4479.85387142077</v>
      </c>
      <c r="Y381" s="8" t="n">
        <f aca="false">Y367*Y380</f>
        <v>4156.90348337746</v>
      </c>
      <c r="Z381" s="8" t="n">
        <f aca="false">Z367*Z380</f>
        <v>3856.82612256599</v>
      </c>
      <c r="AA381" s="8" t="n">
        <f aca="false">AA367*AA380</f>
        <v>3578.02156910459</v>
      </c>
      <c r="AB381" s="8" t="n">
        <f aca="false">AB367*AB380</f>
        <v>3318.30083688709</v>
      </c>
      <c r="AC381" s="8" t="n">
        <f aca="false">AC367*AC380</f>
        <v>3077.72823503815</v>
      </c>
      <c r="AD381" s="8" t="n">
        <f aca="false">AD367*AD380</f>
        <v>2854.2599777557</v>
      </c>
      <c r="AE381" s="8" t="n">
        <f aca="false">AE367*AE380</f>
        <v>2646.69618705788</v>
      </c>
      <c r="AF381" s="8" t="n">
        <f aca="false">AF367*AF380</f>
        <v>2453.40300085996</v>
      </c>
      <c r="AG381" s="8" t="n">
        <f aca="false">AG367*AG380</f>
        <v>2274.41400282392</v>
      </c>
      <c r="AH381" s="8" t="n">
        <f aca="false">AH367*AH380</f>
        <v>2108.20477676274</v>
      </c>
      <c r="AI381" s="8" t="n">
        <f aca="false">AI367*AI380</f>
        <v>1953.87616749626</v>
      </c>
      <c r="AJ381" s="8" t="n">
        <f aca="false">AJ367*AJ380</f>
        <v>1810.20990426045</v>
      </c>
      <c r="AK381" s="8" t="n">
        <f aca="false">AK367*AK380</f>
        <v>1677.21922521057</v>
      </c>
      <c r="AL381" s="8" t="n">
        <f aca="false">AL367*AL380</f>
        <v>1553.76834114745</v>
      </c>
      <c r="AM381" s="8" t="n">
        <f aca="false">AM367*AM380</f>
        <v>1439.18388867282</v>
      </c>
      <c r="AN381" s="8" t="n">
        <f aca="false">AN367*AN380</f>
        <v>1332.55849807606</v>
      </c>
      <c r="AO381" s="8" t="n">
        <f aca="false">AO367*AO380</f>
        <v>1233.89235574385</v>
      </c>
      <c r="AP381" s="8" t="n">
        <f aca="false">AP367*AP380</f>
        <v>1142.34024096996</v>
      </c>
      <c r="AQ381" s="8" t="n">
        <f aca="false">AQ367*AQ380</f>
        <v>1057.39823981267</v>
      </c>
      <c r="AR381" s="8" t="n">
        <f aca="false">AR367*AR380</f>
        <v>978.391378080813</v>
      </c>
      <c r="AS381" s="8" t="n">
        <f aca="false">AS367*AS380</f>
        <v>452.655928685732</v>
      </c>
    </row>
    <row r="382" customFormat="false" ht="14.25" hidden="false" customHeight="false" outlineLevel="0" collapsed="false">
      <c r="C382" s="6" t="s">
        <v>317</v>
      </c>
      <c r="D382" s="2" t="s">
        <v>85</v>
      </c>
      <c r="H382" s="8" t="n">
        <f aca="false">SUM(J382:AS382)</f>
        <v>0</v>
      </c>
      <c r="J382" s="8" t="n">
        <f aca="false">0</f>
        <v>0</v>
      </c>
      <c r="K382" s="8" t="n">
        <f aca="false">0</f>
        <v>0</v>
      </c>
      <c r="L382" s="8" t="n">
        <f aca="false">0</f>
        <v>0</v>
      </c>
      <c r="M382" s="8" t="n">
        <f aca="false">0</f>
        <v>0</v>
      </c>
      <c r="N382" s="8" t="n">
        <f aca="false">0</f>
        <v>0</v>
      </c>
      <c r="O382" s="8" t="n">
        <f aca="false">0</f>
        <v>0</v>
      </c>
      <c r="P382" s="8" t="n">
        <f aca="false">0</f>
        <v>0</v>
      </c>
      <c r="Q382" s="8" t="n">
        <f aca="false">0</f>
        <v>0</v>
      </c>
      <c r="R382" s="8" t="n">
        <f aca="false">0</f>
        <v>0</v>
      </c>
      <c r="S382" s="8" t="n">
        <f aca="false">0</f>
        <v>0</v>
      </c>
      <c r="T382" s="8" t="n">
        <f aca="false">0</f>
        <v>0</v>
      </c>
      <c r="U382" s="8" t="n">
        <f aca="false">0</f>
        <v>0</v>
      </c>
      <c r="V382" s="8" t="n">
        <f aca="false">0</f>
        <v>0</v>
      </c>
      <c r="W382" s="8" t="n">
        <f aca="false">0</f>
        <v>0</v>
      </c>
      <c r="X382" s="8" t="n">
        <f aca="false">0</f>
        <v>0</v>
      </c>
      <c r="Y382" s="8" t="n">
        <f aca="false">0</f>
        <v>0</v>
      </c>
      <c r="Z382" s="8" t="n">
        <f aca="false">0</f>
        <v>0</v>
      </c>
      <c r="AA382" s="8" t="n">
        <f aca="false">0</f>
        <v>0</v>
      </c>
      <c r="AB382" s="8" t="n">
        <f aca="false">0</f>
        <v>0</v>
      </c>
      <c r="AC382" s="8" t="n">
        <f aca="false">0</f>
        <v>0</v>
      </c>
      <c r="AD382" s="8" t="n">
        <f aca="false">0</f>
        <v>0</v>
      </c>
      <c r="AE382" s="8" t="n">
        <f aca="false">0</f>
        <v>0</v>
      </c>
      <c r="AF382" s="8" t="n">
        <f aca="false">0</f>
        <v>0</v>
      </c>
      <c r="AG382" s="8" t="n">
        <f aca="false">0</f>
        <v>0</v>
      </c>
      <c r="AH382" s="8" t="n">
        <f aca="false">0</f>
        <v>0</v>
      </c>
      <c r="AI382" s="8" t="n">
        <f aca="false">0</f>
        <v>0</v>
      </c>
      <c r="AJ382" s="8" t="n">
        <f aca="false">0</f>
        <v>0</v>
      </c>
      <c r="AK382" s="8" t="n">
        <f aca="false">0</f>
        <v>0</v>
      </c>
      <c r="AL382" s="8" t="n">
        <f aca="false">0</f>
        <v>0</v>
      </c>
      <c r="AM382" s="8" t="n">
        <f aca="false">0</f>
        <v>0</v>
      </c>
      <c r="AN382" s="8" t="n">
        <f aca="false">0</f>
        <v>0</v>
      </c>
      <c r="AO382" s="8" t="n">
        <f aca="false">0</f>
        <v>0</v>
      </c>
      <c r="AP382" s="8" t="n">
        <f aca="false">0</f>
        <v>0</v>
      </c>
      <c r="AQ382" s="8" t="n">
        <f aca="false">0</f>
        <v>0</v>
      </c>
      <c r="AR382" s="8" t="n">
        <f aca="false">0</f>
        <v>0</v>
      </c>
      <c r="AS382" s="8" t="n">
        <f aca="false">0</f>
        <v>0</v>
      </c>
    </row>
    <row r="383" customFormat="false" ht="14.25" hidden="false" customHeight="false" outlineLevel="0" collapsed="false">
      <c r="C383" s="1" t="s">
        <v>318</v>
      </c>
      <c r="D383" s="2" t="s">
        <v>85</v>
      </c>
      <c r="H383" s="32" t="n">
        <f aca="false">SUM(J383:AS383)</f>
        <v>32562.7204740098</v>
      </c>
      <c r="J383" s="32" t="n">
        <f aca="false">J353*(J343&lt;=0)+J348*($H381+$E$62+$E$63)+J382</f>
        <v>0</v>
      </c>
      <c r="K383" s="32" t="n">
        <f aca="false">K353*(K343&lt;=0)+K348*($H381+$E$62+$E$63)+K382</f>
        <v>0</v>
      </c>
      <c r="L383" s="32" t="n">
        <f aca="false">L353*(L343&lt;=0)+L348*($H381+$E$62+$E$63)+L382</f>
        <v>0</v>
      </c>
      <c r="M383" s="32" t="n">
        <f aca="false">M353*(M343&lt;=0)+M348*($H381+$E$62+$E$63)+M382</f>
        <v>-33450.8995260274</v>
      </c>
      <c r="N383" s="32" t="n">
        <f aca="false">N353*(N343&lt;=0)+N348*($H381+$E$62+$E$63)+N382</f>
        <v>-26389</v>
      </c>
      <c r="O383" s="32" t="n">
        <f aca="false">O353*(O343&lt;=0)+O348*($H381+$E$62+$E$63)+O382</f>
        <v>92402.6200000372</v>
      </c>
      <c r="P383" s="32" t="n">
        <f aca="false">P353*(P343&lt;=0)+P348*($H381+$E$62+$E$63)+P382</f>
        <v>0</v>
      </c>
      <c r="Q383" s="32" t="n">
        <f aca="false">Q353*(Q343&lt;=0)+Q348*($H381+$E$62+$E$63)+Q382</f>
        <v>0</v>
      </c>
      <c r="R383" s="32" t="n">
        <f aca="false">R353*(R343&lt;=0)+R348*($H381+$E$62+$E$63)+R382</f>
        <v>0</v>
      </c>
      <c r="S383" s="32" t="n">
        <f aca="false">S353*(S343&lt;=0)+S348*($H381+$E$62+$E$63)+S382</f>
        <v>0</v>
      </c>
      <c r="T383" s="32" t="n">
        <f aca="false">T353*(T343&lt;=0)+T348*($H381+$E$62+$E$63)+T382</f>
        <v>0</v>
      </c>
      <c r="U383" s="32" t="n">
        <f aca="false">U353*(U343&lt;=0)+U348*($H381+$E$62+$E$63)+U382</f>
        <v>0</v>
      </c>
      <c r="V383" s="32" t="n">
        <f aca="false">V353*(V343&lt;=0)+V348*($H381+$E$62+$E$63)+V382</f>
        <v>0</v>
      </c>
      <c r="W383" s="32" t="n">
        <f aca="false">W353*(W343&lt;=0)+W348*($H381+$E$62+$E$63)+W382</f>
        <v>0</v>
      </c>
      <c r="X383" s="32" t="n">
        <f aca="false">X353*(X343&lt;=0)+X348*($H381+$E$62+$E$63)+X382</f>
        <v>0</v>
      </c>
      <c r="Y383" s="32" t="n">
        <f aca="false">Y353*(Y343&lt;=0)+Y348*($H381+$E$62+$E$63)+Y382</f>
        <v>0</v>
      </c>
      <c r="Z383" s="32" t="n">
        <f aca="false">Z353*(Z343&lt;=0)+Z348*($H381+$E$62+$E$63)+Z382</f>
        <v>0</v>
      </c>
      <c r="AA383" s="32" t="n">
        <f aca="false">AA353*(AA343&lt;=0)+AA348*($H381+$E$62+$E$63)+AA382</f>
        <v>0</v>
      </c>
      <c r="AB383" s="32" t="n">
        <f aca="false">AB353*(AB343&lt;=0)+AB348*($H381+$E$62+$E$63)+AB382</f>
        <v>0</v>
      </c>
      <c r="AC383" s="32" t="n">
        <f aca="false">AC353*(AC343&lt;=0)+AC348*($H381+$E$62+$E$63)+AC382</f>
        <v>0</v>
      </c>
      <c r="AD383" s="32" t="n">
        <f aca="false">AD353*(AD343&lt;=0)+AD348*($H381+$E$62+$E$63)+AD382</f>
        <v>0</v>
      </c>
      <c r="AE383" s="32" t="n">
        <f aca="false">AE353*(AE343&lt;=0)+AE348*($H381+$E$62+$E$63)+AE382</f>
        <v>0</v>
      </c>
      <c r="AF383" s="32" t="n">
        <f aca="false">AF353*(AF343&lt;=0)+AF348*($H381+$E$62+$E$63)+AF382</f>
        <v>0</v>
      </c>
      <c r="AG383" s="32" t="n">
        <f aca="false">AG353*(AG343&lt;=0)+AG348*($H381+$E$62+$E$63)+AG382</f>
        <v>0</v>
      </c>
      <c r="AH383" s="32" t="n">
        <f aca="false">AH353*(AH343&lt;=0)+AH348*($H381+$E$62+$E$63)+AH382</f>
        <v>0</v>
      </c>
      <c r="AI383" s="32" t="n">
        <f aca="false">AI353*(AI343&lt;=0)+AI348*($H381+$E$62+$E$63)+AI382</f>
        <v>0</v>
      </c>
      <c r="AJ383" s="32" t="n">
        <f aca="false">AJ353*(AJ343&lt;=0)+AJ348*($H381+$E$62+$E$63)+AJ382</f>
        <v>0</v>
      </c>
      <c r="AK383" s="32" t="n">
        <f aca="false">AK353*(AK343&lt;=0)+AK348*($H381+$E$62+$E$63)+AK382</f>
        <v>0</v>
      </c>
      <c r="AL383" s="32" t="n">
        <f aca="false">AL353*(AL343&lt;=0)+AL348*($H381+$E$62+$E$63)+AL382</f>
        <v>0</v>
      </c>
      <c r="AM383" s="32" t="n">
        <f aca="false">AM353*(AM343&lt;=0)+AM348*($H381+$E$62+$E$63)+AM382</f>
        <v>0</v>
      </c>
      <c r="AN383" s="32" t="n">
        <f aca="false">AN353*(AN343&lt;=0)+AN348*($H381+$E$62+$E$63)+AN382</f>
        <v>0</v>
      </c>
      <c r="AO383" s="32" t="n">
        <f aca="false">AO353*(AO343&lt;=0)+AO348*($H381+$E$62+$E$63)+AO382</f>
        <v>0</v>
      </c>
      <c r="AP383" s="32" t="n">
        <f aca="false">AP353*(AP343&lt;=0)+AP348*($H381+$E$62+$E$63)+AP382</f>
        <v>0</v>
      </c>
      <c r="AQ383" s="32" t="n">
        <f aca="false">AQ353*(AQ343&lt;=0)+AQ348*($H381+$E$62+$E$63)+AQ382</f>
        <v>0</v>
      </c>
      <c r="AR383" s="32" t="n">
        <f aca="false">AR353*(AR343&lt;=0)+AR348*($H381+$E$62+$E$63)+AR382</f>
        <v>0</v>
      </c>
      <c r="AS383" s="32" t="n">
        <f aca="false">AS353*(AS343&lt;=0)+AS348*($H381+$E$62+$E$63)+AS382</f>
        <v>0</v>
      </c>
    </row>
    <row r="385" customFormat="false" ht="14.25" hidden="false" customHeight="false" outlineLevel="0" collapsed="false">
      <c r="B385" s="4" t="s">
        <v>3</v>
      </c>
      <c r="C385" s="4" t="s">
        <v>319</v>
      </c>
      <c r="D385" s="4"/>
      <c r="E385" s="5"/>
      <c r="F385" s="5" t="s">
        <v>277</v>
      </c>
      <c r="G385" s="5"/>
      <c r="H385" s="5" t="s">
        <v>8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</row>
    <row r="386" customFormat="false" ht="14.25" hidden="false" customHeight="false" outlineLevel="0" collapsed="false">
      <c r="C386" s="6" t="s">
        <v>278</v>
      </c>
      <c r="D386" s="2" t="s">
        <v>279</v>
      </c>
      <c r="J386" s="72" t="n">
        <f aca="false">J$339-YEAR(Inputs!$F$26)</f>
        <v>-5</v>
      </c>
      <c r="K386" s="72" t="n">
        <f aca="false">K$339-YEAR(Inputs!$F$26)</f>
        <v>-4</v>
      </c>
      <c r="L386" s="72" t="n">
        <f aca="false">L$339-YEAR(Inputs!$F$26)</f>
        <v>-3</v>
      </c>
      <c r="M386" s="72" t="n">
        <f aca="false">M$339-YEAR(Inputs!$F$26)</f>
        <v>-2</v>
      </c>
      <c r="N386" s="72" t="n">
        <f aca="false">N$339-YEAR(Inputs!$F$26)</f>
        <v>-1</v>
      </c>
      <c r="O386" s="72" t="n">
        <f aca="false">O$339-YEAR(Inputs!$F$26)</f>
        <v>0</v>
      </c>
      <c r="P386" s="72" t="n">
        <f aca="false">P$339-YEAR(Inputs!$F$26)</f>
        <v>1</v>
      </c>
      <c r="Q386" s="72" t="n">
        <f aca="false">Q$339-YEAR(Inputs!$F$26)</f>
        <v>2</v>
      </c>
      <c r="R386" s="72" t="n">
        <f aca="false">R$339-YEAR(Inputs!$F$26)</f>
        <v>3</v>
      </c>
      <c r="S386" s="72" t="n">
        <f aca="false">S$339-YEAR(Inputs!$F$26)</f>
        <v>4</v>
      </c>
      <c r="T386" s="72" t="n">
        <f aca="false">T$339-YEAR(Inputs!$F$26)</f>
        <v>5</v>
      </c>
      <c r="U386" s="72" t="n">
        <f aca="false">U$339-YEAR(Inputs!$F$26)</f>
        <v>6</v>
      </c>
      <c r="V386" s="72" t="n">
        <f aca="false">V$339-YEAR(Inputs!$F$26)</f>
        <v>7</v>
      </c>
      <c r="W386" s="72" t="n">
        <f aca="false">W$339-YEAR(Inputs!$F$26)</f>
        <v>8</v>
      </c>
      <c r="X386" s="72" t="n">
        <f aca="false">X$339-YEAR(Inputs!$F$26)</f>
        <v>9</v>
      </c>
      <c r="Y386" s="72" t="n">
        <f aca="false">Y$339-YEAR(Inputs!$F$26)</f>
        <v>10</v>
      </c>
      <c r="Z386" s="72" t="n">
        <f aca="false">Z$339-YEAR(Inputs!$F$26)</f>
        <v>11</v>
      </c>
      <c r="AA386" s="72" t="n">
        <f aca="false">AA$339-YEAR(Inputs!$F$26)</f>
        <v>12</v>
      </c>
      <c r="AB386" s="72" t="n">
        <f aca="false">AB$339-YEAR(Inputs!$F$26)</f>
        <v>13</v>
      </c>
      <c r="AC386" s="72" t="n">
        <f aca="false">AC$339-YEAR(Inputs!$F$26)</f>
        <v>14</v>
      </c>
      <c r="AD386" s="72" t="n">
        <f aca="false">AD$339-YEAR(Inputs!$F$26)</f>
        <v>15</v>
      </c>
      <c r="AE386" s="72" t="n">
        <f aca="false">AE$339-YEAR(Inputs!$F$26)</f>
        <v>16</v>
      </c>
      <c r="AF386" s="72" t="n">
        <f aca="false">AF$339-YEAR(Inputs!$F$26)</f>
        <v>17</v>
      </c>
      <c r="AG386" s="72" t="n">
        <f aca="false">AG$339-YEAR(Inputs!$F$26)</f>
        <v>18</v>
      </c>
      <c r="AH386" s="72" t="n">
        <f aca="false">AH$339-YEAR(Inputs!$F$26)</f>
        <v>19</v>
      </c>
      <c r="AI386" s="72" t="n">
        <f aca="false">AI$339-YEAR(Inputs!$F$26)</f>
        <v>20</v>
      </c>
      <c r="AJ386" s="72" t="n">
        <f aca="false">AJ$339-YEAR(Inputs!$F$26)</f>
        <v>21</v>
      </c>
      <c r="AK386" s="72" t="n">
        <f aca="false">AK$339-YEAR(Inputs!$F$26)</f>
        <v>22</v>
      </c>
      <c r="AL386" s="72" t="n">
        <f aca="false">AL$339-YEAR(Inputs!$F$26)</f>
        <v>23</v>
      </c>
      <c r="AM386" s="72" t="n">
        <f aca="false">AM$339-YEAR(Inputs!$F$26)</f>
        <v>24</v>
      </c>
      <c r="AN386" s="72" t="n">
        <f aca="false">AN$339-YEAR(Inputs!$F$26)</f>
        <v>25</v>
      </c>
      <c r="AO386" s="72" t="n">
        <f aca="false">AO$339-YEAR(Inputs!$F$26)</f>
        <v>26</v>
      </c>
      <c r="AP386" s="72" t="n">
        <f aca="false">AP$339-YEAR(Inputs!$F$26)</f>
        <v>27</v>
      </c>
      <c r="AQ386" s="72" t="n">
        <f aca="false">AQ$339-YEAR(Inputs!$F$26)</f>
        <v>28</v>
      </c>
      <c r="AR386" s="72" t="n">
        <f aca="false">AR$339-YEAR(Inputs!$F$26)</f>
        <v>29</v>
      </c>
      <c r="AS386" s="72" t="n">
        <f aca="false">AS$339-YEAR(Inputs!$F$26)</f>
        <v>30</v>
      </c>
    </row>
    <row r="387" customFormat="false" ht="14.25" hidden="false" customHeight="false" outlineLevel="0" collapsed="false">
      <c r="C387" s="6" t="s">
        <v>280</v>
      </c>
      <c r="D387" s="2" t="s">
        <v>281</v>
      </c>
      <c r="F387" s="72" t="n">
        <f aca="false">DATEDIF(Inputs!$F$25,Inputs!$F$26,"m")</f>
        <v>24</v>
      </c>
      <c r="J387" s="72" t="n">
        <f aca="false">(J$339+1-YEAR(Inputs!$F$25))*Months_In_Year-MONTH(Inputs!$F$25)</f>
        <v>-30</v>
      </c>
      <c r="K387" s="72" t="n">
        <f aca="false">(K$339+1-YEAR(Inputs!$F$25))*Months_In_Year-MONTH(Inputs!$F$25)</f>
        <v>-18</v>
      </c>
      <c r="L387" s="72" t="n">
        <f aca="false">(L$339+1-YEAR(Inputs!$F$25))*Months_In_Year-MONTH(Inputs!$F$25)</f>
        <v>-6</v>
      </c>
      <c r="M387" s="72" t="n">
        <f aca="false">(M$339+1-YEAR(Inputs!$F$25))*Months_In_Year-MONTH(Inputs!$F$25)</f>
        <v>6</v>
      </c>
      <c r="N387" s="72" t="n">
        <f aca="false">(N$339+1-YEAR(Inputs!$F$25))*Months_In_Year-MONTH(Inputs!$F$25)</f>
        <v>18</v>
      </c>
      <c r="O387" s="72" t="n">
        <f aca="false">(O$339+1-YEAR(Inputs!$F$25))*Months_In_Year-MONTH(Inputs!$F$25)</f>
        <v>30</v>
      </c>
      <c r="P387" s="72" t="n">
        <f aca="false">(P$339+1-YEAR(Inputs!$F$25))*Months_In_Year-MONTH(Inputs!$F$25)</f>
        <v>42</v>
      </c>
      <c r="Q387" s="72" t="n">
        <f aca="false">(Q$339+1-YEAR(Inputs!$F$25))*Months_In_Year-MONTH(Inputs!$F$25)</f>
        <v>54</v>
      </c>
      <c r="R387" s="72" t="n">
        <f aca="false">(R$339+1-YEAR(Inputs!$F$25))*Months_In_Year-MONTH(Inputs!$F$25)</f>
        <v>66</v>
      </c>
      <c r="S387" s="72" t="n">
        <f aca="false">(S$339+1-YEAR(Inputs!$F$25))*Months_In_Year-MONTH(Inputs!$F$25)</f>
        <v>78</v>
      </c>
      <c r="T387" s="72" t="n">
        <f aca="false">(T$339+1-YEAR(Inputs!$F$25))*Months_In_Year-MONTH(Inputs!$F$25)</f>
        <v>90</v>
      </c>
      <c r="U387" s="72" t="n">
        <f aca="false">(U$339+1-YEAR(Inputs!$F$25))*Months_In_Year-MONTH(Inputs!$F$25)</f>
        <v>102</v>
      </c>
      <c r="V387" s="72" t="n">
        <f aca="false">(V$339+1-YEAR(Inputs!$F$25))*Months_In_Year-MONTH(Inputs!$F$25)</f>
        <v>114</v>
      </c>
      <c r="W387" s="72" t="n">
        <f aca="false">(W$339+1-YEAR(Inputs!$F$25))*Months_In_Year-MONTH(Inputs!$F$25)</f>
        <v>126</v>
      </c>
      <c r="X387" s="72" t="n">
        <f aca="false">(X$339+1-YEAR(Inputs!$F$25))*Months_In_Year-MONTH(Inputs!$F$25)</f>
        <v>138</v>
      </c>
      <c r="Y387" s="72" t="n">
        <f aca="false">(Y$339+1-YEAR(Inputs!$F$25))*Months_In_Year-MONTH(Inputs!$F$25)</f>
        <v>150</v>
      </c>
      <c r="Z387" s="72" t="n">
        <f aca="false">(Z$339+1-YEAR(Inputs!$F$25))*Months_In_Year-MONTH(Inputs!$F$25)</f>
        <v>162</v>
      </c>
      <c r="AA387" s="72" t="n">
        <f aca="false">(AA$339+1-YEAR(Inputs!$F$25))*Months_In_Year-MONTH(Inputs!$F$25)</f>
        <v>174</v>
      </c>
      <c r="AB387" s="72" t="n">
        <f aca="false">(AB$339+1-YEAR(Inputs!$F$25))*Months_In_Year-MONTH(Inputs!$F$25)</f>
        <v>186</v>
      </c>
      <c r="AC387" s="72" t="n">
        <f aca="false">(AC$339+1-YEAR(Inputs!$F$25))*Months_In_Year-MONTH(Inputs!$F$25)</f>
        <v>198</v>
      </c>
      <c r="AD387" s="72" t="n">
        <f aca="false">(AD$339+1-YEAR(Inputs!$F$25))*Months_In_Year-MONTH(Inputs!$F$25)</f>
        <v>210</v>
      </c>
      <c r="AE387" s="72" t="n">
        <f aca="false">(AE$339+1-YEAR(Inputs!$F$25))*Months_In_Year-MONTH(Inputs!$F$25)</f>
        <v>222</v>
      </c>
      <c r="AF387" s="72" t="n">
        <f aca="false">(AF$339+1-YEAR(Inputs!$F$25))*Months_In_Year-MONTH(Inputs!$F$25)</f>
        <v>234</v>
      </c>
      <c r="AG387" s="72" t="n">
        <f aca="false">(AG$339+1-YEAR(Inputs!$F$25))*Months_In_Year-MONTH(Inputs!$F$25)</f>
        <v>246</v>
      </c>
      <c r="AH387" s="72" t="n">
        <f aca="false">(AH$339+1-YEAR(Inputs!$F$25))*Months_In_Year-MONTH(Inputs!$F$25)</f>
        <v>258</v>
      </c>
      <c r="AI387" s="72" t="n">
        <f aca="false">(AI$339+1-YEAR(Inputs!$F$25))*Months_In_Year-MONTH(Inputs!$F$25)</f>
        <v>270</v>
      </c>
      <c r="AJ387" s="72" t="n">
        <f aca="false">(AJ$339+1-YEAR(Inputs!$F$25))*Months_In_Year-MONTH(Inputs!$F$25)</f>
        <v>282</v>
      </c>
      <c r="AK387" s="72" t="n">
        <f aca="false">(AK$339+1-YEAR(Inputs!$F$25))*Months_In_Year-MONTH(Inputs!$F$25)</f>
        <v>294</v>
      </c>
      <c r="AL387" s="72" t="n">
        <f aca="false">(AL$339+1-YEAR(Inputs!$F$25))*Months_In_Year-MONTH(Inputs!$F$25)</f>
        <v>306</v>
      </c>
      <c r="AM387" s="72" t="n">
        <f aca="false">(AM$339+1-YEAR(Inputs!$F$25))*Months_In_Year-MONTH(Inputs!$F$25)</f>
        <v>318</v>
      </c>
      <c r="AN387" s="72" t="n">
        <f aca="false">(AN$339+1-YEAR(Inputs!$F$25))*Months_In_Year-MONTH(Inputs!$F$25)</f>
        <v>330</v>
      </c>
      <c r="AO387" s="72" t="n">
        <f aca="false">(AO$339+1-YEAR(Inputs!$F$25))*Months_In_Year-MONTH(Inputs!$F$25)</f>
        <v>342</v>
      </c>
      <c r="AP387" s="72" t="n">
        <f aca="false">(AP$339+1-YEAR(Inputs!$F$25))*Months_In_Year-MONTH(Inputs!$F$25)</f>
        <v>354</v>
      </c>
      <c r="AQ387" s="72" t="n">
        <f aca="false">(AQ$339+1-YEAR(Inputs!$F$25))*Months_In_Year-MONTH(Inputs!$F$25)</f>
        <v>366</v>
      </c>
      <c r="AR387" s="72" t="n">
        <f aca="false">(AR$339+1-YEAR(Inputs!$F$25))*Months_In_Year-MONTH(Inputs!$F$25)</f>
        <v>378</v>
      </c>
      <c r="AS387" s="72" t="n">
        <f aca="false">(AS$339+1-YEAR(Inputs!$F$25))*Months_In_Year-MONTH(Inputs!$F$25)</f>
        <v>390</v>
      </c>
    </row>
    <row r="388" customFormat="false" ht="14.25" hidden="false" customHeight="false" outlineLevel="0" collapsed="false">
      <c r="C388" s="6" t="s">
        <v>282</v>
      </c>
      <c r="D388" s="2" t="s">
        <v>12</v>
      </c>
      <c r="H388" s="73" t="n">
        <f aca="false">SUM(J388:AS388)</f>
        <v>1</v>
      </c>
      <c r="J388" s="48" t="n">
        <f aca="false">MAX(0,MIN(J387,$F387)-MAX(J387-Months_In_Year,0))/$F387</f>
        <v>0</v>
      </c>
      <c r="K388" s="48" t="n">
        <f aca="false">MAX(0,MIN(K387,$F387)-MAX(K387-Months_In_Year,0))/$F387</f>
        <v>0</v>
      </c>
      <c r="L388" s="48" t="n">
        <f aca="false">MAX(0,MIN(L387,$F387)-MAX(L387-Months_In_Year,0))/$F387</f>
        <v>0</v>
      </c>
      <c r="M388" s="48" t="n">
        <f aca="false">MAX(0,MIN(M387,$F387)-MAX(M387-Months_In_Year,0))/$F387</f>
        <v>0.25</v>
      </c>
      <c r="N388" s="48" t="n">
        <f aca="false">MAX(0,MIN(N387,$F387)-MAX(N387-Months_In_Year,0))/$F387</f>
        <v>0.5</v>
      </c>
      <c r="O388" s="48" t="n">
        <f aca="false">MAX(0,MIN(O387,$F387)-MAX(O387-Months_In_Year,0))/$F387</f>
        <v>0.25</v>
      </c>
      <c r="P388" s="48" t="n">
        <f aca="false">MAX(0,MIN(P387,$F387)-MAX(P387-Months_In_Year,0))/$F387</f>
        <v>0</v>
      </c>
      <c r="Q388" s="48" t="n">
        <f aca="false">MAX(0,MIN(Q387,$F387)-MAX(Q387-Months_In_Year,0))/$F387</f>
        <v>0</v>
      </c>
      <c r="R388" s="48" t="n">
        <f aca="false">MAX(0,MIN(R387,$F387)-MAX(R387-Months_In_Year,0))/$F387</f>
        <v>0</v>
      </c>
      <c r="S388" s="48" t="n">
        <f aca="false">MAX(0,MIN(S387,$F387)-MAX(S387-Months_In_Year,0))/$F387</f>
        <v>0</v>
      </c>
      <c r="T388" s="48" t="n">
        <f aca="false">MAX(0,MIN(T387,$F387)-MAX(T387-Months_In_Year,0))/$F387</f>
        <v>0</v>
      </c>
      <c r="U388" s="48" t="n">
        <f aca="false">MAX(0,MIN(U387,$F387)-MAX(U387-Months_In_Year,0))/$F387</f>
        <v>0</v>
      </c>
      <c r="V388" s="48" t="n">
        <f aca="false">MAX(0,MIN(V387,$F387)-MAX(V387-Months_In_Year,0))/$F387</f>
        <v>0</v>
      </c>
      <c r="W388" s="48" t="n">
        <f aca="false">MAX(0,MIN(W387,$F387)-MAX(W387-Months_In_Year,0))/$F387</f>
        <v>0</v>
      </c>
      <c r="X388" s="48" t="n">
        <f aca="false">MAX(0,MIN(X387,$F387)-MAX(X387-Months_In_Year,0))/$F387</f>
        <v>0</v>
      </c>
      <c r="Y388" s="48" t="n">
        <f aca="false">MAX(0,MIN(Y387,$F387)-MAX(Y387-Months_In_Year,0))/$F387</f>
        <v>0</v>
      </c>
      <c r="Z388" s="48" t="n">
        <f aca="false">MAX(0,MIN(Z387,$F387)-MAX(Z387-Months_In_Year,0))/$F387</f>
        <v>0</v>
      </c>
      <c r="AA388" s="48" t="n">
        <f aca="false">MAX(0,MIN(AA387,$F387)-MAX(AA387-Months_In_Year,0))/$F387</f>
        <v>0</v>
      </c>
      <c r="AB388" s="48" t="n">
        <f aca="false">MAX(0,MIN(AB387,$F387)-MAX(AB387-Months_In_Year,0))/$F387</f>
        <v>0</v>
      </c>
      <c r="AC388" s="48" t="n">
        <f aca="false">MAX(0,MIN(AC387,$F387)-MAX(AC387-Months_In_Year,0))/$F387</f>
        <v>0</v>
      </c>
      <c r="AD388" s="48" t="n">
        <f aca="false">MAX(0,MIN(AD387,$F387)-MAX(AD387-Months_In_Year,0))/$F387</f>
        <v>0</v>
      </c>
      <c r="AE388" s="48" t="n">
        <f aca="false">MAX(0,MIN(AE387,$F387)-MAX(AE387-Months_In_Year,0))/$F387</f>
        <v>0</v>
      </c>
      <c r="AF388" s="48" t="n">
        <f aca="false">MAX(0,MIN(AF387,$F387)-MAX(AF387-Months_In_Year,0))/$F387</f>
        <v>0</v>
      </c>
      <c r="AG388" s="48" t="n">
        <f aca="false">MAX(0,MIN(AG387,$F387)-MAX(AG387-Months_In_Year,0))/$F387</f>
        <v>0</v>
      </c>
      <c r="AH388" s="48" t="n">
        <f aca="false">MAX(0,MIN(AH387,$F387)-MAX(AH387-Months_In_Year,0))/$F387</f>
        <v>0</v>
      </c>
      <c r="AI388" s="48" t="n">
        <f aca="false">MAX(0,MIN(AI387,$F387)-MAX(AI387-Months_In_Year,0))/$F387</f>
        <v>0</v>
      </c>
      <c r="AJ388" s="48" t="n">
        <f aca="false">MAX(0,MIN(AJ387,$F387)-MAX(AJ387-Months_In_Year,0))/$F387</f>
        <v>0</v>
      </c>
      <c r="AK388" s="48" t="n">
        <f aca="false">MAX(0,MIN(AK387,$F387)-MAX(AK387-Months_In_Year,0))/$F387</f>
        <v>0</v>
      </c>
      <c r="AL388" s="48" t="n">
        <f aca="false">MAX(0,MIN(AL387,$F387)-MAX(AL387-Months_In_Year,0))/$F387</f>
        <v>0</v>
      </c>
      <c r="AM388" s="48" t="n">
        <f aca="false">MAX(0,MIN(AM387,$F387)-MAX(AM387-Months_In_Year,0))/$F387</f>
        <v>0</v>
      </c>
      <c r="AN388" s="48" t="n">
        <f aca="false">MAX(0,MIN(AN387,$F387)-MAX(AN387-Months_In_Year,0))/$F387</f>
        <v>0</v>
      </c>
      <c r="AO388" s="48" t="n">
        <f aca="false">MAX(0,MIN(AO387,$F387)-MAX(AO387-Months_In_Year,0))/$F387</f>
        <v>0</v>
      </c>
      <c r="AP388" s="48" t="n">
        <f aca="false">MAX(0,MIN(AP387,$F387)-MAX(AP387-Months_In_Year,0))/$F387</f>
        <v>0</v>
      </c>
      <c r="AQ388" s="48" t="n">
        <f aca="false">MAX(0,MIN(AQ387,$F387)-MAX(AQ387-Months_In_Year,0))/$F387</f>
        <v>0</v>
      </c>
      <c r="AR388" s="48" t="n">
        <f aca="false">MAX(0,MIN(AR387,$F387)-MAX(AR387-Months_In_Year,0))/$F387</f>
        <v>0</v>
      </c>
      <c r="AS388" s="48" t="n">
        <f aca="false">MAX(0,MIN(AS387,$F387)-MAX(AS387-Months_In_Year,0))/$F387</f>
        <v>0</v>
      </c>
    </row>
    <row r="389" customFormat="false" ht="14.25" hidden="false" customHeight="false" outlineLevel="0" collapsed="false">
      <c r="C389" s="6" t="s">
        <v>283</v>
      </c>
      <c r="D389" s="2" t="s">
        <v>281</v>
      </c>
      <c r="F389" s="72" t="n">
        <f aca="false">Life*Months_In_Year</f>
        <v>360</v>
      </c>
      <c r="J389" s="72" t="n">
        <f aca="false">(J$339+1-YEAR(Inputs!$F$26))*Months_In_Year-MONTH(Inputs!$F$26)</f>
        <v>-54</v>
      </c>
      <c r="K389" s="72" t="n">
        <f aca="false">(K$339+1-YEAR(Inputs!$F$26))*Months_In_Year-MONTH(Inputs!$F$26)</f>
        <v>-42</v>
      </c>
      <c r="L389" s="72" t="n">
        <f aca="false">(L$339+1-YEAR(Inputs!$F$26))*Months_In_Year-MONTH(Inputs!$F$26)</f>
        <v>-30</v>
      </c>
      <c r="M389" s="72" t="n">
        <f aca="false">(M$339+1-YEAR(Inputs!$F$26))*Months_In_Year-MONTH(Inputs!$F$26)</f>
        <v>-18</v>
      </c>
      <c r="N389" s="72" t="n">
        <f aca="false">(N$339+1-YEAR(Inputs!$F$26))*Months_In_Year-MONTH(Inputs!$F$26)</f>
        <v>-6</v>
      </c>
      <c r="O389" s="72" t="n">
        <f aca="false">(O$339+1-YEAR(Inputs!$F$26))*Months_In_Year-MONTH(Inputs!$F$26)</f>
        <v>6</v>
      </c>
      <c r="P389" s="72" t="n">
        <f aca="false">(P$339+1-YEAR(Inputs!$F$26))*Months_In_Year-MONTH(Inputs!$F$26)</f>
        <v>18</v>
      </c>
      <c r="Q389" s="72" t="n">
        <f aca="false">(Q$339+1-YEAR(Inputs!$F$26))*Months_In_Year-MONTH(Inputs!$F$26)</f>
        <v>30</v>
      </c>
      <c r="R389" s="72" t="n">
        <f aca="false">(R$339+1-YEAR(Inputs!$F$26))*Months_In_Year-MONTH(Inputs!$F$26)</f>
        <v>42</v>
      </c>
      <c r="S389" s="72" t="n">
        <f aca="false">(S$339+1-YEAR(Inputs!$F$26))*Months_In_Year-MONTH(Inputs!$F$26)</f>
        <v>54</v>
      </c>
      <c r="T389" s="72" t="n">
        <f aca="false">(T$339+1-YEAR(Inputs!$F$26))*Months_In_Year-MONTH(Inputs!$F$26)</f>
        <v>66</v>
      </c>
      <c r="U389" s="72" t="n">
        <f aca="false">(U$339+1-YEAR(Inputs!$F$26))*Months_In_Year-MONTH(Inputs!$F$26)</f>
        <v>78</v>
      </c>
      <c r="V389" s="72" t="n">
        <f aca="false">(V$339+1-YEAR(Inputs!$F$26))*Months_In_Year-MONTH(Inputs!$F$26)</f>
        <v>90</v>
      </c>
      <c r="W389" s="72" t="n">
        <f aca="false">(W$339+1-YEAR(Inputs!$F$26))*Months_In_Year-MONTH(Inputs!$F$26)</f>
        <v>102</v>
      </c>
      <c r="X389" s="72" t="n">
        <f aca="false">(X$339+1-YEAR(Inputs!$F$26))*Months_In_Year-MONTH(Inputs!$F$26)</f>
        <v>114</v>
      </c>
      <c r="Y389" s="72" t="n">
        <f aca="false">(Y$339+1-YEAR(Inputs!$F$26))*Months_In_Year-MONTH(Inputs!$F$26)</f>
        <v>126</v>
      </c>
      <c r="Z389" s="72" t="n">
        <f aca="false">(Z$339+1-YEAR(Inputs!$F$26))*Months_In_Year-MONTH(Inputs!$F$26)</f>
        <v>138</v>
      </c>
      <c r="AA389" s="72" t="n">
        <f aca="false">(AA$339+1-YEAR(Inputs!$F$26))*Months_In_Year-MONTH(Inputs!$F$26)</f>
        <v>150</v>
      </c>
      <c r="AB389" s="72" t="n">
        <f aca="false">(AB$339+1-YEAR(Inputs!$F$26))*Months_In_Year-MONTH(Inputs!$F$26)</f>
        <v>162</v>
      </c>
      <c r="AC389" s="72" t="n">
        <f aca="false">(AC$339+1-YEAR(Inputs!$F$26))*Months_In_Year-MONTH(Inputs!$F$26)</f>
        <v>174</v>
      </c>
      <c r="AD389" s="72" t="n">
        <f aca="false">(AD$339+1-YEAR(Inputs!$F$26))*Months_In_Year-MONTH(Inputs!$F$26)</f>
        <v>186</v>
      </c>
      <c r="AE389" s="72" t="n">
        <f aca="false">(AE$339+1-YEAR(Inputs!$F$26))*Months_In_Year-MONTH(Inputs!$F$26)</f>
        <v>198</v>
      </c>
      <c r="AF389" s="72" t="n">
        <f aca="false">(AF$339+1-YEAR(Inputs!$F$26))*Months_In_Year-MONTH(Inputs!$F$26)</f>
        <v>210</v>
      </c>
      <c r="AG389" s="72" t="n">
        <f aca="false">(AG$339+1-YEAR(Inputs!$F$26))*Months_In_Year-MONTH(Inputs!$F$26)</f>
        <v>222</v>
      </c>
      <c r="AH389" s="72" t="n">
        <f aca="false">(AH$339+1-YEAR(Inputs!$F$26))*Months_In_Year-MONTH(Inputs!$F$26)</f>
        <v>234</v>
      </c>
      <c r="AI389" s="72" t="n">
        <f aca="false">(AI$339+1-YEAR(Inputs!$F$26))*Months_In_Year-MONTH(Inputs!$F$26)</f>
        <v>246</v>
      </c>
      <c r="AJ389" s="72" t="n">
        <f aca="false">(AJ$339+1-YEAR(Inputs!$F$26))*Months_In_Year-MONTH(Inputs!$F$26)</f>
        <v>258</v>
      </c>
      <c r="AK389" s="72" t="n">
        <f aca="false">(AK$339+1-YEAR(Inputs!$F$26))*Months_In_Year-MONTH(Inputs!$F$26)</f>
        <v>270</v>
      </c>
      <c r="AL389" s="72" t="n">
        <f aca="false">(AL$339+1-YEAR(Inputs!$F$26))*Months_In_Year-MONTH(Inputs!$F$26)</f>
        <v>282</v>
      </c>
      <c r="AM389" s="72" t="n">
        <f aca="false">(AM$339+1-YEAR(Inputs!$F$26))*Months_In_Year-MONTH(Inputs!$F$26)</f>
        <v>294</v>
      </c>
      <c r="AN389" s="72" t="n">
        <f aca="false">(AN$339+1-YEAR(Inputs!$F$26))*Months_In_Year-MONTH(Inputs!$F$26)</f>
        <v>306</v>
      </c>
      <c r="AO389" s="72" t="n">
        <f aca="false">(AO$339+1-YEAR(Inputs!$F$26))*Months_In_Year-MONTH(Inputs!$F$26)</f>
        <v>318</v>
      </c>
      <c r="AP389" s="72" t="n">
        <f aca="false">(AP$339+1-YEAR(Inputs!$F$26))*Months_In_Year-MONTH(Inputs!$F$26)</f>
        <v>330</v>
      </c>
      <c r="AQ389" s="72" t="n">
        <f aca="false">(AQ$339+1-YEAR(Inputs!$F$26))*Months_In_Year-MONTH(Inputs!$F$26)</f>
        <v>342</v>
      </c>
      <c r="AR389" s="72" t="n">
        <f aca="false">(AR$339+1-YEAR(Inputs!$F$26))*Months_In_Year-MONTH(Inputs!$F$26)</f>
        <v>354</v>
      </c>
      <c r="AS389" s="72" t="n">
        <f aca="false">(AS$339+1-YEAR(Inputs!$F$26))*Months_In_Year-MONTH(Inputs!$F$26)</f>
        <v>366</v>
      </c>
    </row>
    <row r="390" customFormat="false" ht="14.25" hidden="false" customHeight="false" outlineLevel="0" collapsed="false">
      <c r="C390" s="6" t="s">
        <v>284</v>
      </c>
      <c r="D390" s="2" t="s">
        <v>12</v>
      </c>
      <c r="H390" s="73" t="n">
        <f aca="false">SUM(J390:AS390)</f>
        <v>30</v>
      </c>
      <c r="J390" s="48" t="n">
        <f aca="false">MAX(0,MIN(J389,$F389)-MAX(J389-Months_In_Year,0))/Months_In_Year</f>
        <v>0</v>
      </c>
      <c r="K390" s="48" t="n">
        <f aca="false">MAX(0,MIN(K389,$F389)-MAX(K389-Months_In_Year,0))/Months_In_Year</f>
        <v>0</v>
      </c>
      <c r="L390" s="48" t="n">
        <f aca="false">MAX(0,MIN(L389,$F389)-MAX(L389-Months_In_Year,0))/Months_In_Year</f>
        <v>0</v>
      </c>
      <c r="M390" s="48" t="n">
        <f aca="false">MAX(0,MIN(M389,$F389)-MAX(M389-Months_In_Year,0))/Months_In_Year</f>
        <v>0</v>
      </c>
      <c r="N390" s="48" t="n">
        <f aca="false">MAX(0,MIN(N389,$F389)-MAX(N389-Months_In_Year,0))/Months_In_Year</f>
        <v>0</v>
      </c>
      <c r="O390" s="48" t="n">
        <f aca="false">MAX(0,MIN(O389,$F389)-MAX(O389-Months_In_Year,0))/Months_In_Year</f>
        <v>0.5</v>
      </c>
      <c r="P390" s="48" t="n">
        <f aca="false">MAX(0,MIN(P389,$F389)-MAX(P389-Months_In_Year,0))/Months_In_Year</f>
        <v>1</v>
      </c>
      <c r="Q390" s="48" t="n">
        <f aca="false">MAX(0,MIN(Q389,$F389)-MAX(Q389-Months_In_Year,0))/Months_In_Year</f>
        <v>1</v>
      </c>
      <c r="R390" s="48" t="n">
        <f aca="false">MAX(0,MIN(R389,$F389)-MAX(R389-Months_In_Year,0))/Months_In_Year</f>
        <v>1</v>
      </c>
      <c r="S390" s="48" t="n">
        <f aca="false">MAX(0,MIN(S389,$F389)-MAX(S389-Months_In_Year,0))/Months_In_Year</f>
        <v>1</v>
      </c>
      <c r="T390" s="48" t="n">
        <f aca="false">MAX(0,MIN(T389,$F389)-MAX(T389-Months_In_Year,0))/Months_In_Year</f>
        <v>1</v>
      </c>
      <c r="U390" s="48" t="n">
        <f aca="false">MAX(0,MIN(U389,$F389)-MAX(U389-Months_In_Year,0))/Months_In_Year</f>
        <v>1</v>
      </c>
      <c r="V390" s="48" t="n">
        <f aca="false">MAX(0,MIN(V389,$F389)-MAX(V389-Months_In_Year,0))/Months_In_Year</f>
        <v>1</v>
      </c>
      <c r="W390" s="48" t="n">
        <f aca="false">MAX(0,MIN(W389,$F389)-MAX(W389-Months_In_Year,0))/Months_In_Year</f>
        <v>1</v>
      </c>
      <c r="X390" s="48" t="n">
        <f aca="false">MAX(0,MIN(X389,$F389)-MAX(X389-Months_In_Year,0))/Months_In_Year</f>
        <v>1</v>
      </c>
      <c r="Y390" s="48" t="n">
        <f aca="false">MAX(0,MIN(Y389,$F389)-MAX(Y389-Months_In_Year,0))/Months_In_Year</f>
        <v>1</v>
      </c>
      <c r="Z390" s="48" t="n">
        <f aca="false">MAX(0,MIN(Z389,$F389)-MAX(Z389-Months_In_Year,0))/Months_In_Year</f>
        <v>1</v>
      </c>
      <c r="AA390" s="48" t="n">
        <f aca="false">MAX(0,MIN(AA389,$F389)-MAX(AA389-Months_In_Year,0))/Months_In_Year</f>
        <v>1</v>
      </c>
      <c r="AB390" s="48" t="n">
        <f aca="false">MAX(0,MIN(AB389,$F389)-MAX(AB389-Months_In_Year,0))/Months_In_Year</f>
        <v>1</v>
      </c>
      <c r="AC390" s="48" t="n">
        <f aca="false">MAX(0,MIN(AC389,$F389)-MAX(AC389-Months_In_Year,0))/Months_In_Year</f>
        <v>1</v>
      </c>
      <c r="AD390" s="48" t="n">
        <f aca="false">MAX(0,MIN(AD389,$F389)-MAX(AD389-Months_In_Year,0))/Months_In_Year</f>
        <v>1</v>
      </c>
      <c r="AE390" s="48" t="n">
        <f aca="false">MAX(0,MIN(AE389,$F389)-MAX(AE389-Months_In_Year,0))/Months_In_Year</f>
        <v>1</v>
      </c>
      <c r="AF390" s="48" t="n">
        <f aca="false">MAX(0,MIN(AF389,$F389)-MAX(AF389-Months_In_Year,0))/Months_In_Year</f>
        <v>1</v>
      </c>
      <c r="AG390" s="48" t="n">
        <f aca="false">MAX(0,MIN(AG389,$F389)-MAX(AG389-Months_In_Year,0))/Months_In_Year</f>
        <v>1</v>
      </c>
      <c r="AH390" s="48" t="n">
        <f aca="false">MAX(0,MIN(AH389,$F389)-MAX(AH389-Months_In_Year,0))/Months_In_Year</f>
        <v>1</v>
      </c>
      <c r="AI390" s="48" t="n">
        <f aca="false">MAX(0,MIN(AI389,$F389)-MAX(AI389-Months_In_Year,0))/Months_In_Year</f>
        <v>1</v>
      </c>
      <c r="AJ390" s="48" t="n">
        <f aca="false">MAX(0,MIN(AJ389,$F389)-MAX(AJ389-Months_In_Year,0))/Months_In_Year</f>
        <v>1</v>
      </c>
      <c r="AK390" s="48" t="n">
        <f aca="false">MAX(0,MIN(AK389,$F389)-MAX(AK389-Months_In_Year,0))/Months_In_Year</f>
        <v>1</v>
      </c>
      <c r="AL390" s="48" t="n">
        <f aca="false">MAX(0,MIN(AL389,$F389)-MAX(AL389-Months_In_Year,0))/Months_In_Year</f>
        <v>1</v>
      </c>
      <c r="AM390" s="48" t="n">
        <f aca="false">MAX(0,MIN(AM389,$F389)-MAX(AM389-Months_In_Year,0))/Months_In_Year</f>
        <v>1</v>
      </c>
      <c r="AN390" s="48" t="n">
        <f aca="false">MAX(0,MIN(AN389,$F389)-MAX(AN389-Months_In_Year,0))/Months_In_Year</f>
        <v>1</v>
      </c>
      <c r="AO390" s="48" t="n">
        <f aca="false">MAX(0,MIN(AO389,$F389)-MAX(AO389-Months_In_Year,0))/Months_In_Year</f>
        <v>1</v>
      </c>
      <c r="AP390" s="48" t="n">
        <f aca="false">MAX(0,MIN(AP389,$F389)-MAX(AP389-Months_In_Year,0))/Months_In_Year</f>
        <v>1</v>
      </c>
      <c r="AQ390" s="48" t="n">
        <f aca="false">MAX(0,MIN(AQ389,$F389)-MAX(AQ389-Months_In_Year,0))/Months_In_Year</f>
        <v>1</v>
      </c>
      <c r="AR390" s="48" t="n">
        <f aca="false">MAX(0,MIN(AR389,$F389)-MAX(AR389-Months_In_Year,0))/Months_In_Year</f>
        <v>1</v>
      </c>
      <c r="AS390" s="48" t="n">
        <f aca="false">MAX(0,MIN(AS389,$F389)-MAX(AS389-Months_In_Year,0))/Months_In_Year</f>
        <v>0.5</v>
      </c>
    </row>
    <row r="391" customFormat="false" ht="14.25" hidden="false" customHeight="false" outlineLevel="0" collapsed="false">
      <c r="C391" s="6" t="s">
        <v>285</v>
      </c>
      <c r="D391" s="2" t="s">
        <v>2</v>
      </c>
      <c r="J391" s="74" t="n">
        <f aca="false">N(J386=0)</f>
        <v>0</v>
      </c>
      <c r="K391" s="74" t="n">
        <f aca="false">N(K386=0)</f>
        <v>0</v>
      </c>
      <c r="L391" s="74" t="n">
        <f aca="false">N(L386=0)</f>
        <v>0</v>
      </c>
      <c r="M391" s="74" t="n">
        <f aca="false">N(M386=0)</f>
        <v>0</v>
      </c>
      <c r="N391" s="74" t="n">
        <f aca="false">N(N386=0)</f>
        <v>0</v>
      </c>
      <c r="O391" s="74" t="n">
        <f aca="false">N(O386=0)</f>
        <v>1</v>
      </c>
      <c r="P391" s="74" t="n">
        <f aca="false">N(P386=0)</f>
        <v>0</v>
      </c>
      <c r="Q391" s="74" t="n">
        <f aca="false">N(Q386=0)</f>
        <v>0</v>
      </c>
      <c r="R391" s="74" t="n">
        <f aca="false">N(R386=0)</f>
        <v>0</v>
      </c>
      <c r="S391" s="74" t="n">
        <f aca="false">N(S386=0)</f>
        <v>0</v>
      </c>
      <c r="T391" s="74" t="n">
        <f aca="false">N(T386=0)</f>
        <v>0</v>
      </c>
      <c r="U391" s="74" t="n">
        <f aca="false">N(U386=0)</f>
        <v>0</v>
      </c>
      <c r="V391" s="74" t="n">
        <f aca="false">N(V386=0)</f>
        <v>0</v>
      </c>
      <c r="W391" s="74" t="n">
        <f aca="false">N(W386=0)</f>
        <v>0</v>
      </c>
      <c r="X391" s="74" t="n">
        <f aca="false">N(X386=0)</f>
        <v>0</v>
      </c>
      <c r="Y391" s="74" t="n">
        <f aca="false">N(Y386=0)</f>
        <v>0</v>
      </c>
      <c r="Z391" s="74" t="n">
        <f aca="false">N(Z386=0)</f>
        <v>0</v>
      </c>
      <c r="AA391" s="74" t="n">
        <f aca="false">N(AA386=0)</f>
        <v>0</v>
      </c>
      <c r="AB391" s="74" t="n">
        <f aca="false">N(AB386=0)</f>
        <v>0</v>
      </c>
      <c r="AC391" s="74" t="n">
        <f aca="false">N(AC386=0)</f>
        <v>0</v>
      </c>
      <c r="AD391" s="74" t="n">
        <f aca="false">N(AD386=0)</f>
        <v>0</v>
      </c>
      <c r="AE391" s="74" t="n">
        <f aca="false">N(AE386=0)</f>
        <v>0</v>
      </c>
      <c r="AF391" s="74" t="n">
        <f aca="false">N(AF386=0)</f>
        <v>0</v>
      </c>
      <c r="AG391" s="74" t="n">
        <f aca="false">N(AG386=0)</f>
        <v>0</v>
      </c>
      <c r="AH391" s="74" t="n">
        <f aca="false">N(AH386=0)</f>
        <v>0</v>
      </c>
      <c r="AI391" s="74" t="n">
        <f aca="false">N(AI386=0)</f>
        <v>0</v>
      </c>
      <c r="AJ391" s="74" t="n">
        <f aca="false">N(AJ386=0)</f>
        <v>0</v>
      </c>
      <c r="AK391" s="74" t="n">
        <f aca="false">N(AK386=0)</f>
        <v>0</v>
      </c>
      <c r="AL391" s="74" t="n">
        <f aca="false">N(AL386=0)</f>
        <v>0</v>
      </c>
      <c r="AM391" s="74" t="n">
        <f aca="false">N(AM386=0)</f>
        <v>0</v>
      </c>
      <c r="AN391" s="74" t="n">
        <f aca="false">N(AN386=0)</f>
        <v>0</v>
      </c>
      <c r="AO391" s="74" t="n">
        <f aca="false">N(AO386=0)</f>
        <v>0</v>
      </c>
      <c r="AP391" s="74" t="n">
        <f aca="false">N(AP386=0)</f>
        <v>0</v>
      </c>
      <c r="AQ391" s="74" t="n">
        <f aca="false">N(AQ386=0)</f>
        <v>0</v>
      </c>
      <c r="AR391" s="74" t="n">
        <f aca="false">N(AR386=0)</f>
        <v>0</v>
      </c>
      <c r="AS391" s="74" t="n">
        <f aca="false">N(AS386=0)</f>
        <v>0</v>
      </c>
    </row>
    <row r="392" customFormat="false" ht="14.25" hidden="false" customHeight="false" outlineLevel="0" collapsed="false">
      <c r="C392" s="6" t="s">
        <v>286</v>
      </c>
      <c r="D392" s="2" t="s">
        <v>85</v>
      </c>
      <c r="H392" s="8" t="n">
        <f aca="false">SUM(J392:AS392)</f>
        <v>-14078.5797945205</v>
      </c>
      <c r="J392" s="8" t="n">
        <f aca="false">-($F$98+$F$68+$F$62+$F$63+$F$92)*(J$339=YEAR(Sale_Date))</f>
        <v>-0</v>
      </c>
      <c r="K392" s="8" t="n">
        <f aca="false">-($F$98+$F$68+$F$62+$F$63+$F$92)*(K$339=YEAR(Sale_Date))</f>
        <v>-0</v>
      </c>
      <c r="L392" s="8" t="n">
        <f aca="false">-($F$98+$F$68+$F$62+$F$63+$F$92)*(L$339=YEAR(Sale_Date))</f>
        <v>-0</v>
      </c>
      <c r="M392" s="8" t="n">
        <f aca="false">-($F$98+$F$68+$F$62+$F$63+$F$92)*(M$339=YEAR(Sale_Date))</f>
        <v>-14078.5797945205</v>
      </c>
      <c r="N392" s="8" t="n">
        <f aca="false">-($F$98+$F$68+$F$62+$F$63+$F$92)*(N$339=YEAR(Sale_Date))</f>
        <v>-0</v>
      </c>
      <c r="O392" s="8" t="n">
        <f aca="false">-($F$98+$F$68+$F$62+$F$63+$F$92)*(O$339=YEAR(Sale_Date))</f>
        <v>-0</v>
      </c>
      <c r="P392" s="8" t="n">
        <f aca="false">-($F$98+$F$68+$F$62+$F$63+$F$92)*(P$339=YEAR(Sale_Date))</f>
        <v>-0</v>
      </c>
      <c r="Q392" s="8" t="n">
        <f aca="false">-($F$98+$F$68+$F$62+$F$63+$F$92)*(Q$339=YEAR(Sale_Date))</f>
        <v>-0</v>
      </c>
      <c r="R392" s="8" t="n">
        <f aca="false">-($F$98+$F$68+$F$62+$F$63+$F$92)*(R$339=YEAR(Sale_Date))</f>
        <v>-0</v>
      </c>
      <c r="S392" s="8" t="n">
        <f aca="false">-($F$98+$F$68+$F$62+$F$63+$F$92)*(S$339=YEAR(Sale_Date))</f>
        <v>-0</v>
      </c>
      <c r="T392" s="8" t="n">
        <f aca="false">-($F$98+$F$68+$F$62+$F$63+$F$92)*(T$339=YEAR(Sale_Date))</f>
        <v>-0</v>
      </c>
      <c r="U392" s="8" t="n">
        <f aca="false">-($F$98+$F$68+$F$62+$F$63+$F$92)*(U$339=YEAR(Sale_Date))</f>
        <v>-0</v>
      </c>
      <c r="V392" s="8" t="n">
        <f aca="false">-($F$98+$F$68+$F$62+$F$63+$F$92)*(V$339=YEAR(Sale_Date))</f>
        <v>-0</v>
      </c>
      <c r="W392" s="8" t="n">
        <f aca="false">-($F$98+$F$68+$F$62+$F$63+$F$92)*(W$339=YEAR(Sale_Date))</f>
        <v>-0</v>
      </c>
      <c r="X392" s="8" t="n">
        <f aca="false">-($F$98+$F$68+$F$62+$F$63+$F$92)*(X$339=YEAR(Sale_Date))</f>
        <v>-0</v>
      </c>
      <c r="Y392" s="8" t="n">
        <f aca="false">-($F$98+$F$68+$F$62+$F$63+$F$92)*(Y$339=YEAR(Sale_Date))</f>
        <v>-0</v>
      </c>
      <c r="Z392" s="8" t="n">
        <f aca="false">-($F$98+$F$68+$F$62+$F$63+$F$92)*(Z$339=YEAR(Sale_Date))</f>
        <v>-0</v>
      </c>
      <c r="AA392" s="8" t="n">
        <f aca="false">-($F$98+$F$68+$F$62+$F$63+$F$92)*(AA$339=YEAR(Sale_Date))</f>
        <v>-0</v>
      </c>
      <c r="AB392" s="8" t="n">
        <f aca="false">-($F$98+$F$68+$F$62+$F$63+$F$92)*(AB$339=YEAR(Sale_Date))</f>
        <v>-0</v>
      </c>
      <c r="AC392" s="8" t="n">
        <f aca="false">-($F$98+$F$68+$F$62+$F$63+$F$92)*(AC$339=YEAR(Sale_Date))</f>
        <v>-0</v>
      </c>
      <c r="AD392" s="8" t="n">
        <f aca="false">-($F$98+$F$68+$F$62+$F$63+$F$92)*(AD$339=YEAR(Sale_Date))</f>
        <v>-0</v>
      </c>
      <c r="AE392" s="8" t="n">
        <f aca="false">-($F$98+$F$68+$F$62+$F$63+$F$92)*(AE$339=YEAR(Sale_Date))</f>
        <v>-0</v>
      </c>
      <c r="AF392" s="8" t="n">
        <f aca="false">-($F$98+$F$68+$F$62+$F$63+$F$92)*(AF$339=YEAR(Sale_Date))</f>
        <v>-0</v>
      </c>
      <c r="AG392" s="8" t="n">
        <f aca="false">-($F$98+$F$68+$F$62+$F$63+$F$92)*(AG$339=YEAR(Sale_Date))</f>
        <v>-0</v>
      </c>
      <c r="AH392" s="8" t="n">
        <f aca="false">-($F$98+$F$68+$F$62+$F$63+$F$92)*(AH$339=YEAR(Sale_Date))</f>
        <v>-0</v>
      </c>
      <c r="AI392" s="8" t="n">
        <f aca="false">-($F$98+$F$68+$F$62+$F$63+$F$92)*(AI$339=YEAR(Sale_Date))</f>
        <v>-0</v>
      </c>
      <c r="AJ392" s="8" t="n">
        <f aca="false">-($F$98+$F$68+$F$62+$F$63+$F$92)*(AJ$339=YEAR(Sale_Date))</f>
        <v>-0</v>
      </c>
      <c r="AK392" s="8" t="n">
        <f aca="false">-($F$98+$F$68+$F$62+$F$63+$F$92)*(AK$339=YEAR(Sale_Date))</f>
        <v>-0</v>
      </c>
      <c r="AL392" s="8" t="n">
        <f aca="false">-($F$98+$F$68+$F$62+$F$63+$F$92)*(AL$339=YEAR(Sale_Date))</f>
        <v>-0</v>
      </c>
      <c r="AM392" s="8" t="n">
        <f aca="false">-($F$98+$F$68+$F$62+$F$63+$F$92)*(AM$339=YEAR(Sale_Date))</f>
        <v>-0</v>
      </c>
      <c r="AN392" s="8" t="n">
        <f aca="false">-($F$98+$F$68+$F$62+$F$63+$F$92)*(AN$339=YEAR(Sale_Date))</f>
        <v>-0</v>
      </c>
      <c r="AO392" s="8" t="n">
        <f aca="false">-($F$98+$F$68+$F$62+$F$63+$F$92)*(AO$339=YEAR(Sale_Date))</f>
        <v>-0</v>
      </c>
      <c r="AP392" s="8" t="n">
        <f aca="false">-($F$98+$F$68+$F$62+$F$63+$F$92)*(AP$339=YEAR(Sale_Date))</f>
        <v>-0</v>
      </c>
      <c r="AQ392" s="8" t="n">
        <f aca="false">-($F$98+$F$68+$F$62+$F$63+$F$92)*(AQ$339=YEAR(Sale_Date))</f>
        <v>-0</v>
      </c>
      <c r="AR392" s="8" t="n">
        <f aca="false">-($F$98+$F$68+$F$62+$F$63+$F$92)*(AR$339=YEAR(Sale_Date))</f>
        <v>-0</v>
      </c>
      <c r="AS392" s="8" t="n">
        <f aca="false">-($F$98+$F$68+$F$62+$F$63+$F$92)*(AS$339=YEAR(Sale_Date))</f>
        <v>-0</v>
      </c>
    </row>
    <row r="393" customFormat="false" ht="14.25" hidden="false" customHeight="false" outlineLevel="0" collapsed="false">
      <c r="C393" s="6" t="s">
        <v>287</v>
      </c>
      <c r="D393" s="2" t="s">
        <v>85</v>
      </c>
      <c r="H393" s="8" t="n">
        <f aca="false">SUM(J393:AS393)</f>
        <v>2494.52054794521</v>
      </c>
      <c r="J393" s="8" t="n">
        <f aca="false">($F$62+$F$63)*(J$339=YEAR(Inputs!$F$27))</f>
        <v>0</v>
      </c>
      <c r="K393" s="8" t="n">
        <f aca="false">($F$62+$F$63)*(K$339=YEAR(Inputs!$F$27))</f>
        <v>0</v>
      </c>
      <c r="L393" s="8" t="n">
        <f aca="false">($F$62+$F$63)*(L$339=YEAR(Inputs!$F$27))</f>
        <v>0</v>
      </c>
      <c r="M393" s="8" t="n">
        <f aca="false">($F$62+$F$63)*(M$339=YEAR(Inputs!$F$27))</f>
        <v>0</v>
      </c>
      <c r="N393" s="8" t="n">
        <f aca="false">($F$62+$F$63)*(N$339=YEAR(Inputs!$F$27))</f>
        <v>0</v>
      </c>
      <c r="O393" s="8" t="n">
        <f aca="false">($F$62+$F$63)*(O$339=YEAR(Inputs!$F$27))</f>
        <v>0</v>
      </c>
      <c r="P393" s="8" t="n">
        <f aca="false">($F$62+$F$63)*(P$339=YEAR(Inputs!$F$27))</f>
        <v>0</v>
      </c>
      <c r="Q393" s="8" t="n">
        <f aca="false">($F$62+$F$63)*(Q$339=YEAR(Inputs!$F$27))</f>
        <v>2494.52054794521</v>
      </c>
      <c r="R393" s="8" t="n">
        <f aca="false">($F$62+$F$63)*(R$339=YEAR(Inputs!$F$27))</f>
        <v>0</v>
      </c>
      <c r="S393" s="8" t="n">
        <f aca="false">($F$62+$F$63)*(S$339=YEAR(Inputs!$F$27))</f>
        <v>0</v>
      </c>
      <c r="T393" s="8" t="n">
        <f aca="false">($F$62+$F$63)*(T$339=YEAR(Inputs!$F$27))</f>
        <v>0</v>
      </c>
      <c r="U393" s="8" t="n">
        <f aca="false">($F$62+$F$63)*(U$339=YEAR(Inputs!$F$27))</f>
        <v>0</v>
      </c>
      <c r="V393" s="8" t="n">
        <f aca="false">($F$62+$F$63)*(V$339=YEAR(Inputs!$F$27))</f>
        <v>0</v>
      </c>
      <c r="W393" s="8" t="n">
        <f aca="false">($F$62+$F$63)*(W$339=YEAR(Inputs!$F$27))</f>
        <v>0</v>
      </c>
      <c r="X393" s="8" t="n">
        <f aca="false">($F$62+$F$63)*(X$339=YEAR(Inputs!$F$27))</f>
        <v>0</v>
      </c>
      <c r="Y393" s="8" t="n">
        <f aca="false">($F$62+$F$63)*(Y$339=YEAR(Inputs!$F$27))</f>
        <v>0</v>
      </c>
      <c r="Z393" s="8" t="n">
        <f aca="false">($F$62+$F$63)*(Z$339=YEAR(Inputs!$F$27))</f>
        <v>0</v>
      </c>
      <c r="AA393" s="8" t="n">
        <f aca="false">($F$62+$F$63)*(AA$339=YEAR(Inputs!$F$27))</f>
        <v>0</v>
      </c>
      <c r="AB393" s="8" t="n">
        <f aca="false">($F$62+$F$63)*(AB$339=YEAR(Inputs!$F$27))</f>
        <v>0</v>
      </c>
      <c r="AC393" s="8" t="n">
        <f aca="false">($F$62+$F$63)*(AC$339=YEAR(Inputs!$F$27))</f>
        <v>0</v>
      </c>
      <c r="AD393" s="8" t="n">
        <f aca="false">($F$62+$F$63)*(AD$339=YEAR(Inputs!$F$27))</f>
        <v>0</v>
      </c>
      <c r="AE393" s="8" t="n">
        <f aca="false">($F$62+$F$63)*(AE$339=YEAR(Inputs!$F$27))</f>
        <v>0</v>
      </c>
      <c r="AF393" s="8" t="n">
        <f aca="false">($F$62+$F$63)*(AF$339=YEAR(Inputs!$F$27))</f>
        <v>0</v>
      </c>
      <c r="AG393" s="8" t="n">
        <f aca="false">($F$62+$F$63)*(AG$339=YEAR(Inputs!$F$27))</f>
        <v>0</v>
      </c>
      <c r="AH393" s="8" t="n">
        <f aca="false">($F$62+$F$63)*(AH$339=YEAR(Inputs!$F$27))</f>
        <v>0</v>
      </c>
      <c r="AI393" s="8" t="n">
        <f aca="false">($F$62+$F$63)*(AI$339=YEAR(Inputs!$F$27))</f>
        <v>0</v>
      </c>
      <c r="AJ393" s="8" t="n">
        <f aca="false">($F$62+$F$63)*(AJ$339=YEAR(Inputs!$F$27))</f>
        <v>0</v>
      </c>
      <c r="AK393" s="8" t="n">
        <f aca="false">($F$62+$F$63)*(AK$339=YEAR(Inputs!$F$27))</f>
        <v>0</v>
      </c>
      <c r="AL393" s="8" t="n">
        <f aca="false">($F$62+$F$63)*(AL$339=YEAR(Inputs!$F$27))</f>
        <v>0</v>
      </c>
      <c r="AM393" s="8" t="n">
        <f aca="false">($F$62+$F$63)*(AM$339=YEAR(Inputs!$F$27))</f>
        <v>0</v>
      </c>
      <c r="AN393" s="8" t="n">
        <f aca="false">($F$62+$F$63)*(AN$339=YEAR(Inputs!$F$27))</f>
        <v>0</v>
      </c>
      <c r="AO393" s="8" t="n">
        <f aca="false">($F$62+$F$63)*(AO$339=YEAR(Inputs!$F$27))</f>
        <v>0</v>
      </c>
      <c r="AP393" s="8" t="n">
        <f aca="false">($F$62+$F$63)*(AP$339=YEAR(Inputs!$F$27))</f>
        <v>0</v>
      </c>
      <c r="AQ393" s="8" t="n">
        <f aca="false">($F$62+$F$63)*(AQ$339=YEAR(Inputs!$F$27))</f>
        <v>0</v>
      </c>
      <c r="AR393" s="8" t="n">
        <f aca="false">($F$62+$F$63)*(AR$339=YEAR(Inputs!$F$27))</f>
        <v>0</v>
      </c>
      <c r="AS393" s="8" t="n">
        <f aca="false">($F$62+$F$63)*(AS$339=YEAR(Inputs!$F$27))</f>
        <v>0</v>
      </c>
    </row>
    <row r="394" customFormat="false" ht="14.25" hidden="false" customHeight="false" outlineLevel="0" collapsed="false">
      <c r="C394" s="6" t="s">
        <v>288</v>
      </c>
      <c r="D394" s="2" t="s">
        <v>85</v>
      </c>
      <c r="H394" s="8" t="n">
        <f aca="false">SUM(J394:AS394)</f>
        <v>-62716</v>
      </c>
      <c r="J394" s="8" t="n">
        <f aca="false">-$F$91*J388</f>
        <v>-0</v>
      </c>
      <c r="K394" s="8" t="n">
        <f aca="false">-$F$91*K388</f>
        <v>-0</v>
      </c>
      <c r="L394" s="8" t="n">
        <f aca="false">-$F$91*L388</f>
        <v>-0</v>
      </c>
      <c r="M394" s="8" t="n">
        <f aca="false">-$F$91*M388</f>
        <v>-15679</v>
      </c>
      <c r="N394" s="8" t="n">
        <f aca="false">-$F$91*N388</f>
        <v>-31358</v>
      </c>
      <c r="O394" s="8" t="n">
        <f aca="false">-$F$91*O388</f>
        <v>-15679</v>
      </c>
      <c r="P394" s="8" t="n">
        <f aca="false">-$F$91*P388</f>
        <v>-0</v>
      </c>
      <c r="Q394" s="8" t="n">
        <f aca="false">-$F$91*Q388</f>
        <v>-0</v>
      </c>
      <c r="R394" s="8" t="n">
        <f aca="false">-$F$91*R388</f>
        <v>-0</v>
      </c>
      <c r="S394" s="8" t="n">
        <f aca="false">-$F$91*S388</f>
        <v>-0</v>
      </c>
      <c r="T394" s="8" t="n">
        <f aca="false">-$F$91*T388</f>
        <v>-0</v>
      </c>
      <c r="U394" s="8" t="n">
        <f aca="false">-$F$91*U388</f>
        <v>-0</v>
      </c>
      <c r="V394" s="8" t="n">
        <f aca="false">-$F$91*V388</f>
        <v>-0</v>
      </c>
      <c r="W394" s="8" t="n">
        <f aca="false">-$F$91*W388</f>
        <v>-0</v>
      </c>
      <c r="X394" s="8" t="n">
        <f aca="false">-$F$91*X388</f>
        <v>-0</v>
      </c>
      <c r="Y394" s="8" t="n">
        <f aca="false">-$F$91*Y388</f>
        <v>-0</v>
      </c>
      <c r="Z394" s="8" t="n">
        <f aca="false">-$F$91*Z388</f>
        <v>-0</v>
      </c>
      <c r="AA394" s="8" t="n">
        <f aca="false">-$F$91*AA388</f>
        <v>-0</v>
      </c>
      <c r="AB394" s="8" t="n">
        <f aca="false">-$F$91*AB388</f>
        <v>-0</v>
      </c>
      <c r="AC394" s="8" t="n">
        <f aca="false">-$F$91*AC388</f>
        <v>-0</v>
      </c>
      <c r="AD394" s="8" t="n">
        <f aca="false">-$F$91*AD388</f>
        <v>-0</v>
      </c>
      <c r="AE394" s="8" t="n">
        <f aca="false">-$F$91*AE388</f>
        <v>-0</v>
      </c>
      <c r="AF394" s="8" t="n">
        <f aca="false">-$F$91*AF388</f>
        <v>-0</v>
      </c>
      <c r="AG394" s="8" t="n">
        <f aca="false">-$F$91*AG388</f>
        <v>-0</v>
      </c>
      <c r="AH394" s="8" t="n">
        <f aca="false">-$F$91*AH388</f>
        <v>-0</v>
      </c>
      <c r="AI394" s="8" t="n">
        <f aca="false">-$F$91*AI388</f>
        <v>-0</v>
      </c>
      <c r="AJ394" s="8" t="n">
        <f aca="false">-$F$91*AJ388</f>
        <v>-0</v>
      </c>
      <c r="AK394" s="8" t="n">
        <f aca="false">-$F$91*AK388</f>
        <v>-0</v>
      </c>
      <c r="AL394" s="8" t="n">
        <f aca="false">-$F$91*AL388</f>
        <v>-0</v>
      </c>
      <c r="AM394" s="8" t="n">
        <f aca="false">-$F$91*AM388</f>
        <v>-0</v>
      </c>
      <c r="AN394" s="8" t="n">
        <f aca="false">-$F$91*AN388</f>
        <v>-0</v>
      </c>
      <c r="AO394" s="8" t="n">
        <f aca="false">-$F$91*AO388</f>
        <v>-0</v>
      </c>
      <c r="AP394" s="8" t="n">
        <f aca="false">-$F$91*AP388</f>
        <v>-0</v>
      </c>
      <c r="AQ394" s="8" t="n">
        <f aca="false">-$F$91*AQ388</f>
        <v>-0</v>
      </c>
      <c r="AR394" s="8" t="n">
        <f aca="false">-$F$91*AR388</f>
        <v>-0</v>
      </c>
      <c r="AS394" s="8" t="n">
        <f aca="false">-$F$91*AS388</f>
        <v>-0</v>
      </c>
    </row>
    <row r="395" customFormat="false" ht="14.25" hidden="false" customHeight="false" outlineLevel="0" collapsed="false">
      <c r="C395" s="6" t="s">
        <v>289</v>
      </c>
      <c r="D395" s="2" t="s">
        <v>85</v>
      </c>
      <c r="H395" s="8" t="n">
        <f aca="false">SUM(J395:AS395)</f>
        <v>-2500</v>
      </c>
      <c r="J395" s="8" t="n">
        <f aca="false">-$F$96*J391</f>
        <v>-0</v>
      </c>
      <c r="K395" s="8" t="n">
        <f aca="false">-$F$96*K391</f>
        <v>-0</v>
      </c>
      <c r="L395" s="8" t="n">
        <f aca="false">-$F$96*L391</f>
        <v>-0</v>
      </c>
      <c r="M395" s="8" t="n">
        <f aca="false">-$F$96*M391</f>
        <v>-0</v>
      </c>
      <c r="N395" s="8" t="n">
        <f aca="false">-$F$96*N391</f>
        <v>-0</v>
      </c>
      <c r="O395" s="8" t="n">
        <f aca="false">-$F$96*O391</f>
        <v>-2500</v>
      </c>
      <c r="P395" s="8" t="n">
        <f aca="false">-$F$96*P391</f>
        <v>-0</v>
      </c>
      <c r="Q395" s="8" t="n">
        <f aca="false">-$F$96*Q391</f>
        <v>-0</v>
      </c>
      <c r="R395" s="8" t="n">
        <f aca="false">-$F$96*R391</f>
        <v>-0</v>
      </c>
      <c r="S395" s="8" t="n">
        <f aca="false">-$F$96*S391</f>
        <v>-0</v>
      </c>
      <c r="T395" s="8" t="n">
        <f aca="false">-$F$96*T391</f>
        <v>-0</v>
      </c>
      <c r="U395" s="8" t="n">
        <f aca="false">-$F$96*U391</f>
        <v>-0</v>
      </c>
      <c r="V395" s="8" t="n">
        <f aca="false">-$F$96*V391</f>
        <v>-0</v>
      </c>
      <c r="W395" s="8" t="n">
        <f aca="false">-$F$96*W391</f>
        <v>-0</v>
      </c>
      <c r="X395" s="8" t="n">
        <f aca="false">-$F$96*X391</f>
        <v>-0</v>
      </c>
      <c r="Y395" s="8" t="n">
        <f aca="false">-$F$96*Y391</f>
        <v>-0</v>
      </c>
      <c r="Z395" s="8" t="n">
        <f aca="false">-$F$96*Z391</f>
        <v>-0</v>
      </c>
      <c r="AA395" s="8" t="n">
        <f aca="false">-$F$96*AA391</f>
        <v>-0</v>
      </c>
      <c r="AB395" s="8" t="n">
        <f aca="false">-$F$96*AB391</f>
        <v>-0</v>
      </c>
      <c r="AC395" s="8" t="n">
        <f aca="false">-$F$96*AC391</f>
        <v>-0</v>
      </c>
      <c r="AD395" s="8" t="n">
        <f aca="false">-$F$96*AD391</f>
        <v>-0</v>
      </c>
      <c r="AE395" s="8" t="n">
        <f aca="false">-$F$96*AE391</f>
        <v>-0</v>
      </c>
      <c r="AF395" s="8" t="n">
        <f aca="false">-$F$96*AF391</f>
        <v>-0</v>
      </c>
      <c r="AG395" s="8" t="n">
        <f aca="false">-$F$96*AG391</f>
        <v>-0</v>
      </c>
      <c r="AH395" s="8" t="n">
        <f aca="false">-$F$96*AH391</f>
        <v>-0</v>
      </c>
      <c r="AI395" s="8" t="n">
        <f aca="false">-$F$96*AI391</f>
        <v>-0</v>
      </c>
      <c r="AJ395" s="8" t="n">
        <f aca="false">-$F$96*AJ391</f>
        <v>-0</v>
      </c>
      <c r="AK395" s="8" t="n">
        <f aca="false">-$F$96*AK391</f>
        <v>-0</v>
      </c>
      <c r="AL395" s="8" t="n">
        <f aca="false">-$F$96*AL391</f>
        <v>-0</v>
      </c>
      <c r="AM395" s="8" t="n">
        <f aca="false">-$F$96*AM391</f>
        <v>-0</v>
      </c>
      <c r="AN395" s="8" t="n">
        <f aca="false">-$F$96*AN391</f>
        <v>-0</v>
      </c>
      <c r="AO395" s="8" t="n">
        <f aca="false">-$F$96*AO391</f>
        <v>-0</v>
      </c>
      <c r="AP395" s="8" t="n">
        <f aca="false">-$F$96*AP391</f>
        <v>-0</v>
      </c>
      <c r="AQ395" s="8" t="n">
        <f aca="false">-$F$96*AQ391</f>
        <v>-0</v>
      </c>
      <c r="AR395" s="8" t="n">
        <f aca="false">-$F$96*AR391</f>
        <v>-0</v>
      </c>
      <c r="AS395" s="8" t="n">
        <f aca="false">-$F$96*AS391</f>
        <v>-0</v>
      </c>
    </row>
    <row r="396" customFormat="false" ht="14.25" hidden="false" customHeight="false" outlineLevel="0" collapsed="false">
      <c r="C396" s="1" t="s">
        <v>290</v>
      </c>
      <c r="D396" s="2" t="s">
        <v>85</v>
      </c>
      <c r="H396" s="15" t="n">
        <f aca="false">SUM(J396:AS396)</f>
        <v>-76800.0592465753</v>
      </c>
      <c r="J396" s="15" t="n">
        <f aca="false">SUM(J392:J395)</f>
        <v>0</v>
      </c>
      <c r="K396" s="15" t="n">
        <f aca="false">SUM(K392:K395)</f>
        <v>0</v>
      </c>
      <c r="L396" s="15" t="n">
        <f aca="false">SUM(L392:L395)</f>
        <v>0</v>
      </c>
      <c r="M396" s="15" t="n">
        <f aca="false">SUM(M392:M395)</f>
        <v>-29757.5797945206</v>
      </c>
      <c r="N396" s="15" t="n">
        <f aca="false">SUM(N392:N395)</f>
        <v>-31358</v>
      </c>
      <c r="O396" s="15" t="n">
        <f aca="false">SUM(O392:O395)</f>
        <v>-18179</v>
      </c>
      <c r="P396" s="15" t="n">
        <f aca="false">SUM(P392:P395)</f>
        <v>0</v>
      </c>
      <c r="Q396" s="15" t="n">
        <f aca="false">SUM(Q392:Q395)</f>
        <v>2494.52054794521</v>
      </c>
      <c r="R396" s="15" t="n">
        <f aca="false">SUM(R392:R395)</f>
        <v>0</v>
      </c>
      <c r="S396" s="15" t="n">
        <f aca="false">SUM(S392:S395)</f>
        <v>0</v>
      </c>
      <c r="T396" s="15" t="n">
        <f aca="false">SUM(T392:T395)</f>
        <v>0</v>
      </c>
      <c r="U396" s="15" t="n">
        <f aca="false">SUM(U392:U395)</f>
        <v>0</v>
      </c>
      <c r="V396" s="15" t="n">
        <f aca="false">SUM(V392:V395)</f>
        <v>0</v>
      </c>
      <c r="W396" s="15" t="n">
        <f aca="false">SUM(W392:W395)</f>
        <v>0</v>
      </c>
      <c r="X396" s="15" t="n">
        <f aca="false">SUM(X392:X395)</f>
        <v>0</v>
      </c>
      <c r="Y396" s="15" t="n">
        <f aca="false">SUM(Y392:Y395)</f>
        <v>0</v>
      </c>
      <c r="Z396" s="15" t="n">
        <f aca="false">SUM(Z392:Z395)</f>
        <v>0</v>
      </c>
      <c r="AA396" s="15" t="n">
        <f aca="false">SUM(AA392:AA395)</f>
        <v>0</v>
      </c>
      <c r="AB396" s="15" t="n">
        <f aca="false">SUM(AB392:AB395)</f>
        <v>0</v>
      </c>
      <c r="AC396" s="15" t="n">
        <f aca="false">SUM(AC392:AC395)</f>
        <v>0</v>
      </c>
      <c r="AD396" s="15" t="n">
        <f aca="false">SUM(AD392:AD395)</f>
        <v>0</v>
      </c>
      <c r="AE396" s="15" t="n">
        <f aca="false">SUM(AE392:AE395)</f>
        <v>0</v>
      </c>
      <c r="AF396" s="15" t="n">
        <f aca="false">SUM(AF392:AF395)</f>
        <v>0</v>
      </c>
      <c r="AG396" s="15" t="n">
        <f aca="false">SUM(AG392:AG395)</f>
        <v>0</v>
      </c>
      <c r="AH396" s="15" t="n">
        <f aca="false">SUM(AH392:AH395)</f>
        <v>0</v>
      </c>
      <c r="AI396" s="15" t="n">
        <f aca="false">SUM(AI392:AI395)</f>
        <v>0</v>
      </c>
      <c r="AJ396" s="15" t="n">
        <f aca="false">SUM(AJ392:AJ395)</f>
        <v>0</v>
      </c>
      <c r="AK396" s="15" t="n">
        <f aca="false">SUM(AK392:AK395)</f>
        <v>0</v>
      </c>
      <c r="AL396" s="15" t="n">
        <f aca="false">SUM(AL392:AL395)</f>
        <v>0</v>
      </c>
      <c r="AM396" s="15" t="n">
        <f aca="false">SUM(AM392:AM395)</f>
        <v>0</v>
      </c>
      <c r="AN396" s="15" t="n">
        <f aca="false">SUM(AN392:AN395)</f>
        <v>0</v>
      </c>
      <c r="AO396" s="15" t="n">
        <f aca="false">SUM(AO392:AO395)</f>
        <v>0</v>
      </c>
      <c r="AP396" s="15" t="n">
        <f aca="false">SUM(AP392:AP395)</f>
        <v>0</v>
      </c>
      <c r="AQ396" s="15" t="n">
        <f aca="false">SUM(AQ392:AQ395)</f>
        <v>0</v>
      </c>
      <c r="AR396" s="15" t="n">
        <f aca="false">SUM(AR392:AR395)</f>
        <v>0</v>
      </c>
      <c r="AS396" s="15" t="n">
        <f aca="false">SUM(AS392:AS395)</f>
        <v>0</v>
      </c>
    </row>
    <row r="397" customFormat="false" ht="14.25" hidden="false" customHeight="false" outlineLevel="0" collapsed="false">
      <c r="C397" s="6" t="s">
        <v>291</v>
      </c>
      <c r="D397" s="2" t="s">
        <v>3</v>
      </c>
      <c r="J397" s="75" t="n">
        <f aca="false">(1-Degradation)^MAX(J386-1,0)</f>
        <v>1</v>
      </c>
      <c r="K397" s="75" t="n">
        <f aca="false">(1-Degradation)^MAX(K386-1,0)</f>
        <v>1</v>
      </c>
      <c r="L397" s="75" t="n">
        <f aca="false">(1-Degradation)^MAX(L386-1,0)</f>
        <v>1</v>
      </c>
      <c r="M397" s="75" t="n">
        <f aca="false">(1-Degradation)^MAX(M386-1,0)</f>
        <v>1</v>
      </c>
      <c r="N397" s="75" t="n">
        <f aca="false">(1-Degradation)^MAX(N386-1,0)</f>
        <v>1</v>
      </c>
      <c r="O397" s="75" t="n">
        <f aca="false">(1-Degradation)^MAX(O386-1,0)</f>
        <v>1</v>
      </c>
      <c r="P397" s="75" t="n">
        <f aca="false">(1-Degradation)^MAX(P386-1,0)</f>
        <v>1</v>
      </c>
      <c r="Q397" s="75" t="n">
        <f aca="false">(1-Degradation)^MAX(Q386-1,0)</f>
        <v>0.997</v>
      </c>
      <c r="R397" s="75" t="n">
        <f aca="false">(1-Degradation)^MAX(R386-1,0)</f>
        <v>0.994009</v>
      </c>
      <c r="S397" s="75" t="n">
        <f aca="false">(1-Degradation)^MAX(S386-1,0)</f>
        <v>0.991026973</v>
      </c>
      <c r="T397" s="75" t="n">
        <f aca="false">(1-Degradation)^MAX(T386-1,0)</f>
        <v>0.988053892081</v>
      </c>
      <c r="U397" s="75" t="n">
        <f aca="false">(1-Degradation)^MAX(U386-1,0)</f>
        <v>0.985089730404757</v>
      </c>
      <c r="V397" s="75" t="n">
        <f aca="false">(1-Degradation)^MAX(V386-1,0)</f>
        <v>0.982134461213543</v>
      </c>
      <c r="W397" s="75" t="n">
        <f aca="false">(1-Degradation)^MAX(W386-1,0)</f>
        <v>0.979188057829902</v>
      </c>
      <c r="X397" s="75" t="n">
        <f aca="false">(1-Degradation)^MAX(X386-1,0)</f>
        <v>0.976250493656412</v>
      </c>
      <c r="Y397" s="75" t="n">
        <f aca="false">(1-Degradation)^MAX(Y386-1,0)</f>
        <v>0.973321742175443</v>
      </c>
      <c r="Z397" s="75" t="n">
        <f aca="false">(1-Degradation)^MAX(Z386-1,0)</f>
        <v>0.970401776948917</v>
      </c>
      <c r="AA397" s="75" t="n">
        <f aca="false">(1-Degradation)^MAX(AA386-1,0)</f>
        <v>0.96749057161807</v>
      </c>
      <c r="AB397" s="75" t="n">
        <f aca="false">(1-Degradation)^MAX(AB386-1,0)</f>
        <v>0.964588099903216</v>
      </c>
      <c r="AC397" s="75" t="n">
        <f aca="false">(1-Degradation)^MAX(AC386-1,0)</f>
        <v>0.961694335603506</v>
      </c>
      <c r="AD397" s="75" t="n">
        <f aca="false">(1-Degradation)^MAX(AD386-1,0)</f>
        <v>0.958809252596696</v>
      </c>
      <c r="AE397" s="75" t="n">
        <f aca="false">(1-Degradation)^MAX(AE386-1,0)</f>
        <v>0.955932824838906</v>
      </c>
      <c r="AF397" s="75" t="n">
        <f aca="false">(1-Degradation)^MAX(AF386-1,0)</f>
        <v>0.953065026364389</v>
      </c>
      <c r="AG397" s="75" t="n">
        <f aca="false">(1-Degradation)^MAX(AG386-1,0)</f>
        <v>0.950205831285296</v>
      </c>
      <c r="AH397" s="75" t="n">
        <f aca="false">(1-Degradation)^MAX(AH386-1,0)</f>
        <v>0.94735521379144</v>
      </c>
      <c r="AI397" s="75" t="n">
        <f aca="false">(1-Degradation)^MAX(AI386-1,0)</f>
        <v>0.944513148150066</v>
      </c>
      <c r="AJ397" s="75" t="n">
        <f aca="false">(1-Degradation)^MAX(AJ386-1,0)</f>
        <v>0.941679608705615</v>
      </c>
      <c r="AK397" s="75" t="n">
        <f aca="false">(1-Degradation)^MAX(AK386-1,0)</f>
        <v>0.938854569879498</v>
      </c>
      <c r="AL397" s="75" t="n">
        <f aca="false">(1-Degradation)^MAX(AL386-1,0)</f>
        <v>0.93603800616986</v>
      </c>
      <c r="AM397" s="75" t="n">
        <f aca="false">(1-Degradation)^MAX(AM386-1,0)</f>
        <v>0.93322989215135</v>
      </c>
      <c r="AN397" s="75" t="n">
        <f aca="false">(1-Degradation)^MAX(AN386-1,0)</f>
        <v>0.930430202474896</v>
      </c>
      <c r="AO397" s="75" t="n">
        <f aca="false">(1-Degradation)^MAX(AO386-1,0)</f>
        <v>0.927638911867472</v>
      </c>
      <c r="AP397" s="75" t="n">
        <f aca="false">(1-Degradation)^MAX(AP386-1,0)</f>
        <v>0.924855995131869</v>
      </c>
      <c r="AQ397" s="75" t="n">
        <f aca="false">(1-Degradation)^MAX(AQ386-1,0)</f>
        <v>0.922081427146474</v>
      </c>
      <c r="AR397" s="75" t="n">
        <f aca="false">(1-Degradation)^MAX(AR386-1,0)</f>
        <v>0.919315182865034</v>
      </c>
      <c r="AS397" s="75" t="n">
        <f aca="false">(1-Degradation)^MAX(AS386-1,0)</f>
        <v>0.916557237316439</v>
      </c>
    </row>
    <row r="398" customFormat="false" ht="14.25" hidden="false" customHeight="false" outlineLevel="0" collapsed="false">
      <c r="C398" s="6" t="s">
        <v>292</v>
      </c>
      <c r="D398" s="2" t="s">
        <v>293</v>
      </c>
      <c r="H398" s="17" t="n">
        <f aca="false">SUM(J398:AS398)</f>
        <v>4263.39882706474</v>
      </c>
      <c r="J398" s="17" t="n">
        <f aca="false">$F$46*$F$22*(1-Curtailment)*(1-Clipping)*J390*J397/Thousand</f>
        <v>0</v>
      </c>
      <c r="K398" s="17" t="n">
        <f aca="false">$F$46*$F$22*(1-Curtailment)*(1-Clipping)*K390*K397/Thousand</f>
        <v>0</v>
      </c>
      <c r="L398" s="17" t="n">
        <f aca="false">$F$46*$F$22*(1-Curtailment)*(1-Clipping)*L390*L397/Thousand</f>
        <v>0</v>
      </c>
      <c r="M398" s="17" t="n">
        <f aca="false">$F$46*$F$22*(1-Curtailment)*(1-Clipping)*M390*M397/Thousand</f>
        <v>0</v>
      </c>
      <c r="N398" s="17" t="n">
        <f aca="false">$F$46*$F$22*(1-Curtailment)*(1-Clipping)*N390*N397/Thousand</f>
        <v>0</v>
      </c>
      <c r="O398" s="17" t="n">
        <f aca="false">$F$46*$F$22*(1-Curtailment)*(1-Clipping)*O390*O397/Thousand</f>
        <v>74.088</v>
      </c>
      <c r="P398" s="17" t="n">
        <f aca="false">$F$46*$F$22*(1-Curtailment)*(1-Clipping)*P390*P397/Thousand</f>
        <v>148.176</v>
      </c>
      <c r="Q398" s="17" t="n">
        <f aca="false">$F$46*$F$22*(1-Curtailment)*(1-Clipping)*Q390*Q397/Thousand</f>
        <v>147.731472</v>
      </c>
      <c r="R398" s="17" t="n">
        <f aca="false">$F$46*$F$22*(1-Curtailment)*(1-Clipping)*R390*R397/Thousand</f>
        <v>147.288277584</v>
      </c>
      <c r="S398" s="17" t="n">
        <f aca="false">$F$46*$F$22*(1-Curtailment)*(1-Clipping)*S390*S397/Thousand</f>
        <v>146.846412751248</v>
      </c>
      <c r="T398" s="17" t="n">
        <f aca="false">$F$46*$F$22*(1-Curtailment)*(1-Clipping)*T390*T397/Thousand</f>
        <v>146.405873512994</v>
      </c>
      <c r="U398" s="17" t="n">
        <f aca="false">$F$46*$F$22*(1-Curtailment)*(1-Clipping)*U390*U397/Thousand</f>
        <v>145.966655892455</v>
      </c>
      <c r="V398" s="17" t="n">
        <f aca="false">$F$46*$F$22*(1-Curtailment)*(1-Clipping)*V390*V397/Thousand</f>
        <v>145.528755924778</v>
      </c>
      <c r="W398" s="17" t="n">
        <f aca="false">$F$46*$F$22*(1-Curtailment)*(1-Clipping)*W390*W397/Thousand</f>
        <v>145.092169657004</v>
      </c>
      <c r="X398" s="17" t="n">
        <f aca="false">$F$46*$F$22*(1-Curtailment)*(1-Clipping)*X390*X397/Thousand</f>
        <v>144.656893148033</v>
      </c>
      <c r="Y398" s="17" t="n">
        <f aca="false">$F$46*$F$22*(1-Curtailment)*(1-Clipping)*Y390*Y397/Thousand</f>
        <v>144.222922468588</v>
      </c>
      <c r="Z398" s="17" t="n">
        <f aca="false">$F$46*$F$22*(1-Curtailment)*(1-Clipping)*Z390*Z397/Thousand</f>
        <v>143.790253701183</v>
      </c>
      <c r="AA398" s="17" t="n">
        <f aca="false">$F$46*$F$22*(1-Curtailment)*(1-Clipping)*AA390*AA397/Thousand</f>
        <v>143.358882940079</v>
      </c>
      <c r="AB398" s="17" t="n">
        <f aca="false">$F$46*$F$22*(1-Curtailment)*(1-Clipping)*AB390*AB397/Thousand</f>
        <v>142.928806291259</v>
      </c>
      <c r="AC398" s="17" t="n">
        <f aca="false">$F$46*$F$22*(1-Curtailment)*(1-Clipping)*AC390*AC397/Thousand</f>
        <v>142.500019872385</v>
      </c>
      <c r="AD398" s="17" t="n">
        <f aca="false">$F$46*$F$22*(1-Curtailment)*(1-Clipping)*AD390*AD397/Thousand</f>
        <v>142.072519812768</v>
      </c>
      <c r="AE398" s="17" t="n">
        <f aca="false">$F$46*$F$22*(1-Curtailment)*(1-Clipping)*AE390*AE397/Thousand</f>
        <v>141.64630225333</v>
      </c>
      <c r="AF398" s="17" t="n">
        <f aca="false">$F$46*$F$22*(1-Curtailment)*(1-Clipping)*AF390*AF397/Thousand</f>
        <v>141.22136334657</v>
      </c>
      <c r="AG398" s="17" t="n">
        <f aca="false">$F$46*$F$22*(1-Curtailment)*(1-Clipping)*AG390*AG397/Thousand</f>
        <v>140.79769925653</v>
      </c>
      <c r="AH398" s="17" t="n">
        <f aca="false">$F$46*$F$22*(1-Curtailment)*(1-Clipping)*AH390*AH397/Thousand</f>
        <v>140.37530615876</v>
      </c>
      <c r="AI398" s="17" t="n">
        <f aca="false">$F$46*$F$22*(1-Curtailment)*(1-Clipping)*AI390*AI397/Thousand</f>
        <v>139.954180240284</v>
      </c>
      <c r="AJ398" s="17" t="n">
        <f aca="false">$F$46*$F$22*(1-Curtailment)*(1-Clipping)*AJ390*AJ397/Thousand</f>
        <v>139.534317699563</v>
      </c>
      <c r="AK398" s="17" t="n">
        <f aca="false">$F$46*$F$22*(1-Curtailment)*(1-Clipping)*AK390*AK397/Thousand</f>
        <v>139.115714746465</v>
      </c>
      <c r="AL398" s="17" t="n">
        <f aca="false">$F$46*$F$22*(1-Curtailment)*(1-Clipping)*AL390*AL397/Thousand</f>
        <v>138.698367602225</v>
      </c>
      <c r="AM398" s="17" t="n">
        <f aca="false">$F$46*$F$22*(1-Curtailment)*(1-Clipping)*AM390*AM397/Thousand</f>
        <v>138.282272499419</v>
      </c>
      <c r="AN398" s="17" t="n">
        <f aca="false">$F$46*$F$22*(1-Curtailment)*(1-Clipping)*AN390*AN397/Thousand</f>
        <v>137.86742568192</v>
      </c>
      <c r="AO398" s="17" t="n">
        <f aca="false">$F$46*$F$22*(1-Curtailment)*(1-Clipping)*AO390*AO397/Thousand</f>
        <v>137.453823404874</v>
      </c>
      <c r="AP398" s="17" t="n">
        <f aca="false">$F$46*$F$22*(1-Curtailment)*(1-Clipping)*AP390*AP397/Thousand</f>
        <v>137.04146193466</v>
      </c>
      <c r="AQ398" s="17" t="n">
        <f aca="false">$F$46*$F$22*(1-Curtailment)*(1-Clipping)*AQ390*AQ397/Thousand</f>
        <v>136.630337548856</v>
      </c>
      <c r="AR398" s="17" t="n">
        <f aca="false">$F$46*$F$22*(1-Curtailment)*(1-Clipping)*AR390*AR397/Thousand</f>
        <v>136.220446536209</v>
      </c>
      <c r="AS398" s="17" t="n">
        <f aca="false">$F$46*$F$22*(1-Curtailment)*(1-Clipping)*AS390*AS397/Thousand</f>
        <v>67.9058925983003</v>
      </c>
    </row>
    <row r="399" customFormat="false" ht="14.25" hidden="false" customHeight="false" outlineLevel="0" collapsed="false">
      <c r="C399" s="6" t="s">
        <v>294</v>
      </c>
      <c r="D399" s="2" t="s">
        <v>20</v>
      </c>
      <c r="J399" s="17" t="n">
        <f aca="false">Case_PPA*(1+PPA_Esc)^J386*(J390&gt;0)</f>
        <v>0</v>
      </c>
      <c r="K399" s="17" t="n">
        <f aca="false">Case_PPA*(1+PPA_Esc)^K386*(K390&gt;0)</f>
        <v>0</v>
      </c>
      <c r="L399" s="17" t="n">
        <f aca="false">Case_PPA*(1+PPA_Esc)^L386*(L390&gt;0)</f>
        <v>0</v>
      </c>
      <c r="M399" s="17" t="n">
        <f aca="false">Case_PPA*(1+PPA_Esc)^M386*(M390&gt;0)</f>
        <v>0</v>
      </c>
      <c r="N399" s="17" t="n">
        <f aca="false">Case_PPA*(1+PPA_Esc)^N386*(N390&gt;0)</f>
        <v>0</v>
      </c>
      <c r="O399" s="17" t="n">
        <f aca="false">Case_PPA*(1+PPA_Esc)^O386*(O390&gt;0)</f>
        <v>90</v>
      </c>
      <c r="P399" s="17" t="n">
        <f aca="false">Case_PPA*(1+PPA_Esc)^P386*(P390&gt;0)</f>
        <v>90.9</v>
      </c>
      <c r="Q399" s="17" t="n">
        <f aca="false">Case_PPA*(1+PPA_Esc)^Q386*(Q390&gt;0)</f>
        <v>91.809</v>
      </c>
      <c r="R399" s="17" t="n">
        <f aca="false">Case_PPA*(1+PPA_Esc)^R386*(R390&gt;0)</f>
        <v>92.72709</v>
      </c>
      <c r="S399" s="17" t="n">
        <f aca="false">Case_PPA*(1+PPA_Esc)^S386*(S390&gt;0)</f>
        <v>93.6543609</v>
      </c>
      <c r="T399" s="17" t="n">
        <f aca="false">Case_PPA*(1+PPA_Esc)^T386*(T390&gt;0)</f>
        <v>94.590904509</v>
      </c>
      <c r="U399" s="17" t="n">
        <f aca="false">Case_PPA*(1+PPA_Esc)^U386*(U390&gt;0)</f>
        <v>95.53681355409</v>
      </c>
      <c r="V399" s="17" t="n">
        <f aca="false">Case_PPA*(1+PPA_Esc)^V386*(V390&gt;0)</f>
        <v>96.4921816896309</v>
      </c>
      <c r="W399" s="17" t="n">
        <f aca="false">Case_PPA*(1+PPA_Esc)^W386*(W390&gt;0)</f>
        <v>97.4571035065272</v>
      </c>
      <c r="X399" s="17" t="n">
        <f aca="false">Case_PPA*(1+PPA_Esc)^X386*(X390&gt;0)</f>
        <v>98.4316745415925</v>
      </c>
      <c r="Y399" s="17" t="n">
        <f aca="false">Case_PPA*(1+PPA_Esc)^Y386*(Y390&gt;0)</f>
        <v>99.4159912870084</v>
      </c>
      <c r="Z399" s="17" t="n">
        <f aca="false">Case_PPA*(1+PPA_Esc)^Z386*(Z390&gt;0)</f>
        <v>100.410151199878</v>
      </c>
      <c r="AA399" s="17" t="n">
        <f aca="false">Case_PPA*(1+PPA_Esc)^AA386*(AA390&gt;0)</f>
        <v>101.414252711877</v>
      </c>
      <c r="AB399" s="17" t="n">
        <f aca="false">Case_PPA*(1+PPA_Esc)^AB386*(AB390&gt;0)</f>
        <v>102.428395238996</v>
      </c>
      <c r="AC399" s="17" t="n">
        <f aca="false">Case_PPA*(1+PPA_Esc)^AC386*(AC390&gt;0)</f>
        <v>103.452679191386</v>
      </c>
      <c r="AD399" s="17" t="n">
        <f aca="false">Case_PPA*(1+PPA_Esc)^AD386*(AD390&gt;0)</f>
        <v>104.4872059833</v>
      </c>
      <c r="AE399" s="17" t="n">
        <f aca="false">Case_PPA*(1+PPA_Esc)^AE386*(AE390&gt;0)</f>
        <v>105.532078043133</v>
      </c>
      <c r="AF399" s="17" t="n">
        <f aca="false">Case_PPA*(1+PPA_Esc)^AF386*(AF390&gt;0)</f>
        <v>106.587398823564</v>
      </c>
      <c r="AG399" s="17" t="n">
        <f aca="false">Case_PPA*(1+PPA_Esc)^AG386*(AG390&gt;0)</f>
        <v>107.6532728118</v>
      </c>
      <c r="AH399" s="17" t="n">
        <f aca="false">Case_PPA*(1+PPA_Esc)^AH386*(AH390&gt;0)</f>
        <v>108.729805539918</v>
      </c>
      <c r="AI399" s="17" t="n">
        <f aca="false">Case_PPA*(1+PPA_Esc)^AI386*(AI390&gt;0)</f>
        <v>109.817103595317</v>
      </c>
      <c r="AJ399" s="17" t="n">
        <f aca="false">Case_PPA*(1+PPA_Esc)^AJ386*(AJ390&gt;0)</f>
        <v>110.91527463127</v>
      </c>
      <c r="AK399" s="17" t="n">
        <f aca="false">Case_PPA*(1+PPA_Esc)^AK386*(AK390&gt;0)</f>
        <v>112.024427377583</v>
      </c>
      <c r="AL399" s="17" t="n">
        <f aca="false">Case_PPA*(1+PPA_Esc)^AL386*(AL390&gt;0)</f>
        <v>113.144671651359</v>
      </c>
      <c r="AM399" s="17" t="n">
        <f aca="false">Case_PPA*(1+PPA_Esc)^AM386*(AM390&gt;0)</f>
        <v>114.276118367872</v>
      </c>
      <c r="AN399" s="17" t="n">
        <f aca="false">Case_PPA*(1+PPA_Esc)^AN386*(AN390&gt;0)</f>
        <v>115.418879551551</v>
      </c>
      <c r="AO399" s="17" t="n">
        <f aca="false">Case_PPA*(1+PPA_Esc)^AO386*(AO390&gt;0)</f>
        <v>116.573068347067</v>
      </c>
      <c r="AP399" s="17" t="n">
        <f aca="false">Case_PPA*(1+PPA_Esc)^AP386*(AP390&gt;0)</f>
        <v>117.738799030537</v>
      </c>
      <c r="AQ399" s="17" t="n">
        <f aca="false">Case_PPA*(1+PPA_Esc)^AQ386*(AQ390&gt;0)</f>
        <v>118.916187020843</v>
      </c>
      <c r="AR399" s="17" t="n">
        <f aca="false">Case_PPA*(1+PPA_Esc)^AR386*(AR390&gt;0)</f>
        <v>120.105348891051</v>
      </c>
      <c r="AS399" s="17" t="n">
        <f aca="false">Case_PPA*(1+PPA_Esc)^AS386*(AS390&gt;0)</f>
        <v>121.306402379962</v>
      </c>
    </row>
    <row r="400" customFormat="false" ht="14.25" hidden="false" customHeight="false" outlineLevel="0" collapsed="false">
      <c r="C400" s="1" t="s">
        <v>156</v>
      </c>
      <c r="D400" s="2" t="s">
        <v>85</v>
      </c>
      <c r="H400" s="32" t="n">
        <f aca="false">SUM(J400:AS400)</f>
        <v>446130.685729454</v>
      </c>
      <c r="J400" s="32" t="n">
        <f aca="false">J398*J399</f>
        <v>0</v>
      </c>
      <c r="K400" s="32" t="n">
        <f aca="false">K398*K399</f>
        <v>0</v>
      </c>
      <c r="L400" s="32" t="n">
        <f aca="false">L398*L399</f>
        <v>0</v>
      </c>
      <c r="M400" s="32" t="n">
        <f aca="false">M398*M399</f>
        <v>0</v>
      </c>
      <c r="N400" s="32" t="n">
        <f aca="false">N398*N399</f>
        <v>0</v>
      </c>
      <c r="O400" s="32" t="n">
        <f aca="false">O398*O399</f>
        <v>6667.92</v>
      </c>
      <c r="P400" s="32" t="n">
        <f aca="false">P398*P399</f>
        <v>13469.1984</v>
      </c>
      <c r="Q400" s="32" t="n">
        <f aca="false">Q398*Q399</f>
        <v>13563.078712848</v>
      </c>
      <c r="R400" s="32" t="n">
        <f aca="false">R398*R399</f>
        <v>13657.6133714766</v>
      </c>
      <c r="S400" s="32" t="n">
        <f aca="false">S398*S399</f>
        <v>13752.8069366757</v>
      </c>
      <c r="T400" s="32" t="n">
        <f aca="false">T398*T399</f>
        <v>13848.6640010244</v>
      </c>
      <c r="U400" s="32" t="n">
        <f aca="false">U398*U399</f>
        <v>13945.1891891115</v>
      </c>
      <c r="V400" s="32" t="n">
        <f aca="false">V398*V399</f>
        <v>14042.3871577596</v>
      </c>
      <c r="W400" s="32" t="n">
        <f aca="false">W398*W399</f>
        <v>14140.2625962492</v>
      </c>
      <c r="X400" s="32" t="n">
        <f aca="false">X398*X399</f>
        <v>14238.8202265451</v>
      </c>
      <c r="Y400" s="32" t="n">
        <f aca="false">Y398*Y399</f>
        <v>14338.0648035241</v>
      </c>
      <c r="Z400" s="32" t="n">
        <f aca="false">Z398*Z399</f>
        <v>14438.0011152046</v>
      </c>
      <c r="AA400" s="32" t="n">
        <f aca="false">AA398*AA399</f>
        <v>14538.6339829776</v>
      </c>
      <c r="AB400" s="32" t="n">
        <f aca="false">AB398*AB399</f>
        <v>14639.968261839</v>
      </c>
      <c r="AC400" s="32" t="n">
        <f aca="false">AC398*AC399</f>
        <v>14742.008840624</v>
      </c>
      <c r="AD400" s="32" t="n">
        <f aca="false">AD398*AD399</f>
        <v>14844.7606422431</v>
      </c>
      <c r="AE400" s="32" t="n">
        <f aca="false">AE398*AE399</f>
        <v>14948.2286239196</v>
      </c>
      <c r="AF400" s="32" t="n">
        <f aca="false">AF398*AF399</f>
        <v>15052.4177774283</v>
      </c>
      <c r="AG400" s="32" t="n">
        <f aca="false">AG398*AG399</f>
        <v>15157.333129337</v>
      </c>
      <c r="AH400" s="32" t="n">
        <f aca="false">AH398*AH399</f>
        <v>15262.9797412485</v>
      </c>
      <c r="AI400" s="32" t="n">
        <f aca="false">AI398*AI399</f>
        <v>15369.362710045</v>
      </c>
      <c r="AJ400" s="32" t="n">
        <f aca="false">AJ398*AJ399</f>
        <v>15476.487168134</v>
      </c>
      <c r="AK400" s="32" t="n">
        <f aca="false">AK398*AK399</f>
        <v>15584.3582836959</v>
      </c>
      <c r="AL400" s="32" t="n">
        <f aca="false">AL398*AL399</f>
        <v>15692.9812609332</v>
      </c>
      <c r="AM400" s="32" t="n">
        <f aca="false">AM398*AM399</f>
        <v>15802.3613403219</v>
      </c>
      <c r="AN400" s="32" t="n">
        <f aca="false">AN398*AN399</f>
        <v>15912.503798864</v>
      </c>
      <c r="AO400" s="32" t="n">
        <f aca="false">AO398*AO399</f>
        <v>16023.4139503421</v>
      </c>
      <c r="AP400" s="32" t="n">
        <f aca="false">AP398*AP399</f>
        <v>16135.0971455759</v>
      </c>
      <c r="AQ400" s="32" t="n">
        <f aca="false">AQ398*AQ399</f>
        <v>16247.5587726806</v>
      </c>
      <c r="AR400" s="32" t="n">
        <f aca="false">AR398*AR399</f>
        <v>16360.8042573262</v>
      </c>
      <c r="AS400" s="32" t="n">
        <f aca="false">AS398*AS399</f>
        <v>8237.41953149987</v>
      </c>
    </row>
    <row r="401" customFormat="false" ht="14.25" hidden="false" customHeight="false" outlineLevel="0" collapsed="false">
      <c r="C401" s="6" t="s">
        <v>295</v>
      </c>
      <c r="D401" s="2" t="s">
        <v>3</v>
      </c>
      <c r="J401" s="75" t="n">
        <f aca="false">(1+Opex_Esc)^J386</f>
        <v>0.883854287609517</v>
      </c>
      <c r="K401" s="75" t="n">
        <f aca="false">(1+Opex_Esc)^K386</f>
        <v>0.905950644799755</v>
      </c>
      <c r="L401" s="75" t="n">
        <f aca="false">(1+Opex_Esc)^L386</f>
        <v>0.928599410919749</v>
      </c>
      <c r="M401" s="75" t="n">
        <f aca="false">(1+Opex_Esc)^M386</f>
        <v>0.951814396192743</v>
      </c>
      <c r="N401" s="75" t="n">
        <f aca="false">(1+Opex_Esc)^N386</f>
        <v>0.975609756097561</v>
      </c>
      <c r="O401" s="75" t="n">
        <f aca="false">(1+Opex_Esc)^O386</f>
        <v>1</v>
      </c>
      <c r="P401" s="75" t="n">
        <f aca="false">(1+Opex_Esc)^P386</f>
        <v>1.025</v>
      </c>
      <c r="Q401" s="75" t="n">
        <f aca="false">(1+Opex_Esc)^Q386</f>
        <v>1.050625</v>
      </c>
      <c r="R401" s="75" t="n">
        <f aca="false">(1+Opex_Esc)^R386</f>
        <v>1.076890625</v>
      </c>
      <c r="S401" s="75" t="n">
        <f aca="false">(1+Opex_Esc)^S386</f>
        <v>1.103812890625</v>
      </c>
      <c r="T401" s="75" t="n">
        <f aca="false">(1+Opex_Esc)^T386</f>
        <v>1.13140821289062</v>
      </c>
      <c r="U401" s="75" t="n">
        <f aca="false">(1+Opex_Esc)^U386</f>
        <v>1.15969341821289</v>
      </c>
      <c r="V401" s="75" t="n">
        <f aca="false">(1+Opex_Esc)^V386</f>
        <v>1.18868575366821</v>
      </c>
      <c r="W401" s="75" t="n">
        <f aca="false">(1+Opex_Esc)^W386</f>
        <v>1.21840289750992</v>
      </c>
      <c r="X401" s="75" t="n">
        <f aca="false">(1+Opex_Esc)^X386</f>
        <v>1.24886296994767</v>
      </c>
      <c r="Y401" s="75" t="n">
        <f aca="false">(1+Opex_Esc)^Y386</f>
        <v>1.28008454419636</v>
      </c>
      <c r="Z401" s="75" t="n">
        <f aca="false">(1+Opex_Esc)^Z386</f>
        <v>1.31208665780127</v>
      </c>
      <c r="AA401" s="75" t="n">
        <f aca="false">(1+Opex_Esc)^AA386</f>
        <v>1.3448888242463</v>
      </c>
      <c r="AB401" s="75" t="n">
        <f aca="false">(1+Opex_Esc)^AB386</f>
        <v>1.37851104485245</v>
      </c>
      <c r="AC401" s="75" t="n">
        <f aca="false">(1+Opex_Esc)^AC386</f>
        <v>1.41297382097377</v>
      </c>
      <c r="AD401" s="75" t="n">
        <f aca="false">(1+Opex_Esc)^AD386</f>
        <v>1.44829816649811</v>
      </c>
      <c r="AE401" s="75" t="n">
        <f aca="false">(1+Opex_Esc)^AE386</f>
        <v>1.48450562066056</v>
      </c>
      <c r="AF401" s="75" t="n">
        <f aca="false">(1+Opex_Esc)^AF386</f>
        <v>1.52161826117708</v>
      </c>
      <c r="AG401" s="75" t="n">
        <f aca="false">(1+Opex_Esc)^AG386</f>
        <v>1.5596587177065</v>
      </c>
      <c r="AH401" s="75" t="n">
        <f aca="false">(1+Opex_Esc)^AH386</f>
        <v>1.59865018564917</v>
      </c>
      <c r="AI401" s="75" t="n">
        <f aca="false">(1+Opex_Esc)^AI386</f>
        <v>1.63861644029039</v>
      </c>
      <c r="AJ401" s="75" t="n">
        <f aca="false">(1+Opex_Esc)^AJ386</f>
        <v>1.67958185129765</v>
      </c>
      <c r="AK401" s="75" t="n">
        <f aca="false">(1+Opex_Esc)^AK386</f>
        <v>1.7215713975801</v>
      </c>
      <c r="AL401" s="75" t="n">
        <f aca="false">(1+Opex_Esc)^AL386</f>
        <v>1.7646106825196</v>
      </c>
      <c r="AM401" s="75" t="n">
        <f aca="false">(1+Opex_Esc)^AM386</f>
        <v>1.80872594958259</v>
      </c>
      <c r="AN401" s="75" t="n">
        <f aca="false">(1+Opex_Esc)^AN386</f>
        <v>1.85394409832215</v>
      </c>
      <c r="AO401" s="75" t="n">
        <f aca="false">(1+Opex_Esc)^AO386</f>
        <v>1.90029270078021</v>
      </c>
      <c r="AP401" s="75" t="n">
        <f aca="false">(1+Opex_Esc)^AP386</f>
        <v>1.94780001829971</v>
      </c>
      <c r="AQ401" s="75" t="n">
        <f aca="false">(1+Opex_Esc)^AQ386</f>
        <v>1.9964950187572</v>
      </c>
      <c r="AR401" s="75" t="n">
        <f aca="false">(1+Opex_Esc)^AR386</f>
        <v>2.04640739422613</v>
      </c>
      <c r="AS401" s="75" t="n">
        <f aca="false">(1+Opex_Esc)^AS386</f>
        <v>2.09756757908179</v>
      </c>
    </row>
    <row r="402" customFormat="false" ht="14.25" hidden="false" customHeight="false" outlineLevel="0" collapsed="false">
      <c r="C402" s="6" t="s">
        <v>296</v>
      </c>
      <c r="D402" s="2" t="s">
        <v>85</v>
      </c>
      <c r="H402" s="8" t="n">
        <f aca="false">SUM(J402:AS402)</f>
        <v>-70011.0919506797</v>
      </c>
      <c r="J402" s="8" t="n">
        <f aca="false">-(Case_OM+SUM(Opex_Per_MW))*$F$46*J401*J390</f>
        <v>-0</v>
      </c>
      <c r="K402" s="8" t="n">
        <f aca="false">-(Case_OM+SUM(Opex_Per_MW))*$F$46*K401*K390</f>
        <v>-0</v>
      </c>
      <c r="L402" s="8" t="n">
        <f aca="false">-(Case_OM+SUM(Opex_Per_MW))*$F$46*L401*L390</f>
        <v>-0</v>
      </c>
      <c r="M402" s="8" t="n">
        <f aca="false">-(Case_OM+SUM(Opex_Per_MW))*$F$46*M401*M390</f>
        <v>-0</v>
      </c>
      <c r="N402" s="8" t="n">
        <f aca="false">-(Case_OM+SUM(Opex_Per_MW))*$F$46*N401*N390</f>
        <v>-0</v>
      </c>
      <c r="O402" s="8" t="n">
        <f aca="false">-(Case_OM+SUM(Opex_Per_MW))*$F$46*O401*O390</f>
        <v>-787.5</v>
      </c>
      <c r="P402" s="8" t="n">
        <f aca="false">-(Case_OM+SUM(Opex_Per_MW))*$F$46*P401*P390</f>
        <v>-1614.375</v>
      </c>
      <c r="Q402" s="8" t="n">
        <f aca="false">-(Case_OM+SUM(Opex_Per_MW))*$F$46*Q401*Q390</f>
        <v>-1654.734375</v>
      </c>
      <c r="R402" s="8" t="n">
        <f aca="false">-(Case_OM+SUM(Opex_Per_MW))*$F$46*R401*R390</f>
        <v>-1696.102734375</v>
      </c>
      <c r="S402" s="8" t="n">
        <f aca="false">-(Case_OM+SUM(Opex_Per_MW))*$F$46*S401*S390</f>
        <v>-1738.50530273437</v>
      </c>
      <c r="T402" s="8" t="n">
        <f aca="false">-(Case_OM+SUM(Opex_Per_MW))*$F$46*T401*T390</f>
        <v>-1781.96793530273</v>
      </c>
      <c r="U402" s="8" t="n">
        <f aca="false">-(Case_OM+SUM(Opex_Per_MW))*$F$46*U401*U390</f>
        <v>-1826.5171336853</v>
      </c>
      <c r="V402" s="8" t="n">
        <f aca="false">-(Case_OM+SUM(Opex_Per_MW))*$F$46*V401*V390</f>
        <v>-1872.18006202743</v>
      </c>
      <c r="W402" s="8" t="n">
        <f aca="false">-(Case_OM+SUM(Opex_Per_MW))*$F$46*W401*W390</f>
        <v>-1918.98456357812</v>
      </c>
      <c r="X402" s="8" t="n">
        <f aca="false">-(Case_OM+SUM(Opex_Per_MW))*$F$46*X401*X390</f>
        <v>-1966.95917766757</v>
      </c>
      <c r="Y402" s="8" t="n">
        <f aca="false">-(Case_OM+SUM(Opex_Per_MW))*$F$46*Y401*Y390</f>
        <v>-2016.13315710926</v>
      </c>
      <c r="Z402" s="8" t="n">
        <f aca="false">-(Case_OM+SUM(Opex_Per_MW))*$F$46*Z401*Z390</f>
        <v>-2066.53648603699</v>
      </c>
      <c r="AA402" s="8" t="n">
        <f aca="false">-(Case_OM+SUM(Opex_Per_MW))*$F$46*AA401*AA390</f>
        <v>-2118.19989818792</v>
      </c>
      <c r="AB402" s="8" t="n">
        <f aca="false">-(Case_OM+SUM(Opex_Per_MW))*$F$46*AB401*AB390</f>
        <v>-2171.15489564262</v>
      </c>
      <c r="AC402" s="8" t="n">
        <f aca="false">-(Case_OM+SUM(Opex_Per_MW))*$F$46*AC401*AC390</f>
        <v>-2225.43376803368</v>
      </c>
      <c r="AD402" s="8" t="n">
        <f aca="false">-(Case_OM+SUM(Opex_Per_MW))*$F$46*AD401*AD390</f>
        <v>-2281.06961223452</v>
      </c>
      <c r="AE402" s="8" t="n">
        <f aca="false">-(Case_OM+SUM(Opex_Per_MW))*$F$46*AE401*AE390</f>
        <v>-2338.09635254039</v>
      </c>
      <c r="AF402" s="8" t="n">
        <f aca="false">-(Case_OM+SUM(Opex_Per_MW))*$F$46*AF401*AF390</f>
        <v>-2396.5487613539</v>
      </c>
      <c r="AG402" s="8" t="n">
        <f aca="false">-(Case_OM+SUM(Opex_Per_MW))*$F$46*AG401*AG390</f>
        <v>-2456.46248038774</v>
      </c>
      <c r="AH402" s="8" t="n">
        <f aca="false">-(Case_OM+SUM(Opex_Per_MW))*$F$46*AH401*AH390</f>
        <v>-2517.87404239744</v>
      </c>
      <c r="AI402" s="8" t="n">
        <f aca="false">-(Case_OM+SUM(Opex_Per_MW))*$F$46*AI401*AI390</f>
        <v>-2580.82089345737</v>
      </c>
      <c r="AJ402" s="8" t="n">
        <f aca="false">-(Case_OM+SUM(Opex_Per_MW))*$F$46*AJ401*AJ390</f>
        <v>-2645.34141579381</v>
      </c>
      <c r="AK402" s="8" t="n">
        <f aca="false">-(Case_OM+SUM(Opex_Per_MW))*$F$46*AK401*AK390</f>
        <v>-2711.47495118865</v>
      </c>
      <c r="AL402" s="8" t="n">
        <f aca="false">-(Case_OM+SUM(Opex_Per_MW))*$F$46*AL401*AL390</f>
        <v>-2779.26182496837</v>
      </c>
      <c r="AM402" s="8" t="n">
        <f aca="false">-(Case_OM+SUM(Opex_Per_MW))*$F$46*AM401*AM390</f>
        <v>-2848.74337059257</v>
      </c>
      <c r="AN402" s="8" t="n">
        <f aca="false">-(Case_OM+SUM(Opex_Per_MW))*$F$46*AN401*AN390</f>
        <v>-2919.96195485739</v>
      </c>
      <c r="AO402" s="8" t="n">
        <f aca="false">-(Case_OM+SUM(Opex_Per_MW))*$F$46*AO401*AO390</f>
        <v>-2992.96100372882</v>
      </c>
      <c r="AP402" s="8" t="n">
        <f aca="false">-(Case_OM+SUM(Opex_Per_MW))*$F$46*AP401*AP390</f>
        <v>-3067.78502882204</v>
      </c>
      <c r="AQ402" s="8" t="n">
        <f aca="false">-(Case_OM+SUM(Opex_Per_MW))*$F$46*AQ401*AQ390</f>
        <v>-3144.47965454259</v>
      </c>
      <c r="AR402" s="8" t="n">
        <f aca="false">-(Case_OM+SUM(Opex_Per_MW))*$F$46*AR401*AR390</f>
        <v>-3223.09164590616</v>
      </c>
      <c r="AS402" s="8" t="n">
        <f aca="false">-(Case_OM+SUM(Opex_Per_MW))*$F$46*AS401*AS390</f>
        <v>-1651.83446852691</v>
      </c>
    </row>
    <row r="403" customFormat="false" ht="14.25" hidden="false" customHeight="false" outlineLevel="0" collapsed="false">
      <c r="C403" s="6" t="s">
        <v>297</v>
      </c>
      <c r="D403" s="2" t="s">
        <v>85</v>
      </c>
      <c r="H403" s="8" t="n">
        <f aca="false">SUM(J403:AS403)</f>
        <v>-1666.93076073047</v>
      </c>
      <c r="J403" s="8" t="n">
        <f aca="false">-Opex_Admin*$F$6/Lump_Basis*J401*J390</f>
        <v>-0</v>
      </c>
      <c r="K403" s="8" t="n">
        <f aca="false">-Opex_Admin*$F$6/Lump_Basis*K401*K390</f>
        <v>-0</v>
      </c>
      <c r="L403" s="8" t="n">
        <f aca="false">-Opex_Admin*$F$6/Lump_Basis*L401*L390</f>
        <v>-0</v>
      </c>
      <c r="M403" s="8" t="n">
        <f aca="false">-Opex_Admin*$F$6/Lump_Basis*M401*M390</f>
        <v>-0</v>
      </c>
      <c r="N403" s="8" t="n">
        <f aca="false">-Opex_Admin*$F$6/Lump_Basis*N401*N390</f>
        <v>-0</v>
      </c>
      <c r="O403" s="8" t="n">
        <f aca="false">-Opex_Admin*$F$6/Lump_Basis*O401*O390</f>
        <v>-18.75</v>
      </c>
      <c r="P403" s="8" t="n">
        <f aca="false">-Opex_Admin*$F$6/Lump_Basis*P401*P390</f>
        <v>-38.4375</v>
      </c>
      <c r="Q403" s="8" t="n">
        <f aca="false">-Opex_Admin*$F$6/Lump_Basis*Q401*Q390</f>
        <v>-39.3984375</v>
      </c>
      <c r="R403" s="8" t="n">
        <f aca="false">-Opex_Admin*$F$6/Lump_Basis*R401*R390</f>
        <v>-40.3833984375</v>
      </c>
      <c r="S403" s="8" t="n">
        <f aca="false">-Opex_Admin*$F$6/Lump_Basis*S401*S390</f>
        <v>-41.3929833984375</v>
      </c>
      <c r="T403" s="8" t="n">
        <f aca="false">-Opex_Admin*$F$6/Lump_Basis*T401*T390</f>
        <v>-42.4278079833984</v>
      </c>
      <c r="U403" s="8" t="n">
        <f aca="false">-Opex_Admin*$F$6/Lump_Basis*U401*U390</f>
        <v>-43.4885031829834</v>
      </c>
      <c r="V403" s="8" t="n">
        <f aca="false">-Opex_Admin*$F$6/Lump_Basis*V401*V390</f>
        <v>-44.575715762558</v>
      </c>
      <c r="W403" s="8" t="n">
        <f aca="false">-Opex_Admin*$F$6/Lump_Basis*W401*W390</f>
        <v>-45.6901086566219</v>
      </c>
      <c r="X403" s="8" t="n">
        <f aca="false">-Opex_Admin*$F$6/Lump_Basis*X401*X390</f>
        <v>-46.8323613730374</v>
      </c>
      <c r="Y403" s="8" t="n">
        <f aca="false">-Opex_Admin*$F$6/Lump_Basis*Y401*Y390</f>
        <v>-48.0031704073634</v>
      </c>
      <c r="Z403" s="8" t="n">
        <f aca="false">-Opex_Admin*$F$6/Lump_Basis*Z401*Z390</f>
        <v>-49.2032496675475</v>
      </c>
      <c r="AA403" s="8" t="n">
        <f aca="false">-Opex_Admin*$F$6/Lump_Basis*AA401*AA390</f>
        <v>-50.4333309092361</v>
      </c>
      <c r="AB403" s="8" t="n">
        <f aca="false">-Opex_Admin*$F$6/Lump_Basis*AB401*AB390</f>
        <v>-51.694164181967</v>
      </c>
      <c r="AC403" s="8" t="n">
        <f aca="false">-Opex_Admin*$F$6/Lump_Basis*AC401*AC390</f>
        <v>-52.9865182865162</v>
      </c>
      <c r="AD403" s="8" t="n">
        <f aca="false">-Opex_Admin*$F$6/Lump_Basis*AD401*AD390</f>
        <v>-54.3111812436791</v>
      </c>
      <c r="AE403" s="8" t="n">
        <f aca="false">-Opex_Admin*$F$6/Lump_Basis*AE401*AE390</f>
        <v>-55.6689607747711</v>
      </c>
      <c r="AF403" s="8" t="n">
        <f aca="false">-Opex_Admin*$F$6/Lump_Basis*AF401*AF390</f>
        <v>-57.0606847941404</v>
      </c>
      <c r="AG403" s="8" t="n">
        <f aca="false">-Opex_Admin*$F$6/Lump_Basis*AG401*AG390</f>
        <v>-58.4872019139939</v>
      </c>
      <c r="AH403" s="8" t="n">
        <f aca="false">-Opex_Admin*$F$6/Lump_Basis*AH401*AH390</f>
        <v>-59.9493819618437</v>
      </c>
      <c r="AI403" s="8" t="n">
        <f aca="false">-Opex_Admin*$F$6/Lump_Basis*AI401*AI390</f>
        <v>-61.4481165108898</v>
      </c>
      <c r="AJ403" s="8" t="n">
        <f aca="false">-Opex_Admin*$F$6/Lump_Basis*AJ401*AJ390</f>
        <v>-62.984319423662</v>
      </c>
      <c r="AK403" s="8" t="n">
        <f aca="false">-Opex_Admin*$F$6/Lump_Basis*AK401*AK390</f>
        <v>-64.5589274092536</v>
      </c>
      <c r="AL403" s="8" t="n">
        <f aca="false">-Opex_Admin*$F$6/Lump_Basis*AL401*AL390</f>
        <v>-66.1729005944849</v>
      </c>
      <c r="AM403" s="8" t="n">
        <f aca="false">-Opex_Admin*$F$6/Lump_Basis*AM401*AM390</f>
        <v>-67.827223109347</v>
      </c>
      <c r="AN403" s="8" t="n">
        <f aca="false">-Opex_Admin*$F$6/Lump_Basis*AN401*AN390</f>
        <v>-69.5229036870807</v>
      </c>
      <c r="AO403" s="8" t="n">
        <f aca="false">-Opex_Admin*$F$6/Lump_Basis*AO401*AO390</f>
        <v>-71.2609762792577</v>
      </c>
      <c r="AP403" s="8" t="n">
        <f aca="false">-Opex_Admin*$F$6/Lump_Basis*AP401*AP390</f>
        <v>-73.0425006862391</v>
      </c>
      <c r="AQ403" s="8" t="n">
        <f aca="false">-Opex_Admin*$F$6/Lump_Basis*AQ401*AQ390</f>
        <v>-74.8685632033951</v>
      </c>
      <c r="AR403" s="8" t="n">
        <f aca="false">-Opex_Admin*$F$6/Lump_Basis*AR401*AR390</f>
        <v>-76.74027728348</v>
      </c>
      <c r="AS403" s="8" t="n">
        <f aca="false">-Opex_Admin*$F$6/Lump_Basis*AS401*AS390</f>
        <v>-39.3293921077835</v>
      </c>
    </row>
    <row r="404" customFormat="false" ht="14.25" hidden="false" customHeight="false" outlineLevel="0" collapsed="false">
      <c r="C404" s="6" t="s">
        <v>298</v>
      </c>
      <c r="D404" s="2" t="s">
        <v>85</v>
      </c>
      <c r="H404" s="8" t="n">
        <f aca="false">SUM(J404:AS404)</f>
        <v>-31411.9298672852</v>
      </c>
      <c r="J404" s="8" t="n">
        <f aca="false">-J398*(Balancing+Grid_Charges)*J401</f>
        <v>-0</v>
      </c>
      <c r="K404" s="8" t="n">
        <f aca="false">-K398*(Balancing+Grid_Charges)*K401</f>
        <v>-0</v>
      </c>
      <c r="L404" s="8" t="n">
        <f aca="false">-L398*(Balancing+Grid_Charges)*L401</f>
        <v>-0</v>
      </c>
      <c r="M404" s="8" t="n">
        <f aca="false">-M398*(Balancing+Grid_Charges)*M401</f>
        <v>-0</v>
      </c>
      <c r="N404" s="8" t="n">
        <f aca="false">-N398*(Balancing+Grid_Charges)*N401</f>
        <v>-0</v>
      </c>
      <c r="O404" s="8" t="n">
        <f aca="false">-O398*(Balancing+Grid_Charges)*O401</f>
        <v>-370.44</v>
      </c>
      <c r="P404" s="8" t="n">
        <f aca="false">-P398*(Balancing+Grid_Charges)*P401</f>
        <v>-759.402</v>
      </c>
      <c r="Q404" s="8" t="n">
        <f aca="false">-Q398*(Balancing+Grid_Charges)*Q401</f>
        <v>-776.05188885</v>
      </c>
      <c r="R404" s="8" t="n">
        <f aca="false">-R398*(Balancing+Grid_Charges)*R401</f>
        <v>-793.066826513036</v>
      </c>
      <c r="S404" s="8" t="n">
        <f aca="false">-S398*(Balancing+Grid_Charges)*S401</f>
        <v>-810.454816684334</v>
      </c>
      <c r="T404" s="8" t="n">
        <f aca="false">-T398*(Balancing+Grid_Charges)*T401</f>
        <v>-828.224038540138</v>
      </c>
      <c r="U404" s="8" t="n">
        <f aca="false">-U398*(Balancing+Grid_Charges)*U401</f>
        <v>-846.382850585131</v>
      </c>
      <c r="V404" s="8" t="n">
        <f aca="false">-V398*(Balancing+Grid_Charges)*V401</f>
        <v>-864.93979458421</v>
      </c>
      <c r="W404" s="8" t="n">
        <f aca="false">-W398*(Balancing+Grid_Charges)*W401</f>
        <v>-883.903599580468</v>
      </c>
      <c r="X404" s="8" t="n">
        <f aca="false">-X398*(Balancing+Grid_Charges)*X401</f>
        <v>-903.28318600127</v>
      </c>
      <c r="Y404" s="8" t="n">
        <f aca="false">-Y398*(Balancing+Grid_Charges)*Y401</f>
        <v>-923.087669854348</v>
      </c>
      <c r="Z404" s="8" t="n">
        <f aca="false">-Z398*(Balancing+Grid_Charges)*Z401</f>
        <v>-943.326367015904</v>
      </c>
      <c r="AA404" s="8" t="n">
        <f aca="false">-AA398*(Balancing+Grid_Charges)*AA401</f>
        <v>-964.008797612728</v>
      </c>
      <c r="AB404" s="8" t="n">
        <f aca="false">-AB398*(Balancing+Grid_Charges)*AB401</f>
        <v>-985.144690500387</v>
      </c>
      <c r="AC404" s="8" t="n">
        <f aca="false">-AC398*(Balancing+Grid_Charges)*AC401</f>
        <v>-1006.74398783961</v>
      </c>
      <c r="AD404" s="8" t="n">
        <f aca="false">-AD398*(Balancing+Grid_Charges)*AD401</f>
        <v>-1028.81684977299</v>
      </c>
      <c r="AE404" s="8" t="n">
        <f aca="false">-AE398*(Balancing+Grid_Charges)*AE401</f>
        <v>-1051.37365920426</v>
      </c>
      <c r="AF404" s="8" t="n">
        <f aca="false">-AF398*(Balancing+Grid_Charges)*AF401</f>
        <v>-1074.42502668232</v>
      </c>
      <c r="AG404" s="8" t="n">
        <f aca="false">-AG398*(Balancing+Grid_Charges)*AG401</f>
        <v>-1097.98179539233</v>
      </c>
      <c r="AH404" s="8" t="n">
        <f aca="false">-AH398*(Balancing+Grid_Charges)*AH401</f>
        <v>-1122.0550462563</v>
      </c>
      <c r="AI404" s="8" t="n">
        <f aca="false">-AI398*(Balancing+Grid_Charges)*AI401</f>
        <v>-1146.65610314547</v>
      </c>
      <c r="AJ404" s="8" t="n">
        <f aca="false">-AJ398*(Balancing+Grid_Charges)*AJ401</f>
        <v>-1171.79653820694</v>
      </c>
      <c r="AK404" s="8" t="n">
        <f aca="false">-AK398*(Balancing+Grid_Charges)*AK401</f>
        <v>-1197.48817730712</v>
      </c>
      <c r="AL404" s="8" t="n">
        <f aca="false">-AL398*(Balancing+Grid_Charges)*AL401</f>
        <v>-1223.74310559458</v>
      </c>
      <c r="AM404" s="8" t="n">
        <f aca="false">-AM398*(Balancing+Grid_Charges)*AM401</f>
        <v>-1250.57367318474</v>
      </c>
      <c r="AN404" s="8" t="n">
        <f aca="false">-AN398*(Balancing+Grid_Charges)*AN401</f>
        <v>-1277.99250096932</v>
      </c>
      <c r="AO404" s="8" t="n">
        <f aca="false">-AO398*(Balancing+Grid_Charges)*AO401</f>
        <v>-1306.01248655307</v>
      </c>
      <c r="AP404" s="8" t="n">
        <f aca="false">-AP398*(Balancing+Grid_Charges)*AP401</f>
        <v>-1334.64681032075</v>
      </c>
      <c r="AQ404" s="8" t="n">
        <f aca="false">-AQ398*(Balancing+Grid_Charges)*AQ401</f>
        <v>-1363.90894163703</v>
      </c>
      <c r="AR404" s="8" t="n">
        <f aca="false">-AR398*(Balancing+Grid_Charges)*AR401</f>
        <v>-1393.81264518242</v>
      </c>
      <c r="AS404" s="8" t="n">
        <f aca="false">-AS398*(Balancing+Grid_Charges)*AS401</f>
        <v>-712.185993714023</v>
      </c>
    </row>
    <row r="405" customFormat="false" ht="14.25" hidden="false" customHeight="false" outlineLevel="0" collapsed="false">
      <c r="C405" s="6" t="s">
        <v>299</v>
      </c>
      <c r="D405" s="2" t="s">
        <v>85</v>
      </c>
      <c r="H405" s="8" t="n">
        <f aca="false">SUM(J405:AS405)</f>
        <v>-446.130685729454</v>
      </c>
      <c r="J405" s="8" t="n">
        <f aca="false">-J400*MEKH_Fee</f>
        <v>-0</v>
      </c>
      <c r="K405" s="8" t="n">
        <f aca="false">-K400*MEKH_Fee</f>
        <v>-0</v>
      </c>
      <c r="L405" s="8" t="n">
        <f aca="false">-L400*MEKH_Fee</f>
        <v>-0</v>
      </c>
      <c r="M405" s="8" t="n">
        <f aca="false">-M400*MEKH_Fee</f>
        <v>-0</v>
      </c>
      <c r="N405" s="8" t="n">
        <f aca="false">-N400*MEKH_Fee</f>
        <v>-0</v>
      </c>
      <c r="O405" s="8" t="n">
        <f aca="false">-O400*MEKH_Fee</f>
        <v>-6.66792</v>
      </c>
      <c r="P405" s="8" t="n">
        <f aca="false">-P400*MEKH_Fee</f>
        <v>-13.4691984</v>
      </c>
      <c r="Q405" s="8" t="n">
        <f aca="false">-Q400*MEKH_Fee</f>
        <v>-13.563078712848</v>
      </c>
      <c r="R405" s="8" t="n">
        <f aca="false">-R400*MEKH_Fee</f>
        <v>-13.6576133714766</v>
      </c>
      <c r="S405" s="8" t="n">
        <f aca="false">-S400*MEKH_Fee</f>
        <v>-13.7528069366757</v>
      </c>
      <c r="T405" s="8" t="n">
        <f aca="false">-T400*MEKH_Fee</f>
        <v>-13.8486640010244</v>
      </c>
      <c r="U405" s="8" t="n">
        <f aca="false">-U400*MEKH_Fee</f>
        <v>-13.9451891891115</v>
      </c>
      <c r="V405" s="8" t="n">
        <f aca="false">-V400*MEKH_Fee</f>
        <v>-14.0423871577596</v>
      </c>
      <c r="W405" s="8" t="n">
        <f aca="false">-W400*MEKH_Fee</f>
        <v>-14.1402625962492</v>
      </c>
      <c r="X405" s="8" t="n">
        <f aca="false">-X400*MEKH_Fee</f>
        <v>-14.2388202265451</v>
      </c>
      <c r="Y405" s="8" t="n">
        <f aca="false">-Y400*MEKH_Fee</f>
        <v>-14.3380648035241</v>
      </c>
      <c r="Z405" s="8" t="n">
        <f aca="false">-Z400*MEKH_Fee</f>
        <v>-14.4380011152046</v>
      </c>
      <c r="AA405" s="8" t="n">
        <f aca="false">-AA400*MEKH_Fee</f>
        <v>-14.5386339829776</v>
      </c>
      <c r="AB405" s="8" t="n">
        <f aca="false">-AB400*MEKH_Fee</f>
        <v>-14.639968261839</v>
      </c>
      <c r="AC405" s="8" t="n">
        <f aca="false">-AC400*MEKH_Fee</f>
        <v>-14.742008840624</v>
      </c>
      <c r="AD405" s="8" t="n">
        <f aca="false">-AD400*MEKH_Fee</f>
        <v>-14.8447606422431</v>
      </c>
      <c r="AE405" s="8" t="n">
        <f aca="false">-AE400*MEKH_Fee</f>
        <v>-14.9482286239196</v>
      </c>
      <c r="AF405" s="8" t="n">
        <f aca="false">-AF400*MEKH_Fee</f>
        <v>-15.0524177774283</v>
      </c>
      <c r="AG405" s="8" t="n">
        <f aca="false">-AG400*MEKH_Fee</f>
        <v>-15.157333129337</v>
      </c>
      <c r="AH405" s="8" t="n">
        <f aca="false">-AH400*MEKH_Fee</f>
        <v>-15.2629797412485</v>
      </c>
      <c r="AI405" s="8" t="n">
        <f aca="false">-AI400*MEKH_Fee</f>
        <v>-15.369362710045</v>
      </c>
      <c r="AJ405" s="8" t="n">
        <f aca="false">-AJ400*MEKH_Fee</f>
        <v>-15.476487168134</v>
      </c>
      <c r="AK405" s="8" t="n">
        <f aca="false">-AK400*MEKH_Fee</f>
        <v>-15.5843582836959</v>
      </c>
      <c r="AL405" s="8" t="n">
        <f aca="false">-AL400*MEKH_Fee</f>
        <v>-15.6929812609332</v>
      </c>
      <c r="AM405" s="8" t="n">
        <f aca="false">-AM400*MEKH_Fee</f>
        <v>-15.8023613403219</v>
      </c>
      <c r="AN405" s="8" t="n">
        <f aca="false">-AN400*MEKH_Fee</f>
        <v>-15.912503798864</v>
      </c>
      <c r="AO405" s="8" t="n">
        <f aca="false">-AO400*MEKH_Fee</f>
        <v>-16.0234139503421</v>
      </c>
      <c r="AP405" s="8" t="n">
        <f aca="false">-AP400*MEKH_Fee</f>
        <v>-16.1350971455759</v>
      </c>
      <c r="AQ405" s="8" t="n">
        <f aca="false">-AQ400*MEKH_Fee</f>
        <v>-16.2475587726806</v>
      </c>
      <c r="AR405" s="8" t="n">
        <f aca="false">-AR400*MEKH_Fee</f>
        <v>-16.3608042573262</v>
      </c>
      <c r="AS405" s="8" t="n">
        <f aca="false">-AS400*MEKH_Fee</f>
        <v>-8.23741953149987</v>
      </c>
    </row>
    <row r="406" customFormat="false" ht="14.25" hidden="false" customHeight="false" outlineLevel="0" collapsed="false">
      <c r="C406" s="6" t="s">
        <v>300</v>
      </c>
      <c r="D406" s="2" t="s">
        <v>85</v>
      </c>
      <c r="H406" s="8" t="n">
        <f aca="false">SUM(J406:AS406)</f>
        <v>-5176.80416322124</v>
      </c>
      <c r="J406" s="8" t="n">
        <f aca="false">SUM(J402:J405)*Opex_Cont</f>
        <v>0</v>
      </c>
      <c r="K406" s="8" t="n">
        <f aca="false">SUM(K402:K405)*Opex_Cont</f>
        <v>0</v>
      </c>
      <c r="L406" s="8" t="n">
        <f aca="false">SUM(L402:L405)*Opex_Cont</f>
        <v>0</v>
      </c>
      <c r="M406" s="8" t="n">
        <f aca="false">SUM(M402:M405)*Opex_Cont</f>
        <v>0</v>
      </c>
      <c r="N406" s="8" t="n">
        <f aca="false">SUM(N402:N405)*Opex_Cont</f>
        <v>0</v>
      </c>
      <c r="O406" s="8" t="n">
        <f aca="false">SUM(O402:O405)*Opex_Cont</f>
        <v>-59.167896</v>
      </c>
      <c r="P406" s="8" t="n">
        <f aca="false">SUM(P402:P405)*Opex_Cont</f>
        <v>-121.28418492</v>
      </c>
      <c r="Q406" s="8" t="n">
        <f aca="false">SUM(Q402:Q405)*Opex_Cont</f>
        <v>-124.187389003142</v>
      </c>
      <c r="R406" s="8" t="n">
        <f aca="false">SUM(R402:R405)*Opex_Cont</f>
        <v>-127.160528634851</v>
      </c>
      <c r="S406" s="8" t="n">
        <f aca="false">SUM(S402:S405)*Opex_Cont</f>
        <v>-130.205295487691</v>
      </c>
      <c r="T406" s="8" t="n">
        <f aca="false">SUM(T402:T405)*Opex_Cont</f>
        <v>-133.323422291365</v>
      </c>
      <c r="U406" s="8" t="n">
        <f aca="false">SUM(U402:U405)*Opex_Cont</f>
        <v>-136.516683832126</v>
      </c>
      <c r="V406" s="8" t="n">
        <f aca="false">SUM(V402:V405)*Opex_Cont</f>
        <v>-139.786897976598</v>
      </c>
      <c r="W406" s="8" t="n">
        <f aca="false">SUM(W402:W405)*Opex_Cont</f>
        <v>-143.135926720573</v>
      </c>
      <c r="X406" s="8" t="n">
        <f aca="false">SUM(X402:X405)*Opex_Cont</f>
        <v>-146.565677263421</v>
      </c>
      <c r="Y406" s="8" t="n">
        <f aca="false">SUM(Y402:Y405)*Opex_Cont</f>
        <v>-150.078103108725</v>
      </c>
      <c r="Z406" s="8" t="n">
        <f aca="false">SUM(Z402:Z405)*Opex_Cont</f>
        <v>-153.675205191783</v>
      </c>
      <c r="AA406" s="8" t="n">
        <f aca="false">SUM(AA402:AA405)*Opex_Cont</f>
        <v>-157.359033034643</v>
      </c>
      <c r="AB406" s="8" t="n">
        <f aca="false">SUM(AB402:AB405)*Opex_Cont</f>
        <v>-161.13168592934</v>
      </c>
      <c r="AC406" s="8" t="n">
        <f aca="false">SUM(AC402:AC405)*Opex_Cont</f>
        <v>-164.995314150021</v>
      </c>
      <c r="AD406" s="8" t="n">
        <f aca="false">SUM(AD402:AD405)*Opex_Cont</f>
        <v>-168.952120194672</v>
      </c>
      <c r="AE406" s="8" t="n">
        <f aca="false">SUM(AE402:AE405)*Opex_Cont</f>
        <v>-173.004360057167</v>
      </c>
      <c r="AF406" s="8" t="n">
        <f aca="false">SUM(AF402:AF405)*Opex_Cont</f>
        <v>-177.154344530389</v>
      </c>
      <c r="AG406" s="8" t="n">
        <f aca="false">SUM(AG402:AG405)*Opex_Cont</f>
        <v>-181.40444054117</v>
      </c>
      <c r="AH406" s="8" t="n">
        <f aca="false">SUM(AH402:AH405)*Opex_Cont</f>
        <v>-185.757072517842</v>
      </c>
      <c r="AI406" s="8" t="n">
        <f aca="false">SUM(AI402:AI405)*Opex_Cont</f>
        <v>-190.214723791189</v>
      </c>
      <c r="AJ406" s="8" t="n">
        <f aca="false">SUM(AJ402:AJ405)*Opex_Cont</f>
        <v>-194.779938029627</v>
      </c>
      <c r="AK406" s="8" t="n">
        <f aca="false">SUM(AK402:AK405)*Opex_Cont</f>
        <v>-199.455320709436</v>
      </c>
      <c r="AL406" s="8" t="n">
        <f aca="false">SUM(AL402:AL405)*Opex_Cont</f>
        <v>-204.243540620918</v>
      </c>
      <c r="AM406" s="8" t="n">
        <f aca="false">SUM(AM402:AM405)*Opex_Cont</f>
        <v>-209.147331411349</v>
      </c>
      <c r="AN406" s="8" t="n">
        <f aca="false">SUM(AN402:AN405)*Opex_Cont</f>
        <v>-214.169493165633</v>
      </c>
      <c r="AO406" s="8" t="n">
        <f aca="false">SUM(AO402:AO405)*Opex_Cont</f>
        <v>-219.312894025575</v>
      </c>
      <c r="AP406" s="8" t="n">
        <f aca="false">SUM(AP402:AP405)*Opex_Cont</f>
        <v>-224.58047184873</v>
      </c>
      <c r="AQ406" s="8" t="n">
        <f aca="false">SUM(AQ402:AQ405)*Opex_Cont</f>
        <v>-229.975235907785</v>
      </c>
      <c r="AR406" s="8" t="n">
        <f aca="false">SUM(AR402:AR405)*Opex_Cont</f>
        <v>-235.500268631469</v>
      </c>
      <c r="AS406" s="8" t="n">
        <f aca="false">SUM(AS402:AS405)*Opex_Cont</f>
        <v>-120.579363694011</v>
      </c>
    </row>
    <row r="407" customFormat="false" ht="14.25" hidden="false" customHeight="false" outlineLevel="0" collapsed="false">
      <c r="C407" s="6" t="s">
        <v>301</v>
      </c>
      <c r="D407" s="2" t="s">
        <v>85</v>
      </c>
      <c r="H407" s="8" t="n">
        <f aca="false">SUM(J407:AS407)</f>
        <v>-12790.1964811942</v>
      </c>
      <c r="J407" s="8" t="n">
        <f aca="false">-J398*$F$12</f>
        <v>-0</v>
      </c>
      <c r="K407" s="8" t="n">
        <f aca="false">-K398*$F$12</f>
        <v>-0</v>
      </c>
      <c r="L407" s="8" t="n">
        <f aca="false">-L398*$F$12</f>
        <v>-0</v>
      </c>
      <c r="M407" s="8" t="n">
        <f aca="false">-M398*$F$12</f>
        <v>-0</v>
      </c>
      <c r="N407" s="8" t="n">
        <f aca="false">-N398*$F$12</f>
        <v>-0</v>
      </c>
      <c r="O407" s="8" t="n">
        <f aca="false">-O398*$F$12</f>
        <v>-222.264</v>
      </c>
      <c r="P407" s="8" t="n">
        <f aca="false">-P398*$F$12</f>
        <v>-444.528</v>
      </c>
      <c r="Q407" s="8" t="n">
        <f aca="false">-Q398*$F$12</f>
        <v>-443.194416</v>
      </c>
      <c r="R407" s="8" t="n">
        <f aca="false">-R398*$F$12</f>
        <v>-441.864832752</v>
      </c>
      <c r="S407" s="8" t="n">
        <f aca="false">-S398*$F$12</f>
        <v>-440.539238253744</v>
      </c>
      <c r="T407" s="8" t="n">
        <f aca="false">-T398*$F$12</f>
        <v>-439.217620538983</v>
      </c>
      <c r="U407" s="8" t="n">
        <f aca="false">-U398*$F$12</f>
        <v>-437.899967677366</v>
      </c>
      <c r="V407" s="8" t="n">
        <f aca="false">-V398*$F$12</f>
        <v>-436.586267774334</v>
      </c>
      <c r="W407" s="8" t="n">
        <f aca="false">-W398*$F$12</f>
        <v>-435.276508971011</v>
      </c>
      <c r="X407" s="8" t="n">
        <f aca="false">-X398*$F$12</f>
        <v>-433.970679444098</v>
      </c>
      <c r="Y407" s="8" t="n">
        <f aca="false">-Y398*$F$12</f>
        <v>-432.668767405765</v>
      </c>
      <c r="Z407" s="8" t="n">
        <f aca="false">-Z398*$F$12</f>
        <v>-431.370761103548</v>
      </c>
      <c r="AA407" s="8" t="n">
        <f aca="false">-AA398*$F$12</f>
        <v>-430.076648820237</v>
      </c>
      <c r="AB407" s="8" t="n">
        <f aca="false">-AB398*$F$12</f>
        <v>-428.786418873777</v>
      </c>
      <c r="AC407" s="8" t="n">
        <f aca="false">-AC398*$F$12</f>
        <v>-427.500059617155</v>
      </c>
      <c r="AD407" s="8" t="n">
        <f aca="false">-AD398*$F$12</f>
        <v>-426.217559438304</v>
      </c>
      <c r="AE407" s="8" t="n">
        <f aca="false">-AE398*$F$12</f>
        <v>-424.938906759989</v>
      </c>
      <c r="AF407" s="8" t="n">
        <f aca="false">-AF398*$F$12</f>
        <v>-423.664090039709</v>
      </c>
      <c r="AG407" s="8" t="n">
        <f aca="false">-AG398*$F$12</f>
        <v>-422.39309776959</v>
      </c>
      <c r="AH407" s="8" t="n">
        <f aca="false">-AH398*$F$12</f>
        <v>-421.125918476281</v>
      </c>
      <c r="AI407" s="8" t="n">
        <f aca="false">-AI398*$F$12</f>
        <v>-419.862540720852</v>
      </c>
      <c r="AJ407" s="8" t="n">
        <f aca="false">-AJ398*$F$12</f>
        <v>-418.60295309869</v>
      </c>
      <c r="AK407" s="8" t="n">
        <f aca="false">-AK398*$F$12</f>
        <v>-417.347144239394</v>
      </c>
      <c r="AL407" s="8" t="n">
        <f aca="false">-AL398*$F$12</f>
        <v>-416.095102806675</v>
      </c>
      <c r="AM407" s="8" t="n">
        <f aca="false">-AM398*$F$12</f>
        <v>-414.846817498256</v>
      </c>
      <c r="AN407" s="8" t="n">
        <f aca="false">-AN398*$F$12</f>
        <v>-413.602277045761</v>
      </c>
      <c r="AO407" s="8" t="n">
        <f aca="false">-AO398*$F$12</f>
        <v>-412.361470214623</v>
      </c>
      <c r="AP407" s="8" t="n">
        <f aca="false">-AP398*$F$12</f>
        <v>-411.12438580398</v>
      </c>
      <c r="AQ407" s="8" t="n">
        <f aca="false">-AQ398*$F$12</f>
        <v>-409.891012646568</v>
      </c>
      <c r="AR407" s="8" t="n">
        <f aca="false">-AR398*$F$12</f>
        <v>-408.661339608628</v>
      </c>
      <c r="AS407" s="8" t="n">
        <f aca="false">-AS398*$F$12</f>
        <v>-203.717677794901</v>
      </c>
    </row>
    <row r="408" customFormat="false" ht="14.25" hidden="false" customHeight="false" outlineLevel="0" collapsed="false">
      <c r="C408" s="6" t="s">
        <v>302</v>
      </c>
      <c r="D408" s="2" t="s">
        <v>85</v>
      </c>
      <c r="H408" s="8" t="n">
        <f aca="false">SUM(J408:AS408)</f>
        <v>-8922.61371458909</v>
      </c>
      <c r="J408" s="8" t="n">
        <f aca="false">-J400*HIPA_Rate</f>
        <v>-0</v>
      </c>
      <c r="K408" s="8" t="n">
        <f aca="false">-K400*HIPA_Rate</f>
        <v>-0</v>
      </c>
      <c r="L408" s="8" t="n">
        <f aca="false">-L400*HIPA_Rate</f>
        <v>-0</v>
      </c>
      <c r="M408" s="8" t="n">
        <f aca="false">-M400*HIPA_Rate</f>
        <v>-0</v>
      </c>
      <c r="N408" s="8" t="n">
        <f aca="false">-N400*HIPA_Rate</f>
        <v>-0</v>
      </c>
      <c r="O408" s="8" t="n">
        <f aca="false">-O400*HIPA_Rate</f>
        <v>-133.3584</v>
      </c>
      <c r="P408" s="8" t="n">
        <f aca="false">-P400*HIPA_Rate</f>
        <v>-269.383968</v>
      </c>
      <c r="Q408" s="8" t="n">
        <f aca="false">-Q400*HIPA_Rate</f>
        <v>-271.26157425696</v>
      </c>
      <c r="R408" s="8" t="n">
        <f aca="false">-R400*HIPA_Rate</f>
        <v>-273.152267429531</v>
      </c>
      <c r="S408" s="8" t="n">
        <f aca="false">-S400*HIPA_Rate</f>
        <v>-275.056138733515</v>
      </c>
      <c r="T408" s="8" t="n">
        <f aca="false">-T400*HIPA_Rate</f>
        <v>-276.973280020488</v>
      </c>
      <c r="U408" s="8" t="n">
        <f aca="false">-U400*HIPA_Rate</f>
        <v>-278.90378378223</v>
      </c>
      <c r="V408" s="8" t="n">
        <f aca="false">-V400*HIPA_Rate</f>
        <v>-280.847743155192</v>
      </c>
      <c r="W408" s="8" t="n">
        <f aca="false">-W400*HIPA_Rate</f>
        <v>-282.805251924984</v>
      </c>
      <c r="X408" s="8" t="n">
        <f aca="false">-X400*HIPA_Rate</f>
        <v>-284.776404530901</v>
      </c>
      <c r="Y408" s="8" t="n">
        <f aca="false">-Y400*HIPA_Rate</f>
        <v>-286.761296070482</v>
      </c>
      <c r="Z408" s="8" t="n">
        <f aca="false">-Z400*HIPA_Rate</f>
        <v>-288.760022304093</v>
      </c>
      <c r="AA408" s="8" t="n">
        <f aca="false">-AA400*HIPA_Rate</f>
        <v>-290.772679659552</v>
      </c>
      <c r="AB408" s="8" t="n">
        <f aca="false">-AB400*HIPA_Rate</f>
        <v>-292.799365236779</v>
      </c>
      <c r="AC408" s="8" t="n">
        <f aca="false">-AC400*HIPA_Rate</f>
        <v>-294.84017681248</v>
      </c>
      <c r="AD408" s="8" t="n">
        <f aca="false">-AD400*HIPA_Rate</f>
        <v>-296.895212844863</v>
      </c>
      <c r="AE408" s="8" t="n">
        <f aca="false">-AE400*HIPA_Rate</f>
        <v>-298.964572478392</v>
      </c>
      <c r="AF408" s="8" t="n">
        <f aca="false">-AF400*HIPA_Rate</f>
        <v>-301.048355548566</v>
      </c>
      <c r="AG408" s="8" t="n">
        <f aca="false">-AG400*HIPA_Rate</f>
        <v>-303.146662586739</v>
      </c>
      <c r="AH408" s="8" t="n">
        <f aca="false">-AH400*HIPA_Rate</f>
        <v>-305.259594824969</v>
      </c>
      <c r="AI408" s="8" t="n">
        <f aca="false">-AI400*HIPA_Rate</f>
        <v>-307.387254200899</v>
      </c>
      <c r="AJ408" s="8" t="n">
        <f aca="false">-AJ400*HIPA_Rate</f>
        <v>-309.529743362679</v>
      </c>
      <c r="AK408" s="8" t="n">
        <f aca="false">-AK400*HIPA_Rate</f>
        <v>-311.687165673917</v>
      </c>
      <c r="AL408" s="8" t="n">
        <f aca="false">-AL400*HIPA_Rate</f>
        <v>-313.859625218664</v>
      </c>
      <c r="AM408" s="8" t="n">
        <f aca="false">-AM400*HIPA_Rate</f>
        <v>-316.047226806439</v>
      </c>
      <c r="AN408" s="8" t="n">
        <f aca="false">-AN400*HIPA_Rate</f>
        <v>-318.250075977279</v>
      </c>
      <c r="AO408" s="8" t="n">
        <f aca="false">-AO400*HIPA_Rate</f>
        <v>-320.468279006841</v>
      </c>
      <c r="AP408" s="8" t="n">
        <f aca="false">-AP400*HIPA_Rate</f>
        <v>-322.701942911519</v>
      </c>
      <c r="AQ408" s="8" t="n">
        <f aca="false">-AQ400*HIPA_Rate</f>
        <v>-324.951175453612</v>
      </c>
      <c r="AR408" s="8" t="n">
        <f aca="false">-AR400*HIPA_Rate</f>
        <v>-327.216085146524</v>
      </c>
      <c r="AS408" s="8" t="n">
        <f aca="false">-AS400*HIPA_Rate</f>
        <v>-164.748390629997</v>
      </c>
    </row>
    <row r="409" customFormat="false" ht="14.25" hidden="false" customHeight="false" outlineLevel="0" collapsed="false">
      <c r="C409" s="1" t="s">
        <v>303</v>
      </c>
      <c r="D409" s="2" t="s">
        <v>85</v>
      </c>
      <c r="H409" s="32" t="n">
        <f aca="false">SUM(J409:AS409)</f>
        <v>-130425.697623429</v>
      </c>
      <c r="J409" s="32" t="n">
        <f aca="false">SUM(J402:J408)</f>
        <v>0</v>
      </c>
      <c r="K409" s="32" t="n">
        <f aca="false">SUM(K402:K408)</f>
        <v>0</v>
      </c>
      <c r="L409" s="32" t="n">
        <f aca="false">SUM(L402:L408)</f>
        <v>0</v>
      </c>
      <c r="M409" s="32" t="n">
        <f aca="false">SUM(M402:M408)</f>
        <v>0</v>
      </c>
      <c r="N409" s="32" t="n">
        <f aca="false">SUM(N402:N408)</f>
        <v>0</v>
      </c>
      <c r="O409" s="32" t="n">
        <f aca="false">SUM(O402:O408)</f>
        <v>-1598.148216</v>
      </c>
      <c r="P409" s="32" t="n">
        <f aca="false">SUM(P402:P408)</f>
        <v>-3260.87985132</v>
      </c>
      <c r="Q409" s="32" t="n">
        <f aca="false">SUM(Q402:Q408)</f>
        <v>-3322.39115932295</v>
      </c>
      <c r="R409" s="32" t="n">
        <f aca="false">SUM(R402:R408)</f>
        <v>-3385.38820151339</v>
      </c>
      <c r="S409" s="32" t="n">
        <f aca="false">SUM(S402:S408)</f>
        <v>-3449.90658222877</v>
      </c>
      <c r="T409" s="32" t="n">
        <f aca="false">SUM(T402:T408)</f>
        <v>-3515.98276867813</v>
      </c>
      <c r="U409" s="32" t="n">
        <f aca="false">SUM(U402:U408)</f>
        <v>-3583.65411193425</v>
      </c>
      <c r="V409" s="32" t="n">
        <f aca="false">SUM(V402:V408)</f>
        <v>-3652.95886843809</v>
      </c>
      <c r="W409" s="32" t="n">
        <f aca="false">SUM(W402:W408)</f>
        <v>-3723.93622202803</v>
      </c>
      <c r="X409" s="32" t="n">
        <f aca="false">SUM(X402:X408)</f>
        <v>-3796.62630650685</v>
      </c>
      <c r="Y409" s="32" t="n">
        <f aca="false">SUM(Y402:Y408)</f>
        <v>-3871.07022875947</v>
      </c>
      <c r="Z409" s="32" t="n">
        <f aca="false">SUM(Z402:Z408)</f>
        <v>-3947.31009243507</v>
      </c>
      <c r="AA409" s="32" t="n">
        <f aca="false">SUM(AA402:AA408)</f>
        <v>-4025.38902220729</v>
      </c>
      <c r="AB409" s="32" t="n">
        <f aca="false">SUM(AB402:AB408)</f>
        <v>-4105.3511886267</v>
      </c>
      <c r="AC409" s="32" t="n">
        <f aca="false">SUM(AC402:AC408)</f>
        <v>-4187.24183358009</v>
      </c>
      <c r="AD409" s="32" t="n">
        <f aca="false">SUM(AD402:AD408)</f>
        <v>-4271.10729637127</v>
      </c>
      <c r="AE409" s="32" t="n">
        <f aca="false">SUM(AE402:AE408)</f>
        <v>-4356.99504043889</v>
      </c>
      <c r="AF409" s="32" t="n">
        <f aca="false">SUM(AF402:AF408)</f>
        <v>-4444.95368072645</v>
      </c>
      <c r="AG409" s="32" t="n">
        <f aca="false">SUM(AG402:AG408)</f>
        <v>-4535.0330117209</v>
      </c>
      <c r="AH409" s="32" t="n">
        <f aca="false">SUM(AH402:AH408)</f>
        <v>-4627.28403617592</v>
      </c>
      <c r="AI409" s="32" t="n">
        <f aca="false">SUM(AI402:AI408)</f>
        <v>-4721.75899453672</v>
      </c>
      <c r="AJ409" s="32" t="n">
        <f aca="false">SUM(AJ402:AJ408)</f>
        <v>-4818.51139508354</v>
      </c>
      <c r="AK409" s="32" t="n">
        <f aca="false">SUM(AK402:AK408)</f>
        <v>-4917.59604481147</v>
      </c>
      <c r="AL409" s="32" t="n">
        <f aca="false">SUM(AL402:AL408)</f>
        <v>-5019.06908106463</v>
      </c>
      <c r="AM409" s="32" t="n">
        <f aca="false">SUM(AM402:AM408)</f>
        <v>-5122.98800394303</v>
      </c>
      <c r="AN409" s="32" t="n">
        <f aca="false">SUM(AN402:AN408)</f>
        <v>-5229.41170950133</v>
      </c>
      <c r="AO409" s="32" t="n">
        <f aca="false">SUM(AO402:AO408)</f>
        <v>-5338.40052375853</v>
      </c>
      <c r="AP409" s="32" t="n">
        <f aca="false">SUM(AP402:AP408)</f>
        <v>-5450.01623753884</v>
      </c>
      <c r="AQ409" s="32" t="n">
        <f aca="false">SUM(AQ402:AQ408)</f>
        <v>-5564.32214216366</v>
      </c>
      <c r="AR409" s="32" t="n">
        <f aca="false">SUM(AR402:AR408)</f>
        <v>-5681.38306601601</v>
      </c>
      <c r="AS409" s="32" t="n">
        <f aca="false">SUM(AS402:AS408)</f>
        <v>-2900.63270599912</v>
      </c>
    </row>
    <row r="410" customFormat="false" ht="14.25" hidden="false" customHeight="false" outlineLevel="0" collapsed="false">
      <c r="C410" s="1" t="s">
        <v>158</v>
      </c>
      <c r="D410" s="2" t="s">
        <v>85</v>
      </c>
      <c r="H410" s="15" t="n">
        <f aca="false">SUM(J410:AS410)</f>
        <v>315704.988106025</v>
      </c>
      <c r="J410" s="15" t="n">
        <f aca="false">J400+J409</f>
        <v>0</v>
      </c>
      <c r="K410" s="15" t="n">
        <f aca="false">K400+K409</f>
        <v>0</v>
      </c>
      <c r="L410" s="15" t="n">
        <f aca="false">L400+L409</f>
        <v>0</v>
      </c>
      <c r="M410" s="15" t="n">
        <f aca="false">M400+M409</f>
        <v>0</v>
      </c>
      <c r="N410" s="15" t="n">
        <f aca="false">N400+N409</f>
        <v>0</v>
      </c>
      <c r="O410" s="15" t="n">
        <f aca="false">O400+O409</f>
        <v>5069.771784</v>
      </c>
      <c r="P410" s="15" t="n">
        <f aca="false">P400+P409</f>
        <v>10208.31854868</v>
      </c>
      <c r="Q410" s="15" t="n">
        <f aca="false">Q400+Q409</f>
        <v>10240.6875535251</v>
      </c>
      <c r="R410" s="15" t="n">
        <f aca="false">R400+R409</f>
        <v>10272.2251699632</v>
      </c>
      <c r="S410" s="15" t="n">
        <f aca="false">S400+S409</f>
        <v>10302.900354447</v>
      </c>
      <c r="T410" s="15" t="n">
        <f aca="false">T400+T409</f>
        <v>10332.6812323462</v>
      </c>
      <c r="U410" s="15" t="n">
        <f aca="false">U400+U409</f>
        <v>10361.5350771773</v>
      </c>
      <c r="V410" s="15" t="n">
        <f aca="false">V400+V409</f>
        <v>10389.4282893215</v>
      </c>
      <c r="W410" s="15" t="n">
        <f aca="false">W400+W409</f>
        <v>10416.3263742212</v>
      </c>
      <c r="X410" s="15" t="n">
        <f aca="false">X400+X409</f>
        <v>10442.1939200382</v>
      </c>
      <c r="Y410" s="15" t="n">
        <f aca="false">Y400+Y409</f>
        <v>10466.9945747646</v>
      </c>
      <c r="Z410" s="15" t="n">
        <f aca="false">Z400+Z409</f>
        <v>10490.6910227696</v>
      </c>
      <c r="AA410" s="15" t="n">
        <f aca="false">AA400+AA409</f>
        <v>10513.2449607703</v>
      </c>
      <c r="AB410" s="15" t="n">
        <f aca="false">AB400+AB409</f>
        <v>10534.6170732123</v>
      </c>
      <c r="AC410" s="15" t="n">
        <f aca="false">AC400+AC409</f>
        <v>10554.7670070439</v>
      </c>
      <c r="AD410" s="15" t="n">
        <f aca="false">AD400+AD409</f>
        <v>10573.6533458719</v>
      </c>
      <c r="AE410" s="15" t="n">
        <f aca="false">AE400+AE409</f>
        <v>10591.2335834807</v>
      </c>
      <c r="AF410" s="15" t="n">
        <f aca="false">AF400+AF409</f>
        <v>10607.4640967019</v>
      </c>
      <c r="AG410" s="15" t="n">
        <f aca="false">AG400+AG409</f>
        <v>10622.3001176161</v>
      </c>
      <c r="AH410" s="15" t="n">
        <f aca="false">AH400+AH409</f>
        <v>10635.6957050725</v>
      </c>
      <c r="AI410" s="15" t="n">
        <f aca="false">AI400+AI409</f>
        <v>10647.6037155082</v>
      </c>
      <c r="AJ410" s="15" t="n">
        <f aca="false">AJ400+AJ409</f>
        <v>10657.9757730504</v>
      </c>
      <c r="AK410" s="15" t="n">
        <f aca="false">AK400+AK409</f>
        <v>10666.7622388844</v>
      </c>
      <c r="AL410" s="15" t="n">
        <f aca="false">AL400+AL409</f>
        <v>10673.9121798686</v>
      </c>
      <c r="AM410" s="15" t="n">
        <f aca="false">AM400+AM409</f>
        <v>10679.3733363789</v>
      </c>
      <c r="AN410" s="15" t="n">
        <f aca="false">AN400+AN409</f>
        <v>10683.0920893626</v>
      </c>
      <c r="AO410" s="15" t="n">
        <f aca="false">AO400+AO409</f>
        <v>10685.0134265835</v>
      </c>
      <c r="AP410" s="15" t="n">
        <f aca="false">AP400+AP409</f>
        <v>10685.0809080371</v>
      </c>
      <c r="AQ410" s="15" t="n">
        <f aca="false">AQ400+AQ409</f>
        <v>10683.2366305169</v>
      </c>
      <c r="AR410" s="15" t="n">
        <f aca="false">AR400+AR409</f>
        <v>10679.4211913102</v>
      </c>
      <c r="AS410" s="15" t="n">
        <f aca="false">AS400+AS409</f>
        <v>5336.78682550075</v>
      </c>
    </row>
    <row r="411" customFormat="false" ht="14.25" hidden="false" customHeight="false" outlineLevel="0" collapsed="false">
      <c r="C411" s="1" t="s">
        <v>304</v>
      </c>
      <c r="D411" s="2" t="s">
        <v>85</v>
      </c>
      <c r="H411" s="32" t="n">
        <f aca="false">SUM(J411:AS411)</f>
        <v>238904.92885945</v>
      </c>
      <c r="J411" s="32" t="n">
        <f aca="false">J396+J410</f>
        <v>0</v>
      </c>
      <c r="K411" s="32" t="n">
        <f aca="false">K396+K410</f>
        <v>0</v>
      </c>
      <c r="L411" s="32" t="n">
        <f aca="false">L396+L410</f>
        <v>0</v>
      </c>
      <c r="M411" s="32" t="n">
        <f aca="false">M396+M410</f>
        <v>-29757.5797945206</v>
      </c>
      <c r="N411" s="32" t="n">
        <f aca="false">N396+N410</f>
        <v>-31358</v>
      </c>
      <c r="O411" s="32" t="n">
        <f aca="false">O396+O410</f>
        <v>-13109.228216</v>
      </c>
      <c r="P411" s="32" t="n">
        <f aca="false">P396+P410</f>
        <v>10208.31854868</v>
      </c>
      <c r="Q411" s="32" t="n">
        <f aca="false">Q396+Q410</f>
        <v>12735.2081014703</v>
      </c>
      <c r="R411" s="32" t="n">
        <f aca="false">R396+R410</f>
        <v>10272.2251699632</v>
      </c>
      <c r="S411" s="32" t="n">
        <f aca="false">S396+S410</f>
        <v>10302.900354447</v>
      </c>
      <c r="T411" s="32" t="n">
        <f aca="false">T396+T410</f>
        <v>10332.6812323462</v>
      </c>
      <c r="U411" s="32" t="n">
        <f aca="false">U396+U410</f>
        <v>10361.5350771773</v>
      </c>
      <c r="V411" s="32" t="n">
        <f aca="false">V396+V410</f>
        <v>10389.4282893215</v>
      </c>
      <c r="W411" s="32" t="n">
        <f aca="false">W396+W410</f>
        <v>10416.3263742212</v>
      </c>
      <c r="X411" s="32" t="n">
        <f aca="false">X396+X410</f>
        <v>10442.1939200382</v>
      </c>
      <c r="Y411" s="32" t="n">
        <f aca="false">Y396+Y410</f>
        <v>10466.9945747646</v>
      </c>
      <c r="Z411" s="32" t="n">
        <f aca="false">Z396+Z410</f>
        <v>10490.6910227696</v>
      </c>
      <c r="AA411" s="32" t="n">
        <f aca="false">AA396+AA410</f>
        <v>10513.2449607703</v>
      </c>
      <c r="AB411" s="32" t="n">
        <f aca="false">AB396+AB410</f>
        <v>10534.6170732123</v>
      </c>
      <c r="AC411" s="32" t="n">
        <f aca="false">AC396+AC410</f>
        <v>10554.7670070439</v>
      </c>
      <c r="AD411" s="32" t="n">
        <f aca="false">AD396+AD410</f>
        <v>10573.6533458719</v>
      </c>
      <c r="AE411" s="32" t="n">
        <f aca="false">AE396+AE410</f>
        <v>10591.2335834807</v>
      </c>
      <c r="AF411" s="32" t="n">
        <f aca="false">AF396+AF410</f>
        <v>10607.4640967019</v>
      </c>
      <c r="AG411" s="32" t="n">
        <f aca="false">AG396+AG410</f>
        <v>10622.3001176161</v>
      </c>
      <c r="AH411" s="32" t="n">
        <f aca="false">AH396+AH410</f>
        <v>10635.6957050725</v>
      </c>
      <c r="AI411" s="32" t="n">
        <f aca="false">AI396+AI410</f>
        <v>10647.6037155082</v>
      </c>
      <c r="AJ411" s="32" t="n">
        <f aca="false">AJ396+AJ410</f>
        <v>10657.9757730504</v>
      </c>
      <c r="AK411" s="32" t="n">
        <f aca="false">AK396+AK410</f>
        <v>10666.7622388844</v>
      </c>
      <c r="AL411" s="32" t="n">
        <f aca="false">AL396+AL410</f>
        <v>10673.9121798686</v>
      </c>
      <c r="AM411" s="32" t="n">
        <f aca="false">AM396+AM410</f>
        <v>10679.3733363789</v>
      </c>
      <c r="AN411" s="32" t="n">
        <f aca="false">AN396+AN410</f>
        <v>10683.0920893626</v>
      </c>
      <c r="AO411" s="32" t="n">
        <f aca="false">AO396+AO410</f>
        <v>10685.0134265835</v>
      </c>
      <c r="AP411" s="32" t="n">
        <f aca="false">AP396+AP410</f>
        <v>10685.0809080371</v>
      </c>
      <c r="AQ411" s="32" t="n">
        <f aca="false">AQ396+AQ410</f>
        <v>10683.2366305169</v>
      </c>
      <c r="AR411" s="32" t="n">
        <f aca="false">AR396+AR410</f>
        <v>10679.4211913102</v>
      </c>
      <c r="AS411" s="32" t="n">
        <f aca="false">AS396+AS410</f>
        <v>5336.78682550075</v>
      </c>
    </row>
    <row r="412" customFormat="false" ht="14.25" hidden="false" customHeight="false" outlineLevel="0" collapsed="false">
      <c r="C412" s="6" t="s">
        <v>305</v>
      </c>
      <c r="D412" s="2" t="s">
        <v>85</v>
      </c>
      <c r="H412" s="8" t="n">
        <f aca="false">SUM(J412:AS412)</f>
        <v>-76800.0592465753</v>
      </c>
      <c r="J412" s="8" t="n">
        <f aca="false">-$F$99/Tax_Dep_Life*(J386&gt;=0)*(J386&lt;Tax_Dep_Life)</f>
        <v>-0</v>
      </c>
      <c r="K412" s="8" t="n">
        <f aca="false">-$F$99/Tax_Dep_Life*(K386&gt;=0)*(K386&lt;Tax_Dep_Life)</f>
        <v>-0</v>
      </c>
      <c r="L412" s="8" t="n">
        <f aca="false">-$F$99/Tax_Dep_Life*(L386&gt;=0)*(L386&lt;Tax_Dep_Life)</f>
        <v>-0</v>
      </c>
      <c r="M412" s="8" t="n">
        <f aca="false">-$F$99/Tax_Dep_Life*(M386&gt;=0)*(M386&lt;Tax_Dep_Life)</f>
        <v>-0</v>
      </c>
      <c r="N412" s="8" t="n">
        <f aca="false">-$F$99/Tax_Dep_Life*(N386&gt;=0)*(N386&lt;Tax_Dep_Life)</f>
        <v>-0</v>
      </c>
      <c r="O412" s="8" t="n">
        <f aca="false">-$F$99/Tax_Dep_Life*(O386&gt;=0)*(O386&lt;Tax_Dep_Life)</f>
        <v>-3840.00296232877</v>
      </c>
      <c r="P412" s="8" t="n">
        <f aca="false">-$F$99/Tax_Dep_Life*(P386&gt;=0)*(P386&lt;Tax_Dep_Life)</f>
        <v>-3840.00296232877</v>
      </c>
      <c r="Q412" s="8" t="n">
        <f aca="false">-$F$99/Tax_Dep_Life*(Q386&gt;=0)*(Q386&lt;Tax_Dep_Life)</f>
        <v>-3840.00296232877</v>
      </c>
      <c r="R412" s="8" t="n">
        <f aca="false">-$F$99/Tax_Dep_Life*(R386&gt;=0)*(R386&lt;Tax_Dep_Life)</f>
        <v>-3840.00296232877</v>
      </c>
      <c r="S412" s="8" t="n">
        <f aca="false">-$F$99/Tax_Dep_Life*(S386&gt;=0)*(S386&lt;Tax_Dep_Life)</f>
        <v>-3840.00296232877</v>
      </c>
      <c r="T412" s="8" t="n">
        <f aca="false">-$F$99/Tax_Dep_Life*(T386&gt;=0)*(T386&lt;Tax_Dep_Life)</f>
        <v>-3840.00296232877</v>
      </c>
      <c r="U412" s="8" t="n">
        <f aca="false">-$F$99/Tax_Dep_Life*(U386&gt;=0)*(U386&lt;Tax_Dep_Life)</f>
        <v>-3840.00296232877</v>
      </c>
      <c r="V412" s="8" t="n">
        <f aca="false">-$F$99/Tax_Dep_Life*(V386&gt;=0)*(V386&lt;Tax_Dep_Life)</f>
        <v>-3840.00296232877</v>
      </c>
      <c r="W412" s="8" t="n">
        <f aca="false">-$F$99/Tax_Dep_Life*(W386&gt;=0)*(W386&lt;Tax_Dep_Life)</f>
        <v>-3840.00296232877</v>
      </c>
      <c r="X412" s="8" t="n">
        <f aca="false">-$F$99/Tax_Dep_Life*(X386&gt;=0)*(X386&lt;Tax_Dep_Life)</f>
        <v>-3840.00296232877</v>
      </c>
      <c r="Y412" s="8" t="n">
        <f aca="false">-$F$99/Tax_Dep_Life*(Y386&gt;=0)*(Y386&lt;Tax_Dep_Life)</f>
        <v>-3840.00296232877</v>
      </c>
      <c r="Z412" s="8" t="n">
        <f aca="false">-$F$99/Tax_Dep_Life*(Z386&gt;=0)*(Z386&lt;Tax_Dep_Life)</f>
        <v>-3840.00296232877</v>
      </c>
      <c r="AA412" s="8" t="n">
        <f aca="false">-$F$99/Tax_Dep_Life*(AA386&gt;=0)*(AA386&lt;Tax_Dep_Life)</f>
        <v>-3840.00296232877</v>
      </c>
      <c r="AB412" s="8" t="n">
        <f aca="false">-$F$99/Tax_Dep_Life*(AB386&gt;=0)*(AB386&lt;Tax_Dep_Life)</f>
        <v>-3840.00296232877</v>
      </c>
      <c r="AC412" s="8" t="n">
        <f aca="false">-$F$99/Tax_Dep_Life*(AC386&gt;=0)*(AC386&lt;Tax_Dep_Life)</f>
        <v>-3840.00296232877</v>
      </c>
      <c r="AD412" s="8" t="n">
        <f aca="false">-$F$99/Tax_Dep_Life*(AD386&gt;=0)*(AD386&lt;Tax_Dep_Life)</f>
        <v>-3840.00296232877</v>
      </c>
      <c r="AE412" s="8" t="n">
        <f aca="false">-$F$99/Tax_Dep_Life*(AE386&gt;=0)*(AE386&lt;Tax_Dep_Life)</f>
        <v>-3840.00296232877</v>
      </c>
      <c r="AF412" s="8" t="n">
        <f aca="false">-$F$99/Tax_Dep_Life*(AF386&gt;=0)*(AF386&lt;Tax_Dep_Life)</f>
        <v>-3840.00296232877</v>
      </c>
      <c r="AG412" s="8" t="n">
        <f aca="false">-$F$99/Tax_Dep_Life*(AG386&gt;=0)*(AG386&lt;Tax_Dep_Life)</f>
        <v>-3840.00296232877</v>
      </c>
      <c r="AH412" s="8" t="n">
        <f aca="false">-$F$99/Tax_Dep_Life*(AH386&gt;=0)*(AH386&lt;Tax_Dep_Life)</f>
        <v>-3840.00296232877</v>
      </c>
      <c r="AI412" s="8" t="n">
        <f aca="false">-$F$99/Tax_Dep_Life*(AI386&gt;=0)*(AI386&lt;Tax_Dep_Life)</f>
        <v>-0</v>
      </c>
      <c r="AJ412" s="8" t="n">
        <f aca="false">-$F$99/Tax_Dep_Life*(AJ386&gt;=0)*(AJ386&lt;Tax_Dep_Life)</f>
        <v>-0</v>
      </c>
      <c r="AK412" s="8" t="n">
        <f aca="false">-$F$99/Tax_Dep_Life*(AK386&gt;=0)*(AK386&lt;Tax_Dep_Life)</f>
        <v>-0</v>
      </c>
      <c r="AL412" s="8" t="n">
        <f aca="false">-$F$99/Tax_Dep_Life*(AL386&gt;=0)*(AL386&lt;Tax_Dep_Life)</f>
        <v>-0</v>
      </c>
      <c r="AM412" s="8" t="n">
        <f aca="false">-$F$99/Tax_Dep_Life*(AM386&gt;=0)*(AM386&lt;Tax_Dep_Life)</f>
        <v>-0</v>
      </c>
      <c r="AN412" s="8" t="n">
        <f aca="false">-$F$99/Tax_Dep_Life*(AN386&gt;=0)*(AN386&lt;Tax_Dep_Life)</f>
        <v>-0</v>
      </c>
      <c r="AO412" s="8" t="n">
        <f aca="false">-$F$99/Tax_Dep_Life*(AO386&gt;=0)*(AO386&lt;Tax_Dep_Life)</f>
        <v>-0</v>
      </c>
      <c r="AP412" s="8" t="n">
        <f aca="false">-$F$99/Tax_Dep_Life*(AP386&gt;=0)*(AP386&lt;Tax_Dep_Life)</f>
        <v>-0</v>
      </c>
      <c r="AQ412" s="8" t="n">
        <f aca="false">-$F$99/Tax_Dep_Life*(AQ386&gt;=0)*(AQ386&lt;Tax_Dep_Life)</f>
        <v>-0</v>
      </c>
      <c r="AR412" s="8" t="n">
        <f aca="false">-$F$99/Tax_Dep_Life*(AR386&gt;=0)*(AR386&lt;Tax_Dep_Life)</f>
        <v>-0</v>
      </c>
      <c r="AS412" s="8" t="n">
        <f aca="false">-$F$99/Tax_Dep_Life*(AS386&gt;=0)*(AS386&lt;Tax_Dep_Life)</f>
        <v>-0</v>
      </c>
    </row>
    <row r="413" customFormat="false" ht="14.25" hidden="false" customHeight="false" outlineLevel="0" collapsed="false">
      <c r="C413" s="6" t="s">
        <v>306</v>
      </c>
      <c r="D413" s="2" t="s">
        <v>85</v>
      </c>
      <c r="H413" s="8" t="n">
        <f aca="false">SUM(J413:AS413)</f>
        <v>-35835.7393289174</v>
      </c>
      <c r="J413" s="8" t="n">
        <f aca="false">-MAX(0,J410+J412)*CIT_Rate*(J390&gt;0)</f>
        <v>-0</v>
      </c>
      <c r="K413" s="8" t="n">
        <f aca="false">-MAX(0,K410+K412)*CIT_Rate*(K390&gt;0)</f>
        <v>-0</v>
      </c>
      <c r="L413" s="8" t="n">
        <f aca="false">-MAX(0,L410+L412)*CIT_Rate*(L390&gt;0)</f>
        <v>-0</v>
      </c>
      <c r="M413" s="8" t="n">
        <f aca="false">-MAX(0,M410+M412)*CIT_Rate*(M390&gt;0)</f>
        <v>-0</v>
      </c>
      <c r="N413" s="8" t="n">
        <f aca="false">-MAX(0,N410+N412)*CIT_Rate*(N390&gt;0)</f>
        <v>-0</v>
      </c>
      <c r="O413" s="8" t="n">
        <f aca="false">-MAX(0,O410+O412)*CIT_Rate*(O390&gt;0)</f>
        <v>-184.465323250685</v>
      </c>
      <c r="P413" s="8" t="n">
        <f aca="false">-MAX(0,P410+P412)*CIT_Rate*(P390&gt;0)</f>
        <v>-955.247337952685</v>
      </c>
      <c r="Q413" s="8" t="n">
        <f aca="false">-MAX(0,Q410+Q412)*CIT_Rate*(Q390&gt;0)</f>
        <v>-960.102688679442</v>
      </c>
      <c r="R413" s="8" t="n">
        <f aca="false">-MAX(0,R410+R412)*CIT_Rate*(R390&gt;0)</f>
        <v>-964.833331145159</v>
      </c>
      <c r="S413" s="8" t="n">
        <f aca="false">-MAX(0,S410+S412)*CIT_Rate*(S390&gt;0)</f>
        <v>-969.434608817731</v>
      </c>
      <c r="T413" s="8" t="n">
        <f aca="false">-MAX(0,T410+T412)*CIT_Rate*(T390&gt;0)</f>
        <v>-973.901740502622</v>
      </c>
      <c r="U413" s="8" t="n">
        <f aca="false">-MAX(0,U410+U412)*CIT_Rate*(U390&gt;0)</f>
        <v>-978.229817227275</v>
      </c>
      <c r="V413" s="8" t="n">
        <f aca="false">-MAX(0,V410+V412)*CIT_Rate*(V390&gt;0)</f>
        <v>-982.413799048915</v>
      </c>
      <c r="W413" s="8" t="n">
        <f aca="false">-MAX(0,W410+W412)*CIT_Rate*(W390&gt;0)</f>
        <v>-986.448511783862</v>
      </c>
      <c r="X413" s="8" t="n">
        <f aca="false">-MAX(0,X410+X412)*CIT_Rate*(X390&gt;0)</f>
        <v>-990.328643656417</v>
      </c>
      <c r="Y413" s="8" t="n">
        <f aca="false">-MAX(0,Y410+Y412)*CIT_Rate*(Y390&gt;0)</f>
        <v>-994.048741865376</v>
      </c>
      <c r="Z413" s="8" t="n">
        <f aca="false">-MAX(0,Z410+Z412)*CIT_Rate*(Z390&gt;0)</f>
        <v>-997.60320906612</v>
      </c>
      <c r="AA413" s="8" t="n">
        <f aca="false">-MAX(0,AA410+AA412)*CIT_Rate*(AA390&gt;0)</f>
        <v>-1000.98629976623</v>
      </c>
      <c r="AB413" s="8" t="n">
        <f aca="false">-MAX(0,AB410+AB412)*CIT_Rate*(AB390&gt;0)</f>
        <v>-1004.19211663253</v>
      </c>
      <c r="AC413" s="8" t="n">
        <f aca="false">-MAX(0,AC410+AC412)*CIT_Rate*(AC390&gt;0)</f>
        <v>-1007.21460670727</v>
      </c>
      <c r="AD413" s="8" t="n">
        <f aca="false">-MAX(0,AD410+AD412)*CIT_Rate*(AD390&gt;0)</f>
        <v>-1010.04755753146</v>
      </c>
      <c r="AE413" s="8" t="n">
        <f aca="false">-MAX(0,AE410+AE412)*CIT_Rate*(AE390&gt;0)</f>
        <v>-1012.68459317279</v>
      </c>
      <c r="AF413" s="8" t="n">
        <f aca="false">-MAX(0,AF410+AF412)*CIT_Rate*(AF390&gt;0)</f>
        <v>-1015.11917015596</v>
      </c>
      <c r="AG413" s="8" t="n">
        <f aca="false">-MAX(0,AG410+AG412)*CIT_Rate*(AG390&gt;0)</f>
        <v>-1017.3445732931</v>
      </c>
      <c r="AH413" s="8" t="n">
        <f aca="false">-MAX(0,AH410+AH412)*CIT_Rate*(AH390&gt;0)</f>
        <v>-1019.35391141156</v>
      </c>
      <c r="AI413" s="8" t="n">
        <f aca="false">-MAX(0,AI410+AI412)*CIT_Rate*(AI390&gt;0)</f>
        <v>-1597.14055732624</v>
      </c>
      <c r="AJ413" s="8" t="n">
        <f aca="false">-MAX(0,AJ410+AJ412)*CIT_Rate*(AJ390&gt;0)</f>
        <v>-1598.69636595756</v>
      </c>
      <c r="AK413" s="8" t="n">
        <f aca="false">-MAX(0,AK410+AK412)*CIT_Rate*(AK390&gt;0)</f>
        <v>-1600.01433583266</v>
      </c>
      <c r="AL413" s="8" t="n">
        <f aca="false">-MAX(0,AL410+AL412)*CIT_Rate*(AL390&gt;0)</f>
        <v>-1601.08682698029</v>
      </c>
      <c r="AM413" s="8" t="n">
        <f aca="false">-MAX(0,AM410+AM412)*CIT_Rate*(AM390&gt;0)</f>
        <v>-1601.90600045683</v>
      </c>
      <c r="AN413" s="8" t="n">
        <f aca="false">-MAX(0,AN410+AN412)*CIT_Rate*(AN390&gt;0)</f>
        <v>-1602.4638134044</v>
      </c>
      <c r="AO413" s="8" t="n">
        <f aca="false">-MAX(0,AO410+AO412)*CIT_Rate*(AO390&gt;0)</f>
        <v>-1602.75201398753</v>
      </c>
      <c r="AP413" s="8" t="n">
        <f aca="false">-MAX(0,AP410+AP412)*CIT_Rate*(AP390&gt;0)</f>
        <v>-1602.76213620557</v>
      </c>
      <c r="AQ413" s="8" t="n">
        <f aca="false">-MAX(0,AQ410+AQ412)*CIT_Rate*(AQ390&gt;0)</f>
        <v>-1602.48549457754</v>
      </c>
      <c r="AR413" s="8" t="n">
        <f aca="false">-MAX(0,AR410+AR412)*CIT_Rate*(AR390&gt;0)</f>
        <v>-1601.91317869653</v>
      </c>
      <c r="AS413" s="8" t="n">
        <f aca="false">-MAX(0,AS410+AS412)*CIT_Rate*(AS390&gt;0)</f>
        <v>-800.518023825112</v>
      </c>
    </row>
    <row r="414" customFormat="false" ht="14.25" hidden="false" customHeight="false" outlineLevel="0" collapsed="false">
      <c r="C414" s="1" t="s">
        <v>307</v>
      </c>
      <c r="D414" s="2" t="s">
        <v>85</v>
      </c>
      <c r="H414" s="32" t="n">
        <f aca="false">SUM(J414:AS414)</f>
        <v>203069.189530532</v>
      </c>
      <c r="J414" s="32" t="n">
        <f aca="false">J411+J413</f>
        <v>0</v>
      </c>
      <c r="K414" s="32" t="n">
        <f aca="false">K411+K413</f>
        <v>0</v>
      </c>
      <c r="L414" s="32" t="n">
        <f aca="false">L411+L413</f>
        <v>0</v>
      </c>
      <c r="M414" s="32" t="n">
        <f aca="false">M411+M413</f>
        <v>-29757.5797945206</v>
      </c>
      <c r="N414" s="32" t="n">
        <f aca="false">N411+N413</f>
        <v>-31358</v>
      </c>
      <c r="O414" s="32" t="n">
        <f aca="false">O411+O413</f>
        <v>-13293.6935392507</v>
      </c>
      <c r="P414" s="32" t="n">
        <f aca="false">P411+P413</f>
        <v>9253.07121072731</v>
      </c>
      <c r="Q414" s="32" t="n">
        <f aca="false">Q411+Q413</f>
        <v>11775.1054127908</v>
      </c>
      <c r="R414" s="32" t="n">
        <f aca="false">R411+R413</f>
        <v>9307.391838818</v>
      </c>
      <c r="S414" s="32" t="n">
        <f aca="false">S411+S413</f>
        <v>9333.46574562924</v>
      </c>
      <c r="T414" s="32" t="n">
        <f aca="false">T411+T413</f>
        <v>9358.77949184362</v>
      </c>
      <c r="U414" s="32" t="n">
        <f aca="false">U411+U413</f>
        <v>9383.30525994999</v>
      </c>
      <c r="V414" s="32" t="n">
        <f aca="false">V411+V413</f>
        <v>9407.01449027262</v>
      </c>
      <c r="W414" s="32" t="n">
        <f aca="false">W411+W413</f>
        <v>9429.87786243732</v>
      </c>
      <c r="X414" s="32" t="n">
        <f aca="false">X411+X413</f>
        <v>9451.8652763818</v>
      </c>
      <c r="Y414" s="32" t="n">
        <f aca="false">Y411+Y413</f>
        <v>9472.94583289924</v>
      </c>
      <c r="Z414" s="32" t="n">
        <f aca="false">Z411+Z413</f>
        <v>9493.08781370345</v>
      </c>
      <c r="AA414" s="32" t="n">
        <f aca="false">AA411+AA413</f>
        <v>9512.25866100409</v>
      </c>
      <c r="AB414" s="32" t="n">
        <f aca="false">AB411+AB413</f>
        <v>9530.42495657974</v>
      </c>
      <c r="AC414" s="32" t="n">
        <f aca="false">AC411+AC413</f>
        <v>9547.55240033664</v>
      </c>
      <c r="AD414" s="32" t="n">
        <f aca="false">AD411+AD413</f>
        <v>9563.6057883404</v>
      </c>
      <c r="AE414" s="32" t="n">
        <f aca="false">AE411+AE413</f>
        <v>9578.5489903079</v>
      </c>
      <c r="AF414" s="32" t="n">
        <f aca="false">AF411+AF413</f>
        <v>9592.34492654589</v>
      </c>
      <c r="AG414" s="32" t="n">
        <f aca="false">AG411+AG413</f>
        <v>9604.95554432298</v>
      </c>
      <c r="AH414" s="32" t="n">
        <f aca="false">AH411+AH413</f>
        <v>9616.34179366096</v>
      </c>
      <c r="AI414" s="32" t="n">
        <f aca="false">AI411+AI413</f>
        <v>9050.463158182</v>
      </c>
      <c r="AJ414" s="32" t="n">
        <f aca="false">AJ411+AJ413</f>
        <v>9059.27940709287</v>
      </c>
      <c r="AK414" s="32" t="n">
        <f aca="false">AK411+AK413</f>
        <v>9066.74790305173</v>
      </c>
      <c r="AL414" s="32" t="n">
        <f aca="false">AL411+AL413</f>
        <v>9072.8253528883</v>
      </c>
      <c r="AM414" s="32" t="n">
        <f aca="false">AM411+AM413</f>
        <v>9077.46733592206</v>
      </c>
      <c r="AN414" s="32" t="n">
        <f aca="false">AN411+AN413</f>
        <v>9080.62827595824</v>
      </c>
      <c r="AO414" s="32" t="n">
        <f aca="false">AO411+AO413</f>
        <v>9082.26141259599</v>
      </c>
      <c r="AP414" s="32" t="n">
        <f aca="false">AP411+AP413</f>
        <v>9082.31877183154</v>
      </c>
      <c r="AQ414" s="32" t="n">
        <f aca="false">AQ411+AQ413</f>
        <v>9080.75113593939</v>
      </c>
      <c r="AR414" s="32" t="n">
        <f aca="false">AR411+AR413</f>
        <v>9077.50801261365</v>
      </c>
      <c r="AS414" s="32" t="n">
        <f aca="false">AS411+AS413</f>
        <v>4536.26880167564</v>
      </c>
    </row>
    <row r="415" customFormat="false" ht="14.25" hidden="false" customHeight="false" outlineLevel="0" collapsed="false">
      <c r="C415" s="6" t="s">
        <v>308</v>
      </c>
      <c r="D415" s="2" t="s">
        <v>85</v>
      </c>
      <c r="H415" s="8" t="n">
        <f aca="false">SUM(J415:AS415)</f>
        <v>46080.0355479452</v>
      </c>
      <c r="J415" s="8" t="n">
        <f aca="false">$F$99*Gearing*J391</f>
        <v>0</v>
      </c>
      <c r="K415" s="8" t="n">
        <f aca="false">$F$99*Gearing*K391</f>
        <v>0</v>
      </c>
      <c r="L415" s="8" t="n">
        <f aca="false">$F$99*Gearing*L391</f>
        <v>0</v>
      </c>
      <c r="M415" s="8" t="n">
        <f aca="false">$F$99*Gearing*M391</f>
        <v>0</v>
      </c>
      <c r="N415" s="8" t="n">
        <f aca="false">$F$99*Gearing*N391</f>
        <v>0</v>
      </c>
      <c r="O415" s="8" t="n">
        <f aca="false">$F$99*Gearing*O391</f>
        <v>46080.0355479452</v>
      </c>
      <c r="P415" s="8" t="n">
        <f aca="false">$F$99*Gearing*P391</f>
        <v>0</v>
      </c>
      <c r="Q415" s="8" t="n">
        <f aca="false">$F$99*Gearing*Q391</f>
        <v>0</v>
      </c>
      <c r="R415" s="8" t="n">
        <f aca="false">$F$99*Gearing*R391</f>
        <v>0</v>
      </c>
      <c r="S415" s="8" t="n">
        <f aca="false">$F$99*Gearing*S391</f>
        <v>0</v>
      </c>
      <c r="T415" s="8" t="n">
        <f aca="false">$F$99*Gearing*T391</f>
        <v>0</v>
      </c>
      <c r="U415" s="8" t="n">
        <f aca="false">$F$99*Gearing*U391</f>
        <v>0</v>
      </c>
      <c r="V415" s="8" t="n">
        <f aca="false">$F$99*Gearing*V391</f>
        <v>0</v>
      </c>
      <c r="W415" s="8" t="n">
        <f aca="false">$F$99*Gearing*W391</f>
        <v>0</v>
      </c>
      <c r="X415" s="8" t="n">
        <f aca="false">$F$99*Gearing*X391</f>
        <v>0</v>
      </c>
      <c r="Y415" s="8" t="n">
        <f aca="false">$F$99*Gearing*Y391</f>
        <v>0</v>
      </c>
      <c r="Z415" s="8" t="n">
        <f aca="false">$F$99*Gearing*Z391</f>
        <v>0</v>
      </c>
      <c r="AA415" s="8" t="n">
        <f aca="false">$F$99*Gearing*AA391</f>
        <v>0</v>
      </c>
      <c r="AB415" s="8" t="n">
        <f aca="false">$F$99*Gearing*AB391</f>
        <v>0</v>
      </c>
      <c r="AC415" s="8" t="n">
        <f aca="false">$F$99*Gearing*AC391</f>
        <v>0</v>
      </c>
      <c r="AD415" s="8" t="n">
        <f aca="false">$F$99*Gearing*AD391</f>
        <v>0</v>
      </c>
      <c r="AE415" s="8" t="n">
        <f aca="false">$F$99*Gearing*AE391</f>
        <v>0</v>
      </c>
      <c r="AF415" s="8" t="n">
        <f aca="false">$F$99*Gearing*AF391</f>
        <v>0</v>
      </c>
      <c r="AG415" s="8" t="n">
        <f aca="false">$F$99*Gearing*AG391</f>
        <v>0</v>
      </c>
      <c r="AH415" s="8" t="n">
        <f aca="false">$F$99*Gearing*AH391</f>
        <v>0</v>
      </c>
      <c r="AI415" s="8" t="n">
        <f aca="false">$F$99*Gearing*AI391</f>
        <v>0</v>
      </c>
      <c r="AJ415" s="8" t="n">
        <f aca="false">$F$99*Gearing*AJ391</f>
        <v>0</v>
      </c>
      <c r="AK415" s="8" t="n">
        <f aca="false">$F$99*Gearing*AK391</f>
        <v>0</v>
      </c>
      <c r="AL415" s="8" t="n">
        <f aca="false">$F$99*Gearing*AL391</f>
        <v>0</v>
      </c>
      <c r="AM415" s="8" t="n">
        <f aca="false">$F$99*Gearing*AM391</f>
        <v>0</v>
      </c>
      <c r="AN415" s="8" t="n">
        <f aca="false">$F$99*Gearing*AN391</f>
        <v>0</v>
      </c>
      <c r="AO415" s="8" t="n">
        <f aca="false">$F$99*Gearing*AO391</f>
        <v>0</v>
      </c>
      <c r="AP415" s="8" t="n">
        <f aca="false">$F$99*Gearing*AP391</f>
        <v>0</v>
      </c>
      <c r="AQ415" s="8" t="n">
        <f aca="false">$F$99*Gearing*AQ391</f>
        <v>0</v>
      </c>
      <c r="AR415" s="8" t="n">
        <f aca="false">$F$99*Gearing*AR391</f>
        <v>0</v>
      </c>
      <c r="AS415" s="8" t="n">
        <f aca="false">$F$99*Gearing*AS391</f>
        <v>0</v>
      </c>
    </row>
    <row r="416" customFormat="false" ht="14.25" hidden="false" customHeight="false" outlineLevel="0" collapsed="false">
      <c r="C416" s="6" t="s">
        <v>309</v>
      </c>
      <c r="D416" s="2" t="s">
        <v>85</v>
      </c>
      <c r="H416" s="8" t="n">
        <f aca="false">SUM(J416:AS416)</f>
        <v>66591.8405670651</v>
      </c>
      <c r="J416" s="8" t="n">
        <f aca="false">-PMT(Debt_Rate,Debt_Tenor,$F$99*Gearing)*(J386&gt;=1)*(J386&lt;=Debt_Tenor)</f>
        <v>0</v>
      </c>
      <c r="K416" s="8" t="n">
        <f aca="false">-PMT(Debt_Rate,Debt_Tenor,$F$99*Gearing)*(K386&gt;=1)*(K386&lt;=Debt_Tenor)</f>
        <v>0</v>
      </c>
      <c r="L416" s="8" t="n">
        <f aca="false">-PMT(Debt_Rate,Debt_Tenor,$F$99*Gearing)*(L386&gt;=1)*(L386&lt;=Debt_Tenor)</f>
        <v>0</v>
      </c>
      <c r="M416" s="8" t="n">
        <f aca="false">-PMT(Debt_Rate,Debt_Tenor,$F$99*Gearing)*(M386&gt;=1)*(M386&lt;=Debt_Tenor)</f>
        <v>0</v>
      </c>
      <c r="N416" s="8" t="n">
        <f aca="false">-PMT(Debt_Rate,Debt_Tenor,$F$99*Gearing)*(N386&gt;=1)*(N386&lt;=Debt_Tenor)</f>
        <v>0</v>
      </c>
      <c r="O416" s="8" t="n">
        <f aca="false">-PMT(Debt_Rate,Debt_Tenor,$F$99*Gearing)*(O386&gt;=1)*(O386&lt;=Debt_Tenor)</f>
        <v>0</v>
      </c>
      <c r="P416" s="8" t="n">
        <f aca="false">-PMT(Debt_Rate,Debt_Tenor,$F$99*Gearing)*(P386&gt;=1)*(P386&lt;=Debt_Tenor)</f>
        <v>4439.45603780434</v>
      </c>
      <c r="Q416" s="8" t="n">
        <f aca="false">-PMT(Debt_Rate,Debt_Tenor,$F$99*Gearing)*(Q386&gt;=1)*(Q386&lt;=Debt_Tenor)</f>
        <v>4439.45603780434</v>
      </c>
      <c r="R416" s="8" t="n">
        <f aca="false">-PMT(Debt_Rate,Debt_Tenor,$F$99*Gearing)*(R386&gt;=1)*(R386&lt;=Debt_Tenor)</f>
        <v>4439.45603780434</v>
      </c>
      <c r="S416" s="8" t="n">
        <f aca="false">-PMT(Debt_Rate,Debt_Tenor,$F$99*Gearing)*(S386&gt;=1)*(S386&lt;=Debt_Tenor)</f>
        <v>4439.45603780434</v>
      </c>
      <c r="T416" s="8" t="n">
        <f aca="false">-PMT(Debt_Rate,Debt_Tenor,$F$99*Gearing)*(T386&gt;=1)*(T386&lt;=Debt_Tenor)</f>
        <v>4439.45603780434</v>
      </c>
      <c r="U416" s="8" t="n">
        <f aca="false">-PMT(Debt_Rate,Debt_Tenor,$F$99*Gearing)*(U386&gt;=1)*(U386&lt;=Debt_Tenor)</f>
        <v>4439.45603780434</v>
      </c>
      <c r="V416" s="8" t="n">
        <f aca="false">-PMT(Debt_Rate,Debt_Tenor,$F$99*Gearing)*(V386&gt;=1)*(V386&lt;=Debt_Tenor)</f>
        <v>4439.45603780434</v>
      </c>
      <c r="W416" s="8" t="n">
        <f aca="false">-PMT(Debt_Rate,Debt_Tenor,$F$99*Gearing)*(W386&gt;=1)*(W386&lt;=Debt_Tenor)</f>
        <v>4439.45603780434</v>
      </c>
      <c r="X416" s="8" t="n">
        <f aca="false">-PMT(Debt_Rate,Debt_Tenor,$F$99*Gearing)*(X386&gt;=1)*(X386&lt;=Debt_Tenor)</f>
        <v>4439.45603780434</v>
      </c>
      <c r="Y416" s="8" t="n">
        <f aca="false">-PMT(Debt_Rate,Debt_Tenor,$F$99*Gearing)*(Y386&gt;=1)*(Y386&lt;=Debt_Tenor)</f>
        <v>4439.45603780434</v>
      </c>
      <c r="Z416" s="8" t="n">
        <f aca="false">-PMT(Debt_Rate,Debt_Tenor,$F$99*Gearing)*(Z386&gt;=1)*(Z386&lt;=Debt_Tenor)</f>
        <v>4439.45603780434</v>
      </c>
      <c r="AA416" s="8" t="n">
        <f aca="false">-PMT(Debt_Rate,Debt_Tenor,$F$99*Gearing)*(AA386&gt;=1)*(AA386&lt;=Debt_Tenor)</f>
        <v>4439.45603780434</v>
      </c>
      <c r="AB416" s="8" t="n">
        <f aca="false">-PMT(Debt_Rate,Debt_Tenor,$F$99*Gearing)*(AB386&gt;=1)*(AB386&lt;=Debt_Tenor)</f>
        <v>4439.45603780434</v>
      </c>
      <c r="AC416" s="8" t="n">
        <f aca="false">-PMT(Debt_Rate,Debt_Tenor,$F$99*Gearing)*(AC386&gt;=1)*(AC386&lt;=Debt_Tenor)</f>
        <v>4439.45603780434</v>
      </c>
      <c r="AD416" s="8" t="n">
        <f aca="false">-PMT(Debt_Rate,Debt_Tenor,$F$99*Gearing)*(AD386&gt;=1)*(AD386&lt;=Debt_Tenor)</f>
        <v>4439.45603780434</v>
      </c>
      <c r="AE416" s="8" t="n">
        <f aca="false">-PMT(Debt_Rate,Debt_Tenor,$F$99*Gearing)*(AE386&gt;=1)*(AE386&lt;=Debt_Tenor)</f>
        <v>0</v>
      </c>
      <c r="AF416" s="8" t="n">
        <f aca="false">-PMT(Debt_Rate,Debt_Tenor,$F$99*Gearing)*(AF386&gt;=1)*(AF386&lt;=Debt_Tenor)</f>
        <v>0</v>
      </c>
      <c r="AG416" s="8" t="n">
        <f aca="false">-PMT(Debt_Rate,Debt_Tenor,$F$99*Gearing)*(AG386&gt;=1)*(AG386&lt;=Debt_Tenor)</f>
        <v>0</v>
      </c>
      <c r="AH416" s="8" t="n">
        <f aca="false">-PMT(Debt_Rate,Debt_Tenor,$F$99*Gearing)*(AH386&gt;=1)*(AH386&lt;=Debt_Tenor)</f>
        <v>0</v>
      </c>
      <c r="AI416" s="8" t="n">
        <f aca="false">-PMT(Debt_Rate,Debt_Tenor,$F$99*Gearing)*(AI386&gt;=1)*(AI386&lt;=Debt_Tenor)</f>
        <v>0</v>
      </c>
      <c r="AJ416" s="8" t="n">
        <f aca="false">-PMT(Debt_Rate,Debt_Tenor,$F$99*Gearing)*(AJ386&gt;=1)*(AJ386&lt;=Debt_Tenor)</f>
        <v>0</v>
      </c>
      <c r="AK416" s="8" t="n">
        <f aca="false">-PMT(Debt_Rate,Debt_Tenor,$F$99*Gearing)*(AK386&gt;=1)*(AK386&lt;=Debt_Tenor)</f>
        <v>0</v>
      </c>
      <c r="AL416" s="8" t="n">
        <f aca="false">-PMT(Debt_Rate,Debt_Tenor,$F$99*Gearing)*(AL386&gt;=1)*(AL386&lt;=Debt_Tenor)</f>
        <v>0</v>
      </c>
      <c r="AM416" s="8" t="n">
        <f aca="false">-PMT(Debt_Rate,Debt_Tenor,$F$99*Gearing)*(AM386&gt;=1)*(AM386&lt;=Debt_Tenor)</f>
        <v>0</v>
      </c>
      <c r="AN416" s="8" t="n">
        <f aca="false">-PMT(Debt_Rate,Debt_Tenor,$F$99*Gearing)*(AN386&gt;=1)*(AN386&lt;=Debt_Tenor)</f>
        <v>0</v>
      </c>
      <c r="AO416" s="8" t="n">
        <f aca="false">-PMT(Debt_Rate,Debt_Tenor,$F$99*Gearing)*(AO386&gt;=1)*(AO386&lt;=Debt_Tenor)</f>
        <v>0</v>
      </c>
      <c r="AP416" s="8" t="n">
        <f aca="false">-PMT(Debt_Rate,Debt_Tenor,$F$99*Gearing)*(AP386&gt;=1)*(AP386&lt;=Debt_Tenor)</f>
        <v>0</v>
      </c>
      <c r="AQ416" s="8" t="n">
        <f aca="false">-PMT(Debt_Rate,Debt_Tenor,$F$99*Gearing)*(AQ386&gt;=1)*(AQ386&lt;=Debt_Tenor)</f>
        <v>0</v>
      </c>
      <c r="AR416" s="8" t="n">
        <f aca="false">-PMT(Debt_Rate,Debt_Tenor,$F$99*Gearing)*(AR386&gt;=1)*(AR386&lt;=Debt_Tenor)</f>
        <v>0</v>
      </c>
      <c r="AS416" s="8" t="n">
        <f aca="false">-PMT(Debt_Rate,Debt_Tenor,$F$99*Gearing)*(AS386&gt;=1)*(AS386&lt;=Debt_Tenor)</f>
        <v>0</v>
      </c>
    </row>
    <row r="417" customFormat="false" ht="14.25" hidden="false" customHeight="false" outlineLevel="0" collapsed="false">
      <c r="C417" s="6" t="s">
        <v>310</v>
      </c>
      <c r="D417" s="2" t="s">
        <v>85</v>
      </c>
      <c r="H417" s="8" t="n">
        <f aca="false">SUM(J417:AS417)</f>
        <v>20511.8050191199</v>
      </c>
      <c r="J417" s="8" t="n">
        <f aca="false">I419*Debt_Rate*(J386&gt;=1)</f>
        <v>0</v>
      </c>
      <c r="K417" s="8" t="n">
        <f aca="false">J419*Debt_Rate*(K386&gt;=1)</f>
        <v>0</v>
      </c>
      <c r="L417" s="8" t="n">
        <f aca="false">K419*Debt_Rate*(L386&gt;=1)</f>
        <v>0</v>
      </c>
      <c r="M417" s="8" t="n">
        <f aca="false">L419*Debt_Rate*(M386&gt;=1)</f>
        <v>0</v>
      </c>
      <c r="N417" s="8" t="n">
        <f aca="false">M419*Debt_Rate*(N386&gt;=1)</f>
        <v>0</v>
      </c>
      <c r="O417" s="8" t="n">
        <f aca="false">N419*Debt_Rate*(O386&gt;=1)</f>
        <v>0</v>
      </c>
      <c r="P417" s="8" t="n">
        <f aca="false">O419*Debt_Rate*(P386&gt;=1)</f>
        <v>2304.00177739726</v>
      </c>
      <c r="Q417" s="8" t="n">
        <f aca="false">P419*Debt_Rate*(Q386&gt;=1)</f>
        <v>2197.22906437691</v>
      </c>
      <c r="R417" s="8" t="n">
        <f aca="false">Q419*Debt_Rate*(R386&gt;=1)</f>
        <v>2085.11771570553</v>
      </c>
      <c r="S417" s="8" t="n">
        <f aca="false">R419*Debt_Rate*(S386&gt;=1)</f>
        <v>1967.40079960059</v>
      </c>
      <c r="T417" s="8" t="n">
        <f aca="false">S419*Debt_Rate*(T386&gt;=1)</f>
        <v>1843.79803769041</v>
      </c>
      <c r="U417" s="8" t="n">
        <f aca="false">T419*Debt_Rate*(U386&gt;=1)</f>
        <v>1714.01513768471</v>
      </c>
      <c r="V417" s="8" t="n">
        <f aca="false">U419*Debt_Rate*(V386&gt;=1)</f>
        <v>1577.74309267873</v>
      </c>
      <c r="W417" s="8" t="n">
        <f aca="false">V419*Debt_Rate*(W386&gt;=1)</f>
        <v>1434.65744542245</v>
      </c>
      <c r="X417" s="8" t="n">
        <f aca="false">W419*Debt_Rate*(X386&gt;=1)</f>
        <v>1284.41751580335</v>
      </c>
      <c r="Y417" s="8" t="n">
        <f aca="false">X419*Debt_Rate*(Y386&gt;=1)</f>
        <v>1126.6655897033</v>
      </c>
      <c r="Z417" s="8" t="n">
        <f aca="false">Y419*Debt_Rate*(Z386&gt;=1)</f>
        <v>961.026067298251</v>
      </c>
      <c r="AA417" s="8" t="n">
        <f aca="false">Z419*Debt_Rate*(AA386&gt;=1)</f>
        <v>787.104568772946</v>
      </c>
      <c r="AB417" s="8" t="n">
        <f aca="false">AA419*Debt_Rate*(AB386&gt;=1)</f>
        <v>604.486995321376</v>
      </c>
      <c r="AC417" s="8" t="n">
        <f aca="false">AB419*Debt_Rate*(AC386&gt;=1)</f>
        <v>412.738543197228</v>
      </c>
      <c r="AD417" s="8" t="n">
        <f aca="false">AC419*Debt_Rate*(AD386&gt;=1)</f>
        <v>211.402668466872</v>
      </c>
      <c r="AE417" s="8" t="n">
        <f aca="false">AD419*Debt_Rate*(AE386&gt;=1)</f>
        <v>-1.36424205265939E-012</v>
      </c>
      <c r="AF417" s="8" t="n">
        <f aca="false">AE419*Debt_Rate*(AF386&gt;=1)</f>
        <v>-1.43245415529236E-012</v>
      </c>
      <c r="AG417" s="8" t="n">
        <f aca="false">AF419*Debt_Rate*(AG386&gt;=1)</f>
        <v>-1.50407686305698E-012</v>
      </c>
      <c r="AH417" s="8" t="n">
        <f aca="false">AG419*Debt_Rate*(AH386&gt;=1)</f>
        <v>-1.57928070620983E-012</v>
      </c>
      <c r="AI417" s="8" t="n">
        <f aca="false">AH419*Debt_Rate*(AI386&gt;=1)</f>
        <v>-1.65824474152032E-012</v>
      </c>
      <c r="AJ417" s="8" t="n">
        <f aca="false">AI419*Debt_Rate*(AJ386&gt;=1)</f>
        <v>-1.74115697859634E-012</v>
      </c>
      <c r="AK417" s="8" t="n">
        <f aca="false">AJ419*Debt_Rate*(AK386&gt;=1)</f>
        <v>-1.82821482752615E-012</v>
      </c>
      <c r="AL417" s="8" t="n">
        <f aca="false">AK419*Debt_Rate*(AL386&gt;=1)</f>
        <v>-1.91962556890246E-012</v>
      </c>
      <c r="AM417" s="8" t="n">
        <f aca="false">AL419*Debt_Rate*(AM386&gt;=1)</f>
        <v>-2.01560684734758E-012</v>
      </c>
      <c r="AN417" s="8" t="n">
        <f aca="false">AM419*Debt_Rate*(AN386&gt;=1)</f>
        <v>-2.11638718971496E-012</v>
      </c>
      <c r="AO417" s="8" t="n">
        <f aca="false">AN419*Debt_Rate*(AO386&gt;=1)</f>
        <v>-2.22220654920071E-012</v>
      </c>
      <c r="AP417" s="8" t="n">
        <f aca="false">AO419*Debt_Rate*(AP386&gt;=1)</f>
        <v>-2.33331687666075E-012</v>
      </c>
      <c r="AQ417" s="8" t="n">
        <f aca="false">AP419*Debt_Rate*(AQ386&gt;=1)</f>
        <v>-2.44998272049379E-012</v>
      </c>
      <c r="AR417" s="8" t="n">
        <f aca="false">AQ419*Debt_Rate*(AR386&gt;=1)</f>
        <v>-2.57248185651847E-012</v>
      </c>
      <c r="AS417" s="8" t="n">
        <f aca="false">AR419*Debt_Rate*(AS386&gt;=1)</f>
        <v>-2.7011059493444E-012</v>
      </c>
    </row>
    <row r="418" customFormat="false" ht="14.25" hidden="false" customHeight="false" outlineLevel="0" collapsed="false">
      <c r="C418" s="6" t="s">
        <v>311</v>
      </c>
      <c r="D418" s="2" t="s">
        <v>85</v>
      </c>
      <c r="H418" s="8" t="n">
        <f aca="false">SUM(J418:AS418)</f>
        <v>46080.0355479453</v>
      </c>
      <c r="J418" s="8" t="n">
        <f aca="false">J416-J417</f>
        <v>0</v>
      </c>
      <c r="K418" s="8" t="n">
        <f aca="false">K416-K417</f>
        <v>0</v>
      </c>
      <c r="L418" s="8" t="n">
        <f aca="false">L416-L417</f>
        <v>0</v>
      </c>
      <c r="M418" s="8" t="n">
        <f aca="false">M416-M417</f>
        <v>0</v>
      </c>
      <c r="N418" s="8" t="n">
        <f aca="false">N416-N417</f>
        <v>0</v>
      </c>
      <c r="O418" s="8" t="n">
        <f aca="false">O416-O417</f>
        <v>0</v>
      </c>
      <c r="P418" s="8" t="n">
        <f aca="false">P416-P417</f>
        <v>2135.45426040708</v>
      </c>
      <c r="Q418" s="8" t="n">
        <f aca="false">Q416-Q417</f>
        <v>2242.22697342744</v>
      </c>
      <c r="R418" s="8" t="n">
        <f aca="false">R416-R417</f>
        <v>2354.33832209881</v>
      </c>
      <c r="S418" s="8" t="n">
        <f aca="false">S416-S417</f>
        <v>2472.05523820375</v>
      </c>
      <c r="T418" s="8" t="n">
        <f aca="false">T416-T417</f>
        <v>2595.65800011394</v>
      </c>
      <c r="U418" s="8" t="n">
        <f aca="false">U416-U417</f>
        <v>2725.44090011963</v>
      </c>
      <c r="V418" s="8" t="n">
        <f aca="false">V416-V417</f>
        <v>2861.71294512561</v>
      </c>
      <c r="W418" s="8" t="n">
        <f aca="false">W416-W417</f>
        <v>3004.7985923819</v>
      </c>
      <c r="X418" s="8" t="n">
        <f aca="false">X416-X417</f>
        <v>3155.03852200099</v>
      </c>
      <c r="Y418" s="8" t="n">
        <f aca="false">Y416-Y417</f>
        <v>3312.79044810104</v>
      </c>
      <c r="Z418" s="8" t="n">
        <f aca="false">Z416-Z417</f>
        <v>3478.42997050609</v>
      </c>
      <c r="AA418" s="8" t="n">
        <f aca="false">AA416-AA417</f>
        <v>3652.3514690314</v>
      </c>
      <c r="AB418" s="8" t="n">
        <f aca="false">AB416-AB417</f>
        <v>3834.96904248297</v>
      </c>
      <c r="AC418" s="8" t="n">
        <f aca="false">AC416-AC417</f>
        <v>4026.71749460711</v>
      </c>
      <c r="AD418" s="8" t="n">
        <f aca="false">AD416-AD417</f>
        <v>4228.05336933747</v>
      </c>
      <c r="AE418" s="8" t="n">
        <f aca="false">AE416-AE417</f>
        <v>1.36424205265939E-012</v>
      </c>
      <c r="AF418" s="8" t="n">
        <f aca="false">AF416-AF417</f>
        <v>1.43245415529236E-012</v>
      </c>
      <c r="AG418" s="8" t="n">
        <f aca="false">AG416-AG417</f>
        <v>1.50407686305698E-012</v>
      </c>
      <c r="AH418" s="8" t="n">
        <f aca="false">AH416-AH417</f>
        <v>1.57928070620983E-012</v>
      </c>
      <c r="AI418" s="8" t="n">
        <f aca="false">AI416-AI417</f>
        <v>1.65824474152032E-012</v>
      </c>
      <c r="AJ418" s="8" t="n">
        <f aca="false">AJ416-AJ417</f>
        <v>1.74115697859634E-012</v>
      </c>
      <c r="AK418" s="8" t="n">
        <f aca="false">AK416-AK417</f>
        <v>1.82821482752615E-012</v>
      </c>
      <c r="AL418" s="8" t="n">
        <f aca="false">AL416-AL417</f>
        <v>1.91962556890246E-012</v>
      </c>
      <c r="AM418" s="8" t="n">
        <f aca="false">AM416-AM417</f>
        <v>2.01560684734758E-012</v>
      </c>
      <c r="AN418" s="8" t="n">
        <f aca="false">AN416-AN417</f>
        <v>2.11638718971496E-012</v>
      </c>
      <c r="AO418" s="8" t="n">
        <f aca="false">AO416-AO417</f>
        <v>2.22220654920071E-012</v>
      </c>
      <c r="AP418" s="8" t="n">
        <f aca="false">AP416-AP417</f>
        <v>2.33331687666075E-012</v>
      </c>
      <c r="AQ418" s="8" t="n">
        <f aca="false">AQ416-AQ417</f>
        <v>2.44998272049379E-012</v>
      </c>
      <c r="AR418" s="8" t="n">
        <f aca="false">AR416-AR417</f>
        <v>2.57248185651847E-012</v>
      </c>
      <c r="AS418" s="8" t="n">
        <f aca="false">AS416-AS417</f>
        <v>2.7011059493444E-012</v>
      </c>
    </row>
    <row r="419" customFormat="false" ht="14.25" hidden="false" customHeight="false" outlineLevel="0" collapsed="false">
      <c r="C419" s="6" t="s">
        <v>312</v>
      </c>
      <c r="D419" s="2" t="s">
        <v>85</v>
      </c>
      <c r="H419" s="8"/>
      <c r="J419" s="8" t="n">
        <f aca="false">I419+J415-J418</f>
        <v>0</v>
      </c>
      <c r="K419" s="8" t="n">
        <f aca="false">J419+K415-K418</f>
        <v>0</v>
      </c>
      <c r="L419" s="8" t="n">
        <f aca="false">K419+L415-L418</f>
        <v>0</v>
      </c>
      <c r="M419" s="8" t="n">
        <f aca="false">L419+M415-M418</f>
        <v>0</v>
      </c>
      <c r="N419" s="8" t="n">
        <f aca="false">M419+N415-N418</f>
        <v>0</v>
      </c>
      <c r="O419" s="8" t="n">
        <f aca="false">N419+O415-O418</f>
        <v>46080.0355479452</v>
      </c>
      <c r="P419" s="8" t="n">
        <f aca="false">O419+P415-P418</f>
        <v>43944.5812875381</v>
      </c>
      <c r="Q419" s="8" t="n">
        <f aca="false">P419+Q415-Q418</f>
        <v>41702.3543141107</v>
      </c>
      <c r="R419" s="8" t="n">
        <f aca="false">Q419+R415-R418</f>
        <v>39348.0159920119</v>
      </c>
      <c r="S419" s="8" t="n">
        <f aca="false">R419+S415-S418</f>
        <v>36875.9607538081</v>
      </c>
      <c r="T419" s="8" t="n">
        <f aca="false">S419+T415-T418</f>
        <v>34280.3027536942</v>
      </c>
      <c r="U419" s="8" t="n">
        <f aca="false">T419+U415-U418</f>
        <v>31554.8618535746</v>
      </c>
      <c r="V419" s="8" t="n">
        <f aca="false">U419+V415-V418</f>
        <v>28693.1489084489</v>
      </c>
      <c r="W419" s="8" t="n">
        <f aca="false">V419+W415-W418</f>
        <v>25688.350316067</v>
      </c>
      <c r="X419" s="8" t="n">
        <f aca="false">W419+X415-X418</f>
        <v>22533.3117940661</v>
      </c>
      <c r="Y419" s="8" t="n">
        <f aca="false">X419+Y415-Y418</f>
        <v>19220.521345965</v>
      </c>
      <c r="Z419" s="8" t="n">
        <f aca="false">Y419+Z415-Z418</f>
        <v>15742.0913754589</v>
      </c>
      <c r="AA419" s="8" t="n">
        <f aca="false">Z419+AA415-AA418</f>
        <v>12089.7399064275</v>
      </c>
      <c r="AB419" s="8" t="n">
        <f aca="false">AA419+AB415-AB418</f>
        <v>8254.77086394456</v>
      </c>
      <c r="AC419" s="8" t="n">
        <f aca="false">AB419+AC415-AC418</f>
        <v>4228.05336933744</v>
      </c>
      <c r="AD419" s="8" t="n">
        <f aca="false">AC419+AD415-AD418</f>
        <v>-2.72848410531878E-011</v>
      </c>
      <c r="AE419" s="8" t="n">
        <f aca="false">AD419+AE415-AE418</f>
        <v>-2.86490831058472E-011</v>
      </c>
      <c r="AF419" s="8" t="n">
        <f aca="false">AE419+AF415-AF418</f>
        <v>-3.00815372611396E-011</v>
      </c>
      <c r="AG419" s="8" t="n">
        <f aca="false">AF419+AG415-AG418</f>
        <v>-3.15856141241966E-011</v>
      </c>
      <c r="AH419" s="8" t="n">
        <f aca="false">AG419+AH415-AH418</f>
        <v>-3.31648948304064E-011</v>
      </c>
      <c r="AI419" s="8" t="n">
        <f aca="false">AH419+AI415-AI418</f>
        <v>-3.48231395719267E-011</v>
      </c>
      <c r="AJ419" s="8" t="n">
        <f aca="false">AI419+AJ415-AJ418</f>
        <v>-3.65642965505231E-011</v>
      </c>
      <c r="AK419" s="8" t="n">
        <f aca="false">AJ419+AK415-AK418</f>
        <v>-3.83925113780492E-011</v>
      </c>
      <c r="AL419" s="8" t="n">
        <f aca="false">AK419+AL415-AL418</f>
        <v>-4.03121369469517E-011</v>
      </c>
      <c r="AM419" s="8" t="n">
        <f aca="false">AL419+AM415-AM418</f>
        <v>-4.23277437942993E-011</v>
      </c>
      <c r="AN419" s="8" t="n">
        <f aca="false">AM419+AN415-AN418</f>
        <v>-4.44441309840142E-011</v>
      </c>
      <c r="AO419" s="8" t="n">
        <f aca="false">AN419+AO415-AO418</f>
        <v>-4.6666337533215E-011</v>
      </c>
      <c r="AP419" s="8" t="n">
        <f aca="false">AO419+AP415-AP418</f>
        <v>-4.89996544098757E-011</v>
      </c>
      <c r="AQ419" s="8" t="n">
        <f aca="false">AP419+AQ415-AQ418</f>
        <v>-5.14496371303695E-011</v>
      </c>
      <c r="AR419" s="8" t="n">
        <f aca="false">AQ419+AR415-AR418</f>
        <v>-5.4022118986888E-011</v>
      </c>
      <c r="AS419" s="8" t="n">
        <f aca="false">AR419+AS415-AS418</f>
        <v>-5.67232249362324E-011</v>
      </c>
    </row>
    <row r="420" customFormat="false" ht="14.25" hidden="false" customHeight="false" outlineLevel="0" collapsed="false">
      <c r="C420" s="6" t="s">
        <v>313</v>
      </c>
      <c r="D420" s="2" t="s">
        <v>85</v>
      </c>
      <c r="H420" s="8" t="n">
        <f aca="false">SUM(J420:AS420)</f>
        <v>-32758.9685760495</v>
      </c>
      <c r="J420" s="8" t="n">
        <f aca="false">-MAX(0,J410+J412-J417)*CIT_Rate*(J390&gt;0)</f>
        <v>-0</v>
      </c>
      <c r="K420" s="8" t="n">
        <f aca="false">-MAX(0,K410+K412-K417)*CIT_Rate*(K390&gt;0)</f>
        <v>-0</v>
      </c>
      <c r="L420" s="8" t="n">
        <f aca="false">-MAX(0,L410+L412-L417)*CIT_Rate*(L390&gt;0)</f>
        <v>-0</v>
      </c>
      <c r="M420" s="8" t="n">
        <f aca="false">-MAX(0,M410+M412-M417)*CIT_Rate*(M390&gt;0)</f>
        <v>-0</v>
      </c>
      <c r="N420" s="8" t="n">
        <f aca="false">-MAX(0,N410+N412-N417)*CIT_Rate*(N390&gt;0)</f>
        <v>-0</v>
      </c>
      <c r="O420" s="8" t="n">
        <f aca="false">-MAX(0,O410+O412-O417)*CIT_Rate*(O390&gt;0)</f>
        <v>-184.465323250685</v>
      </c>
      <c r="P420" s="8" t="n">
        <f aca="false">-MAX(0,P410+P412-P417)*CIT_Rate*(P390&gt;0)</f>
        <v>-609.647071343096</v>
      </c>
      <c r="Q420" s="8" t="n">
        <f aca="false">-MAX(0,Q410+Q412-Q417)*CIT_Rate*(Q390&gt;0)</f>
        <v>-630.518329022906</v>
      </c>
      <c r="R420" s="8" t="n">
        <f aca="false">-MAX(0,R410+R412-R417)*CIT_Rate*(R390&gt;0)</f>
        <v>-652.065673789328</v>
      </c>
      <c r="S420" s="8" t="n">
        <f aca="false">-MAX(0,S410+S412-S417)*CIT_Rate*(S390&gt;0)</f>
        <v>-674.324488877641</v>
      </c>
      <c r="T420" s="8" t="n">
        <f aca="false">-MAX(0,T410+T412-T417)*CIT_Rate*(T390&gt;0)</f>
        <v>-697.332034849061</v>
      </c>
      <c r="U420" s="8" t="n">
        <f aca="false">-MAX(0,U410+U412-U417)*CIT_Rate*(U390&gt;0)</f>
        <v>-721.127546574568</v>
      </c>
      <c r="V420" s="8" t="n">
        <f aca="false">-MAX(0,V410+V412-V417)*CIT_Rate*(V390&gt;0)</f>
        <v>-745.752335147106</v>
      </c>
      <c r="W420" s="8" t="n">
        <f aca="false">-MAX(0,W410+W412-W417)*CIT_Rate*(W390&gt;0)</f>
        <v>-771.249894970495</v>
      </c>
      <c r="X420" s="8" t="n">
        <f aca="false">-MAX(0,X410+X412-X417)*CIT_Rate*(X390&gt;0)</f>
        <v>-797.666016285915</v>
      </c>
      <c r="Y420" s="8" t="n">
        <f aca="false">-MAX(0,Y410+Y412-Y417)*CIT_Rate*(Y390&gt;0)</f>
        <v>-825.048903409881</v>
      </c>
      <c r="Z420" s="8" t="n">
        <f aca="false">-MAX(0,Z410+Z412-Z417)*CIT_Rate*(Z390&gt;0)</f>
        <v>-853.449298971383</v>
      </c>
      <c r="AA420" s="8" t="n">
        <f aca="false">-MAX(0,AA410+AA412-AA417)*CIT_Rate*(AA390&gt;0)</f>
        <v>-882.920614450292</v>
      </c>
      <c r="AB420" s="8" t="n">
        <f aca="false">-MAX(0,AB410+AB412-AB417)*CIT_Rate*(AB390&gt;0)</f>
        <v>-913.519067334319</v>
      </c>
      <c r="AC420" s="8" t="n">
        <f aca="false">-MAX(0,AC410+AC412-AC417)*CIT_Rate*(AC390&gt;0)</f>
        <v>-945.303825227687</v>
      </c>
      <c r="AD420" s="8" t="n">
        <f aca="false">-MAX(0,AD410+AD412-AD417)*CIT_Rate*(AD390&gt;0)</f>
        <v>-978.337157261434</v>
      </c>
      <c r="AE420" s="8" t="n">
        <f aca="false">-MAX(0,AE410+AE412-AE417)*CIT_Rate*(AE390&gt;0)</f>
        <v>-1012.68459317279</v>
      </c>
      <c r="AF420" s="8" t="n">
        <f aca="false">-MAX(0,AF410+AF412-AF417)*CIT_Rate*(AF390&gt;0)</f>
        <v>-1015.11917015596</v>
      </c>
      <c r="AG420" s="8" t="n">
        <f aca="false">-MAX(0,AG410+AG412-AG417)*CIT_Rate*(AG390&gt;0)</f>
        <v>-1017.3445732931</v>
      </c>
      <c r="AH420" s="8" t="n">
        <f aca="false">-MAX(0,AH410+AH412-AH417)*CIT_Rate*(AH390&gt;0)</f>
        <v>-1019.35391141156</v>
      </c>
      <c r="AI420" s="8" t="n">
        <f aca="false">-MAX(0,AI410+AI412-AI417)*CIT_Rate*(AI390&gt;0)</f>
        <v>-1597.14055732624</v>
      </c>
      <c r="AJ420" s="8" t="n">
        <f aca="false">-MAX(0,AJ410+AJ412-AJ417)*CIT_Rate*(AJ390&gt;0)</f>
        <v>-1598.69636595756</v>
      </c>
      <c r="AK420" s="8" t="n">
        <f aca="false">-MAX(0,AK410+AK412-AK417)*CIT_Rate*(AK390&gt;0)</f>
        <v>-1600.01433583266</v>
      </c>
      <c r="AL420" s="8" t="n">
        <f aca="false">-MAX(0,AL410+AL412-AL417)*CIT_Rate*(AL390&gt;0)</f>
        <v>-1601.08682698029</v>
      </c>
      <c r="AM420" s="8" t="n">
        <f aca="false">-MAX(0,AM410+AM412-AM417)*CIT_Rate*(AM390&gt;0)</f>
        <v>-1601.90600045683</v>
      </c>
      <c r="AN420" s="8" t="n">
        <f aca="false">-MAX(0,AN410+AN412-AN417)*CIT_Rate*(AN390&gt;0)</f>
        <v>-1602.4638134044</v>
      </c>
      <c r="AO420" s="8" t="n">
        <f aca="false">-MAX(0,AO410+AO412-AO417)*CIT_Rate*(AO390&gt;0)</f>
        <v>-1602.75201398753</v>
      </c>
      <c r="AP420" s="8" t="n">
        <f aca="false">-MAX(0,AP410+AP412-AP417)*CIT_Rate*(AP390&gt;0)</f>
        <v>-1602.76213620557</v>
      </c>
      <c r="AQ420" s="8" t="n">
        <f aca="false">-MAX(0,AQ410+AQ412-AQ417)*CIT_Rate*(AQ390&gt;0)</f>
        <v>-1602.48549457754</v>
      </c>
      <c r="AR420" s="8" t="n">
        <f aca="false">-MAX(0,AR410+AR412-AR417)*CIT_Rate*(AR390&gt;0)</f>
        <v>-1601.91317869653</v>
      </c>
      <c r="AS420" s="8" t="n">
        <f aca="false">-MAX(0,AS410+AS412-AS417)*CIT_Rate*(AS390&gt;0)</f>
        <v>-800.518023825113</v>
      </c>
    </row>
    <row r="421" customFormat="false" ht="14.25" hidden="false" customHeight="false" outlineLevel="0" collapsed="false">
      <c r="C421" s="1" t="s">
        <v>161</v>
      </c>
      <c r="D421" s="2" t="s">
        <v>85</v>
      </c>
      <c r="H421" s="32" t="n">
        <f aca="false">SUM(J421:AS421)</f>
        <v>185634.15526428</v>
      </c>
      <c r="J421" s="32" t="n">
        <f aca="false">J411+J415-J416+J420</f>
        <v>0</v>
      </c>
      <c r="K421" s="32" t="n">
        <f aca="false">K411+K415-K416+K420</f>
        <v>0</v>
      </c>
      <c r="L421" s="32" t="n">
        <f aca="false">L411+L415-L416+L420</f>
        <v>0</v>
      </c>
      <c r="M421" s="32" t="n">
        <f aca="false">M411+M415-M416+M420</f>
        <v>-29757.5797945206</v>
      </c>
      <c r="N421" s="32" t="n">
        <f aca="false">N411+N415-N416+N420</f>
        <v>-31358</v>
      </c>
      <c r="O421" s="32" t="n">
        <f aca="false">O411+O415-O416+O420</f>
        <v>32786.3420086945</v>
      </c>
      <c r="P421" s="32" t="n">
        <f aca="false">P411+P415-P416+P420</f>
        <v>5159.21543953256</v>
      </c>
      <c r="Q421" s="32" t="n">
        <f aca="false">Q411+Q415-Q416+Q420</f>
        <v>7665.23373464301</v>
      </c>
      <c r="R421" s="32" t="n">
        <f aca="false">R411+R415-R416+R420</f>
        <v>5180.70345836949</v>
      </c>
      <c r="S421" s="32" t="n">
        <f aca="false">S411+S415-S416+S420</f>
        <v>5189.11982776499</v>
      </c>
      <c r="T421" s="32" t="n">
        <f aca="false">T411+T415-T416+T420</f>
        <v>5195.89315969284</v>
      </c>
      <c r="U421" s="32" t="n">
        <f aca="false">U411+U415-U416+U420</f>
        <v>5200.95149279836</v>
      </c>
      <c r="V421" s="32" t="n">
        <f aca="false">V411+V415-V416+V420</f>
        <v>5204.21991637009</v>
      </c>
      <c r="W421" s="32" t="n">
        <f aca="false">W411+W415-W416+W420</f>
        <v>5205.62044144634</v>
      </c>
      <c r="X421" s="32" t="n">
        <f aca="false">X411+X415-X416+X420</f>
        <v>5205.07186594796</v>
      </c>
      <c r="Y421" s="32" t="n">
        <f aca="false">Y411+Y415-Y416+Y420</f>
        <v>5202.48963355039</v>
      </c>
      <c r="Z421" s="32" t="n">
        <f aca="false">Z411+Z415-Z416+Z420</f>
        <v>5197.78568599385</v>
      </c>
      <c r="AA421" s="32" t="n">
        <f aca="false">AA411+AA415-AA416+AA420</f>
        <v>5190.86830851569</v>
      </c>
      <c r="AB421" s="32" t="n">
        <f aca="false">AB411+AB415-AB416+AB420</f>
        <v>5181.64196807361</v>
      </c>
      <c r="AC421" s="32" t="n">
        <f aca="false">AC411+AC415-AC416+AC420</f>
        <v>5170.00714401188</v>
      </c>
      <c r="AD421" s="32" t="n">
        <f aca="false">AD411+AD415-AD416+AD420</f>
        <v>5155.86015080609</v>
      </c>
      <c r="AE421" s="32" t="n">
        <f aca="false">AE411+AE415-AE416+AE420</f>
        <v>9578.5489903079</v>
      </c>
      <c r="AF421" s="32" t="n">
        <f aca="false">AF411+AF415-AF416+AF420</f>
        <v>9592.34492654589</v>
      </c>
      <c r="AG421" s="32" t="n">
        <f aca="false">AG411+AG415-AG416+AG420</f>
        <v>9604.95554432298</v>
      </c>
      <c r="AH421" s="32" t="n">
        <f aca="false">AH411+AH415-AH416+AH420</f>
        <v>9616.34179366096</v>
      </c>
      <c r="AI421" s="32" t="n">
        <f aca="false">AI411+AI415-AI416+AI420</f>
        <v>9050.463158182</v>
      </c>
      <c r="AJ421" s="32" t="n">
        <f aca="false">AJ411+AJ415-AJ416+AJ420</f>
        <v>9059.27940709287</v>
      </c>
      <c r="AK421" s="32" t="n">
        <f aca="false">AK411+AK415-AK416+AK420</f>
        <v>9066.74790305173</v>
      </c>
      <c r="AL421" s="32" t="n">
        <f aca="false">AL411+AL415-AL416+AL420</f>
        <v>9072.8253528883</v>
      </c>
      <c r="AM421" s="32" t="n">
        <f aca="false">AM411+AM415-AM416+AM420</f>
        <v>9077.46733592206</v>
      </c>
      <c r="AN421" s="32" t="n">
        <f aca="false">AN411+AN415-AN416+AN420</f>
        <v>9080.62827595824</v>
      </c>
      <c r="AO421" s="32" t="n">
        <f aca="false">AO411+AO415-AO416+AO420</f>
        <v>9082.26141259599</v>
      </c>
      <c r="AP421" s="32" t="n">
        <f aca="false">AP411+AP415-AP416+AP420</f>
        <v>9082.31877183154</v>
      </c>
      <c r="AQ421" s="32" t="n">
        <f aca="false">AQ411+AQ415-AQ416+AQ420</f>
        <v>9080.75113593939</v>
      </c>
      <c r="AR421" s="32" t="n">
        <f aca="false">AR411+AR415-AR416+AR420</f>
        <v>9077.50801261365</v>
      </c>
      <c r="AS421" s="32" t="n">
        <f aca="false">AS411+AS415-AS416+AS420</f>
        <v>4536.26880167564</v>
      </c>
    </row>
    <row r="422" customFormat="false" ht="14.25" hidden="false" customHeight="false" outlineLevel="0" collapsed="false">
      <c r="C422" s="6" t="s">
        <v>314</v>
      </c>
      <c r="D422" s="2" t="s">
        <v>3</v>
      </c>
      <c r="H422" s="47" t="n">
        <f aca="false">MIN(J422:AS422)</f>
        <v>2.29945255944663</v>
      </c>
      <c r="J422" s="47" t="str">
        <f aca="false">IF(J416&gt;0,J410/J416,"")</f>
        <v/>
      </c>
      <c r="K422" s="47" t="str">
        <f aca="false">IF(K416&gt;0,K410/K416,"")</f>
        <v/>
      </c>
      <c r="L422" s="47" t="str">
        <f aca="false">IF(L416&gt;0,L410/L416,"")</f>
        <v/>
      </c>
      <c r="M422" s="47" t="str">
        <f aca="false">IF(M416&gt;0,M410/M416,"")</f>
        <v/>
      </c>
      <c r="N422" s="47" t="str">
        <f aca="false">IF(N416&gt;0,N410/N416,"")</f>
        <v/>
      </c>
      <c r="O422" s="47" t="str">
        <f aca="false">IF(O416&gt;0,O410/O416,"")</f>
        <v/>
      </c>
      <c r="P422" s="47" t="n">
        <f aca="false">IF(P416&gt;0,P410/P416,"")</f>
        <v>2.29945255944663</v>
      </c>
      <c r="Q422" s="47" t="n">
        <f aca="false">IF(Q416&gt;0,Q410/Q416,"")</f>
        <v>2.3067437691285</v>
      </c>
      <c r="R422" s="47" t="n">
        <f aca="false">IF(R416&gt;0,R410/R416,"")</f>
        <v>2.31384770622564</v>
      </c>
      <c r="S422" s="47" t="n">
        <f aca="false">IF(S416&gt;0,S410/S416,"")</f>
        <v>2.32075737809143</v>
      </c>
      <c r="T422" s="47" t="n">
        <f aca="false">IF(T416&gt;0,T410/T416,"")</f>
        <v>2.32746560487545</v>
      </c>
      <c r="U422" s="47" t="n">
        <f aca="false">IF(U416&gt;0,U410/U416,"")</f>
        <v>2.33396501484489</v>
      </c>
      <c r="V422" s="47" t="n">
        <f aca="false">IF(V416&gt;0,V410/V416,"")</f>
        <v>2.34024803959089</v>
      </c>
      <c r="W422" s="47" t="n">
        <f aca="false">IF(W416&gt;0,W410/W416,"")</f>
        <v>2.34630690911693</v>
      </c>
      <c r="X422" s="47" t="n">
        <f aca="false">IF(X416&gt;0,X410/X416,"")</f>
        <v>2.35213364680658</v>
      </c>
      <c r="Y422" s="47" t="n">
        <f aca="false">IF(Y416&gt;0,Y410/Y416,"")</f>
        <v>2.35772006426746</v>
      </c>
      <c r="Z422" s="47" t="n">
        <f aca="false">IF(Z416&gt;0,Z410/Z416,"")</f>
        <v>2.36305775604843</v>
      </c>
      <c r="AA422" s="47" t="n">
        <f aca="false">IF(AA416&gt;0,AA410/AA416,"")</f>
        <v>2.36813809422696</v>
      </c>
      <c r="AB422" s="47" t="n">
        <f aca="false">IF(AB416&gt;0,AB410/AB416,"")</f>
        <v>2.37295222286343</v>
      </c>
      <c r="AC422" s="47" t="n">
        <f aca="false">IF(AC416&gt;0,AC410/AC416,"")</f>
        <v>2.37749105231912</v>
      </c>
      <c r="AD422" s="47" t="n">
        <f aca="false">IF(AD416&gt;0,AD410/AD416,"")</f>
        <v>2.38174525343455</v>
      </c>
      <c r="AE422" s="47" t="str">
        <f aca="false">IF(AE416&gt;0,AE410/AE416,"")</f>
        <v/>
      </c>
      <c r="AF422" s="47" t="str">
        <f aca="false">IF(AF416&gt;0,AF410/AF416,"")</f>
        <v/>
      </c>
      <c r="AG422" s="47" t="str">
        <f aca="false">IF(AG416&gt;0,AG410/AG416,"")</f>
        <v/>
      </c>
      <c r="AH422" s="47" t="str">
        <f aca="false">IF(AH416&gt;0,AH410/AH416,"")</f>
        <v/>
      </c>
      <c r="AI422" s="47" t="str">
        <f aca="false">IF(AI416&gt;0,AI410/AI416,"")</f>
        <v/>
      </c>
      <c r="AJ422" s="47" t="str">
        <f aca="false">IF(AJ416&gt;0,AJ410/AJ416,"")</f>
        <v/>
      </c>
      <c r="AK422" s="47" t="str">
        <f aca="false">IF(AK416&gt;0,AK410/AK416,"")</f>
        <v/>
      </c>
      <c r="AL422" s="47" t="str">
        <f aca="false">IF(AL416&gt;0,AL410/AL416,"")</f>
        <v/>
      </c>
      <c r="AM422" s="47" t="str">
        <f aca="false">IF(AM416&gt;0,AM410/AM416,"")</f>
        <v/>
      </c>
      <c r="AN422" s="47" t="str">
        <f aca="false">IF(AN416&gt;0,AN410/AN416,"")</f>
        <v/>
      </c>
      <c r="AO422" s="47" t="str">
        <f aca="false">IF(AO416&gt;0,AO410/AO416,"")</f>
        <v/>
      </c>
      <c r="AP422" s="47" t="str">
        <f aca="false">IF(AP416&gt;0,AP410/AP416,"")</f>
        <v/>
      </c>
      <c r="AQ422" s="47" t="str">
        <f aca="false">IF(AQ416&gt;0,AQ410/AQ416,"")</f>
        <v/>
      </c>
      <c r="AR422" s="47" t="str">
        <f aca="false">IF(AR416&gt;0,AR410/AR416,"")</f>
        <v/>
      </c>
      <c r="AS422" s="47" t="str">
        <f aca="false">IF(AS416&gt;0,AS410/AS416,"")</f>
        <v/>
      </c>
    </row>
    <row r="423" customFormat="false" ht="14.25" hidden="false" customHeight="false" outlineLevel="0" collapsed="false">
      <c r="C423" s="6" t="s">
        <v>315</v>
      </c>
      <c r="D423" s="2" t="s">
        <v>3</v>
      </c>
      <c r="J423" s="75" t="n">
        <f aca="false">(1+Discount_Rate)^((Inputs!$F$26-J$340)/Days_In_Year)</f>
        <v>1.41371255107938</v>
      </c>
      <c r="K423" s="75" t="n">
        <f aca="false">(1+Discount_Rate)^((Inputs!$F$26-K$340)/Days_In_Year)</f>
        <v>1.30899310285128</v>
      </c>
      <c r="L423" s="75" t="n">
        <f aca="false">(1+Discount_Rate)^((Inputs!$F$26-L$340)/Days_In_Year)</f>
        <v>1.21177511843915</v>
      </c>
      <c r="M423" s="75" t="n">
        <f aca="false">(1+Discount_Rate)^((Inputs!$F$26-M$340)/Days_In_Year)</f>
        <v>1.12201399855477</v>
      </c>
      <c r="N423" s="75" t="n">
        <f aca="false">(1+Discount_Rate)^((Inputs!$F$26-N$340)/Days_In_Year)</f>
        <v>1.03890185051367</v>
      </c>
      <c r="O423" s="75" t="n">
        <f aca="false">(1+Discount_Rate)^((Inputs!$F$26-O$340)/Days_In_Year)</f>
        <v>0.961946157883031</v>
      </c>
      <c r="P423" s="75" t="n">
        <f aca="false">(1+Discount_Rate)^((Inputs!$F$26-P$340)/Days_In_Year)</f>
        <v>0.890503102622714</v>
      </c>
      <c r="Q423" s="75" t="n">
        <f aca="false">(1+Discount_Rate)^((Inputs!$F$26-Q$340)/Days_In_Year)</f>
        <v>0.824539909835846</v>
      </c>
      <c r="R423" s="75" t="n">
        <f aca="false">(1+Discount_Rate)^((Inputs!$F$26-R$340)/Days_In_Year)</f>
        <v>0.763462879477635</v>
      </c>
      <c r="S423" s="75" t="n">
        <f aca="false">(1+Discount_Rate)^((Inputs!$F$26-S$340)/Days_In_Year)</f>
        <v>0.706910073590403</v>
      </c>
      <c r="T423" s="75" t="n">
        <f aca="false">(1+Discount_Rate)^((Inputs!$F$26-T$340)/Days_In_Year)</f>
        <v>0.654408366464987</v>
      </c>
      <c r="U423" s="75" t="n">
        <f aca="false">(1+Discount_Rate)^((Inputs!$F$26-U$340)/Days_In_Year)</f>
        <v>0.605933672652766</v>
      </c>
      <c r="V423" s="75" t="n">
        <f aca="false">(1+Discount_Rate)^((Inputs!$F$26-V$340)/Days_In_Year)</f>
        <v>0.561049696900709</v>
      </c>
      <c r="W423" s="75" t="n">
        <f aca="false">(1+Discount_Rate)^((Inputs!$F$26-W$340)/Days_In_Year)</f>
        <v>0.519490460093249</v>
      </c>
      <c r="X423" s="75" t="n">
        <f aca="false">(1+Discount_Rate)^((Inputs!$F$26-X$340)/Days_In_Year)</f>
        <v>0.480908274028566</v>
      </c>
      <c r="Y423" s="75" t="n">
        <f aca="false">(1+Discount_Rate)^((Inputs!$F$26-Y$340)/Days_In_Year)</f>
        <v>0.445285438915339</v>
      </c>
      <c r="Z423" s="75" t="n">
        <f aca="false">(1+Discount_Rate)^((Inputs!$F$26-Z$340)/Days_In_Year)</f>
        <v>0.412301332329018</v>
      </c>
      <c r="AA423" s="75" t="n">
        <f aca="false">(1+Discount_Rate)^((Inputs!$F$26-AA$340)/Days_In_Year)</f>
        <v>0.381760492897239</v>
      </c>
      <c r="AB423" s="75" t="n">
        <f aca="false">(1+Discount_Rate)^((Inputs!$F$26-AB$340)/Days_In_Year)</f>
        <v>0.353407413292154</v>
      </c>
      <c r="AC423" s="75" t="n">
        <f aca="false">(1+Discount_Rate)^((Inputs!$F$26-AC$340)/Days_In_Year)</f>
        <v>0.327229086381624</v>
      </c>
      <c r="AD423" s="75" t="n">
        <f aca="false">(1+Discount_Rate)^((Inputs!$F$26-AD$340)/Days_In_Year)</f>
        <v>0.3029898947978</v>
      </c>
      <c r="AE423" s="75" t="n">
        <f aca="false">(1+Discount_Rate)^((Inputs!$F$26-AE$340)/Days_In_Year)</f>
        <v>0.280546198886852</v>
      </c>
      <c r="AF423" s="75" t="n">
        <f aca="false">(1+Discount_Rate)^((Inputs!$F$26-AF$340)/Days_In_Year)</f>
        <v>0.259710232730228</v>
      </c>
      <c r="AG423" s="75" t="n">
        <f aca="false">(1+Discount_Rate)^((Inputs!$F$26-AG$340)/Days_In_Year)</f>
        <v>0.240472437713174</v>
      </c>
      <c r="AH423" s="75" t="n">
        <f aca="false">(1+Discount_Rate)^((Inputs!$F$26-AH$340)/Days_In_Year)</f>
        <v>0.222659664549235</v>
      </c>
      <c r="AI423" s="75" t="n">
        <f aca="false">(1+Discount_Rate)^((Inputs!$F$26-AI$340)/Days_In_Year)</f>
        <v>0.206166356064106</v>
      </c>
      <c r="AJ423" s="75" t="n">
        <f aca="false">(1+Discount_Rate)^((Inputs!$F$26-AJ$340)/Days_In_Year)</f>
        <v>0.190854527799705</v>
      </c>
      <c r="AK423" s="75" t="n">
        <f aca="false">(1+Discount_Rate)^((Inputs!$F$26-AK$340)/Days_In_Year)</f>
        <v>0.176717155370097</v>
      </c>
      <c r="AL423" s="75" t="n">
        <f aca="false">(1+Discount_Rate)^((Inputs!$F$26-AL$340)/Days_In_Year)</f>
        <v>0.163626995713053</v>
      </c>
      <c r="AM423" s="75" t="n">
        <f aca="false">(1+Discount_Rate)^((Inputs!$F$26-AM$340)/Days_In_Year)</f>
        <v>0.151506477512086</v>
      </c>
      <c r="AN423" s="75" t="n">
        <f aca="false">(1+Discount_Rate)^((Inputs!$F$26-AN$340)/Days_In_Year)</f>
        <v>0.140254199454224</v>
      </c>
      <c r="AO423" s="75" t="n">
        <f aca="false">(1+Discount_Rate)^((Inputs!$F$26-AO$340)/Days_In_Year)</f>
        <v>0.129864999494652</v>
      </c>
      <c r="AP423" s="75" t="n">
        <f aca="false">(1+Discount_Rate)^((Inputs!$F$26-AP$340)/Days_In_Year)</f>
        <v>0.120245369902455</v>
      </c>
      <c r="AQ423" s="75" t="n">
        <f aca="false">(1+Discount_Rate)^((Inputs!$F$26-AQ$340)/Days_In_Year)</f>
        <v>0.111338305465236</v>
      </c>
      <c r="AR423" s="75" t="n">
        <f aca="false">(1+Discount_Rate)^((Inputs!$F$26-AR$340)/Days_In_Year)</f>
        <v>0.103069288904634</v>
      </c>
      <c r="AS423" s="75" t="n">
        <f aca="false">(1+Discount_Rate)^((Inputs!$F$26-AS$340)/Days_In_Year)</f>
        <v>0.0954345267635496</v>
      </c>
    </row>
    <row r="424" customFormat="false" ht="14.25" hidden="false" customHeight="false" outlineLevel="0" collapsed="false">
      <c r="C424" s="6" t="s">
        <v>316</v>
      </c>
      <c r="D424" s="2" t="s">
        <v>85</v>
      </c>
      <c r="H424" s="8" t="n">
        <f aca="false">SUM(J424:AS424)</f>
        <v>117317.066600666</v>
      </c>
      <c r="J424" s="8" t="n">
        <f aca="false">J410*J423</f>
        <v>0</v>
      </c>
      <c r="K424" s="8" t="n">
        <f aca="false">K410*K423</f>
        <v>0</v>
      </c>
      <c r="L424" s="8" t="n">
        <f aca="false">L410*L423</f>
        <v>0</v>
      </c>
      <c r="M424" s="8" t="n">
        <f aca="false">M410*M423</f>
        <v>0</v>
      </c>
      <c r="N424" s="8" t="n">
        <f aca="false">N410*N423</f>
        <v>0</v>
      </c>
      <c r="O424" s="8" t="n">
        <f aca="false">O410*O423</f>
        <v>4876.8474889626</v>
      </c>
      <c r="P424" s="8" t="n">
        <f aca="false">P410*P423</f>
        <v>9090.53934016054</v>
      </c>
      <c r="Q424" s="8" t="n">
        <f aca="false">Q410*Q423</f>
        <v>8443.85559204061</v>
      </c>
      <c r="R424" s="8" t="n">
        <f aca="false">R410*R423</f>
        <v>7842.46260690271</v>
      </c>
      <c r="S424" s="8" t="n">
        <f aca="false">S410*S423</f>
        <v>7283.2240477567</v>
      </c>
      <c r="T424" s="8" t="n">
        <f aca="false">T410*T423</f>
        <v>6761.79304646313</v>
      </c>
      <c r="U424" s="8" t="n">
        <f aca="false">U410*U423</f>
        <v>6278.40300363448</v>
      </c>
      <c r="V424" s="8" t="n">
        <f aca="false">V410*V423</f>
        <v>5828.9855926955</v>
      </c>
      <c r="W424" s="8" t="n">
        <f aca="false">W410*W423</f>
        <v>5411.1821806256</v>
      </c>
      <c r="X424" s="8" t="n">
        <f aca="false">X410*X423</f>
        <v>5021.73745515717</v>
      </c>
      <c r="Y424" s="8" t="n">
        <f aca="false">Y410*Y423</f>
        <v>4660.80027334854</v>
      </c>
      <c r="Z424" s="8" t="n">
        <f aca="false">Z410*Z423</f>
        <v>4325.32588573996</v>
      </c>
      <c r="AA424" s="8" t="n">
        <f aca="false">AA410*AA423</f>
        <v>4013.54157817309</v>
      </c>
      <c r="AB424" s="8" t="n">
        <f aca="false">AB410*AB423</f>
        <v>3723.01176986731</v>
      </c>
      <c r="AC424" s="8" t="n">
        <f aca="false">AC410*AC423</f>
        <v>3453.82676468588</v>
      </c>
      <c r="AD424" s="8" t="n">
        <f aca="false">AD410*AD423</f>
        <v>3203.71011489412</v>
      </c>
      <c r="AE424" s="8" t="n">
        <f aca="false">AE410*AE423</f>
        <v>2971.33032336828</v>
      </c>
      <c r="AF424" s="8" t="n">
        <f aca="false">AF410*AF423</f>
        <v>2754.86696923197</v>
      </c>
      <c r="AG424" s="8" t="n">
        <f aca="false">AG410*AG423</f>
        <v>2554.37040340407</v>
      </c>
      <c r="AH424" s="8" t="n">
        <f aca="false">AH410*AH423</f>
        <v>2368.14043793919</v>
      </c>
      <c r="AI424" s="8" t="n">
        <f aca="false">AI410*AI423</f>
        <v>2195.17765884097</v>
      </c>
      <c r="AJ424" s="8" t="n">
        <f aca="false">AJ410*AJ423</f>
        <v>2034.12293346623</v>
      </c>
      <c r="AK424" s="8" t="n">
        <f aca="false">AK410*AK423</f>
        <v>1884.99987986481</v>
      </c>
      <c r="AL424" s="8" t="n">
        <f aca="false">AL410*AL423</f>
        <v>1746.54018249686</v>
      </c>
      <c r="AM424" s="8" t="n">
        <f aca="false">AM410*AM423</f>
        <v>1617.99423623126</v>
      </c>
      <c r="AN424" s="8" t="n">
        <f aca="false">AN410*AN423</f>
        <v>1498.34852868931</v>
      </c>
      <c r="AO424" s="8" t="n">
        <f aca="false">AO410*AO423</f>
        <v>1387.60926324361</v>
      </c>
      <c r="AP424" s="8" t="n">
        <f aca="false">AP410*AP423</f>
        <v>1284.83150622458</v>
      </c>
      <c r="AQ424" s="8" t="n">
        <f aca="false">AQ410*AQ423</f>
        <v>1189.4534633259</v>
      </c>
      <c r="AR424" s="8" t="n">
        <f aca="false">AR410*AR423</f>
        <v>1100.72034810141</v>
      </c>
      <c r="AS424" s="8" t="n">
        <f aca="false">AS410*AS423</f>
        <v>509.31372512961</v>
      </c>
    </row>
    <row r="425" customFormat="false" ht="14.25" hidden="false" customHeight="false" outlineLevel="0" collapsed="false">
      <c r="C425" s="6" t="s">
        <v>317</v>
      </c>
      <c r="D425" s="2" t="s">
        <v>85</v>
      </c>
      <c r="H425" s="8" t="n">
        <f aca="false">SUM(J425:AS425)</f>
        <v>0</v>
      </c>
      <c r="J425" s="8" t="n">
        <f aca="false">0</f>
        <v>0</v>
      </c>
      <c r="K425" s="8" t="n">
        <f aca="false">0</f>
        <v>0</v>
      </c>
      <c r="L425" s="8" t="n">
        <f aca="false">0</f>
        <v>0</v>
      </c>
      <c r="M425" s="8" t="n">
        <f aca="false">0</f>
        <v>0</v>
      </c>
      <c r="N425" s="8" t="n">
        <f aca="false">0</f>
        <v>0</v>
      </c>
      <c r="O425" s="8" t="n">
        <f aca="false">0</f>
        <v>0</v>
      </c>
      <c r="P425" s="8" t="n">
        <f aca="false">0</f>
        <v>0</v>
      </c>
      <c r="Q425" s="8" t="n">
        <f aca="false">0</f>
        <v>0</v>
      </c>
      <c r="R425" s="8" t="n">
        <f aca="false">0</f>
        <v>0</v>
      </c>
      <c r="S425" s="8" t="n">
        <f aca="false">0</f>
        <v>0</v>
      </c>
      <c r="T425" s="8" t="n">
        <f aca="false">0</f>
        <v>0</v>
      </c>
      <c r="U425" s="8" t="n">
        <f aca="false">0</f>
        <v>0</v>
      </c>
      <c r="V425" s="8" t="n">
        <f aca="false">0</f>
        <v>0</v>
      </c>
      <c r="W425" s="8" t="n">
        <f aca="false">0</f>
        <v>0</v>
      </c>
      <c r="X425" s="8" t="n">
        <f aca="false">0</f>
        <v>0</v>
      </c>
      <c r="Y425" s="8" t="n">
        <f aca="false">0</f>
        <v>0</v>
      </c>
      <c r="Z425" s="8" t="n">
        <f aca="false">0</f>
        <v>0</v>
      </c>
      <c r="AA425" s="8" t="n">
        <f aca="false">0</f>
        <v>0</v>
      </c>
      <c r="AB425" s="8" t="n">
        <f aca="false">0</f>
        <v>0</v>
      </c>
      <c r="AC425" s="8" t="n">
        <f aca="false">0</f>
        <v>0</v>
      </c>
      <c r="AD425" s="8" t="n">
        <f aca="false">0</f>
        <v>0</v>
      </c>
      <c r="AE425" s="8" t="n">
        <f aca="false">0</f>
        <v>0</v>
      </c>
      <c r="AF425" s="8" t="n">
        <f aca="false">0</f>
        <v>0</v>
      </c>
      <c r="AG425" s="8" t="n">
        <f aca="false">0</f>
        <v>0</v>
      </c>
      <c r="AH425" s="8" t="n">
        <f aca="false">0</f>
        <v>0</v>
      </c>
      <c r="AI425" s="8" t="n">
        <f aca="false">0</f>
        <v>0</v>
      </c>
      <c r="AJ425" s="8" t="n">
        <f aca="false">0</f>
        <v>0</v>
      </c>
      <c r="AK425" s="8" t="n">
        <f aca="false">0</f>
        <v>0</v>
      </c>
      <c r="AL425" s="8" t="n">
        <f aca="false">0</f>
        <v>0</v>
      </c>
      <c r="AM425" s="8" t="n">
        <f aca="false">0</f>
        <v>0</v>
      </c>
      <c r="AN425" s="8" t="n">
        <f aca="false">0</f>
        <v>0</v>
      </c>
      <c r="AO425" s="8" t="n">
        <f aca="false">0</f>
        <v>0</v>
      </c>
      <c r="AP425" s="8" t="n">
        <f aca="false">0</f>
        <v>0</v>
      </c>
      <c r="AQ425" s="8" t="n">
        <f aca="false">0</f>
        <v>0</v>
      </c>
      <c r="AR425" s="8" t="n">
        <f aca="false">0</f>
        <v>0</v>
      </c>
      <c r="AS425" s="8" t="n">
        <f aca="false">0</f>
        <v>0</v>
      </c>
    </row>
    <row r="426" customFormat="false" ht="14.25" hidden="false" customHeight="false" outlineLevel="0" collapsed="false">
      <c r="C426" s="1" t="s">
        <v>318</v>
      </c>
      <c r="D426" s="2" t="s">
        <v>85</v>
      </c>
      <c r="H426" s="32" t="n">
        <f aca="false">SUM(J426:AS426)</f>
        <v>40517.0073540907</v>
      </c>
      <c r="J426" s="32" t="n">
        <f aca="false">J396*(J386&lt;=0)+J391*($H424+$F$62+$F$63)+J425</f>
        <v>0</v>
      </c>
      <c r="K426" s="32" t="n">
        <f aca="false">K396*(K386&lt;=0)+K391*($H424+$F$62+$F$63)+K425</f>
        <v>0</v>
      </c>
      <c r="L426" s="32" t="n">
        <f aca="false">L396*(L386&lt;=0)+L391*($H424+$F$62+$F$63)+L425</f>
        <v>0</v>
      </c>
      <c r="M426" s="32" t="n">
        <f aca="false">M396*(M386&lt;=0)+M391*($H424+$F$62+$F$63)+M425</f>
        <v>-29757.5797945206</v>
      </c>
      <c r="N426" s="32" t="n">
        <f aca="false">N396*(N386&lt;=0)+N391*($H424+$F$62+$F$63)+N425</f>
        <v>-31358</v>
      </c>
      <c r="O426" s="32" t="n">
        <f aca="false">O396*(O386&lt;=0)+O391*($H424+$F$62+$F$63)+O425</f>
        <v>101632.587148611</v>
      </c>
      <c r="P426" s="32" t="n">
        <f aca="false">P396*(P386&lt;=0)+P391*($H424+$F$62+$F$63)+P425</f>
        <v>0</v>
      </c>
      <c r="Q426" s="32" t="n">
        <f aca="false">Q396*(Q386&lt;=0)+Q391*($H424+$F$62+$F$63)+Q425</f>
        <v>0</v>
      </c>
      <c r="R426" s="32" t="n">
        <f aca="false">R396*(R386&lt;=0)+R391*($H424+$F$62+$F$63)+R425</f>
        <v>0</v>
      </c>
      <c r="S426" s="32" t="n">
        <f aca="false">S396*(S386&lt;=0)+S391*($H424+$F$62+$F$63)+S425</f>
        <v>0</v>
      </c>
      <c r="T426" s="32" t="n">
        <f aca="false">T396*(T386&lt;=0)+T391*($H424+$F$62+$F$63)+T425</f>
        <v>0</v>
      </c>
      <c r="U426" s="32" t="n">
        <f aca="false">U396*(U386&lt;=0)+U391*($H424+$F$62+$F$63)+U425</f>
        <v>0</v>
      </c>
      <c r="V426" s="32" t="n">
        <f aca="false">V396*(V386&lt;=0)+V391*($H424+$F$62+$F$63)+V425</f>
        <v>0</v>
      </c>
      <c r="W426" s="32" t="n">
        <f aca="false">W396*(W386&lt;=0)+W391*($H424+$F$62+$F$63)+W425</f>
        <v>0</v>
      </c>
      <c r="X426" s="32" t="n">
        <f aca="false">X396*(X386&lt;=0)+X391*($H424+$F$62+$F$63)+X425</f>
        <v>0</v>
      </c>
      <c r="Y426" s="32" t="n">
        <f aca="false">Y396*(Y386&lt;=0)+Y391*($H424+$F$62+$F$63)+Y425</f>
        <v>0</v>
      </c>
      <c r="Z426" s="32" t="n">
        <f aca="false">Z396*(Z386&lt;=0)+Z391*($H424+$F$62+$F$63)+Z425</f>
        <v>0</v>
      </c>
      <c r="AA426" s="32" t="n">
        <f aca="false">AA396*(AA386&lt;=0)+AA391*($H424+$F$62+$F$63)+AA425</f>
        <v>0</v>
      </c>
      <c r="AB426" s="32" t="n">
        <f aca="false">AB396*(AB386&lt;=0)+AB391*($H424+$F$62+$F$63)+AB425</f>
        <v>0</v>
      </c>
      <c r="AC426" s="32" t="n">
        <f aca="false">AC396*(AC386&lt;=0)+AC391*($H424+$F$62+$F$63)+AC425</f>
        <v>0</v>
      </c>
      <c r="AD426" s="32" t="n">
        <f aca="false">AD396*(AD386&lt;=0)+AD391*($H424+$F$62+$F$63)+AD425</f>
        <v>0</v>
      </c>
      <c r="AE426" s="32" t="n">
        <f aca="false">AE396*(AE386&lt;=0)+AE391*($H424+$F$62+$F$63)+AE425</f>
        <v>0</v>
      </c>
      <c r="AF426" s="32" t="n">
        <f aca="false">AF396*(AF386&lt;=0)+AF391*($H424+$F$62+$F$63)+AF425</f>
        <v>0</v>
      </c>
      <c r="AG426" s="32" t="n">
        <f aca="false">AG396*(AG386&lt;=0)+AG391*($H424+$F$62+$F$63)+AG425</f>
        <v>0</v>
      </c>
      <c r="AH426" s="32" t="n">
        <f aca="false">AH396*(AH386&lt;=0)+AH391*($H424+$F$62+$F$63)+AH425</f>
        <v>0</v>
      </c>
      <c r="AI426" s="32" t="n">
        <f aca="false">AI396*(AI386&lt;=0)+AI391*($H424+$F$62+$F$63)+AI425</f>
        <v>0</v>
      </c>
      <c r="AJ426" s="32" t="n">
        <f aca="false">AJ396*(AJ386&lt;=0)+AJ391*($H424+$F$62+$F$63)+AJ425</f>
        <v>0</v>
      </c>
      <c r="AK426" s="32" t="n">
        <f aca="false">AK396*(AK386&lt;=0)+AK391*($H424+$F$62+$F$63)+AK425</f>
        <v>0</v>
      </c>
      <c r="AL426" s="32" t="n">
        <f aca="false">AL396*(AL386&lt;=0)+AL391*($H424+$F$62+$F$63)+AL425</f>
        <v>0</v>
      </c>
      <c r="AM426" s="32" t="n">
        <f aca="false">AM396*(AM386&lt;=0)+AM391*($H424+$F$62+$F$63)+AM425</f>
        <v>0</v>
      </c>
      <c r="AN426" s="32" t="n">
        <f aca="false">AN396*(AN386&lt;=0)+AN391*($H424+$F$62+$F$63)+AN425</f>
        <v>0</v>
      </c>
      <c r="AO426" s="32" t="n">
        <f aca="false">AO396*(AO386&lt;=0)+AO391*($H424+$F$62+$F$63)+AO425</f>
        <v>0</v>
      </c>
      <c r="AP426" s="32" t="n">
        <f aca="false">AP396*(AP386&lt;=0)+AP391*($H424+$F$62+$F$63)+AP425</f>
        <v>0</v>
      </c>
      <c r="AQ426" s="32" t="n">
        <f aca="false">AQ396*(AQ386&lt;=0)+AQ391*($H424+$F$62+$F$63)+AQ425</f>
        <v>0</v>
      </c>
      <c r="AR426" s="32" t="n">
        <f aca="false">AR396*(AR386&lt;=0)+AR391*($H424+$F$62+$F$63)+AR425</f>
        <v>0</v>
      </c>
      <c r="AS426" s="32" t="n">
        <f aca="false">AS396*(AS386&lt;=0)+AS391*($H424+$F$62+$F$63)+AS425</f>
        <v>0</v>
      </c>
    </row>
    <row r="428" customFormat="false" ht="14.25" hidden="false" customHeight="false" outlineLevel="0" collapsed="false">
      <c r="B428" s="4" t="s">
        <v>3</v>
      </c>
      <c r="C428" s="4" t="s">
        <v>320</v>
      </c>
      <c r="D428" s="4"/>
      <c r="E428" s="5"/>
      <c r="F428" s="5"/>
      <c r="G428" s="5" t="s">
        <v>277</v>
      </c>
      <c r="H428" s="5" t="s">
        <v>8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</row>
    <row r="429" customFormat="false" ht="14.25" hidden="false" customHeight="false" outlineLevel="0" collapsed="false">
      <c r="C429" s="6" t="s">
        <v>278</v>
      </c>
      <c r="D429" s="2" t="s">
        <v>279</v>
      </c>
      <c r="J429" s="72" t="n">
        <f aca="false">J$339-YEAR(Inputs!$G$26)</f>
        <v>-5</v>
      </c>
      <c r="K429" s="72" t="n">
        <f aca="false">K$339-YEAR(Inputs!$G$26)</f>
        <v>-4</v>
      </c>
      <c r="L429" s="72" t="n">
        <f aca="false">L$339-YEAR(Inputs!$G$26)</f>
        <v>-3</v>
      </c>
      <c r="M429" s="72" t="n">
        <f aca="false">M$339-YEAR(Inputs!$G$26)</f>
        <v>-2</v>
      </c>
      <c r="N429" s="72" t="n">
        <f aca="false">N$339-YEAR(Inputs!$G$26)</f>
        <v>-1</v>
      </c>
      <c r="O429" s="72" t="n">
        <f aca="false">O$339-YEAR(Inputs!$G$26)</f>
        <v>0</v>
      </c>
      <c r="P429" s="72" t="n">
        <f aca="false">P$339-YEAR(Inputs!$G$26)</f>
        <v>1</v>
      </c>
      <c r="Q429" s="72" t="n">
        <f aca="false">Q$339-YEAR(Inputs!$G$26)</f>
        <v>2</v>
      </c>
      <c r="R429" s="72" t="n">
        <f aca="false">R$339-YEAR(Inputs!$G$26)</f>
        <v>3</v>
      </c>
      <c r="S429" s="72" t="n">
        <f aca="false">S$339-YEAR(Inputs!$G$26)</f>
        <v>4</v>
      </c>
      <c r="T429" s="72" t="n">
        <f aca="false">T$339-YEAR(Inputs!$G$26)</f>
        <v>5</v>
      </c>
      <c r="U429" s="72" t="n">
        <f aca="false">U$339-YEAR(Inputs!$G$26)</f>
        <v>6</v>
      </c>
      <c r="V429" s="72" t="n">
        <f aca="false">V$339-YEAR(Inputs!$G$26)</f>
        <v>7</v>
      </c>
      <c r="W429" s="72" t="n">
        <f aca="false">W$339-YEAR(Inputs!$G$26)</f>
        <v>8</v>
      </c>
      <c r="X429" s="72" t="n">
        <f aca="false">X$339-YEAR(Inputs!$G$26)</f>
        <v>9</v>
      </c>
      <c r="Y429" s="72" t="n">
        <f aca="false">Y$339-YEAR(Inputs!$G$26)</f>
        <v>10</v>
      </c>
      <c r="Z429" s="72" t="n">
        <f aca="false">Z$339-YEAR(Inputs!$G$26)</f>
        <v>11</v>
      </c>
      <c r="AA429" s="72" t="n">
        <f aca="false">AA$339-YEAR(Inputs!$G$26)</f>
        <v>12</v>
      </c>
      <c r="AB429" s="72" t="n">
        <f aca="false">AB$339-YEAR(Inputs!$G$26)</f>
        <v>13</v>
      </c>
      <c r="AC429" s="72" t="n">
        <f aca="false">AC$339-YEAR(Inputs!$G$26)</f>
        <v>14</v>
      </c>
      <c r="AD429" s="72" t="n">
        <f aca="false">AD$339-YEAR(Inputs!$G$26)</f>
        <v>15</v>
      </c>
      <c r="AE429" s="72" t="n">
        <f aca="false">AE$339-YEAR(Inputs!$G$26)</f>
        <v>16</v>
      </c>
      <c r="AF429" s="72" t="n">
        <f aca="false">AF$339-YEAR(Inputs!$G$26)</f>
        <v>17</v>
      </c>
      <c r="AG429" s="72" t="n">
        <f aca="false">AG$339-YEAR(Inputs!$G$26)</f>
        <v>18</v>
      </c>
      <c r="AH429" s="72" t="n">
        <f aca="false">AH$339-YEAR(Inputs!$G$26)</f>
        <v>19</v>
      </c>
      <c r="AI429" s="72" t="n">
        <f aca="false">AI$339-YEAR(Inputs!$G$26)</f>
        <v>20</v>
      </c>
      <c r="AJ429" s="72" t="n">
        <f aca="false">AJ$339-YEAR(Inputs!$G$26)</f>
        <v>21</v>
      </c>
      <c r="AK429" s="72" t="n">
        <f aca="false">AK$339-YEAR(Inputs!$G$26)</f>
        <v>22</v>
      </c>
      <c r="AL429" s="72" t="n">
        <f aca="false">AL$339-YEAR(Inputs!$G$26)</f>
        <v>23</v>
      </c>
      <c r="AM429" s="72" t="n">
        <f aca="false">AM$339-YEAR(Inputs!$G$26)</f>
        <v>24</v>
      </c>
      <c r="AN429" s="72" t="n">
        <f aca="false">AN$339-YEAR(Inputs!$G$26)</f>
        <v>25</v>
      </c>
      <c r="AO429" s="72" t="n">
        <f aca="false">AO$339-YEAR(Inputs!$G$26)</f>
        <v>26</v>
      </c>
      <c r="AP429" s="72" t="n">
        <f aca="false">AP$339-YEAR(Inputs!$G$26)</f>
        <v>27</v>
      </c>
      <c r="AQ429" s="72" t="n">
        <f aca="false">AQ$339-YEAR(Inputs!$G$26)</f>
        <v>28</v>
      </c>
      <c r="AR429" s="72" t="n">
        <f aca="false">AR$339-YEAR(Inputs!$G$26)</f>
        <v>29</v>
      </c>
      <c r="AS429" s="72" t="n">
        <f aca="false">AS$339-YEAR(Inputs!$G$26)</f>
        <v>30</v>
      </c>
    </row>
    <row r="430" customFormat="false" ht="14.25" hidden="false" customHeight="false" outlineLevel="0" collapsed="false">
      <c r="C430" s="6" t="s">
        <v>280</v>
      </c>
      <c r="D430" s="2" t="s">
        <v>281</v>
      </c>
      <c r="G430" s="72" t="n">
        <f aca="false">DATEDIF(Inputs!$G$25,Inputs!$G$26,"m")</f>
        <v>24</v>
      </c>
      <c r="J430" s="72" t="n">
        <f aca="false">(J$339+1-YEAR(Inputs!$G$25))*Months_In_Year-MONTH(Inputs!$G$25)</f>
        <v>-30</v>
      </c>
      <c r="K430" s="72" t="n">
        <f aca="false">(K$339+1-YEAR(Inputs!$G$25))*Months_In_Year-MONTH(Inputs!$G$25)</f>
        <v>-18</v>
      </c>
      <c r="L430" s="72" t="n">
        <f aca="false">(L$339+1-YEAR(Inputs!$G$25))*Months_In_Year-MONTH(Inputs!$G$25)</f>
        <v>-6</v>
      </c>
      <c r="M430" s="72" t="n">
        <f aca="false">(M$339+1-YEAR(Inputs!$G$25))*Months_In_Year-MONTH(Inputs!$G$25)</f>
        <v>6</v>
      </c>
      <c r="N430" s="72" t="n">
        <f aca="false">(N$339+1-YEAR(Inputs!$G$25))*Months_In_Year-MONTH(Inputs!$G$25)</f>
        <v>18</v>
      </c>
      <c r="O430" s="72" t="n">
        <f aca="false">(O$339+1-YEAR(Inputs!$G$25))*Months_In_Year-MONTH(Inputs!$G$25)</f>
        <v>30</v>
      </c>
      <c r="P430" s="72" t="n">
        <f aca="false">(P$339+1-YEAR(Inputs!$G$25))*Months_In_Year-MONTH(Inputs!$G$25)</f>
        <v>42</v>
      </c>
      <c r="Q430" s="72" t="n">
        <f aca="false">(Q$339+1-YEAR(Inputs!$G$25))*Months_In_Year-MONTH(Inputs!$G$25)</f>
        <v>54</v>
      </c>
      <c r="R430" s="72" t="n">
        <f aca="false">(R$339+1-YEAR(Inputs!$G$25))*Months_In_Year-MONTH(Inputs!$G$25)</f>
        <v>66</v>
      </c>
      <c r="S430" s="72" t="n">
        <f aca="false">(S$339+1-YEAR(Inputs!$G$25))*Months_In_Year-MONTH(Inputs!$G$25)</f>
        <v>78</v>
      </c>
      <c r="T430" s="72" t="n">
        <f aca="false">(T$339+1-YEAR(Inputs!$G$25))*Months_In_Year-MONTH(Inputs!$G$25)</f>
        <v>90</v>
      </c>
      <c r="U430" s="72" t="n">
        <f aca="false">(U$339+1-YEAR(Inputs!$G$25))*Months_In_Year-MONTH(Inputs!$G$25)</f>
        <v>102</v>
      </c>
      <c r="V430" s="72" t="n">
        <f aca="false">(V$339+1-YEAR(Inputs!$G$25))*Months_In_Year-MONTH(Inputs!$G$25)</f>
        <v>114</v>
      </c>
      <c r="W430" s="72" t="n">
        <f aca="false">(W$339+1-YEAR(Inputs!$G$25))*Months_In_Year-MONTH(Inputs!$G$25)</f>
        <v>126</v>
      </c>
      <c r="X430" s="72" t="n">
        <f aca="false">(X$339+1-YEAR(Inputs!$G$25))*Months_In_Year-MONTH(Inputs!$G$25)</f>
        <v>138</v>
      </c>
      <c r="Y430" s="72" t="n">
        <f aca="false">(Y$339+1-YEAR(Inputs!$G$25))*Months_In_Year-MONTH(Inputs!$G$25)</f>
        <v>150</v>
      </c>
      <c r="Z430" s="72" t="n">
        <f aca="false">(Z$339+1-YEAR(Inputs!$G$25))*Months_In_Year-MONTH(Inputs!$G$25)</f>
        <v>162</v>
      </c>
      <c r="AA430" s="72" t="n">
        <f aca="false">(AA$339+1-YEAR(Inputs!$G$25))*Months_In_Year-MONTH(Inputs!$G$25)</f>
        <v>174</v>
      </c>
      <c r="AB430" s="72" t="n">
        <f aca="false">(AB$339+1-YEAR(Inputs!$G$25))*Months_In_Year-MONTH(Inputs!$G$25)</f>
        <v>186</v>
      </c>
      <c r="AC430" s="72" t="n">
        <f aca="false">(AC$339+1-YEAR(Inputs!$G$25))*Months_In_Year-MONTH(Inputs!$G$25)</f>
        <v>198</v>
      </c>
      <c r="AD430" s="72" t="n">
        <f aca="false">(AD$339+1-YEAR(Inputs!$G$25))*Months_In_Year-MONTH(Inputs!$G$25)</f>
        <v>210</v>
      </c>
      <c r="AE430" s="72" t="n">
        <f aca="false">(AE$339+1-YEAR(Inputs!$G$25))*Months_In_Year-MONTH(Inputs!$G$25)</f>
        <v>222</v>
      </c>
      <c r="AF430" s="72" t="n">
        <f aca="false">(AF$339+1-YEAR(Inputs!$G$25))*Months_In_Year-MONTH(Inputs!$G$25)</f>
        <v>234</v>
      </c>
      <c r="AG430" s="72" t="n">
        <f aca="false">(AG$339+1-YEAR(Inputs!$G$25))*Months_In_Year-MONTH(Inputs!$G$25)</f>
        <v>246</v>
      </c>
      <c r="AH430" s="72" t="n">
        <f aca="false">(AH$339+1-YEAR(Inputs!$G$25))*Months_In_Year-MONTH(Inputs!$G$25)</f>
        <v>258</v>
      </c>
      <c r="AI430" s="72" t="n">
        <f aca="false">(AI$339+1-YEAR(Inputs!$G$25))*Months_In_Year-MONTH(Inputs!$G$25)</f>
        <v>270</v>
      </c>
      <c r="AJ430" s="72" t="n">
        <f aca="false">(AJ$339+1-YEAR(Inputs!$G$25))*Months_In_Year-MONTH(Inputs!$G$25)</f>
        <v>282</v>
      </c>
      <c r="AK430" s="72" t="n">
        <f aca="false">(AK$339+1-YEAR(Inputs!$G$25))*Months_In_Year-MONTH(Inputs!$G$25)</f>
        <v>294</v>
      </c>
      <c r="AL430" s="72" t="n">
        <f aca="false">(AL$339+1-YEAR(Inputs!$G$25))*Months_In_Year-MONTH(Inputs!$G$25)</f>
        <v>306</v>
      </c>
      <c r="AM430" s="72" t="n">
        <f aca="false">(AM$339+1-YEAR(Inputs!$G$25))*Months_In_Year-MONTH(Inputs!$G$25)</f>
        <v>318</v>
      </c>
      <c r="AN430" s="72" t="n">
        <f aca="false">(AN$339+1-YEAR(Inputs!$G$25))*Months_In_Year-MONTH(Inputs!$G$25)</f>
        <v>330</v>
      </c>
      <c r="AO430" s="72" t="n">
        <f aca="false">(AO$339+1-YEAR(Inputs!$G$25))*Months_In_Year-MONTH(Inputs!$G$25)</f>
        <v>342</v>
      </c>
      <c r="AP430" s="72" t="n">
        <f aca="false">(AP$339+1-YEAR(Inputs!$G$25))*Months_In_Year-MONTH(Inputs!$G$25)</f>
        <v>354</v>
      </c>
      <c r="AQ430" s="72" t="n">
        <f aca="false">(AQ$339+1-YEAR(Inputs!$G$25))*Months_In_Year-MONTH(Inputs!$G$25)</f>
        <v>366</v>
      </c>
      <c r="AR430" s="72" t="n">
        <f aca="false">(AR$339+1-YEAR(Inputs!$G$25))*Months_In_Year-MONTH(Inputs!$G$25)</f>
        <v>378</v>
      </c>
      <c r="AS430" s="72" t="n">
        <f aca="false">(AS$339+1-YEAR(Inputs!$G$25))*Months_In_Year-MONTH(Inputs!$G$25)</f>
        <v>390</v>
      </c>
    </row>
    <row r="431" customFormat="false" ht="14.25" hidden="false" customHeight="false" outlineLevel="0" collapsed="false">
      <c r="C431" s="6" t="s">
        <v>282</v>
      </c>
      <c r="D431" s="2" t="s">
        <v>12</v>
      </c>
      <c r="H431" s="73" t="n">
        <f aca="false">SUM(J431:AS431)</f>
        <v>1</v>
      </c>
      <c r="J431" s="48" t="n">
        <f aca="false">MAX(0,MIN(J430,$G430)-MAX(J430-Months_In_Year,0))/$G430</f>
        <v>0</v>
      </c>
      <c r="K431" s="48" t="n">
        <f aca="false">MAX(0,MIN(K430,$G430)-MAX(K430-Months_In_Year,0))/$G430</f>
        <v>0</v>
      </c>
      <c r="L431" s="48" t="n">
        <f aca="false">MAX(0,MIN(L430,$G430)-MAX(L430-Months_In_Year,0))/$G430</f>
        <v>0</v>
      </c>
      <c r="M431" s="48" t="n">
        <f aca="false">MAX(0,MIN(M430,$G430)-MAX(M430-Months_In_Year,0))/$G430</f>
        <v>0.25</v>
      </c>
      <c r="N431" s="48" t="n">
        <f aca="false">MAX(0,MIN(N430,$G430)-MAX(N430-Months_In_Year,0))/$G430</f>
        <v>0.5</v>
      </c>
      <c r="O431" s="48" t="n">
        <f aca="false">MAX(0,MIN(O430,$G430)-MAX(O430-Months_In_Year,0))/$G430</f>
        <v>0.25</v>
      </c>
      <c r="P431" s="48" t="n">
        <f aca="false">MAX(0,MIN(P430,$G430)-MAX(P430-Months_In_Year,0))/$G430</f>
        <v>0</v>
      </c>
      <c r="Q431" s="48" t="n">
        <f aca="false">MAX(0,MIN(Q430,$G430)-MAX(Q430-Months_In_Year,0))/$G430</f>
        <v>0</v>
      </c>
      <c r="R431" s="48" t="n">
        <f aca="false">MAX(0,MIN(R430,$G430)-MAX(R430-Months_In_Year,0))/$G430</f>
        <v>0</v>
      </c>
      <c r="S431" s="48" t="n">
        <f aca="false">MAX(0,MIN(S430,$G430)-MAX(S430-Months_In_Year,0))/$G430</f>
        <v>0</v>
      </c>
      <c r="T431" s="48" t="n">
        <f aca="false">MAX(0,MIN(T430,$G430)-MAX(T430-Months_In_Year,0))/$G430</f>
        <v>0</v>
      </c>
      <c r="U431" s="48" t="n">
        <f aca="false">MAX(0,MIN(U430,$G430)-MAX(U430-Months_In_Year,0))/$G430</f>
        <v>0</v>
      </c>
      <c r="V431" s="48" t="n">
        <f aca="false">MAX(0,MIN(V430,$G430)-MAX(V430-Months_In_Year,0))/$G430</f>
        <v>0</v>
      </c>
      <c r="W431" s="48" t="n">
        <f aca="false">MAX(0,MIN(W430,$G430)-MAX(W430-Months_In_Year,0))/$G430</f>
        <v>0</v>
      </c>
      <c r="X431" s="48" t="n">
        <f aca="false">MAX(0,MIN(X430,$G430)-MAX(X430-Months_In_Year,0))/$G430</f>
        <v>0</v>
      </c>
      <c r="Y431" s="48" t="n">
        <f aca="false">MAX(0,MIN(Y430,$G430)-MAX(Y430-Months_In_Year,0))/$G430</f>
        <v>0</v>
      </c>
      <c r="Z431" s="48" t="n">
        <f aca="false">MAX(0,MIN(Z430,$G430)-MAX(Z430-Months_In_Year,0))/$G430</f>
        <v>0</v>
      </c>
      <c r="AA431" s="48" t="n">
        <f aca="false">MAX(0,MIN(AA430,$G430)-MAX(AA430-Months_In_Year,0))/$G430</f>
        <v>0</v>
      </c>
      <c r="AB431" s="48" t="n">
        <f aca="false">MAX(0,MIN(AB430,$G430)-MAX(AB430-Months_In_Year,0))/$G430</f>
        <v>0</v>
      </c>
      <c r="AC431" s="48" t="n">
        <f aca="false">MAX(0,MIN(AC430,$G430)-MAX(AC430-Months_In_Year,0))/$G430</f>
        <v>0</v>
      </c>
      <c r="AD431" s="48" t="n">
        <f aca="false">MAX(0,MIN(AD430,$G430)-MAX(AD430-Months_In_Year,0))/$G430</f>
        <v>0</v>
      </c>
      <c r="AE431" s="48" t="n">
        <f aca="false">MAX(0,MIN(AE430,$G430)-MAX(AE430-Months_In_Year,0))/$G430</f>
        <v>0</v>
      </c>
      <c r="AF431" s="48" t="n">
        <f aca="false">MAX(0,MIN(AF430,$G430)-MAX(AF430-Months_In_Year,0))/$G430</f>
        <v>0</v>
      </c>
      <c r="AG431" s="48" t="n">
        <f aca="false">MAX(0,MIN(AG430,$G430)-MAX(AG430-Months_In_Year,0))/$G430</f>
        <v>0</v>
      </c>
      <c r="AH431" s="48" t="n">
        <f aca="false">MAX(0,MIN(AH430,$G430)-MAX(AH430-Months_In_Year,0))/$G430</f>
        <v>0</v>
      </c>
      <c r="AI431" s="48" t="n">
        <f aca="false">MAX(0,MIN(AI430,$G430)-MAX(AI430-Months_In_Year,0))/$G430</f>
        <v>0</v>
      </c>
      <c r="AJ431" s="48" t="n">
        <f aca="false">MAX(0,MIN(AJ430,$G430)-MAX(AJ430-Months_In_Year,0))/$G430</f>
        <v>0</v>
      </c>
      <c r="AK431" s="48" t="n">
        <f aca="false">MAX(0,MIN(AK430,$G430)-MAX(AK430-Months_In_Year,0))/$G430</f>
        <v>0</v>
      </c>
      <c r="AL431" s="48" t="n">
        <f aca="false">MAX(0,MIN(AL430,$G430)-MAX(AL430-Months_In_Year,0))/$G430</f>
        <v>0</v>
      </c>
      <c r="AM431" s="48" t="n">
        <f aca="false">MAX(0,MIN(AM430,$G430)-MAX(AM430-Months_In_Year,0))/$G430</f>
        <v>0</v>
      </c>
      <c r="AN431" s="48" t="n">
        <f aca="false">MAX(0,MIN(AN430,$G430)-MAX(AN430-Months_In_Year,0))/$G430</f>
        <v>0</v>
      </c>
      <c r="AO431" s="48" t="n">
        <f aca="false">MAX(0,MIN(AO430,$G430)-MAX(AO430-Months_In_Year,0))/$G430</f>
        <v>0</v>
      </c>
      <c r="AP431" s="48" t="n">
        <f aca="false">MAX(0,MIN(AP430,$G430)-MAX(AP430-Months_In_Year,0))/$G430</f>
        <v>0</v>
      </c>
      <c r="AQ431" s="48" t="n">
        <f aca="false">MAX(0,MIN(AQ430,$G430)-MAX(AQ430-Months_In_Year,0))/$G430</f>
        <v>0</v>
      </c>
      <c r="AR431" s="48" t="n">
        <f aca="false">MAX(0,MIN(AR430,$G430)-MAX(AR430-Months_In_Year,0))/$G430</f>
        <v>0</v>
      </c>
      <c r="AS431" s="48" t="n">
        <f aca="false">MAX(0,MIN(AS430,$G430)-MAX(AS430-Months_In_Year,0))/$G430</f>
        <v>0</v>
      </c>
    </row>
    <row r="432" customFormat="false" ht="14.25" hidden="false" customHeight="false" outlineLevel="0" collapsed="false">
      <c r="C432" s="6" t="s">
        <v>283</v>
      </c>
      <c r="D432" s="2" t="s">
        <v>281</v>
      </c>
      <c r="G432" s="72" t="n">
        <f aca="false">Life*Months_In_Year</f>
        <v>360</v>
      </c>
      <c r="J432" s="72" t="n">
        <f aca="false">(J$339+1-YEAR(Inputs!$G$26))*Months_In_Year-MONTH(Inputs!$G$26)</f>
        <v>-54</v>
      </c>
      <c r="K432" s="72" t="n">
        <f aca="false">(K$339+1-YEAR(Inputs!$G$26))*Months_In_Year-MONTH(Inputs!$G$26)</f>
        <v>-42</v>
      </c>
      <c r="L432" s="72" t="n">
        <f aca="false">(L$339+1-YEAR(Inputs!$G$26))*Months_In_Year-MONTH(Inputs!$G$26)</f>
        <v>-30</v>
      </c>
      <c r="M432" s="72" t="n">
        <f aca="false">(M$339+1-YEAR(Inputs!$G$26))*Months_In_Year-MONTH(Inputs!$G$26)</f>
        <v>-18</v>
      </c>
      <c r="N432" s="72" t="n">
        <f aca="false">(N$339+1-YEAR(Inputs!$G$26))*Months_In_Year-MONTH(Inputs!$G$26)</f>
        <v>-6</v>
      </c>
      <c r="O432" s="72" t="n">
        <f aca="false">(O$339+1-YEAR(Inputs!$G$26))*Months_In_Year-MONTH(Inputs!$G$26)</f>
        <v>6</v>
      </c>
      <c r="P432" s="72" t="n">
        <f aca="false">(P$339+1-YEAR(Inputs!$G$26))*Months_In_Year-MONTH(Inputs!$G$26)</f>
        <v>18</v>
      </c>
      <c r="Q432" s="72" t="n">
        <f aca="false">(Q$339+1-YEAR(Inputs!$G$26))*Months_In_Year-MONTH(Inputs!$G$26)</f>
        <v>30</v>
      </c>
      <c r="R432" s="72" t="n">
        <f aca="false">(R$339+1-YEAR(Inputs!$G$26))*Months_In_Year-MONTH(Inputs!$G$26)</f>
        <v>42</v>
      </c>
      <c r="S432" s="72" t="n">
        <f aca="false">(S$339+1-YEAR(Inputs!$G$26))*Months_In_Year-MONTH(Inputs!$G$26)</f>
        <v>54</v>
      </c>
      <c r="T432" s="72" t="n">
        <f aca="false">(T$339+1-YEAR(Inputs!$G$26))*Months_In_Year-MONTH(Inputs!$G$26)</f>
        <v>66</v>
      </c>
      <c r="U432" s="72" t="n">
        <f aca="false">(U$339+1-YEAR(Inputs!$G$26))*Months_In_Year-MONTH(Inputs!$G$26)</f>
        <v>78</v>
      </c>
      <c r="V432" s="72" t="n">
        <f aca="false">(V$339+1-YEAR(Inputs!$G$26))*Months_In_Year-MONTH(Inputs!$G$26)</f>
        <v>90</v>
      </c>
      <c r="W432" s="72" t="n">
        <f aca="false">(W$339+1-YEAR(Inputs!$G$26))*Months_In_Year-MONTH(Inputs!$G$26)</f>
        <v>102</v>
      </c>
      <c r="X432" s="72" t="n">
        <f aca="false">(X$339+1-YEAR(Inputs!$G$26))*Months_In_Year-MONTH(Inputs!$G$26)</f>
        <v>114</v>
      </c>
      <c r="Y432" s="72" t="n">
        <f aca="false">(Y$339+1-YEAR(Inputs!$G$26))*Months_In_Year-MONTH(Inputs!$G$26)</f>
        <v>126</v>
      </c>
      <c r="Z432" s="72" t="n">
        <f aca="false">(Z$339+1-YEAR(Inputs!$G$26))*Months_In_Year-MONTH(Inputs!$G$26)</f>
        <v>138</v>
      </c>
      <c r="AA432" s="72" t="n">
        <f aca="false">(AA$339+1-YEAR(Inputs!$G$26))*Months_In_Year-MONTH(Inputs!$G$26)</f>
        <v>150</v>
      </c>
      <c r="AB432" s="72" t="n">
        <f aca="false">(AB$339+1-YEAR(Inputs!$G$26))*Months_In_Year-MONTH(Inputs!$G$26)</f>
        <v>162</v>
      </c>
      <c r="AC432" s="72" t="n">
        <f aca="false">(AC$339+1-YEAR(Inputs!$G$26))*Months_In_Year-MONTH(Inputs!$G$26)</f>
        <v>174</v>
      </c>
      <c r="AD432" s="72" t="n">
        <f aca="false">(AD$339+1-YEAR(Inputs!$G$26))*Months_In_Year-MONTH(Inputs!$G$26)</f>
        <v>186</v>
      </c>
      <c r="AE432" s="72" t="n">
        <f aca="false">(AE$339+1-YEAR(Inputs!$G$26))*Months_In_Year-MONTH(Inputs!$G$26)</f>
        <v>198</v>
      </c>
      <c r="AF432" s="72" t="n">
        <f aca="false">(AF$339+1-YEAR(Inputs!$G$26))*Months_In_Year-MONTH(Inputs!$G$26)</f>
        <v>210</v>
      </c>
      <c r="AG432" s="72" t="n">
        <f aca="false">(AG$339+1-YEAR(Inputs!$G$26))*Months_In_Year-MONTH(Inputs!$G$26)</f>
        <v>222</v>
      </c>
      <c r="AH432" s="72" t="n">
        <f aca="false">(AH$339+1-YEAR(Inputs!$G$26))*Months_In_Year-MONTH(Inputs!$G$26)</f>
        <v>234</v>
      </c>
      <c r="AI432" s="72" t="n">
        <f aca="false">(AI$339+1-YEAR(Inputs!$G$26))*Months_In_Year-MONTH(Inputs!$G$26)</f>
        <v>246</v>
      </c>
      <c r="AJ432" s="72" t="n">
        <f aca="false">(AJ$339+1-YEAR(Inputs!$G$26))*Months_In_Year-MONTH(Inputs!$G$26)</f>
        <v>258</v>
      </c>
      <c r="AK432" s="72" t="n">
        <f aca="false">(AK$339+1-YEAR(Inputs!$G$26))*Months_In_Year-MONTH(Inputs!$G$26)</f>
        <v>270</v>
      </c>
      <c r="AL432" s="72" t="n">
        <f aca="false">(AL$339+1-YEAR(Inputs!$G$26))*Months_In_Year-MONTH(Inputs!$G$26)</f>
        <v>282</v>
      </c>
      <c r="AM432" s="72" t="n">
        <f aca="false">(AM$339+1-YEAR(Inputs!$G$26))*Months_In_Year-MONTH(Inputs!$G$26)</f>
        <v>294</v>
      </c>
      <c r="AN432" s="72" t="n">
        <f aca="false">(AN$339+1-YEAR(Inputs!$G$26))*Months_In_Year-MONTH(Inputs!$G$26)</f>
        <v>306</v>
      </c>
      <c r="AO432" s="72" t="n">
        <f aca="false">(AO$339+1-YEAR(Inputs!$G$26))*Months_In_Year-MONTH(Inputs!$G$26)</f>
        <v>318</v>
      </c>
      <c r="AP432" s="72" t="n">
        <f aca="false">(AP$339+1-YEAR(Inputs!$G$26))*Months_In_Year-MONTH(Inputs!$G$26)</f>
        <v>330</v>
      </c>
      <c r="AQ432" s="72" t="n">
        <f aca="false">(AQ$339+1-YEAR(Inputs!$G$26))*Months_In_Year-MONTH(Inputs!$G$26)</f>
        <v>342</v>
      </c>
      <c r="AR432" s="72" t="n">
        <f aca="false">(AR$339+1-YEAR(Inputs!$G$26))*Months_In_Year-MONTH(Inputs!$G$26)</f>
        <v>354</v>
      </c>
      <c r="AS432" s="72" t="n">
        <f aca="false">(AS$339+1-YEAR(Inputs!$G$26))*Months_In_Year-MONTH(Inputs!$G$26)</f>
        <v>366</v>
      </c>
    </row>
    <row r="433" customFormat="false" ht="14.25" hidden="false" customHeight="false" outlineLevel="0" collapsed="false">
      <c r="C433" s="6" t="s">
        <v>284</v>
      </c>
      <c r="D433" s="2" t="s">
        <v>12</v>
      </c>
      <c r="H433" s="73" t="n">
        <f aca="false">SUM(J433:AS433)</f>
        <v>30</v>
      </c>
      <c r="J433" s="48" t="n">
        <f aca="false">MAX(0,MIN(J432,$G432)-MAX(J432-Months_In_Year,0))/Months_In_Year</f>
        <v>0</v>
      </c>
      <c r="K433" s="48" t="n">
        <f aca="false">MAX(0,MIN(K432,$G432)-MAX(K432-Months_In_Year,0))/Months_In_Year</f>
        <v>0</v>
      </c>
      <c r="L433" s="48" t="n">
        <f aca="false">MAX(0,MIN(L432,$G432)-MAX(L432-Months_In_Year,0))/Months_In_Year</f>
        <v>0</v>
      </c>
      <c r="M433" s="48" t="n">
        <f aca="false">MAX(0,MIN(M432,$G432)-MAX(M432-Months_In_Year,0))/Months_In_Year</f>
        <v>0</v>
      </c>
      <c r="N433" s="48" t="n">
        <f aca="false">MAX(0,MIN(N432,$G432)-MAX(N432-Months_In_Year,0))/Months_In_Year</f>
        <v>0</v>
      </c>
      <c r="O433" s="48" t="n">
        <f aca="false">MAX(0,MIN(O432,$G432)-MAX(O432-Months_In_Year,0))/Months_In_Year</f>
        <v>0.5</v>
      </c>
      <c r="P433" s="48" t="n">
        <f aca="false">MAX(0,MIN(P432,$G432)-MAX(P432-Months_In_Year,0))/Months_In_Year</f>
        <v>1</v>
      </c>
      <c r="Q433" s="48" t="n">
        <f aca="false">MAX(0,MIN(Q432,$G432)-MAX(Q432-Months_In_Year,0))/Months_In_Year</f>
        <v>1</v>
      </c>
      <c r="R433" s="48" t="n">
        <f aca="false">MAX(0,MIN(R432,$G432)-MAX(R432-Months_In_Year,0))/Months_In_Year</f>
        <v>1</v>
      </c>
      <c r="S433" s="48" t="n">
        <f aca="false">MAX(0,MIN(S432,$G432)-MAX(S432-Months_In_Year,0))/Months_In_Year</f>
        <v>1</v>
      </c>
      <c r="T433" s="48" t="n">
        <f aca="false">MAX(0,MIN(T432,$G432)-MAX(T432-Months_In_Year,0))/Months_In_Year</f>
        <v>1</v>
      </c>
      <c r="U433" s="48" t="n">
        <f aca="false">MAX(0,MIN(U432,$G432)-MAX(U432-Months_In_Year,0))/Months_In_Year</f>
        <v>1</v>
      </c>
      <c r="V433" s="48" t="n">
        <f aca="false">MAX(0,MIN(V432,$G432)-MAX(V432-Months_In_Year,0))/Months_In_Year</f>
        <v>1</v>
      </c>
      <c r="W433" s="48" t="n">
        <f aca="false">MAX(0,MIN(W432,$G432)-MAX(W432-Months_In_Year,0))/Months_In_Year</f>
        <v>1</v>
      </c>
      <c r="X433" s="48" t="n">
        <f aca="false">MAX(0,MIN(X432,$G432)-MAX(X432-Months_In_Year,0))/Months_In_Year</f>
        <v>1</v>
      </c>
      <c r="Y433" s="48" t="n">
        <f aca="false">MAX(0,MIN(Y432,$G432)-MAX(Y432-Months_In_Year,0))/Months_In_Year</f>
        <v>1</v>
      </c>
      <c r="Z433" s="48" t="n">
        <f aca="false">MAX(0,MIN(Z432,$G432)-MAX(Z432-Months_In_Year,0))/Months_In_Year</f>
        <v>1</v>
      </c>
      <c r="AA433" s="48" t="n">
        <f aca="false">MAX(0,MIN(AA432,$G432)-MAX(AA432-Months_In_Year,0))/Months_In_Year</f>
        <v>1</v>
      </c>
      <c r="AB433" s="48" t="n">
        <f aca="false">MAX(0,MIN(AB432,$G432)-MAX(AB432-Months_In_Year,0))/Months_In_Year</f>
        <v>1</v>
      </c>
      <c r="AC433" s="48" t="n">
        <f aca="false">MAX(0,MIN(AC432,$G432)-MAX(AC432-Months_In_Year,0))/Months_In_Year</f>
        <v>1</v>
      </c>
      <c r="AD433" s="48" t="n">
        <f aca="false">MAX(0,MIN(AD432,$G432)-MAX(AD432-Months_In_Year,0))/Months_In_Year</f>
        <v>1</v>
      </c>
      <c r="AE433" s="48" t="n">
        <f aca="false">MAX(0,MIN(AE432,$G432)-MAX(AE432-Months_In_Year,0))/Months_In_Year</f>
        <v>1</v>
      </c>
      <c r="AF433" s="48" t="n">
        <f aca="false">MAX(0,MIN(AF432,$G432)-MAX(AF432-Months_In_Year,0))/Months_In_Year</f>
        <v>1</v>
      </c>
      <c r="AG433" s="48" t="n">
        <f aca="false">MAX(0,MIN(AG432,$G432)-MAX(AG432-Months_In_Year,0))/Months_In_Year</f>
        <v>1</v>
      </c>
      <c r="AH433" s="48" t="n">
        <f aca="false">MAX(0,MIN(AH432,$G432)-MAX(AH432-Months_In_Year,0))/Months_In_Year</f>
        <v>1</v>
      </c>
      <c r="AI433" s="48" t="n">
        <f aca="false">MAX(0,MIN(AI432,$G432)-MAX(AI432-Months_In_Year,0))/Months_In_Year</f>
        <v>1</v>
      </c>
      <c r="AJ433" s="48" t="n">
        <f aca="false">MAX(0,MIN(AJ432,$G432)-MAX(AJ432-Months_In_Year,0))/Months_In_Year</f>
        <v>1</v>
      </c>
      <c r="AK433" s="48" t="n">
        <f aca="false">MAX(0,MIN(AK432,$G432)-MAX(AK432-Months_In_Year,0))/Months_In_Year</f>
        <v>1</v>
      </c>
      <c r="AL433" s="48" t="n">
        <f aca="false">MAX(0,MIN(AL432,$G432)-MAX(AL432-Months_In_Year,0))/Months_In_Year</f>
        <v>1</v>
      </c>
      <c r="AM433" s="48" t="n">
        <f aca="false">MAX(0,MIN(AM432,$G432)-MAX(AM432-Months_In_Year,0))/Months_In_Year</f>
        <v>1</v>
      </c>
      <c r="AN433" s="48" t="n">
        <f aca="false">MAX(0,MIN(AN432,$G432)-MAX(AN432-Months_In_Year,0))/Months_In_Year</f>
        <v>1</v>
      </c>
      <c r="AO433" s="48" t="n">
        <f aca="false">MAX(0,MIN(AO432,$G432)-MAX(AO432-Months_In_Year,0))/Months_In_Year</f>
        <v>1</v>
      </c>
      <c r="AP433" s="48" t="n">
        <f aca="false">MAX(0,MIN(AP432,$G432)-MAX(AP432-Months_In_Year,0))/Months_In_Year</f>
        <v>1</v>
      </c>
      <c r="AQ433" s="48" t="n">
        <f aca="false">MAX(0,MIN(AQ432,$G432)-MAX(AQ432-Months_In_Year,0))/Months_In_Year</f>
        <v>1</v>
      </c>
      <c r="AR433" s="48" t="n">
        <f aca="false">MAX(0,MIN(AR432,$G432)-MAX(AR432-Months_In_Year,0))/Months_In_Year</f>
        <v>1</v>
      </c>
      <c r="AS433" s="48" t="n">
        <f aca="false">MAX(0,MIN(AS432,$G432)-MAX(AS432-Months_In_Year,0))/Months_In_Year</f>
        <v>0.5</v>
      </c>
    </row>
    <row r="434" customFormat="false" ht="14.25" hidden="false" customHeight="false" outlineLevel="0" collapsed="false">
      <c r="C434" s="6" t="s">
        <v>285</v>
      </c>
      <c r="D434" s="2" t="s">
        <v>2</v>
      </c>
      <c r="J434" s="74" t="n">
        <f aca="false">N(J429=0)</f>
        <v>0</v>
      </c>
      <c r="K434" s="74" t="n">
        <f aca="false">N(K429=0)</f>
        <v>0</v>
      </c>
      <c r="L434" s="74" t="n">
        <f aca="false">N(L429=0)</f>
        <v>0</v>
      </c>
      <c r="M434" s="74" t="n">
        <f aca="false">N(M429=0)</f>
        <v>0</v>
      </c>
      <c r="N434" s="74" t="n">
        <f aca="false">N(N429=0)</f>
        <v>0</v>
      </c>
      <c r="O434" s="74" t="n">
        <f aca="false">N(O429=0)</f>
        <v>1</v>
      </c>
      <c r="P434" s="74" t="n">
        <f aca="false">N(P429=0)</f>
        <v>0</v>
      </c>
      <c r="Q434" s="74" t="n">
        <f aca="false">N(Q429=0)</f>
        <v>0</v>
      </c>
      <c r="R434" s="74" t="n">
        <f aca="false">N(R429=0)</f>
        <v>0</v>
      </c>
      <c r="S434" s="74" t="n">
        <f aca="false">N(S429=0)</f>
        <v>0</v>
      </c>
      <c r="T434" s="74" t="n">
        <f aca="false">N(T429=0)</f>
        <v>0</v>
      </c>
      <c r="U434" s="74" t="n">
        <f aca="false">N(U429=0)</f>
        <v>0</v>
      </c>
      <c r="V434" s="74" t="n">
        <f aca="false">N(V429=0)</f>
        <v>0</v>
      </c>
      <c r="W434" s="74" t="n">
        <f aca="false">N(W429=0)</f>
        <v>0</v>
      </c>
      <c r="X434" s="74" t="n">
        <f aca="false">N(X429=0)</f>
        <v>0</v>
      </c>
      <c r="Y434" s="74" t="n">
        <f aca="false">N(Y429=0)</f>
        <v>0</v>
      </c>
      <c r="Z434" s="74" t="n">
        <f aca="false">N(Z429=0)</f>
        <v>0</v>
      </c>
      <c r="AA434" s="74" t="n">
        <f aca="false">N(AA429=0)</f>
        <v>0</v>
      </c>
      <c r="AB434" s="74" t="n">
        <f aca="false">N(AB429=0)</f>
        <v>0</v>
      </c>
      <c r="AC434" s="74" t="n">
        <f aca="false">N(AC429=0)</f>
        <v>0</v>
      </c>
      <c r="AD434" s="74" t="n">
        <f aca="false">N(AD429=0)</f>
        <v>0</v>
      </c>
      <c r="AE434" s="74" t="n">
        <f aca="false">N(AE429=0)</f>
        <v>0</v>
      </c>
      <c r="AF434" s="74" t="n">
        <f aca="false">N(AF429=0)</f>
        <v>0</v>
      </c>
      <c r="AG434" s="74" t="n">
        <f aca="false">N(AG429=0)</f>
        <v>0</v>
      </c>
      <c r="AH434" s="74" t="n">
        <f aca="false">N(AH429=0)</f>
        <v>0</v>
      </c>
      <c r="AI434" s="74" t="n">
        <f aca="false">N(AI429=0)</f>
        <v>0</v>
      </c>
      <c r="AJ434" s="74" t="n">
        <f aca="false">N(AJ429=0)</f>
        <v>0</v>
      </c>
      <c r="AK434" s="74" t="n">
        <f aca="false">N(AK429=0)</f>
        <v>0</v>
      </c>
      <c r="AL434" s="74" t="n">
        <f aca="false">N(AL429=0)</f>
        <v>0</v>
      </c>
      <c r="AM434" s="74" t="n">
        <f aca="false">N(AM429=0)</f>
        <v>0</v>
      </c>
      <c r="AN434" s="74" t="n">
        <f aca="false">N(AN429=0)</f>
        <v>0</v>
      </c>
      <c r="AO434" s="74" t="n">
        <f aca="false">N(AO429=0)</f>
        <v>0</v>
      </c>
      <c r="AP434" s="74" t="n">
        <f aca="false">N(AP429=0)</f>
        <v>0</v>
      </c>
      <c r="AQ434" s="74" t="n">
        <f aca="false">N(AQ429=0)</f>
        <v>0</v>
      </c>
      <c r="AR434" s="74" t="n">
        <f aca="false">N(AR429=0)</f>
        <v>0</v>
      </c>
      <c r="AS434" s="74" t="n">
        <f aca="false">N(AS429=0)</f>
        <v>0</v>
      </c>
    </row>
    <row r="435" customFormat="false" ht="14.25" hidden="false" customHeight="false" outlineLevel="0" collapsed="false">
      <c r="C435" s="6" t="s">
        <v>286</v>
      </c>
      <c r="D435" s="2" t="s">
        <v>85</v>
      </c>
      <c r="H435" s="8" t="n">
        <f aca="false">SUM(J435:AS435)</f>
        <v>-14078.5797945205</v>
      </c>
      <c r="J435" s="8" t="n">
        <f aca="false">-($G$98+$G$68+$G$62+$G$63+$G$92)*(J$339=YEAR(Sale_Date))</f>
        <v>-0</v>
      </c>
      <c r="K435" s="8" t="n">
        <f aca="false">-($G$98+$G$68+$G$62+$G$63+$G$92)*(K$339=YEAR(Sale_Date))</f>
        <v>-0</v>
      </c>
      <c r="L435" s="8" t="n">
        <f aca="false">-($G$98+$G$68+$G$62+$G$63+$G$92)*(L$339=YEAR(Sale_Date))</f>
        <v>-0</v>
      </c>
      <c r="M435" s="8" t="n">
        <f aca="false">-($G$98+$G$68+$G$62+$G$63+$G$92)*(M$339=YEAR(Sale_Date))</f>
        <v>-14078.5797945205</v>
      </c>
      <c r="N435" s="8" t="n">
        <f aca="false">-($G$98+$G$68+$G$62+$G$63+$G$92)*(N$339=YEAR(Sale_Date))</f>
        <v>-0</v>
      </c>
      <c r="O435" s="8" t="n">
        <f aca="false">-($G$98+$G$68+$G$62+$G$63+$G$92)*(O$339=YEAR(Sale_Date))</f>
        <v>-0</v>
      </c>
      <c r="P435" s="8" t="n">
        <f aca="false">-($G$98+$G$68+$G$62+$G$63+$G$92)*(P$339=YEAR(Sale_Date))</f>
        <v>-0</v>
      </c>
      <c r="Q435" s="8" t="n">
        <f aca="false">-($G$98+$G$68+$G$62+$G$63+$G$92)*(Q$339=YEAR(Sale_Date))</f>
        <v>-0</v>
      </c>
      <c r="R435" s="8" t="n">
        <f aca="false">-($G$98+$G$68+$G$62+$G$63+$G$92)*(R$339=YEAR(Sale_Date))</f>
        <v>-0</v>
      </c>
      <c r="S435" s="8" t="n">
        <f aca="false">-($G$98+$G$68+$G$62+$G$63+$G$92)*(S$339=YEAR(Sale_Date))</f>
        <v>-0</v>
      </c>
      <c r="T435" s="8" t="n">
        <f aca="false">-($G$98+$G$68+$G$62+$G$63+$G$92)*(T$339=YEAR(Sale_Date))</f>
        <v>-0</v>
      </c>
      <c r="U435" s="8" t="n">
        <f aca="false">-($G$98+$G$68+$G$62+$G$63+$G$92)*(U$339=YEAR(Sale_Date))</f>
        <v>-0</v>
      </c>
      <c r="V435" s="8" t="n">
        <f aca="false">-($G$98+$G$68+$G$62+$G$63+$G$92)*(V$339=YEAR(Sale_Date))</f>
        <v>-0</v>
      </c>
      <c r="W435" s="8" t="n">
        <f aca="false">-($G$98+$G$68+$G$62+$G$63+$G$92)*(W$339=YEAR(Sale_Date))</f>
        <v>-0</v>
      </c>
      <c r="X435" s="8" t="n">
        <f aca="false">-($G$98+$G$68+$G$62+$G$63+$G$92)*(X$339=YEAR(Sale_Date))</f>
        <v>-0</v>
      </c>
      <c r="Y435" s="8" t="n">
        <f aca="false">-($G$98+$G$68+$G$62+$G$63+$G$92)*(Y$339=YEAR(Sale_Date))</f>
        <v>-0</v>
      </c>
      <c r="Z435" s="8" t="n">
        <f aca="false">-($G$98+$G$68+$G$62+$G$63+$G$92)*(Z$339=YEAR(Sale_Date))</f>
        <v>-0</v>
      </c>
      <c r="AA435" s="8" t="n">
        <f aca="false">-($G$98+$G$68+$G$62+$G$63+$G$92)*(AA$339=YEAR(Sale_Date))</f>
        <v>-0</v>
      </c>
      <c r="AB435" s="8" t="n">
        <f aca="false">-($G$98+$G$68+$G$62+$G$63+$G$92)*(AB$339=YEAR(Sale_Date))</f>
        <v>-0</v>
      </c>
      <c r="AC435" s="8" t="n">
        <f aca="false">-($G$98+$G$68+$G$62+$G$63+$G$92)*(AC$339=YEAR(Sale_Date))</f>
        <v>-0</v>
      </c>
      <c r="AD435" s="8" t="n">
        <f aca="false">-($G$98+$G$68+$G$62+$G$63+$G$92)*(AD$339=YEAR(Sale_Date))</f>
        <v>-0</v>
      </c>
      <c r="AE435" s="8" t="n">
        <f aca="false">-($G$98+$G$68+$G$62+$G$63+$G$92)*(AE$339=YEAR(Sale_Date))</f>
        <v>-0</v>
      </c>
      <c r="AF435" s="8" t="n">
        <f aca="false">-($G$98+$G$68+$G$62+$G$63+$G$92)*(AF$339=YEAR(Sale_Date))</f>
        <v>-0</v>
      </c>
      <c r="AG435" s="8" t="n">
        <f aca="false">-($G$98+$G$68+$G$62+$G$63+$G$92)*(AG$339=YEAR(Sale_Date))</f>
        <v>-0</v>
      </c>
      <c r="AH435" s="8" t="n">
        <f aca="false">-($G$98+$G$68+$G$62+$G$63+$G$92)*(AH$339=YEAR(Sale_Date))</f>
        <v>-0</v>
      </c>
      <c r="AI435" s="8" t="n">
        <f aca="false">-($G$98+$G$68+$G$62+$G$63+$G$92)*(AI$339=YEAR(Sale_Date))</f>
        <v>-0</v>
      </c>
      <c r="AJ435" s="8" t="n">
        <f aca="false">-($G$98+$G$68+$G$62+$G$63+$G$92)*(AJ$339=YEAR(Sale_Date))</f>
        <v>-0</v>
      </c>
      <c r="AK435" s="8" t="n">
        <f aca="false">-($G$98+$G$68+$G$62+$G$63+$G$92)*(AK$339=YEAR(Sale_Date))</f>
        <v>-0</v>
      </c>
      <c r="AL435" s="8" t="n">
        <f aca="false">-($G$98+$G$68+$G$62+$G$63+$G$92)*(AL$339=YEAR(Sale_Date))</f>
        <v>-0</v>
      </c>
      <c r="AM435" s="8" t="n">
        <f aca="false">-($G$98+$G$68+$G$62+$G$63+$G$92)*(AM$339=YEAR(Sale_Date))</f>
        <v>-0</v>
      </c>
      <c r="AN435" s="8" t="n">
        <f aca="false">-($G$98+$G$68+$G$62+$G$63+$G$92)*(AN$339=YEAR(Sale_Date))</f>
        <v>-0</v>
      </c>
      <c r="AO435" s="8" t="n">
        <f aca="false">-($G$98+$G$68+$G$62+$G$63+$G$92)*(AO$339=YEAR(Sale_Date))</f>
        <v>-0</v>
      </c>
      <c r="AP435" s="8" t="n">
        <f aca="false">-($G$98+$G$68+$G$62+$G$63+$G$92)*(AP$339=YEAR(Sale_Date))</f>
        <v>-0</v>
      </c>
      <c r="AQ435" s="8" t="n">
        <f aca="false">-($G$98+$G$68+$G$62+$G$63+$G$92)*(AQ$339=YEAR(Sale_Date))</f>
        <v>-0</v>
      </c>
      <c r="AR435" s="8" t="n">
        <f aca="false">-($G$98+$G$68+$G$62+$G$63+$G$92)*(AR$339=YEAR(Sale_Date))</f>
        <v>-0</v>
      </c>
      <c r="AS435" s="8" t="n">
        <f aca="false">-($G$98+$G$68+$G$62+$G$63+$G$92)*(AS$339=YEAR(Sale_Date))</f>
        <v>-0</v>
      </c>
    </row>
    <row r="436" customFormat="false" ht="14.25" hidden="false" customHeight="false" outlineLevel="0" collapsed="false">
      <c r="C436" s="6" t="s">
        <v>287</v>
      </c>
      <c r="D436" s="2" t="s">
        <v>85</v>
      </c>
      <c r="H436" s="8" t="n">
        <f aca="false">SUM(J436:AS436)</f>
        <v>2494.52054794521</v>
      </c>
      <c r="J436" s="8" t="n">
        <f aca="false">($G$62+$G$63)*(J$339=YEAR(Inputs!$G$27))</f>
        <v>0</v>
      </c>
      <c r="K436" s="8" t="n">
        <f aca="false">($G$62+$G$63)*(K$339=YEAR(Inputs!$G$27))</f>
        <v>0</v>
      </c>
      <c r="L436" s="8" t="n">
        <f aca="false">($G$62+$G$63)*(L$339=YEAR(Inputs!$G$27))</f>
        <v>0</v>
      </c>
      <c r="M436" s="8" t="n">
        <f aca="false">($G$62+$G$63)*(M$339=YEAR(Inputs!$G$27))</f>
        <v>0</v>
      </c>
      <c r="N436" s="8" t="n">
        <f aca="false">($G$62+$G$63)*(N$339=YEAR(Inputs!$G$27))</f>
        <v>0</v>
      </c>
      <c r="O436" s="8" t="n">
        <f aca="false">($G$62+$G$63)*(O$339=YEAR(Inputs!$G$27))</f>
        <v>0</v>
      </c>
      <c r="P436" s="8" t="n">
        <f aca="false">($G$62+$G$63)*(P$339=YEAR(Inputs!$G$27))</f>
        <v>0</v>
      </c>
      <c r="Q436" s="8" t="n">
        <f aca="false">($G$62+$G$63)*(Q$339=YEAR(Inputs!$G$27))</f>
        <v>2494.52054794521</v>
      </c>
      <c r="R436" s="8" t="n">
        <f aca="false">($G$62+$G$63)*(R$339=YEAR(Inputs!$G$27))</f>
        <v>0</v>
      </c>
      <c r="S436" s="8" t="n">
        <f aca="false">($G$62+$G$63)*(S$339=YEAR(Inputs!$G$27))</f>
        <v>0</v>
      </c>
      <c r="T436" s="8" t="n">
        <f aca="false">($G$62+$G$63)*(T$339=YEAR(Inputs!$G$27))</f>
        <v>0</v>
      </c>
      <c r="U436" s="8" t="n">
        <f aca="false">($G$62+$G$63)*(U$339=YEAR(Inputs!$G$27))</f>
        <v>0</v>
      </c>
      <c r="V436" s="8" t="n">
        <f aca="false">($G$62+$G$63)*(V$339=YEAR(Inputs!$G$27))</f>
        <v>0</v>
      </c>
      <c r="W436" s="8" t="n">
        <f aca="false">($G$62+$G$63)*(W$339=YEAR(Inputs!$G$27))</f>
        <v>0</v>
      </c>
      <c r="X436" s="8" t="n">
        <f aca="false">($G$62+$G$63)*(X$339=YEAR(Inputs!$G$27))</f>
        <v>0</v>
      </c>
      <c r="Y436" s="8" t="n">
        <f aca="false">($G$62+$G$63)*(Y$339=YEAR(Inputs!$G$27))</f>
        <v>0</v>
      </c>
      <c r="Z436" s="8" t="n">
        <f aca="false">($G$62+$G$63)*(Z$339=YEAR(Inputs!$G$27))</f>
        <v>0</v>
      </c>
      <c r="AA436" s="8" t="n">
        <f aca="false">($G$62+$G$63)*(AA$339=YEAR(Inputs!$G$27))</f>
        <v>0</v>
      </c>
      <c r="AB436" s="8" t="n">
        <f aca="false">($G$62+$G$63)*(AB$339=YEAR(Inputs!$G$27))</f>
        <v>0</v>
      </c>
      <c r="AC436" s="8" t="n">
        <f aca="false">($G$62+$G$63)*(AC$339=YEAR(Inputs!$G$27))</f>
        <v>0</v>
      </c>
      <c r="AD436" s="8" t="n">
        <f aca="false">($G$62+$G$63)*(AD$339=YEAR(Inputs!$G$27))</f>
        <v>0</v>
      </c>
      <c r="AE436" s="8" t="n">
        <f aca="false">($G$62+$G$63)*(AE$339=YEAR(Inputs!$G$27))</f>
        <v>0</v>
      </c>
      <c r="AF436" s="8" t="n">
        <f aca="false">($G$62+$G$63)*(AF$339=YEAR(Inputs!$G$27))</f>
        <v>0</v>
      </c>
      <c r="AG436" s="8" t="n">
        <f aca="false">($G$62+$G$63)*(AG$339=YEAR(Inputs!$G$27))</f>
        <v>0</v>
      </c>
      <c r="AH436" s="8" t="n">
        <f aca="false">($G$62+$G$63)*(AH$339=YEAR(Inputs!$G$27))</f>
        <v>0</v>
      </c>
      <c r="AI436" s="8" t="n">
        <f aca="false">($G$62+$G$63)*(AI$339=YEAR(Inputs!$G$27))</f>
        <v>0</v>
      </c>
      <c r="AJ436" s="8" t="n">
        <f aca="false">($G$62+$G$63)*(AJ$339=YEAR(Inputs!$G$27))</f>
        <v>0</v>
      </c>
      <c r="AK436" s="8" t="n">
        <f aca="false">($G$62+$G$63)*(AK$339=YEAR(Inputs!$G$27))</f>
        <v>0</v>
      </c>
      <c r="AL436" s="8" t="n">
        <f aca="false">($G$62+$G$63)*(AL$339=YEAR(Inputs!$G$27))</f>
        <v>0</v>
      </c>
      <c r="AM436" s="8" t="n">
        <f aca="false">($G$62+$G$63)*(AM$339=YEAR(Inputs!$G$27))</f>
        <v>0</v>
      </c>
      <c r="AN436" s="8" t="n">
        <f aca="false">($G$62+$G$63)*(AN$339=YEAR(Inputs!$G$27))</f>
        <v>0</v>
      </c>
      <c r="AO436" s="8" t="n">
        <f aca="false">($G$62+$G$63)*(AO$339=YEAR(Inputs!$G$27))</f>
        <v>0</v>
      </c>
      <c r="AP436" s="8" t="n">
        <f aca="false">($G$62+$G$63)*(AP$339=YEAR(Inputs!$G$27))</f>
        <v>0</v>
      </c>
      <c r="AQ436" s="8" t="n">
        <f aca="false">($G$62+$G$63)*(AQ$339=YEAR(Inputs!$G$27))</f>
        <v>0</v>
      </c>
      <c r="AR436" s="8" t="n">
        <f aca="false">($G$62+$G$63)*(AR$339=YEAR(Inputs!$G$27))</f>
        <v>0</v>
      </c>
      <c r="AS436" s="8" t="n">
        <f aca="false">($G$62+$G$63)*(AS$339=YEAR(Inputs!$G$27))</f>
        <v>0</v>
      </c>
    </row>
    <row r="437" customFormat="false" ht="14.25" hidden="false" customHeight="false" outlineLevel="0" collapsed="false">
      <c r="C437" s="6" t="s">
        <v>288</v>
      </c>
      <c r="D437" s="2" t="s">
        <v>85</v>
      </c>
      <c r="H437" s="8" t="n">
        <f aca="false">SUM(J437:AS437)</f>
        <v>-62716</v>
      </c>
      <c r="J437" s="8" t="n">
        <f aca="false">-$G$91*J431</f>
        <v>-0</v>
      </c>
      <c r="K437" s="8" t="n">
        <f aca="false">-$G$91*K431</f>
        <v>-0</v>
      </c>
      <c r="L437" s="8" t="n">
        <f aca="false">-$G$91*L431</f>
        <v>-0</v>
      </c>
      <c r="M437" s="8" t="n">
        <f aca="false">-$G$91*M431</f>
        <v>-15679</v>
      </c>
      <c r="N437" s="8" t="n">
        <f aca="false">-$G$91*N431</f>
        <v>-31358</v>
      </c>
      <c r="O437" s="8" t="n">
        <f aca="false">-$G$91*O431</f>
        <v>-15679</v>
      </c>
      <c r="P437" s="8" t="n">
        <f aca="false">-$G$91*P431</f>
        <v>-0</v>
      </c>
      <c r="Q437" s="8" t="n">
        <f aca="false">-$G$91*Q431</f>
        <v>-0</v>
      </c>
      <c r="R437" s="8" t="n">
        <f aca="false">-$G$91*R431</f>
        <v>-0</v>
      </c>
      <c r="S437" s="8" t="n">
        <f aca="false">-$G$91*S431</f>
        <v>-0</v>
      </c>
      <c r="T437" s="8" t="n">
        <f aca="false">-$G$91*T431</f>
        <v>-0</v>
      </c>
      <c r="U437" s="8" t="n">
        <f aca="false">-$G$91*U431</f>
        <v>-0</v>
      </c>
      <c r="V437" s="8" t="n">
        <f aca="false">-$G$91*V431</f>
        <v>-0</v>
      </c>
      <c r="W437" s="8" t="n">
        <f aca="false">-$G$91*W431</f>
        <v>-0</v>
      </c>
      <c r="X437" s="8" t="n">
        <f aca="false">-$G$91*X431</f>
        <v>-0</v>
      </c>
      <c r="Y437" s="8" t="n">
        <f aca="false">-$G$91*Y431</f>
        <v>-0</v>
      </c>
      <c r="Z437" s="8" t="n">
        <f aca="false">-$G$91*Z431</f>
        <v>-0</v>
      </c>
      <c r="AA437" s="8" t="n">
        <f aca="false">-$G$91*AA431</f>
        <v>-0</v>
      </c>
      <c r="AB437" s="8" t="n">
        <f aca="false">-$G$91*AB431</f>
        <v>-0</v>
      </c>
      <c r="AC437" s="8" t="n">
        <f aca="false">-$G$91*AC431</f>
        <v>-0</v>
      </c>
      <c r="AD437" s="8" t="n">
        <f aca="false">-$G$91*AD431</f>
        <v>-0</v>
      </c>
      <c r="AE437" s="8" t="n">
        <f aca="false">-$G$91*AE431</f>
        <v>-0</v>
      </c>
      <c r="AF437" s="8" t="n">
        <f aca="false">-$G$91*AF431</f>
        <v>-0</v>
      </c>
      <c r="AG437" s="8" t="n">
        <f aca="false">-$G$91*AG431</f>
        <v>-0</v>
      </c>
      <c r="AH437" s="8" t="n">
        <f aca="false">-$G$91*AH431</f>
        <v>-0</v>
      </c>
      <c r="AI437" s="8" t="n">
        <f aca="false">-$G$91*AI431</f>
        <v>-0</v>
      </c>
      <c r="AJ437" s="8" t="n">
        <f aca="false">-$G$91*AJ431</f>
        <v>-0</v>
      </c>
      <c r="AK437" s="8" t="n">
        <f aca="false">-$G$91*AK431</f>
        <v>-0</v>
      </c>
      <c r="AL437" s="8" t="n">
        <f aca="false">-$G$91*AL431</f>
        <v>-0</v>
      </c>
      <c r="AM437" s="8" t="n">
        <f aca="false">-$G$91*AM431</f>
        <v>-0</v>
      </c>
      <c r="AN437" s="8" t="n">
        <f aca="false">-$G$91*AN431</f>
        <v>-0</v>
      </c>
      <c r="AO437" s="8" t="n">
        <f aca="false">-$G$91*AO431</f>
        <v>-0</v>
      </c>
      <c r="AP437" s="8" t="n">
        <f aca="false">-$G$91*AP431</f>
        <v>-0</v>
      </c>
      <c r="AQ437" s="8" t="n">
        <f aca="false">-$G$91*AQ431</f>
        <v>-0</v>
      </c>
      <c r="AR437" s="8" t="n">
        <f aca="false">-$G$91*AR431</f>
        <v>-0</v>
      </c>
      <c r="AS437" s="8" t="n">
        <f aca="false">-$G$91*AS431</f>
        <v>-0</v>
      </c>
    </row>
    <row r="438" customFormat="false" ht="14.25" hidden="false" customHeight="false" outlineLevel="0" collapsed="false">
      <c r="C438" s="6" t="s">
        <v>289</v>
      </c>
      <c r="D438" s="2" t="s">
        <v>85</v>
      </c>
      <c r="H438" s="8" t="n">
        <f aca="false">SUM(J438:AS438)</f>
        <v>-2500</v>
      </c>
      <c r="J438" s="8" t="n">
        <f aca="false">-$G$96*J434</f>
        <v>-0</v>
      </c>
      <c r="K438" s="8" t="n">
        <f aca="false">-$G$96*K434</f>
        <v>-0</v>
      </c>
      <c r="L438" s="8" t="n">
        <f aca="false">-$G$96*L434</f>
        <v>-0</v>
      </c>
      <c r="M438" s="8" t="n">
        <f aca="false">-$G$96*M434</f>
        <v>-0</v>
      </c>
      <c r="N438" s="8" t="n">
        <f aca="false">-$G$96*N434</f>
        <v>-0</v>
      </c>
      <c r="O438" s="8" t="n">
        <f aca="false">-$G$96*O434</f>
        <v>-2500</v>
      </c>
      <c r="P438" s="8" t="n">
        <f aca="false">-$G$96*P434</f>
        <v>-0</v>
      </c>
      <c r="Q438" s="8" t="n">
        <f aca="false">-$G$96*Q434</f>
        <v>-0</v>
      </c>
      <c r="R438" s="8" t="n">
        <f aca="false">-$G$96*R434</f>
        <v>-0</v>
      </c>
      <c r="S438" s="8" t="n">
        <f aca="false">-$G$96*S434</f>
        <v>-0</v>
      </c>
      <c r="T438" s="8" t="n">
        <f aca="false">-$G$96*T434</f>
        <v>-0</v>
      </c>
      <c r="U438" s="8" t="n">
        <f aca="false">-$G$96*U434</f>
        <v>-0</v>
      </c>
      <c r="V438" s="8" t="n">
        <f aca="false">-$G$96*V434</f>
        <v>-0</v>
      </c>
      <c r="W438" s="8" t="n">
        <f aca="false">-$G$96*W434</f>
        <v>-0</v>
      </c>
      <c r="X438" s="8" t="n">
        <f aca="false">-$G$96*X434</f>
        <v>-0</v>
      </c>
      <c r="Y438" s="8" t="n">
        <f aca="false">-$G$96*Y434</f>
        <v>-0</v>
      </c>
      <c r="Z438" s="8" t="n">
        <f aca="false">-$G$96*Z434</f>
        <v>-0</v>
      </c>
      <c r="AA438" s="8" t="n">
        <f aca="false">-$G$96*AA434</f>
        <v>-0</v>
      </c>
      <c r="AB438" s="8" t="n">
        <f aca="false">-$G$96*AB434</f>
        <v>-0</v>
      </c>
      <c r="AC438" s="8" t="n">
        <f aca="false">-$G$96*AC434</f>
        <v>-0</v>
      </c>
      <c r="AD438" s="8" t="n">
        <f aca="false">-$G$96*AD434</f>
        <v>-0</v>
      </c>
      <c r="AE438" s="8" t="n">
        <f aca="false">-$G$96*AE434</f>
        <v>-0</v>
      </c>
      <c r="AF438" s="8" t="n">
        <f aca="false">-$G$96*AF434</f>
        <v>-0</v>
      </c>
      <c r="AG438" s="8" t="n">
        <f aca="false">-$G$96*AG434</f>
        <v>-0</v>
      </c>
      <c r="AH438" s="8" t="n">
        <f aca="false">-$G$96*AH434</f>
        <v>-0</v>
      </c>
      <c r="AI438" s="8" t="n">
        <f aca="false">-$G$96*AI434</f>
        <v>-0</v>
      </c>
      <c r="AJ438" s="8" t="n">
        <f aca="false">-$G$96*AJ434</f>
        <v>-0</v>
      </c>
      <c r="AK438" s="8" t="n">
        <f aca="false">-$G$96*AK434</f>
        <v>-0</v>
      </c>
      <c r="AL438" s="8" t="n">
        <f aca="false">-$G$96*AL434</f>
        <v>-0</v>
      </c>
      <c r="AM438" s="8" t="n">
        <f aca="false">-$G$96*AM434</f>
        <v>-0</v>
      </c>
      <c r="AN438" s="8" t="n">
        <f aca="false">-$G$96*AN434</f>
        <v>-0</v>
      </c>
      <c r="AO438" s="8" t="n">
        <f aca="false">-$G$96*AO434</f>
        <v>-0</v>
      </c>
      <c r="AP438" s="8" t="n">
        <f aca="false">-$G$96*AP434</f>
        <v>-0</v>
      </c>
      <c r="AQ438" s="8" t="n">
        <f aca="false">-$G$96*AQ434</f>
        <v>-0</v>
      </c>
      <c r="AR438" s="8" t="n">
        <f aca="false">-$G$96*AR434</f>
        <v>-0</v>
      </c>
      <c r="AS438" s="8" t="n">
        <f aca="false">-$G$96*AS434</f>
        <v>-0</v>
      </c>
    </row>
    <row r="439" customFormat="false" ht="14.25" hidden="false" customHeight="false" outlineLevel="0" collapsed="false">
      <c r="C439" s="1" t="s">
        <v>290</v>
      </c>
      <c r="D439" s="2" t="s">
        <v>85</v>
      </c>
      <c r="H439" s="15" t="n">
        <f aca="false">SUM(J439:AS439)</f>
        <v>-76800.0592465753</v>
      </c>
      <c r="J439" s="15" t="n">
        <f aca="false">SUM(J435:J438)</f>
        <v>0</v>
      </c>
      <c r="K439" s="15" t="n">
        <f aca="false">SUM(K435:K438)</f>
        <v>0</v>
      </c>
      <c r="L439" s="15" t="n">
        <f aca="false">SUM(L435:L438)</f>
        <v>0</v>
      </c>
      <c r="M439" s="15" t="n">
        <f aca="false">SUM(M435:M438)</f>
        <v>-29757.5797945206</v>
      </c>
      <c r="N439" s="15" t="n">
        <f aca="false">SUM(N435:N438)</f>
        <v>-31358</v>
      </c>
      <c r="O439" s="15" t="n">
        <f aca="false">SUM(O435:O438)</f>
        <v>-18179</v>
      </c>
      <c r="P439" s="15" t="n">
        <f aca="false">SUM(P435:P438)</f>
        <v>0</v>
      </c>
      <c r="Q439" s="15" t="n">
        <f aca="false">SUM(Q435:Q438)</f>
        <v>2494.52054794521</v>
      </c>
      <c r="R439" s="15" t="n">
        <f aca="false">SUM(R435:R438)</f>
        <v>0</v>
      </c>
      <c r="S439" s="15" t="n">
        <f aca="false">SUM(S435:S438)</f>
        <v>0</v>
      </c>
      <c r="T439" s="15" t="n">
        <f aca="false">SUM(T435:T438)</f>
        <v>0</v>
      </c>
      <c r="U439" s="15" t="n">
        <f aca="false">SUM(U435:U438)</f>
        <v>0</v>
      </c>
      <c r="V439" s="15" t="n">
        <f aca="false">SUM(V435:V438)</f>
        <v>0</v>
      </c>
      <c r="W439" s="15" t="n">
        <f aca="false">SUM(W435:W438)</f>
        <v>0</v>
      </c>
      <c r="X439" s="15" t="n">
        <f aca="false">SUM(X435:X438)</f>
        <v>0</v>
      </c>
      <c r="Y439" s="15" t="n">
        <f aca="false">SUM(Y435:Y438)</f>
        <v>0</v>
      </c>
      <c r="Z439" s="15" t="n">
        <f aca="false">SUM(Z435:Z438)</f>
        <v>0</v>
      </c>
      <c r="AA439" s="15" t="n">
        <f aca="false">SUM(AA435:AA438)</f>
        <v>0</v>
      </c>
      <c r="AB439" s="15" t="n">
        <f aca="false">SUM(AB435:AB438)</f>
        <v>0</v>
      </c>
      <c r="AC439" s="15" t="n">
        <f aca="false">SUM(AC435:AC438)</f>
        <v>0</v>
      </c>
      <c r="AD439" s="15" t="n">
        <f aca="false">SUM(AD435:AD438)</f>
        <v>0</v>
      </c>
      <c r="AE439" s="15" t="n">
        <f aca="false">SUM(AE435:AE438)</f>
        <v>0</v>
      </c>
      <c r="AF439" s="15" t="n">
        <f aca="false">SUM(AF435:AF438)</f>
        <v>0</v>
      </c>
      <c r="AG439" s="15" t="n">
        <f aca="false">SUM(AG435:AG438)</f>
        <v>0</v>
      </c>
      <c r="AH439" s="15" t="n">
        <f aca="false">SUM(AH435:AH438)</f>
        <v>0</v>
      </c>
      <c r="AI439" s="15" t="n">
        <f aca="false">SUM(AI435:AI438)</f>
        <v>0</v>
      </c>
      <c r="AJ439" s="15" t="n">
        <f aca="false">SUM(AJ435:AJ438)</f>
        <v>0</v>
      </c>
      <c r="AK439" s="15" t="n">
        <f aca="false">SUM(AK435:AK438)</f>
        <v>0</v>
      </c>
      <c r="AL439" s="15" t="n">
        <f aca="false">SUM(AL435:AL438)</f>
        <v>0</v>
      </c>
      <c r="AM439" s="15" t="n">
        <f aca="false">SUM(AM435:AM438)</f>
        <v>0</v>
      </c>
      <c r="AN439" s="15" t="n">
        <f aca="false">SUM(AN435:AN438)</f>
        <v>0</v>
      </c>
      <c r="AO439" s="15" t="n">
        <f aca="false">SUM(AO435:AO438)</f>
        <v>0</v>
      </c>
      <c r="AP439" s="15" t="n">
        <f aca="false">SUM(AP435:AP438)</f>
        <v>0</v>
      </c>
      <c r="AQ439" s="15" t="n">
        <f aca="false">SUM(AQ435:AQ438)</f>
        <v>0</v>
      </c>
      <c r="AR439" s="15" t="n">
        <f aca="false">SUM(AR435:AR438)</f>
        <v>0</v>
      </c>
      <c r="AS439" s="15" t="n">
        <f aca="false">SUM(AS435:AS438)</f>
        <v>0</v>
      </c>
    </row>
    <row r="440" customFormat="false" ht="14.25" hidden="false" customHeight="false" outlineLevel="0" collapsed="false">
      <c r="C440" s="6" t="s">
        <v>291</v>
      </c>
      <c r="D440" s="2" t="s">
        <v>3</v>
      </c>
      <c r="J440" s="75" t="n">
        <f aca="false">(1-Degradation)^MAX(J429-1,0)</f>
        <v>1</v>
      </c>
      <c r="K440" s="75" t="n">
        <f aca="false">(1-Degradation)^MAX(K429-1,0)</f>
        <v>1</v>
      </c>
      <c r="L440" s="75" t="n">
        <f aca="false">(1-Degradation)^MAX(L429-1,0)</f>
        <v>1</v>
      </c>
      <c r="M440" s="75" t="n">
        <f aca="false">(1-Degradation)^MAX(M429-1,0)</f>
        <v>1</v>
      </c>
      <c r="N440" s="75" t="n">
        <f aca="false">(1-Degradation)^MAX(N429-1,0)</f>
        <v>1</v>
      </c>
      <c r="O440" s="75" t="n">
        <f aca="false">(1-Degradation)^MAX(O429-1,0)</f>
        <v>1</v>
      </c>
      <c r="P440" s="75" t="n">
        <f aca="false">(1-Degradation)^MAX(P429-1,0)</f>
        <v>1</v>
      </c>
      <c r="Q440" s="75" t="n">
        <f aca="false">(1-Degradation)^MAX(Q429-1,0)</f>
        <v>0.997</v>
      </c>
      <c r="R440" s="75" t="n">
        <f aca="false">(1-Degradation)^MAX(R429-1,0)</f>
        <v>0.994009</v>
      </c>
      <c r="S440" s="75" t="n">
        <f aca="false">(1-Degradation)^MAX(S429-1,0)</f>
        <v>0.991026973</v>
      </c>
      <c r="T440" s="75" t="n">
        <f aca="false">(1-Degradation)^MAX(T429-1,0)</f>
        <v>0.988053892081</v>
      </c>
      <c r="U440" s="75" t="n">
        <f aca="false">(1-Degradation)^MAX(U429-1,0)</f>
        <v>0.985089730404757</v>
      </c>
      <c r="V440" s="75" t="n">
        <f aca="false">(1-Degradation)^MAX(V429-1,0)</f>
        <v>0.982134461213543</v>
      </c>
      <c r="W440" s="75" t="n">
        <f aca="false">(1-Degradation)^MAX(W429-1,0)</f>
        <v>0.979188057829902</v>
      </c>
      <c r="X440" s="75" t="n">
        <f aca="false">(1-Degradation)^MAX(X429-1,0)</f>
        <v>0.976250493656412</v>
      </c>
      <c r="Y440" s="75" t="n">
        <f aca="false">(1-Degradation)^MAX(Y429-1,0)</f>
        <v>0.973321742175443</v>
      </c>
      <c r="Z440" s="75" t="n">
        <f aca="false">(1-Degradation)^MAX(Z429-1,0)</f>
        <v>0.970401776948917</v>
      </c>
      <c r="AA440" s="75" t="n">
        <f aca="false">(1-Degradation)^MAX(AA429-1,0)</f>
        <v>0.96749057161807</v>
      </c>
      <c r="AB440" s="75" t="n">
        <f aca="false">(1-Degradation)^MAX(AB429-1,0)</f>
        <v>0.964588099903216</v>
      </c>
      <c r="AC440" s="75" t="n">
        <f aca="false">(1-Degradation)^MAX(AC429-1,0)</f>
        <v>0.961694335603506</v>
      </c>
      <c r="AD440" s="75" t="n">
        <f aca="false">(1-Degradation)^MAX(AD429-1,0)</f>
        <v>0.958809252596696</v>
      </c>
      <c r="AE440" s="75" t="n">
        <f aca="false">(1-Degradation)^MAX(AE429-1,0)</f>
        <v>0.955932824838906</v>
      </c>
      <c r="AF440" s="75" t="n">
        <f aca="false">(1-Degradation)^MAX(AF429-1,0)</f>
        <v>0.953065026364389</v>
      </c>
      <c r="AG440" s="75" t="n">
        <f aca="false">(1-Degradation)^MAX(AG429-1,0)</f>
        <v>0.950205831285296</v>
      </c>
      <c r="AH440" s="75" t="n">
        <f aca="false">(1-Degradation)^MAX(AH429-1,0)</f>
        <v>0.94735521379144</v>
      </c>
      <c r="AI440" s="75" t="n">
        <f aca="false">(1-Degradation)^MAX(AI429-1,0)</f>
        <v>0.944513148150066</v>
      </c>
      <c r="AJ440" s="75" t="n">
        <f aca="false">(1-Degradation)^MAX(AJ429-1,0)</f>
        <v>0.941679608705615</v>
      </c>
      <c r="AK440" s="75" t="n">
        <f aca="false">(1-Degradation)^MAX(AK429-1,0)</f>
        <v>0.938854569879498</v>
      </c>
      <c r="AL440" s="75" t="n">
        <f aca="false">(1-Degradation)^MAX(AL429-1,0)</f>
        <v>0.93603800616986</v>
      </c>
      <c r="AM440" s="75" t="n">
        <f aca="false">(1-Degradation)^MAX(AM429-1,0)</f>
        <v>0.93322989215135</v>
      </c>
      <c r="AN440" s="75" t="n">
        <f aca="false">(1-Degradation)^MAX(AN429-1,0)</f>
        <v>0.930430202474896</v>
      </c>
      <c r="AO440" s="75" t="n">
        <f aca="false">(1-Degradation)^MAX(AO429-1,0)</f>
        <v>0.927638911867472</v>
      </c>
      <c r="AP440" s="75" t="n">
        <f aca="false">(1-Degradation)^MAX(AP429-1,0)</f>
        <v>0.924855995131869</v>
      </c>
      <c r="AQ440" s="75" t="n">
        <f aca="false">(1-Degradation)^MAX(AQ429-1,0)</f>
        <v>0.922081427146474</v>
      </c>
      <c r="AR440" s="75" t="n">
        <f aca="false">(1-Degradation)^MAX(AR429-1,0)</f>
        <v>0.919315182865034</v>
      </c>
      <c r="AS440" s="75" t="n">
        <f aca="false">(1-Degradation)^MAX(AS429-1,0)</f>
        <v>0.916557237316439</v>
      </c>
    </row>
    <row r="441" customFormat="false" ht="14.25" hidden="false" customHeight="false" outlineLevel="0" collapsed="false">
      <c r="C441" s="6" t="s">
        <v>292</v>
      </c>
      <c r="D441" s="2" t="s">
        <v>293</v>
      </c>
      <c r="H441" s="17" t="n">
        <f aca="false">SUM(J441:AS441)</f>
        <v>4263.39882706474</v>
      </c>
      <c r="J441" s="17" t="n">
        <f aca="false">$G$46*$G$22*(1-Curtailment)*(1-Clipping)*J433*J440/Thousand</f>
        <v>0</v>
      </c>
      <c r="K441" s="17" t="n">
        <f aca="false">$G$46*$G$22*(1-Curtailment)*(1-Clipping)*K433*K440/Thousand</f>
        <v>0</v>
      </c>
      <c r="L441" s="17" t="n">
        <f aca="false">$G$46*$G$22*(1-Curtailment)*(1-Clipping)*L433*L440/Thousand</f>
        <v>0</v>
      </c>
      <c r="M441" s="17" t="n">
        <f aca="false">$G$46*$G$22*(1-Curtailment)*(1-Clipping)*M433*M440/Thousand</f>
        <v>0</v>
      </c>
      <c r="N441" s="17" t="n">
        <f aca="false">$G$46*$G$22*(1-Curtailment)*(1-Clipping)*N433*N440/Thousand</f>
        <v>0</v>
      </c>
      <c r="O441" s="17" t="n">
        <f aca="false">$G$46*$G$22*(1-Curtailment)*(1-Clipping)*O433*O440/Thousand</f>
        <v>74.088</v>
      </c>
      <c r="P441" s="17" t="n">
        <f aca="false">$G$46*$G$22*(1-Curtailment)*(1-Clipping)*P433*P440/Thousand</f>
        <v>148.176</v>
      </c>
      <c r="Q441" s="17" t="n">
        <f aca="false">$G$46*$G$22*(1-Curtailment)*(1-Clipping)*Q433*Q440/Thousand</f>
        <v>147.731472</v>
      </c>
      <c r="R441" s="17" t="n">
        <f aca="false">$G$46*$G$22*(1-Curtailment)*(1-Clipping)*R433*R440/Thousand</f>
        <v>147.288277584</v>
      </c>
      <c r="S441" s="17" t="n">
        <f aca="false">$G$46*$G$22*(1-Curtailment)*(1-Clipping)*S433*S440/Thousand</f>
        <v>146.846412751248</v>
      </c>
      <c r="T441" s="17" t="n">
        <f aca="false">$G$46*$G$22*(1-Curtailment)*(1-Clipping)*T433*T440/Thousand</f>
        <v>146.405873512994</v>
      </c>
      <c r="U441" s="17" t="n">
        <f aca="false">$G$46*$G$22*(1-Curtailment)*(1-Clipping)*U433*U440/Thousand</f>
        <v>145.966655892455</v>
      </c>
      <c r="V441" s="17" t="n">
        <f aca="false">$G$46*$G$22*(1-Curtailment)*(1-Clipping)*V433*V440/Thousand</f>
        <v>145.528755924778</v>
      </c>
      <c r="W441" s="17" t="n">
        <f aca="false">$G$46*$G$22*(1-Curtailment)*(1-Clipping)*W433*W440/Thousand</f>
        <v>145.092169657004</v>
      </c>
      <c r="X441" s="17" t="n">
        <f aca="false">$G$46*$G$22*(1-Curtailment)*(1-Clipping)*X433*X440/Thousand</f>
        <v>144.656893148033</v>
      </c>
      <c r="Y441" s="17" t="n">
        <f aca="false">$G$46*$G$22*(1-Curtailment)*(1-Clipping)*Y433*Y440/Thousand</f>
        <v>144.222922468588</v>
      </c>
      <c r="Z441" s="17" t="n">
        <f aca="false">$G$46*$G$22*(1-Curtailment)*(1-Clipping)*Z433*Z440/Thousand</f>
        <v>143.790253701183</v>
      </c>
      <c r="AA441" s="17" t="n">
        <f aca="false">$G$46*$G$22*(1-Curtailment)*(1-Clipping)*AA433*AA440/Thousand</f>
        <v>143.358882940079</v>
      </c>
      <c r="AB441" s="17" t="n">
        <f aca="false">$G$46*$G$22*(1-Curtailment)*(1-Clipping)*AB433*AB440/Thousand</f>
        <v>142.928806291259</v>
      </c>
      <c r="AC441" s="17" t="n">
        <f aca="false">$G$46*$G$22*(1-Curtailment)*(1-Clipping)*AC433*AC440/Thousand</f>
        <v>142.500019872385</v>
      </c>
      <c r="AD441" s="17" t="n">
        <f aca="false">$G$46*$G$22*(1-Curtailment)*(1-Clipping)*AD433*AD440/Thousand</f>
        <v>142.072519812768</v>
      </c>
      <c r="AE441" s="17" t="n">
        <f aca="false">$G$46*$G$22*(1-Curtailment)*(1-Clipping)*AE433*AE440/Thousand</f>
        <v>141.64630225333</v>
      </c>
      <c r="AF441" s="17" t="n">
        <f aca="false">$G$46*$G$22*(1-Curtailment)*(1-Clipping)*AF433*AF440/Thousand</f>
        <v>141.22136334657</v>
      </c>
      <c r="AG441" s="17" t="n">
        <f aca="false">$G$46*$G$22*(1-Curtailment)*(1-Clipping)*AG433*AG440/Thousand</f>
        <v>140.79769925653</v>
      </c>
      <c r="AH441" s="17" t="n">
        <f aca="false">$G$46*$G$22*(1-Curtailment)*(1-Clipping)*AH433*AH440/Thousand</f>
        <v>140.37530615876</v>
      </c>
      <c r="AI441" s="17" t="n">
        <f aca="false">$G$46*$G$22*(1-Curtailment)*(1-Clipping)*AI433*AI440/Thousand</f>
        <v>139.954180240284</v>
      </c>
      <c r="AJ441" s="17" t="n">
        <f aca="false">$G$46*$G$22*(1-Curtailment)*(1-Clipping)*AJ433*AJ440/Thousand</f>
        <v>139.534317699563</v>
      </c>
      <c r="AK441" s="17" t="n">
        <f aca="false">$G$46*$G$22*(1-Curtailment)*(1-Clipping)*AK433*AK440/Thousand</f>
        <v>139.115714746465</v>
      </c>
      <c r="AL441" s="17" t="n">
        <f aca="false">$G$46*$G$22*(1-Curtailment)*(1-Clipping)*AL433*AL440/Thousand</f>
        <v>138.698367602225</v>
      </c>
      <c r="AM441" s="17" t="n">
        <f aca="false">$G$46*$G$22*(1-Curtailment)*(1-Clipping)*AM433*AM440/Thousand</f>
        <v>138.282272499419</v>
      </c>
      <c r="AN441" s="17" t="n">
        <f aca="false">$G$46*$G$22*(1-Curtailment)*(1-Clipping)*AN433*AN440/Thousand</f>
        <v>137.86742568192</v>
      </c>
      <c r="AO441" s="17" t="n">
        <f aca="false">$G$46*$G$22*(1-Curtailment)*(1-Clipping)*AO433*AO440/Thousand</f>
        <v>137.453823404874</v>
      </c>
      <c r="AP441" s="17" t="n">
        <f aca="false">$G$46*$G$22*(1-Curtailment)*(1-Clipping)*AP433*AP440/Thousand</f>
        <v>137.04146193466</v>
      </c>
      <c r="AQ441" s="17" t="n">
        <f aca="false">$G$46*$G$22*(1-Curtailment)*(1-Clipping)*AQ433*AQ440/Thousand</f>
        <v>136.630337548856</v>
      </c>
      <c r="AR441" s="17" t="n">
        <f aca="false">$G$46*$G$22*(1-Curtailment)*(1-Clipping)*AR433*AR440/Thousand</f>
        <v>136.220446536209</v>
      </c>
      <c r="AS441" s="17" t="n">
        <f aca="false">$G$46*$G$22*(1-Curtailment)*(1-Clipping)*AS433*AS440/Thousand</f>
        <v>67.9058925983003</v>
      </c>
    </row>
    <row r="442" customFormat="false" ht="14.25" hidden="false" customHeight="false" outlineLevel="0" collapsed="false">
      <c r="C442" s="6" t="s">
        <v>294</v>
      </c>
      <c r="D442" s="2" t="s">
        <v>20</v>
      </c>
      <c r="J442" s="17" t="n">
        <f aca="false">Case_PPA*(1+PPA_Esc)^J429*(J433&gt;0)</f>
        <v>0</v>
      </c>
      <c r="K442" s="17" t="n">
        <f aca="false">Case_PPA*(1+PPA_Esc)^K429*(K433&gt;0)</f>
        <v>0</v>
      </c>
      <c r="L442" s="17" t="n">
        <f aca="false">Case_PPA*(1+PPA_Esc)^L429*(L433&gt;0)</f>
        <v>0</v>
      </c>
      <c r="M442" s="17" t="n">
        <f aca="false">Case_PPA*(1+PPA_Esc)^M429*(M433&gt;0)</f>
        <v>0</v>
      </c>
      <c r="N442" s="17" t="n">
        <f aca="false">Case_PPA*(1+PPA_Esc)^N429*(N433&gt;0)</f>
        <v>0</v>
      </c>
      <c r="O442" s="17" t="n">
        <f aca="false">Case_PPA*(1+PPA_Esc)^O429*(O433&gt;0)</f>
        <v>90</v>
      </c>
      <c r="P442" s="17" t="n">
        <f aca="false">Case_PPA*(1+PPA_Esc)^P429*(P433&gt;0)</f>
        <v>90.9</v>
      </c>
      <c r="Q442" s="17" t="n">
        <f aca="false">Case_PPA*(1+PPA_Esc)^Q429*(Q433&gt;0)</f>
        <v>91.809</v>
      </c>
      <c r="R442" s="17" t="n">
        <f aca="false">Case_PPA*(1+PPA_Esc)^R429*(R433&gt;0)</f>
        <v>92.72709</v>
      </c>
      <c r="S442" s="17" t="n">
        <f aca="false">Case_PPA*(1+PPA_Esc)^S429*(S433&gt;0)</f>
        <v>93.6543609</v>
      </c>
      <c r="T442" s="17" t="n">
        <f aca="false">Case_PPA*(1+PPA_Esc)^T429*(T433&gt;0)</f>
        <v>94.590904509</v>
      </c>
      <c r="U442" s="17" t="n">
        <f aca="false">Case_PPA*(1+PPA_Esc)^U429*(U433&gt;0)</f>
        <v>95.53681355409</v>
      </c>
      <c r="V442" s="17" t="n">
        <f aca="false">Case_PPA*(1+PPA_Esc)^V429*(V433&gt;0)</f>
        <v>96.4921816896309</v>
      </c>
      <c r="W442" s="17" t="n">
        <f aca="false">Case_PPA*(1+PPA_Esc)^W429*(W433&gt;0)</f>
        <v>97.4571035065272</v>
      </c>
      <c r="X442" s="17" t="n">
        <f aca="false">Case_PPA*(1+PPA_Esc)^X429*(X433&gt;0)</f>
        <v>98.4316745415925</v>
      </c>
      <c r="Y442" s="17" t="n">
        <f aca="false">Case_PPA*(1+PPA_Esc)^Y429*(Y433&gt;0)</f>
        <v>99.4159912870084</v>
      </c>
      <c r="Z442" s="17" t="n">
        <f aca="false">Case_PPA*(1+PPA_Esc)^Z429*(Z433&gt;0)</f>
        <v>100.410151199878</v>
      </c>
      <c r="AA442" s="17" t="n">
        <f aca="false">Case_PPA*(1+PPA_Esc)^AA429*(AA433&gt;0)</f>
        <v>101.414252711877</v>
      </c>
      <c r="AB442" s="17" t="n">
        <f aca="false">Case_PPA*(1+PPA_Esc)^AB429*(AB433&gt;0)</f>
        <v>102.428395238996</v>
      </c>
      <c r="AC442" s="17" t="n">
        <f aca="false">Case_PPA*(1+PPA_Esc)^AC429*(AC433&gt;0)</f>
        <v>103.452679191386</v>
      </c>
      <c r="AD442" s="17" t="n">
        <f aca="false">Case_PPA*(1+PPA_Esc)^AD429*(AD433&gt;0)</f>
        <v>104.4872059833</v>
      </c>
      <c r="AE442" s="17" t="n">
        <f aca="false">Case_PPA*(1+PPA_Esc)^AE429*(AE433&gt;0)</f>
        <v>105.532078043133</v>
      </c>
      <c r="AF442" s="17" t="n">
        <f aca="false">Case_PPA*(1+PPA_Esc)^AF429*(AF433&gt;0)</f>
        <v>106.587398823564</v>
      </c>
      <c r="AG442" s="17" t="n">
        <f aca="false">Case_PPA*(1+PPA_Esc)^AG429*(AG433&gt;0)</f>
        <v>107.6532728118</v>
      </c>
      <c r="AH442" s="17" t="n">
        <f aca="false">Case_PPA*(1+PPA_Esc)^AH429*(AH433&gt;0)</f>
        <v>108.729805539918</v>
      </c>
      <c r="AI442" s="17" t="n">
        <f aca="false">Case_PPA*(1+PPA_Esc)^AI429*(AI433&gt;0)</f>
        <v>109.817103595317</v>
      </c>
      <c r="AJ442" s="17" t="n">
        <f aca="false">Case_PPA*(1+PPA_Esc)^AJ429*(AJ433&gt;0)</f>
        <v>110.91527463127</v>
      </c>
      <c r="AK442" s="17" t="n">
        <f aca="false">Case_PPA*(1+PPA_Esc)^AK429*(AK433&gt;0)</f>
        <v>112.024427377583</v>
      </c>
      <c r="AL442" s="17" t="n">
        <f aca="false">Case_PPA*(1+PPA_Esc)^AL429*(AL433&gt;0)</f>
        <v>113.144671651359</v>
      </c>
      <c r="AM442" s="17" t="n">
        <f aca="false">Case_PPA*(1+PPA_Esc)^AM429*(AM433&gt;0)</f>
        <v>114.276118367872</v>
      </c>
      <c r="AN442" s="17" t="n">
        <f aca="false">Case_PPA*(1+PPA_Esc)^AN429*(AN433&gt;0)</f>
        <v>115.418879551551</v>
      </c>
      <c r="AO442" s="17" t="n">
        <f aca="false">Case_PPA*(1+PPA_Esc)^AO429*(AO433&gt;0)</f>
        <v>116.573068347067</v>
      </c>
      <c r="AP442" s="17" t="n">
        <f aca="false">Case_PPA*(1+PPA_Esc)^AP429*(AP433&gt;0)</f>
        <v>117.738799030537</v>
      </c>
      <c r="AQ442" s="17" t="n">
        <f aca="false">Case_PPA*(1+PPA_Esc)^AQ429*(AQ433&gt;0)</f>
        <v>118.916187020843</v>
      </c>
      <c r="AR442" s="17" t="n">
        <f aca="false">Case_PPA*(1+PPA_Esc)^AR429*(AR433&gt;0)</f>
        <v>120.105348891051</v>
      </c>
      <c r="AS442" s="17" t="n">
        <f aca="false">Case_PPA*(1+PPA_Esc)^AS429*(AS433&gt;0)</f>
        <v>121.306402379962</v>
      </c>
    </row>
    <row r="443" customFormat="false" ht="14.25" hidden="false" customHeight="false" outlineLevel="0" collapsed="false">
      <c r="C443" s="1" t="s">
        <v>156</v>
      </c>
      <c r="D443" s="2" t="s">
        <v>85</v>
      </c>
      <c r="H443" s="32" t="n">
        <f aca="false">SUM(J443:AS443)</f>
        <v>446130.685729454</v>
      </c>
      <c r="J443" s="32" t="n">
        <f aca="false">J441*J442</f>
        <v>0</v>
      </c>
      <c r="K443" s="32" t="n">
        <f aca="false">K441*K442</f>
        <v>0</v>
      </c>
      <c r="L443" s="32" t="n">
        <f aca="false">L441*L442</f>
        <v>0</v>
      </c>
      <c r="M443" s="32" t="n">
        <f aca="false">M441*M442</f>
        <v>0</v>
      </c>
      <c r="N443" s="32" t="n">
        <f aca="false">N441*N442</f>
        <v>0</v>
      </c>
      <c r="O443" s="32" t="n">
        <f aca="false">O441*O442</f>
        <v>6667.92</v>
      </c>
      <c r="P443" s="32" t="n">
        <f aca="false">P441*P442</f>
        <v>13469.1984</v>
      </c>
      <c r="Q443" s="32" t="n">
        <f aca="false">Q441*Q442</f>
        <v>13563.078712848</v>
      </c>
      <c r="R443" s="32" t="n">
        <f aca="false">R441*R442</f>
        <v>13657.6133714766</v>
      </c>
      <c r="S443" s="32" t="n">
        <f aca="false">S441*S442</f>
        <v>13752.8069366757</v>
      </c>
      <c r="T443" s="32" t="n">
        <f aca="false">T441*T442</f>
        <v>13848.6640010244</v>
      </c>
      <c r="U443" s="32" t="n">
        <f aca="false">U441*U442</f>
        <v>13945.1891891115</v>
      </c>
      <c r="V443" s="32" t="n">
        <f aca="false">V441*V442</f>
        <v>14042.3871577596</v>
      </c>
      <c r="W443" s="32" t="n">
        <f aca="false">W441*W442</f>
        <v>14140.2625962492</v>
      </c>
      <c r="X443" s="32" t="n">
        <f aca="false">X441*X442</f>
        <v>14238.8202265451</v>
      </c>
      <c r="Y443" s="32" t="n">
        <f aca="false">Y441*Y442</f>
        <v>14338.0648035241</v>
      </c>
      <c r="Z443" s="32" t="n">
        <f aca="false">Z441*Z442</f>
        <v>14438.0011152046</v>
      </c>
      <c r="AA443" s="32" t="n">
        <f aca="false">AA441*AA442</f>
        <v>14538.6339829776</v>
      </c>
      <c r="AB443" s="32" t="n">
        <f aca="false">AB441*AB442</f>
        <v>14639.968261839</v>
      </c>
      <c r="AC443" s="32" t="n">
        <f aca="false">AC441*AC442</f>
        <v>14742.008840624</v>
      </c>
      <c r="AD443" s="32" t="n">
        <f aca="false">AD441*AD442</f>
        <v>14844.7606422431</v>
      </c>
      <c r="AE443" s="32" t="n">
        <f aca="false">AE441*AE442</f>
        <v>14948.2286239196</v>
      </c>
      <c r="AF443" s="32" t="n">
        <f aca="false">AF441*AF442</f>
        <v>15052.4177774283</v>
      </c>
      <c r="AG443" s="32" t="n">
        <f aca="false">AG441*AG442</f>
        <v>15157.333129337</v>
      </c>
      <c r="AH443" s="32" t="n">
        <f aca="false">AH441*AH442</f>
        <v>15262.9797412485</v>
      </c>
      <c r="AI443" s="32" t="n">
        <f aca="false">AI441*AI442</f>
        <v>15369.362710045</v>
      </c>
      <c r="AJ443" s="32" t="n">
        <f aca="false">AJ441*AJ442</f>
        <v>15476.487168134</v>
      </c>
      <c r="AK443" s="32" t="n">
        <f aca="false">AK441*AK442</f>
        <v>15584.3582836959</v>
      </c>
      <c r="AL443" s="32" t="n">
        <f aca="false">AL441*AL442</f>
        <v>15692.9812609332</v>
      </c>
      <c r="AM443" s="32" t="n">
        <f aca="false">AM441*AM442</f>
        <v>15802.3613403219</v>
      </c>
      <c r="AN443" s="32" t="n">
        <f aca="false">AN441*AN442</f>
        <v>15912.503798864</v>
      </c>
      <c r="AO443" s="32" t="n">
        <f aca="false">AO441*AO442</f>
        <v>16023.4139503421</v>
      </c>
      <c r="AP443" s="32" t="n">
        <f aca="false">AP441*AP442</f>
        <v>16135.0971455759</v>
      </c>
      <c r="AQ443" s="32" t="n">
        <f aca="false">AQ441*AQ442</f>
        <v>16247.5587726806</v>
      </c>
      <c r="AR443" s="32" t="n">
        <f aca="false">AR441*AR442</f>
        <v>16360.8042573262</v>
      </c>
      <c r="AS443" s="32" t="n">
        <f aca="false">AS441*AS442</f>
        <v>8237.41953149987</v>
      </c>
    </row>
    <row r="444" customFormat="false" ht="14.25" hidden="false" customHeight="false" outlineLevel="0" collapsed="false">
      <c r="C444" s="6" t="s">
        <v>295</v>
      </c>
      <c r="D444" s="2" t="s">
        <v>3</v>
      </c>
      <c r="J444" s="75" t="n">
        <f aca="false">(1+Opex_Esc)^J429</f>
        <v>0.883854287609517</v>
      </c>
      <c r="K444" s="75" t="n">
        <f aca="false">(1+Opex_Esc)^K429</f>
        <v>0.905950644799755</v>
      </c>
      <c r="L444" s="75" t="n">
        <f aca="false">(1+Opex_Esc)^L429</f>
        <v>0.928599410919749</v>
      </c>
      <c r="M444" s="75" t="n">
        <f aca="false">(1+Opex_Esc)^M429</f>
        <v>0.951814396192743</v>
      </c>
      <c r="N444" s="75" t="n">
        <f aca="false">(1+Opex_Esc)^N429</f>
        <v>0.975609756097561</v>
      </c>
      <c r="O444" s="75" t="n">
        <f aca="false">(1+Opex_Esc)^O429</f>
        <v>1</v>
      </c>
      <c r="P444" s="75" t="n">
        <f aca="false">(1+Opex_Esc)^P429</f>
        <v>1.025</v>
      </c>
      <c r="Q444" s="75" t="n">
        <f aca="false">(1+Opex_Esc)^Q429</f>
        <v>1.050625</v>
      </c>
      <c r="R444" s="75" t="n">
        <f aca="false">(1+Opex_Esc)^R429</f>
        <v>1.076890625</v>
      </c>
      <c r="S444" s="75" t="n">
        <f aca="false">(1+Opex_Esc)^S429</f>
        <v>1.103812890625</v>
      </c>
      <c r="T444" s="75" t="n">
        <f aca="false">(1+Opex_Esc)^T429</f>
        <v>1.13140821289062</v>
      </c>
      <c r="U444" s="75" t="n">
        <f aca="false">(1+Opex_Esc)^U429</f>
        <v>1.15969341821289</v>
      </c>
      <c r="V444" s="75" t="n">
        <f aca="false">(1+Opex_Esc)^V429</f>
        <v>1.18868575366821</v>
      </c>
      <c r="W444" s="75" t="n">
        <f aca="false">(1+Opex_Esc)^W429</f>
        <v>1.21840289750992</v>
      </c>
      <c r="X444" s="75" t="n">
        <f aca="false">(1+Opex_Esc)^X429</f>
        <v>1.24886296994767</v>
      </c>
      <c r="Y444" s="75" t="n">
        <f aca="false">(1+Opex_Esc)^Y429</f>
        <v>1.28008454419636</v>
      </c>
      <c r="Z444" s="75" t="n">
        <f aca="false">(1+Opex_Esc)^Z429</f>
        <v>1.31208665780127</v>
      </c>
      <c r="AA444" s="75" t="n">
        <f aca="false">(1+Opex_Esc)^AA429</f>
        <v>1.3448888242463</v>
      </c>
      <c r="AB444" s="75" t="n">
        <f aca="false">(1+Opex_Esc)^AB429</f>
        <v>1.37851104485245</v>
      </c>
      <c r="AC444" s="75" t="n">
        <f aca="false">(1+Opex_Esc)^AC429</f>
        <v>1.41297382097377</v>
      </c>
      <c r="AD444" s="75" t="n">
        <f aca="false">(1+Opex_Esc)^AD429</f>
        <v>1.44829816649811</v>
      </c>
      <c r="AE444" s="75" t="n">
        <f aca="false">(1+Opex_Esc)^AE429</f>
        <v>1.48450562066056</v>
      </c>
      <c r="AF444" s="75" t="n">
        <f aca="false">(1+Opex_Esc)^AF429</f>
        <v>1.52161826117708</v>
      </c>
      <c r="AG444" s="75" t="n">
        <f aca="false">(1+Opex_Esc)^AG429</f>
        <v>1.5596587177065</v>
      </c>
      <c r="AH444" s="75" t="n">
        <f aca="false">(1+Opex_Esc)^AH429</f>
        <v>1.59865018564917</v>
      </c>
      <c r="AI444" s="75" t="n">
        <f aca="false">(1+Opex_Esc)^AI429</f>
        <v>1.63861644029039</v>
      </c>
      <c r="AJ444" s="75" t="n">
        <f aca="false">(1+Opex_Esc)^AJ429</f>
        <v>1.67958185129765</v>
      </c>
      <c r="AK444" s="75" t="n">
        <f aca="false">(1+Opex_Esc)^AK429</f>
        <v>1.7215713975801</v>
      </c>
      <c r="AL444" s="75" t="n">
        <f aca="false">(1+Opex_Esc)^AL429</f>
        <v>1.7646106825196</v>
      </c>
      <c r="AM444" s="75" t="n">
        <f aca="false">(1+Opex_Esc)^AM429</f>
        <v>1.80872594958259</v>
      </c>
      <c r="AN444" s="75" t="n">
        <f aca="false">(1+Opex_Esc)^AN429</f>
        <v>1.85394409832215</v>
      </c>
      <c r="AO444" s="75" t="n">
        <f aca="false">(1+Opex_Esc)^AO429</f>
        <v>1.90029270078021</v>
      </c>
      <c r="AP444" s="75" t="n">
        <f aca="false">(1+Opex_Esc)^AP429</f>
        <v>1.94780001829971</v>
      </c>
      <c r="AQ444" s="75" t="n">
        <f aca="false">(1+Opex_Esc)^AQ429</f>
        <v>1.9964950187572</v>
      </c>
      <c r="AR444" s="75" t="n">
        <f aca="false">(1+Opex_Esc)^AR429</f>
        <v>2.04640739422613</v>
      </c>
      <c r="AS444" s="75" t="n">
        <f aca="false">(1+Opex_Esc)^AS429</f>
        <v>2.09756757908179</v>
      </c>
    </row>
    <row r="445" customFormat="false" ht="14.25" hidden="false" customHeight="false" outlineLevel="0" collapsed="false">
      <c r="C445" s="6" t="s">
        <v>296</v>
      </c>
      <c r="D445" s="2" t="s">
        <v>85</v>
      </c>
      <c r="H445" s="8" t="n">
        <f aca="false">SUM(J445:AS445)</f>
        <v>-70011.0919506797</v>
      </c>
      <c r="J445" s="8" t="n">
        <f aca="false">-(Case_OM+SUM(Opex_Per_MW))*$G$46*J444*J433</f>
        <v>-0</v>
      </c>
      <c r="K445" s="8" t="n">
        <f aca="false">-(Case_OM+SUM(Opex_Per_MW))*$G$46*K444*K433</f>
        <v>-0</v>
      </c>
      <c r="L445" s="8" t="n">
        <f aca="false">-(Case_OM+SUM(Opex_Per_MW))*$G$46*L444*L433</f>
        <v>-0</v>
      </c>
      <c r="M445" s="8" t="n">
        <f aca="false">-(Case_OM+SUM(Opex_Per_MW))*$G$46*M444*M433</f>
        <v>-0</v>
      </c>
      <c r="N445" s="8" t="n">
        <f aca="false">-(Case_OM+SUM(Opex_Per_MW))*$G$46*N444*N433</f>
        <v>-0</v>
      </c>
      <c r="O445" s="8" t="n">
        <f aca="false">-(Case_OM+SUM(Opex_Per_MW))*$G$46*O444*O433</f>
        <v>-787.5</v>
      </c>
      <c r="P445" s="8" t="n">
        <f aca="false">-(Case_OM+SUM(Opex_Per_MW))*$G$46*P444*P433</f>
        <v>-1614.375</v>
      </c>
      <c r="Q445" s="8" t="n">
        <f aca="false">-(Case_OM+SUM(Opex_Per_MW))*$G$46*Q444*Q433</f>
        <v>-1654.734375</v>
      </c>
      <c r="R445" s="8" t="n">
        <f aca="false">-(Case_OM+SUM(Opex_Per_MW))*$G$46*R444*R433</f>
        <v>-1696.102734375</v>
      </c>
      <c r="S445" s="8" t="n">
        <f aca="false">-(Case_OM+SUM(Opex_Per_MW))*$G$46*S444*S433</f>
        <v>-1738.50530273437</v>
      </c>
      <c r="T445" s="8" t="n">
        <f aca="false">-(Case_OM+SUM(Opex_Per_MW))*$G$46*T444*T433</f>
        <v>-1781.96793530273</v>
      </c>
      <c r="U445" s="8" t="n">
        <f aca="false">-(Case_OM+SUM(Opex_Per_MW))*$G$46*U444*U433</f>
        <v>-1826.5171336853</v>
      </c>
      <c r="V445" s="8" t="n">
        <f aca="false">-(Case_OM+SUM(Opex_Per_MW))*$G$46*V444*V433</f>
        <v>-1872.18006202743</v>
      </c>
      <c r="W445" s="8" t="n">
        <f aca="false">-(Case_OM+SUM(Opex_Per_MW))*$G$46*W444*W433</f>
        <v>-1918.98456357812</v>
      </c>
      <c r="X445" s="8" t="n">
        <f aca="false">-(Case_OM+SUM(Opex_Per_MW))*$G$46*X444*X433</f>
        <v>-1966.95917766757</v>
      </c>
      <c r="Y445" s="8" t="n">
        <f aca="false">-(Case_OM+SUM(Opex_Per_MW))*$G$46*Y444*Y433</f>
        <v>-2016.13315710926</v>
      </c>
      <c r="Z445" s="8" t="n">
        <f aca="false">-(Case_OM+SUM(Opex_Per_MW))*$G$46*Z444*Z433</f>
        <v>-2066.53648603699</v>
      </c>
      <c r="AA445" s="8" t="n">
        <f aca="false">-(Case_OM+SUM(Opex_Per_MW))*$G$46*AA444*AA433</f>
        <v>-2118.19989818792</v>
      </c>
      <c r="AB445" s="8" t="n">
        <f aca="false">-(Case_OM+SUM(Opex_Per_MW))*$G$46*AB444*AB433</f>
        <v>-2171.15489564262</v>
      </c>
      <c r="AC445" s="8" t="n">
        <f aca="false">-(Case_OM+SUM(Opex_Per_MW))*$G$46*AC444*AC433</f>
        <v>-2225.43376803368</v>
      </c>
      <c r="AD445" s="8" t="n">
        <f aca="false">-(Case_OM+SUM(Opex_Per_MW))*$G$46*AD444*AD433</f>
        <v>-2281.06961223452</v>
      </c>
      <c r="AE445" s="8" t="n">
        <f aca="false">-(Case_OM+SUM(Opex_Per_MW))*$G$46*AE444*AE433</f>
        <v>-2338.09635254039</v>
      </c>
      <c r="AF445" s="8" t="n">
        <f aca="false">-(Case_OM+SUM(Opex_Per_MW))*$G$46*AF444*AF433</f>
        <v>-2396.5487613539</v>
      </c>
      <c r="AG445" s="8" t="n">
        <f aca="false">-(Case_OM+SUM(Opex_Per_MW))*$G$46*AG444*AG433</f>
        <v>-2456.46248038774</v>
      </c>
      <c r="AH445" s="8" t="n">
        <f aca="false">-(Case_OM+SUM(Opex_Per_MW))*$G$46*AH444*AH433</f>
        <v>-2517.87404239744</v>
      </c>
      <c r="AI445" s="8" t="n">
        <f aca="false">-(Case_OM+SUM(Opex_Per_MW))*$G$46*AI444*AI433</f>
        <v>-2580.82089345737</v>
      </c>
      <c r="AJ445" s="8" t="n">
        <f aca="false">-(Case_OM+SUM(Opex_Per_MW))*$G$46*AJ444*AJ433</f>
        <v>-2645.34141579381</v>
      </c>
      <c r="AK445" s="8" t="n">
        <f aca="false">-(Case_OM+SUM(Opex_Per_MW))*$G$46*AK444*AK433</f>
        <v>-2711.47495118865</v>
      </c>
      <c r="AL445" s="8" t="n">
        <f aca="false">-(Case_OM+SUM(Opex_Per_MW))*$G$46*AL444*AL433</f>
        <v>-2779.26182496837</v>
      </c>
      <c r="AM445" s="8" t="n">
        <f aca="false">-(Case_OM+SUM(Opex_Per_MW))*$G$46*AM444*AM433</f>
        <v>-2848.74337059257</v>
      </c>
      <c r="AN445" s="8" t="n">
        <f aca="false">-(Case_OM+SUM(Opex_Per_MW))*$G$46*AN444*AN433</f>
        <v>-2919.96195485739</v>
      </c>
      <c r="AO445" s="8" t="n">
        <f aca="false">-(Case_OM+SUM(Opex_Per_MW))*$G$46*AO444*AO433</f>
        <v>-2992.96100372882</v>
      </c>
      <c r="AP445" s="8" t="n">
        <f aca="false">-(Case_OM+SUM(Opex_Per_MW))*$G$46*AP444*AP433</f>
        <v>-3067.78502882204</v>
      </c>
      <c r="AQ445" s="8" t="n">
        <f aca="false">-(Case_OM+SUM(Opex_Per_MW))*$G$46*AQ444*AQ433</f>
        <v>-3144.47965454259</v>
      </c>
      <c r="AR445" s="8" t="n">
        <f aca="false">-(Case_OM+SUM(Opex_Per_MW))*$G$46*AR444*AR433</f>
        <v>-3223.09164590616</v>
      </c>
      <c r="AS445" s="8" t="n">
        <f aca="false">-(Case_OM+SUM(Opex_Per_MW))*$G$46*AS444*AS433</f>
        <v>-1651.83446852691</v>
      </c>
    </row>
    <row r="446" customFormat="false" ht="14.25" hidden="false" customHeight="false" outlineLevel="0" collapsed="false">
      <c r="C446" s="6" t="s">
        <v>297</v>
      </c>
      <c r="D446" s="2" t="s">
        <v>85</v>
      </c>
      <c r="H446" s="8" t="n">
        <f aca="false">SUM(J446:AS446)</f>
        <v>-1666.93076073047</v>
      </c>
      <c r="J446" s="8" t="n">
        <f aca="false">-Opex_Admin*$G$6/Lump_Basis*J444*J433</f>
        <v>-0</v>
      </c>
      <c r="K446" s="8" t="n">
        <f aca="false">-Opex_Admin*$G$6/Lump_Basis*K444*K433</f>
        <v>-0</v>
      </c>
      <c r="L446" s="8" t="n">
        <f aca="false">-Opex_Admin*$G$6/Lump_Basis*L444*L433</f>
        <v>-0</v>
      </c>
      <c r="M446" s="8" t="n">
        <f aca="false">-Opex_Admin*$G$6/Lump_Basis*M444*M433</f>
        <v>-0</v>
      </c>
      <c r="N446" s="8" t="n">
        <f aca="false">-Opex_Admin*$G$6/Lump_Basis*N444*N433</f>
        <v>-0</v>
      </c>
      <c r="O446" s="8" t="n">
        <f aca="false">-Opex_Admin*$G$6/Lump_Basis*O444*O433</f>
        <v>-18.75</v>
      </c>
      <c r="P446" s="8" t="n">
        <f aca="false">-Opex_Admin*$G$6/Lump_Basis*P444*P433</f>
        <v>-38.4375</v>
      </c>
      <c r="Q446" s="8" t="n">
        <f aca="false">-Opex_Admin*$G$6/Lump_Basis*Q444*Q433</f>
        <v>-39.3984375</v>
      </c>
      <c r="R446" s="8" t="n">
        <f aca="false">-Opex_Admin*$G$6/Lump_Basis*R444*R433</f>
        <v>-40.3833984375</v>
      </c>
      <c r="S446" s="8" t="n">
        <f aca="false">-Opex_Admin*$G$6/Lump_Basis*S444*S433</f>
        <v>-41.3929833984375</v>
      </c>
      <c r="T446" s="8" t="n">
        <f aca="false">-Opex_Admin*$G$6/Lump_Basis*T444*T433</f>
        <v>-42.4278079833984</v>
      </c>
      <c r="U446" s="8" t="n">
        <f aca="false">-Opex_Admin*$G$6/Lump_Basis*U444*U433</f>
        <v>-43.4885031829834</v>
      </c>
      <c r="V446" s="8" t="n">
        <f aca="false">-Opex_Admin*$G$6/Lump_Basis*V444*V433</f>
        <v>-44.575715762558</v>
      </c>
      <c r="W446" s="8" t="n">
        <f aca="false">-Opex_Admin*$G$6/Lump_Basis*W444*W433</f>
        <v>-45.6901086566219</v>
      </c>
      <c r="X446" s="8" t="n">
        <f aca="false">-Opex_Admin*$G$6/Lump_Basis*X444*X433</f>
        <v>-46.8323613730374</v>
      </c>
      <c r="Y446" s="8" t="n">
        <f aca="false">-Opex_Admin*$G$6/Lump_Basis*Y444*Y433</f>
        <v>-48.0031704073634</v>
      </c>
      <c r="Z446" s="8" t="n">
        <f aca="false">-Opex_Admin*$G$6/Lump_Basis*Z444*Z433</f>
        <v>-49.2032496675475</v>
      </c>
      <c r="AA446" s="8" t="n">
        <f aca="false">-Opex_Admin*$G$6/Lump_Basis*AA444*AA433</f>
        <v>-50.4333309092361</v>
      </c>
      <c r="AB446" s="8" t="n">
        <f aca="false">-Opex_Admin*$G$6/Lump_Basis*AB444*AB433</f>
        <v>-51.694164181967</v>
      </c>
      <c r="AC446" s="8" t="n">
        <f aca="false">-Opex_Admin*$G$6/Lump_Basis*AC444*AC433</f>
        <v>-52.9865182865162</v>
      </c>
      <c r="AD446" s="8" t="n">
        <f aca="false">-Opex_Admin*$G$6/Lump_Basis*AD444*AD433</f>
        <v>-54.3111812436791</v>
      </c>
      <c r="AE446" s="8" t="n">
        <f aca="false">-Opex_Admin*$G$6/Lump_Basis*AE444*AE433</f>
        <v>-55.6689607747711</v>
      </c>
      <c r="AF446" s="8" t="n">
        <f aca="false">-Opex_Admin*$G$6/Lump_Basis*AF444*AF433</f>
        <v>-57.0606847941404</v>
      </c>
      <c r="AG446" s="8" t="n">
        <f aca="false">-Opex_Admin*$G$6/Lump_Basis*AG444*AG433</f>
        <v>-58.4872019139939</v>
      </c>
      <c r="AH446" s="8" t="n">
        <f aca="false">-Opex_Admin*$G$6/Lump_Basis*AH444*AH433</f>
        <v>-59.9493819618437</v>
      </c>
      <c r="AI446" s="8" t="n">
        <f aca="false">-Opex_Admin*$G$6/Lump_Basis*AI444*AI433</f>
        <v>-61.4481165108898</v>
      </c>
      <c r="AJ446" s="8" t="n">
        <f aca="false">-Opex_Admin*$G$6/Lump_Basis*AJ444*AJ433</f>
        <v>-62.984319423662</v>
      </c>
      <c r="AK446" s="8" t="n">
        <f aca="false">-Opex_Admin*$G$6/Lump_Basis*AK444*AK433</f>
        <v>-64.5589274092536</v>
      </c>
      <c r="AL446" s="8" t="n">
        <f aca="false">-Opex_Admin*$G$6/Lump_Basis*AL444*AL433</f>
        <v>-66.1729005944849</v>
      </c>
      <c r="AM446" s="8" t="n">
        <f aca="false">-Opex_Admin*$G$6/Lump_Basis*AM444*AM433</f>
        <v>-67.827223109347</v>
      </c>
      <c r="AN446" s="8" t="n">
        <f aca="false">-Opex_Admin*$G$6/Lump_Basis*AN444*AN433</f>
        <v>-69.5229036870807</v>
      </c>
      <c r="AO446" s="8" t="n">
        <f aca="false">-Opex_Admin*$G$6/Lump_Basis*AO444*AO433</f>
        <v>-71.2609762792577</v>
      </c>
      <c r="AP446" s="8" t="n">
        <f aca="false">-Opex_Admin*$G$6/Lump_Basis*AP444*AP433</f>
        <v>-73.0425006862391</v>
      </c>
      <c r="AQ446" s="8" t="n">
        <f aca="false">-Opex_Admin*$G$6/Lump_Basis*AQ444*AQ433</f>
        <v>-74.8685632033951</v>
      </c>
      <c r="AR446" s="8" t="n">
        <f aca="false">-Opex_Admin*$G$6/Lump_Basis*AR444*AR433</f>
        <v>-76.74027728348</v>
      </c>
      <c r="AS446" s="8" t="n">
        <f aca="false">-Opex_Admin*$G$6/Lump_Basis*AS444*AS433</f>
        <v>-39.3293921077835</v>
      </c>
    </row>
    <row r="447" customFormat="false" ht="14.25" hidden="false" customHeight="false" outlineLevel="0" collapsed="false">
      <c r="C447" s="6" t="s">
        <v>298</v>
      </c>
      <c r="D447" s="2" t="s">
        <v>85</v>
      </c>
      <c r="H447" s="8" t="n">
        <f aca="false">SUM(J447:AS447)</f>
        <v>-31411.9298672852</v>
      </c>
      <c r="J447" s="8" t="n">
        <f aca="false">-J441*(Balancing+Grid_Charges)*J444</f>
        <v>-0</v>
      </c>
      <c r="K447" s="8" t="n">
        <f aca="false">-K441*(Balancing+Grid_Charges)*K444</f>
        <v>-0</v>
      </c>
      <c r="L447" s="8" t="n">
        <f aca="false">-L441*(Balancing+Grid_Charges)*L444</f>
        <v>-0</v>
      </c>
      <c r="M447" s="8" t="n">
        <f aca="false">-M441*(Balancing+Grid_Charges)*M444</f>
        <v>-0</v>
      </c>
      <c r="N447" s="8" t="n">
        <f aca="false">-N441*(Balancing+Grid_Charges)*N444</f>
        <v>-0</v>
      </c>
      <c r="O447" s="8" t="n">
        <f aca="false">-O441*(Balancing+Grid_Charges)*O444</f>
        <v>-370.44</v>
      </c>
      <c r="P447" s="8" t="n">
        <f aca="false">-P441*(Balancing+Grid_Charges)*P444</f>
        <v>-759.402</v>
      </c>
      <c r="Q447" s="8" t="n">
        <f aca="false">-Q441*(Balancing+Grid_Charges)*Q444</f>
        <v>-776.05188885</v>
      </c>
      <c r="R447" s="8" t="n">
        <f aca="false">-R441*(Balancing+Grid_Charges)*R444</f>
        <v>-793.066826513036</v>
      </c>
      <c r="S447" s="8" t="n">
        <f aca="false">-S441*(Balancing+Grid_Charges)*S444</f>
        <v>-810.454816684334</v>
      </c>
      <c r="T447" s="8" t="n">
        <f aca="false">-T441*(Balancing+Grid_Charges)*T444</f>
        <v>-828.224038540138</v>
      </c>
      <c r="U447" s="8" t="n">
        <f aca="false">-U441*(Balancing+Grid_Charges)*U444</f>
        <v>-846.382850585131</v>
      </c>
      <c r="V447" s="8" t="n">
        <f aca="false">-V441*(Balancing+Grid_Charges)*V444</f>
        <v>-864.93979458421</v>
      </c>
      <c r="W447" s="8" t="n">
        <f aca="false">-W441*(Balancing+Grid_Charges)*W444</f>
        <v>-883.903599580468</v>
      </c>
      <c r="X447" s="8" t="n">
        <f aca="false">-X441*(Balancing+Grid_Charges)*X444</f>
        <v>-903.28318600127</v>
      </c>
      <c r="Y447" s="8" t="n">
        <f aca="false">-Y441*(Balancing+Grid_Charges)*Y444</f>
        <v>-923.087669854348</v>
      </c>
      <c r="Z447" s="8" t="n">
        <f aca="false">-Z441*(Balancing+Grid_Charges)*Z444</f>
        <v>-943.326367015904</v>
      </c>
      <c r="AA447" s="8" t="n">
        <f aca="false">-AA441*(Balancing+Grid_Charges)*AA444</f>
        <v>-964.008797612728</v>
      </c>
      <c r="AB447" s="8" t="n">
        <f aca="false">-AB441*(Balancing+Grid_Charges)*AB444</f>
        <v>-985.144690500387</v>
      </c>
      <c r="AC447" s="8" t="n">
        <f aca="false">-AC441*(Balancing+Grid_Charges)*AC444</f>
        <v>-1006.74398783961</v>
      </c>
      <c r="AD447" s="8" t="n">
        <f aca="false">-AD441*(Balancing+Grid_Charges)*AD444</f>
        <v>-1028.81684977299</v>
      </c>
      <c r="AE447" s="8" t="n">
        <f aca="false">-AE441*(Balancing+Grid_Charges)*AE444</f>
        <v>-1051.37365920426</v>
      </c>
      <c r="AF447" s="8" t="n">
        <f aca="false">-AF441*(Balancing+Grid_Charges)*AF444</f>
        <v>-1074.42502668232</v>
      </c>
      <c r="AG447" s="8" t="n">
        <f aca="false">-AG441*(Balancing+Grid_Charges)*AG444</f>
        <v>-1097.98179539233</v>
      </c>
      <c r="AH447" s="8" t="n">
        <f aca="false">-AH441*(Balancing+Grid_Charges)*AH444</f>
        <v>-1122.0550462563</v>
      </c>
      <c r="AI447" s="8" t="n">
        <f aca="false">-AI441*(Balancing+Grid_Charges)*AI444</f>
        <v>-1146.65610314547</v>
      </c>
      <c r="AJ447" s="8" t="n">
        <f aca="false">-AJ441*(Balancing+Grid_Charges)*AJ444</f>
        <v>-1171.79653820694</v>
      </c>
      <c r="AK447" s="8" t="n">
        <f aca="false">-AK441*(Balancing+Grid_Charges)*AK444</f>
        <v>-1197.48817730712</v>
      </c>
      <c r="AL447" s="8" t="n">
        <f aca="false">-AL441*(Balancing+Grid_Charges)*AL444</f>
        <v>-1223.74310559458</v>
      </c>
      <c r="AM447" s="8" t="n">
        <f aca="false">-AM441*(Balancing+Grid_Charges)*AM444</f>
        <v>-1250.57367318474</v>
      </c>
      <c r="AN447" s="8" t="n">
        <f aca="false">-AN441*(Balancing+Grid_Charges)*AN444</f>
        <v>-1277.99250096932</v>
      </c>
      <c r="AO447" s="8" t="n">
        <f aca="false">-AO441*(Balancing+Grid_Charges)*AO444</f>
        <v>-1306.01248655307</v>
      </c>
      <c r="AP447" s="8" t="n">
        <f aca="false">-AP441*(Balancing+Grid_Charges)*AP444</f>
        <v>-1334.64681032075</v>
      </c>
      <c r="AQ447" s="8" t="n">
        <f aca="false">-AQ441*(Balancing+Grid_Charges)*AQ444</f>
        <v>-1363.90894163703</v>
      </c>
      <c r="AR447" s="8" t="n">
        <f aca="false">-AR441*(Balancing+Grid_Charges)*AR444</f>
        <v>-1393.81264518242</v>
      </c>
      <c r="AS447" s="8" t="n">
        <f aca="false">-AS441*(Balancing+Grid_Charges)*AS444</f>
        <v>-712.185993714023</v>
      </c>
    </row>
    <row r="448" customFormat="false" ht="14.25" hidden="false" customHeight="false" outlineLevel="0" collapsed="false">
      <c r="C448" s="6" t="s">
        <v>299</v>
      </c>
      <c r="D448" s="2" t="s">
        <v>85</v>
      </c>
      <c r="H448" s="8" t="n">
        <f aca="false">SUM(J448:AS448)</f>
        <v>-446.130685729454</v>
      </c>
      <c r="J448" s="8" t="n">
        <f aca="false">-J443*MEKH_Fee</f>
        <v>-0</v>
      </c>
      <c r="K448" s="8" t="n">
        <f aca="false">-K443*MEKH_Fee</f>
        <v>-0</v>
      </c>
      <c r="L448" s="8" t="n">
        <f aca="false">-L443*MEKH_Fee</f>
        <v>-0</v>
      </c>
      <c r="M448" s="8" t="n">
        <f aca="false">-M443*MEKH_Fee</f>
        <v>-0</v>
      </c>
      <c r="N448" s="8" t="n">
        <f aca="false">-N443*MEKH_Fee</f>
        <v>-0</v>
      </c>
      <c r="O448" s="8" t="n">
        <f aca="false">-O443*MEKH_Fee</f>
        <v>-6.66792</v>
      </c>
      <c r="P448" s="8" t="n">
        <f aca="false">-P443*MEKH_Fee</f>
        <v>-13.4691984</v>
      </c>
      <c r="Q448" s="8" t="n">
        <f aca="false">-Q443*MEKH_Fee</f>
        <v>-13.563078712848</v>
      </c>
      <c r="R448" s="8" t="n">
        <f aca="false">-R443*MEKH_Fee</f>
        <v>-13.6576133714766</v>
      </c>
      <c r="S448" s="8" t="n">
        <f aca="false">-S443*MEKH_Fee</f>
        <v>-13.7528069366757</v>
      </c>
      <c r="T448" s="8" t="n">
        <f aca="false">-T443*MEKH_Fee</f>
        <v>-13.8486640010244</v>
      </c>
      <c r="U448" s="8" t="n">
        <f aca="false">-U443*MEKH_Fee</f>
        <v>-13.9451891891115</v>
      </c>
      <c r="V448" s="8" t="n">
        <f aca="false">-V443*MEKH_Fee</f>
        <v>-14.0423871577596</v>
      </c>
      <c r="W448" s="8" t="n">
        <f aca="false">-W443*MEKH_Fee</f>
        <v>-14.1402625962492</v>
      </c>
      <c r="X448" s="8" t="n">
        <f aca="false">-X443*MEKH_Fee</f>
        <v>-14.2388202265451</v>
      </c>
      <c r="Y448" s="8" t="n">
        <f aca="false">-Y443*MEKH_Fee</f>
        <v>-14.3380648035241</v>
      </c>
      <c r="Z448" s="8" t="n">
        <f aca="false">-Z443*MEKH_Fee</f>
        <v>-14.4380011152046</v>
      </c>
      <c r="AA448" s="8" t="n">
        <f aca="false">-AA443*MEKH_Fee</f>
        <v>-14.5386339829776</v>
      </c>
      <c r="AB448" s="8" t="n">
        <f aca="false">-AB443*MEKH_Fee</f>
        <v>-14.639968261839</v>
      </c>
      <c r="AC448" s="8" t="n">
        <f aca="false">-AC443*MEKH_Fee</f>
        <v>-14.742008840624</v>
      </c>
      <c r="AD448" s="8" t="n">
        <f aca="false">-AD443*MEKH_Fee</f>
        <v>-14.8447606422431</v>
      </c>
      <c r="AE448" s="8" t="n">
        <f aca="false">-AE443*MEKH_Fee</f>
        <v>-14.9482286239196</v>
      </c>
      <c r="AF448" s="8" t="n">
        <f aca="false">-AF443*MEKH_Fee</f>
        <v>-15.0524177774283</v>
      </c>
      <c r="AG448" s="8" t="n">
        <f aca="false">-AG443*MEKH_Fee</f>
        <v>-15.157333129337</v>
      </c>
      <c r="AH448" s="8" t="n">
        <f aca="false">-AH443*MEKH_Fee</f>
        <v>-15.2629797412485</v>
      </c>
      <c r="AI448" s="8" t="n">
        <f aca="false">-AI443*MEKH_Fee</f>
        <v>-15.369362710045</v>
      </c>
      <c r="AJ448" s="8" t="n">
        <f aca="false">-AJ443*MEKH_Fee</f>
        <v>-15.476487168134</v>
      </c>
      <c r="AK448" s="8" t="n">
        <f aca="false">-AK443*MEKH_Fee</f>
        <v>-15.5843582836959</v>
      </c>
      <c r="AL448" s="8" t="n">
        <f aca="false">-AL443*MEKH_Fee</f>
        <v>-15.6929812609332</v>
      </c>
      <c r="AM448" s="8" t="n">
        <f aca="false">-AM443*MEKH_Fee</f>
        <v>-15.8023613403219</v>
      </c>
      <c r="AN448" s="8" t="n">
        <f aca="false">-AN443*MEKH_Fee</f>
        <v>-15.912503798864</v>
      </c>
      <c r="AO448" s="8" t="n">
        <f aca="false">-AO443*MEKH_Fee</f>
        <v>-16.0234139503421</v>
      </c>
      <c r="AP448" s="8" t="n">
        <f aca="false">-AP443*MEKH_Fee</f>
        <v>-16.1350971455759</v>
      </c>
      <c r="AQ448" s="8" t="n">
        <f aca="false">-AQ443*MEKH_Fee</f>
        <v>-16.2475587726806</v>
      </c>
      <c r="AR448" s="8" t="n">
        <f aca="false">-AR443*MEKH_Fee</f>
        <v>-16.3608042573262</v>
      </c>
      <c r="AS448" s="8" t="n">
        <f aca="false">-AS443*MEKH_Fee</f>
        <v>-8.23741953149987</v>
      </c>
    </row>
    <row r="449" customFormat="false" ht="14.25" hidden="false" customHeight="false" outlineLevel="0" collapsed="false">
      <c r="C449" s="6" t="s">
        <v>300</v>
      </c>
      <c r="D449" s="2" t="s">
        <v>85</v>
      </c>
      <c r="H449" s="8" t="n">
        <f aca="false">SUM(J449:AS449)</f>
        <v>-5176.80416322124</v>
      </c>
      <c r="J449" s="8" t="n">
        <f aca="false">SUM(J445:J448)*Opex_Cont</f>
        <v>0</v>
      </c>
      <c r="K449" s="8" t="n">
        <f aca="false">SUM(K445:K448)*Opex_Cont</f>
        <v>0</v>
      </c>
      <c r="L449" s="8" t="n">
        <f aca="false">SUM(L445:L448)*Opex_Cont</f>
        <v>0</v>
      </c>
      <c r="M449" s="8" t="n">
        <f aca="false">SUM(M445:M448)*Opex_Cont</f>
        <v>0</v>
      </c>
      <c r="N449" s="8" t="n">
        <f aca="false">SUM(N445:N448)*Opex_Cont</f>
        <v>0</v>
      </c>
      <c r="O449" s="8" t="n">
        <f aca="false">SUM(O445:O448)*Opex_Cont</f>
        <v>-59.167896</v>
      </c>
      <c r="P449" s="8" t="n">
        <f aca="false">SUM(P445:P448)*Opex_Cont</f>
        <v>-121.28418492</v>
      </c>
      <c r="Q449" s="8" t="n">
        <f aca="false">SUM(Q445:Q448)*Opex_Cont</f>
        <v>-124.187389003142</v>
      </c>
      <c r="R449" s="8" t="n">
        <f aca="false">SUM(R445:R448)*Opex_Cont</f>
        <v>-127.160528634851</v>
      </c>
      <c r="S449" s="8" t="n">
        <f aca="false">SUM(S445:S448)*Opex_Cont</f>
        <v>-130.205295487691</v>
      </c>
      <c r="T449" s="8" t="n">
        <f aca="false">SUM(T445:T448)*Opex_Cont</f>
        <v>-133.323422291365</v>
      </c>
      <c r="U449" s="8" t="n">
        <f aca="false">SUM(U445:U448)*Opex_Cont</f>
        <v>-136.516683832126</v>
      </c>
      <c r="V449" s="8" t="n">
        <f aca="false">SUM(V445:V448)*Opex_Cont</f>
        <v>-139.786897976598</v>
      </c>
      <c r="W449" s="8" t="n">
        <f aca="false">SUM(W445:W448)*Opex_Cont</f>
        <v>-143.135926720573</v>
      </c>
      <c r="X449" s="8" t="n">
        <f aca="false">SUM(X445:X448)*Opex_Cont</f>
        <v>-146.565677263421</v>
      </c>
      <c r="Y449" s="8" t="n">
        <f aca="false">SUM(Y445:Y448)*Opex_Cont</f>
        <v>-150.078103108725</v>
      </c>
      <c r="Z449" s="8" t="n">
        <f aca="false">SUM(Z445:Z448)*Opex_Cont</f>
        <v>-153.675205191783</v>
      </c>
      <c r="AA449" s="8" t="n">
        <f aca="false">SUM(AA445:AA448)*Opex_Cont</f>
        <v>-157.359033034643</v>
      </c>
      <c r="AB449" s="8" t="n">
        <f aca="false">SUM(AB445:AB448)*Opex_Cont</f>
        <v>-161.13168592934</v>
      </c>
      <c r="AC449" s="8" t="n">
        <f aca="false">SUM(AC445:AC448)*Opex_Cont</f>
        <v>-164.995314150021</v>
      </c>
      <c r="AD449" s="8" t="n">
        <f aca="false">SUM(AD445:AD448)*Opex_Cont</f>
        <v>-168.952120194672</v>
      </c>
      <c r="AE449" s="8" t="n">
        <f aca="false">SUM(AE445:AE448)*Opex_Cont</f>
        <v>-173.004360057167</v>
      </c>
      <c r="AF449" s="8" t="n">
        <f aca="false">SUM(AF445:AF448)*Opex_Cont</f>
        <v>-177.154344530389</v>
      </c>
      <c r="AG449" s="8" t="n">
        <f aca="false">SUM(AG445:AG448)*Opex_Cont</f>
        <v>-181.40444054117</v>
      </c>
      <c r="AH449" s="8" t="n">
        <f aca="false">SUM(AH445:AH448)*Opex_Cont</f>
        <v>-185.757072517842</v>
      </c>
      <c r="AI449" s="8" t="n">
        <f aca="false">SUM(AI445:AI448)*Opex_Cont</f>
        <v>-190.214723791189</v>
      </c>
      <c r="AJ449" s="8" t="n">
        <f aca="false">SUM(AJ445:AJ448)*Opex_Cont</f>
        <v>-194.779938029627</v>
      </c>
      <c r="AK449" s="8" t="n">
        <f aca="false">SUM(AK445:AK448)*Opex_Cont</f>
        <v>-199.455320709436</v>
      </c>
      <c r="AL449" s="8" t="n">
        <f aca="false">SUM(AL445:AL448)*Opex_Cont</f>
        <v>-204.243540620918</v>
      </c>
      <c r="AM449" s="8" t="n">
        <f aca="false">SUM(AM445:AM448)*Opex_Cont</f>
        <v>-209.147331411349</v>
      </c>
      <c r="AN449" s="8" t="n">
        <f aca="false">SUM(AN445:AN448)*Opex_Cont</f>
        <v>-214.169493165633</v>
      </c>
      <c r="AO449" s="8" t="n">
        <f aca="false">SUM(AO445:AO448)*Opex_Cont</f>
        <v>-219.312894025575</v>
      </c>
      <c r="AP449" s="8" t="n">
        <f aca="false">SUM(AP445:AP448)*Opex_Cont</f>
        <v>-224.58047184873</v>
      </c>
      <c r="AQ449" s="8" t="n">
        <f aca="false">SUM(AQ445:AQ448)*Opex_Cont</f>
        <v>-229.975235907785</v>
      </c>
      <c r="AR449" s="8" t="n">
        <f aca="false">SUM(AR445:AR448)*Opex_Cont</f>
        <v>-235.500268631469</v>
      </c>
      <c r="AS449" s="8" t="n">
        <f aca="false">SUM(AS445:AS448)*Opex_Cont</f>
        <v>-120.579363694011</v>
      </c>
    </row>
    <row r="450" customFormat="false" ht="14.25" hidden="false" customHeight="false" outlineLevel="0" collapsed="false">
      <c r="C450" s="6" t="s">
        <v>301</v>
      </c>
      <c r="D450" s="2" t="s">
        <v>85</v>
      </c>
      <c r="H450" s="8" t="n">
        <f aca="false">SUM(J450:AS450)</f>
        <v>-12790.1964811942</v>
      </c>
      <c r="J450" s="8" t="n">
        <f aca="false">-J441*$G$12</f>
        <v>-0</v>
      </c>
      <c r="K450" s="8" t="n">
        <f aca="false">-K441*$G$12</f>
        <v>-0</v>
      </c>
      <c r="L450" s="8" t="n">
        <f aca="false">-L441*$G$12</f>
        <v>-0</v>
      </c>
      <c r="M450" s="8" t="n">
        <f aca="false">-M441*$G$12</f>
        <v>-0</v>
      </c>
      <c r="N450" s="8" t="n">
        <f aca="false">-N441*$G$12</f>
        <v>-0</v>
      </c>
      <c r="O450" s="8" t="n">
        <f aca="false">-O441*$G$12</f>
        <v>-222.264</v>
      </c>
      <c r="P450" s="8" t="n">
        <f aca="false">-P441*$G$12</f>
        <v>-444.528</v>
      </c>
      <c r="Q450" s="8" t="n">
        <f aca="false">-Q441*$G$12</f>
        <v>-443.194416</v>
      </c>
      <c r="R450" s="8" t="n">
        <f aca="false">-R441*$G$12</f>
        <v>-441.864832752</v>
      </c>
      <c r="S450" s="8" t="n">
        <f aca="false">-S441*$G$12</f>
        <v>-440.539238253744</v>
      </c>
      <c r="T450" s="8" t="n">
        <f aca="false">-T441*$G$12</f>
        <v>-439.217620538983</v>
      </c>
      <c r="U450" s="8" t="n">
        <f aca="false">-U441*$G$12</f>
        <v>-437.899967677366</v>
      </c>
      <c r="V450" s="8" t="n">
        <f aca="false">-V441*$G$12</f>
        <v>-436.586267774334</v>
      </c>
      <c r="W450" s="8" t="n">
        <f aca="false">-W441*$G$12</f>
        <v>-435.276508971011</v>
      </c>
      <c r="X450" s="8" t="n">
        <f aca="false">-X441*$G$12</f>
        <v>-433.970679444098</v>
      </c>
      <c r="Y450" s="8" t="n">
        <f aca="false">-Y441*$G$12</f>
        <v>-432.668767405765</v>
      </c>
      <c r="Z450" s="8" t="n">
        <f aca="false">-Z441*$G$12</f>
        <v>-431.370761103548</v>
      </c>
      <c r="AA450" s="8" t="n">
        <f aca="false">-AA441*$G$12</f>
        <v>-430.076648820237</v>
      </c>
      <c r="AB450" s="8" t="n">
        <f aca="false">-AB441*$G$12</f>
        <v>-428.786418873777</v>
      </c>
      <c r="AC450" s="8" t="n">
        <f aca="false">-AC441*$G$12</f>
        <v>-427.500059617155</v>
      </c>
      <c r="AD450" s="8" t="n">
        <f aca="false">-AD441*$G$12</f>
        <v>-426.217559438304</v>
      </c>
      <c r="AE450" s="8" t="n">
        <f aca="false">-AE441*$G$12</f>
        <v>-424.938906759989</v>
      </c>
      <c r="AF450" s="8" t="n">
        <f aca="false">-AF441*$G$12</f>
        <v>-423.664090039709</v>
      </c>
      <c r="AG450" s="8" t="n">
        <f aca="false">-AG441*$G$12</f>
        <v>-422.39309776959</v>
      </c>
      <c r="AH450" s="8" t="n">
        <f aca="false">-AH441*$G$12</f>
        <v>-421.125918476281</v>
      </c>
      <c r="AI450" s="8" t="n">
        <f aca="false">-AI441*$G$12</f>
        <v>-419.862540720852</v>
      </c>
      <c r="AJ450" s="8" t="n">
        <f aca="false">-AJ441*$G$12</f>
        <v>-418.60295309869</v>
      </c>
      <c r="AK450" s="8" t="n">
        <f aca="false">-AK441*$G$12</f>
        <v>-417.347144239394</v>
      </c>
      <c r="AL450" s="8" t="n">
        <f aca="false">-AL441*$G$12</f>
        <v>-416.095102806675</v>
      </c>
      <c r="AM450" s="8" t="n">
        <f aca="false">-AM441*$G$12</f>
        <v>-414.846817498256</v>
      </c>
      <c r="AN450" s="8" t="n">
        <f aca="false">-AN441*$G$12</f>
        <v>-413.602277045761</v>
      </c>
      <c r="AO450" s="8" t="n">
        <f aca="false">-AO441*$G$12</f>
        <v>-412.361470214623</v>
      </c>
      <c r="AP450" s="8" t="n">
        <f aca="false">-AP441*$G$12</f>
        <v>-411.12438580398</v>
      </c>
      <c r="AQ450" s="8" t="n">
        <f aca="false">-AQ441*$G$12</f>
        <v>-409.891012646568</v>
      </c>
      <c r="AR450" s="8" t="n">
        <f aca="false">-AR441*$G$12</f>
        <v>-408.661339608628</v>
      </c>
      <c r="AS450" s="8" t="n">
        <f aca="false">-AS441*$G$12</f>
        <v>-203.717677794901</v>
      </c>
    </row>
    <row r="451" customFormat="false" ht="14.25" hidden="false" customHeight="false" outlineLevel="0" collapsed="false">
      <c r="C451" s="6" t="s">
        <v>302</v>
      </c>
      <c r="D451" s="2" t="s">
        <v>85</v>
      </c>
      <c r="H451" s="8" t="n">
        <f aca="false">SUM(J451:AS451)</f>
        <v>-8922.61371458909</v>
      </c>
      <c r="J451" s="8" t="n">
        <f aca="false">-J443*HIPA_Rate</f>
        <v>-0</v>
      </c>
      <c r="K451" s="8" t="n">
        <f aca="false">-K443*HIPA_Rate</f>
        <v>-0</v>
      </c>
      <c r="L451" s="8" t="n">
        <f aca="false">-L443*HIPA_Rate</f>
        <v>-0</v>
      </c>
      <c r="M451" s="8" t="n">
        <f aca="false">-M443*HIPA_Rate</f>
        <v>-0</v>
      </c>
      <c r="N451" s="8" t="n">
        <f aca="false">-N443*HIPA_Rate</f>
        <v>-0</v>
      </c>
      <c r="O451" s="8" t="n">
        <f aca="false">-O443*HIPA_Rate</f>
        <v>-133.3584</v>
      </c>
      <c r="P451" s="8" t="n">
        <f aca="false">-P443*HIPA_Rate</f>
        <v>-269.383968</v>
      </c>
      <c r="Q451" s="8" t="n">
        <f aca="false">-Q443*HIPA_Rate</f>
        <v>-271.26157425696</v>
      </c>
      <c r="R451" s="8" t="n">
        <f aca="false">-R443*HIPA_Rate</f>
        <v>-273.152267429531</v>
      </c>
      <c r="S451" s="8" t="n">
        <f aca="false">-S443*HIPA_Rate</f>
        <v>-275.056138733515</v>
      </c>
      <c r="T451" s="8" t="n">
        <f aca="false">-T443*HIPA_Rate</f>
        <v>-276.973280020488</v>
      </c>
      <c r="U451" s="8" t="n">
        <f aca="false">-U443*HIPA_Rate</f>
        <v>-278.90378378223</v>
      </c>
      <c r="V451" s="8" t="n">
        <f aca="false">-V443*HIPA_Rate</f>
        <v>-280.847743155192</v>
      </c>
      <c r="W451" s="8" t="n">
        <f aca="false">-W443*HIPA_Rate</f>
        <v>-282.805251924984</v>
      </c>
      <c r="X451" s="8" t="n">
        <f aca="false">-X443*HIPA_Rate</f>
        <v>-284.776404530901</v>
      </c>
      <c r="Y451" s="8" t="n">
        <f aca="false">-Y443*HIPA_Rate</f>
        <v>-286.761296070482</v>
      </c>
      <c r="Z451" s="8" t="n">
        <f aca="false">-Z443*HIPA_Rate</f>
        <v>-288.760022304093</v>
      </c>
      <c r="AA451" s="8" t="n">
        <f aca="false">-AA443*HIPA_Rate</f>
        <v>-290.772679659552</v>
      </c>
      <c r="AB451" s="8" t="n">
        <f aca="false">-AB443*HIPA_Rate</f>
        <v>-292.799365236779</v>
      </c>
      <c r="AC451" s="8" t="n">
        <f aca="false">-AC443*HIPA_Rate</f>
        <v>-294.84017681248</v>
      </c>
      <c r="AD451" s="8" t="n">
        <f aca="false">-AD443*HIPA_Rate</f>
        <v>-296.895212844863</v>
      </c>
      <c r="AE451" s="8" t="n">
        <f aca="false">-AE443*HIPA_Rate</f>
        <v>-298.964572478392</v>
      </c>
      <c r="AF451" s="8" t="n">
        <f aca="false">-AF443*HIPA_Rate</f>
        <v>-301.048355548566</v>
      </c>
      <c r="AG451" s="8" t="n">
        <f aca="false">-AG443*HIPA_Rate</f>
        <v>-303.146662586739</v>
      </c>
      <c r="AH451" s="8" t="n">
        <f aca="false">-AH443*HIPA_Rate</f>
        <v>-305.259594824969</v>
      </c>
      <c r="AI451" s="8" t="n">
        <f aca="false">-AI443*HIPA_Rate</f>
        <v>-307.387254200899</v>
      </c>
      <c r="AJ451" s="8" t="n">
        <f aca="false">-AJ443*HIPA_Rate</f>
        <v>-309.529743362679</v>
      </c>
      <c r="AK451" s="8" t="n">
        <f aca="false">-AK443*HIPA_Rate</f>
        <v>-311.687165673917</v>
      </c>
      <c r="AL451" s="8" t="n">
        <f aca="false">-AL443*HIPA_Rate</f>
        <v>-313.859625218664</v>
      </c>
      <c r="AM451" s="8" t="n">
        <f aca="false">-AM443*HIPA_Rate</f>
        <v>-316.047226806439</v>
      </c>
      <c r="AN451" s="8" t="n">
        <f aca="false">-AN443*HIPA_Rate</f>
        <v>-318.250075977279</v>
      </c>
      <c r="AO451" s="8" t="n">
        <f aca="false">-AO443*HIPA_Rate</f>
        <v>-320.468279006841</v>
      </c>
      <c r="AP451" s="8" t="n">
        <f aca="false">-AP443*HIPA_Rate</f>
        <v>-322.701942911519</v>
      </c>
      <c r="AQ451" s="8" t="n">
        <f aca="false">-AQ443*HIPA_Rate</f>
        <v>-324.951175453612</v>
      </c>
      <c r="AR451" s="8" t="n">
        <f aca="false">-AR443*HIPA_Rate</f>
        <v>-327.216085146524</v>
      </c>
      <c r="AS451" s="8" t="n">
        <f aca="false">-AS443*HIPA_Rate</f>
        <v>-164.748390629997</v>
      </c>
    </row>
    <row r="452" customFormat="false" ht="14.25" hidden="false" customHeight="false" outlineLevel="0" collapsed="false">
      <c r="C452" s="1" t="s">
        <v>303</v>
      </c>
      <c r="D452" s="2" t="s">
        <v>85</v>
      </c>
      <c r="H452" s="32" t="n">
        <f aca="false">SUM(J452:AS452)</f>
        <v>-130425.697623429</v>
      </c>
      <c r="J452" s="32" t="n">
        <f aca="false">SUM(J445:J451)</f>
        <v>0</v>
      </c>
      <c r="K452" s="32" t="n">
        <f aca="false">SUM(K445:K451)</f>
        <v>0</v>
      </c>
      <c r="L452" s="32" t="n">
        <f aca="false">SUM(L445:L451)</f>
        <v>0</v>
      </c>
      <c r="M452" s="32" t="n">
        <f aca="false">SUM(M445:M451)</f>
        <v>0</v>
      </c>
      <c r="N452" s="32" t="n">
        <f aca="false">SUM(N445:N451)</f>
        <v>0</v>
      </c>
      <c r="O452" s="32" t="n">
        <f aca="false">SUM(O445:O451)</f>
        <v>-1598.148216</v>
      </c>
      <c r="P452" s="32" t="n">
        <f aca="false">SUM(P445:P451)</f>
        <v>-3260.87985132</v>
      </c>
      <c r="Q452" s="32" t="n">
        <f aca="false">SUM(Q445:Q451)</f>
        <v>-3322.39115932295</v>
      </c>
      <c r="R452" s="32" t="n">
        <f aca="false">SUM(R445:R451)</f>
        <v>-3385.38820151339</v>
      </c>
      <c r="S452" s="32" t="n">
        <f aca="false">SUM(S445:S451)</f>
        <v>-3449.90658222877</v>
      </c>
      <c r="T452" s="32" t="n">
        <f aca="false">SUM(T445:T451)</f>
        <v>-3515.98276867813</v>
      </c>
      <c r="U452" s="32" t="n">
        <f aca="false">SUM(U445:U451)</f>
        <v>-3583.65411193425</v>
      </c>
      <c r="V452" s="32" t="n">
        <f aca="false">SUM(V445:V451)</f>
        <v>-3652.95886843809</v>
      </c>
      <c r="W452" s="32" t="n">
        <f aca="false">SUM(W445:W451)</f>
        <v>-3723.93622202803</v>
      </c>
      <c r="X452" s="32" t="n">
        <f aca="false">SUM(X445:X451)</f>
        <v>-3796.62630650685</v>
      </c>
      <c r="Y452" s="32" t="n">
        <f aca="false">SUM(Y445:Y451)</f>
        <v>-3871.07022875947</v>
      </c>
      <c r="Z452" s="32" t="n">
        <f aca="false">SUM(Z445:Z451)</f>
        <v>-3947.31009243507</v>
      </c>
      <c r="AA452" s="32" t="n">
        <f aca="false">SUM(AA445:AA451)</f>
        <v>-4025.38902220729</v>
      </c>
      <c r="AB452" s="32" t="n">
        <f aca="false">SUM(AB445:AB451)</f>
        <v>-4105.3511886267</v>
      </c>
      <c r="AC452" s="32" t="n">
        <f aca="false">SUM(AC445:AC451)</f>
        <v>-4187.24183358009</v>
      </c>
      <c r="AD452" s="32" t="n">
        <f aca="false">SUM(AD445:AD451)</f>
        <v>-4271.10729637127</v>
      </c>
      <c r="AE452" s="32" t="n">
        <f aca="false">SUM(AE445:AE451)</f>
        <v>-4356.99504043889</v>
      </c>
      <c r="AF452" s="32" t="n">
        <f aca="false">SUM(AF445:AF451)</f>
        <v>-4444.95368072645</v>
      </c>
      <c r="AG452" s="32" t="n">
        <f aca="false">SUM(AG445:AG451)</f>
        <v>-4535.0330117209</v>
      </c>
      <c r="AH452" s="32" t="n">
        <f aca="false">SUM(AH445:AH451)</f>
        <v>-4627.28403617592</v>
      </c>
      <c r="AI452" s="32" t="n">
        <f aca="false">SUM(AI445:AI451)</f>
        <v>-4721.75899453672</v>
      </c>
      <c r="AJ452" s="32" t="n">
        <f aca="false">SUM(AJ445:AJ451)</f>
        <v>-4818.51139508354</v>
      </c>
      <c r="AK452" s="32" t="n">
        <f aca="false">SUM(AK445:AK451)</f>
        <v>-4917.59604481147</v>
      </c>
      <c r="AL452" s="32" t="n">
        <f aca="false">SUM(AL445:AL451)</f>
        <v>-5019.06908106463</v>
      </c>
      <c r="AM452" s="32" t="n">
        <f aca="false">SUM(AM445:AM451)</f>
        <v>-5122.98800394303</v>
      </c>
      <c r="AN452" s="32" t="n">
        <f aca="false">SUM(AN445:AN451)</f>
        <v>-5229.41170950133</v>
      </c>
      <c r="AO452" s="32" t="n">
        <f aca="false">SUM(AO445:AO451)</f>
        <v>-5338.40052375853</v>
      </c>
      <c r="AP452" s="32" t="n">
        <f aca="false">SUM(AP445:AP451)</f>
        <v>-5450.01623753884</v>
      </c>
      <c r="AQ452" s="32" t="n">
        <f aca="false">SUM(AQ445:AQ451)</f>
        <v>-5564.32214216366</v>
      </c>
      <c r="AR452" s="32" t="n">
        <f aca="false">SUM(AR445:AR451)</f>
        <v>-5681.38306601601</v>
      </c>
      <c r="AS452" s="32" t="n">
        <f aca="false">SUM(AS445:AS451)</f>
        <v>-2900.63270599912</v>
      </c>
    </row>
    <row r="453" customFormat="false" ht="14.25" hidden="false" customHeight="false" outlineLevel="0" collapsed="false">
      <c r="C453" s="1" t="s">
        <v>158</v>
      </c>
      <c r="D453" s="2" t="s">
        <v>85</v>
      </c>
      <c r="H453" s="15" t="n">
        <f aca="false">SUM(J453:AS453)</f>
        <v>315704.988106025</v>
      </c>
      <c r="J453" s="15" t="n">
        <f aca="false">J443+J452</f>
        <v>0</v>
      </c>
      <c r="K453" s="15" t="n">
        <f aca="false">K443+K452</f>
        <v>0</v>
      </c>
      <c r="L453" s="15" t="n">
        <f aca="false">L443+L452</f>
        <v>0</v>
      </c>
      <c r="M453" s="15" t="n">
        <f aca="false">M443+M452</f>
        <v>0</v>
      </c>
      <c r="N453" s="15" t="n">
        <f aca="false">N443+N452</f>
        <v>0</v>
      </c>
      <c r="O453" s="15" t="n">
        <f aca="false">O443+O452</f>
        <v>5069.771784</v>
      </c>
      <c r="P453" s="15" t="n">
        <f aca="false">P443+P452</f>
        <v>10208.31854868</v>
      </c>
      <c r="Q453" s="15" t="n">
        <f aca="false">Q443+Q452</f>
        <v>10240.6875535251</v>
      </c>
      <c r="R453" s="15" t="n">
        <f aca="false">R443+R452</f>
        <v>10272.2251699632</v>
      </c>
      <c r="S453" s="15" t="n">
        <f aca="false">S443+S452</f>
        <v>10302.900354447</v>
      </c>
      <c r="T453" s="15" t="n">
        <f aca="false">T443+T452</f>
        <v>10332.6812323462</v>
      </c>
      <c r="U453" s="15" t="n">
        <f aca="false">U443+U452</f>
        <v>10361.5350771773</v>
      </c>
      <c r="V453" s="15" t="n">
        <f aca="false">V443+V452</f>
        <v>10389.4282893215</v>
      </c>
      <c r="W453" s="15" t="n">
        <f aca="false">W443+W452</f>
        <v>10416.3263742212</v>
      </c>
      <c r="X453" s="15" t="n">
        <f aca="false">X443+X452</f>
        <v>10442.1939200382</v>
      </c>
      <c r="Y453" s="15" t="n">
        <f aca="false">Y443+Y452</f>
        <v>10466.9945747646</v>
      </c>
      <c r="Z453" s="15" t="n">
        <f aca="false">Z443+Z452</f>
        <v>10490.6910227696</v>
      </c>
      <c r="AA453" s="15" t="n">
        <f aca="false">AA443+AA452</f>
        <v>10513.2449607703</v>
      </c>
      <c r="AB453" s="15" t="n">
        <f aca="false">AB443+AB452</f>
        <v>10534.6170732123</v>
      </c>
      <c r="AC453" s="15" t="n">
        <f aca="false">AC443+AC452</f>
        <v>10554.7670070439</v>
      </c>
      <c r="AD453" s="15" t="n">
        <f aca="false">AD443+AD452</f>
        <v>10573.6533458719</v>
      </c>
      <c r="AE453" s="15" t="n">
        <f aca="false">AE443+AE452</f>
        <v>10591.2335834807</v>
      </c>
      <c r="AF453" s="15" t="n">
        <f aca="false">AF443+AF452</f>
        <v>10607.4640967019</v>
      </c>
      <c r="AG453" s="15" t="n">
        <f aca="false">AG443+AG452</f>
        <v>10622.3001176161</v>
      </c>
      <c r="AH453" s="15" t="n">
        <f aca="false">AH443+AH452</f>
        <v>10635.6957050725</v>
      </c>
      <c r="AI453" s="15" t="n">
        <f aca="false">AI443+AI452</f>
        <v>10647.6037155082</v>
      </c>
      <c r="AJ453" s="15" t="n">
        <f aca="false">AJ443+AJ452</f>
        <v>10657.9757730504</v>
      </c>
      <c r="AK453" s="15" t="n">
        <f aca="false">AK443+AK452</f>
        <v>10666.7622388844</v>
      </c>
      <c r="AL453" s="15" t="n">
        <f aca="false">AL443+AL452</f>
        <v>10673.9121798686</v>
      </c>
      <c r="AM453" s="15" t="n">
        <f aca="false">AM443+AM452</f>
        <v>10679.3733363789</v>
      </c>
      <c r="AN453" s="15" t="n">
        <f aca="false">AN443+AN452</f>
        <v>10683.0920893626</v>
      </c>
      <c r="AO453" s="15" t="n">
        <f aca="false">AO443+AO452</f>
        <v>10685.0134265835</v>
      </c>
      <c r="AP453" s="15" t="n">
        <f aca="false">AP443+AP452</f>
        <v>10685.0809080371</v>
      </c>
      <c r="AQ453" s="15" t="n">
        <f aca="false">AQ443+AQ452</f>
        <v>10683.2366305169</v>
      </c>
      <c r="AR453" s="15" t="n">
        <f aca="false">AR443+AR452</f>
        <v>10679.4211913102</v>
      </c>
      <c r="AS453" s="15" t="n">
        <f aca="false">AS443+AS452</f>
        <v>5336.78682550075</v>
      </c>
    </row>
    <row r="454" customFormat="false" ht="14.25" hidden="false" customHeight="false" outlineLevel="0" collapsed="false">
      <c r="C454" s="1" t="s">
        <v>304</v>
      </c>
      <c r="D454" s="2" t="s">
        <v>85</v>
      </c>
      <c r="H454" s="32" t="n">
        <f aca="false">SUM(J454:AS454)</f>
        <v>238904.92885945</v>
      </c>
      <c r="J454" s="32" t="n">
        <f aca="false">J439+J453</f>
        <v>0</v>
      </c>
      <c r="K454" s="32" t="n">
        <f aca="false">K439+K453</f>
        <v>0</v>
      </c>
      <c r="L454" s="32" t="n">
        <f aca="false">L439+L453</f>
        <v>0</v>
      </c>
      <c r="M454" s="32" t="n">
        <f aca="false">M439+M453</f>
        <v>-29757.5797945206</v>
      </c>
      <c r="N454" s="32" t="n">
        <f aca="false">N439+N453</f>
        <v>-31358</v>
      </c>
      <c r="O454" s="32" t="n">
        <f aca="false">O439+O453</f>
        <v>-13109.228216</v>
      </c>
      <c r="P454" s="32" t="n">
        <f aca="false">P439+P453</f>
        <v>10208.31854868</v>
      </c>
      <c r="Q454" s="32" t="n">
        <f aca="false">Q439+Q453</f>
        <v>12735.2081014703</v>
      </c>
      <c r="R454" s="32" t="n">
        <f aca="false">R439+R453</f>
        <v>10272.2251699632</v>
      </c>
      <c r="S454" s="32" t="n">
        <f aca="false">S439+S453</f>
        <v>10302.900354447</v>
      </c>
      <c r="T454" s="32" t="n">
        <f aca="false">T439+T453</f>
        <v>10332.6812323462</v>
      </c>
      <c r="U454" s="32" t="n">
        <f aca="false">U439+U453</f>
        <v>10361.5350771773</v>
      </c>
      <c r="V454" s="32" t="n">
        <f aca="false">V439+V453</f>
        <v>10389.4282893215</v>
      </c>
      <c r="W454" s="32" t="n">
        <f aca="false">W439+W453</f>
        <v>10416.3263742212</v>
      </c>
      <c r="X454" s="32" t="n">
        <f aca="false">X439+X453</f>
        <v>10442.1939200382</v>
      </c>
      <c r="Y454" s="32" t="n">
        <f aca="false">Y439+Y453</f>
        <v>10466.9945747646</v>
      </c>
      <c r="Z454" s="32" t="n">
        <f aca="false">Z439+Z453</f>
        <v>10490.6910227696</v>
      </c>
      <c r="AA454" s="32" t="n">
        <f aca="false">AA439+AA453</f>
        <v>10513.2449607703</v>
      </c>
      <c r="AB454" s="32" t="n">
        <f aca="false">AB439+AB453</f>
        <v>10534.6170732123</v>
      </c>
      <c r="AC454" s="32" t="n">
        <f aca="false">AC439+AC453</f>
        <v>10554.7670070439</v>
      </c>
      <c r="AD454" s="32" t="n">
        <f aca="false">AD439+AD453</f>
        <v>10573.6533458719</v>
      </c>
      <c r="AE454" s="32" t="n">
        <f aca="false">AE439+AE453</f>
        <v>10591.2335834807</v>
      </c>
      <c r="AF454" s="32" t="n">
        <f aca="false">AF439+AF453</f>
        <v>10607.4640967019</v>
      </c>
      <c r="AG454" s="32" t="n">
        <f aca="false">AG439+AG453</f>
        <v>10622.3001176161</v>
      </c>
      <c r="AH454" s="32" t="n">
        <f aca="false">AH439+AH453</f>
        <v>10635.6957050725</v>
      </c>
      <c r="AI454" s="32" t="n">
        <f aca="false">AI439+AI453</f>
        <v>10647.6037155082</v>
      </c>
      <c r="AJ454" s="32" t="n">
        <f aca="false">AJ439+AJ453</f>
        <v>10657.9757730504</v>
      </c>
      <c r="AK454" s="32" t="n">
        <f aca="false">AK439+AK453</f>
        <v>10666.7622388844</v>
      </c>
      <c r="AL454" s="32" t="n">
        <f aca="false">AL439+AL453</f>
        <v>10673.9121798686</v>
      </c>
      <c r="AM454" s="32" t="n">
        <f aca="false">AM439+AM453</f>
        <v>10679.3733363789</v>
      </c>
      <c r="AN454" s="32" t="n">
        <f aca="false">AN439+AN453</f>
        <v>10683.0920893626</v>
      </c>
      <c r="AO454" s="32" t="n">
        <f aca="false">AO439+AO453</f>
        <v>10685.0134265835</v>
      </c>
      <c r="AP454" s="32" t="n">
        <f aca="false">AP439+AP453</f>
        <v>10685.0809080371</v>
      </c>
      <c r="AQ454" s="32" t="n">
        <f aca="false">AQ439+AQ453</f>
        <v>10683.2366305169</v>
      </c>
      <c r="AR454" s="32" t="n">
        <f aca="false">AR439+AR453</f>
        <v>10679.4211913102</v>
      </c>
      <c r="AS454" s="32" t="n">
        <f aca="false">AS439+AS453</f>
        <v>5336.78682550075</v>
      </c>
    </row>
    <row r="455" customFormat="false" ht="14.25" hidden="false" customHeight="false" outlineLevel="0" collapsed="false">
      <c r="C455" s="6" t="s">
        <v>305</v>
      </c>
      <c r="D455" s="2" t="s">
        <v>85</v>
      </c>
      <c r="H455" s="8" t="n">
        <f aca="false">SUM(J455:AS455)</f>
        <v>-76800.0592465753</v>
      </c>
      <c r="J455" s="8" t="n">
        <f aca="false">-$G$99/Tax_Dep_Life*(J429&gt;=0)*(J429&lt;Tax_Dep_Life)</f>
        <v>-0</v>
      </c>
      <c r="K455" s="8" t="n">
        <f aca="false">-$G$99/Tax_Dep_Life*(K429&gt;=0)*(K429&lt;Tax_Dep_Life)</f>
        <v>-0</v>
      </c>
      <c r="L455" s="8" t="n">
        <f aca="false">-$G$99/Tax_Dep_Life*(L429&gt;=0)*(L429&lt;Tax_Dep_Life)</f>
        <v>-0</v>
      </c>
      <c r="M455" s="8" t="n">
        <f aca="false">-$G$99/Tax_Dep_Life*(M429&gt;=0)*(M429&lt;Tax_Dep_Life)</f>
        <v>-0</v>
      </c>
      <c r="N455" s="8" t="n">
        <f aca="false">-$G$99/Tax_Dep_Life*(N429&gt;=0)*(N429&lt;Tax_Dep_Life)</f>
        <v>-0</v>
      </c>
      <c r="O455" s="8" t="n">
        <f aca="false">-$G$99/Tax_Dep_Life*(O429&gt;=0)*(O429&lt;Tax_Dep_Life)</f>
        <v>-3840.00296232877</v>
      </c>
      <c r="P455" s="8" t="n">
        <f aca="false">-$G$99/Tax_Dep_Life*(P429&gt;=0)*(P429&lt;Tax_Dep_Life)</f>
        <v>-3840.00296232877</v>
      </c>
      <c r="Q455" s="8" t="n">
        <f aca="false">-$G$99/Tax_Dep_Life*(Q429&gt;=0)*(Q429&lt;Tax_Dep_Life)</f>
        <v>-3840.00296232877</v>
      </c>
      <c r="R455" s="8" t="n">
        <f aca="false">-$G$99/Tax_Dep_Life*(R429&gt;=0)*(R429&lt;Tax_Dep_Life)</f>
        <v>-3840.00296232877</v>
      </c>
      <c r="S455" s="8" t="n">
        <f aca="false">-$G$99/Tax_Dep_Life*(S429&gt;=0)*(S429&lt;Tax_Dep_Life)</f>
        <v>-3840.00296232877</v>
      </c>
      <c r="T455" s="8" t="n">
        <f aca="false">-$G$99/Tax_Dep_Life*(T429&gt;=0)*(T429&lt;Tax_Dep_Life)</f>
        <v>-3840.00296232877</v>
      </c>
      <c r="U455" s="8" t="n">
        <f aca="false">-$G$99/Tax_Dep_Life*(U429&gt;=0)*(U429&lt;Tax_Dep_Life)</f>
        <v>-3840.00296232877</v>
      </c>
      <c r="V455" s="8" t="n">
        <f aca="false">-$G$99/Tax_Dep_Life*(V429&gt;=0)*(V429&lt;Tax_Dep_Life)</f>
        <v>-3840.00296232877</v>
      </c>
      <c r="W455" s="8" t="n">
        <f aca="false">-$G$99/Tax_Dep_Life*(W429&gt;=0)*(W429&lt;Tax_Dep_Life)</f>
        <v>-3840.00296232877</v>
      </c>
      <c r="X455" s="8" t="n">
        <f aca="false">-$G$99/Tax_Dep_Life*(X429&gt;=0)*(X429&lt;Tax_Dep_Life)</f>
        <v>-3840.00296232877</v>
      </c>
      <c r="Y455" s="8" t="n">
        <f aca="false">-$G$99/Tax_Dep_Life*(Y429&gt;=0)*(Y429&lt;Tax_Dep_Life)</f>
        <v>-3840.00296232877</v>
      </c>
      <c r="Z455" s="8" t="n">
        <f aca="false">-$G$99/Tax_Dep_Life*(Z429&gt;=0)*(Z429&lt;Tax_Dep_Life)</f>
        <v>-3840.00296232877</v>
      </c>
      <c r="AA455" s="8" t="n">
        <f aca="false">-$G$99/Tax_Dep_Life*(AA429&gt;=0)*(AA429&lt;Tax_Dep_Life)</f>
        <v>-3840.00296232877</v>
      </c>
      <c r="AB455" s="8" t="n">
        <f aca="false">-$G$99/Tax_Dep_Life*(AB429&gt;=0)*(AB429&lt;Tax_Dep_Life)</f>
        <v>-3840.00296232877</v>
      </c>
      <c r="AC455" s="8" t="n">
        <f aca="false">-$G$99/Tax_Dep_Life*(AC429&gt;=0)*(AC429&lt;Tax_Dep_Life)</f>
        <v>-3840.00296232877</v>
      </c>
      <c r="AD455" s="8" t="n">
        <f aca="false">-$G$99/Tax_Dep_Life*(AD429&gt;=0)*(AD429&lt;Tax_Dep_Life)</f>
        <v>-3840.00296232877</v>
      </c>
      <c r="AE455" s="8" t="n">
        <f aca="false">-$G$99/Tax_Dep_Life*(AE429&gt;=0)*(AE429&lt;Tax_Dep_Life)</f>
        <v>-3840.00296232877</v>
      </c>
      <c r="AF455" s="8" t="n">
        <f aca="false">-$G$99/Tax_Dep_Life*(AF429&gt;=0)*(AF429&lt;Tax_Dep_Life)</f>
        <v>-3840.00296232877</v>
      </c>
      <c r="AG455" s="8" t="n">
        <f aca="false">-$G$99/Tax_Dep_Life*(AG429&gt;=0)*(AG429&lt;Tax_Dep_Life)</f>
        <v>-3840.00296232877</v>
      </c>
      <c r="AH455" s="8" t="n">
        <f aca="false">-$G$99/Tax_Dep_Life*(AH429&gt;=0)*(AH429&lt;Tax_Dep_Life)</f>
        <v>-3840.00296232877</v>
      </c>
      <c r="AI455" s="8" t="n">
        <f aca="false">-$G$99/Tax_Dep_Life*(AI429&gt;=0)*(AI429&lt;Tax_Dep_Life)</f>
        <v>-0</v>
      </c>
      <c r="AJ455" s="8" t="n">
        <f aca="false">-$G$99/Tax_Dep_Life*(AJ429&gt;=0)*(AJ429&lt;Tax_Dep_Life)</f>
        <v>-0</v>
      </c>
      <c r="AK455" s="8" t="n">
        <f aca="false">-$G$99/Tax_Dep_Life*(AK429&gt;=0)*(AK429&lt;Tax_Dep_Life)</f>
        <v>-0</v>
      </c>
      <c r="AL455" s="8" t="n">
        <f aca="false">-$G$99/Tax_Dep_Life*(AL429&gt;=0)*(AL429&lt;Tax_Dep_Life)</f>
        <v>-0</v>
      </c>
      <c r="AM455" s="8" t="n">
        <f aca="false">-$G$99/Tax_Dep_Life*(AM429&gt;=0)*(AM429&lt;Tax_Dep_Life)</f>
        <v>-0</v>
      </c>
      <c r="AN455" s="8" t="n">
        <f aca="false">-$G$99/Tax_Dep_Life*(AN429&gt;=0)*(AN429&lt;Tax_Dep_Life)</f>
        <v>-0</v>
      </c>
      <c r="AO455" s="8" t="n">
        <f aca="false">-$G$99/Tax_Dep_Life*(AO429&gt;=0)*(AO429&lt;Tax_Dep_Life)</f>
        <v>-0</v>
      </c>
      <c r="AP455" s="8" t="n">
        <f aca="false">-$G$99/Tax_Dep_Life*(AP429&gt;=0)*(AP429&lt;Tax_Dep_Life)</f>
        <v>-0</v>
      </c>
      <c r="AQ455" s="8" t="n">
        <f aca="false">-$G$99/Tax_Dep_Life*(AQ429&gt;=0)*(AQ429&lt;Tax_Dep_Life)</f>
        <v>-0</v>
      </c>
      <c r="AR455" s="8" t="n">
        <f aca="false">-$G$99/Tax_Dep_Life*(AR429&gt;=0)*(AR429&lt;Tax_Dep_Life)</f>
        <v>-0</v>
      </c>
      <c r="AS455" s="8" t="n">
        <f aca="false">-$G$99/Tax_Dep_Life*(AS429&gt;=0)*(AS429&lt;Tax_Dep_Life)</f>
        <v>-0</v>
      </c>
    </row>
    <row r="456" customFormat="false" ht="14.25" hidden="false" customHeight="false" outlineLevel="0" collapsed="false">
      <c r="C456" s="6" t="s">
        <v>306</v>
      </c>
      <c r="D456" s="2" t="s">
        <v>85</v>
      </c>
      <c r="H456" s="8" t="n">
        <f aca="false">SUM(J456:AS456)</f>
        <v>-35835.7393289174</v>
      </c>
      <c r="J456" s="8" t="n">
        <f aca="false">-MAX(0,J453+J455)*CIT_Rate*(J433&gt;0)</f>
        <v>-0</v>
      </c>
      <c r="K456" s="8" t="n">
        <f aca="false">-MAX(0,K453+K455)*CIT_Rate*(K433&gt;0)</f>
        <v>-0</v>
      </c>
      <c r="L456" s="8" t="n">
        <f aca="false">-MAX(0,L453+L455)*CIT_Rate*(L433&gt;0)</f>
        <v>-0</v>
      </c>
      <c r="M456" s="8" t="n">
        <f aca="false">-MAX(0,M453+M455)*CIT_Rate*(M433&gt;0)</f>
        <v>-0</v>
      </c>
      <c r="N456" s="8" t="n">
        <f aca="false">-MAX(0,N453+N455)*CIT_Rate*(N433&gt;0)</f>
        <v>-0</v>
      </c>
      <c r="O456" s="8" t="n">
        <f aca="false">-MAX(0,O453+O455)*CIT_Rate*(O433&gt;0)</f>
        <v>-184.465323250685</v>
      </c>
      <c r="P456" s="8" t="n">
        <f aca="false">-MAX(0,P453+P455)*CIT_Rate*(P433&gt;0)</f>
        <v>-955.247337952685</v>
      </c>
      <c r="Q456" s="8" t="n">
        <f aca="false">-MAX(0,Q453+Q455)*CIT_Rate*(Q433&gt;0)</f>
        <v>-960.102688679442</v>
      </c>
      <c r="R456" s="8" t="n">
        <f aca="false">-MAX(0,R453+R455)*CIT_Rate*(R433&gt;0)</f>
        <v>-964.833331145159</v>
      </c>
      <c r="S456" s="8" t="n">
        <f aca="false">-MAX(0,S453+S455)*CIT_Rate*(S433&gt;0)</f>
        <v>-969.434608817731</v>
      </c>
      <c r="T456" s="8" t="n">
        <f aca="false">-MAX(0,T453+T455)*CIT_Rate*(T433&gt;0)</f>
        <v>-973.901740502622</v>
      </c>
      <c r="U456" s="8" t="n">
        <f aca="false">-MAX(0,U453+U455)*CIT_Rate*(U433&gt;0)</f>
        <v>-978.229817227275</v>
      </c>
      <c r="V456" s="8" t="n">
        <f aca="false">-MAX(0,V453+V455)*CIT_Rate*(V433&gt;0)</f>
        <v>-982.413799048915</v>
      </c>
      <c r="W456" s="8" t="n">
        <f aca="false">-MAX(0,W453+W455)*CIT_Rate*(W433&gt;0)</f>
        <v>-986.448511783862</v>
      </c>
      <c r="X456" s="8" t="n">
        <f aca="false">-MAX(0,X453+X455)*CIT_Rate*(X433&gt;0)</f>
        <v>-990.328643656417</v>
      </c>
      <c r="Y456" s="8" t="n">
        <f aca="false">-MAX(0,Y453+Y455)*CIT_Rate*(Y433&gt;0)</f>
        <v>-994.048741865376</v>
      </c>
      <c r="Z456" s="8" t="n">
        <f aca="false">-MAX(0,Z453+Z455)*CIT_Rate*(Z433&gt;0)</f>
        <v>-997.60320906612</v>
      </c>
      <c r="AA456" s="8" t="n">
        <f aca="false">-MAX(0,AA453+AA455)*CIT_Rate*(AA433&gt;0)</f>
        <v>-1000.98629976623</v>
      </c>
      <c r="AB456" s="8" t="n">
        <f aca="false">-MAX(0,AB453+AB455)*CIT_Rate*(AB433&gt;0)</f>
        <v>-1004.19211663253</v>
      </c>
      <c r="AC456" s="8" t="n">
        <f aca="false">-MAX(0,AC453+AC455)*CIT_Rate*(AC433&gt;0)</f>
        <v>-1007.21460670727</v>
      </c>
      <c r="AD456" s="8" t="n">
        <f aca="false">-MAX(0,AD453+AD455)*CIT_Rate*(AD433&gt;0)</f>
        <v>-1010.04755753146</v>
      </c>
      <c r="AE456" s="8" t="n">
        <f aca="false">-MAX(0,AE453+AE455)*CIT_Rate*(AE433&gt;0)</f>
        <v>-1012.68459317279</v>
      </c>
      <c r="AF456" s="8" t="n">
        <f aca="false">-MAX(0,AF453+AF455)*CIT_Rate*(AF433&gt;0)</f>
        <v>-1015.11917015596</v>
      </c>
      <c r="AG456" s="8" t="n">
        <f aca="false">-MAX(0,AG453+AG455)*CIT_Rate*(AG433&gt;0)</f>
        <v>-1017.3445732931</v>
      </c>
      <c r="AH456" s="8" t="n">
        <f aca="false">-MAX(0,AH453+AH455)*CIT_Rate*(AH433&gt;0)</f>
        <v>-1019.35391141156</v>
      </c>
      <c r="AI456" s="8" t="n">
        <f aca="false">-MAX(0,AI453+AI455)*CIT_Rate*(AI433&gt;0)</f>
        <v>-1597.14055732624</v>
      </c>
      <c r="AJ456" s="8" t="n">
        <f aca="false">-MAX(0,AJ453+AJ455)*CIT_Rate*(AJ433&gt;0)</f>
        <v>-1598.69636595756</v>
      </c>
      <c r="AK456" s="8" t="n">
        <f aca="false">-MAX(0,AK453+AK455)*CIT_Rate*(AK433&gt;0)</f>
        <v>-1600.01433583266</v>
      </c>
      <c r="AL456" s="8" t="n">
        <f aca="false">-MAX(0,AL453+AL455)*CIT_Rate*(AL433&gt;0)</f>
        <v>-1601.08682698029</v>
      </c>
      <c r="AM456" s="8" t="n">
        <f aca="false">-MAX(0,AM453+AM455)*CIT_Rate*(AM433&gt;0)</f>
        <v>-1601.90600045683</v>
      </c>
      <c r="AN456" s="8" t="n">
        <f aca="false">-MAX(0,AN453+AN455)*CIT_Rate*(AN433&gt;0)</f>
        <v>-1602.4638134044</v>
      </c>
      <c r="AO456" s="8" t="n">
        <f aca="false">-MAX(0,AO453+AO455)*CIT_Rate*(AO433&gt;0)</f>
        <v>-1602.75201398753</v>
      </c>
      <c r="AP456" s="8" t="n">
        <f aca="false">-MAX(0,AP453+AP455)*CIT_Rate*(AP433&gt;0)</f>
        <v>-1602.76213620557</v>
      </c>
      <c r="AQ456" s="8" t="n">
        <f aca="false">-MAX(0,AQ453+AQ455)*CIT_Rate*(AQ433&gt;0)</f>
        <v>-1602.48549457754</v>
      </c>
      <c r="AR456" s="8" t="n">
        <f aca="false">-MAX(0,AR453+AR455)*CIT_Rate*(AR433&gt;0)</f>
        <v>-1601.91317869653</v>
      </c>
      <c r="AS456" s="8" t="n">
        <f aca="false">-MAX(0,AS453+AS455)*CIT_Rate*(AS433&gt;0)</f>
        <v>-800.518023825112</v>
      </c>
    </row>
    <row r="457" customFormat="false" ht="14.25" hidden="false" customHeight="false" outlineLevel="0" collapsed="false">
      <c r="C457" s="1" t="s">
        <v>307</v>
      </c>
      <c r="D457" s="2" t="s">
        <v>85</v>
      </c>
      <c r="H457" s="32" t="n">
        <f aca="false">SUM(J457:AS457)</f>
        <v>203069.189530532</v>
      </c>
      <c r="J457" s="32" t="n">
        <f aca="false">J454+J456</f>
        <v>0</v>
      </c>
      <c r="K457" s="32" t="n">
        <f aca="false">K454+K456</f>
        <v>0</v>
      </c>
      <c r="L457" s="32" t="n">
        <f aca="false">L454+L456</f>
        <v>0</v>
      </c>
      <c r="M457" s="32" t="n">
        <f aca="false">M454+M456</f>
        <v>-29757.5797945206</v>
      </c>
      <c r="N457" s="32" t="n">
        <f aca="false">N454+N456</f>
        <v>-31358</v>
      </c>
      <c r="O457" s="32" t="n">
        <f aca="false">O454+O456</f>
        <v>-13293.6935392507</v>
      </c>
      <c r="P457" s="32" t="n">
        <f aca="false">P454+P456</f>
        <v>9253.07121072731</v>
      </c>
      <c r="Q457" s="32" t="n">
        <f aca="false">Q454+Q456</f>
        <v>11775.1054127908</v>
      </c>
      <c r="R457" s="32" t="n">
        <f aca="false">R454+R456</f>
        <v>9307.391838818</v>
      </c>
      <c r="S457" s="32" t="n">
        <f aca="false">S454+S456</f>
        <v>9333.46574562924</v>
      </c>
      <c r="T457" s="32" t="n">
        <f aca="false">T454+T456</f>
        <v>9358.77949184362</v>
      </c>
      <c r="U457" s="32" t="n">
        <f aca="false">U454+U456</f>
        <v>9383.30525994999</v>
      </c>
      <c r="V457" s="32" t="n">
        <f aca="false">V454+V456</f>
        <v>9407.01449027262</v>
      </c>
      <c r="W457" s="32" t="n">
        <f aca="false">W454+W456</f>
        <v>9429.87786243732</v>
      </c>
      <c r="X457" s="32" t="n">
        <f aca="false">X454+X456</f>
        <v>9451.8652763818</v>
      </c>
      <c r="Y457" s="32" t="n">
        <f aca="false">Y454+Y456</f>
        <v>9472.94583289924</v>
      </c>
      <c r="Z457" s="32" t="n">
        <f aca="false">Z454+Z456</f>
        <v>9493.08781370345</v>
      </c>
      <c r="AA457" s="32" t="n">
        <f aca="false">AA454+AA456</f>
        <v>9512.25866100409</v>
      </c>
      <c r="AB457" s="32" t="n">
        <f aca="false">AB454+AB456</f>
        <v>9530.42495657974</v>
      </c>
      <c r="AC457" s="32" t="n">
        <f aca="false">AC454+AC456</f>
        <v>9547.55240033664</v>
      </c>
      <c r="AD457" s="32" t="n">
        <f aca="false">AD454+AD456</f>
        <v>9563.6057883404</v>
      </c>
      <c r="AE457" s="32" t="n">
        <f aca="false">AE454+AE456</f>
        <v>9578.5489903079</v>
      </c>
      <c r="AF457" s="32" t="n">
        <f aca="false">AF454+AF456</f>
        <v>9592.34492654589</v>
      </c>
      <c r="AG457" s="32" t="n">
        <f aca="false">AG454+AG456</f>
        <v>9604.95554432298</v>
      </c>
      <c r="AH457" s="32" t="n">
        <f aca="false">AH454+AH456</f>
        <v>9616.34179366096</v>
      </c>
      <c r="AI457" s="32" t="n">
        <f aca="false">AI454+AI456</f>
        <v>9050.463158182</v>
      </c>
      <c r="AJ457" s="32" t="n">
        <f aca="false">AJ454+AJ456</f>
        <v>9059.27940709287</v>
      </c>
      <c r="AK457" s="32" t="n">
        <f aca="false">AK454+AK456</f>
        <v>9066.74790305173</v>
      </c>
      <c r="AL457" s="32" t="n">
        <f aca="false">AL454+AL456</f>
        <v>9072.8253528883</v>
      </c>
      <c r="AM457" s="32" t="n">
        <f aca="false">AM454+AM456</f>
        <v>9077.46733592206</v>
      </c>
      <c r="AN457" s="32" t="n">
        <f aca="false">AN454+AN456</f>
        <v>9080.62827595824</v>
      </c>
      <c r="AO457" s="32" t="n">
        <f aca="false">AO454+AO456</f>
        <v>9082.26141259599</v>
      </c>
      <c r="AP457" s="32" t="n">
        <f aca="false">AP454+AP456</f>
        <v>9082.31877183154</v>
      </c>
      <c r="AQ457" s="32" t="n">
        <f aca="false">AQ454+AQ456</f>
        <v>9080.75113593939</v>
      </c>
      <c r="AR457" s="32" t="n">
        <f aca="false">AR454+AR456</f>
        <v>9077.50801261365</v>
      </c>
      <c r="AS457" s="32" t="n">
        <f aca="false">AS454+AS456</f>
        <v>4536.26880167564</v>
      </c>
    </row>
    <row r="458" customFormat="false" ht="14.25" hidden="false" customHeight="false" outlineLevel="0" collapsed="false">
      <c r="C458" s="6" t="s">
        <v>308</v>
      </c>
      <c r="D458" s="2" t="s">
        <v>85</v>
      </c>
      <c r="H458" s="8" t="n">
        <f aca="false">SUM(J458:AS458)</f>
        <v>46080.0355479452</v>
      </c>
      <c r="J458" s="8" t="n">
        <f aca="false">$G$99*Gearing*J434</f>
        <v>0</v>
      </c>
      <c r="K458" s="8" t="n">
        <f aca="false">$G$99*Gearing*K434</f>
        <v>0</v>
      </c>
      <c r="L458" s="8" t="n">
        <f aca="false">$G$99*Gearing*L434</f>
        <v>0</v>
      </c>
      <c r="M458" s="8" t="n">
        <f aca="false">$G$99*Gearing*M434</f>
        <v>0</v>
      </c>
      <c r="N458" s="8" t="n">
        <f aca="false">$G$99*Gearing*N434</f>
        <v>0</v>
      </c>
      <c r="O458" s="8" t="n">
        <f aca="false">$G$99*Gearing*O434</f>
        <v>46080.0355479452</v>
      </c>
      <c r="P458" s="8" t="n">
        <f aca="false">$G$99*Gearing*P434</f>
        <v>0</v>
      </c>
      <c r="Q458" s="8" t="n">
        <f aca="false">$G$99*Gearing*Q434</f>
        <v>0</v>
      </c>
      <c r="R458" s="8" t="n">
        <f aca="false">$G$99*Gearing*R434</f>
        <v>0</v>
      </c>
      <c r="S458" s="8" t="n">
        <f aca="false">$G$99*Gearing*S434</f>
        <v>0</v>
      </c>
      <c r="T458" s="8" t="n">
        <f aca="false">$G$99*Gearing*T434</f>
        <v>0</v>
      </c>
      <c r="U458" s="8" t="n">
        <f aca="false">$G$99*Gearing*U434</f>
        <v>0</v>
      </c>
      <c r="V458" s="8" t="n">
        <f aca="false">$G$99*Gearing*V434</f>
        <v>0</v>
      </c>
      <c r="W458" s="8" t="n">
        <f aca="false">$G$99*Gearing*W434</f>
        <v>0</v>
      </c>
      <c r="X458" s="8" t="n">
        <f aca="false">$G$99*Gearing*X434</f>
        <v>0</v>
      </c>
      <c r="Y458" s="8" t="n">
        <f aca="false">$G$99*Gearing*Y434</f>
        <v>0</v>
      </c>
      <c r="Z458" s="8" t="n">
        <f aca="false">$G$99*Gearing*Z434</f>
        <v>0</v>
      </c>
      <c r="AA458" s="8" t="n">
        <f aca="false">$G$99*Gearing*AA434</f>
        <v>0</v>
      </c>
      <c r="AB458" s="8" t="n">
        <f aca="false">$G$99*Gearing*AB434</f>
        <v>0</v>
      </c>
      <c r="AC458" s="8" t="n">
        <f aca="false">$G$99*Gearing*AC434</f>
        <v>0</v>
      </c>
      <c r="AD458" s="8" t="n">
        <f aca="false">$G$99*Gearing*AD434</f>
        <v>0</v>
      </c>
      <c r="AE458" s="8" t="n">
        <f aca="false">$G$99*Gearing*AE434</f>
        <v>0</v>
      </c>
      <c r="AF458" s="8" t="n">
        <f aca="false">$G$99*Gearing*AF434</f>
        <v>0</v>
      </c>
      <c r="AG458" s="8" t="n">
        <f aca="false">$G$99*Gearing*AG434</f>
        <v>0</v>
      </c>
      <c r="AH458" s="8" t="n">
        <f aca="false">$G$99*Gearing*AH434</f>
        <v>0</v>
      </c>
      <c r="AI458" s="8" t="n">
        <f aca="false">$G$99*Gearing*AI434</f>
        <v>0</v>
      </c>
      <c r="AJ458" s="8" t="n">
        <f aca="false">$G$99*Gearing*AJ434</f>
        <v>0</v>
      </c>
      <c r="AK458" s="8" t="n">
        <f aca="false">$G$99*Gearing*AK434</f>
        <v>0</v>
      </c>
      <c r="AL458" s="8" t="n">
        <f aca="false">$G$99*Gearing*AL434</f>
        <v>0</v>
      </c>
      <c r="AM458" s="8" t="n">
        <f aca="false">$G$99*Gearing*AM434</f>
        <v>0</v>
      </c>
      <c r="AN458" s="8" t="n">
        <f aca="false">$G$99*Gearing*AN434</f>
        <v>0</v>
      </c>
      <c r="AO458" s="8" t="n">
        <f aca="false">$G$99*Gearing*AO434</f>
        <v>0</v>
      </c>
      <c r="AP458" s="8" t="n">
        <f aca="false">$G$99*Gearing*AP434</f>
        <v>0</v>
      </c>
      <c r="AQ458" s="8" t="n">
        <f aca="false">$G$99*Gearing*AQ434</f>
        <v>0</v>
      </c>
      <c r="AR458" s="8" t="n">
        <f aca="false">$G$99*Gearing*AR434</f>
        <v>0</v>
      </c>
      <c r="AS458" s="8" t="n">
        <f aca="false">$G$99*Gearing*AS434</f>
        <v>0</v>
      </c>
    </row>
    <row r="459" customFormat="false" ht="14.25" hidden="false" customHeight="false" outlineLevel="0" collapsed="false">
      <c r="C459" s="6" t="s">
        <v>309</v>
      </c>
      <c r="D459" s="2" t="s">
        <v>85</v>
      </c>
      <c r="H459" s="8" t="n">
        <f aca="false">SUM(J459:AS459)</f>
        <v>66591.8405670651</v>
      </c>
      <c r="J459" s="8" t="n">
        <f aca="false">-PMT(Debt_Rate,Debt_Tenor,$G$99*Gearing)*(J429&gt;=1)*(J429&lt;=Debt_Tenor)</f>
        <v>0</v>
      </c>
      <c r="K459" s="8" t="n">
        <f aca="false">-PMT(Debt_Rate,Debt_Tenor,$G$99*Gearing)*(K429&gt;=1)*(K429&lt;=Debt_Tenor)</f>
        <v>0</v>
      </c>
      <c r="L459" s="8" t="n">
        <f aca="false">-PMT(Debt_Rate,Debt_Tenor,$G$99*Gearing)*(L429&gt;=1)*(L429&lt;=Debt_Tenor)</f>
        <v>0</v>
      </c>
      <c r="M459" s="8" t="n">
        <f aca="false">-PMT(Debt_Rate,Debt_Tenor,$G$99*Gearing)*(M429&gt;=1)*(M429&lt;=Debt_Tenor)</f>
        <v>0</v>
      </c>
      <c r="N459" s="8" t="n">
        <f aca="false">-PMT(Debt_Rate,Debt_Tenor,$G$99*Gearing)*(N429&gt;=1)*(N429&lt;=Debt_Tenor)</f>
        <v>0</v>
      </c>
      <c r="O459" s="8" t="n">
        <f aca="false">-PMT(Debt_Rate,Debt_Tenor,$G$99*Gearing)*(O429&gt;=1)*(O429&lt;=Debt_Tenor)</f>
        <v>0</v>
      </c>
      <c r="P459" s="8" t="n">
        <f aca="false">-PMT(Debt_Rate,Debt_Tenor,$G$99*Gearing)*(P429&gt;=1)*(P429&lt;=Debt_Tenor)</f>
        <v>4439.45603780434</v>
      </c>
      <c r="Q459" s="8" t="n">
        <f aca="false">-PMT(Debt_Rate,Debt_Tenor,$G$99*Gearing)*(Q429&gt;=1)*(Q429&lt;=Debt_Tenor)</f>
        <v>4439.45603780434</v>
      </c>
      <c r="R459" s="8" t="n">
        <f aca="false">-PMT(Debt_Rate,Debt_Tenor,$G$99*Gearing)*(R429&gt;=1)*(R429&lt;=Debt_Tenor)</f>
        <v>4439.45603780434</v>
      </c>
      <c r="S459" s="8" t="n">
        <f aca="false">-PMT(Debt_Rate,Debt_Tenor,$G$99*Gearing)*(S429&gt;=1)*(S429&lt;=Debt_Tenor)</f>
        <v>4439.45603780434</v>
      </c>
      <c r="T459" s="8" t="n">
        <f aca="false">-PMT(Debt_Rate,Debt_Tenor,$G$99*Gearing)*(T429&gt;=1)*(T429&lt;=Debt_Tenor)</f>
        <v>4439.45603780434</v>
      </c>
      <c r="U459" s="8" t="n">
        <f aca="false">-PMT(Debt_Rate,Debt_Tenor,$G$99*Gearing)*(U429&gt;=1)*(U429&lt;=Debt_Tenor)</f>
        <v>4439.45603780434</v>
      </c>
      <c r="V459" s="8" t="n">
        <f aca="false">-PMT(Debt_Rate,Debt_Tenor,$G$99*Gearing)*(V429&gt;=1)*(V429&lt;=Debt_Tenor)</f>
        <v>4439.45603780434</v>
      </c>
      <c r="W459" s="8" t="n">
        <f aca="false">-PMT(Debt_Rate,Debt_Tenor,$G$99*Gearing)*(W429&gt;=1)*(W429&lt;=Debt_Tenor)</f>
        <v>4439.45603780434</v>
      </c>
      <c r="X459" s="8" t="n">
        <f aca="false">-PMT(Debt_Rate,Debt_Tenor,$G$99*Gearing)*(X429&gt;=1)*(X429&lt;=Debt_Tenor)</f>
        <v>4439.45603780434</v>
      </c>
      <c r="Y459" s="8" t="n">
        <f aca="false">-PMT(Debt_Rate,Debt_Tenor,$G$99*Gearing)*(Y429&gt;=1)*(Y429&lt;=Debt_Tenor)</f>
        <v>4439.45603780434</v>
      </c>
      <c r="Z459" s="8" t="n">
        <f aca="false">-PMT(Debt_Rate,Debt_Tenor,$G$99*Gearing)*(Z429&gt;=1)*(Z429&lt;=Debt_Tenor)</f>
        <v>4439.45603780434</v>
      </c>
      <c r="AA459" s="8" t="n">
        <f aca="false">-PMT(Debt_Rate,Debt_Tenor,$G$99*Gearing)*(AA429&gt;=1)*(AA429&lt;=Debt_Tenor)</f>
        <v>4439.45603780434</v>
      </c>
      <c r="AB459" s="8" t="n">
        <f aca="false">-PMT(Debt_Rate,Debt_Tenor,$G$99*Gearing)*(AB429&gt;=1)*(AB429&lt;=Debt_Tenor)</f>
        <v>4439.45603780434</v>
      </c>
      <c r="AC459" s="8" t="n">
        <f aca="false">-PMT(Debt_Rate,Debt_Tenor,$G$99*Gearing)*(AC429&gt;=1)*(AC429&lt;=Debt_Tenor)</f>
        <v>4439.45603780434</v>
      </c>
      <c r="AD459" s="8" t="n">
        <f aca="false">-PMT(Debt_Rate,Debt_Tenor,$G$99*Gearing)*(AD429&gt;=1)*(AD429&lt;=Debt_Tenor)</f>
        <v>4439.45603780434</v>
      </c>
      <c r="AE459" s="8" t="n">
        <f aca="false">-PMT(Debt_Rate,Debt_Tenor,$G$99*Gearing)*(AE429&gt;=1)*(AE429&lt;=Debt_Tenor)</f>
        <v>0</v>
      </c>
      <c r="AF459" s="8" t="n">
        <f aca="false">-PMT(Debt_Rate,Debt_Tenor,$G$99*Gearing)*(AF429&gt;=1)*(AF429&lt;=Debt_Tenor)</f>
        <v>0</v>
      </c>
      <c r="AG459" s="8" t="n">
        <f aca="false">-PMT(Debt_Rate,Debt_Tenor,$G$99*Gearing)*(AG429&gt;=1)*(AG429&lt;=Debt_Tenor)</f>
        <v>0</v>
      </c>
      <c r="AH459" s="8" t="n">
        <f aca="false">-PMT(Debt_Rate,Debt_Tenor,$G$99*Gearing)*(AH429&gt;=1)*(AH429&lt;=Debt_Tenor)</f>
        <v>0</v>
      </c>
      <c r="AI459" s="8" t="n">
        <f aca="false">-PMT(Debt_Rate,Debt_Tenor,$G$99*Gearing)*(AI429&gt;=1)*(AI429&lt;=Debt_Tenor)</f>
        <v>0</v>
      </c>
      <c r="AJ459" s="8" t="n">
        <f aca="false">-PMT(Debt_Rate,Debt_Tenor,$G$99*Gearing)*(AJ429&gt;=1)*(AJ429&lt;=Debt_Tenor)</f>
        <v>0</v>
      </c>
      <c r="AK459" s="8" t="n">
        <f aca="false">-PMT(Debt_Rate,Debt_Tenor,$G$99*Gearing)*(AK429&gt;=1)*(AK429&lt;=Debt_Tenor)</f>
        <v>0</v>
      </c>
      <c r="AL459" s="8" t="n">
        <f aca="false">-PMT(Debt_Rate,Debt_Tenor,$G$99*Gearing)*(AL429&gt;=1)*(AL429&lt;=Debt_Tenor)</f>
        <v>0</v>
      </c>
      <c r="AM459" s="8" t="n">
        <f aca="false">-PMT(Debt_Rate,Debt_Tenor,$G$99*Gearing)*(AM429&gt;=1)*(AM429&lt;=Debt_Tenor)</f>
        <v>0</v>
      </c>
      <c r="AN459" s="8" t="n">
        <f aca="false">-PMT(Debt_Rate,Debt_Tenor,$G$99*Gearing)*(AN429&gt;=1)*(AN429&lt;=Debt_Tenor)</f>
        <v>0</v>
      </c>
      <c r="AO459" s="8" t="n">
        <f aca="false">-PMT(Debt_Rate,Debt_Tenor,$G$99*Gearing)*(AO429&gt;=1)*(AO429&lt;=Debt_Tenor)</f>
        <v>0</v>
      </c>
      <c r="AP459" s="8" t="n">
        <f aca="false">-PMT(Debt_Rate,Debt_Tenor,$G$99*Gearing)*(AP429&gt;=1)*(AP429&lt;=Debt_Tenor)</f>
        <v>0</v>
      </c>
      <c r="AQ459" s="8" t="n">
        <f aca="false">-PMT(Debt_Rate,Debt_Tenor,$G$99*Gearing)*(AQ429&gt;=1)*(AQ429&lt;=Debt_Tenor)</f>
        <v>0</v>
      </c>
      <c r="AR459" s="8" t="n">
        <f aca="false">-PMT(Debt_Rate,Debt_Tenor,$G$99*Gearing)*(AR429&gt;=1)*(AR429&lt;=Debt_Tenor)</f>
        <v>0</v>
      </c>
      <c r="AS459" s="8" t="n">
        <f aca="false">-PMT(Debt_Rate,Debt_Tenor,$G$99*Gearing)*(AS429&gt;=1)*(AS429&lt;=Debt_Tenor)</f>
        <v>0</v>
      </c>
    </row>
    <row r="460" customFormat="false" ht="14.25" hidden="false" customHeight="false" outlineLevel="0" collapsed="false">
      <c r="C460" s="6" t="s">
        <v>310</v>
      </c>
      <c r="D460" s="2" t="s">
        <v>85</v>
      </c>
      <c r="H460" s="8" t="n">
        <f aca="false">SUM(J460:AS460)</f>
        <v>20511.8050191199</v>
      </c>
      <c r="J460" s="8" t="n">
        <f aca="false">I462*Debt_Rate*(J429&gt;=1)</f>
        <v>0</v>
      </c>
      <c r="K460" s="8" t="n">
        <f aca="false">J462*Debt_Rate*(K429&gt;=1)</f>
        <v>0</v>
      </c>
      <c r="L460" s="8" t="n">
        <f aca="false">K462*Debt_Rate*(L429&gt;=1)</f>
        <v>0</v>
      </c>
      <c r="M460" s="8" t="n">
        <f aca="false">L462*Debt_Rate*(M429&gt;=1)</f>
        <v>0</v>
      </c>
      <c r="N460" s="8" t="n">
        <f aca="false">M462*Debt_Rate*(N429&gt;=1)</f>
        <v>0</v>
      </c>
      <c r="O460" s="8" t="n">
        <f aca="false">N462*Debt_Rate*(O429&gt;=1)</f>
        <v>0</v>
      </c>
      <c r="P460" s="8" t="n">
        <f aca="false">O462*Debt_Rate*(P429&gt;=1)</f>
        <v>2304.00177739726</v>
      </c>
      <c r="Q460" s="8" t="n">
        <f aca="false">P462*Debt_Rate*(Q429&gt;=1)</f>
        <v>2197.22906437691</v>
      </c>
      <c r="R460" s="8" t="n">
        <f aca="false">Q462*Debt_Rate*(R429&gt;=1)</f>
        <v>2085.11771570553</v>
      </c>
      <c r="S460" s="8" t="n">
        <f aca="false">R462*Debt_Rate*(S429&gt;=1)</f>
        <v>1967.40079960059</v>
      </c>
      <c r="T460" s="8" t="n">
        <f aca="false">S462*Debt_Rate*(T429&gt;=1)</f>
        <v>1843.79803769041</v>
      </c>
      <c r="U460" s="8" t="n">
        <f aca="false">T462*Debt_Rate*(U429&gt;=1)</f>
        <v>1714.01513768471</v>
      </c>
      <c r="V460" s="8" t="n">
        <f aca="false">U462*Debt_Rate*(V429&gt;=1)</f>
        <v>1577.74309267873</v>
      </c>
      <c r="W460" s="8" t="n">
        <f aca="false">V462*Debt_Rate*(W429&gt;=1)</f>
        <v>1434.65744542245</v>
      </c>
      <c r="X460" s="8" t="n">
        <f aca="false">W462*Debt_Rate*(X429&gt;=1)</f>
        <v>1284.41751580335</v>
      </c>
      <c r="Y460" s="8" t="n">
        <f aca="false">X462*Debt_Rate*(Y429&gt;=1)</f>
        <v>1126.6655897033</v>
      </c>
      <c r="Z460" s="8" t="n">
        <f aca="false">Y462*Debt_Rate*(Z429&gt;=1)</f>
        <v>961.026067298251</v>
      </c>
      <c r="AA460" s="8" t="n">
        <f aca="false">Z462*Debt_Rate*(AA429&gt;=1)</f>
        <v>787.104568772946</v>
      </c>
      <c r="AB460" s="8" t="n">
        <f aca="false">AA462*Debt_Rate*(AB429&gt;=1)</f>
        <v>604.486995321376</v>
      </c>
      <c r="AC460" s="8" t="n">
        <f aca="false">AB462*Debt_Rate*(AC429&gt;=1)</f>
        <v>412.738543197228</v>
      </c>
      <c r="AD460" s="8" t="n">
        <f aca="false">AC462*Debt_Rate*(AD429&gt;=1)</f>
        <v>211.402668466872</v>
      </c>
      <c r="AE460" s="8" t="n">
        <f aca="false">AD462*Debt_Rate*(AE429&gt;=1)</f>
        <v>-1.36424205265939E-012</v>
      </c>
      <c r="AF460" s="8" t="n">
        <f aca="false">AE462*Debt_Rate*(AF429&gt;=1)</f>
        <v>-1.43245415529236E-012</v>
      </c>
      <c r="AG460" s="8" t="n">
        <f aca="false">AF462*Debt_Rate*(AG429&gt;=1)</f>
        <v>-1.50407686305698E-012</v>
      </c>
      <c r="AH460" s="8" t="n">
        <f aca="false">AG462*Debt_Rate*(AH429&gt;=1)</f>
        <v>-1.57928070620983E-012</v>
      </c>
      <c r="AI460" s="8" t="n">
        <f aca="false">AH462*Debt_Rate*(AI429&gt;=1)</f>
        <v>-1.65824474152032E-012</v>
      </c>
      <c r="AJ460" s="8" t="n">
        <f aca="false">AI462*Debt_Rate*(AJ429&gt;=1)</f>
        <v>-1.74115697859634E-012</v>
      </c>
      <c r="AK460" s="8" t="n">
        <f aca="false">AJ462*Debt_Rate*(AK429&gt;=1)</f>
        <v>-1.82821482752615E-012</v>
      </c>
      <c r="AL460" s="8" t="n">
        <f aca="false">AK462*Debt_Rate*(AL429&gt;=1)</f>
        <v>-1.91962556890246E-012</v>
      </c>
      <c r="AM460" s="8" t="n">
        <f aca="false">AL462*Debt_Rate*(AM429&gt;=1)</f>
        <v>-2.01560684734758E-012</v>
      </c>
      <c r="AN460" s="8" t="n">
        <f aca="false">AM462*Debt_Rate*(AN429&gt;=1)</f>
        <v>-2.11638718971496E-012</v>
      </c>
      <c r="AO460" s="8" t="n">
        <f aca="false">AN462*Debt_Rate*(AO429&gt;=1)</f>
        <v>-2.22220654920071E-012</v>
      </c>
      <c r="AP460" s="8" t="n">
        <f aca="false">AO462*Debt_Rate*(AP429&gt;=1)</f>
        <v>-2.33331687666075E-012</v>
      </c>
      <c r="AQ460" s="8" t="n">
        <f aca="false">AP462*Debt_Rate*(AQ429&gt;=1)</f>
        <v>-2.44998272049379E-012</v>
      </c>
      <c r="AR460" s="8" t="n">
        <f aca="false">AQ462*Debt_Rate*(AR429&gt;=1)</f>
        <v>-2.57248185651847E-012</v>
      </c>
      <c r="AS460" s="8" t="n">
        <f aca="false">AR462*Debt_Rate*(AS429&gt;=1)</f>
        <v>-2.7011059493444E-012</v>
      </c>
    </row>
    <row r="461" customFormat="false" ht="14.25" hidden="false" customHeight="false" outlineLevel="0" collapsed="false">
      <c r="C461" s="6" t="s">
        <v>311</v>
      </c>
      <c r="D461" s="2" t="s">
        <v>85</v>
      </c>
      <c r="H461" s="8" t="n">
        <f aca="false">SUM(J461:AS461)</f>
        <v>46080.0355479453</v>
      </c>
      <c r="J461" s="8" t="n">
        <f aca="false">J459-J460</f>
        <v>0</v>
      </c>
      <c r="K461" s="8" t="n">
        <f aca="false">K459-K460</f>
        <v>0</v>
      </c>
      <c r="L461" s="8" t="n">
        <f aca="false">L459-L460</f>
        <v>0</v>
      </c>
      <c r="M461" s="8" t="n">
        <f aca="false">M459-M460</f>
        <v>0</v>
      </c>
      <c r="N461" s="8" t="n">
        <f aca="false">N459-N460</f>
        <v>0</v>
      </c>
      <c r="O461" s="8" t="n">
        <f aca="false">O459-O460</f>
        <v>0</v>
      </c>
      <c r="P461" s="8" t="n">
        <f aca="false">P459-P460</f>
        <v>2135.45426040708</v>
      </c>
      <c r="Q461" s="8" t="n">
        <f aca="false">Q459-Q460</f>
        <v>2242.22697342744</v>
      </c>
      <c r="R461" s="8" t="n">
        <f aca="false">R459-R460</f>
        <v>2354.33832209881</v>
      </c>
      <c r="S461" s="8" t="n">
        <f aca="false">S459-S460</f>
        <v>2472.05523820375</v>
      </c>
      <c r="T461" s="8" t="n">
        <f aca="false">T459-T460</f>
        <v>2595.65800011394</v>
      </c>
      <c r="U461" s="8" t="n">
        <f aca="false">U459-U460</f>
        <v>2725.44090011963</v>
      </c>
      <c r="V461" s="8" t="n">
        <f aca="false">V459-V460</f>
        <v>2861.71294512561</v>
      </c>
      <c r="W461" s="8" t="n">
        <f aca="false">W459-W460</f>
        <v>3004.7985923819</v>
      </c>
      <c r="X461" s="8" t="n">
        <f aca="false">X459-X460</f>
        <v>3155.03852200099</v>
      </c>
      <c r="Y461" s="8" t="n">
        <f aca="false">Y459-Y460</f>
        <v>3312.79044810104</v>
      </c>
      <c r="Z461" s="8" t="n">
        <f aca="false">Z459-Z460</f>
        <v>3478.42997050609</v>
      </c>
      <c r="AA461" s="8" t="n">
        <f aca="false">AA459-AA460</f>
        <v>3652.3514690314</v>
      </c>
      <c r="AB461" s="8" t="n">
        <f aca="false">AB459-AB460</f>
        <v>3834.96904248297</v>
      </c>
      <c r="AC461" s="8" t="n">
        <f aca="false">AC459-AC460</f>
        <v>4026.71749460711</v>
      </c>
      <c r="AD461" s="8" t="n">
        <f aca="false">AD459-AD460</f>
        <v>4228.05336933747</v>
      </c>
      <c r="AE461" s="8" t="n">
        <f aca="false">AE459-AE460</f>
        <v>1.36424205265939E-012</v>
      </c>
      <c r="AF461" s="8" t="n">
        <f aca="false">AF459-AF460</f>
        <v>1.43245415529236E-012</v>
      </c>
      <c r="AG461" s="8" t="n">
        <f aca="false">AG459-AG460</f>
        <v>1.50407686305698E-012</v>
      </c>
      <c r="AH461" s="8" t="n">
        <f aca="false">AH459-AH460</f>
        <v>1.57928070620983E-012</v>
      </c>
      <c r="AI461" s="8" t="n">
        <f aca="false">AI459-AI460</f>
        <v>1.65824474152032E-012</v>
      </c>
      <c r="AJ461" s="8" t="n">
        <f aca="false">AJ459-AJ460</f>
        <v>1.74115697859634E-012</v>
      </c>
      <c r="AK461" s="8" t="n">
        <f aca="false">AK459-AK460</f>
        <v>1.82821482752615E-012</v>
      </c>
      <c r="AL461" s="8" t="n">
        <f aca="false">AL459-AL460</f>
        <v>1.91962556890246E-012</v>
      </c>
      <c r="AM461" s="8" t="n">
        <f aca="false">AM459-AM460</f>
        <v>2.01560684734758E-012</v>
      </c>
      <c r="AN461" s="8" t="n">
        <f aca="false">AN459-AN460</f>
        <v>2.11638718971496E-012</v>
      </c>
      <c r="AO461" s="8" t="n">
        <f aca="false">AO459-AO460</f>
        <v>2.22220654920071E-012</v>
      </c>
      <c r="AP461" s="8" t="n">
        <f aca="false">AP459-AP460</f>
        <v>2.33331687666075E-012</v>
      </c>
      <c r="AQ461" s="8" t="n">
        <f aca="false">AQ459-AQ460</f>
        <v>2.44998272049379E-012</v>
      </c>
      <c r="AR461" s="8" t="n">
        <f aca="false">AR459-AR460</f>
        <v>2.57248185651847E-012</v>
      </c>
      <c r="AS461" s="8" t="n">
        <f aca="false">AS459-AS460</f>
        <v>2.7011059493444E-012</v>
      </c>
    </row>
    <row r="462" customFormat="false" ht="14.25" hidden="false" customHeight="false" outlineLevel="0" collapsed="false">
      <c r="C462" s="6" t="s">
        <v>312</v>
      </c>
      <c r="D462" s="2" t="s">
        <v>85</v>
      </c>
      <c r="H462" s="8"/>
      <c r="J462" s="8" t="n">
        <f aca="false">I462+J458-J461</f>
        <v>0</v>
      </c>
      <c r="K462" s="8" t="n">
        <f aca="false">J462+K458-K461</f>
        <v>0</v>
      </c>
      <c r="L462" s="8" t="n">
        <f aca="false">K462+L458-L461</f>
        <v>0</v>
      </c>
      <c r="M462" s="8" t="n">
        <f aca="false">L462+M458-M461</f>
        <v>0</v>
      </c>
      <c r="N462" s="8" t="n">
        <f aca="false">M462+N458-N461</f>
        <v>0</v>
      </c>
      <c r="O462" s="8" t="n">
        <f aca="false">N462+O458-O461</f>
        <v>46080.0355479452</v>
      </c>
      <c r="P462" s="8" t="n">
        <f aca="false">O462+P458-P461</f>
        <v>43944.5812875381</v>
      </c>
      <c r="Q462" s="8" t="n">
        <f aca="false">P462+Q458-Q461</f>
        <v>41702.3543141107</v>
      </c>
      <c r="R462" s="8" t="n">
        <f aca="false">Q462+R458-R461</f>
        <v>39348.0159920119</v>
      </c>
      <c r="S462" s="8" t="n">
        <f aca="false">R462+S458-S461</f>
        <v>36875.9607538081</v>
      </c>
      <c r="T462" s="8" t="n">
        <f aca="false">S462+T458-T461</f>
        <v>34280.3027536942</v>
      </c>
      <c r="U462" s="8" t="n">
        <f aca="false">T462+U458-U461</f>
        <v>31554.8618535746</v>
      </c>
      <c r="V462" s="8" t="n">
        <f aca="false">U462+V458-V461</f>
        <v>28693.1489084489</v>
      </c>
      <c r="W462" s="8" t="n">
        <f aca="false">V462+W458-W461</f>
        <v>25688.350316067</v>
      </c>
      <c r="X462" s="8" t="n">
        <f aca="false">W462+X458-X461</f>
        <v>22533.3117940661</v>
      </c>
      <c r="Y462" s="8" t="n">
        <f aca="false">X462+Y458-Y461</f>
        <v>19220.521345965</v>
      </c>
      <c r="Z462" s="8" t="n">
        <f aca="false">Y462+Z458-Z461</f>
        <v>15742.0913754589</v>
      </c>
      <c r="AA462" s="8" t="n">
        <f aca="false">Z462+AA458-AA461</f>
        <v>12089.7399064275</v>
      </c>
      <c r="AB462" s="8" t="n">
        <f aca="false">AA462+AB458-AB461</f>
        <v>8254.77086394456</v>
      </c>
      <c r="AC462" s="8" t="n">
        <f aca="false">AB462+AC458-AC461</f>
        <v>4228.05336933744</v>
      </c>
      <c r="AD462" s="8" t="n">
        <f aca="false">AC462+AD458-AD461</f>
        <v>-2.72848410531878E-011</v>
      </c>
      <c r="AE462" s="8" t="n">
        <f aca="false">AD462+AE458-AE461</f>
        <v>-2.86490831058472E-011</v>
      </c>
      <c r="AF462" s="8" t="n">
        <f aca="false">AE462+AF458-AF461</f>
        <v>-3.00815372611396E-011</v>
      </c>
      <c r="AG462" s="8" t="n">
        <f aca="false">AF462+AG458-AG461</f>
        <v>-3.15856141241966E-011</v>
      </c>
      <c r="AH462" s="8" t="n">
        <f aca="false">AG462+AH458-AH461</f>
        <v>-3.31648948304064E-011</v>
      </c>
      <c r="AI462" s="8" t="n">
        <f aca="false">AH462+AI458-AI461</f>
        <v>-3.48231395719267E-011</v>
      </c>
      <c r="AJ462" s="8" t="n">
        <f aca="false">AI462+AJ458-AJ461</f>
        <v>-3.65642965505231E-011</v>
      </c>
      <c r="AK462" s="8" t="n">
        <f aca="false">AJ462+AK458-AK461</f>
        <v>-3.83925113780492E-011</v>
      </c>
      <c r="AL462" s="8" t="n">
        <f aca="false">AK462+AL458-AL461</f>
        <v>-4.03121369469517E-011</v>
      </c>
      <c r="AM462" s="8" t="n">
        <f aca="false">AL462+AM458-AM461</f>
        <v>-4.23277437942993E-011</v>
      </c>
      <c r="AN462" s="8" t="n">
        <f aca="false">AM462+AN458-AN461</f>
        <v>-4.44441309840142E-011</v>
      </c>
      <c r="AO462" s="8" t="n">
        <f aca="false">AN462+AO458-AO461</f>
        <v>-4.6666337533215E-011</v>
      </c>
      <c r="AP462" s="8" t="n">
        <f aca="false">AO462+AP458-AP461</f>
        <v>-4.89996544098757E-011</v>
      </c>
      <c r="AQ462" s="8" t="n">
        <f aca="false">AP462+AQ458-AQ461</f>
        <v>-5.14496371303695E-011</v>
      </c>
      <c r="AR462" s="8" t="n">
        <f aca="false">AQ462+AR458-AR461</f>
        <v>-5.4022118986888E-011</v>
      </c>
      <c r="AS462" s="8" t="n">
        <f aca="false">AR462+AS458-AS461</f>
        <v>-5.67232249362324E-011</v>
      </c>
    </row>
    <row r="463" customFormat="false" ht="14.25" hidden="false" customHeight="false" outlineLevel="0" collapsed="false">
      <c r="C463" s="6" t="s">
        <v>313</v>
      </c>
      <c r="D463" s="2" t="s">
        <v>85</v>
      </c>
      <c r="H463" s="8" t="n">
        <f aca="false">SUM(J463:AS463)</f>
        <v>-32758.9685760495</v>
      </c>
      <c r="J463" s="8" t="n">
        <f aca="false">-MAX(0,J453+J455-J460)*CIT_Rate*(J433&gt;0)</f>
        <v>-0</v>
      </c>
      <c r="K463" s="8" t="n">
        <f aca="false">-MAX(0,K453+K455-K460)*CIT_Rate*(K433&gt;0)</f>
        <v>-0</v>
      </c>
      <c r="L463" s="8" t="n">
        <f aca="false">-MAX(0,L453+L455-L460)*CIT_Rate*(L433&gt;0)</f>
        <v>-0</v>
      </c>
      <c r="M463" s="8" t="n">
        <f aca="false">-MAX(0,M453+M455-M460)*CIT_Rate*(M433&gt;0)</f>
        <v>-0</v>
      </c>
      <c r="N463" s="8" t="n">
        <f aca="false">-MAX(0,N453+N455-N460)*CIT_Rate*(N433&gt;0)</f>
        <v>-0</v>
      </c>
      <c r="O463" s="8" t="n">
        <f aca="false">-MAX(0,O453+O455-O460)*CIT_Rate*(O433&gt;0)</f>
        <v>-184.465323250685</v>
      </c>
      <c r="P463" s="8" t="n">
        <f aca="false">-MAX(0,P453+P455-P460)*CIT_Rate*(P433&gt;0)</f>
        <v>-609.647071343096</v>
      </c>
      <c r="Q463" s="8" t="n">
        <f aca="false">-MAX(0,Q453+Q455-Q460)*CIT_Rate*(Q433&gt;0)</f>
        <v>-630.518329022906</v>
      </c>
      <c r="R463" s="8" t="n">
        <f aca="false">-MAX(0,R453+R455-R460)*CIT_Rate*(R433&gt;0)</f>
        <v>-652.065673789328</v>
      </c>
      <c r="S463" s="8" t="n">
        <f aca="false">-MAX(0,S453+S455-S460)*CIT_Rate*(S433&gt;0)</f>
        <v>-674.324488877641</v>
      </c>
      <c r="T463" s="8" t="n">
        <f aca="false">-MAX(0,T453+T455-T460)*CIT_Rate*(T433&gt;0)</f>
        <v>-697.332034849061</v>
      </c>
      <c r="U463" s="8" t="n">
        <f aca="false">-MAX(0,U453+U455-U460)*CIT_Rate*(U433&gt;0)</f>
        <v>-721.127546574568</v>
      </c>
      <c r="V463" s="8" t="n">
        <f aca="false">-MAX(0,V453+V455-V460)*CIT_Rate*(V433&gt;0)</f>
        <v>-745.752335147106</v>
      </c>
      <c r="W463" s="8" t="n">
        <f aca="false">-MAX(0,W453+W455-W460)*CIT_Rate*(W433&gt;0)</f>
        <v>-771.249894970495</v>
      </c>
      <c r="X463" s="8" t="n">
        <f aca="false">-MAX(0,X453+X455-X460)*CIT_Rate*(X433&gt;0)</f>
        <v>-797.666016285915</v>
      </c>
      <c r="Y463" s="8" t="n">
        <f aca="false">-MAX(0,Y453+Y455-Y460)*CIT_Rate*(Y433&gt;0)</f>
        <v>-825.048903409881</v>
      </c>
      <c r="Z463" s="8" t="n">
        <f aca="false">-MAX(0,Z453+Z455-Z460)*CIT_Rate*(Z433&gt;0)</f>
        <v>-853.449298971383</v>
      </c>
      <c r="AA463" s="8" t="n">
        <f aca="false">-MAX(0,AA453+AA455-AA460)*CIT_Rate*(AA433&gt;0)</f>
        <v>-882.920614450292</v>
      </c>
      <c r="AB463" s="8" t="n">
        <f aca="false">-MAX(0,AB453+AB455-AB460)*CIT_Rate*(AB433&gt;0)</f>
        <v>-913.519067334319</v>
      </c>
      <c r="AC463" s="8" t="n">
        <f aca="false">-MAX(0,AC453+AC455-AC460)*CIT_Rate*(AC433&gt;0)</f>
        <v>-945.303825227687</v>
      </c>
      <c r="AD463" s="8" t="n">
        <f aca="false">-MAX(0,AD453+AD455-AD460)*CIT_Rate*(AD433&gt;0)</f>
        <v>-978.337157261434</v>
      </c>
      <c r="AE463" s="8" t="n">
        <f aca="false">-MAX(0,AE453+AE455-AE460)*CIT_Rate*(AE433&gt;0)</f>
        <v>-1012.68459317279</v>
      </c>
      <c r="AF463" s="8" t="n">
        <f aca="false">-MAX(0,AF453+AF455-AF460)*CIT_Rate*(AF433&gt;0)</f>
        <v>-1015.11917015596</v>
      </c>
      <c r="AG463" s="8" t="n">
        <f aca="false">-MAX(0,AG453+AG455-AG460)*CIT_Rate*(AG433&gt;0)</f>
        <v>-1017.3445732931</v>
      </c>
      <c r="AH463" s="8" t="n">
        <f aca="false">-MAX(0,AH453+AH455-AH460)*CIT_Rate*(AH433&gt;0)</f>
        <v>-1019.35391141156</v>
      </c>
      <c r="AI463" s="8" t="n">
        <f aca="false">-MAX(0,AI453+AI455-AI460)*CIT_Rate*(AI433&gt;0)</f>
        <v>-1597.14055732624</v>
      </c>
      <c r="AJ463" s="8" t="n">
        <f aca="false">-MAX(0,AJ453+AJ455-AJ460)*CIT_Rate*(AJ433&gt;0)</f>
        <v>-1598.69636595756</v>
      </c>
      <c r="AK463" s="8" t="n">
        <f aca="false">-MAX(0,AK453+AK455-AK460)*CIT_Rate*(AK433&gt;0)</f>
        <v>-1600.01433583266</v>
      </c>
      <c r="AL463" s="8" t="n">
        <f aca="false">-MAX(0,AL453+AL455-AL460)*CIT_Rate*(AL433&gt;0)</f>
        <v>-1601.08682698029</v>
      </c>
      <c r="AM463" s="8" t="n">
        <f aca="false">-MAX(0,AM453+AM455-AM460)*CIT_Rate*(AM433&gt;0)</f>
        <v>-1601.90600045683</v>
      </c>
      <c r="AN463" s="8" t="n">
        <f aca="false">-MAX(0,AN453+AN455-AN460)*CIT_Rate*(AN433&gt;0)</f>
        <v>-1602.4638134044</v>
      </c>
      <c r="AO463" s="8" t="n">
        <f aca="false">-MAX(0,AO453+AO455-AO460)*CIT_Rate*(AO433&gt;0)</f>
        <v>-1602.75201398753</v>
      </c>
      <c r="AP463" s="8" t="n">
        <f aca="false">-MAX(0,AP453+AP455-AP460)*CIT_Rate*(AP433&gt;0)</f>
        <v>-1602.76213620557</v>
      </c>
      <c r="AQ463" s="8" t="n">
        <f aca="false">-MAX(0,AQ453+AQ455-AQ460)*CIT_Rate*(AQ433&gt;0)</f>
        <v>-1602.48549457754</v>
      </c>
      <c r="AR463" s="8" t="n">
        <f aca="false">-MAX(0,AR453+AR455-AR460)*CIT_Rate*(AR433&gt;0)</f>
        <v>-1601.91317869653</v>
      </c>
      <c r="AS463" s="8" t="n">
        <f aca="false">-MAX(0,AS453+AS455-AS460)*CIT_Rate*(AS433&gt;0)</f>
        <v>-800.518023825113</v>
      </c>
    </row>
    <row r="464" customFormat="false" ht="14.25" hidden="false" customHeight="false" outlineLevel="0" collapsed="false">
      <c r="C464" s="1" t="s">
        <v>161</v>
      </c>
      <c r="D464" s="2" t="s">
        <v>85</v>
      </c>
      <c r="H464" s="32" t="n">
        <f aca="false">SUM(J464:AS464)</f>
        <v>185634.15526428</v>
      </c>
      <c r="J464" s="32" t="n">
        <f aca="false">J454+J458-J459+J463</f>
        <v>0</v>
      </c>
      <c r="K464" s="32" t="n">
        <f aca="false">K454+K458-K459+K463</f>
        <v>0</v>
      </c>
      <c r="L464" s="32" t="n">
        <f aca="false">L454+L458-L459+L463</f>
        <v>0</v>
      </c>
      <c r="M464" s="32" t="n">
        <f aca="false">M454+M458-M459+M463</f>
        <v>-29757.5797945206</v>
      </c>
      <c r="N464" s="32" t="n">
        <f aca="false">N454+N458-N459+N463</f>
        <v>-31358</v>
      </c>
      <c r="O464" s="32" t="n">
        <f aca="false">O454+O458-O459+O463</f>
        <v>32786.3420086945</v>
      </c>
      <c r="P464" s="32" t="n">
        <f aca="false">P454+P458-P459+P463</f>
        <v>5159.21543953256</v>
      </c>
      <c r="Q464" s="32" t="n">
        <f aca="false">Q454+Q458-Q459+Q463</f>
        <v>7665.23373464301</v>
      </c>
      <c r="R464" s="32" t="n">
        <f aca="false">R454+R458-R459+R463</f>
        <v>5180.70345836949</v>
      </c>
      <c r="S464" s="32" t="n">
        <f aca="false">S454+S458-S459+S463</f>
        <v>5189.11982776499</v>
      </c>
      <c r="T464" s="32" t="n">
        <f aca="false">T454+T458-T459+T463</f>
        <v>5195.89315969284</v>
      </c>
      <c r="U464" s="32" t="n">
        <f aca="false">U454+U458-U459+U463</f>
        <v>5200.95149279836</v>
      </c>
      <c r="V464" s="32" t="n">
        <f aca="false">V454+V458-V459+V463</f>
        <v>5204.21991637009</v>
      </c>
      <c r="W464" s="32" t="n">
        <f aca="false">W454+W458-W459+W463</f>
        <v>5205.62044144634</v>
      </c>
      <c r="X464" s="32" t="n">
        <f aca="false">X454+X458-X459+X463</f>
        <v>5205.07186594796</v>
      </c>
      <c r="Y464" s="32" t="n">
        <f aca="false">Y454+Y458-Y459+Y463</f>
        <v>5202.48963355039</v>
      </c>
      <c r="Z464" s="32" t="n">
        <f aca="false">Z454+Z458-Z459+Z463</f>
        <v>5197.78568599385</v>
      </c>
      <c r="AA464" s="32" t="n">
        <f aca="false">AA454+AA458-AA459+AA463</f>
        <v>5190.86830851569</v>
      </c>
      <c r="AB464" s="32" t="n">
        <f aca="false">AB454+AB458-AB459+AB463</f>
        <v>5181.64196807361</v>
      </c>
      <c r="AC464" s="32" t="n">
        <f aca="false">AC454+AC458-AC459+AC463</f>
        <v>5170.00714401188</v>
      </c>
      <c r="AD464" s="32" t="n">
        <f aca="false">AD454+AD458-AD459+AD463</f>
        <v>5155.86015080609</v>
      </c>
      <c r="AE464" s="32" t="n">
        <f aca="false">AE454+AE458-AE459+AE463</f>
        <v>9578.5489903079</v>
      </c>
      <c r="AF464" s="32" t="n">
        <f aca="false">AF454+AF458-AF459+AF463</f>
        <v>9592.34492654589</v>
      </c>
      <c r="AG464" s="32" t="n">
        <f aca="false">AG454+AG458-AG459+AG463</f>
        <v>9604.95554432298</v>
      </c>
      <c r="AH464" s="32" t="n">
        <f aca="false">AH454+AH458-AH459+AH463</f>
        <v>9616.34179366096</v>
      </c>
      <c r="AI464" s="32" t="n">
        <f aca="false">AI454+AI458-AI459+AI463</f>
        <v>9050.463158182</v>
      </c>
      <c r="AJ464" s="32" t="n">
        <f aca="false">AJ454+AJ458-AJ459+AJ463</f>
        <v>9059.27940709287</v>
      </c>
      <c r="AK464" s="32" t="n">
        <f aca="false">AK454+AK458-AK459+AK463</f>
        <v>9066.74790305173</v>
      </c>
      <c r="AL464" s="32" t="n">
        <f aca="false">AL454+AL458-AL459+AL463</f>
        <v>9072.8253528883</v>
      </c>
      <c r="AM464" s="32" t="n">
        <f aca="false">AM454+AM458-AM459+AM463</f>
        <v>9077.46733592206</v>
      </c>
      <c r="AN464" s="32" t="n">
        <f aca="false">AN454+AN458-AN459+AN463</f>
        <v>9080.62827595824</v>
      </c>
      <c r="AO464" s="32" t="n">
        <f aca="false">AO454+AO458-AO459+AO463</f>
        <v>9082.26141259599</v>
      </c>
      <c r="AP464" s="32" t="n">
        <f aca="false">AP454+AP458-AP459+AP463</f>
        <v>9082.31877183154</v>
      </c>
      <c r="AQ464" s="32" t="n">
        <f aca="false">AQ454+AQ458-AQ459+AQ463</f>
        <v>9080.75113593939</v>
      </c>
      <c r="AR464" s="32" t="n">
        <f aca="false">AR454+AR458-AR459+AR463</f>
        <v>9077.50801261365</v>
      </c>
      <c r="AS464" s="32" t="n">
        <f aca="false">AS454+AS458-AS459+AS463</f>
        <v>4536.26880167564</v>
      </c>
    </row>
    <row r="465" customFormat="false" ht="14.25" hidden="false" customHeight="false" outlineLevel="0" collapsed="false">
      <c r="C465" s="6" t="s">
        <v>314</v>
      </c>
      <c r="D465" s="2" t="s">
        <v>3</v>
      </c>
      <c r="H465" s="47" t="n">
        <f aca="false">MIN(J465:AS465)</f>
        <v>2.29945255944663</v>
      </c>
      <c r="J465" s="47" t="str">
        <f aca="false">IF(J459&gt;0,J453/J459,"")</f>
        <v/>
      </c>
      <c r="K465" s="47" t="str">
        <f aca="false">IF(K459&gt;0,K453/K459,"")</f>
        <v/>
      </c>
      <c r="L465" s="47" t="str">
        <f aca="false">IF(L459&gt;0,L453/L459,"")</f>
        <v/>
      </c>
      <c r="M465" s="47" t="str">
        <f aca="false">IF(M459&gt;0,M453/M459,"")</f>
        <v/>
      </c>
      <c r="N465" s="47" t="str">
        <f aca="false">IF(N459&gt;0,N453/N459,"")</f>
        <v/>
      </c>
      <c r="O465" s="47" t="str">
        <f aca="false">IF(O459&gt;0,O453/O459,"")</f>
        <v/>
      </c>
      <c r="P465" s="47" t="n">
        <f aca="false">IF(P459&gt;0,P453/P459,"")</f>
        <v>2.29945255944663</v>
      </c>
      <c r="Q465" s="47" t="n">
        <f aca="false">IF(Q459&gt;0,Q453/Q459,"")</f>
        <v>2.3067437691285</v>
      </c>
      <c r="R465" s="47" t="n">
        <f aca="false">IF(R459&gt;0,R453/R459,"")</f>
        <v>2.31384770622564</v>
      </c>
      <c r="S465" s="47" t="n">
        <f aca="false">IF(S459&gt;0,S453/S459,"")</f>
        <v>2.32075737809143</v>
      </c>
      <c r="T465" s="47" t="n">
        <f aca="false">IF(T459&gt;0,T453/T459,"")</f>
        <v>2.32746560487545</v>
      </c>
      <c r="U465" s="47" t="n">
        <f aca="false">IF(U459&gt;0,U453/U459,"")</f>
        <v>2.33396501484489</v>
      </c>
      <c r="V465" s="47" t="n">
        <f aca="false">IF(V459&gt;0,V453/V459,"")</f>
        <v>2.34024803959089</v>
      </c>
      <c r="W465" s="47" t="n">
        <f aca="false">IF(W459&gt;0,W453/W459,"")</f>
        <v>2.34630690911693</v>
      </c>
      <c r="X465" s="47" t="n">
        <f aca="false">IF(X459&gt;0,X453/X459,"")</f>
        <v>2.35213364680658</v>
      </c>
      <c r="Y465" s="47" t="n">
        <f aca="false">IF(Y459&gt;0,Y453/Y459,"")</f>
        <v>2.35772006426746</v>
      </c>
      <c r="Z465" s="47" t="n">
        <f aca="false">IF(Z459&gt;0,Z453/Z459,"")</f>
        <v>2.36305775604843</v>
      </c>
      <c r="AA465" s="47" t="n">
        <f aca="false">IF(AA459&gt;0,AA453/AA459,"")</f>
        <v>2.36813809422696</v>
      </c>
      <c r="AB465" s="47" t="n">
        <f aca="false">IF(AB459&gt;0,AB453/AB459,"")</f>
        <v>2.37295222286343</v>
      </c>
      <c r="AC465" s="47" t="n">
        <f aca="false">IF(AC459&gt;0,AC453/AC459,"")</f>
        <v>2.37749105231912</v>
      </c>
      <c r="AD465" s="47" t="n">
        <f aca="false">IF(AD459&gt;0,AD453/AD459,"")</f>
        <v>2.38174525343455</v>
      </c>
      <c r="AE465" s="47" t="str">
        <f aca="false">IF(AE459&gt;0,AE453/AE459,"")</f>
        <v/>
      </c>
      <c r="AF465" s="47" t="str">
        <f aca="false">IF(AF459&gt;0,AF453/AF459,"")</f>
        <v/>
      </c>
      <c r="AG465" s="47" t="str">
        <f aca="false">IF(AG459&gt;0,AG453/AG459,"")</f>
        <v/>
      </c>
      <c r="AH465" s="47" t="str">
        <f aca="false">IF(AH459&gt;0,AH453/AH459,"")</f>
        <v/>
      </c>
      <c r="AI465" s="47" t="str">
        <f aca="false">IF(AI459&gt;0,AI453/AI459,"")</f>
        <v/>
      </c>
      <c r="AJ465" s="47" t="str">
        <f aca="false">IF(AJ459&gt;0,AJ453/AJ459,"")</f>
        <v/>
      </c>
      <c r="AK465" s="47" t="str">
        <f aca="false">IF(AK459&gt;0,AK453/AK459,"")</f>
        <v/>
      </c>
      <c r="AL465" s="47" t="str">
        <f aca="false">IF(AL459&gt;0,AL453/AL459,"")</f>
        <v/>
      </c>
      <c r="AM465" s="47" t="str">
        <f aca="false">IF(AM459&gt;0,AM453/AM459,"")</f>
        <v/>
      </c>
      <c r="AN465" s="47" t="str">
        <f aca="false">IF(AN459&gt;0,AN453/AN459,"")</f>
        <v/>
      </c>
      <c r="AO465" s="47" t="str">
        <f aca="false">IF(AO459&gt;0,AO453/AO459,"")</f>
        <v/>
      </c>
      <c r="AP465" s="47" t="str">
        <f aca="false">IF(AP459&gt;0,AP453/AP459,"")</f>
        <v/>
      </c>
      <c r="AQ465" s="47" t="str">
        <f aca="false">IF(AQ459&gt;0,AQ453/AQ459,"")</f>
        <v/>
      </c>
      <c r="AR465" s="47" t="str">
        <f aca="false">IF(AR459&gt;0,AR453/AR459,"")</f>
        <v/>
      </c>
      <c r="AS465" s="47" t="str">
        <f aca="false">IF(AS459&gt;0,AS453/AS459,"")</f>
        <v/>
      </c>
    </row>
    <row r="466" customFormat="false" ht="14.25" hidden="false" customHeight="false" outlineLevel="0" collapsed="false">
      <c r="C466" s="6" t="s">
        <v>315</v>
      </c>
      <c r="D466" s="2" t="s">
        <v>3</v>
      </c>
      <c r="J466" s="75" t="n">
        <f aca="false">(1+Discount_Rate)^((Inputs!$G$26-J$340)/Days_In_Year)</f>
        <v>1.41371255107938</v>
      </c>
      <c r="K466" s="75" t="n">
        <f aca="false">(1+Discount_Rate)^((Inputs!$G$26-K$340)/Days_In_Year)</f>
        <v>1.30899310285128</v>
      </c>
      <c r="L466" s="75" t="n">
        <f aca="false">(1+Discount_Rate)^((Inputs!$G$26-L$340)/Days_In_Year)</f>
        <v>1.21177511843915</v>
      </c>
      <c r="M466" s="75" t="n">
        <f aca="false">(1+Discount_Rate)^((Inputs!$G$26-M$340)/Days_In_Year)</f>
        <v>1.12201399855477</v>
      </c>
      <c r="N466" s="75" t="n">
        <f aca="false">(1+Discount_Rate)^((Inputs!$G$26-N$340)/Days_In_Year)</f>
        <v>1.03890185051367</v>
      </c>
      <c r="O466" s="75" t="n">
        <f aca="false">(1+Discount_Rate)^((Inputs!$G$26-O$340)/Days_In_Year)</f>
        <v>0.961946157883031</v>
      </c>
      <c r="P466" s="75" t="n">
        <f aca="false">(1+Discount_Rate)^((Inputs!$G$26-P$340)/Days_In_Year)</f>
        <v>0.890503102622714</v>
      </c>
      <c r="Q466" s="75" t="n">
        <f aca="false">(1+Discount_Rate)^((Inputs!$G$26-Q$340)/Days_In_Year)</f>
        <v>0.824539909835846</v>
      </c>
      <c r="R466" s="75" t="n">
        <f aca="false">(1+Discount_Rate)^((Inputs!$G$26-R$340)/Days_In_Year)</f>
        <v>0.763462879477635</v>
      </c>
      <c r="S466" s="75" t="n">
        <f aca="false">(1+Discount_Rate)^((Inputs!$G$26-S$340)/Days_In_Year)</f>
        <v>0.706910073590403</v>
      </c>
      <c r="T466" s="75" t="n">
        <f aca="false">(1+Discount_Rate)^((Inputs!$G$26-T$340)/Days_In_Year)</f>
        <v>0.654408366464987</v>
      </c>
      <c r="U466" s="75" t="n">
        <f aca="false">(1+Discount_Rate)^((Inputs!$G$26-U$340)/Days_In_Year)</f>
        <v>0.605933672652766</v>
      </c>
      <c r="V466" s="75" t="n">
        <f aca="false">(1+Discount_Rate)^((Inputs!$G$26-V$340)/Days_In_Year)</f>
        <v>0.561049696900709</v>
      </c>
      <c r="W466" s="75" t="n">
        <f aca="false">(1+Discount_Rate)^((Inputs!$G$26-W$340)/Days_In_Year)</f>
        <v>0.519490460093249</v>
      </c>
      <c r="X466" s="75" t="n">
        <f aca="false">(1+Discount_Rate)^((Inputs!$G$26-X$340)/Days_In_Year)</f>
        <v>0.480908274028566</v>
      </c>
      <c r="Y466" s="75" t="n">
        <f aca="false">(1+Discount_Rate)^((Inputs!$G$26-Y$340)/Days_In_Year)</f>
        <v>0.445285438915339</v>
      </c>
      <c r="Z466" s="75" t="n">
        <f aca="false">(1+Discount_Rate)^((Inputs!$G$26-Z$340)/Days_In_Year)</f>
        <v>0.412301332329018</v>
      </c>
      <c r="AA466" s="75" t="n">
        <f aca="false">(1+Discount_Rate)^((Inputs!$G$26-AA$340)/Days_In_Year)</f>
        <v>0.381760492897239</v>
      </c>
      <c r="AB466" s="75" t="n">
        <f aca="false">(1+Discount_Rate)^((Inputs!$G$26-AB$340)/Days_In_Year)</f>
        <v>0.353407413292154</v>
      </c>
      <c r="AC466" s="75" t="n">
        <f aca="false">(1+Discount_Rate)^((Inputs!$G$26-AC$340)/Days_In_Year)</f>
        <v>0.327229086381624</v>
      </c>
      <c r="AD466" s="75" t="n">
        <f aca="false">(1+Discount_Rate)^((Inputs!$G$26-AD$340)/Days_In_Year)</f>
        <v>0.3029898947978</v>
      </c>
      <c r="AE466" s="75" t="n">
        <f aca="false">(1+Discount_Rate)^((Inputs!$G$26-AE$340)/Days_In_Year)</f>
        <v>0.280546198886852</v>
      </c>
      <c r="AF466" s="75" t="n">
        <f aca="false">(1+Discount_Rate)^((Inputs!$G$26-AF$340)/Days_In_Year)</f>
        <v>0.259710232730228</v>
      </c>
      <c r="AG466" s="75" t="n">
        <f aca="false">(1+Discount_Rate)^((Inputs!$G$26-AG$340)/Days_In_Year)</f>
        <v>0.240472437713174</v>
      </c>
      <c r="AH466" s="75" t="n">
        <f aca="false">(1+Discount_Rate)^((Inputs!$G$26-AH$340)/Days_In_Year)</f>
        <v>0.222659664549235</v>
      </c>
      <c r="AI466" s="75" t="n">
        <f aca="false">(1+Discount_Rate)^((Inputs!$G$26-AI$340)/Days_In_Year)</f>
        <v>0.206166356064106</v>
      </c>
      <c r="AJ466" s="75" t="n">
        <f aca="false">(1+Discount_Rate)^((Inputs!$G$26-AJ$340)/Days_In_Year)</f>
        <v>0.190854527799705</v>
      </c>
      <c r="AK466" s="75" t="n">
        <f aca="false">(1+Discount_Rate)^((Inputs!$G$26-AK$340)/Days_In_Year)</f>
        <v>0.176717155370097</v>
      </c>
      <c r="AL466" s="75" t="n">
        <f aca="false">(1+Discount_Rate)^((Inputs!$G$26-AL$340)/Days_In_Year)</f>
        <v>0.163626995713053</v>
      </c>
      <c r="AM466" s="75" t="n">
        <f aca="false">(1+Discount_Rate)^((Inputs!$G$26-AM$340)/Days_In_Year)</f>
        <v>0.151506477512086</v>
      </c>
      <c r="AN466" s="75" t="n">
        <f aca="false">(1+Discount_Rate)^((Inputs!$G$26-AN$340)/Days_In_Year)</f>
        <v>0.140254199454224</v>
      </c>
      <c r="AO466" s="75" t="n">
        <f aca="false">(1+Discount_Rate)^((Inputs!$G$26-AO$340)/Days_In_Year)</f>
        <v>0.129864999494652</v>
      </c>
      <c r="AP466" s="75" t="n">
        <f aca="false">(1+Discount_Rate)^((Inputs!$G$26-AP$340)/Days_In_Year)</f>
        <v>0.120245369902455</v>
      </c>
      <c r="AQ466" s="75" t="n">
        <f aca="false">(1+Discount_Rate)^((Inputs!$G$26-AQ$340)/Days_In_Year)</f>
        <v>0.111338305465236</v>
      </c>
      <c r="AR466" s="75" t="n">
        <f aca="false">(1+Discount_Rate)^((Inputs!$G$26-AR$340)/Days_In_Year)</f>
        <v>0.103069288904634</v>
      </c>
      <c r="AS466" s="75" t="n">
        <f aca="false">(1+Discount_Rate)^((Inputs!$G$26-AS$340)/Days_In_Year)</f>
        <v>0.0954345267635496</v>
      </c>
    </row>
    <row r="467" customFormat="false" ht="14.25" hidden="false" customHeight="false" outlineLevel="0" collapsed="false">
      <c r="C467" s="6" t="s">
        <v>316</v>
      </c>
      <c r="D467" s="2" t="s">
        <v>85</v>
      </c>
      <c r="H467" s="8" t="n">
        <f aca="false">SUM(J467:AS467)</f>
        <v>117317.066600666</v>
      </c>
      <c r="J467" s="8" t="n">
        <f aca="false">J453*J466</f>
        <v>0</v>
      </c>
      <c r="K467" s="8" t="n">
        <f aca="false">K453*K466</f>
        <v>0</v>
      </c>
      <c r="L467" s="8" t="n">
        <f aca="false">L453*L466</f>
        <v>0</v>
      </c>
      <c r="M467" s="8" t="n">
        <f aca="false">M453*M466</f>
        <v>0</v>
      </c>
      <c r="N467" s="8" t="n">
        <f aca="false">N453*N466</f>
        <v>0</v>
      </c>
      <c r="O467" s="8" t="n">
        <f aca="false">O453*O466</f>
        <v>4876.8474889626</v>
      </c>
      <c r="P467" s="8" t="n">
        <f aca="false">P453*P466</f>
        <v>9090.53934016054</v>
      </c>
      <c r="Q467" s="8" t="n">
        <f aca="false">Q453*Q466</f>
        <v>8443.85559204061</v>
      </c>
      <c r="R467" s="8" t="n">
        <f aca="false">R453*R466</f>
        <v>7842.46260690271</v>
      </c>
      <c r="S467" s="8" t="n">
        <f aca="false">S453*S466</f>
        <v>7283.2240477567</v>
      </c>
      <c r="T467" s="8" t="n">
        <f aca="false">T453*T466</f>
        <v>6761.79304646313</v>
      </c>
      <c r="U467" s="8" t="n">
        <f aca="false">U453*U466</f>
        <v>6278.40300363448</v>
      </c>
      <c r="V467" s="8" t="n">
        <f aca="false">V453*V466</f>
        <v>5828.9855926955</v>
      </c>
      <c r="W467" s="8" t="n">
        <f aca="false">W453*W466</f>
        <v>5411.1821806256</v>
      </c>
      <c r="X467" s="8" t="n">
        <f aca="false">X453*X466</f>
        <v>5021.73745515717</v>
      </c>
      <c r="Y467" s="8" t="n">
        <f aca="false">Y453*Y466</f>
        <v>4660.80027334854</v>
      </c>
      <c r="Z467" s="8" t="n">
        <f aca="false">Z453*Z466</f>
        <v>4325.32588573996</v>
      </c>
      <c r="AA467" s="8" t="n">
        <f aca="false">AA453*AA466</f>
        <v>4013.54157817309</v>
      </c>
      <c r="AB467" s="8" t="n">
        <f aca="false">AB453*AB466</f>
        <v>3723.01176986731</v>
      </c>
      <c r="AC467" s="8" t="n">
        <f aca="false">AC453*AC466</f>
        <v>3453.82676468588</v>
      </c>
      <c r="AD467" s="8" t="n">
        <f aca="false">AD453*AD466</f>
        <v>3203.71011489412</v>
      </c>
      <c r="AE467" s="8" t="n">
        <f aca="false">AE453*AE466</f>
        <v>2971.33032336828</v>
      </c>
      <c r="AF467" s="8" t="n">
        <f aca="false">AF453*AF466</f>
        <v>2754.86696923197</v>
      </c>
      <c r="AG467" s="8" t="n">
        <f aca="false">AG453*AG466</f>
        <v>2554.37040340407</v>
      </c>
      <c r="AH467" s="8" t="n">
        <f aca="false">AH453*AH466</f>
        <v>2368.14043793919</v>
      </c>
      <c r="AI467" s="8" t="n">
        <f aca="false">AI453*AI466</f>
        <v>2195.17765884097</v>
      </c>
      <c r="AJ467" s="8" t="n">
        <f aca="false">AJ453*AJ466</f>
        <v>2034.12293346623</v>
      </c>
      <c r="AK467" s="8" t="n">
        <f aca="false">AK453*AK466</f>
        <v>1884.99987986481</v>
      </c>
      <c r="AL467" s="8" t="n">
        <f aca="false">AL453*AL466</f>
        <v>1746.54018249686</v>
      </c>
      <c r="AM467" s="8" t="n">
        <f aca="false">AM453*AM466</f>
        <v>1617.99423623126</v>
      </c>
      <c r="AN467" s="8" t="n">
        <f aca="false">AN453*AN466</f>
        <v>1498.34852868931</v>
      </c>
      <c r="AO467" s="8" t="n">
        <f aca="false">AO453*AO466</f>
        <v>1387.60926324361</v>
      </c>
      <c r="AP467" s="8" t="n">
        <f aca="false">AP453*AP466</f>
        <v>1284.83150622458</v>
      </c>
      <c r="AQ467" s="8" t="n">
        <f aca="false">AQ453*AQ466</f>
        <v>1189.4534633259</v>
      </c>
      <c r="AR467" s="8" t="n">
        <f aca="false">AR453*AR466</f>
        <v>1100.72034810141</v>
      </c>
      <c r="AS467" s="8" t="n">
        <f aca="false">AS453*AS466</f>
        <v>509.31372512961</v>
      </c>
    </row>
    <row r="468" customFormat="false" ht="14.25" hidden="false" customHeight="false" outlineLevel="0" collapsed="false">
      <c r="C468" s="6" t="s">
        <v>317</v>
      </c>
      <c r="D468" s="2" t="s">
        <v>85</v>
      </c>
      <c r="H468" s="8" t="n">
        <f aca="false">SUM(J468:AS468)</f>
        <v>0</v>
      </c>
      <c r="J468" s="8" t="n">
        <f aca="false">0</f>
        <v>0</v>
      </c>
      <c r="K468" s="8" t="n">
        <f aca="false">0</f>
        <v>0</v>
      </c>
      <c r="L468" s="8" t="n">
        <f aca="false">0</f>
        <v>0</v>
      </c>
      <c r="M468" s="8" t="n">
        <f aca="false">0</f>
        <v>0</v>
      </c>
      <c r="N468" s="8" t="n">
        <f aca="false">0</f>
        <v>0</v>
      </c>
      <c r="O468" s="8" t="n">
        <f aca="false">0</f>
        <v>0</v>
      </c>
      <c r="P468" s="8" t="n">
        <f aca="false">0</f>
        <v>0</v>
      </c>
      <c r="Q468" s="8" t="n">
        <f aca="false">0</f>
        <v>0</v>
      </c>
      <c r="R468" s="8" t="n">
        <f aca="false">0</f>
        <v>0</v>
      </c>
      <c r="S468" s="8" t="n">
        <f aca="false">0</f>
        <v>0</v>
      </c>
      <c r="T468" s="8" t="n">
        <f aca="false">0</f>
        <v>0</v>
      </c>
      <c r="U468" s="8" t="n">
        <f aca="false">0</f>
        <v>0</v>
      </c>
      <c r="V468" s="8" t="n">
        <f aca="false">0</f>
        <v>0</v>
      </c>
      <c r="W468" s="8" t="n">
        <f aca="false">0</f>
        <v>0</v>
      </c>
      <c r="X468" s="8" t="n">
        <f aca="false">0</f>
        <v>0</v>
      </c>
      <c r="Y468" s="8" t="n">
        <f aca="false">0</f>
        <v>0</v>
      </c>
      <c r="Z468" s="8" t="n">
        <f aca="false">0</f>
        <v>0</v>
      </c>
      <c r="AA468" s="8" t="n">
        <f aca="false">0</f>
        <v>0</v>
      </c>
      <c r="AB468" s="8" t="n">
        <f aca="false">0</f>
        <v>0</v>
      </c>
      <c r="AC468" s="8" t="n">
        <f aca="false">0</f>
        <v>0</v>
      </c>
      <c r="AD468" s="8" t="n">
        <f aca="false">0</f>
        <v>0</v>
      </c>
      <c r="AE468" s="8" t="n">
        <f aca="false">0</f>
        <v>0</v>
      </c>
      <c r="AF468" s="8" t="n">
        <f aca="false">0</f>
        <v>0</v>
      </c>
      <c r="AG468" s="8" t="n">
        <f aca="false">0</f>
        <v>0</v>
      </c>
      <c r="AH468" s="8" t="n">
        <f aca="false">0</f>
        <v>0</v>
      </c>
      <c r="AI468" s="8" t="n">
        <f aca="false">0</f>
        <v>0</v>
      </c>
      <c r="AJ468" s="8" t="n">
        <f aca="false">0</f>
        <v>0</v>
      </c>
      <c r="AK468" s="8" t="n">
        <f aca="false">0</f>
        <v>0</v>
      </c>
      <c r="AL468" s="8" t="n">
        <f aca="false">0</f>
        <v>0</v>
      </c>
      <c r="AM468" s="8" t="n">
        <f aca="false">0</f>
        <v>0</v>
      </c>
      <c r="AN468" s="8" t="n">
        <f aca="false">0</f>
        <v>0</v>
      </c>
      <c r="AO468" s="8" t="n">
        <f aca="false">0</f>
        <v>0</v>
      </c>
      <c r="AP468" s="8" t="n">
        <f aca="false">0</f>
        <v>0</v>
      </c>
      <c r="AQ468" s="8" t="n">
        <f aca="false">0</f>
        <v>0</v>
      </c>
      <c r="AR468" s="8" t="n">
        <f aca="false">0</f>
        <v>0</v>
      </c>
      <c r="AS468" s="8" t="n">
        <f aca="false">0</f>
        <v>0</v>
      </c>
    </row>
    <row r="469" customFormat="false" ht="14.25" hidden="false" customHeight="false" outlineLevel="0" collapsed="false">
      <c r="C469" s="1" t="s">
        <v>318</v>
      </c>
      <c r="D469" s="2" t="s">
        <v>85</v>
      </c>
      <c r="H469" s="32" t="n">
        <f aca="false">SUM(J469:AS469)</f>
        <v>40517.0073540907</v>
      </c>
      <c r="J469" s="32" t="n">
        <f aca="false">J439*(J429&lt;=0)+J434*($H467+$G$62+$G$63)+J468</f>
        <v>0</v>
      </c>
      <c r="K469" s="32" t="n">
        <f aca="false">K439*(K429&lt;=0)+K434*($H467+$G$62+$G$63)+K468</f>
        <v>0</v>
      </c>
      <c r="L469" s="32" t="n">
        <f aca="false">L439*(L429&lt;=0)+L434*($H467+$G$62+$G$63)+L468</f>
        <v>0</v>
      </c>
      <c r="M469" s="32" t="n">
        <f aca="false">M439*(M429&lt;=0)+M434*($H467+$G$62+$G$63)+M468</f>
        <v>-29757.5797945206</v>
      </c>
      <c r="N469" s="32" t="n">
        <f aca="false">N439*(N429&lt;=0)+N434*($H467+$G$62+$G$63)+N468</f>
        <v>-31358</v>
      </c>
      <c r="O469" s="32" t="n">
        <f aca="false">O439*(O429&lt;=0)+O434*($H467+$G$62+$G$63)+O468</f>
        <v>101632.587148611</v>
      </c>
      <c r="P469" s="32" t="n">
        <f aca="false">P439*(P429&lt;=0)+P434*($H467+$G$62+$G$63)+P468</f>
        <v>0</v>
      </c>
      <c r="Q469" s="32" t="n">
        <f aca="false">Q439*(Q429&lt;=0)+Q434*($H467+$G$62+$G$63)+Q468</f>
        <v>0</v>
      </c>
      <c r="R469" s="32" t="n">
        <f aca="false">R439*(R429&lt;=0)+R434*($H467+$G$62+$G$63)+R468</f>
        <v>0</v>
      </c>
      <c r="S469" s="32" t="n">
        <f aca="false">S439*(S429&lt;=0)+S434*($H467+$G$62+$G$63)+S468</f>
        <v>0</v>
      </c>
      <c r="T469" s="32" t="n">
        <f aca="false">T439*(T429&lt;=0)+T434*($H467+$G$62+$G$63)+T468</f>
        <v>0</v>
      </c>
      <c r="U469" s="32" t="n">
        <f aca="false">U439*(U429&lt;=0)+U434*($H467+$G$62+$G$63)+U468</f>
        <v>0</v>
      </c>
      <c r="V469" s="32" t="n">
        <f aca="false">V439*(V429&lt;=0)+V434*($H467+$G$62+$G$63)+V468</f>
        <v>0</v>
      </c>
      <c r="W469" s="32" t="n">
        <f aca="false">W439*(W429&lt;=0)+W434*($H467+$G$62+$G$63)+W468</f>
        <v>0</v>
      </c>
      <c r="X469" s="32" t="n">
        <f aca="false">X439*(X429&lt;=0)+X434*($H467+$G$62+$G$63)+X468</f>
        <v>0</v>
      </c>
      <c r="Y469" s="32" t="n">
        <f aca="false">Y439*(Y429&lt;=0)+Y434*($H467+$G$62+$G$63)+Y468</f>
        <v>0</v>
      </c>
      <c r="Z469" s="32" t="n">
        <f aca="false">Z439*(Z429&lt;=0)+Z434*($H467+$G$62+$G$63)+Z468</f>
        <v>0</v>
      </c>
      <c r="AA469" s="32" t="n">
        <f aca="false">AA439*(AA429&lt;=0)+AA434*($H467+$G$62+$G$63)+AA468</f>
        <v>0</v>
      </c>
      <c r="AB469" s="32" t="n">
        <f aca="false">AB439*(AB429&lt;=0)+AB434*($H467+$G$62+$G$63)+AB468</f>
        <v>0</v>
      </c>
      <c r="AC469" s="32" t="n">
        <f aca="false">AC439*(AC429&lt;=0)+AC434*($H467+$G$62+$G$63)+AC468</f>
        <v>0</v>
      </c>
      <c r="AD469" s="32" t="n">
        <f aca="false">AD439*(AD429&lt;=0)+AD434*($H467+$G$62+$G$63)+AD468</f>
        <v>0</v>
      </c>
      <c r="AE469" s="32" t="n">
        <f aca="false">AE439*(AE429&lt;=0)+AE434*($H467+$G$62+$G$63)+AE468</f>
        <v>0</v>
      </c>
      <c r="AF469" s="32" t="n">
        <f aca="false">AF439*(AF429&lt;=0)+AF434*($H467+$G$62+$G$63)+AF468</f>
        <v>0</v>
      </c>
      <c r="AG469" s="32" t="n">
        <f aca="false">AG439*(AG429&lt;=0)+AG434*($H467+$G$62+$G$63)+AG468</f>
        <v>0</v>
      </c>
      <c r="AH469" s="32" t="n">
        <f aca="false">AH439*(AH429&lt;=0)+AH434*($H467+$G$62+$G$63)+AH468</f>
        <v>0</v>
      </c>
      <c r="AI469" s="32" t="n">
        <f aca="false">AI439*(AI429&lt;=0)+AI434*($H467+$G$62+$G$63)+AI468</f>
        <v>0</v>
      </c>
      <c r="AJ469" s="32" t="n">
        <f aca="false">AJ439*(AJ429&lt;=0)+AJ434*($H467+$G$62+$G$63)+AJ468</f>
        <v>0</v>
      </c>
      <c r="AK469" s="32" t="n">
        <f aca="false">AK439*(AK429&lt;=0)+AK434*($H467+$G$62+$G$63)+AK468</f>
        <v>0</v>
      </c>
      <c r="AL469" s="32" t="n">
        <f aca="false">AL439*(AL429&lt;=0)+AL434*($H467+$G$62+$G$63)+AL468</f>
        <v>0</v>
      </c>
      <c r="AM469" s="32" t="n">
        <f aca="false">AM439*(AM429&lt;=0)+AM434*($H467+$G$62+$G$63)+AM468</f>
        <v>0</v>
      </c>
      <c r="AN469" s="32" t="n">
        <f aca="false">AN439*(AN429&lt;=0)+AN434*($H467+$G$62+$G$63)+AN468</f>
        <v>0</v>
      </c>
      <c r="AO469" s="32" t="n">
        <f aca="false">AO439*(AO429&lt;=0)+AO434*($H467+$G$62+$G$63)+AO468</f>
        <v>0</v>
      </c>
      <c r="AP469" s="32" t="n">
        <f aca="false">AP439*(AP429&lt;=0)+AP434*($H467+$G$62+$G$63)+AP468</f>
        <v>0</v>
      </c>
      <c r="AQ469" s="32" t="n">
        <f aca="false">AQ439*(AQ429&lt;=0)+AQ434*($H467+$G$62+$G$63)+AQ468</f>
        <v>0</v>
      </c>
      <c r="AR469" s="32" t="n">
        <f aca="false">AR439*(AR429&lt;=0)+AR434*($H467+$G$62+$G$63)+AR468</f>
        <v>0</v>
      </c>
      <c r="AS469" s="32" t="n">
        <f aca="false">AS439*(AS429&lt;=0)+AS434*($H467+$G$62+$G$63)+AS468</f>
        <v>0</v>
      </c>
    </row>
    <row r="471" customFormat="false" ht="14.25" hidden="false" customHeight="false" outlineLevel="0" collapsed="false">
      <c r="B471" s="4" t="s">
        <v>3</v>
      </c>
      <c r="C471" s="4" t="s">
        <v>321</v>
      </c>
      <c r="D471" s="4" t="s">
        <v>85</v>
      </c>
      <c r="E471" s="5" t="s">
        <v>5</v>
      </c>
      <c r="F471" s="5" t="s">
        <v>6</v>
      </c>
      <c r="G471" s="5" t="s">
        <v>7</v>
      </c>
      <c r="H471" s="5" t="s">
        <v>8</v>
      </c>
    </row>
    <row r="472" customFormat="false" ht="14.25" hidden="false" customHeight="false" outlineLevel="0" collapsed="false">
      <c r="C472" s="6" t="s">
        <v>256</v>
      </c>
      <c r="D472" s="2" t="s">
        <v>85</v>
      </c>
      <c r="E472" s="8" t="n">
        <f aca="false">-MAX(0,$H$383)*CIT_Rate*(1-Share_Exempt)</f>
        <v>-0</v>
      </c>
      <c r="F472" s="8" t="n">
        <f aca="false">-MAX(0,$H$426)*CIT_Rate*(1-Share_Exempt)</f>
        <v>-0</v>
      </c>
      <c r="G472" s="8" t="n">
        <f aca="false">-MAX(0,$H$469)*CIT_Rate*(1-Share_Exempt)</f>
        <v>-0</v>
      </c>
      <c r="H472" s="8" t="n">
        <f aca="false">SUM(E472:G472)</f>
        <v>0</v>
      </c>
    </row>
    <row r="473" customFormat="false" ht="14.25" hidden="false" customHeight="false" outlineLevel="0" collapsed="false">
      <c r="C473" s="1" t="s">
        <v>322</v>
      </c>
      <c r="D473" s="2" t="s">
        <v>85</v>
      </c>
      <c r="E473" s="15" t="n">
        <f aca="false">$H$383+E472</f>
        <v>32562.7204740098</v>
      </c>
      <c r="F473" s="15" t="n">
        <f aca="false">$H$426+F472</f>
        <v>40517.0073540907</v>
      </c>
      <c r="G473" s="15" t="n">
        <f aca="false">$H$469+G472</f>
        <v>40517.0073540907</v>
      </c>
      <c r="H473" s="15" t="n">
        <f aca="false">SUM(E473:G473)</f>
        <v>113596.735182191</v>
      </c>
    </row>
    <row r="475" customFormat="false" ht="14.25" hidden="false" customHeight="false" outlineLevel="0" collapsed="false">
      <c r="B475" s="4" t="s">
        <v>3</v>
      </c>
      <c r="C475" s="4" t="s">
        <v>323</v>
      </c>
      <c r="D475" s="4"/>
      <c r="E475" s="5" t="s">
        <v>5</v>
      </c>
      <c r="F475" s="5" t="s">
        <v>6</v>
      </c>
      <c r="G475" s="5" t="s">
        <v>7</v>
      </c>
      <c r="H475" s="5" t="s">
        <v>8</v>
      </c>
    </row>
    <row r="476" customFormat="false" ht="14.25" hidden="false" customHeight="false" outlineLevel="0" collapsed="false">
      <c r="C476" s="6" t="s">
        <v>324</v>
      </c>
      <c r="D476" s="2" t="s">
        <v>2</v>
      </c>
      <c r="E476" s="74" t="n">
        <f aca="false">N(ABS(E295+E296+E301-E304-E336)&gt;Tolerance)</f>
        <v>0</v>
      </c>
      <c r="F476" s="74" t="n">
        <f aca="false">N(ABS(F295+F296+F301-F304-F336)&gt;Tolerance)</f>
        <v>0</v>
      </c>
      <c r="G476" s="74" t="n">
        <f aca="false">N(ABS(G295+G296+G301-G304-G336)&gt;Tolerance)</f>
        <v>0</v>
      </c>
      <c r="H476" s="74" t="n">
        <f aca="false">SUM(E476:G476)</f>
        <v>0</v>
      </c>
    </row>
    <row r="477" customFormat="false" ht="14.25" hidden="false" customHeight="false" outlineLevel="0" collapsed="false">
      <c r="C477" s="6" t="s">
        <v>325</v>
      </c>
      <c r="D477" s="2" t="s">
        <v>2</v>
      </c>
      <c r="E477" s="74" t="n">
        <f aca="false">N(MAX(YEAR(Inputs!E$21),YEAR(Inputs!E$22),YEAR(Inputs!E$23),YEAR(Inputs!E$24),YEAR($J$55),YEAR($J$56))&gt;=YEAR(E186))</f>
        <v>0</v>
      </c>
      <c r="F477" s="74" t="n">
        <f aca="false">N(MAX(YEAR(Inputs!F$21),YEAR(Inputs!F$22),YEAR(Inputs!F$23),YEAR(Inputs!F$24),YEAR($J$55),YEAR($J$56))&gt;=YEAR(F186))</f>
        <v>0</v>
      </c>
      <c r="G477" s="74" t="n">
        <f aca="false">N(MAX(YEAR(Inputs!G$21),YEAR(Inputs!G$22),YEAR(Inputs!G$23),YEAR(Inputs!G$24),YEAR($J$55),YEAR($J$56))&gt;=YEAR(G186))</f>
        <v>0</v>
      </c>
      <c r="H477" s="74" t="n">
        <f aca="false">SUM(E477:G477)</f>
        <v>0</v>
      </c>
    </row>
    <row r="478" customFormat="false" ht="14.25" hidden="false" customHeight="false" outlineLevel="0" collapsed="false">
      <c r="C478" s="6" t="s">
        <v>326</v>
      </c>
      <c r="D478" s="2" t="s">
        <v>2</v>
      </c>
      <c r="E478" s="74" t="n">
        <f aca="false">N(AND(E17&lt;&gt;"EU",E17&lt;&gt;"CN"))</f>
        <v>0</v>
      </c>
      <c r="F478" s="74" t="n">
        <f aca="false">N(AND(F17&lt;&gt;"EU",F17&lt;&gt;"CN"))</f>
        <v>0</v>
      </c>
      <c r="G478" s="74" t="n">
        <f aca="false">N(AND(G17&lt;&gt;"EU",G17&lt;&gt;"CN"))</f>
        <v>0</v>
      </c>
      <c r="H478" s="74" t="n">
        <f aca="false">SUM(E478:G478)</f>
        <v>0</v>
      </c>
    </row>
    <row r="479" customFormat="false" ht="14.25" hidden="false" customHeight="false" outlineLevel="0" collapsed="false">
      <c r="C479" s="6" t="s">
        <v>327</v>
      </c>
      <c r="D479" s="2" t="s">
        <v>2</v>
      </c>
      <c r="E479" s="74" t="n">
        <f aca="false">(ABS(SUM(Devex_HUF)/FX/Thousand*Inputs!E$18-E68-E67)&gt;Tolerance)*1</f>
        <v>0</v>
      </c>
      <c r="F479" s="74" t="n">
        <f aca="false">(ABS(SUM(Devex_HUF)/FX/Thousand*Inputs!F$18-F68-F67)&gt;Tolerance)*1</f>
        <v>0</v>
      </c>
      <c r="G479" s="74" t="n">
        <f aca="false">(ABS(SUM(Devex_HUF)/FX/Thousand*Inputs!G$18-G68-G67)&gt;Tolerance)*1</f>
        <v>0</v>
      </c>
      <c r="H479" s="74" t="n">
        <f aca="false">SUM(E479:G479)</f>
        <v>0</v>
      </c>
    </row>
    <row r="480" customFormat="false" ht="14.25" hidden="false" customHeight="false" outlineLevel="0" collapsed="false">
      <c r="C480" s="6" t="s">
        <v>328</v>
      </c>
      <c r="D480" s="2" t="s">
        <v>2</v>
      </c>
      <c r="E480" s="74" t="n">
        <f aca="false">N(ABS(E91+$H$351)&gt;Tolerance)</f>
        <v>0</v>
      </c>
      <c r="F480" s="74" t="n">
        <f aca="false">N(ABS(F91+$H$394)&gt;Tolerance)</f>
        <v>0</v>
      </c>
      <c r="G480" s="74" t="n">
        <f aca="false">N(ABS(G91+$H$437)&gt;Tolerance)</f>
        <v>0</v>
      </c>
      <c r="H480" s="74" t="n">
        <f aca="false">SUM(E480:G480)</f>
        <v>0</v>
      </c>
    </row>
    <row r="481" customFormat="false" ht="14.25" hidden="false" customHeight="false" outlineLevel="0" collapsed="false">
      <c r="C481" s="6" t="s">
        <v>329</v>
      </c>
      <c r="D481" s="2" t="s">
        <v>2</v>
      </c>
      <c r="E481" s="74" t="n">
        <f aca="false">N(ABS(E99+$H$353)&gt;Tolerance)</f>
        <v>0</v>
      </c>
      <c r="F481" s="74" t="n">
        <f aca="false">N(ABS(F99+$H$396)&gt;Tolerance)</f>
        <v>0</v>
      </c>
      <c r="G481" s="74" t="n">
        <f aca="false">N(ABS(G99+$H$439)&gt;Tolerance)</f>
        <v>0</v>
      </c>
      <c r="H481" s="74" t="n">
        <f aca="false">SUM(E481:G481)</f>
        <v>0</v>
      </c>
    </row>
    <row r="482" customFormat="false" ht="14.25" hidden="false" customHeight="false" outlineLevel="0" collapsed="false">
      <c r="C482" s="6" t="s">
        <v>330</v>
      </c>
      <c r="D482" s="2" t="s">
        <v>2</v>
      </c>
      <c r="E482" s="74" t="n">
        <f aca="false">N(ABS($H$347-Life)&gt;Tolerance)</f>
        <v>0</v>
      </c>
      <c r="F482" s="74" t="n">
        <f aca="false">N(ABS($H$390-Life)&gt;Tolerance)</f>
        <v>0</v>
      </c>
      <c r="G482" s="74" t="n">
        <f aca="false">N(ABS($H$433-Life)&gt;Tolerance)</f>
        <v>0</v>
      </c>
      <c r="H482" s="74" t="n">
        <f aca="false">SUM(E482:G482)</f>
        <v>0</v>
      </c>
    </row>
    <row r="483" customFormat="false" ht="14.25" hidden="false" customHeight="false" outlineLevel="0" collapsed="false">
      <c r="C483" s="6" t="s">
        <v>331</v>
      </c>
      <c r="D483" s="2" t="s">
        <v>2</v>
      </c>
      <c r="E483" s="74" t="n">
        <f aca="false">N(Sale_Date_A&gt;=Inputs!E$24)</f>
        <v>0</v>
      </c>
      <c r="F483" s="74" t="n">
        <f aca="false">N(Sale_Date_A&gt;=Inputs!F$24)</f>
        <v>0</v>
      </c>
      <c r="G483" s="74" t="n">
        <f aca="false">N(Sale_Date_A&gt;=Inputs!G$24)</f>
        <v>0</v>
      </c>
      <c r="H483" s="74" t="n">
        <f aca="false">SUM(E483:G483)</f>
        <v>0</v>
      </c>
    </row>
    <row r="484" customFormat="false" ht="14.25" hidden="false" customHeight="false" outlineLevel="0" collapsed="false">
      <c r="C484" s="6" t="s">
        <v>332</v>
      </c>
      <c r="D484" s="2" t="s">
        <v>2</v>
      </c>
      <c r="E484" s="74" t="n">
        <f aca="false">N(ABS(E129+$H$353+$H$382)&gt;Tolerance)</f>
        <v>0</v>
      </c>
      <c r="F484" s="74" t="n">
        <f aca="false">N(ABS(F129+$H$396+$H$425)&gt;Tolerance)</f>
        <v>0</v>
      </c>
      <c r="G484" s="74" t="n">
        <f aca="false">N(ABS(G129+$H$439+$H$468)&gt;Tolerance)</f>
        <v>0</v>
      </c>
      <c r="H484" s="74" t="n">
        <f aca="false">SUM(E484:G484)</f>
        <v>0</v>
      </c>
    </row>
    <row r="485" customFormat="false" ht="14.25" hidden="false" customHeight="false" outlineLevel="0" collapsed="false">
      <c r="C485" s="6" t="s">
        <v>333</v>
      </c>
      <c r="D485" s="2" t="s">
        <v>2</v>
      </c>
      <c r="E485" s="74" t="n">
        <f aca="false">N(ABS(E250+E251+E256-E259-E289)&gt;Tolerance)</f>
        <v>0</v>
      </c>
      <c r="F485" s="74" t="n">
        <f aca="false">N(ABS(F250+F251+F256-F259-F289)&gt;Tolerance)</f>
        <v>0</v>
      </c>
      <c r="G485" s="74" t="n">
        <f aca="false">N(ABS(G250+G251+G256-G259-G289)&gt;Tolerance)</f>
        <v>0</v>
      </c>
      <c r="H485" s="74" t="n">
        <f aca="false">SUM(E485:G485)</f>
        <v>0</v>
      </c>
    </row>
    <row r="486" customFormat="false" ht="14.25" hidden="false" customHeight="false" outlineLevel="0" collapsed="false">
      <c r="C486" s="6" t="s">
        <v>334</v>
      </c>
      <c r="D486" s="2" t="s">
        <v>2</v>
      </c>
      <c r="E486" s="74" t="n">
        <f aca="false">N(ABS($AS$376)&gt;Tolerance)</f>
        <v>0</v>
      </c>
      <c r="F486" s="74" t="n">
        <f aca="false">N(ABS($AS$419)&gt;Tolerance)</f>
        <v>0</v>
      </c>
      <c r="G486" s="74" t="n">
        <f aca="false">N(ABS($AS$462)&gt;Tolerance)</f>
        <v>0</v>
      </c>
      <c r="H486" s="74" t="n">
        <f aca="false">SUM(E486:G486)</f>
        <v>0</v>
      </c>
    </row>
    <row r="487" customFormat="false" ht="14.25" hidden="false" customHeight="false" outlineLevel="0" collapsed="false">
      <c r="C487" s="1" t="s">
        <v>335</v>
      </c>
      <c r="D487" s="2" t="s">
        <v>2</v>
      </c>
      <c r="H487" s="76" t="n">
        <f aca="false">SUM(H476:H486)</f>
        <v>0</v>
      </c>
    </row>
    <row r="489" customFormat="false" ht="14.25" hidden="false" customHeight="false" outlineLevel="0" collapsed="false">
      <c r="C489" s="77" t="s">
        <v>336</v>
      </c>
    </row>
  </sheetData>
  <conditionalFormatting sqref="H3">
    <cfRule type="cellIs" priority="2" operator="equal" aboveAverage="0" equalAverage="0" bottom="0" percent="0" rank="0" text="" dxfId="0">
      <formula>0</formula>
    </cfRule>
    <cfRule type="cellIs" priority="3" operator="notEqual" aboveAverage="0" equalAverage="0" bottom="0" percent="0" rank="0" text="" dxfId="1">
      <formula>0</formula>
    </cfRule>
  </conditionalFormatting>
  <conditionalFormatting sqref="H487">
    <cfRule type="cellIs" priority="4" operator="notEqual" aboveAverage="0" equalAverage="0" bottom="0" percent="0" rank="0" text="" dxfId="2">
      <formula>0</formula>
    </cfRule>
  </conditionalFormatting>
  <dataValidations count="1">
    <dataValidation allowBlank="false" errorStyle="stop" operator="between" showDropDown="false" showErrorMessage="false" showInputMessage="false" sqref="H25" type="list">
      <formula1>"Base,Low,High"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111" activePane="bottomRight" state="frozen"/>
      <selection pane="topLeft" activeCell="A1" activeCellId="0" sqref="A1"/>
      <selection pane="topRight" activeCell="E1" activeCellId="0" sqref="E1"/>
      <selection pane="bottomLeft" activeCell="A111" activeCellId="0" sqref="A111"/>
      <selection pane="bottomRight" activeCell="C124" activeCellId="0" sqref="C124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4"/>
    <col collapsed="false" customWidth="true" hidden="false" outlineLevel="0" max="4" min="4" style="0" width="11"/>
    <col collapsed="false" customWidth="true" hidden="false" outlineLevel="0" max="7" min="5" style="0" width="13"/>
    <col collapsed="false" customWidth="true" hidden="false" outlineLevel="0" max="8" min="8" style="0" width="50"/>
  </cols>
  <sheetData>
    <row r="2" customFormat="false" ht="14.25" hidden="false" customHeight="false" outlineLevel="0" collapsed="false">
      <c r="C2" s="1" t="s">
        <v>337</v>
      </c>
    </row>
    <row r="4" customFormat="false" ht="14.25" hidden="false" customHeight="false" outlineLevel="0" collapsed="false">
      <c r="B4" s="4" t="s">
        <v>3</v>
      </c>
      <c r="C4" s="4" t="s">
        <v>338</v>
      </c>
      <c r="D4" s="4"/>
      <c r="E4" s="5" t="s">
        <v>5</v>
      </c>
      <c r="F4" s="5" t="s">
        <v>6</v>
      </c>
      <c r="G4" s="5" t="s">
        <v>7</v>
      </c>
      <c r="H4" s="4" t="s">
        <v>339</v>
      </c>
    </row>
    <row r="5" customFormat="false" ht="14.25" hidden="false" customHeight="false" outlineLevel="0" collapsed="false">
      <c r="C5" s="42" t="s">
        <v>340</v>
      </c>
      <c r="D5" s="42"/>
      <c r="E5" s="43"/>
      <c r="F5" s="43"/>
      <c r="G5" s="43"/>
      <c r="H5" s="43"/>
    </row>
    <row r="6" customFormat="false" ht="14.25" hidden="false" customHeight="false" outlineLevel="0" collapsed="false">
      <c r="C6" s="6" t="s">
        <v>341</v>
      </c>
      <c r="D6" s="2" t="s">
        <v>342</v>
      </c>
      <c r="E6" s="7" t="n">
        <v>365</v>
      </c>
      <c r="H6" s="2" t="s">
        <v>343</v>
      </c>
    </row>
    <row r="7" customFormat="false" ht="14.25" hidden="false" customHeight="false" outlineLevel="0" collapsed="false">
      <c r="C7" s="6" t="s">
        <v>344</v>
      </c>
      <c r="D7" s="2" t="s">
        <v>345</v>
      </c>
      <c r="E7" s="7" t="n">
        <v>406000000</v>
      </c>
      <c r="H7" s="2" t="s">
        <v>346</v>
      </c>
    </row>
    <row r="8" customFormat="false" ht="14.25" hidden="false" customHeight="false" outlineLevel="0" collapsed="false">
      <c r="C8" s="6" t="s">
        <v>347</v>
      </c>
      <c r="D8" s="2" t="s">
        <v>348</v>
      </c>
      <c r="E8" s="7" t="n">
        <v>200000000</v>
      </c>
      <c r="H8" s="2" t="s">
        <v>349</v>
      </c>
    </row>
    <row r="9" customFormat="false" ht="14.25" hidden="false" customHeight="false" outlineLevel="0" collapsed="false">
      <c r="C9" s="6" t="s">
        <v>350</v>
      </c>
      <c r="D9" s="2" t="s">
        <v>12</v>
      </c>
      <c r="E9" s="9" t="n">
        <v>0.005</v>
      </c>
      <c r="H9" s="2" t="s">
        <v>351</v>
      </c>
    </row>
    <row r="10" customFormat="false" ht="14.25" hidden="false" customHeight="false" outlineLevel="0" collapsed="false">
      <c r="C10" s="6" t="s">
        <v>352</v>
      </c>
      <c r="D10" s="2" t="s">
        <v>12</v>
      </c>
      <c r="E10" s="9" t="n">
        <v>0.025</v>
      </c>
      <c r="H10" s="2" t="s">
        <v>353</v>
      </c>
    </row>
    <row r="11" customFormat="false" ht="14.25" hidden="false" customHeight="false" outlineLevel="0" collapsed="false">
      <c r="C11" s="6" t="s">
        <v>354</v>
      </c>
      <c r="D11" s="2" t="s">
        <v>74</v>
      </c>
      <c r="E11" s="7" t="n">
        <v>3000000</v>
      </c>
      <c r="H11" s="2" t="s">
        <v>355</v>
      </c>
    </row>
    <row r="12" customFormat="false" ht="14.25" hidden="false" customHeight="false" outlineLevel="0" collapsed="false">
      <c r="C12" s="6" t="s">
        <v>77</v>
      </c>
      <c r="D12" s="2" t="s">
        <v>356</v>
      </c>
      <c r="E12" s="7" t="n">
        <v>4500000</v>
      </c>
      <c r="H12" s="2" t="s">
        <v>357</v>
      </c>
    </row>
    <row r="13" customFormat="false" ht="14.25" hidden="false" customHeight="false" outlineLevel="0" collapsed="false">
      <c r="C13" s="42" t="s">
        <v>358</v>
      </c>
      <c r="D13" s="42"/>
      <c r="E13" s="43"/>
      <c r="F13" s="43"/>
      <c r="G13" s="43"/>
      <c r="H13" s="43"/>
    </row>
    <row r="14" customFormat="false" ht="14.25" hidden="false" customHeight="false" outlineLevel="0" collapsed="false">
      <c r="C14" s="6" t="s">
        <v>359</v>
      </c>
      <c r="D14" s="2" t="s">
        <v>356</v>
      </c>
      <c r="E14" s="7" t="n">
        <v>73071306</v>
      </c>
      <c r="F14" s="7" t="n">
        <v>19826680</v>
      </c>
      <c r="G14" s="7" t="n">
        <v>19826680</v>
      </c>
      <c r="H14" s="2" t="s">
        <v>360</v>
      </c>
    </row>
    <row r="15" customFormat="false" ht="14.25" hidden="false" customHeight="false" outlineLevel="0" collapsed="false">
      <c r="C15" s="6" t="s">
        <v>361</v>
      </c>
      <c r="D15" s="2" t="s">
        <v>74</v>
      </c>
      <c r="E15" s="7" t="n">
        <v>508345804</v>
      </c>
      <c r="F15" s="7" t="n">
        <v>460000000</v>
      </c>
      <c r="G15" s="7" t="n">
        <v>460000000</v>
      </c>
      <c r="H15" s="2" t="s">
        <v>362</v>
      </c>
    </row>
    <row r="16" customFormat="false" ht="14.25" hidden="false" customHeight="false" outlineLevel="0" collapsed="false">
      <c r="C16" s="6" t="s">
        <v>363</v>
      </c>
      <c r="D16" s="2" t="s">
        <v>364</v>
      </c>
      <c r="E16" s="11" t="n">
        <v>2</v>
      </c>
      <c r="F16" s="11" t="n">
        <v>1</v>
      </c>
      <c r="G16" s="11" t="n">
        <v>1</v>
      </c>
      <c r="H16" s="2" t="s">
        <v>365</v>
      </c>
    </row>
    <row r="17" customFormat="false" ht="14.25" hidden="false" customHeight="false" outlineLevel="0" collapsed="false">
      <c r="C17" s="6" t="s">
        <v>82</v>
      </c>
      <c r="D17" s="2" t="s">
        <v>85</v>
      </c>
      <c r="E17" s="7" t="n">
        <v>100</v>
      </c>
      <c r="F17" s="7" t="n">
        <v>150</v>
      </c>
      <c r="G17" s="7" t="n">
        <v>150</v>
      </c>
      <c r="H17" s="2" t="s">
        <v>366</v>
      </c>
    </row>
    <row r="18" customFormat="false" ht="14.25" hidden="false" customHeight="false" outlineLevel="0" collapsed="false">
      <c r="C18" s="6" t="s">
        <v>367</v>
      </c>
      <c r="D18" s="2" t="s">
        <v>3</v>
      </c>
      <c r="E18" s="12" t="n">
        <v>0.25</v>
      </c>
      <c r="F18" s="12" t="n">
        <v>0.25</v>
      </c>
      <c r="G18" s="12" t="n">
        <v>0.25</v>
      </c>
      <c r="H18" s="2" t="s">
        <v>368</v>
      </c>
    </row>
    <row r="19" customFormat="false" ht="14.25" hidden="false" customHeight="false" outlineLevel="0" collapsed="false">
      <c r="C19" s="6" t="s">
        <v>369</v>
      </c>
      <c r="D19" s="2" t="s">
        <v>2</v>
      </c>
      <c r="E19" s="11" t="n">
        <v>0</v>
      </c>
      <c r="F19" s="11" t="n">
        <v>0</v>
      </c>
      <c r="G19" s="11" t="n">
        <v>0</v>
      </c>
      <c r="H19" s="2" t="s">
        <v>370</v>
      </c>
    </row>
    <row r="20" customFormat="false" ht="14.25" hidden="false" customHeight="false" outlineLevel="0" collapsed="false">
      <c r="C20" s="6" t="s">
        <v>371</v>
      </c>
      <c r="D20" s="2" t="s">
        <v>167</v>
      </c>
      <c r="E20" s="78" t="n">
        <v>46234</v>
      </c>
      <c r="F20" s="78" t="n">
        <v>46234</v>
      </c>
      <c r="G20" s="78" t="n">
        <v>46234</v>
      </c>
      <c r="H20" s="2" t="s">
        <v>372</v>
      </c>
    </row>
    <row r="21" customFormat="false" ht="14.25" hidden="false" customHeight="false" outlineLevel="0" collapsed="false">
      <c r="C21" s="6" t="s">
        <v>373</v>
      </c>
      <c r="D21" s="2" t="s">
        <v>167</v>
      </c>
      <c r="E21" s="78" t="n">
        <v>46325</v>
      </c>
      <c r="F21" s="78" t="n">
        <v>46325</v>
      </c>
      <c r="G21" s="78" t="n">
        <v>46325</v>
      </c>
      <c r="H21" s="2" t="s">
        <v>374</v>
      </c>
    </row>
    <row r="22" customFormat="false" ht="14.25" hidden="false" customHeight="false" outlineLevel="0" collapsed="false">
      <c r="C22" s="6" t="s">
        <v>375</v>
      </c>
      <c r="D22" s="2" t="s">
        <v>167</v>
      </c>
      <c r="E22" s="78" t="n">
        <v>46402</v>
      </c>
      <c r="F22" s="78" t="n">
        <v>46402</v>
      </c>
      <c r="G22" s="78" t="n">
        <v>46402</v>
      </c>
      <c r="H22" s="2" t="s">
        <v>376</v>
      </c>
    </row>
    <row r="23" customFormat="false" ht="14.25" hidden="false" customHeight="false" outlineLevel="0" collapsed="false">
      <c r="C23" s="6" t="s">
        <v>377</v>
      </c>
      <c r="D23" s="2" t="s">
        <v>167</v>
      </c>
      <c r="E23" s="78" t="n">
        <v>46402</v>
      </c>
      <c r="F23" s="78" t="n">
        <v>46402</v>
      </c>
      <c r="G23" s="78" t="n">
        <v>46402</v>
      </c>
      <c r="H23" s="2" t="s">
        <v>378</v>
      </c>
    </row>
    <row r="24" customFormat="false" ht="14.25" hidden="false" customHeight="false" outlineLevel="0" collapsed="false">
      <c r="C24" s="6" t="s">
        <v>379</v>
      </c>
      <c r="D24" s="2" t="s">
        <v>167</v>
      </c>
      <c r="E24" s="78" t="n">
        <v>47027</v>
      </c>
      <c r="F24" s="78" t="n">
        <v>47027</v>
      </c>
      <c r="G24" s="78" t="n">
        <v>47027</v>
      </c>
      <c r="H24" s="2" t="s">
        <v>380</v>
      </c>
    </row>
    <row r="25" customFormat="false" ht="14.25" hidden="false" customHeight="false" outlineLevel="0" collapsed="false">
      <c r="C25" s="6" t="s">
        <v>381</v>
      </c>
      <c r="D25" s="2" t="s">
        <v>167</v>
      </c>
      <c r="E25" s="78" t="n">
        <v>47299</v>
      </c>
      <c r="F25" s="78" t="n">
        <v>47299</v>
      </c>
      <c r="G25" s="78" t="n">
        <v>47299</v>
      </c>
      <c r="H25" s="2" t="s">
        <v>382</v>
      </c>
    </row>
    <row r="26" customFormat="false" ht="14.25" hidden="false" customHeight="false" outlineLevel="0" collapsed="false">
      <c r="C26" s="6" t="s">
        <v>383</v>
      </c>
      <c r="D26" s="2" t="s">
        <v>167</v>
      </c>
      <c r="E26" s="78" t="n">
        <v>48029</v>
      </c>
      <c r="F26" s="78" t="n">
        <v>48029</v>
      </c>
      <c r="G26" s="78" t="n">
        <v>48029</v>
      </c>
      <c r="H26" s="2" t="s">
        <v>384</v>
      </c>
    </row>
    <row r="27" customFormat="false" ht="14.25" hidden="false" customHeight="false" outlineLevel="0" collapsed="false">
      <c r="C27" s="6" t="s">
        <v>385</v>
      </c>
      <c r="D27" s="2" t="s">
        <v>167</v>
      </c>
      <c r="E27" s="78" t="n">
        <v>48669</v>
      </c>
      <c r="F27" s="78" t="n">
        <v>48669</v>
      </c>
      <c r="G27" s="78" t="n">
        <v>48669</v>
      </c>
      <c r="H27" s="2" t="s">
        <v>386</v>
      </c>
    </row>
    <row r="28" customFormat="false" ht="14.25" hidden="false" customHeight="false" outlineLevel="0" collapsed="false">
      <c r="C28" s="6" t="s">
        <v>387</v>
      </c>
      <c r="D28" s="2" t="s">
        <v>167</v>
      </c>
      <c r="E28" s="78" t="n">
        <v>46325</v>
      </c>
      <c r="F28" s="78" t="n">
        <v>46325</v>
      </c>
      <c r="G28" s="78" t="n">
        <v>46325</v>
      </c>
      <c r="H28" s="2" t="s">
        <v>388</v>
      </c>
    </row>
    <row r="29" customFormat="false" ht="14.25" hidden="false" customHeight="false" outlineLevel="0" collapsed="false">
      <c r="C29" s="42" t="s">
        <v>389</v>
      </c>
      <c r="D29" s="42"/>
      <c r="E29" s="43"/>
      <c r="F29" s="43"/>
      <c r="G29" s="43"/>
      <c r="H29" s="43"/>
    </row>
    <row r="30" customFormat="false" ht="14.25" hidden="false" customHeight="false" outlineLevel="0" collapsed="false">
      <c r="C30" s="6" t="s">
        <v>390</v>
      </c>
      <c r="D30" s="2" t="s">
        <v>12</v>
      </c>
      <c r="E30" s="9" t="n">
        <v>0.12</v>
      </c>
      <c r="H30" s="2" t="s">
        <v>391</v>
      </c>
    </row>
    <row r="31" customFormat="false" ht="14.25" hidden="false" customHeight="false" outlineLevel="0" collapsed="false">
      <c r="C31" s="6" t="s">
        <v>392</v>
      </c>
      <c r="D31" s="2" t="s">
        <v>12</v>
      </c>
      <c r="E31" s="9" t="n">
        <v>0.2</v>
      </c>
      <c r="H31" s="2" t="s">
        <v>393</v>
      </c>
    </row>
    <row r="32" customFormat="false" ht="14.25" hidden="false" customHeight="false" outlineLevel="0" collapsed="false">
      <c r="C32" s="6" t="s">
        <v>394</v>
      </c>
      <c r="D32" s="2" t="s">
        <v>3</v>
      </c>
      <c r="E32" s="12" t="n">
        <v>2</v>
      </c>
      <c r="H32" s="2" t="s">
        <v>395</v>
      </c>
    </row>
    <row r="33" customFormat="false" ht="14.25" hidden="false" customHeight="false" outlineLevel="0" collapsed="false">
      <c r="C33" s="6" t="s">
        <v>396</v>
      </c>
      <c r="D33" s="2" t="s">
        <v>167</v>
      </c>
      <c r="E33" s="78" t="n">
        <v>47299</v>
      </c>
      <c r="H33" s="2" t="s">
        <v>397</v>
      </c>
    </row>
    <row r="34" customFormat="false" ht="14.25" hidden="false" customHeight="false" outlineLevel="0" collapsed="false">
      <c r="C34" s="6" t="s">
        <v>398</v>
      </c>
      <c r="D34" s="2" t="s">
        <v>167</v>
      </c>
      <c r="E34" s="78" t="n">
        <v>47391</v>
      </c>
      <c r="H34" s="2" t="s">
        <v>399</v>
      </c>
    </row>
    <row r="35" customFormat="false" ht="14.25" hidden="false" customHeight="false" outlineLevel="0" collapsed="false">
      <c r="C35" s="6" t="s">
        <v>400</v>
      </c>
      <c r="D35" s="2" t="s">
        <v>167</v>
      </c>
      <c r="E35" s="78" t="n">
        <v>47026</v>
      </c>
      <c r="H35" s="2" t="s">
        <v>401</v>
      </c>
    </row>
    <row r="36" customFormat="false" ht="14.25" hidden="false" customHeight="false" outlineLevel="0" collapsed="false">
      <c r="C36" s="6" t="s">
        <v>402</v>
      </c>
      <c r="D36" s="2" t="s">
        <v>85</v>
      </c>
      <c r="E36" s="7" t="n">
        <v>250</v>
      </c>
      <c r="H36" s="2" t="s">
        <v>403</v>
      </c>
    </row>
    <row r="37" customFormat="false" ht="14.25" hidden="false" customHeight="false" outlineLevel="0" collapsed="false">
      <c r="C37" s="6" t="s">
        <v>404</v>
      </c>
      <c r="D37" s="2" t="s">
        <v>51</v>
      </c>
      <c r="E37" s="10" t="n">
        <v>2.5</v>
      </c>
      <c r="H37" s="2" t="s">
        <v>405</v>
      </c>
    </row>
    <row r="38" customFormat="false" ht="14.25" hidden="false" customHeight="false" outlineLevel="0" collapsed="false">
      <c r="C38" s="6" t="s">
        <v>406</v>
      </c>
      <c r="D38" s="2" t="s">
        <v>42</v>
      </c>
      <c r="E38" s="10" t="n">
        <v>10</v>
      </c>
      <c r="H38" s="2" t="s">
        <v>407</v>
      </c>
    </row>
    <row r="39" customFormat="false" ht="14.25" hidden="false" customHeight="false" outlineLevel="0" collapsed="false">
      <c r="C39" s="6" t="s">
        <v>408</v>
      </c>
      <c r="D39" s="2" t="s">
        <v>12</v>
      </c>
      <c r="E39" s="9" t="n">
        <v>0.15</v>
      </c>
      <c r="H39" s="2" t="s">
        <v>409</v>
      </c>
    </row>
    <row r="40" customFormat="false" ht="14.25" hidden="false" customHeight="false" outlineLevel="0" collapsed="false">
      <c r="C40" s="6" t="s">
        <v>410</v>
      </c>
      <c r="D40" s="2" t="s">
        <v>2</v>
      </c>
      <c r="E40" s="11" t="n">
        <v>1</v>
      </c>
      <c r="H40" s="2"/>
    </row>
    <row r="41" customFormat="false" ht="14.25" hidden="false" customHeight="false" outlineLevel="0" collapsed="false">
      <c r="C41" s="42" t="s">
        <v>411</v>
      </c>
      <c r="D41" s="42"/>
      <c r="E41" s="43"/>
      <c r="F41" s="43"/>
      <c r="G41" s="43"/>
      <c r="H41" s="43"/>
    </row>
    <row r="42" customFormat="false" ht="14.25" hidden="false" customHeight="false" outlineLevel="0" collapsed="false">
      <c r="C42" s="6" t="s">
        <v>412</v>
      </c>
      <c r="D42" s="2" t="s">
        <v>279</v>
      </c>
      <c r="E42" s="11" t="n">
        <v>20</v>
      </c>
      <c r="H42" s="2" t="s">
        <v>413</v>
      </c>
    </row>
    <row r="43" customFormat="false" ht="14.25" hidden="false" customHeight="false" outlineLevel="0" collapsed="false">
      <c r="C43" s="6" t="s">
        <v>414</v>
      </c>
      <c r="D43" s="2" t="s">
        <v>12</v>
      </c>
      <c r="E43" s="9" t="n">
        <v>0.6</v>
      </c>
      <c r="H43" s="2" t="s">
        <v>415</v>
      </c>
    </row>
    <row r="44" customFormat="false" ht="14.25" hidden="false" customHeight="false" outlineLevel="0" collapsed="false">
      <c r="C44" s="6" t="s">
        <v>416</v>
      </c>
      <c r="D44" s="2" t="s">
        <v>12</v>
      </c>
      <c r="E44" s="9" t="n">
        <v>0.05</v>
      </c>
      <c r="H44" s="2" t="s">
        <v>417</v>
      </c>
    </row>
    <row r="45" customFormat="false" ht="14.25" hidden="false" customHeight="false" outlineLevel="0" collapsed="false">
      <c r="C45" s="6" t="s">
        <v>418</v>
      </c>
      <c r="D45" s="2" t="s">
        <v>279</v>
      </c>
      <c r="E45" s="11" t="n">
        <v>15</v>
      </c>
      <c r="H45" s="2" t="s">
        <v>419</v>
      </c>
    </row>
    <row r="46" customFormat="false" ht="14.25" hidden="false" customHeight="false" outlineLevel="0" collapsed="false">
      <c r="C46" s="42" t="s">
        <v>420</v>
      </c>
      <c r="D46" s="42"/>
      <c r="E46" s="43"/>
      <c r="F46" s="43"/>
      <c r="G46" s="43"/>
      <c r="H46" s="43"/>
    </row>
    <row r="47" customFormat="false" ht="14.25" hidden="false" customHeight="false" outlineLevel="0" collapsed="false">
      <c r="C47" s="6" t="s">
        <v>421</v>
      </c>
      <c r="D47" s="2" t="s">
        <v>42</v>
      </c>
      <c r="E47" s="7" t="n">
        <v>80</v>
      </c>
      <c r="H47" s="2" t="s">
        <v>422</v>
      </c>
    </row>
    <row r="48" customFormat="false" ht="14.25" hidden="false" customHeight="false" outlineLevel="0" collapsed="false">
      <c r="C48" s="6" t="s">
        <v>102</v>
      </c>
      <c r="D48" s="2" t="s">
        <v>42</v>
      </c>
      <c r="E48" s="7" t="n">
        <v>90</v>
      </c>
      <c r="H48" s="2" t="s">
        <v>423</v>
      </c>
    </row>
    <row r="49" customFormat="false" ht="14.25" hidden="false" customHeight="false" outlineLevel="0" collapsed="false">
      <c r="C49" s="6" t="s">
        <v>103</v>
      </c>
      <c r="D49" s="2" t="s">
        <v>42</v>
      </c>
      <c r="E49" s="7" t="n">
        <v>70</v>
      </c>
      <c r="H49" s="2" t="s">
        <v>424</v>
      </c>
    </row>
    <row r="50" customFormat="false" ht="14.25" hidden="false" customHeight="false" outlineLevel="0" collapsed="false">
      <c r="C50" s="6" t="s">
        <v>104</v>
      </c>
      <c r="D50" s="2" t="s">
        <v>42</v>
      </c>
      <c r="E50" s="7" t="n">
        <v>60</v>
      </c>
      <c r="H50" s="2" t="s">
        <v>425</v>
      </c>
    </row>
    <row r="51" customFormat="false" ht="14.25" hidden="false" customHeight="false" outlineLevel="0" collapsed="false">
      <c r="C51" s="6" t="s">
        <v>105</v>
      </c>
      <c r="D51" s="2" t="s">
        <v>42</v>
      </c>
      <c r="E51" s="7" t="n">
        <v>40</v>
      </c>
      <c r="H51" s="2" t="s">
        <v>426</v>
      </c>
    </row>
    <row r="52" customFormat="false" ht="14.25" hidden="false" customHeight="false" outlineLevel="0" collapsed="false">
      <c r="C52" s="6" t="s">
        <v>106</v>
      </c>
      <c r="D52" s="2" t="s">
        <v>42</v>
      </c>
      <c r="E52" s="7" t="n">
        <v>0</v>
      </c>
      <c r="H52" s="2" t="s">
        <v>427</v>
      </c>
    </row>
    <row r="53" customFormat="false" ht="14.25" hidden="false" customHeight="false" outlineLevel="0" collapsed="false">
      <c r="C53" s="6" t="s">
        <v>428</v>
      </c>
      <c r="D53" s="2" t="s">
        <v>85</v>
      </c>
      <c r="E53" s="7" t="n">
        <v>12000</v>
      </c>
      <c r="H53" s="2" t="s">
        <v>429</v>
      </c>
    </row>
    <row r="54" customFormat="false" ht="14.25" hidden="false" customHeight="false" outlineLevel="0" collapsed="false">
      <c r="C54" s="6" t="s">
        <v>430</v>
      </c>
      <c r="D54" s="2" t="s">
        <v>10</v>
      </c>
      <c r="E54" s="7" t="n">
        <v>200</v>
      </c>
      <c r="H54" s="2" t="s">
        <v>431</v>
      </c>
    </row>
    <row r="55" customFormat="false" ht="14.25" hidden="false" customHeight="false" outlineLevel="0" collapsed="false">
      <c r="C55" s="6" t="s">
        <v>432</v>
      </c>
      <c r="D55" s="2" t="s">
        <v>12</v>
      </c>
      <c r="E55" s="9" t="n">
        <v>0.05</v>
      </c>
      <c r="H55" s="2" t="s">
        <v>433</v>
      </c>
    </row>
    <row r="56" customFormat="false" ht="14.25" hidden="false" customHeight="false" outlineLevel="0" collapsed="false">
      <c r="C56" s="6" t="s">
        <v>434</v>
      </c>
      <c r="D56" s="2" t="s">
        <v>435</v>
      </c>
      <c r="E56" s="7" t="n">
        <v>100</v>
      </c>
      <c r="H56" s="2" t="s">
        <v>436</v>
      </c>
    </row>
    <row r="57" customFormat="false" ht="14.25" hidden="false" customHeight="false" outlineLevel="0" collapsed="false">
      <c r="C57" s="42" t="s">
        <v>437</v>
      </c>
      <c r="D57" s="42"/>
      <c r="E57" s="43"/>
      <c r="F57" s="43"/>
      <c r="G57" s="43"/>
      <c r="H57" s="43"/>
    </row>
    <row r="58" customFormat="false" ht="14.25" hidden="false" customHeight="false" outlineLevel="0" collapsed="false">
      <c r="C58" s="6" t="s">
        <v>438</v>
      </c>
      <c r="D58" s="2" t="s">
        <v>12</v>
      </c>
      <c r="E58" s="9" t="n">
        <v>0.02</v>
      </c>
      <c r="H58" s="2" t="s">
        <v>439</v>
      </c>
    </row>
    <row r="59" customFormat="false" ht="14.25" hidden="false" customHeight="false" outlineLevel="0" collapsed="false">
      <c r="C59" s="6" t="s">
        <v>440</v>
      </c>
      <c r="D59" s="2" t="s">
        <v>12</v>
      </c>
      <c r="E59" s="9" t="n">
        <v>0.04</v>
      </c>
      <c r="H59" s="2" t="s">
        <v>441</v>
      </c>
    </row>
    <row r="60" customFormat="false" ht="14.25" hidden="false" customHeight="false" outlineLevel="0" collapsed="false">
      <c r="C60" s="6" t="s">
        <v>442</v>
      </c>
      <c r="D60" s="2" t="s">
        <v>443</v>
      </c>
      <c r="E60" s="9" t="n">
        <v>0.003</v>
      </c>
      <c r="H60" s="2" t="s">
        <v>444</v>
      </c>
    </row>
    <row r="61" customFormat="false" ht="14.25" hidden="false" customHeight="false" outlineLevel="0" collapsed="false">
      <c r="C61" s="6" t="s">
        <v>445</v>
      </c>
      <c r="D61" s="2" t="s">
        <v>443</v>
      </c>
      <c r="E61" s="9" t="n">
        <v>0.01</v>
      </c>
      <c r="H61" s="2" t="s">
        <v>446</v>
      </c>
    </row>
    <row r="62" customFormat="false" ht="14.25" hidden="false" customHeight="false" outlineLevel="0" collapsed="false">
      <c r="C62" s="42" t="s">
        <v>447</v>
      </c>
      <c r="D62" s="42"/>
      <c r="E62" s="43"/>
      <c r="F62" s="43"/>
      <c r="G62" s="43"/>
      <c r="H62" s="43"/>
    </row>
    <row r="63" customFormat="false" ht="14.25" hidden="false" customHeight="false" outlineLevel="0" collapsed="false">
      <c r="C63" s="6" t="s">
        <v>448</v>
      </c>
      <c r="D63" s="2" t="s">
        <v>51</v>
      </c>
      <c r="E63" s="10" t="n">
        <v>3</v>
      </c>
      <c r="H63" s="2" t="s">
        <v>449</v>
      </c>
    </row>
    <row r="64" customFormat="false" ht="14.25" hidden="false" customHeight="false" outlineLevel="0" collapsed="false">
      <c r="C64" s="6" t="s">
        <v>450</v>
      </c>
      <c r="D64" s="2" t="s">
        <v>51</v>
      </c>
      <c r="E64" s="10" t="n">
        <v>3</v>
      </c>
      <c r="H64" s="2" t="s">
        <v>451</v>
      </c>
    </row>
    <row r="65" customFormat="false" ht="14.25" hidden="false" customHeight="false" outlineLevel="0" collapsed="false">
      <c r="C65" s="6" t="s">
        <v>452</v>
      </c>
      <c r="D65" s="2" t="s">
        <v>51</v>
      </c>
      <c r="E65" s="10" t="n">
        <v>2.5</v>
      </c>
      <c r="H65" s="2" t="s">
        <v>453</v>
      </c>
    </row>
    <row r="66" customFormat="false" ht="14.25" hidden="false" customHeight="false" outlineLevel="0" collapsed="false">
      <c r="C66" s="6" t="s">
        <v>454</v>
      </c>
      <c r="D66" s="2" t="s">
        <v>51</v>
      </c>
      <c r="E66" s="10" t="n">
        <v>1.5</v>
      </c>
      <c r="H66" s="2" t="s">
        <v>455</v>
      </c>
    </row>
    <row r="67" customFormat="false" ht="14.25" hidden="false" customHeight="false" outlineLevel="0" collapsed="false">
      <c r="C67" s="6" t="s">
        <v>456</v>
      </c>
      <c r="D67" s="2" t="s">
        <v>51</v>
      </c>
      <c r="E67" s="10" t="n">
        <v>3</v>
      </c>
      <c r="H67" s="2" t="s">
        <v>457</v>
      </c>
    </row>
    <row r="68" customFormat="false" ht="14.25" hidden="false" customHeight="false" outlineLevel="0" collapsed="false">
      <c r="C68" s="6" t="s">
        <v>458</v>
      </c>
      <c r="D68" s="2" t="s">
        <v>459</v>
      </c>
      <c r="E68" s="7" t="n">
        <v>150</v>
      </c>
      <c r="H68" s="2" t="s">
        <v>460</v>
      </c>
    </row>
    <row r="69" customFormat="false" ht="14.25" hidden="false" customHeight="false" outlineLevel="0" collapsed="false">
      <c r="C69" s="6" t="s">
        <v>461</v>
      </c>
      <c r="D69" s="2" t="s">
        <v>20</v>
      </c>
      <c r="E69" s="10" t="n">
        <v>4</v>
      </c>
      <c r="H69" s="2" t="s">
        <v>462</v>
      </c>
    </row>
    <row r="70" customFormat="false" ht="14.25" hidden="false" customHeight="false" outlineLevel="0" collapsed="false">
      <c r="C70" s="6" t="s">
        <v>463</v>
      </c>
      <c r="D70" s="2" t="s">
        <v>20</v>
      </c>
      <c r="E70" s="10" t="n">
        <v>1</v>
      </c>
      <c r="H70" s="2" t="s">
        <v>464</v>
      </c>
    </row>
    <row r="71" customFormat="false" ht="14.25" hidden="false" customHeight="false" outlineLevel="0" collapsed="false">
      <c r="C71" s="6" t="s">
        <v>299</v>
      </c>
      <c r="D71" s="2" t="s">
        <v>465</v>
      </c>
      <c r="E71" s="9" t="n">
        <v>0.001</v>
      </c>
      <c r="H71" s="2" t="s">
        <v>466</v>
      </c>
    </row>
    <row r="72" customFormat="false" ht="14.25" hidden="false" customHeight="false" outlineLevel="0" collapsed="false">
      <c r="C72" s="6" t="s">
        <v>302</v>
      </c>
      <c r="D72" s="2" t="s">
        <v>465</v>
      </c>
      <c r="E72" s="9" t="n">
        <v>0.02</v>
      </c>
      <c r="H72" s="2" t="s">
        <v>467</v>
      </c>
    </row>
    <row r="73" customFormat="false" ht="14.25" hidden="false" customHeight="false" outlineLevel="0" collapsed="false">
      <c r="C73" s="6" t="s">
        <v>468</v>
      </c>
      <c r="D73" s="2" t="s">
        <v>12</v>
      </c>
      <c r="E73" s="9" t="n">
        <v>0.05</v>
      </c>
      <c r="H73" s="2" t="s">
        <v>469</v>
      </c>
    </row>
    <row r="74" customFormat="false" ht="14.25" hidden="false" customHeight="false" outlineLevel="0" collapsed="false">
      <c r="C74" s="6" t="s">
        <v>470</v>
      </c>
      <c r="D74" s="2" t="s">
        <v>443</v>
      </c>
      <c r="E74" s="9" t="n">
        <v>0.025</v>
      </c>
      <c r="H74" s="2" t="s">
        <v>471</v>
      </c>
    </row>
    <row r="75" customFormat="false" ht="14.25" hidden="false" customHeight="false" outlineLevel="0" collapsed="false">
      <c r="C75" s="42" t="s">
        <v>472</v>
      </c>
      <c r="D75" s="42"/>
      <c r="E75" s="43"/>
      <c r="F75" s="43"/>
      <c r="G75" s="43"/>
      <c r="H75" s="43"/>
    </row>
    <row r="76" customFormat="false" ht="14.25" hidden="false" customHeight="false" outlineLevel="0" collapsed="false">
      <c r="C76" s="6" t="s">
        <v>473</v>
      </c>
      <c r="D76" s="2" t="s">
        <v>279</v>
      </c>
      <c r="E76" s="11" t="n">
        <v>30</v>
      </c>
      <c r="H76" s="2" t="s">
        <v>474</v>
      </c>
    </row>
    <row r="77" customFormat="false" ht="14.25" hidden="false" customHeight="false" outlineLevel="0" collapsed="false">
      <c r="C77" s="6" t="s">
        <v>475</v>
      </c>
      <c r="D77" s="2" t="s">
        <v>12</v>
      </c>
      <c r="E77" s="9" t="n">
        <v>0.08</v>
      </c>
      <c r="H77" s="2" t="s">
        <v>476</v>
      </c>
    </row>
    <row r="78" customFormat="false" ht="14.25" hidden="false" customHeight="false" outlineLevel="0" collapsed="false">
      <c r="C78" s="6" t="s">
        <v>477</v>
      </c>
      <c r="D78" s="2" t="s">
        <v>154</v>
      </c>
      <c r="E78" s="11" t="n">
        <v>2026</v>
      </c>
      <c r="H78" s="2" t="s">
        <v>478</v>
      </c>
    </row>
    <row r="79" customFormat="false" ht="14.25" hidden="false" customHeight="false" outlineLevel="0" collapsed="false">
      <c r="C79" s="6" t="s">
        <v>479</v>
      </c>
      <c r="D79" s="2" t="s">
        <v>3</v>
      </c>
      <c r="E79" s="7" t="n">
        <v>1000</v>
      </c>
      <c r="H79" s="2" t="s">
        <v>480</v>
      </c>
    </row>
    <row r="80" customFormat="false" ht="14.25" hidden="false" customHeight="false" outlineLevel="0" collapsed="false">
      <c r="C80" s="6" t="s">
        <v>481</v>
      </c>
      <c r="D80" s="2" t="s">
        <v>171</v>
      </c>
      <c r="E80" s="11" t="n">
        <v>365</v>
      </c>
      <c r="H80" s="2" t="s">
        <v>480</v>
      </c>
    </row>
    <row r="81" customFormat="false" ht="14.25" hidden="false" customHeight="false" outlineLevel="0" collapsed="false">
      <c r="C81" s="6" t="s">
        <v>482</v>
      </c>
      <c r="D81" s="2" t="s">
        <v>281</v>
      </c>
      <c r="E81" s="11" t="n">
        <v>12</v>
      </c>
      <c r="H81" s="2" t="s">
        <v>480</v>
      </c>
    </row>
    <row r="82" customFormat="false" ht="14.25" hidden="false" customHeight="false" outlineLevel="0" collapsed="false">
      <c r="C82" s="6" t="s">
        <v>483</v>
      </c>
      <c r="D82" s="2" t="s">
        <v>85</v>
      </c>
      <c r="E82" s="79" t="n">
        <v>0.001</v>
      </c>
      <c r="H82" s="2" t="s">
        <v>480</v>
      </c>
    </row>
    <row r="84" customFormat="false" ht="14.25" hidden="false" customHeight="false" outlineLevel="0" collapsed="false">
      <c r="C84" s="42" t="s">
        <v>484</v>
      </c>
      <c r="D84" s="42"/>
      <c r="E84" s="43"/>
      <c r="F84" s="43"/>
      <c r="G84" s="43"/>
      <c r="H84" s="43"/>
    </row>
    <row r="85" customFormat="false" ht="14.25" hidden="false" customHeight="false" outlineLevel="0" collapsed="false">
      <c r="C85" s="6" t="s">
        <v>485</v>
      </c>
      <c r="D85" s="2" t="s">
        <v>74</v>
      </c>
      <c r="E85" s="7" t="n">
        <v>20590500</v>
      </c>
      <c r="F85" s="78" t="n">
        <v>46431</v>
      </c>
      <c r="G85" s="13" t="s">
        <v>116</v>
      </c>
      <c r="H85" s="2" t="s">
        <v>486</v>
      </c>
    </row>
    <row r="86" customFormat="false" ht="14.25" hidden="false" customHeight="false" outlineLevel="0" collapsed="false">
      <c r="C86" s="6" t="s">
        <v>487</v>
      </c>
      <c r="D86" s="2" t="s">
        <v>74</v>
      </c>
      <c r="E86" s="7" t="n">
        <v>45600000</v>
      </c>
      <c r="F86" s="78" t="n">
        <v>46431</v>
      </c>
      <c r="G86" s="13" t="s">
        <v>116</v>
      </c>
      <c r="H86" s="2" t="s">
        <v>488</v>
      </c>
    </row>
    <row r="87" customFormat="false" ht="14.25" hidden="false" customHeight="false" outlineLevel="0" collapsed="false">
      <c r="C87" s="6" t="s">
        <v>489</v>
      </c>
      <c r="D87" s="2" t="s">
        <v>74</v>
      </c>
      <c r="E87" s="7" t="n">
        <v>59142857.1428571</v>
      </c>
      <c r="F87" s="78" t="n">
        <v>46976</v>
      </c>
      <c r="G87" s="13" t="s">
        <v>490</v>
      </c>
      <c r="H87" s="2" t="s">
        <v>491</v>
      </c>
    </row>
    <row r="88" customFormat="false" ht="14.25" hidden="false" customHeight="false" outlineLevel="0" collapsed="false">
      <c r="C88" s="6" t="s">
        <v>492</v>
      </c>
      <c r="D88" s="2" t="s">
        <v>74</v>
      </c>
      <c r="E88" s="7" t="n">
        <v>750544</v>
      </c>
      <c r="F88" s="78" t="n">
        <v>46976</v>
      </c>
      <c r="G88" s="13" t="s">
        <v>490</v>
      </c>
      <c r="H88" s="2" t="s">
        <v>493</v>
      </c>
    </row>
    <row r="89" customFormat="false" ht="14.25" hidden="false" customHeight="false" outlineLevel="0" collapsed="false">
      <c r="C89" s="6" t="s">
        <v>494</v>
      </c>
      <c r="D89" s="2" t="s">
        <v>74</v>
      </c>
      <c r="E89" s="7" t="n">
        <v>65580000</v>
      </c>
      <c r="F89" s="78" t="n">
        <v>46296</v>
      </c>
      <c r="G89" s="13" t="s">
        <v>490</v>
      </c>
      <c r="H89" s="2" t="s">
        <v>495</v>
      </c>
    </row>
    <row r="90" customFormat="false" ht="14.25" hidden="false" customHeight="false" outlineLevel="0" collapsed="false">
      <c r="C90" s="6" t="s">
        <v>496</v>
      </c>
      <c r="D90" s="2" t="s">
        <v>74</v>
      </c>
      <c r="E90" s="7" t="n">
        <v>147260000</v>
      </c>
      <c r="F90" s="78" t="n">
        <v>46447</v>
      </c>
      <c r="G90" s="13" t="s">
        <v>490</v>
      </c>
      <c r="H90" s="2" t="s">
        <v>497</v>
      </c>
    </row>
    <row r="91" customFormat="false" ht="14.25" hidden="false" customHeight="false" outlineLevel="0" collapsed="false">
      <c r="C91" s="6" t="s">
        <v>498</v>
      </c>
      <c r="D91" s="2" t="s">
        <v>74</v>
      </c>
      <c r="E91" s="7" t="n">
        <v>3600000</v>
      </c>
      <c r="F91" s="78" t="n">
        <v>46388</v>
      </c>
      <c r="G91" s="13" t="s">
        <v>490</v>
      </c>
      <c r="H91" s="2" t="s">
        <v>499</v>
      </c>
    </row>
    <row r="92" customFormat="false" ht="14.25" hidden="false" customHeight="false" outlineLevel="0" collapsed="false">
      <c r="C92" s="6" t="s">
        <v>500</v>
      </c>
      <c r="D92" s="2" t="s">
        <v>74</v>
      </c>
      <c r="E92" s="7" t="n">
        <v>1665000</v>
      </c>
      <c r="F92" s="78" t="n">
        <v>46932</v>
      </c>
      <c r="G92" s="13" t="s">
        <v>490</v>
      </c>
      <c r="H92" s="2" t="s">
        <v>501</v>
      </c>
    </row>
    <row r="93" customFormat="false" ht="14.25" hidden="false" customHeight="false" outlineLevel="0" collapsed="false">
      <c r="C93" s="6" t="s">
        <v>502</v>
      </c>
      <c r="D93" s="2" t="s">
        <v>74</v>
      </c>
      <c r="E93" s="7" t="n">
        <v>960000</v>
      </c>
      <c r="F93" s="78" t="n">
        <v>46746</v>
      </c>
      <c r="G93" s="13" t="s">
        <v>490</v>
      </c>
      <c r="H93" s="2" t="s">
        <v>503</v>
      </c>
    </row>
    <row r="94" customFormat="false" ht="14.25" hidden="false" customHeight="false" outlineLevel="0" collapsed="false">
      <c r="C94" s="6" t="s">
        <v>504</v>
      </c>
      <c r="D94" s="2" t="s">
        <v>74</v>
      </c>
      <c r="E94" s="7" t="n">
        <v>8000000</v>
      </c>
      <c r="F94" s="78" t="n">
        <v>46596</v>
      </c>
      <c r="G94" s="13" t="s">
        <v>490</v>
      </c>
      <c r="H94" s="2" t="s">
        <v>505</v>
      </c>
    </row>
    <row r="95" customFormat="false" ht="14.25" hidden="false" customHeight="false" outlineLevel="0" collapsed="false">
      <c r="C95" s="6" t="s">
        <v>506</v>
      </c>
      <c r="D95" s="2" t="s">
        <v>74</v>
      </c>
      <c r="E95" s="7" t="n">
        <v>50000000</v>
      </c>
      <c r="F95" s="78" t="n">
        <v>46806</v>
      </c>
      <c r="G95" s="13" t="s">
        <v>490</v>
      </c>
      <c r="H95" s="2" t="s">
        <v>507</v>
      </c>
    </row>
    <row r="96" customFormat="false" ht="14.25" hidden="false" customHeight="false" outlineLevel="0" collapsed="false">
      <c r="C96" s="6" t="s">
        <v>508</v>
      </c>
      <c r="D96" s="2" t="s">
        <v>74</v>
      </c>
      <c r="E96" s="7" t="n">
        <v>35000000</v>
      </c>
      <c r="F96" s="78" t="n">
        <v>46806</v>
      </c>
      <c r="G96" s="13" t="s">
        <v>490</v>
      </c>
      <c r="H96" s="2" t="s">
        <v>509</v>
      </c>
    </row>
    <row r="97" customFormat="false" ht="14.25" hidden="false" customHeight="false" outlineLevel="0" collapsed="false">
      <c r="C97" s="6" t="s">
        <v>510</v>
      </c>
      <c r="D97" s="2" t="s">
        <v>74</v>
      </c>
      <c r="E97" s="7" t="n">
        <v>14832000</v>
      </c>
      <c r="F97" s="78" t="n">
        <v>46751</v>
      </c>
      <c r="G97" s="13" t="s">
        <v>490</v>
      </c>
      <c r="H97" s="2" t="s">
        <v>511</v>
      </c>
    </row>
    <row r="98" customFormat="false" ht="14.25" hidden="false" customHeight="false" outlineLevel="0" collapsed="false">
      <c r="C98" s="6" t="s">
        <v>512</v>
      </c>
      <c r="D98" s="2" t="s">
        <v>74</v>
      </c>
      <c r="E98" s="7" t="n">
        <v>40000</v>
      </c>
      <c r="F98" s="78" t="n">
        <v>46871</v>
      </c>
      <c r="G98" s="13" t="s">
        <v>490</v>
      </c>
      <c r="H98" s="2" t="s">
        <v>513</v>
      </c>
    </row>
    <row r="99" customFormat="false" ht="14.25" hidden="false" customHeight="false" outlineLevel="0" collapsed="false">
      <c r="C99" s="6" t="s">
        <v>514</v>
      </c>
      <c r="D99" s="2" t="s">
        <v>74</v>
      </c>
      <c r="E99" s="7" t="n">
        <v>32610000</v>
      </c>
      <c r="F99" s="78" t="n">
        <v>46841</v>
      </c>
      <c r="G99" s="13" t="s">
        <v>490</v>
      </c>
      <c r="H99" s="2" t="s">
        <v>515</v>
      </c>
    </row>
    <row r="100" customFormat="false" ht="14.25" hidden="false" customHeight="false" outlineLevel="0" collapsed="false">
      <c r="C100" s="6" t="s">
        <v>516</v>
      </c>
      <c r="D100" s="2" t="s">
        <v>74</v>
      </c>
      <c r="E100" s="7" t="n">
        <v>8000000</v>
      </c>
      <c r="F100" s="78" t="n">
        <v>46596</v>
      </c>
      <c r="G100" s="13" t="s">
        <v>490</v>
      </c>
      <c r="H100" s="2" t="s">
        <v>517</v>
      </c>
    </row>
    <row r="101" customFormat="false" ht="14.25" hidden="false" customHeight="false" outlineLevel="0" collapsed="false">
      <c r="C101" s="6" t="s">
        <v>518</v>
      </c>
      <c r="D101" s="2" t="s">
        <v>74</v>
      </c>
      <c r="E101" s="7" t="n">
        <v>8000000</v>
      </c>
      <c r="F101" s="78" t="n">
        <v>46566</v>
      </c>
      <c r="G101" s="13" t="s">
        <v>490</v>
      </c>
      <c r="H101" s="2" t="s">
        <v>519</v>
      </c>
    </row>
    <row r="102" customFormat="false" ht="14.25" hidden="false" customHeight="false" outlineLevel="0" collapsed="false">
      <c r="C102" s="6" t="s">
        <v>520</v>
      </c>
      <c r="D102" s="2" t="s">
        <v>74</v>
      </c>
      <c r="E102" s="7" t="n">
        <v>8000000</v>
      </c>
      <c r="F102" s="78" t="n">
        <v>46566</v>
      </c>
      <c r="G102" s="13" t="s">
        <v>490</v>
      </c>
      <c r="H102" s="2" t="s">
        <v>521</v>
      </c>
    </row>
    <row r="103" customFormat="false" ht="14.25" hidden="false" customHeight="false" outlineLevel="0" collapsed="false">
      <c r="C103" s="6" t="s">
        <v>522</v>
      </c>
      <c r="D103" s="2" t="s">
        <v>74</v>
      </c>
      <c r="E103" s="7" t="n">
        <v>4590000</v>
      </c>
      <c r="F103" s="78" t="n">
        <v>46780</v>
      </c>
      <c r="G103" s="13" t="s">
        <v>490</v>
      </c>
      <c r="H103" s="2" t="s">
        <v>523</v>
      </c>
    </row>
    <row r="104" customFormat="false" ht="14.25" hidden="false" customHeight="false" outlineLevel="0" collapsed="false">
      <c r="C104" s="6" t="s">
        <v>524</v>
      </c>
      <c r="D104" s="2" t="s">
        <v>74</v>
      </c>
      <c r="E104" s="7" t="n">
        <v>138000000</v>
      </c>
      <c r="F104" s="78" t="n">
        <v>46780</v>
      </c>
      <c r="G104" s="13" t="s">
        <v>490</v>
      </c>
      <c r="H104" s="2" t="s">
        <v>525</v>
      </c>
    </row>
    <row r="105" customFormat="false" ht="14.25" hidden="false" customHeight="false" outlineLevel="0" collapsed="false">
      <c r="C105" s="6" t="s">
        <v>526</v>
      </c>
      <c r="D105" s="2" t="s">
        <v>74</v>
      </c>
      <c r="E105" s="7" t="n">
        <v>45000000</v>
      </c>
      <c r="F105" s="78" t="n">
        <v>46780</v>
      </c>
      <c r="G105" s="13" t="s">
        <v>490</v>
      </c>
      <c r="H105" s="2" t="s">
        <v>527</v>
      </c>
    </row>
    <row r="106" customFormat="false" ht="14.25" hidden="false" customHeight="false" outlineLevel="0" collapsed="false">
      <c r="C106" s="6" t="s">
        <v>528</v>
      </c>
      <c r="D106" s="2" t="s">
        <v>74</v>
      </c>
      <c r="E106" s="7" t="n">
        <v>74896683.6734694</v>
      </c>
      <c r="F106" s="78" t="n">
        <v>46780</v>
      </c>
      <c r="G106" s="13" t="s">
        <v>490</v>
      </c>
      <c r="H106" s="2" t="s">
        <v>529</v>
      </c>
    </row>
    <row r="107" customFormat="false" ht="14.25" hidden="false" customHeight="false" outlineLevel="0" collapsed="false">
      <c r="C107" s="6" t="s">
        <v>530</v>
      </c>
      <c r="D107" s="2" t="s">
        <v>74</v>
      </c>
      <c r="E107" s="7" t="n">
        <v>15000000</v>
      </c>
      <c r="F107" s="78" t="n">
        <v>46720</v>
      </c>
      <c r="G107" s="13" t="s">
        <v>490</v>
      </c>
      <c r="H107" s="2" t="s">
        <v>531</v>
      </c>
    </row>
    <row r="108" customFormat="false" ht="14.25" hidden="false" customHeight="false" outlineLevel="0" collapsed="false">
      <c r="C108" s="6" t="s">
        <v>532</v>
      </c>
      <c r="D108" s="2" t="s">
        <v>74</v>
      </c>
      <c r="E108" s="7" t="n">
        <v>6000000</v>
      </c>
      <c r="F108" s="78" t="n">
        <v>46780</v>
      </c>
      <c r="G108" s="13" t="s">
        <v>490</v>
      </c>
      <c r="H108" s="2" t="s">
        <v>533</v>
      </c>
    </row>
    <row r="109" customFormat="false" ht="14.25" hidden="false" customHeight="false" outlineLevel="0" collapsed="false">
      <c r="C109" s="6" t="s">
        <v>534</v>
      </c>
      <c r="D109" s="2" t="s">
        <v>74</v>
      </c>
      <c r="E109" s="7" t="n">
        <v>45178571.4285714</v>
      </c>
      <c r="F109" s="78" t="n">
        <v>46780</v>
      </c>
      <c r="G109" s="13" t="s">
        <v>490</v>
      </c>
      <c r="H109" s="2" t="s">
        <v>535</v>
      </c>
    </row>
    <row r="110" customFormat="false" ht="14.25" hidden="false" customHeight="false" outlineLevel="0" collapsed="false">
      <c r="C110" s="6" t="s">
        <v>536</v>
      </c>
      <c r="D110" s="2" t="s">
        <v>74</v>
      </c>
      <c r="E110" s="7" t="n">
        <v>4590000</v>
      </c>
      <c r="F110" s="78" t="n">
        <v>46780</v>
      </c>
      <c r="G110" s="13" t="s">
        <v>490</v>
      </c>
      <c r="H110" s="2" t="s">
        <v>537</v>
      </c>
    </row>
    <row r="111" customFormat="false" ht="14.25" hidden="false" customHeight="false" outlineLevel="0" collapsed="false">
      <c r="C111" s="6" t="s">
        <v>538</v>
      </c>
      <c r="D111" s="2" t="s">
        <v>74</v>
      </c>
      <c r="E111" s="7" t="n">
        <v>70000000</v>
      </c>
      <c r="F111" s="78" t="n">
        <v>46780</v>
      </c>
      <c r="G111" s="13" t="s">
        <v>490</v>
      </c>
      <c r="H111" s="2" t="s">
        <v>539</v>
      </c>
    </row>
    <row r="112" customFormat="false" ht="14.25" hidden="false" customHeight="false" outlineLevel="0" collapsed="false">
      <c r="C112" s="6" t="s">
        <v>540</v>
      </c>
      <c r="D112" s="2" t="s">
        <v>74</v>
      </c>
      <c r="E112" s="7" t="n">
        <v>20000000</v>
      </c>
      <c r="F112" s="78" t="n">
        <v>47126</v>
      </c>
      <c r="G112" s="13" t="s">
        <v>490</v>
      </c>
      <c r="H112" s="2" t="s">
        <v>541</v>
      </c>
    </row>
    <row r="113" customFormat="false" ht="14.25" hidden="false" customHeight="false" outlineLevel="0" collapsed="false">
      <c r="C113" s="6" t="s">
        <v>542</v>
      </c>
      <c r="D113" s="2" t="s">
        <v>74</v>
      </c>
      <c r="E113" s="7" t="n">
        <v>12000000</v>
      </c>
      <c r="F113" s="78" t="n">
        <v>47066</v>
      </c>
      <c r="G113" s="13" t="s">
        <v>490</v>
      </c>
      <c r="H113" s="2" t="s">
        <v>543</v>
      </c>
    </row>
    <row r="114" customFormat="false" ht="14.25" hidden="false" customHeight="false" outlineLevel="0" collapsed="false">
      <c r="C114" s="6" t="s">
        <v>544</v>
      </c>
      <c r="D114" s="2" t="s">
        <v>74</v>
      </c>
      <c r="E114" s="7" t="n">
        <v>7400000</v>
      </c>
      <c r="F114" s="78" t="n">
        <v>46752</v>
      </c>
      <c r="G114" s="13" t="s">
        <v>490</v>
      </c>
      <c r="H114" s="2" t="s">
        <v>545</v>
      </c>
    </row>
    <row r="115" customFormat="false" ht="14.25" hidden="false" customHeight="false" outlineLevel="0" collapsed="false">
      <c r="C115" s="6" t="s">
        <v>546</v>
      </c>
      <c r="D115" s="2" t="s">
        <v>74</v>
      </c>
      <c r="E115" s="7" t="n">
        <v>29600000</v>
      </c>
      <c r="F115" s="78" t="n">
        <v>46752</v>
      </c>
      <c r="G115" s="13" t="s">
        <v>490</v>
      </c>
      <c r="H115" s="2" t="s">
        <v>547</v>
      </c>
    </row>
    <row r="116" customFormat="false" ht="14.25" hidden="false" customHeight="false" outlineLevel="0" collapsed="false">
      <c r="C116" s="6" t="s">
        <v>548</v>
      </c>
      <c r="D116" s="2" t="s">
        <v>74</v>
      </c>
      <c r="E116" s="7" t="n">
        <v>91200000</v>
      </c>
      <c r="F116" s="78" t="n">
        <v>47201</v>
      </c>
      <c r="G116" s="13" t="s">
        <v>116</v>
      </c>
      <c r="H116" s="2" t="s">
        <v>549</v>
      </c>
    </row>
    <row r="117" customFormat="false" ht="14.25" hidden="false" customHeight="false" outlineLevel="0" collapsed="false">
      <c r="C117" s="6" t="s">
        <v>550</v>
      </c>
      <c r="D117" s="2" t="s">
        <v>74</v>
      </c>
      <c r="E117" s="7" t="n">
        <v>107908615.62449</v>
      </c>
      <c r="F117" s="78" t="n">
        <v>46752</v>
      </c>
      <c r="G117" s="13" t="s">
        <v>490</v>
      </c>
      <c r="H117" s="2" t="s">
        <v>551</v>
      </c>
    </row>
    <row r="119" customFormat="false" ht="14.25" hidden="false" customHeight="false" outlineLevel="0" collapsed="false">
      <c r="B119" s="4" t="s">
        <v>3</v>
      </c>
      <c r="C119" s="4" t="s">
        <v>552</v>
      </c>
      <c r="D119" s="4"/>
      <c r="E119" s="5" t="s">
        <v>553</v>
      </c>
      <c r="F119" s="5"/>
      <c r="G119" s="5"/>
      <c r="H119" s="5"/>
    </row>
    <row r="120" customFormat="false" ht="14.25" hidden="false" customHeight="false" outlineLevel="0" collapsed="false">
      <c r="C120" s="6" t="s">
        <v>554</v>
      </c>
      <c r="E120" s="13" t="n">
        <v>10</v>
      </c>
      <c r="F120" s="13" t="n">
        <v>15</v>
      </c>
      <c r="G120" s="13" t="n">
        <v>20</v>
      </c>
      <c r="H120" s="13" t="n">
        <v>25</v>
      </c>
      <c r="I120" s="13" t="n">
        <v>30</v>
      </c>
      <c r="J120" s="13" t="n">
        <v>35</v>
      </c>
      <c r="K120" s="13" t="n">
        <v>40</v>
      </c>
      <c r="L120" s="13" t="n">
        <v>45</v>
      </c>
      <c r="M120" s="13" t="n">
        <v>50</v>
      </c>
    </row>
    <row r="121" customFormat="false" ht="14.25" hidden="false" customHeight="false" outlineLevel="0" collapsed="false">
      <c r="C121" s="6" t="s">
        <v>555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1</v>
      </c>
    </row>
    <row r="122" customFormat="false" ht="14.25" hidden="false" customHeight="false" outlineLevel="0" collapsed="false">
      <c r="C122" s="6" t="s">
        <v>556</v>
      </c>
      <c r="E122" s="13" t="n">
        <v>0</v>
      </c>
      <c r="F122" s="13" t="n">
        <v>10</v>
      </c>
      <c r="G122" s="13" t="n">
        <v>20</v>
      </c>
      <c r="H122" s="13" t="n">
        <v>30</v>
      </c>
      <c r="I122" s="13" t="n">
        <v>40</v>
      </c>
      <c r="J122" s="13" t="n">
        <v>55</v>
      </c>
      <c r="K122" s="13" t="n">
        <v>70</v>
      </c>
      <c r="L122" s="13" t="n">
        <v>80</v>
      </c>
      <c r="M122" s="13" t="n">
        <v>90</v>
      </c>
      <c r="N122" s="13" t="n">
        <v>100</v>
      </c>
    </row>
    <row r="123" customFormat="false" ht="14.25" hidden="false" customHeight="false" outlineLevel="0" collapsed="false">
      <c r="C123" s="6" t="s">
        <v>557</v>
      </c>
      <c r="E123" s="13" t="n">
        <v>2</v>
      </c>
      <c r="F123" s="13" t="n">
        <v>2.1</v>
      </c>
      <c r="G123" s="13" t="n">
        <v>2.2</v>
      </c>
      <c r="H123" s="13" t="n">
        <v>2.3</v>
      </c>
      <c r="I123" s="13" t="n">
        <v>2.4</v>
      </c>
      <c r="J123" s="13" t="n">
        <v>2.5</v>
      </c>
      <c r="K123" s="13" t="n">
        <v>2.6</v>
      </c>
      <c r="L123" s="13" t="n">
        <v>2.7</v>
      </c>
      <c r="M123" s="13" t="n">
        <v>2.8</v>
      </c>
      <c r="N123" s="13" t="n">
        <v>2.9</v>
      </c>
      <c r="O123" s="13" t="n">
        <v>3</v>
      </c>
    </row>
    <row r="124" customFormat="false" ht="14.25" hidden="false" customHeight="false" outlineLevel="0" collapsed="false">
      <c r="C124" s="6" t="s">
        <v>558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1</v>
      </c>
    </row>
    <row r="125" customFormat="false" ht="14.25" hidden="false" customHeight="false" outlineLevel="0" collapsed="false">
      <c r="C125" s="6" t="s">
        <v>559</v>
      </c>
      <c r="E125" s="13" t="n">
        <v>0</v>
      </c>
      <c r="F125" s="13" t="n">
        <v>5</v>
      </c>
      <c r="G125" s="13" t="n">
        <v>10</v>
      </c>
      <c r="H125" s="13" t="n">
        <v>20</v>
      </c>
      <c r="I125" s="13" t="n">
        <v>30</v>
      </c>
      <c r="J125" s="13" t="n">
        <v>40</v>
      </c>
      <c r="K125" s="13" t="n">
        <v>50</v>
      </c>
      <c r="L125" s="13" t="n">
        <v>60</v>
      </c>
      <c r="M125" s="13" t="n">
        <v>70</v>
      </c>
      <c r="N125" s="13" t="n">
        <v>80</v>
      </c>
      <c r="O125" s="13" t="n">
        <v>90</v>
      </c>
      <c r="P125" s="13" t="n">
        <v>100</v>
      </c>
    </row>
    <row r="126" customFormat="false" ht="14.25" hidden="false" customHeight="false" outlineLevel="0" collapsed="false">
      <c r="C126" s="6" t="s">
        <v>560</v>
      </c>
      <c r="E126" s="13" t="n">
        <v>0.02</v>
      </c>
      <c r="F126" s="13" t="n">
        <v>0.05</v>
      </c>
      <c r="G126" s="13" t="n">
        <v>0.1</v>
      </c>
      <c r="H126" s="13" t="n">
        <v>0.15</v>
      </c>
      <c r="I126" s="13" t="n">
        <v>0.2</v>
      </c>
      <c r="J126" s="13" t="n">
        <v>0.25</v>
      </c>
      <c r="K126" s="13" t="n">
        <v>0.3</v>
      </c>
      <c r="L126" s="13" t="n">
        <v>0.35</v>
      </c>
      <c r="M126" s="13" t="n">
        <v>0.4</v>
      </c>
      <c r="N126" s="13" t="n">
        <v>0.5</v>
      </c>
    </row>
    <row r="127" customFormat="false" ht="14.25" hidden="false" customHeight="false" outlineLevel="0" collapsed="false">
      <c r="C127" s="6" t="s">
        <v>561</v>
      </c>
      <c r="E127" s="13" t="n">
        <v>0</v>
      </c>
      <c r="F127" s="13" t="n">
        <v>1</v>
      </c>
      <c r="G127" s="13" t="n">
        <v>1</v>
      </c>
      <c r="H127" s="13" t="n">
        <v>1</v>
      </c>
      <c r="I127" s="13" t="n">
        <v>1</v>
      </c>
      <c r="J127" s="13" t="n">
        <v>1</v>
      </c>
      <c r="K127" s="13" t="n">
        <v>1</v>
      </c>
      <c r="L127" s="13" t="n">
        <v>1</v>
      </c>
      <c r="M127" s="13" t="n">
        <v>1</v>
      </c>
      <c r="N127" s="13" t="n">
        <v>0</v>
      </c>
    </row>
    <row r="128" customFormat="false" ht="14.25" hidden="false" customHeight="false" outlineLevel="0" collapsed="false">
      <c r="C128" s="6" t="s">
        <v>562</v>
      </c>
      <c r="E128" s="13" t="n">
        <v>0</v>
      </c>
      <c r="F128" s="13" t="n">
        <v>10</v>
      </c>
      <c r="G128" s="13" t="n">
        <v>20</v>
      </c>
      <c r="H128" s="13" t="n">
        <v>30</v>
      </c>
      <c r="I128" s="13" t="n">
        <v>40</v>
      </c>
      <c r="J128" s="13" t="n">
        <v>50</v>
      </c>
      <c r="K128" s="13" t="n">
        <v>60</v>
      </c>
      <c r="L128" s="13" t="n">
        <v>70</v>
      </c>
      <c r="M128" s="13" t="n">
        <v>80</v>
      </c>
      <c r="N128" s="13" t="n">
        <v>90</v>
      </c>
      <c r="O128" s="13" t="n">
        <v>100</v>
      </c>
    </row>
    <row r="129" customFormat="false" ht="14.25" hidden="false" customHeight="false" outlineLevel="0" collapsed="false">
      <c r="B129" s="0" t="s">
        <v>563</v>
      </c>
      <c r="C129" s="6"/>
      <c r="E129" s="13" t="n">
        <v>0.02</v>
      </c>
      <c r="F129" s="13" t="n">
        <v>0.05</v>
      </c>
      <c r="G129" s="13" t="n">
        <v>0.1</v>
      </c>
      <c r="H129" s="13" t="n">
        <v>0.15</v>
      </c>
      <c r="I129" s="13" t="n">
        <v>0.2</v>
      </c>
      <c r="J129" s="13" t="n">
        <v>0.25</v>
      </c>
      <c r="K129" s="13" t="n">
        <v>0.3</v>
      </c>
      <c r="L129" s="13" t="n">
        <v>0.35</v>
      </c>
      <c r="M129" s="13" t="n">
        <v>0.4</v>
      </c>
      <c r="N129" s="13" t="n">
        <v>0.5</v>
      </c>
    </row>
    <row r="130" customFormat="false" ht="14.25" hidden="false" customHeight="false" outlineLevel="0" collapsed="false">
      <c r="B130" s="0" t="s">
        <v>564</v>
      </c>
      <c r="C130" s="6"/>
      <c r="E130" s="13" t="n">
        <v>0</v>
      </c>
      <c r="F130" s="13" t="n">
        <v>1</v>
      </c>
      <c r="G130" s="13" t="n">
        <v>1</v>
      </c>
      <c r="H130" s="13" t="n">
        <v>1</v>
      </c>
      <c r="I130" s="13" t="n">
        <v>1</v>
      </c>
      <c r="J130" s="13" t="n">
        <v>1</v>
      </c>
      <c r="K130" s="13" t="n">
        <v>1</v>
      </c>
      <c r="L130" s="13" t="n">
        <v>1</v>
      </c>
      <c r="M130" s="13" t="n">
        <v>1</v>
      </c>
      <c r="N130" s="13" t="n">
        <v>0</v>
      </c>
    </row>
    <row r="131" customFormat="false" ht="14.25" hidden="false" customHeight="false" outlineLevel="0" collapsed="false">
      <c r="B131" s="0" t="s">
        <v>565</v>
      </c>
      <c r="C131" s="6"/>
      <c r="E131" s="13" t="n">
        <v>0</v>
      </c>
      <c r="F131" s="13" t="n">
        <v>10</v>
      </c>
      <c r="G131" s="13" t="n">
        <v>20</v>
      </c>
      <c r="H131" s="13" t="n">
        <v>30</v>
      </c>
      <c r="I131" s="13" t="n">
        <v>40</v>
      </c>
      <c r="J131" s="13" t="n">
        <v>50</v>
      </c>
      <c r="K131" s="13" t="n">
        <v>60</v>
      </c>
      <c r="L131" s="13" t="n">
        <v>70</v>
      </c>
      <c r="M131" s="13" t="n">
        <v>80</v>
      </c>
      <c r="N131" s="13" t="n">
        <v>90</v>
      </c>
      <c r="O131" s="13" t="n">
        <v>100</v>
      </c>
      <c r="P131" s="80" t="s">
        <v>566</v>
      </c>
    </row>
    <row r="132" customFormat="false" ht="14.25" hidden="false" customHeight="false" outlineLevel="0" collapsed="false">
      <c r="C132" s="6" t="s">
        <v>567</v>
      </c>
      <c r="E132" s="13" t="n">
        <v>1</v>
      </c>
      <c r="F132" s="13" t="n">
        <v>1.2</v>
      </c>
      <c r="G132" s="13" t="n">
        <v>1.3</v>
      </c>
      <c r="H132" s="13" t="n">
        <v>1.4</v>
      </c>
      <c r="I132" s="13" t="n">
        <v>1.5</v>
      </c>
      <c r="J132" s="13" t="n">
        <v>1.6</v>
      </c>
      <c r="K132" s="13" t="n">
        <v>1.7</v>
      </c>
      <c r="L132" s="13" t="n">
        <v>1.8</v>
      </c>
      <c r="M132" s="13" t="n">
        <v>1.9</v>
      </c>
      <c r="N132" s="13" t="n">
        <v>2</v>
      </c>
    </row>
    <row r="133" customFormat="false" ht="14.25" hidden="false" customHeight="false" outlineLevel="0" collapsed="false">
      <c r="C133" s="6" t="s">
        <v>568</v>
      </c>
      <c r="E133" s="13" t="n">
        <v>0</v>
      </c>
      <c r="F133" s="13" t="n">
        <v>1</v>
      </c>
      <c r="G133" s="13" t="n">
        <v>1</v>
      </c>
      <c r="H133" s="13" t="n">
        <v>1</v>
      </c>
      <c r="I133" s="13" t="n">
        <v>1</v>
      </c>
      <c r="J133" s="13" t="n">
        <v>1</v>
      </c>
      <c r="K133" s="13" t="n">
        <v>1</v>
      </c>
      <c r="L133" s="13" t="n">
        <v>1</v>
      </c>
      <c r="M133" s="13" t="n">
        <v>1</v>
      </c>
      <c r="N133" s="13" t="n">
        <v>0</v>
      </c>
      <c r="P133" s="80" t="s">
        <v>569</v>
      </c>
    </row>
    <row r="134" customFormat="false" ht="14.25" hidden="false" customHeight="false" outlineLevel="0" collapsed="false">
      <c r="C134" s="6" t="s">
        <v>570</v>
      </c>
      <c r="E134" s="13" t="n">
        <v>0</v>
      </c>
      <c r="F134" s="13" t="n">
        <v>10</v>
      </c>
      <c r="G134" s="13" t="n">
        <v>20</v>
      </c>
      <c r="H134" s="13" t="n">
        <v>30</v>
      </c>
      <c r="I134" s="13" t="n">
        <v>40</v>
      </c>
      <c r="J134" s="13" t="n">
        <v>50</v>
      </c>
      <c r="K134" s="13" t="n">
        <v>60</v>
      </c>
      <c r="L134" s="13" t="n">
        <v>70</v>
      </c>
      <c r="M134" s="13" t="n">
        <v>80</v>
      </c>
      <c r="N134" s="13" t="n">
        <v>90</v>
      </c>
      <c r="O134" s="13" t="n">
        <v>100</v>
      </c>
    </row>
    <row r="135" customFormat="false" ht="14.25" hidden="false" customHeight="false" outlineLevel="0" collapsed="false">
      <c r="C135" s="6" t="s">
        <v>571</v>
      </c>
      <c r="E135" s="13" t="n">
        <v>100</v>
      </c>
    </row>
    <row r="136" customFormat="false" ht="14.25" hidden="false" customHeight="false" outlineLevel="0" collapsed="false">
      <c r="C136" s="6" t="s">
        <v>572</v>
      </c>
      <c r="E136" s="13" t="n">
        <v>100</v>
      </c>
    </row>
    <row r="137" customFormat="false" ht="14.25" hidden="false" customHeight="false" outlineLevel="0" collapsed="false">
      <c r="C137" s="6" t="s">
        <v>573</v>
      </c>
      <c r="E137" s="13" t="n">
        <v>100</v>
      </c>
    </row>
    <row r="138" customFormat="false" ht="14.25" hidden="false" customHeight="false" outlineLevel="0" collapsed="false">
      <c r="C138" s="6" t="s">
        <v>574</v>
      </c>
      <c r="E138" s="13" t="n">
        <v>80</v>
      </c>
    </row>
    <row r="139" customFormat="false" ht="14.25" hidden="false" customHeight="false" outlineLevel="0" collapsed="false">
      <c r="C139" s="6" t="s">
        <v>575</v>
      </c>
      <c r="E139" s="13" t="n">
        <v>20</v>
      </c>
    </row>
    <row r="140" customFormat="false" ht="14.25" hidden="false" customHeight="false" outlineLevel="0" collapsed="false">
      <c r="C140" s="6" t="s">
        <v>576</v>
      </c>
      <c r="E140" s="13" t="n">
        <v>0.2</v>
      </c>
    </row>
    <row r="141" customFormat="false" ht="14.25" hidden="false" customHeight="false" outlineLevel="0" collapsed="false">
      <c r="C141" s="6" t="s">
        <v>577</v>
      </c>
      <c r="E141" s="13" t="n">
        <v>0.15</v>
      </c>
    </row>
    <row r="142" customFormat="false" ht="14.25" hidden="false" customHeight="false" outlineLevel="0" collapsed="false">
      <c r="C142" s="6" t="s">
        <v>578</v>
      </c>
      <c r="E142" s="13" t="n">
        <v>0.1</v>
      </c>
    </row>
    <row r="143" customFormat="false" ht="14.25" hidden="false" customHeight="false" outlineLevel="0" collapsed="false">
      <c r="C143" s="6" t="s">
        <v>579</v>
      </c>
      <c r="E143" s="13" t="n">
        <v>0.15</v>
      </c>
    </row>
    <row r="144" customFormat="false" ht="14.25" hidden="false" customHeight="false" outlineLevel="0" collapsed="false">
      <c r="C144" s="6" t="s">
        <v>580</v>
      </c>
      <c r="E144" s="13" t="n">
        <v>0.05</v>
      </c>
    </row>
    <row r="145" customFormat="false" ht="14.25" hidden="false" customHeight="false" outlineLevel="0" collapsed="false">
      <c r="C145" s="6" t="s">
        <v>581</v>
      </c>
      <c r="E145" s="13" t="n">
        <v>0.05</v>
      </c>
    </row>
    <row r="146" customFormat="false" ht="14.25" hidden="false" customHeight="false" outlineLevel="0" collapsed="false">
      <c r="C146" s="6" t="s">
        <v>582</v>
      </c>
      <c r="E146" s="13" t="n">
        <v>0.1</v>
      </c>
    </row>
    <row r="147" customFormat="false" ht="14.25" hidden="false" customHeight="false" outlineLevel="0" collapsed="false">
      <c r="C147" s="6" t="s">
        <v>583</v>
      </c>
      <c r="E147" s="13" t="n">
        <v>0.05</v>
      </c>
    </row>
    <row r="148" customFormat="false" ht="14.25" hidden="false" customHeight="false" outlineLevel="0" collapsed="false">
      <c r="C148" s="6" t="s">
        <v>584</v>
      </c>
      <c r="E148" s="13" t="n">
        <v>0.15</v>
      </c>
    </row>
    <row r="150" customFormat="false" ht="14.25" hidden="false" customHeight="false" outlineLevel="0" collapsed="false">
      <c r="C150" s="77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2026-10-27T15:34:29Z</dcterms:created>
  <dc:creator>openpyxl</dc:creator>
  <dc:description/>
  <dc:language>en-US</dc:language>
  <cp:lastModifiedBy/>
  <dcterms:modified xsi:type="dcterms:W3CDTF">2026-10-28T22:46:20Z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0x010100CB25C80BA76C054AAAC0D3CDDFCEC309</vt:lpwstr>
  </property>
  <property fmtid="{D5CDD505-2E9C-101B-9397-08002B2CF9AE}" pid="3" name="MediaServiceImageTags">
    <vt:lpwstr/>
  </property>
</Properties>
</file>